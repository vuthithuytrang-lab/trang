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ách đọc file" sheetId="1" r:id="rId5"/>
    <sheet state="visible" name="Kế hoạch chèn link" sheetId="2" r:id="rId6"/>
    <sheet state="visible" name="Tổng hợp 75 trang đích" sheetId="3" r:id="rId7"/>
    <sheet state="visible" name="Link đi từ bài nào" sheetId="4" r:id="rId8"/>
    <sheet state="visible" name="Inlink đã chèn" sheetId="5" r:id="rId9"/>
    <sheet state="visible" name="Trang tính3" sheetId="6" r:id="rId10"/>
    <sheet state="hidden" name="Inlink - Đề xuất 5 bài trang đí" sheetId="7" r:id="rId11"/>
  </sheets>
  <definedNames>
    <definedName hidden="1" localSheetId="3" name="_xlnm._FilterDatabase">'Link đi từ bài nào'!$A$1:$C$1000</definedName>
    <definedName hidden="1" localSheetId="5" name="_xlnm._FilterDatabase">'Trang tính3'!$A$1:$T$81</definedName>
  </definedNames>
  <calcPr/>
</workbook>
</file>

<file path=xl/sharedStrings.xml><?xml version="1.0" encoding="utf-8"?>
<sst xmlns="http://schemas.openxmlformats.org/spreadsheetml/2006/main" count="36487" uniqueCount="2767">
  <si>
    <t>MỞ TAB NÀO ĐỂ LÀM GÌ</t>
  </si>
  <si>
    <t>Tên tab</t>
  </si>
  <si>
    <t>STT</t>
  </si>
  <si>
    <t>Dùng để</t>
  </si>
  <si>
    <t>Nhóm</t>
  </si>
  <si>
    <t>Kế hoạch chèn link</t>
  </si>
  <si>
    <t>Từ khoá chính</t>
  </si>
  <si>
    <t>Xem nhanh. Mỗi trang đích là 1 dòng. Kéo sang phải sẽ thấy từng cặp: Anchortext + URL bài đặt link.</t>
  </si>
  <si>
    <t>Landingpage (trang đích)</t>
  </si>
  <si>
    <t>Tổng hợp 75 trang đích</t>
  </si>
  <si>
    <t>Xem chi tiết. Mỗi link là 1 dòng. Ô xám bên trái ghi mỗi trang đích có bao nhiêu link và anchor nào dùng mấy lần.</t>
  </si>
  <si>
    <t>Link đi từ bài nào</t>
  </si>
  <si>
    <t>Xem ngược lại: một bài blog sẽ đặt link sang những trang đích nào.</t>
  </si>
  <si>
    <t>Số inlink mục tiêu</t>
  </si>
  <si>
    <t>Inlink đã chèn</t>
  </si>
  <si>
    <t>Các link đang có sẵn trên web.</t>
  </si>
  <si>
    <t>Tổng số link</t>
  </si>
  <si>
    <t>Inlink - Đề xuất 5 bài/ trang đích, 3 link/ nguồn</t>
  </si>
  <si>
    <t>Bản rút gọn cũ, chỉ để so sánh.</t>
  </si>
  <si>
    <t>Phù hợp cao</t>
  </si>
  <si>
    <t>Ý nghĩa màu</t>
  </si>
  <si>
    <t>Xanh lá = nên chèn trước.   Xanh dương = chèn được.   Vàng = cần đọc lại bài rồi mới chèn.   Cam (chữ đậm) = anchor ưu tiên sếp giao ở tab Trang tính3.</t>
  </si>
  <si>
    <t>Lưu ý</t>
  </si>
  <si>
    <t>Có thể đi</t>
  </si>
  <si>
    <t>Mức độ phù hợp dựa trên tiêu đề và mô tả bài, chưa đọc nội dung bài.</t>
  </si>
  <si>
    <t>Anchor</t>
  </si>
  <si>
    <t>Cần soát</t>
  </si>
  <si>
    <t>Tình trạng</t>
  </si>
  <si>
    <t>18 trang có trong tab Trang tính3 dùng đúng danh sách anchor của sếp (đã dùng hết từng anchor). 57 trang còn lại dùng anchor theo từ khoá chính của trang.</t>
  </si>
  <si>
    <t>Số link mỗi trang</t>
  </si>
  <si>
    <t>Hoàn thiện</t>
  </si>
  <si>
    <t>Đã chỉnh cho khớp cột "Số inlink mục tiêu" (cột E tab Kế hoạch): trang nào thừa thì giữ lại link hợp nhất, trang nào thiếu thì thêm bài cùng chủ đề. Riêng "app vay tiền nhanh" được 193/200 vì web chỉ còn chừng ấy bài liên quan.</t>
  </si>
  <si>
    <t>Ghi chú</t>
  </si>
  <si>
    <t>Link "Mở rộng chủ đề"</t>
  </si>
  <si>
    <t>Là link thêm mới để đủ số mục tiêu (mức Cần soát). Dòng nào ghi "Liên quan rộng" thì đọc bài trước, thấy không hợp thì bỏ qua.</t>
  </si>
  <si>
    <t>Bài nguồn (nơi đặt link)</t>
  </si>
  <si>
    <t>Số link đi ra</t>
  </si>
  <si>
    <t>Trỏ về các trang đích</t>
  </si>
  <si>
    <t>URL đích</t>
  </si>
  <si>
    <t>Số bài blog chèn link</t>
  </si>
  <si>
    <t>Số bài blog chèn link trong thân bài</t>
  </si>
  <si>
    <t>Anchor text</t>
  </si>
  <si>
    <t>Bài blog chứa link</t>
  </si>
  <si>
    <t>https://techcombank.com/thong-tin/blog/lai-suat-vay-mua-o-to</t>
  </si>
  <si>
    <t>https://techcombank.com/thong-tin/blog/nop-thue-dat-qua-ngan-hang</t>
  </si>
  <si>
    <t>Link trỏ về (trang đích)</t>
  </si>
  <si>
    <t>Tổng số link trỏ về trang này</t>
  </si>
  <si>
    <t>Thống kê anchor text (anchor – số link)</t>
  </si>
  <si>
    <t>Link đi từ bài (bài nguồn – nơi đặt link)</t>
  </si>
  <si>
    <t>Mức độ phù hợp</t>
  </si>
  <si>
    <t>Lý do</t>
  </si>
  <si>
    <t>Vị trí chèn</t>
  </si>
  <si>
    <t>Trích đoạn gốc</t>
  </si>
  <si>
    <t>Đề xuất nội dung chèn link</t>
  </si>
  <si>
    <t>https://techcombank.com/thong-tin/blog/cach-nop-thue-dien-tu</t>
  </si>
  <si>
    <t>URL 001 (bài đặt link)</t>
  </si>
  <si>
    <t>Anchortext 002</t>
  </si>
  <si>
    <t>URL 002 (bài đặt link)</t>
  </si>
  <si>
    <t>Ghi chú biên tập</t>
  </si>
  <si>
    <t>Anchortext 003</t>
  </si>
  <si>
    <t>URL 003 (bài đặt link)</t>
  </si>
  <si>
    <t>Anchortext 004</t>
  </si>
  <si>
    <t>URL 004 (bài đặt link)</t>
  </si>
  <si>
    <t>Anchortext 005</t>
  </si>
  <si>
    <t>URL 005 (bài đặt link)</t>
  </si>
  <si>
    <t>Anchortext 006</t>
  </si>
  <si>
    <t>URL 006 (bài đặt link)</t>
  </si>
  <si>
    <t>Anchortext 007</t>
  </si>
  <si>
    <t>URL 007 (bài đặt link)</t>
  </si>
  <si>
    <t>Anchortext 008</t>
  </si>
  <si>
    <t>URL 008 (bài đặt link)</t>
  </si>
  <si>
    <t>Anchortext 009</t>
  </si>
  <si>
    <t>URL 009 (bài đặt link)</t>
  </si>
  <si>
    <t>https://techcombank.com/thong-tin/blog/thue-thu-nhap-doanh-nghiep</t>
  </si>
  <si>
    <t>Anchortext 010</t>
  </si>
  <si>
    <t>Auto Loan</t>
  </si>
  <si>
    <t>URL 010 (bài đặt link)</t>
  </si>
  <si>
    <t>Anchortext 011</t>
  </si>
  <si>
    <t>URL 011 (bài đặt link)</t>
  </si>
  <si>
    <t>Anchortext 012</t>
  </si>
  <si>
    <t>URL 012 (bài đặt link)</t>
  </si>
  <si>
    <t>Anchortext 013</t>
  </si>
  <si>
    <t>URL 013 (bài đặt link)</t>
  </si>
  <si>
    <t>Anchortext 014</t>
  </si>
  <si>
    <t>URL 014 (bài đặt link)</t>
  </si>
  <si>
    <t>Anchortext 015</t>
  </si>
  <si>
    <t>URL 015 (bài đặt link)</t>
  </si>
  <si>
    <t>Anchortext 016</t>
  </si>
  <si>
    <t>URL 016 (bài đặt link)</t>
  </si>
  <si>
    <t>Anchortext 017</t>
  </si>
  <si>
    <t>URL 017 (bài đặt link)</t>
  </si>
  <si>
    <t>Anchortext 018</t>
  </si>
  <si>
    <t>URL 018 (bài đặt link)</t>
  </si>
  <si>
    <t>Anchortext 019</t>
  </si>
  <si>
    <t>URL 019 (bài đặt link)</t>
  </si>
  <si>
    <t>Anchortext 020</t>
  </si>
  <si>
    <t>URL 020 (bài đặt link)</t>
  </si>
  <si>
    <t>Anchortext 021</t>
  </si>
  <si>
    <t>URL 021 (bài đặt link)</t>
  </si>
  <si>
    <t>Anchortext 022</t>
  </si>
  <si>
    <t>URL 022 (bài đặt link)</t>
  </si>
  <si>
    <t>Anchortext 023</t>
  </si>
  <si>
    <t>URL 023 (bài đặt link)</t>
  </si>
  <si>
    <t>Anchortext 024</t>
  </si>
  <si>
    <t>URL 024 (bài đặt link)</t>
  </si>
  <si>
    <t>Anchortext 025</t>
  </si>
  <si>
    <t>URL 025 (bài đặt link)</t>
  </si>
  <si>
    <t>Anchortext 026</t>
  </si>
  <si>
    <t>URL 026 (bài đặt link)</t>
  </si>
  <si>
    <t>Anchortext 027</t>
  </si>
  <si>
    <t>URL 027 (bài đặt link)</t>
  </si>
  <si>
    <t>Anchortext 028</t>
  </si>
  <si>
    <t>URL 028 (bài đặt link)</t>
  </si>
  <si>
    <t>Anchortext 029</t>
  </si>
  <si>
    <t>URL 029 (bài đặt link)</t>
  </si>
  <si>
    <t>Anchortext 030</t>
  </si>
  <si>
    <t>URL 030 (bài đặt link)</t>
  </si>
  <si>
    <t>Anchortext 031</t>
  </si>
  <si>
    <t>URL 031 (bài đặt link)</t>
  </si>
  <si>
    <t>Anchortext 032</t>
  </si>
  <si>
    <t>URL 032 (bài đặt link)</t>
  </si>
  <si>
    <t>Anchortext 033</t>
  </si>
  <si>
    <t>URL 033 (bài đặt link)</t>
  </si>
  <si>
    <t>Anchortext 034</t>
  </si>
  <si>
    <t>URL 034 (bài đặt link)</t>
  </si>
  <si>
    <t>Anchortext 035</t>
  </si>
  <si>
    <t>URL 035 (bài đặt link)</t>
  </si>
  <si>
    <t>Anchortext 036</t>
  </si>
  <si>
    <t>URL 036 (bài đặt link)</t>
  </si>
  <si>
    <t>Anchortext 037</t>
  </si>
  <si>
    <t>URL 037 (bài đặt link)</t>
  </si>
  <si>
    <t>Anchortext 038</t>
  </si>
  <si>
    <t>URL 038 (bài đặt link)</t>
  </si>
  <si>
    <t>Anchortext 039</t>
  </si>
  <si>
    <t>URL 039 (bài đặt link)</t>
  </si>
  <si>
    <t>Anchortext 040</t>
  </si>
  <si>
    <t>URL 040 (bài đặt link)</t>
  </si>
  <si>
    <t>Anchortext 041</t>
  </si>
  <si>
    <t>URL 041 (bài đặt link)</t>
  </si>
  <si>
    <t>Anchortext 042</t>
  </si>
  <si>
    <t>URL 042 (bài đặt link)</t>
  </si>
  <si>
    <t>Anchortext 043</t>
  </si>
  <si>
    <t>URL 043 (bài đặt link)</t>
  </si>
  <si>
    <t>Anchortext 044</t>
  </si>
  <si>
    <t>URL 044 (bài đặt link)</t>
  </si>
  <si>
    <t>Anchortext 045</t>
  </si>
  <si>
    <t>URL 045 (bài đặt link)</t>
  </si>
  <si>
    <t>Anchortext 046</t>
  </si>
  <si>
    <t>URL 046 (bài đặt link)</t>
  </si>
  <si>
    <t>Anchortext 047</t>
  </si>
  <si>
    <t>URL 047 (bài đặt link)</t>
  </si>
  <si>
    <t>Anchortext 048</t>
  </si>
  <si>
    <t>URL 048 (bài đặt link)</t>
  </si>
  <si>
    <t>Anchortext 049</t>
  </si>
  <si>
    <t>URL 049 (bài đặt link)</t>
  </si>
  <si>
    <t>Anchortext 050</t>
  </si>
  <si>
    <t>URL 050 (bài đặt link)</t>
  </si>
  <si>
    <t>Anchortext 051</t>
  </si>
  <si>
    <t>URL 051 (bài đặt link)</t>
  </si>
  <si>
    <t>Anchortext 052</t>
  </si>
  <si>
    <t>URL 052 (bài đặt link)</t>
  </si>
  <si>
    <t>Anchortext 053</t>
  </si>
  <si>
    <t>URL 053 (bài đặt link)</t>
  </si>
  <si>
    <t>Anchortext 054</t>
  </si>
  <si>
    <t>URL 054 (bài đặt link)</t>
  </si>
  <si>
    <t>Anchortext 055</t>
  </si>
  <si>
    <t>URL 055 (bài đặt link)</t>
  </si>
  <si>
    <t>https://techcombank.com/thong-tin/blog/vay-mua-xe-tra-gop-ngan-hang-nao-tot-nhat</t>
  </si>
  <si>
    <t>Anchortext 056</t>
  </si>
  <si>
    <t>URL 056 (bài đặt link)</t>
  </si>
  <si>
    <t>Anchortext 057</t>
  </si>
  <si>
    <t>URL 057 (bài đặt link)</t>
  </si>
  <si>
    <t>Anchortext 058</t>
  </si>
  <si>
    <t>URL 058 (bài đặt link)</t>
  </si>
  <si>
    <t>Anchortext 059</t>
  </si>
  <si>
    <t>URL 059 (bài đặt link)</t>
  </si>
  <si>
    <t>Anchortext 060</t>
  </si>
  <si>
    <t>URL 060 (bài đặt link)</t>
  </si>
  <si>
    <t>Anchortext 061</t>
  </si>
  <si>
    <t>URL 061 (bài đặt link)</t>
  </si>
  <si>
    <t>Anchortext 062</t>
  </si>
  <si>
    <t>URL 062 (bài đặt link)</t>
  </si>
  <si>
    <t>Anchortext 063</t>
  </si>
  <si>
    <t>lãi suất vay mua ô tô</t>
  </si>
  <si>
    <t>PHÙ HỢP CAO</t>
  </si>
  <si>
    <t>URL 063 (bài đặt link)</t>
  </si>
  <si>
    <t>Bài so sánh ngân hàng cho vay mua xe — lãi suất là tiêu chí chọn ngân hàng, người đọc cần bảng lãi suất cụ thể.</t>
  </si>
  <si>
    <t>Anchortext 064</t>
  </si>
  <si>
    <t>Chưa đọc được nội dung</t>
  </si>
  <si>
    <t>URL 064 (bài đặt link)</t>
  </si>
  <si>
    <t>—</t>
  </si>
  <si>
    <t>Anchortext 065</t>
  </si>
  <si>
    <t>URL 065 (bài đặt link)</t>
  </si>
  <si>
    <t>Anchortext 066</t>
  </si>
  <si>
    <t>URL 066 (bài đặt link)</t>
  </si>
  <si>
    <t>Anchortext 067</t>
  </si>
  <si>
    <t>URL 067 (bài đặt link)</t>
  </si>
  <si>
    <t>https://techcombank.com/thong-tin/blog/co-nen-mua-o-to-tra-gop</t>
  </si>
  <si>
    <t>Anchortext 068</t>
  </si>
  <si>
    <t>URL 068 (bài đặt link)</t>
  </si>
  <si>
    <t>Anchortext 069</t>
  </si>
  <si>
    <t>URL 069 (bài đặt link)</t>
  </si>
  <si>
    <t>Anchortext 070</t>
  </si>
  <si>
    <t>URL 070 (bài đặt link)</t>
  </si>
  <si>
    <t>Anchortext 071</t>
  </si>
  <si>
    <t>URL 071 (bài đặt link)</t>
  </si>
  <si>
    <t>Anchortext 072</t>
  </si>
  <si>
    <t>URL 072 (bài đặt link)</t>
  </si>
  <si>
    <t>Anchortext 073</t>
  </si>
  <si>
    <t>URL 073 (bài đặt link)</t>
  </si>
  <si>
    <t>Anchortext 074</t>
  </si>
  <si>
    <t>URL 074 (bài đặt link)</t>
  </si>
  <si>
    <t>Anchortext 075</t>
  </si>
  <si>
    <t>URL 075 (bài đặt link)</t>
  </si>
  <si>
    <t>Anchortext 076</t>
  </si>
  <si>
    <t>URL 076 (bài đặt link)</t>
  </si>
  <si>
    <t>lãi suất vay mua xe ô tô</t>
  </si>
  <si>
    <t>Anchortext 077</t>
  </si>
  <si>
    <t>Bài tư vấn mua ô tô trả góp; quyết định mua trả góp phụ thuộc trực tiếp vào mức lãi suất vay.</t>
  </si>
  <si>
    <t>URL 077 (bài đặt link)</t>
  </si>
  <si>
    <t>Anchortext 078</t>
  </si>
  <si>
    <t>URL 078 (bài đặt link)</t>
  </si>
  <si>
    <t>Anchortext 079</t>
  </si>
  <si>
    <t>URL 079 (bài đặt link)</t>
  </si>
  <si>
    <t>Anchortext 080</t>
  </si>
  <si>
    <t>https://techcombank.com/thong-tin/blog/thu-tuc-mua-xe-tra-gop</t>
  </si>
  <si>
    <t>URL 080 (bài đặt link)</t>
  </si>
  <si>
    <t>https://techcombank.com/thong-tin/blog/thue-vat-la-gi</t>
  </si>
  <si>
    <t>Anchortext 081</t>
  </si>
  <si>
    <t>URL 081 (bài đặt link)</t>
  </si>
  <si>
    <t>Anchortext 082</t>
  </si>
  <si>
    <t>URL 082 (bài đặt link)</t>
  </si>
  <si>
    <t>Anchortext 083</t>
  </si>
  <si>
    <t>URL 083 (bài đặt link)</t>
  </si>
  <si>
    <t>Anchortext 084</t>
  </si>
  <si>
    <t>URL 084 (bài đặt link)</t>
  </si>
  <si>
    <t>Anchortext 085</t>
  </si>
  <si>
    <t>URL 085 (bài đặt link)</t>
  </si>
  <si>
    <t>Anchortext 086</t>
  </si>
  <si>
    <t>lãi suất vay mua ô tô các ngân hàng</t>
  </si>
  <si>
    <t>URL 086 (bài đặt link)</t>
  </si>
  <si>
    <t>Bài hướng dẫn hồ sơ, thủ tục mua xe trả góp — bước sau khi người đọc so sánh lãi suất.</t>
  </si>
  <si>
    <t>Anchortext 087</t>
  </si>
  <si>
    <t>URL 087 (bài đặt link)</t>
  </si>
  <si>
    <t>Anchortext 088</t>
  </si>
  <si>
    <t>URL 088 (bài đặt link)</t>
  </si>
  <si>
    <t>Anchortext 089</t>
  </si>
  <si>
    <t>https://techcombank.com/thong-tin/blog/nen-mua-xe-tra-gop-hay-tra-thang</t>
  </si>
  <si>
    <t>URL 089 (bài đặt link)</t>
  </si>
  <si>
    <t>Anchortext 090</t>
  </si>
  <si>
    <t>https://techcombank.com/thong-tin/blog/tra-cuu-no-thue-doanh-nghiep</t>
  </si>
  <si>
    <t>URL 090 (bài đặt link)</t>
  </si>
  <si>
    <t>Anchortext 091</t>
  </si>
  <si>
    <t>URL 091 (bài đặt link)</t>
  </si>
  <si>
    <t>Anchortext 092</t>
  </si>
  <si>
    <t>URL 092 (bài đặt link)</t>
  </si>
  <si>
    <t>Anchortext 093</t>
  </si>
  <si>
    <t>URL 093 (bài đặt link)</t>
  </si>
  <si>
    <t>Anchortext 094</t>
  </si>
  <si>
    <t>URL 094 (bài đặt link)</t>
  </si>
  <si>
    <t>Anchortext 095</t>
  </si>
  <si>
    <t>URL 095 (bài đặt link)</t>
  </si>
  <si>
    <t>mua xe trả góp lãi suất bao nhiêu</t>
  </si>
  <si>
    <t>Anchortext 096</t>
  </si>
  <si>
    <t>So sánh trả góp và trả thẳng — phần chi phí trả góp cần dẫn sang lãi suất vay mua ô tô.</t>
  </si>
  <si>
    <t>URL 096 (bài đặt link)</t>
  </si>
  <si>
    <t>https://techcombank.com/thong-tin/blog/thue-doanh-nghiep</t>
  </si>
  <si>
    <t>Anchortext 097</t>
  </si>
  <si>
    <t>URL 097 (bài đặt link)</t>
  </si>
  <si>
    <t>Anchortext 098</t>
  </si>
  <si>
    <t>https://techcombank.com/thong-tin/blog/vay-the-chap-xe-o-to-cu</t>
  </si>
  <si>
    <t>URL 098 (bài đặt link)</t>
  </si>
  <si>
    <t>Anchortext 099</t>
  </si>
  <si>
    <t>URL 099 (bài đặt link)</t>
  </si>
  <si>
    <t>Anchortext 100</t>
  </si>
  <si>
    <t>URL 100 (bài đặt link)</t>
  </si>
  <si>
    <t>Anchortext 101</t>
  </si>
  <si>
    <t>URL 101 (bài đặt link)</t>
  </si>
  <si>
    <t>Anchortext 102</t>
  </si>
  <si>
    <t>URL 102 (bài đặt link)</t>
  </si>
  <si>
    <t>Anchortext 103</t>
  </si>
  <si>
    <t>URL 103 (bài đặt link)</t>
  </si>
  <si>
    <t>https://techcombank.com/thong-tin/blog/cong-ty-su-dung-tai-khoan-ca-nhan</t>
  </si>
  <si>
    <t>CÓ THỂ ĐI</t>
  </si>
  <si>
    <t>Anchortext 104</t>
  </si>
  <si>
    <t>Chủ đề vay thế chấp mua xe cũ; chèn được ở đoạn nói về chi phí/lãi vay.</t>
  </si>
  <si>
    <t>URL 104 (bài đặt link)</t>
  </si>
  <si>
    <t>Anchortext 105</t>
  </si>
  <si>
    <t>URL 105 (bài đặt link)</t>
  </si>
  <si>
    <t>Anchortext 106</t>
  </si>
  <si>
    <t>https://techcombank.com/thong-tin/blog/mua-bao-hiem-o-to-dien</t>
  </si>
  <si>
    <t>URL 106 (bài đặt link)</t>
  </si>
  <si>
    <t>Anchortext 107</t>
  </si>
  <si>
    <t>URL 107 (bài đặt link)</t>
  </si>
  <si>
    <t>Anchortext 108</t>
  </si>
  <si>
    <t>URL 108 (bài đặt link)</t>
  </si>
  <si>
    <t>https://techcombank.com/thong-tin/blog/cach-tinh-thue-thu-nhap-doanh-nghiep</t>
  </si>
  <si>
    <t>Anchortext 109</t>
  </si>
  <si>
    <t>URL 109 (bài đặt link)</t>
  </si>
  <si>
    <t>Anchortext 110</t>
  </si>
  <si>
    <t>URL 110 (bài đặt link)</t>
  </si>
  <si>
    <t>Anchortext 111</t>
  </si>
  <si>
    <t>URL 111 (bài đặt link)</t>
  </si>
  <si>
    <t>CẦN SOÁT</t>
  </si>
  <si>
    <t>Nhắc: ô tô.</t>
  </si>
  <si>
    <t>Anchortext 112</t>
  </si>
  <si>
    <t>https://techcombank.com/thong-tin/blog/cach-nap-the-viettel</t>
  </si>
  <si>
    <t>URL 112 (bài đặt link)</t>
  </si>
  <si>
    <t>Anchortext 113</t>
  </si>
  <si>
    <t>URL 113 (bài đặt link)</t>
  </si>
  <si>
    <t>https://techcombank.com/thong-tin/blog/mua-bao-hiem-o-to</t>
  </si>
  <si>
    <t>Anchortext 114</t>
  </si>
  <si>
    <t>URL 114 (bài đặt link)</t>
  </si>
  <si>
    <t>Anchortext 115</t>
  </si>
  <si>
    <t>URL 115 (bài đặt link)</t>
  </si>
  <si>
    <t>Anchortext 116</t>
  </si>
  <si>
    <t>https://techcombank.com/thong-tin/blog/cach-tinh-tien-dien-sinh-hoat</t>
  </si>
  <si>
    <t>URL 116 (bài đặt link)</t>
  </si>
  <si>
    <t>Anchortext 117</t>
  </si>
  <si>
    <t>URL 117 (bài đặt link)</t>
  </si>
  <si>
    <t>Anchortext 118</t>
  </si>
  <si>
    <t>URL 118 (bài đặt link)</t>
  </si>
  <si>
    <t>Anchortext 119</t>
  </si>
  <si>
    <t>URL 119 (bài đặt link)</t>
  </si>
  <si>
    <t>Anchortext 120</t>
  </si>
  <si>
    <t>URL 120 (bài đặt link)</t>
  </si>
  <si>
    <t>https://techcombank.com/thong-tin/blog/cach-tinh-thue-thu-nhap-ca-nhan-2025</t>
  </si>
  <si>
    <t>Anchortext 121</t>
  </si>
  <si>
    <t>URL 121 (bài đặt link)</t>
  </si>
  <si>
    <t>Anchortext 122</t>
  </si>
  <si>
    <t>https://techcombank.com/thong-tin/blog/bao-hiem-vat-chat-xe-o-to</t>
  </si>
  <si>
    <t>Mở rộng chủ đề (theo plan): bài nhắc ô tô, mua xe, vay mua xe.</t>
  </si>
  <si>
    <t>URL 122 (bài đặt link)</t>
  </si>
  <si>
    <t/>
  </si>
  <si>
    <t>https://techcombank.com/thong-tin/blog/cach-kiem-tra-tai-khoan-ngan-hang</t>
  </si>
  <si>
    <t>Anchortext 123</t>
  </si>
  <si>
    <t>URL 123 (bài đặt link)</t>
  </si>
  <si>
    <t>Anchortext 124</t>
  </si>
  <si>
    <t>https://techcombank.com/thong-tin/blog/nen-mua-xe-o-to-dien-hay-xe-xang</t>
  </si>
  <si>
    <t>URL 124 (bài đặt link)</t>
  </si>
  <si>
    <t>Anchortext 125</t>
  </si>
  <si>
    <t>Mở rộng chủ đề (theo plan): bài nhắc ô tô, mua xe.</t>
  </si>
  <si>
    <t>URL 125 (bài đặt link)</t>
  </si>
  <si>
    <t>Anchortext 126</t>
  </si>
  <si>
    <t>URL 126 (bài đặt link)</t>
  </si>
  <si>
    <t>Anchortext 127</t>
  </si>
  <si>
    <t>https://techcombank.com/thong-tin/blog/cach-mo-tai-khoan</t>
  </si>
  <si>
    <t>https://techcombank.com/thong-tin/blog/tin-chap-doanh-nghiep</t>
  </si>
  <si>
    <t>URL 127 (bài đặt link)</t>
  </si>
  <si>
    <t>Mở rộng chủ đề (theo plan): bài nhắc vay, tín chấp, giải ngân. Liên quan rộng – đọc bài trước khi chèn.</t>
  </si>
  <si>
    <t>Anchortext 128</t>
  </si>
  <si>
    <t>URL 128 (bài đặt link)</t>
  </si>
  <si>
    <t>Anchortext 129</t>
  </si>
  <si>
    <t>URL 129 (bài đặt link)</t>
  </si>
  <si>
    <t>Anchortext 130</t>
  </si>
  <si>
    <t>URL 130 (bài đặt link)</t>
  </si>
  <si>
    <t>https://techcombank.com/thong-tin/blog/vay-mua-nha-o-xa-hoi</t>
  </si>
  <si>
    <t>Anchortext 131</t>
  </si>
  <si>
    <t>Mở rộng chủ đề (theo plan): bài nhắc vay, trả góp, mua nhà. Liên quan rộng – đọc bài trước khi chèn.</t>
  </si>
  <si>
    <t>https://techcombank.com/thong-tin/blog/ngan-hang-uy-tin</t>
  </si>
  <si>
    <t>URL 131 (bài đặt link)</t>
  </si>
  <si>
    <t>Anchortext 132</t>
  </si>
  <si>
    <t>URL 132 (bài đặt link)</t>
  </si>
  <si>
    <t>Anchortext 133</t>
  </si>
  <si>
    <t>URL 133 (bài đặt link)</t>
  </si>
  <si>
    <t>https://techcombank.com/thong-tin/blog/cach-tinh-lai-vay-ngan-hang</t>
  </si>
  <si>
    <t>Anchortext 134</t>
  </si>
  <si>
    <t>Mở rộng chủ đề (theo plan): bài nhắc vay, lãi suất vay, thấu chi. Liên quan rộng – đọc bài trước khi chèn.</t>
  </si>
  <si>
    <t>URL 134 (bài đặt link)</t>
  </si>
  <si>
    <t>Anchortext 135</t>
  </si>
  <si>
    <t>URL 135 (bài đặt link)</t>
  </si>
  <si>
    <t>https://techcombank.com/thong-tin/blog/chuyen-khoan-thanh-cong-nhung-khong-nhan-duoc-tien</t>
  </si>
  <si>
    <t>Anchortext 136</t>
  </si>
  <si>
    <t>https://techcombank.com/thong-tin/blog/vay-san-xuat-kinh-doanh</t>
  </si>
  <si>
    <t>URL 136 (bài đặt link)</t>
  </si>
  <si>
    <t>Mở rộng chủ đề (theo plan): bài nhắc vay, tín chấp, thế chấp. Liên quan rộng – đọc bài trước khi chèn.</t>
  </si>
  <si>
    <t>Anchortext 137</t>
  </si>
  <si>
    <t>URL 137 (bài đặt link)</t>
  </si>
  <si>
    <t>Anchortext 138</t>
  </si>
  <si>
    <t>URL 138 (bài đặt link)</t>
  </si>
  <si>
    <t>https://techcombank.com/thong-tin/blog/lai-suat-vay-tin-chap</t>
  </si>
  <si>
    <t>Anchortext 139</t>
  </si>
  <si>
    <t>Mở rộng chủ đề (theo plan): bài nhắc vay, tín chấp, lãi suất vay. Liên quan rộng – đọc bài trước khi chèn.</t>
  </si>
  <si>
    <t>URL 139 (bài đặt link)</t>
  </si>
  <si>
    <t>Anchortext 140</t>
  </si>
  <si>
    <t>https://techcombank.com/thong-tin/blog/bao-nhieu-tuoi-duoc-mo-tai-khoan-ngan-hang</t>
  </si>
  <si>
    <t>URL 140 (bài đặt link)</t>
  </si>
  <si>
    <t>https://techcombank.com/thong-tin/blog/cac-hinh-thuc-vay-von-ngan-hang</t>
  </si>
  <si>
    <t>Anchortext 141</t>
  </si>
  <si>
    <t>Mở rộng chủ đề (theo plan): bài nhắc vay, khoản vay, tín chấp. Liên quan rộng – đọc bài trước khi chèn.</t>
  </si>
  <si>
    <t>URL 141 (bài đặt link)</t>
  </si>
  <si>
    <t>Anchortext 142</t>
  </si>
  <si>
    <t>URL 142 (bài đặt link)</t>
  </si>
  <si>
    <t>Anchortext 143</t>
  </si>
  <si>
    <t>URL 143 (bài đặt link)</t>
  </si>
  <si>
    <t>https://techcombank.com/thong-tin/blog/vay-tin-chap-va-vay-the-chap</t>
  </si>
  <si>
    <t>Bao nhiêu tuổi được mở tài khoản ngân hàng?</t>
  </si>
  <si>
    <t>Anchortext 144</t>
  </si>
  <si>
    <t>URL 144 (bài đặt link)</t>
  </si>
  <si>
    <t>https://techcombank.com/thong-tin/blog/mo-tai-khoan-ngan-hang-duoi-18-tuoi</t>
  </si>
  <si>
    <t>Anchortext 145</t>
  </si>
  <si>
    <t>URL 145 (bài đặt link)</t>
  </si>
  <si>
    <t>Anchortext 146</t>
  </si>
  <si>
    <t>URL 146 (bài đặt link)</t>
  </si>
  <si>
    <t>https://techcombank.com/thong-tin/blog/lai-suat-vay-the-chap-so-do</t>
  </si>
  <si>
    <t>Mở rộng chủ đề (theo plan): bài nhắc vay, thế chấp, lãi suất vay. Liên quan rộng – đọc bài trước khi chèn.</t>
  </si>
  <si>
    <t>Anchortext 147</t>
  </si>
  <si>
    <t>https://techcombank.com/thong-tin/blog/nap-tien-vao-tai-khoan-ngan-hang</t>
  </si>
  <si>
    <t>https://techcombank.com/thong-tin/blog/co-100-trieu-co-mua-nen-mua-tra-gop</t>
  </si>
  <si>
    <t>URL 147 (bài đặt link)</t>
  </si>
  <si>
    <t>Anchortext 148</t>
  </si>
  <si>
    <t>Mở rộng chủ đề (theo plan): bài nhắc vay, khoản vay, trả góp. Liên quan rộng – đọc bài trước khi chèn.</t>
  </si>
  <si>
    <t>URL 148 (bài đặt link)</t>
  </si>
  <si>
    <t>Anchortext 149</t>
  </si>
  <si>
    <t>URL 149 (bài đặt link)</t>
  </si>
  <si>
    <t>Anchortext 150</t>
  </si>
  <si>
    <t>URL 150 (bài đặt link)</t>
  </si>
  <si>
    <t>Anchortext 151</t>
  </si>
  <si>
    <t>https://techcombank.com/thong-tin/blog/nen-vay-tin-chap-o-dau</t>
  </si>
  <si>
    <t>URL 151 (bài đặt link)</t>
  </si>
  <si>
    <t>https://techcombank.com/thong-tin/blog/cach-sao-ke-tai-khoan-ngan-hang</t>
  </si>
  <si>
    <t>Anchortext 152</t>
  </si>
  <si>
    <t>URL 152 (bài đặt link)</t>
  </si>
  <si>
    <t>Anchortext 153</t>
  </si>
  <si>
    <t>URL 153 (bài đặt link)</t>
  </si>
  <si>
    <t>Anchortext 154</t>
  </si>
  <si>
    <t>https://techcombank.com/thong-tin/blog/vay-the-chap-so-hong</t>
  </si>
  <si>
    <t>URL 154 (bài đặt link)</t>
  </si>
  <si>
    <t>Anchortext 155</t>
  </si>
  <si>
    <t>Mở rộng chủ đề (theo plan): bài nhắc vay, thế chấp, hạn mức. Liên quan rộng – đọc bài trước khi chèn.</t>
  </si>
  <si>
    <t>URL 155 (bài đặt link)</t>
  </si>
  <si>
    <t>https://techcombank.com/thong-tin/blog/day-so-phat-tai-phat-loc</t>
  </si>
  <si>
    <t>Anchortext 156</t>
  </si>
  <si>
    <t>URL 156 (bài đặt link)</t>
  </si>
  <si>
    <t>Anchortext 157</t>
  </si>
  <si>
    <t>URL 157 (bài đặt link)</t>
  </si>
  <si>
    <t>Anchortext 158</t>
  </si>
  <si>
    <t>https://techcombank.com/thong-tin/blog/mua-nha-tra-gop-dua-truoc-100-trieu</t>
  </si>
  <si>
    <t>URL 158 (bài đặt link)</t>
  </si>
  <si>
    <t>Anchortext 159</t>
  </si>
  <si>
    <t>URL 159 (bài đặt link)</t>
  </si>
  <si>
    <t>Anchortext 160</t>
  </si>
  <si>
    <t>URL 160 (bài đặt link)</t>
  </si>
  <si>
    <t>https://techcombank.com/thong-tin/blog/kiem-tra-thue-thu-nhap-ca-nhan</t>
  </si>
  <si>
    <t>Anchortext 161</t>
  </si>
  <si>
    <t>https://techcombank.com/thong-tin/blog/vay-300-trieu</t>
  </si>
  <si>
    <t>URL 161 (bài đặt link)</t>
  </si>
  <si>
    <t>Anchortext 162</t>
  </si>
  <si>
    <t>Mở rộng chủ đề (theo plan): bài nhắc vay, trả góp, giải ngân. Liên quan rộng – đọc bài trước khi chèn.</t>
  </si>
  <si>
    <t>URL 162 (bài đặt link)</t>
  </si>
  <si>
    <t>Anchortext 163</t>
  </si>
  <si>
    <t>URL 163 (bài đặt link)</t>
  </si>
  <si>
    <t>Anchortext 164</t>
  </si>
  <si>
    <t>URL 164 (bài đặt link)</t>
  </si>
  <si>
    <t>Anchortext 165</t>
  </si>
  <si>
    <t>URL 165 (bài đặt link)</t>
  </si>
  <si>
    <t>Anchortext 166</t>
  </si>
  <si>
    <t>https://techcombank.com/thong-tin/blog/ten-dang-nhap-tai-khoan-ngan-hang-la-gi</t>
  </si>
  <si>
    <t>URL 166 (bài đặt link)</t>
  </si>
  <si>
    <t>Anchortext 167</t>
  </si>
  <si>
    <t>https://techcombank.com/thong-tin/blog/vay-100-trieu</t>
  </si>
  <si>
    <t>URL 167 (bài đặt link)</t>
  </si>
  <si>
    <t>Anchortext 168</t>
  </si>
  <si>
    <t>URL 168 (bài đặt link)</t>
  </si>
  <si>
    <t>Anchortext 169</t>
  </si>
  <si>
    <t>URL 169 (bài đặt link)</t>
  </si>
  <si>
    <t>https://techcombank.com/thong-tin/blog/vay-30-trieu</t>
  </si>
  <si>
    <t>Anchortext 170</t>
  </si>
  <si>
    <t>URL 170 (bài đặt link)</t>
  </si>
  <si>
    <t>Anchortext 171</t>
  </si>
  <si>
    <t>URL 171 (bài đặt link)</t>
  </si>
  <si>
    <t>Anchortext 172</t>
  </si>
  <si>
    <t>URL 172 (bài đặt link)</t>
  </si>
  <si>
    <t>Anchortext 173</t>
  </si>
  <si>
    <t>URL 173 (bài đặt link)</t>
  </si>
  <si>
    <t>https://techcombank.com/thong-tin/blog/thue-thu-nhap-ca-nhan</t>
  </si>
  <si>
    <t>Anchortext 174</t>
  </si>
  <si>
    <t>URL 174 (bài đặt link)</t>
  </si>
  <si>
    <t>Anchortext 175</t>
  </si>
  <si>
    <t>URL 175 (bài đặt link)</t>
  </si>
  <si>
    <t>Anchortext 176</t>
  </si>
  <si>
    <t>https://techcombank.com/thong-tin/blog/vay-the-chap-kinh-doanh</t>
  </si>
  <si>
    <t>URL 176 (bài đặt link)</t>
  </si>
  <si>
    <t>Anchortext 177</t>
  </si>
  <si>
    <t>https://techcombank.com/thong-tin/blog/rut-tien-bang-ma-qr-la-gi-cach-thuc-hien-nhu-the-nao</t>
  </si>
  <si>
    <t>URL 177 (bài đặt link)</t>
  </si>
  <si>
    <t>Anchortext 178</t>
  </si>
  <si>
    <t>URL 178 (bài đặt link)</t>
  </si>
  <si>
    <t>Anchortext 179</t>
  </si>
  <si>
    <t>URL 179 (bài đặt link)</t>
  </si>
  <si>
    <t>Anchortext 180</t>
  </si>
  <si>
    <t>URL 180 (bài đặt link)</t>
  </si>
  <si>
    <t>Anchortext 181</t>
  </si>
  <si>
    <t>https://techcombank.com/thong-tin/blog/cach-quet-nfc-cccd-tren-iphone</t>
  </si>
  <si>
    <t>URL 181 (bài đặt link)</t>
  </si>
  <si>
    <t>Anchortext 182</t>
  </si>
  <si>
    <t>URL 182 (bài đặt link)</t>
  </si>
  <si>
    <t>Anchortext 183</t>
  </si>
  <si>
    <t>URL 183 (bài đặt link)</t>
  </si>
  <si>
    <t>Anchortext 184</t>
  </si>
  <si>
    <t>URL 184 (bài đặt link)</t>
  </si>
  <si>
    <t>https://techcombank.com/thong-tin/blog/eco-card</t>
  </si>
  <si>
    <t>Anchortext 185</t>
  </si>
  <si>
    <t>URL 185 (bài đặt link)</t>
  </si>
  <si>
    <t>Anchortext 186</t>
  </si>
  <si>
    <t>https://techcombank.com/thong-tin/blog/vay-200-trieu</t>
  </si>
  <si>
    <t>URL 186 (bài đặt link)</t>
  </si>
  <si>
    <t>Mở rộng chủ đề (theo plan): bài nhắc vay, tín chấp, trả góp. Liên quan rộng – đọc bài trước khi chèn.</t>
  </si>
  <si>
    <t>Anchortext 187</t>
  </si>
  <si>
    <t>URL 187 (bài đặt link)</t>
  </si>
  <si>
    <t>Anchortext 188</t>
  </si>
  <si>
    <t>https://techcombank.com/thong-tin/blog/vay-thau-chi-bang-so-tiet-kiem</t>
  </si>
  <si>
    <t>URL 188 (bài đặt link)</t>
  </si>
  <si>
    <t>https://techcombank.com/thong-tin/blog/cic-la-gi</t>
  </si>
  <si>
    <t>Mở rộng chủ đề (theo plan): bài nhắc vay, thấu chi, hạn mức. Liên quan rộng – đọc bài trước khi chèn.</t>
  </si>
  <si>
    <t>Anchortext 189</t>
  </si>
  <si>
    <t>URL 189 (bài đặt link)</t>
  </si>
  <si>
    <t>Anchortext 190</t>
  </si>
  <si>
    <t>URL 190 (bài đặt link)</t>
  </si>
  <si>
    <t>https://techcombank.com/thong-tin/blog/vay-tra-gop</t>
  </si>
  <si>
    <t>Anchortext 191</t>
  </si>
  <si>
    <t>URL 191 (bài đặt link)</t>
  </si>
  <si>
    <t>Anchortext 192</t>
  </si>
  <si>
    <t>https://techcombank.com/thong-tin/blog/rut-tien-mat-tu-the-tin-dung</t>
  </si>
  <si>
    <t>URL 192 (bài đặt link)</t>
  </si>
  <si>
    <t>https://techcombank.com/thong-tin/blog/lai-suat-vay-the-chap</t>
  </si>
  <si>
    <t>Anchortext 193</t>
  </si>
  <si>
    <t>URL 193 (bài đặt link)</t>
  </si>
  <si>
    <t>Anchortext 194</t>
  </si>
  <si>
    <t>https://techcombank.com/thong-tin/blog/lai-suat-vay-thau-chi</t>
  </si>
  <si>
    <t>URL 194 (bài đặt link)</t>
  </si>
  <si>
    <t>Anchortext 195</t>
  </si>
  <si>
    <t>URL 195 (bài đặt link)</t>
  </si>
  <si>
    <t>Business Account</t>
  </si>
  <si>
    <t>Anchortext 196</t>
  </si>
  <si>
    <t>URL 196 (bài đặt link)</t>
  </si>
  <si>
    <t>https://techcombank.com/thong-tin/blog/lam-the-tin-dung</t>
  </si>
  <si>
    <t>Anchortext 197</t>
  </si>
  <si>
    <t>URL 197 (bài đặt link)</t>
  </si>
  <si>
    <t>Anchortext 198</t>
  </si>
  <si>
    <t>URL 198 (bài đặt link)</t>
  </si>
  <si>
    <t>Anchortext 199</t>
  </si>
  <si>
    <t>URL 199 (bài đặt link)</t>
  </si>
  <si>
    <t>Anchortext 200</t>
  </si>
  <si>
    <t>https://techcombank.com/khach-hang-ca-nhan/chi-tieu/the/the-tin-dung/techcombank-everyday</t>
  </si>
  <si>
    <t>URL 200 (bài đặt link)</t>
  </si>
  <si>
    <t>https://techcombank.com/thong-tin/blog/the-tin-dung-hoan-tien</t>
  </si>
  <si>
    <t>https://techcombank.com/thong-tin/blog/cach-huy-the-tin-dung</t>
  </si>
  <si>
    <t>https://techcombank.com/thong-tin/blog/xep-hang-tin-dung</t>
  </si>
  <si>
    <t>https://techcombank.com/thong-tin/blog/cach-thanh-toan-the-tin-dung</t>
  </si>
  <si>
    <t>https://techcombank.com/thong-tin/blog/chung-chi-tien-gui-la-gi</t>
  </si>
  <si>
    <t>https://techcombank.com/thong-tin/blog/lai-suat-chung-chi-tien-gui-cac-ngan-hang</t>
  </si>
  <si>
    <t>https://techcombank.com/thong-tin/blog/1-te-bang-bao-nhieu-tien-viet-nam</t>
  </si>
  <si>
    <t>https://techcombank.com/thong-tin/blog/1-dong-do-la-my-bang-bao-nhieu-tien-viet-nam</t>
  </si>
  <si>
    <t>https://techcombank.com/thong-tin/blog/tien-nhat</t>
  </si>
  <si>
    <t>Chưa hoàn thành</t>
  </si>
  <si>
    <t>https://techcombank.com/thong-tin/blog/1-yen-bang-bao-nhieu-tien-viet-nam</t>
  </si>
  <si>
    <t>https://techcombank.com/thong-tin/blog/lien-ket-tai-khoan-ngan-hang-voi-etax-mobile</t>
  </si>
  <si>
    <t>https://techcombank.com/thong-tin/blog/1-won-bang-bao-nhieu-tien-viet</t>
  </si>
  <si>
    <t>https://techcombank.com/thong-tin/blog/tien-dai-loan</t>
  </si>
  <si>
    <t>đóng thuế đất online</t>
  </si>
  <si>
    <t>Liên kết tài khoản ngân hàng với eTax Mobile là bước bắt buộc để nộp thuế đất online qua ngân hàng.</t>
  </si>
  <si>
    <t>https://techcombank.com/thong-tin/blog/1-man-bang-bao-nhieu-tien-viet</t>
  </si>
  <si>
    <t>https://techcombank.com/thong-tin/blog/tien-thai-lan</t>
  </si>
  <si>
    <t>nộp thuế đất online</t>
  </si>
  <si>
    <t>https://techcombank.com/thong-tin/blog/1-trieu-do-bang-bao-nhieu-tien-viet</t>
  </si>
  <si>
    <t>Bài hướng dẫn nộp thuế online chung — có thể dẫn sang trường hợp cụ thể là thuế đất.</t>
  </si>
  <si>
    <t>https://techcombank.com/thong-tin/blog/ho-so-thu-tuc-xoa-the-chap</t>
  </si>
  <si>
    <t>https://techcombank.com/thong-tin/blog/1000-won-bang-bao-nhieu-tien-viet</t>
  </si>
  <si>
    <t>https://techcombank.com/thong-tin/blog/cach-nhan-tien-tu-nuoc-ngoai-ve-viet-nam</t>
  </si>
  <si>
    <t>cách nộp thuế đất online</t>
  </si>
  <si>
    <t>Bài thủ tục sổ đỏ/đất đai; chèn được nếu có đoạn nhắc nghĩa vụ tài chính về đất. (Liên quan yếu – bản chặt đã loại.)</t>
  </si>
  <si>
    <t>https://techcombank.com/thong-tin/blog/quyet-toan-thue-thu-nhap-ca-nhan</t>
  </si>
  <si>
    <t>Nhắc: nộp thuế, etax.</t>
  </si>
  <si>
    <t>Năm cũ: không ghi năm.</t>
  </si>
  <si>
    <t>https://techcombank.com/thong-tin/blog/tra-cuu-no-thue-hai-quan</t>
  </si>
  <si>
    <t>https://techcombank.com/thong-tin/blog/doi-tien-do-o-dau</t>
  </si>
  <si>
    <t>Nhắc: nộp thuế.</t>
  </si>
  <si>
    <t>https://techcombank.com/thong-tin/blog/tra-cuu-no-thue-ho-kinh-doanh</t>
  </si>
  <si>
    <t>https://techcombank.com/thong-tin/blog/vay-ngan-hang-1-ty-moi-thang-tra-bao-nhieu</t>
  </si>
  <si>
    <t>Nhắc: etax.</t>
  </si>
  <si>
    <t>https://techcombank.com/thong-tin/blog/truy-thu-thue-ho-kinh-doanh</t>
  </si>
  <si>
    <t>https://techcombank.com/thong-tin/blog/traveloka-voucher</t>
  </si>
  <si>
    <t>https://techcombank.com/thong-tin/blog/kiem-tra-thue-ho-kinh-doanh</t>
  </si>
  <si>
    <t>https://techcombank.com/thong-tin/blog/ho-kinh-doanh-dong-thue-nhu-nao</t>
  </si>
  <si>
    <t>https://techcombank.com/thong-tin/blog/tra-cuu-no-thue-ca-nhan</t>
  </si>
  <si>
    <t>https://techcombank.com/thong-tin/blog/mo-hinh-kinh-doanh-la-gi</t>
  </si>
  <si>
    <t>https://techcombank.com/thong-tin/blog/hoan-thue-thu-nhap-ca-nhan</t>
  </si>
  <si>
    <t>https://techcombank.com/thong-tin/blog/gui-ma-qr-ngan-hang</t>
  </si>
  <si>
    <t>https://techcombank.com/thong-tin/blog/mo-tai-khoan-ho-kinh-doanh</t>
  </si>
  <si>
    <t>https://techcombank.com/thong-tin/blog/ke-khai-thue-ho-kinh-doanh-ca-the-online</t>
  </si>
  <si>
    <t>https://techcombank.com/thong-tin/blog/cach-tinh-thue-ho-kinh-doanh-nho-le</t>
  </si>
  <si>
    <t>https://techcombank.com/thong-tin/blog/thue-thuong-mai-dien-tu</t>
  </si>
  <si>
    <t>https://techcombank.com/thong-tin/blog/ke-khai-thue-doanh-nghiep</t>
  </si>
  <si>
    <t>https://techcombank.com/thong-tin/blog/lai-suat-tiet-kiem</t>
  </si>
  <si>
    <t>https://techcombank.com/thong-tin/blog/cach-tinh-lai-suat-tien-gui-tiet-kiem</t>
  </si>
  <si>
    <t>https://techcombank.com/thong-tin/blog/rut-tien-tiet-kiem-truoc-thoi-han</t>
  </si>
  <si>
    <t>https://techcombank.com/thong-tin/blog/nop-thue-hai-quan</t>
  </si>
  <si>
    <t>https://techcombank.com/thong-tin/blog/so-tiet-kiem-ngan-hang</t>
  </si>
  <si>
    <t>https://techcombank.com/thong-tin/blog/tien-chuyen-vao-tai-khoan-co-bi-tinh-thue-khong</t>
  </si>
  <si>
    <t>https://techcombank.com/thong-tin/blog/cach-tiet-kiem-tien</t>
  </si>
  <si>
    <t>https://techcombank.com/thong-tin/blog/rui-ro-khi-gui-tiet-kiem-online</t>
  </si>
  <si>
    <t>https://techcombank.com/cong-cu-tien-ich/cong-cu-tinh-toan/bang-tinh-lai-suat-vay</t>
  </si>
  <si>
    <t>Nhắc: sổ đỏ.</t>
  </si>
  <si>
    <t>https://techcombank.com/thong-tin/blog/han-muc-vay-the-chap-so-do</t>
  </si>
  <si>
    <t>https://techcombank.com/cong-cu-tien-ich/cong-cu-tinh-toan/bang-tinh-lai-suat-tiet-kiem</t>
  </si>
  <si>
    <t>Mở rộng chủ đề (theo plan): bài nhắc nộp thuế, thuế, etax.</t>
  </si>
  <si>
    <t>https://techcombank.com/thong-tin/blog/app-vay-tien-nhanh</t>
  </si>
  <si>
    <t>https://techcombank.com/thong-tin/blog/tim-hieu-ve-chinh-sach-thue-moi</t>
  </si>
  <si>
    <t>Mở rộng chủ đề (theo plan): bài nhắc thuế, doanh nghiệp, hóa đơn. Liên quan rộng – đọc bài trước khi chèn.</t>
  </si>
  <si>
    <t>https://techcombank.com/thong-tin/blog/chuyen-doi-ho-kinh-doanh-len-doanh-nghiep</t>
  </si>
  <si>
    <t>Mở rộng chủ đề (theo plan): bài nhắc thuế, doanh nghiệp, kế toán. Liên quan rộng – đọc bài trước khi chèn.</t>
  </si>
  <si>
    <t>https://techcombank.com/thong-tin/blog/nen-thanh-lap-ho-kinh-doanh-ke-khai-hay-doanh-nghiep</t>
  </si>
  <si>
    <t>Mở rộng chủ đề (theo plan): bài nhắc thuế, doanh nghiệp, kê khai. Liên quan rộng – đọc bài trước khi chèn.</t>
  </si>
  <si>
    <t>https://techcombank.com/thong-tin/blog/lai-suat-vay-ngan-hang</t>
  </si>
  <si>
    <t>https://techcombank.com/thong-tin/blog/giai-dap-ve-thue-doanh-nghiep</t>
  </si>
  <si>
    <t>https://techcombank.com/thong-tin/blog/dong-ma-so-thue-ho-kinh-doanh</t>
  </si>
  <si>
    <t>Mở rộng chủ đề (theo plan): bài nhắc thuế, hộ kinh doanh, mã số thuế. Liên quan rộng – đọc bài trước khi chèn.</t>
  </si>
  <si>
    <t>https://techcombank.com/thong-tin/blog/khach-hang-vip-bat-dong-san</t>
  </si>
  <si>
    <t>Mở rộng chủ đề (theo plan): bài nhắc bất động sản. Liên quan rộng – đọc bài trước khi chèn.</t>
  </si>
  <si>
    <t>https://techcombank.com/thong-tin/blog/cach-dau-tu</t>
  </si>
  <si>
    <t>https://techcombank.com/thong-tin/blog/vay-thau-chi-la-gi</t>
  </si>
  <si>
    <t>Mở rộng chủ đề (theo plan): bài nhắc đất. Liên quan rộng – đọc bài trước khi chèn.</t>
  </si>
  <si>
    <t>https://techcombank.com/thong-tin/blog/chuyen-gia-du-doan-gia-bat-dong-san-2025-va-cac-no-luc-tu-ngan-hang</t>
  </si>
  <si>
    <t>Title/URL còn năm cũ: câu chèn không ghi năm.</t>
  </si>
  <si>
    <t>https://techcombank.com/thong-tin/blog/thue-phi-co-dinh-khi-chuyen-doi-tu-ho-kinh-doanh-len-doanh-nghiep</t>
  </si>
  <si>
    <t>Mở rộng chủ đề (theo plan): bài nhắc thuế, doanh nghiệp, hộ kinh doanh. Liên quan rộng – đọc bài trước khi chèn.</t>
  </si>
  <si>
    <t>https://techcombank.com/thong-tin/blog/kiem-tra-no-xau</t>
  </si>
  <si>
    <t>https://techcombank.com/thong-tin/blog/ho-kinh-doanh-ca-the</t>
  </si>
  <si>
    <t>https://techcombank.com/thong-tin/blog/nhung-chi-phi-khong-duoc-tru-khi-tinh-thue-tndn</t>
  </si>
  <si>
    <t>https://techcombank.com/thong-tin/blog/hoa-don-dien-tu</t>
  </si>
  <si>
    <t>Mở rộng chủ đề (theo plan): bài nhắc thuế, hóa đơn, hộ kinh doanh. Liên quan rộng – đọc bài trước khi chèn.</t>
  </si>
  <si>
    <t>https://techcombank.com/thong-tin/blog/one-stop-shop</t>
  </si>
  <si>
    <t>https://techcombank.com/thong-tin/blog/cac-sai-lam-pho-bien-khi-chuyen-doi-ho-kinh-doanh-len-sme</t>
  </si>
  <si>
    <t>https://techcombank.com/thong-tin/blog/cach-dang-ky-ma-so-thue-ho-kinh-doanh-online</t>
  </si>
  <si>
    <t>https://techcombank.com/thong-tin/blog/kiem-tra-ma-so-thue-doanh-nghiep</t>
  </si>
  <si>
    <t>Mở rộng chủ đề (theo plan): bài nhắc thuế, doanh nghiệp, mã số thuế. Liên quan rộng – đọc bài trước khi chèn.</t>
  </si>
  <si>
    <t>https://techcombank.com/thong-tin/blog/tra-cuu-ma-so-thue-ho-kinh-doanh</t>
  </si>
  <si>
    <t>https://techcombank.com/thong-tin/blog/quyet-toan-thue-doanh-nghiep</t>
  </si>
  <si>
    <t>Mở rộng chủ đề (theo plan): bài nhắc thuế, doanh nghiệp, quyết toán. Liên quan rộng – đọc bài trước khi chèn.</t>
  </si>
  <si>
    <t>Mở rộng chủ đề (theo plan): bài nhắc thuế, kê khai, hộ kinh doanh. Liên quan rộng – đọc bài trước khi chèn.</t>
  </si>
  <si>
    <t>https://techcombank.com/thong-tin/blog/hoan-thue-doanh-nghiep</t>
  </si>
  <si>
    <t>Mở rộng chủ đề (theo plan): bài nhắc doanh nghiệp, công ty. Liên quan rộng – đọc bài trước khi chèn.</t>
  </si>
  <si>
    <t>https://techcombank.com/thong-tin/blog/kinh-nghiem-chuyen-doi-tu-ho-kinh-doanh-len-doanh-nghiep</t>
  </si>
  <si>
    <t>Mở rộng chủ đề (theo plan): bài nhắc doanh nghiệp, hộ kinh doanh. Liên quan rộng – đọc bài trước khi chèn.</t>
  </si>
  <si>
    <t>https://techcombank.com/thong-tin/blog/top-phan-mem-ban-hang</t>
  </si>
  <si>
    <t>https://techcombank.com/thong-tin/blog/dieu-kien-thanh-lap-doanh-nghiep</t>
  </si>
  <si>
    <t>https://techcombank.com/thong-tin/blog/dang-ky-thue-ho-kinh-doanh-ca-the-online</t>
  </si>
  <si>
    <t>Mở rộng chủ đề (theo plan): bài nhắc thuế, hộ kinh doanh. Liên quan rộng – đọc bài trước khi chèn.</t>
  </si>
  <si>
    <t>https://techcombank.com/thong-tin/blog/luat-thuong-mai-dien-tu</t>
  </si>
  <si>
    <t>https://techcombank.com/thong-tin/blog/ho-so-dang-ky-thanh-lap-doanh-nghiep</t>
  </si>
  <si>
    <t>https://techcombank.com/thong-tin/blog/thue-khoan-ho-kinh-doanh-la-gi</t>
  </si>
  <si>
    <t>https://techcombank.com/thong-tin/blog/doanh-nghiep-moi-thanh-lap-duoc-uu-dai-gi</t>
  </si>
  <si>
    <t>Mở rộng chủ đề (theo plan): bài nhắc thuế, doanh nghiệp. Liên quan rộng – đọc bài trước khi chèn.</t>
  </si>
  <si>
    <t>https://techcombank.com/thong-tin/blog/phat-cham-dang-ky-thue-ho-kinh-doanh</t>
  </si>
  <si>
    <t>https://techcombank.com/thong-tin/blog/thu-tuc-thanh-lap-doanh-nghiep</t>
  </si>
  <si>
    <t>https://techcombank.com/thong-tin/blog/chi-phi-mo-tai-khoan-ngan-hang-cho-cong-ty</t>
  </si>
  <si>
    <t>https://techcombank.com/thong-tin/blog/thue-doanh-nghiep-2025</t>
  </si>
  <si>
    <t>https://techcombank.com/thong-tin/blog/khoi-nghiep-truoc-chinh-sach-thue-moi</t>
  </si>
  <si>
    <t>https://techcombank.com/thong-tin/blog/dong-tai-khoan-ngan-hang-cong-ty</t>
  </si>
  <si>
    <t>https://techcombank.com/thong-tin/blog/no-xau-la-gi</t>
  </si>
  <si>
    <t>https://techcombank.com/thong-tin/blog/luu-y-khi-chuyen-tien-vao-tai-khoan-cong-ty</t>
  </si>
  <si>
    <t>https://techcombank.com/thong-tin/blog/hieu-hiet-ve-tuan-thu-thue-cho-cac-doanh-nghiep-khoi-nghiep</t>
  </si>
  <si>
    <t>https://techcombank.com/thong-tin/blog/vay-tin-chap-khong-tra-duoc-co-sao-khong</t>
  </si>
  <si>
    <t>https://techcombank.com/thong-tin/blog/khai-bao-tai-khoan-ngan-hang-voi-co-quan-thue</t>
  </si>
  <si>
    <t>https://techcombank.com/thong-tin/blog/hoa-don-dien-tu-ho-kinh-doanh</t>
  </si>
  <si>
    <t>Mở rộng chủ đề (theo plan): bài nhắc hóa đơn, hộ kinh doanh. Liên quan rộng – đọc bài trước khi chèn.</t>
  </si>
  <si>
    <t>https://techcombank.com/thong-tin/blog/may-tinh-tien</t>
  </si>
  <si>
    <t>https://techcombank.com/thong-tin/blog/phan-mem-xuat-hoa-don-dien-tu</t>
  </si>
  <si>
    <t>https://techcombank.com/thong-tin/blog/phuong-phap-dau-tu-chung-chi-quy</t>
  </si>
  <si>
    <t>https://techcombank.com/thong-tin/blog/nop-tien-mat-vao-tai-khoan-cong-ty</t>
  </si>
  <si>
    <t>https://techcombank.com/thong-tin/blog/ho-kinh-doanh-la-gi</t>
  </si>
  <si>
    <t>https://techcombank.com/thong-tin/blog/thanh-lap-ho-kinh-doanh-ca-the</t>
  </si>
  <si>
    <t>https://techcombank.com/thong-tin/blog/thue-ho-kinh-doanh-2025</t>
  </si>
  <si>
    <t>https://techcombank.com/thong-tin/blog/mo-tai-khoan-doanh-nghiep</t>
  </si>
  <si>
    <t>Số URL đã có ít nhất 1 bài blog chèn link</t>
  </si>
  <si>
    <t>https://techcombank.com/thong-tin/blog/loi-ich-khi-ho-kinh-doanh-chuyen-len-doanh-nghiep</t>
  </si>
  <si>
    <t>Số URL chưa có bài blog nào chèn link</t>
  </si>
  <si>
    <t>Số URL có link trong thân bài blog</t>
  </si>
  <si>
    <t>https://techcombank.com/thong-tin/blog/tiem-nang-chuyen-doi-tu-ho-kinh-doanh-len-doanh-nghiep-sme</t>
  </si>
  <si>
    <t>https://techcombank.com/thong-tin/blog/cach-tra-cuu-hoa-don-dien-tu</t>
  </si>
  <si>
    <t>Mở rộng chủ đề (theo plan): bài nhắc thuế, hóa đơn. Liên quan rộng – đọc bài trước khi chèn.</t>
  </si>
  <si>
    <t>https://techcombank.com/thong-tin/blog/due-diligence</t>
  </si>
  <si>
    <t>https://techcombank.com/thong-tin/blog/giay-phep-kinh-doanh</t>
  </si>
  <si>
    <t>https://techcombank.com/thong-tin/blog/dang-ky-kinh-doanh-la-gi</t>
  </si>
  <si>
    <t>https://techcombank.com/thong-tin/blog/thay-doi-dia-chi-ho-kinh-doanh</t>
  </si>
  <si>
    <t>https://techcombank.com/thong-tin/blog/chuan-bi-cho-doanh-nghiep-khoi-nghiep-truoc-nhung-thay-doi-ve-thue</t>
  </si>
  <si>
    <t>https://techcombank.com/thong-tin/blog/dieu-kien-vay-von-ngan-hang</t>
  </si>
  <si>
    <t>https://techcombank.com/thong-tin/blog/luu-y-khi-chuyen-doi-tu-ho-kinh-doanh-len-doanh-nghiep</t>
  </si>
  <si>
    <t>https://techcombank.com/thong-tin/blog/cach-kiem-tra-tai-khoan-ngan-hang-cua-cong-ty</t>
  </si>
  <si>
    <t>Mở rộng chủ đề (theo plan): bài nhắc thuế, công ty. Liên quan rộng – đọc bài trước khi chèn.</t>
  </si>
  <si>
    <t>https://techcombank.com/thong-tin/blog/dang-ky-ma-so-thue-ca-nhan</t>
  </si>
  <si>
    <t>Mở rộng chủ đề (theo plan): bài nhắc thuế, mã số thuế. Liên quan rộng – đọc bài trước khi chèn.</t>
  </si>
  <si>
    <t>https://techcombank.com/thong-tin/blog/cach-tao-ma-qr</t>
  </si>
  <si>
    <t>https://techcombank.com/thong-tin/blog/chuyen-doi-hoa-don-dien-tu</t>
  </si>
  <si>
    <t>https://techcombank.com/thong-tin/blog/chinh-sach-thue-moi</t>
  </si>
  <si>
    <t>https://techcombank.com/thong-tin/blog/cach-su-dung-tai-khoan-cong-ty</t>
  </si>
  <si>
    <t>Mở rộng chủ đề (theo plan): bài nhắc kế toán, công ty. Liên quan rộng – đọc bài trước khi chèn.</t>
  </si>
  <si>
    <t>https://techcombank.com/thong-tin/blog/nhung-ho-kinh-doanh-duoc-mien-thue</t>
  </si>
  <si>
    <t>https://techcombank.com/thong-tin/blog/lai-suat-vay-kinh-doanh</t>
  </si>
  <si>
    <t>https://techcombank.com/thong-tin/blog/bao-lanh-bao-hanh</t>
  </si>
  <si>
    <t>Mở rộng chủ đề (theo plan): bài nhắc doanh nghiệp. Liên quan rộng – đọc bài trước khi chèn.</t>
  </si>
  <si>
    <t>https://techcombank.com/thong-tin/blog/bao-lanh-ngan-hang-infographic</t>
  </si>
  <si>
    <t>https://techcombank.com/thong-tin/blog/tin-dung-doanh-nghiep</t>
  </si>
  <si>
    <t>https://techcombank.com/thong-tin/blog/vay-bo-sung-von-luu-dong</t>
  </si>
  <si>
    <t>https://techcombank.com/thong-tin/blog/roa</t>
  </si>
  <si>
    <t>https://techcombank.com/thong-tin/blog/ebitda-la-gi</t>
  </si>
  <si>
    <t>https://techcombank.com/thong-tin/blog/vay-von-doanh-nghiep-nho</t>
  </si>
  <si>
    <t>https://techcombank.com/thong-tin/blog/von-luu-dong-la-gi</t>
  </si>
  <si>
    <t>Mở rộng chủ đề (theo plan): bài nhắc kế toán. Liên quan rộng – đọc bài trước khi chèn.</t>
  </si>
  <si>
    <t>https://techcombank.com/thong-tin/blog/bao-lanh-thuc-hien-hop-dong</t>
  </si>
  <si>
    <t>nộp thuế online</t>
  </si>
  <si>
    <t>Bài liên kết tài khoản với eTax Mobile — người đọc làm xong sẽ cần bước nộp thuế.</t>
  </si>
  <si>
    <t>nộp thuế hộ trên etax</t>
  </si>
  <si>
    <t>Quyết toán TNCN online → nếu còn thiếu thuế phải nộp qua cổng thuế điện tử.</t>
  </si>
  <si>
    <t>Title/URL còn năm cũ (2025): nên cập nhật; câu chèn không ghi năm.</t>
  </si>
  <si>
    <t>Kê khai thuế HKD online, sau khi kê khai là bước nộp thuế điện tử.</t>
  </si>
  <si>
    <t>Làm thủ tục hoàn thuế trên eTax Mobile — cùng công cụ, chèn ở đoạn giới thiệu eTax.</t>
  </si>
  <si>
    <t>Bài nộp thuế hải quan online — có thể dẫn sang hướng dẫn nộp thuế điện tử nội địa.</t>
  </si>
  <si>
    <t>Nhắc: quyết toán thuế, hoàn thuế.</t>
  </si>
  <si>
    <t>Nhắc: etax, thuế điện tử.</t>
  </si>
  <si>
    <t>Nhắc: nộp thuế, etax, thuế điện tử.</t>
  </si>
  <si>
    <t>Nhắc: kê khai thuế.</t>
  </si>
  <si>
    <t>nộp thuế đất qua ngân hàng</t>
  </si>
  <si>
    <t>Nhắc: quyết toán thuế.</t>
  </si>
  <si>
    <t>Nhắc: nộp thuế, thuế điện tử, kê khai thuế.</t>
  </si>
  <si>
    <t>Nhắc: nộp thuế, thuế điện tử.</t>
  </si>
  <si>
    <t>thuế thu nhập doanh nghiệp</t>
  </si>
  <si>
    <t>Bài về chi phí không được trừ khi tính thuế TNDN — nhắc trực tiếp TNDN, người đọc cần biết thuế suất.</t>
  </si>
  <si>
    <t>thuế thu nhập doanh nghiệp 2026</t>
  </si>
  <si>
    <t>Quyết toán thuế DN gồm quyết toán TNDN — đoạn liệt kê loại thuế phải quyết toán chèn được.</t>
  </si>
  <si>
    <t>Bài ưu đãi thuế cho DN mới — ưu đãi chủ yếu là miễn/giảm thuế TNDN.</t>
  </si>
  <si>
    <t>https://techcombank.com/thong-tin/blog/loi-nhuan</t>
  </si>
  <si>
    <t>Bài lợi nhuận và công thức tính — đoạn lợi nhuận sau thuế chèn được link thuế TNDN.</t>
  </si>
  <si>
    <t>Hoàn thuế DN; có thể nhắc trường hợp nộp thừa thuế TNDN.</t>
  </si>
  <si>
    <t>Nhắc: tndn, thu nhập doanh nghiệp, thuế doanh nghiệp.</t>
  </si>
  <si>
    <t>Nhắc: thuế doanh nghiệp.</t>
  </si>
  <si>
    <t>https://techcombank.com/thong-tin/blog/loi-nhuan-rong</t>
  </si>
  <si>
    <t>Nhắc: lợi nhuận.</t>
  </si>
  <si>
    <t>Nhắc: tndn, thuế doanh nghiệp.</t>
  </si>
  <si>
    <t>Nhắc: tndn.</t>
  </si>
  <si>
    <t>https://techcombank.com/thong-tin/blog/thi-truong-trai-phieu-am-tro-lai-nha-dau-tu-san-sang-cho-nhung-co-hoi-sinh-loi-moi</t>
  </si>
  <si>
    <t>https://techcombank.com/thong-tin/blog/kinh-nghiem-mua-vang-tich-tru</t>
  </si>
  <si>
    <t>https://techcombank.com/thong-tin/blog/quan-ly-tai-chinh-doanh-nghiep-la-gi</t>
  </si>
  <si>
    <t>https://techcombank.com/thong-tin/blog/nha-dau-tu-giao-dich-trai-phieu-truc-tuyen-tang-manh-tro-lai</t>
  </si>
  <si>
    <t>https://techcombank.com/thong-tin/blog/gia-chung-chi-quy-la-gi</t>
  </si>
  <si>
    <t>https://techcombank.com/thong-tin/blog/lai-suat-chung-chi-quy</t>
  </si>
  <si>
    <t>https://techcombank.com/thong-tin/blog/ho-kinh-doanh-can-gi-o-tai-khoan-ngan-hang</t>
  </si>
  <si>
    <t>https://techcombank.com/thong-tin/blog/danh-muc-dau-tu</t>
  </si>
  <si>
    <t>https://techcombank.com/thong-tin/blog/mua-chung-chi-quy</t>
  </si>
  <si>
    <t>https://techcombank.com/thong-tin/blog/cach-tinh-loi-nhuan-chung-chi-tien-gui</t>
  </si>
  <si>
    <t>https://techcombank.com/thong-tin/blog/dau-co-va-dau-tu</t>
  </si>
  <si>
    <t>https://techcombank.com/thong-tin/blog/co-50-trieu-nen-mua-vang-hay-gui-tiet-kiem</t>
  </si>
  <si>
    <t>https://techcombank.com/thong-tin/blog/toi-uu-hoa-chi-phi-trong-doanh-nghiep</t>
  </si>
  <si>
    <t>https://techcombank.com/thong-tin/blog/ngoai-hoi-la-gi</t>
  </si>
  <si>
    <t>Mở rộng chủ đề (theo plan): bài nhắc doanh nghiệp, thuế, kê khai.</t>
  </si>
  <si>
    <t>Mở rộng chủ đề (theo plan): bài nhắc doanh nghiệp, thuế, kế toán.</t>
  </si>
  <si>
    <t>Mở rộng chủ đề (theo plan): bài nhắc doanh nghiệp, thuế, hộ kinh doanh.</t>
  </si>
  <si>
    <t>Mở rộng chủ đề (theo plan): bài nhắc doanh nghiệp, thuế, nộp thuế.</t>
  </si>
  <si>
    <t>Mở rộng chủ đề (theo plan): bài nhắc doanh nghiệp, công ty.</t>
  </si>
  <si>
    <t>Mở rộng chủ đề (theo plan): bài nhắc doanh nghiệp, hộ kinh doanh.</t>
  </si>
  <si>
    <t>Mở rộng chủ đề (theo plan): bài nhắc doanh nghiệp, thuế.</t>
  </si>
  <si>
    <t>URL</t>
  </si>
  <si>
    <t>lãi suất ngân hàng</t>
  </si>
  <si>
    <t>lãi suất ngân hàng hôm nay</t>
  </si>
  <si>
    <t>lãi suất ngân hàng nào cao nhất</t>
  </si>
  <si>
    <t>lãi suất ngân hàng hiện nay</t>
  </si>
  <si>
    <t>lãi suất tiền gửi ngân hàng</t>
  </si>
  <si>
    <t>lãi suất gửi tiết kiệm ngân hàng</t>
  </si>
  <si>
    <t>thuế VAT</t>
  </si>
  <si>
    <t>lãi suất ngân hàng tiền gửi</t>
  </si>
  <si>
    <t>Kê khai thuế DN — thuế GTGT là loại kê khai định kỳ phổ biến nhất.</t>
  </si>
  <si>
    <t>thuế giá trị gia tăng</t>
  </si>
  <si>
    <t>Hoàn thuế DN chủ yếu là hoàn thuế GTGT — người đọc cần hiểu VAT là gì.</t>
  </si>
  <si>
    <t>tra cứu cic miễn phí</t>
  </si>
  <si>
    <t>tra cứu cic</t>
  </si>
  <si>
    <t>kiểm tra cic</t>
  </si>
  <si>
    <t>cic là gì</t>
  </si>
  <si>
    <t>thuế GTGT là gì</t>
  </si>
  <si>
    <t>Hóa đơn điện tử thể hiện thuế GTGT — chèn ở đoạn nói về nội dung hóa đơn.</t>
  </si>
  <si>
    <t>Thuế TMĐT cho HKD gồm thuế GTGT + TNCN — chèn khi nhắc thuế GTGT.</t>
  </si>
  <si>
    <t>vay nhanh</t>
  </si>
  <si>
    <t>Tra cứu hóa đơn điện tử; có đoạn nói thông tin thuế suất GTGT trên hóa đơn thì chèn được. (Liên quan yếu – bản chặt đã loại.)</t>
  </si>
  <si>
    <t>Nhắc: gtgt.</t>
  </si>
  <si>
    <t>Nhắc: hóa đơn.</t>
  </si>
  <si>
    <t>https://techcombank.com/thong-tin/blog/voucher-phuc-long</t>
  </si>
  <si>
    <t>Nhắc: hoá đơn.</t>
  </si>
  <si>
    <t>Nhắc: hóa đơn, hoá đơn.</t>
  </si>
  <si>
    <t>https://techcombank.com/thong-tin/blog/the-tin-dung-co-chuyen-khoan-duoc-khong</t>
  </si>
  <si>
    <t>https://techcombank.com/thong-tin/blog/app-dong-tien-dien-online</t>
  </si>
  <si>
    <t>https://techcombank.com/thong-tin/blog/tra-cuu-hoa-don-nuoc</t>
  </si>
  <si>
    <t>https://techcombank.com/thong-tin/blog/tra-cuu-hoa-don-tien-dien</t>
  </si>
  <si>
    <t>https://techcombank.com/thong-tin/blog/thanh-toan-hoa-don-tieu-dung</t>
  </si>
  <si>
    <t>https://techcombank.com/thong-tin/blog/cach-huy-thanh-toan-tien-dien</t>
  </si>
  <si>
    <t>https://techcombank.com/thong-tin/blog/app-chia-tien</t>
  </si>
  <si>
    <t>Mở rộng chủ đề (theo plan): bài nhắc thuế, doanh nghiệp, nộp thuế. Liên quan rộng – đọc bài trước khi chèn.</t>
  </si>
  <si>
    <t>Mở rộng chủ đề (theo plan): bài nhắc thuế, etax, nộp thuế. Liên quan rộng – đọc bài trước khi chèn.</t>
  </si>
  <si>
    <t>vay</t>
  </si>
  <si>
    <t>vay tiền</t>
  </si>
  <si>
    <t>vay tiền online chuyển khoản ngay</t>
  </si>
  <si>
    <t>app vay</t>
  </si>
  <si>
    <t>vay tiền app</t>
  </si>
  <si>
    <t>app vay tiền</t>
  </si>
  <si>
    <t>app vay nhanh</t>
  </si>
  <si>
    <t>app vay tiền nhanh</t>
  </si>
  <si>
    <t>cách tính lãi suất tiết kiệm ngân hàng</t>
  </si>
  <si>
    <t>cách tính lãi suất ngân hàng</t>
  </si>
  <si>
    <t>tính lãi suất ngân hàng</t>
  </si>
  <si>
    <t>tính lãi suất tiết kiệm</t>
  </si>
  <si>
    <t>tra cứu nợ thuế doanh nghiệp</t>
  </si>
  <si>
    <t>Bài tra mã số thuế DN — tra nợ thuế dùng chính mã số thuế, nhu cầu nối tiếp.</t>
  </si>
  <si>
    <t>kiểm tra nợ thuế doanh nghiệp</t>
  </si>
  <si>
    <t>Cùng intent tra cứu nợ thuế, khác loại thuế — dẫn sang nợ thuế nội địa của DN.</t>
  </si>
  <si>
    <t>tính lãi suất vay ngân hàng</t>
  </si>
  <si>
    <t>tính lãi vay ngân hàng</t>
  </si>
  <si>
    <t>bảng tính lãi suất vay ngân hàng</t>
  </si>
  <si>
    <t>tra cứu nợ thuế theo mã số thuế</t>
  </si>
  <si>
    <t>Trước/sau quyết toán DN cần kiểm tra số thuế còn nợ.</t>
  </si>
  <si>
    <t>Sau kê khai, DN kiểm tra nghĩa vụ/nợ thuế.</t>
  </si>
  <si>
    <t>Bài anh em (HKD); chèn ở đoạn so sánh nếu có nhắc doanh nghiệp.</t>
  </si>
  <si>
    <t>lãi suất vay ngân hàng</t>
  </si>
  <si>
    <t>lãi suất vay ngân hàng hiện nay</t>
  </si>
  <si>
    <t>lãi suất cho vay ngân hàng</t>
  </si>
  <si>
    <t>lãi vay ngân hàng hiện nay</t>
  </si>
  <si>
    <t>lãi suất vay ngân hàng hôm nay</t>
  </si>
  <si>
    <t>Nhắc: nợ thuế.</t>
  </si>
  <si>
    <t>vay thấu chi là gì</t>
  </si>
  <si>
    <t>Mở rộng chủ đề (theo plan): bài nhắc tra cứu, mã số thuế, thuế.</t>
  </si>
  <si>
    <t>vay thấu chi</t>
  </si>
  <si>
    <t>thấu chi là gì</t>
  </si>
  <si>
    <t>vay thấu chi là như nào</t>
  </si>
  <si>
    <t>Mở rộng chủ đề (theo plan): bài nhắc tra cứu, thuế, etax.</t>
  </si>
  <si>
    <t>Mở rộng chủ đề (theo plan): bài nhắc tra cứu, thuế, hộ kinh doanh.</t>
  </si>
  <si>
    <t>Mở rộng chủ đề (theo plan): bài nhắc mã số thuế, thuế, doanh nghiệp.</t>
  </si>
  <si>
    <t>Mở rộng chủ đề (theo plan): bài nhắc tra cứu, thuế, kê khai.</t>
  </si>
  <si>
    <t>rút tiền thẻ tín dụng</t>
  </si>
  <si>
    <t>Mở rộng chủ đề (theo plan): bài nhắc mã số thuế, thuế, hộ kinh doanh.</t>
  </si>
  <si>
    <t>quẹt thẻ tín dụng lấy tiền mặt</t>
  </si>
  <si>
    <t>Mở rộng chủ đề (theo plan): bài nhắc tra cứu, thuế, nộp thuế.</t>
  </si>
  <si>
    <t>Mở rộng chủ đề (theo plan): bài nhắc tra cứu, thuế, hóa đơn.</t>
  </si>
  <si>
    <t>thuế hộ kinh doanh</t>
  </si>
  <si>
    <t>hộ kinh doanh đóng thuế như thế nào</t>
  </si>
  <si>
    <t>Mở rộng chủ đề (theo plan): bài nhắc tra cứu, thuế, công ty.</t>
  </si>
  <si>
    <t>Mở rộng chủ đề (theo plan): bài nhắc tra cứu, công ty.</t>
  </si>
  <si>
    <t>https://techcombank.com/thong-tin/blog/gio-lam-viec-techcombank</t>
  </si>
  <si>
    <t>Mở rộng chủ đề (theo plan): bài nhắc tra cứu. Liên quan rộng – đọc bài trước khi chèn.</t>
  </si>
  <si>
    <t>https://techcombank.com/thong-tin/blog/bang-gia-chung-chi-quy</t>
  </si>
  <si>
    <t>giá điện sinh hoạt</t>
  </si>
  <si>
    <t>giá điện sinh hoạt mới nhất</t>
  </si>
  <si>
    <t>các loại thuế doanh nghiệp phải nộp</t>
  </si>
  <si>
    <t>Bài giải đáp về thuế DN nói chung — đúng chủ đề tổng quan.</t>
  </si>
  <si>
    <t>thuế thu nhập cá nhân</t>
  </si>
  <si>
    <t>thuế thu nhập cá nhân năm 2026</t>
  </si>
  <si>
    <t>thuế doanh nghiệp</t>
  </si>
  <si>
    <t>cách tính lãi suất vay ngân hàng</t>
  </si>
  <si>
    <t>Tuân thủ thuế cho DN khởi nghiệp — cần biết DN phải nộp những khoản thuế nào.</t>
  </si>
  <si>
    <t>cách tính lãi suất vay</t>
  </si>
  <si>
    <t>doanh nghiệp phải nộp những loại thuế nào</t>
  </si>
  <si>
    <t>Bài các khoản thuế, phí khi lên DN — liên kết tự nhiên sang danh sách thuế DN.</t>
  </si>
  <si>
    <t>nạp thẻ viettel</t>
  </si>
  <si>
    <t>Bài tin chính sách thuế phí có lợi cho DN — dẫn sang bài tổng hợp các khoản thuế.</t>
  </si>
  <si>
    <t>cách nạp thẻ viettel</t>
  </si>
  <si>
    <t>cách nạp tiền điện thoại viettel</t>
  </si>
  <si>
    <t>cách nạp tiền viettel</t>
  </si>
  <si>
    <t>Sau khi thành lập DN phát sinh nghĩa vụ thuế — chèn ở đoạn lưu ý sau thành lập. (Liên quan yếu – bản chặt đã loại.)</t>
  </si>
  <si>
    <t>cách tạo tài khoản ngân hàng</t>
  </si>
  <si>
    <t>https://techcombank.com/thong-tin/blog/huong-dan-dang-ky-thanh-lap-doanh-nghiep</t>
  </si>
  <si>
    <t>mở tài khoản ngân hàng online</t>
  </si>
  <si>
    <t>Nhắc: thành lập doanh nghiệp.</t>
  </si>
  <si>
    <t>tra tài khoản ngân hàng</t>
  </si>
  <si>
    <t>tra số tài khoản ngân hàng</t>
  </si>
  <si>
    <t>https://techcombank.com/thong-tin/blog/dang-ky-thanh-lap-doanh-nghiep</t>
  </si>
  <si>
    <t>Nhắc: chính sách thuế.</t>
  </si>
  <si>
    <t>Nhắc: chính sách thuế, doanh nghiệp khởi nghiệp.</t>
  </si>
  <si>
    <t>https://techcombank.com/thong-tin/blog/dang-ky-thanh-lap-doanh-nghiep-online</t>
  </si>
  <si>
    <t>cách nộp thuế điện tử</t>
  </si>
  <si>
    <t>công ty sử dụng tài khoản cá nhân</t>
  </si>
  <si>
    <t>Bài tài khoản DN là gì — câu hỏi 'có dùng TK cá nhân thay được không' là nhu cầu kế tiếp.</t>
  </si>
  <si>
    <t>công ty dùng tài khoản cá nhân có được không</t>
  </si>
  <si>
    <t>Lưu ý chuyển tiền vào TK công ty — liên quan trực tiếp quy định dùng TK cá nhân.</t>
  </si>
  <si>
    <t>Cách dùng TK công ty cho giao dịch — đối lập tự nhiên với dùng TK cá nhân.</t>
  </si>
  <si>
    <t>Tiền vào TK cá nhân có bị tính thuế — rủi ro khi công ty dùng TK cá nhân nhận tiền.</t>
  </si>
  <si>
    <t>https://techcombank.com/thong-tin/blog/tra-luong-tien-mat</t>
  </si>
  <si>
    <t>Quy định trả lương — đoạn về hình thức chi trả có thể nhắc TK cá nhân/TK công ty. (Liên quan yếu – bản chặt đã loại.)</t>
  </si>
  <si>
    <t>Nhắc: tài khoản công ty.</t>
  </si>
  <si>
    <t>Nhắc: tài khoản công ty, tài khoản ngân hàng công ty.</t>
  </si>
  <si>
    <t>https://techcombank.com/thong-tin/blog/tai-khoan-doanh-nghiep-co-the-khong</t>
  </si>
  <si>
    <t>Nhắc: tài khoản doanh nghiệp.</t>
  </si>
  <si>
    <t>https://techcombank.com/thong-tin/blog/rut-tien-mat-tu-tai-khoan-doanh-nghiep</t>
  </si>
  <si>
    <t>https://techcombank.com/thong-tin/blog/sao-ke-tai-khoan-doanh-nghiep</t>
  </si>
  <si>
    <t>https://techcombank.com/thong-tin/blog/mau-mo-tai-khoan-doanh-nghiep-techcombank</t>
  </si>
  <si>
    <t>https://techcombank.com/thong-tin/blog/tai-khoan-cong-ty-co-chuyen-online-duoc-khong</t>
  </si>
  <si>
    <t>Nhắc: tài khoản công ty, tài khoản cá nhân.</t>
  </si>
  <si>
    <t>Mở rộng chủ đề (theo plan): bài nhắc công ty, thuế, doanh nghiệp.</t>
  </si>
  <si>
    <t>Mở rộng chủ đề (theo plan): bài nhắc công ty, doanh nghiệp.</t>
  </si>
  <si>
    <t>Mở rộng chủ đề (theo plan): bài nhắc công ty, thuế.</t>
  </si>
  <si>
    <t>Mở rộng chủ đề (theo plan): bài nhắc thuế, hộ kinh doanh, etax. Liên quan rộng – đọc bài trước khi chèn.</t>
  </si>
  <si>
    <t>https://techcombank.com/thong-tin/blog/cong-ty-xuat-nhap-khau</t>
  </si>
  <si>
    <t>Mở rộng chủ đề (theo plan): bài nhắc công ty. Liên quan rộng – đọc bài trước khi chèn.</t>
  </si>
  <si>
    <t>https://techcombank.com/thong-tin/blog/vi-sao-lai-suat-trai-phieu-tai-tcbs-lai-thap-hon-so-voi-cac-to-chuc-phat-hanh-khac</t>
  </si>
  <si>
    <t>cách tính thuế thu nhập doanh nghiệp</t>
  </si>
  <si>
    <t>Chi phí không được trừ ảnh hưởng trực tiếp công thức tính TNDN.</t>
  </si>
  <si>
    <t>https://techcombank.com/thong-tin/blog/khau-hao</t>
  </si>
  <si>
    <t>cách tính thuế TNDN</t>
  </si>
  <si>
    <t>Khấu hao TSCĐ là chi phí được trừ khi tính thu nhập chịu thuế TNDN.</t>
  </si>
  <si>
    <t>công thức tính thuế TNDN</t>
  </si>
  <si>
    <t>Lợi nhuận ròng = lợi nhuận trước thuế − thuế TNDN; chèn ở công thức.</t>
  </si>
  <si>
    <t>https://techcombank.com/thong-tin/blog/cach-doc-bao-cao-tai-chinh</t>
  </si>
  <si>
    <t>Báo cáo tài chính có dòng chi phí thuế TNDN.</t>
  </si>
  <si>
    <t>Bài thay đổi về thuế cho DN khởi nghiệp, chèn nếu có đoạn về TNDN. (Liên quan yếu – bản chặt đã loại.)</t>
  </si>
  <si>
    <t>https://techcombank.com/thong-tin/blog/khau-hao-la-gi</t>
  </si>
  <si>
    <t>Nhắc: khấu hao.</t>
  </si>
  <si>
    <t>Nhắc: tndn, thu nhập doanh nghiệp.</t>
  </si>
  <si>
    <t>Trang đích</t>
  </si>
  <si>
    <t>Bài nguồn</t>
  </si>
  <si>
    <t>Anchor sử dụng</t>
  </si>
  <si>
    <t>Mở rộng chủ đề (theo plan): bài nhắc chi phí, thuế, doanh nghiệp.</t>
  </si>
  <si>
    <t>Bài so sánh ngân hàng cho vay mua xe — lãi suất là tiêu chí chọn ngân hàng, người đọc cần bảng lãi suất cụ thể. (Theo title/meta, chưa đọc bài.)</t>
  </si>
  <si>
    <t>Bài chưa có trong file crawl: kiểm tra link cũ khi mở bài.</t>
  </si>
  <si>
    <t>Mở rộng chủ đề (theo plan): bài nhắc chi phí, hóa đơn, hộ kinh doanh.</t>
  </si>
  <si>
    <t>CASA</t>
  </si>
  <si>
    <t>Bài tư vấn mua ô tô trả góp; quyết định mua trả góp phụ thuộc trực tiếp vào mức lãi suất vay. (Theo title/meta, chưa đọc bài.)</t>
  </si>
  <si>
    <t>Bài hướng dẫn hồ sơ, thủ tục mua xe trả góp — bước sau khi người đọc so sánh lãi suất. (Theo title/meta, chưa đọc bài.)</t>
  </si>
  <si>
    <t>https://techcombank.com/thong-tin/blog/cach-nap-the</t>
  </si>
  <si>
    <t>So sánh trả góp và trả thẳng — phần chi phí trả góp cần dẫn sang lãi suất vay mua ô tô. (Theo title/meta, chưa đọc bài.)</t>
  </si>
  <si>
    <t>Bài nạp thẻ cho các nhà mạng — mục Viettel nên dẫn sang bài chi tiết.</t>
  </si>
  <si>
    <t>https://techcombank.com/thong-tin/blog/nap-tien-dien-thoai-online</t>
  </si>
  <si>
    <t>Chủ đề vay thế chấp mua xe cũ; chèn được ở đoạn nói về chi phí/lãi vay. (Theo title/meta, chưa đọc bài.)</t>
  </si>
  <si>
    <t>Nạp tiền điện thoại online — chèn ở đoạn ví dụ nhà mạng Viettel.</t>
  </si>
  <si>
    <t>https://techcombank.com/thong-tin/blog/thanh-toan-tra-sau-viettel-bang-tai-khoan-ngan-hang</t>
  </si>
  <si>
    <t>Cùng nhà mạng Viettel (trả sau) — dẫn sang nạp thẻ trả trước.</t>
  </si>
  <si>
    <t>https://techcombank.com/thong-tin/blog/cach-nap-the-vina</t>
  </si>
  <si>
    <t>Bài anh em nhà mạng khác; chèn câu ngắn so sánh/xem thêm Viettel.</t>
  </si>
  <si>
    <t>https://techcombank.com/thong-tin/blog/cach-nap-the-mobi</t>
  </si>
  <si>
    <t>Liên kết tài khoản ngân hàng với eTax Mobile là bước bắt buộc để nộp thuế đất online qua ngân hàng. (Theo title/meta, chưa đọc bài.)</t>
  </si>
  <si>
    <t>Bài anh em nhà mạng MobiFone; chèn câu ngắn xem thêm Viettel.</t>
  </si>
  <si>
    <t>Bài chưa có trong file crawl: kiểm tra link cũ khi mở bài. Bài nhận 3 link mới: đặt ở các mục khác nhau.</t>
  </si>
  <si>
    <t>https://techcombank.com/thong-tin/blog/mat-so-dien-thoai-dang-ky-tai-khoan-ngan-hang</t>
  </si>
  <si>
    <t>Nhắc: nhà mạng.</t>
  </si>
  <si>
    <t>https://techcombank.com/thong-tin/blog/thanh-toan-tien-internet-online</t>
  </si>
  <si>
    <t>Bài hướng dẫn nộp thuế online chung — có thể dẫn sang trường hợp cụ thể là thuế đất. (Theo title/meta, chưa đọc bài.)</t>
  </si>
  <si>
    <t>Bài liên kết tài khoản với eTax Mobile — người đọc làm xong sẽ cần bước nộp thuế. (Theo title/meta, chưa đọc bài.)</t>
  </si>
  <si>
    <t>Nhắc: viettel.</t>
  </si>
  <si>
    <t>https://techcombank.com/thong-tin/blog/cach-chuyen-tien</t>
  </si>
  <si>
    <t>Mở rộng chủ đề (theo plan): bài nhắc điện thoại, tài khoản, chuyển tiền.</t>
  </si>
  <si>
    <t>https://techcombank.com/thong-tin/blog/cach-chuyen-khoan-bang-dien-thoai</t>
  </si>
  <si>
    <t>Mở rộng chủ đề (theo plan): bài nhắc điện thoại, tài khoản, chuyển khoản.</t>
  </si>
  <si>
    <t>https://techcombank.com/thong-tin/blog/cay-atm-gan-day</t>
  </si>
  <si>
    <t>Mở rộng chủ đề (theo plan): bài nhắc điện thoại, ngân hàng số, rút tiền.</t>
  </si>
  <si>
    <t>https://techcombank.com/thong-tin/blog/mo-tai-khoan-ngan-hang-trung-so-dien-thoai</t>
  </si>
  <si>
    <t>Mở rộng chủ đề (theo plan): bài nhắc điện thoại, tài khoản, ngân hàng.</t>
  </si>
  <si>
    <t>Quyết toán TNCN online → nếu còn thiếu thuế phải nộp qua cổng thuế điện tử. (Theo title/meta, chưa đọc bài.)</t>
  </si>
  <si>
    <t>nộp thuế điện tử</t>
  </si>
  <si>
    <t>https://techcombank.com/thong-tin/blog/tai-khoan-ngan-hang-bi-khoa</t>
  </si>
  <si>
    <t>Title/URL còn năm cũ (2025): nên cập nhật; câu chèn không ghi năm. Bài chưa có trong file crawl: kiểm tra link cũ khi mở bài. Bài nhận 3 link mới: đặt ở các mục khác nhau.</t>
  </si>
  <si>
    <t>https://techcombank.com/thong-tin/blog/the-ghi-no-co-chuyen-khoan-duoc-khong</t>
  </si>
  <si>
    <t>Mở rộng chủ đề (theo plan): bài nhắc chuyển khoản, chuyển tiền, internet banking. Liên quan rộng – đọc bài trước khi chèn.</t>
  </si>
  <si>
    <t>https://techcombank.com/thong-tin/blog/cach-dong-tien-dien-qua-tai-khoan-ngan-hang</t>
  </si>
  <si>
    <t>https://techcombank.com/thong-tin/blog/mo-tai-khoan-ngan-hang-bang-so-dien-thoai</t>
  </si>
  <si>
    <t>Kê khai thuế HKD online, sau khi kê khai là bước nộp thuế điện tử. (Theo title/meta, chưa đọc bài.)</t>
  </si>
  <si>
    <t>hướng dẫn nộp thuế điện tử</t>
  </si>
  <si>
    <t>Bài chưa có trong file crawl: kiểm tra link cũ khi mở bài. Bài nhận 2 link mới: đặt ở các mục khác nhau.</t>
  </si>
  <si>
    <t>https://techcombank.com/thong-tin/blog/cach-dang-ky-dinh-danh-muc-2</t>
  </si>
  <si>
    <t>Mở rộng chủ đề (theo plan): bài nhắc điện thoại, tài khoản.</t>
  </si>
  <si>
    <t>https://techcombank.com/thong-tin/blog/mobile-banking-la-gi</t>
  </si>
  <si>
    <t>Mở rộng chủ đề (theo plan): bài nhắc ngân hàng số, ứng dụng ngân hàng, mobile banking. Liên quan rộng – đọc bài trước khi chèn.</t>
  </si>
  <si>
    <t>Mở rộng chủ đề (theo plan): bài nhắc tài khoản, ngân hàng số, nạp tiền. Liên quan rộng – đọc bài trước khi chèn.</t>
  </si>
  <si>
    <t>https://techcombank.com/thong-tin/blog/ngan-hang-thu-huong-la-gi</t>
  </si>
  <si>
    <t>Mở rộng chủ đề (theo plan): bài nhắc chuyển khoản, chuyển tiền, mobile banking. Liên quan rộng – đọc bài trước khi chèn.</t>
  </si>
  <si>
    <t>Làm thủ tục hoàn thuế trên eTax Mobile — cùng công cụ, chèn ở đoạn giới thiệu eTax. (Theo title/meta, chưa đọc bài.)</t>
  </si>
  <si>
    <t>https://techcombank.com/thong-tin/blog/the-tin-dung-la-gi</t>
  </si>
  <si>
    <t>Mở rộng chủ đề (theo plan): bài nhắc trả sau, rút tiền.</t>
  </si>
  <si>
    <t>https://techcombank.com/thong-tin/blog/cach-chuyen-tien-qua-ma-qr-techcombank</t>
  </si>
  <si>
    <t>Mở rộng chủ đề (theo plan): bài nhắc chuyển tiền, ứng dụng ngân hàng, mã qr. Liên quan rộng – đọc bài trước khi chèn.</t>
  </si>
  <si>
    <t>https://techcombank.com/thong-tin/blog/softpos</t>
  </si>
  <si>
    <t>Mở rộng chủ đề (theo plan): bài nhắc điện thoại, mã qr.</t>
  </si>
  <si>
    <t>https://techcombank.com/thong-tin/blog/1-cmnd-dang-ky-duoc-may-tai-khoan-ngan-hang</t>
  </si>
  <si>
    <t>Mở rộng chủ đề (theo plan): bài nhắc tài khoản, thẻ atm, cccd. Liên quan rộng – đọc bài trước khi chèn.</t>
  </si>
  <si>
    <t>Bài nộp thuế hải quan online — có thể dẫn sang hướng dẫn nộp thuế điện tử nội địa. (Theo title/meta, chưa đọc bài.)</t>
  </si>
  <si>
    <t>https://techcombank.com/thong-tin/blog/cach-chon-so-tai-khoan-dep</t>
  </si>
  <si>
    <t>Mở rộng chủ đề (theo plan): bài nhắc tài khoản, ngân hàng số, số tài khoản. Liên quan rộng – đọc bài trước khi chèn.</t>
  </si>
  <si>
    <t>Mở rộng chủ đề (theo plan): bài nhắc tài khoản, số tài khoản, ngân hàng. Liên quan rộng – đọc bài trước khi chèn.</t>
  </si>
  <si>
    <t>https://techcombank.com/thong-tin/blog/app-ngan-hang-uy-tin</t>
  </si>
  <si>
    <t>Mở rộng chủ đề (theo plan): bài nhắc ngân hàng số, ứng dụng ngân hàng, ngân hàng. Liên quan rộng – đọc bài trước khi chèn.</t>
  </si>
  <si>
    <t>https://techcombank.com/thong-tin/blog/cach-lay-lai-tien-da-chuyen-khoan-khi-bi-lua</t>
  </si>
  <si>
    <t>Mở rộng chủ đề (theo plan): bài nhắc tài khoản, chuyển khoản, chuyển tiền. Liên quan rộng – đọc bài trước khi chèn.</t>
  </si>
  <si>
    <t>https://techcombank.com/thong-tin/blog/app-ngan-hang</t>
  </si>
  <si>
    <t>Mở rộng chủ đề (theo plan): bài nhắc ngân hàng số, app ngân hàng, ngân hàng. Liên quan rộng – đọc bài trước khi chèn.</t>
  </si>
  <si>
    <t>Bài về chi phí không được trừ khi tính thuế TNDN — nhắc trực tiếp TNDN, người đọc cần biết thuế suất. (Theo title/meta, chưa đọc bài.)</t>
  </si>
  <si>
    <t>https://techcombank.com/thong-tin/blog/so-the-ngan-hang</t>
  </si>
  <si>
    <t>Quyết toán thuế DN gồm quyết toán TNDN — đoạn liệt kê loại thuế phải quyết toán chèn được. (Theo title/meta, chưa đọc bài.)</t>
  </si>
  <si>
    <t>thuế TNDN</t>
  </si>
  <si>
    <t>Bài ưu đãi thuế cho DN mới — ưu đãi chủ yếu là miễn/giảm thuế TNDN. (Theo title/meta, chưa đọc bài.)</t>
  </si>
  <si>
    <t>thuế suất thuế TNDN</t>
  </si>
  <si>
    <t>https://techcombank.com/thong-tin/blog/gia-dien-sinh-hoat</t>
  </si>
  <si>
    <t>Bài lợi nhuận và công thức tính — đoạn lợi nhuận sau thuế chèn được link thuế TNDN. (Theo title/meta, chưa đọc bài.)</t>
  </si>
  <si>
    <t>Bài giá điện bậc thang — người đọc cần cách tính ra hóa đơn.</t>
  </si>
  <si>
    <t>Tra hóa đơn tiền điện — muốn đối chiếu số tiền cần biết cách tính.</t>
  </si>
  <si>
    <t>Hoàn thuế DN; có thể nhắc trường hợp nộp thừa thuế TNDN. (Theo title/meta, chưa đọc bài.)</t>
  </si>
  <si>
    <t>Đóng tiền điện — trước khi đóng người đọc hay kiểm tra số tiền.</t>
  </si>
  <si>
    <t>App đóng tiền điện; chèn ở đoạn mở đầu/lưu ý.</t>
  </si>
  <si>
    <t>https://techcombank.com/thong-tin/blog/thanh-toan-tien-dien-bang-the-tin-dung</t>
  </si>
  <si>
    <t>Thanh toán tiền điện bằng thẻ tín dụng; chèn ở đoạn về số tiền hóa đơn.</t>
  </si>
  <si>
    <t>Nhắc: hóa đơn điện.</t>
  </si>
  <si>
    <t>Kê khai thuế DN — thuế GTGT là loại kê khai định kỳ phổ biến nhất. (Theo title/meta, chưa đọc bài.)</t>
  </si>
  <si>
    <t>Nhắc: hoá đơn điện, hóa đơn điện.</t>
  </si>
  <si>
    <t>Hoàn thuế DN chủ yếu là hoàn thuế GTGT — người đọc cần hiểu VAT là gì. (Theo title/meta, chưa đọc bài.)</t>
  </si>
  <si>
    <t>Nhắc: tiền điện, evn.</t>
  </si>
  <si>
    <t>Nhắc: tiền điện.</t>
  </si>
  <si>
    <t>Hóa đơn điện tử thể hiện thuế GTGT — chèn ở đoạn nói về nội dung hóa đơn. (Theo title/meta, chưa đọc bài.)</t>
  </si>
  <si>
    <t>Mở rộng chủ đề (theo plan): bài nhắc tài khoản, chuyển tiền, mã qr. Liên quan rộng – đọc bài trước khi chèn.</t>
  </si>
  <si>
    <t>Mở rộng chủ đề (theo plan): bài nhắc tài khoản, chuyển khoản, app ngân hàng. Liên quan rộng – đọc bài trước khi chèn.</t>
  </si>
  <si>
    <t>Thuế TMĐT cho HKD gồm thuế GTGT + TNCN — chèn khi nhắc thuế GTGT. (Theo title/meta, chưa đọc bài.)</t>
  </si>
  <si>
    <t>Mở rộng chủ đề (theo plan): bài nhắc hóa đơn, chuyển khoản, chuyển tiền.</t>
  </si>
  <si>
    <t>https://techcombank.com/thong-tin/blog/thanh-toan-tien-nuoc-online</t>
  </si>
  <si>
    <t>Mở rộng chủ đề (theo plan): bài nhắc tiền nước, mobile banking.</t>
  </si>
  <si>
    <t>Bài tra mã số thuế DN — tra nợ thuế dùng chính mã số thuế, nhu cầu nối tiếp. (Theo title/meta, chưa đọc bài.)</t>
  </si>
  <si>
    <t>https://techcombank.com/thong-tin/blog/99999-co-y-nghia-gi</t>
  </si>
  <si>
    <t>Cùng intent tra cứu nợ thuế, khác loại thuế — dẫn sang nợ thuế nội địa của DN. (Theo title/meta, chưa đọc bài.)</t>
  </si>
  <si>
    <t>https://techcombank.com/thong-tin/blog/chuyen-khoan-lien-ngan-hang</t>
  </si>
  <si>
    <t>Title/URL còn năm cũ (2025): nên cập nhật; câu chèn không ghi năm. Bài chưa có trong file crawl: kiểm tra link cũ khi mở bài.</t>
  </si>
  <si>
    <t>Mở rộng chủ đề (theo plan): bài nhắc chuyển khoản, chuyển tiền, ngân hàng. Liên quan rộng – đọc bài trước khi chèn.</t>
  </si>
  <si>
    <t>Trước/sau quyết toán DN cần kiểm tra số thuế còn nợ. (Theo title/meta, chưa đọc bài.)</t>
  </si>
  <si>
    <t>Sau kê khai, DN kiểm tra nghĩa vụ/nợ thuế. (Theo title/meta, chưa đọc bài.)</t>
  </si>
  <si>
    <t>Mở rộng chủ đề (theo plan): bài nhắc tiền nước. Liên quan rộng – đọc bài trước khi chèn.</t>
  </si>
  <si>
    <t>https://techcombank.com/thong-tin/blog/so-tai-khoan-ngan-hang</t>
  </si>
  <si>
    <t>Bài anh em (HKD); chèn ở đoạn so sánh nếu có nhắc doanh nghiệp. (Theo title/meta, chưa đọc bài.)</t>
  </si>
  <si>
    <t>Mở rộng chủ đề (theo plan): bài nhắc hóa đơn. Liên quan rộng – đọc bài trước khi chèn.</t>
  </si>
  <si>
    <t>Mở rộng chủ đề (theo plan): bài nhắc mã qr, mobile banking, ngân hàng. Liên quan rộng – đọc bài trước khi chèn.</t>
  </si>
  <si>
    <t>https://techcombank.com/thong-tin/blog/tao-ma-qr-thanh-toan-cho-cua-hang</t>
  </si>
  <si>
    <t>Mở rộng chủ đề (theo plan): bài nhắc ngân hàng số, mã qr, ngân hàng. Liên quan rộng – đọc bài trước khi chèn.</t>
  </si>
  <si>
    <t>Bài giải đáp về thuế DN nói chung — đúng chủ đề tổng quan. (Theo title/meta, chưa đọc bài.)</t>
  </si>
  <si>
    <t>https://techcombank.com/thong-tin/blog/cach-doi-mat-khau-tai-khoan-ngan-hang</t>
  </si>
  <si>
    <t>Mở rộng chủ đề (theo plan): bài nhắc tài khoản, mobile banking, ngân hàng. Liên quan rộng – đọc bài trước khi chèn.</t>
  </si>
  <si>
    <t>https://techcombank.com/thong-tin/blog/lo-ma-qr-ngan-hang-co-sao-khong</t>
  </si>
  <si>
    <t>Mở rộng chủ đề (theo plan): bài nhắc tài khoản, mã qr, ngân hàng. Liên quan rộng – đọc bài trước khi chèn.</t>
  </si>
  <si>
    <t>https://techcombank.com/thong-tin/blog/mo-tai-khoan-ngan-hang-online-co-an-toan-khong</t>
  </si>
  <si>
    <t>Mở rộng chủ đề (theo plan): bài nhắc tài khoản, ngân hàng số, ngân hàng. Liên quan rộng – đọc bài trước khi chèn.</t>
  </si>
  <si>
    <t>Tuân thủ thuế cho DN khởi nghiệp — cần biết DN phải nộp những khoản thuế nào. (Theo title/meta, chưa đọc bài.)</t>
  </si>
  <si>
    <t>https://techcombank.com/thong-tin/blog/mo-tai-khoan-ngan-hang-co-mat-phi-khong</t>
  </si>
  <si>
    <t>Mở rộng chủ đề (theo plan): bài nhắc tài khoản, chuyển tiền, ngân hàng. Liên quan rộng – đọc bài trước khi chèn.</t>
  </si>
  <si>
    <t>https://techcombank.com/thong-tin/blog/co-nen-mua-so-tai-khoan-ngan-hang-dep</t>
  </si>
  <si>
    <t>https://techcombank.com/thong-tin/blog/ma-qr-ngan-hang-khong-hop-le</t>
  </si>
  <si>
    <t>Mở rộng chủ đề (theo plan): bài nhắc chuyển tiền, mã qr, ngân hàng. Liên quan rộng – đọc bài trước khi chèn.</t>
  </si>
  <si>
    <t>Bài các khoản thuế, phí khi lên DN — liên kết tự nhiên sang danh sách thuế DN. (Theo title/meta, chưa đọc bài.)</t>
  </si>
  <si>
    <t>Mở rộng chủ đề (theo plan): bài nhắc tài khoản, rút tiền, ngân hàng. Liên quan rộng – đọc bài trước khi chèn.</t>
  </si>
  <si>
    <t>https://techcombank.com/thong-tin/blog/cach-tao-ma-qr-code-mien-phi</t>
  </si>
  <si>
    <t>https://techcombank.com/thong-tin/blog/rut-tien-bang-ma-qr-khac-ngan-hang-duoc-khong</t>
  </si>
  <si>
    <t>Mở rộng chủ đề (theo plan): bài nhắc mã qr, rút tiền, ngân hàng. Liên quan rộng – đọc bài trước khi chèn.</t>
  </si>
  <si>
    <t>Bài tin chính sách thuế phí có lợi cho DN — dẫn sang bài tổng hợp các khoản thuế. (Theo title/meta, chưa đọc bài.)</t>
  </si>
  <si>
    <t>Bài tài khoản DN là gì — câu hỏi 'có dùng TK cá nhân thay được không' là nhu cầu kế tiếp. (Theo title/meta, chưa đọc bài.)</t>
  </si>
  <si>
    <t>Lưu ý chuyển tiền vào TK công ty — liên quan trực tiếp quy định dùng TK cá nhân. (Theo title/meta, chưa đọc bài.)</t>
  </si>
  <si>
    <t>Quyết toán TNCN cần tính lại số thuế cả năm.</t>
  </si>
  <si>
    <t>Hoàn thuế TNCN xuất phát từ việc tính ra số thuế nộp thừa.</t>
  </si>
  <si>
    <t>Cách dùng TK công ty cho giao dịch — đối lập tự nhiên với dùng TK cá nhân. (Theo title/meta, chưa đọc bài.)</t>
  </si>
  <si>
    <t>Tiền vào TK cá nhân có bị tính thuế — rủi ro khi công ty dùng TK cá nhân nhận tiền. (Theo title/meta, chưa đọc bài.)</t>
  </si>
  <si>
    <t>Title/URL còn năm cũ (2025): nên cập nhật; câu chèn không ghi năm. Bài chưa có trong file crawl: kiểm tra link cũ khi mở bài. Bài nhận 2 link mới: đặt ở các mục khác nhau.</t>
  </si>
  <si>
    <t>Chi phí không được trừ ảnh hưởng trực tiếp công thức tính TNDN. (Theo title/meta, chưa đọc bài.)</t>
  </si>
  <si>
    <t>Khấu hao TSCĐ là chi phí được trừ khi tính thu nhập chịu thuế TNDN. (Theo title/meta, chưa đọc bài.)</t>
  </si>
  <si>
    <t>Lợi nhuận ròng = lợi nhuận trước thuế − thuế TNDN; chèn ở công thức. (Theo title/meta, chưa đọc bài.)</t>
  </si>
  <si>
    <t>Báo cáo tài chính có dòng chi phí thuế TNDN. (Theo title/meta, chưa đọc bài.)</t>
  </si>
  <si>
    <t>Bài nạp thẻ cho các nhà mạng — mục Viettel nên dẫn sang bài chi tiết. (Theo title/meta, chưa đọc bài.)</t>
  </si>
  <si>
    <t>cách nạp thẻ Viettel</t>
  </si>
  <si>
    <t>Nạp tiền điện thoại online — chèn ở đoạn ví dụ nhà mạng Viettel. (Theo title/meta, chưa đọc bài.)</t>
  </si>
  <si>
    <t>nạp thẻ Viettel</t>
  </si>
  <si>
    <t>Cùng nhà mạng Viettel (trả sau) — dẫn sang nạp thẻ trả trước. (Theo title/meta, chưa đọc bài.)</t>
  </si>
  <si>
    <t>nạp thẻ cào Viettel</t>
  </si>
  <si>
    <t>Bài anh em nhà mạng khác; chèn câu ngắn so sánh/xem thêm Viettel. (Theo title/meta, chưa đọc bài.)</t>
  </si>
  <si>
    <t>Như trên, nhà mạng MobiFone. (Theo title/meta, chưa đọc bài.)</t>
  </si>
  <si>
    <t>Bài giá điện bậc thang — người đọc cần cách tính ra hóa đơn. (Theo title/meta, chưa đọc bài.)</t>
  </si>
  <si>
    <t>cách tính tiền điện sinh hoạt</t>
  </si>
  <si>
    <t>Tra hóa đơn tiền điện — muốn đối chiếu số tiền cần biết cách tính. (Theo title/meta, chưa đọc bài.)</t>
  </si>
  <si>
    <t>cách tính tiền điện</t>
  </si>
  <si>
    <t>Đóng tiền điện — trước khi đóng người đọc hay kiểm tra số tiền. (Theo title/meta, chưa đọc bài.)</t>
  </si>
  <si>
    <t>giá điện bậc thang</t>
  </si>
  <si>
    <t>App đóng tiền điện; chèn ở đoạn mở đầu/lưu ý. (Theo title/meta, chưa đọc bài.)</t>
  </si>
  <si>
    <t>Thanh toán tiền điện bằng thẻ tín dụng; chèn ở đoạn về số tiền hóa đơn. (Theo title/meta, chưa đọc bài.)</t>
  </si>
  <si>
    <t>Quyết toán TNCN cần tính lại số thuế cả năm. (Theo title/meta, chưa đọc bài.)</t>
  </si>
  <si>
    <t>cách tính thuế thu nhập cá nhân</t>
  </si>
  <si>
    <t>Hoàn thuế TNCN xuất phát từ việc tính ra số thuế nộp thừa. (Theo title/meta, chưa đọc bài.)</t>
  </si>
  <si>
    <t>cách tính thuế TNCN</t>
  </si>
  <si>
    <t>Đăng ký MST cá nhân để kê khai, tính thuế TNCN. (Theo title/meta, chưa đọc bài.)</t>
  </si>
  <si>
    <t>tính thuế TNCN</t>
  </si>
  <si>
    <t>Số TK là gì &amp; cách kiểm tra — trùng nhu cầu, dẫn sang bài chi tiết 3 cách. (Theo title/meta, chưa đọc bài.)</t>
  </si>
  <si>
    <t>cách kiểm tra tài khoản ngân hàng</t>
  </si>
  <si>
    <t>https://techcombank.com/thong-tin/blog/so-du-kha-dung</t>
  </si>
  <si>
    <t>Số dư khả dụng — người đọc cần cách kiểm tra số dư. (Theo title/meta, chưa đọc bài.)</t>
  </si>
  <si>
    <t>kiểm tra số dư tài khoản</t>
  </si>
  <si>
    <t>https://techcombank.com/thong-tin/blog/ma-giao-dich-la-gi</t>
  </si>
  <si>
    <t>Kiểm tra mã giao dịch — chèn ở đoạn kiểm tra lịch sử giao dịch. (Theo title/meta, chưa đọc bài.)</t>
  </si>
  <si>
    <t>kiểm tra tài khoản ngân hàng</t>
  </si>
  <si>
    <t>https://techcombank.com/thong-tin/blog/sms-banking</t>
  </si>
  <si>
    <t>SMS Banking là một kênh kiểm tra biến động số dư. (Theo title/meta, chưa đọc bài.)</t>
  </si>
  <si>
    <t>Đăng ký MST cá nhân để kê khai, tính thuế TNCN.</t>
  </si>
  <si>
    <t>Bài anh em cho TK công ty; chèn câu dẫn cho TK cá nhân. (Theo title/meta, chưa đọc bài.)</t>
  </si>
  <si>
    <t>https://techcombank.com/thong-tin/blog/sao-ke-luong</t>
  </si>
  <si>
    <t>https://techcombank.com/thong-tin/blog/tai-khoan-ngan-hang-la-gi</t>
  </si>
  <si>
    <t>Bài định nghĩa TK ngân hàng, kết thúc tự nhiên bằng cách mở. (Theo title/meta, chưa đọc bài.)</t>
  </si>
  <si>
    <t>Sao kê lương dùng chứng minh thu nhập; chèn ở đoạn thu nhập chịu thuế. (Liên quan yếu – bản chặt đã loại.)</t>
  </si>
  <si>
    <t>cách mở tài khoản ngân hàng</t>
  </si>
  <si>
    <t>https://techcombank.com/thong-tin/blog/tai-khoan-thanh-toan-la-gi</t>
  </si>
  <si>
    <t>https://techcombank.com/thong-tin/blog/luong-huu</t>
  </si>
  <si>
    <t>Có mục điều kiện, thủ tục mở TK thanh toán. (Theo title/meta, chưa đọc bài.)</t>
  </si>
  <si>
    <t>Lương hưu có/không chịu thuế TNCN — chèn nếu bài có đoạn này. (Liên quan yếu – bản chặt đã loại.)</t>
  </si>
  <si>
    <t>Băn khoăn an toàn khi mở online → dẫn sang hướng dẫn mở. (Theo title/meta, chưa đọc bài.)</t>
  </si>
  <si>
    <t>tạo tài khoản ngân hàng</t>
  </si>
  <si>
    <t>Nhắc: tncn.</t>
  </si>
  <si>
    <t>Nhắc: lương.</t>
  </si>
  <si>
    <t>Hỏi phí mở TK → nhu cầu kế tiếp là cách mở. Bài cach-mo-tai-khoan đã link sang bài này (chiều ngược lại). (Theo title/meta, chưa đọc bài.)</t>
  </si>
  <si>
    <t>Nhắc: thu nhập cá nhân.</t>
  </si>
  <si>
    <t>https://techcombank.com/thong-tin/blog/app-tra-luong</t>
  </si>
  <si>
    <t>Quy định số TK/CCCD; chèn ở đoạn hướng dẫn đăng ký thêm TK. (Theo title/meta, chưa đọc bài.)</t>
  </si>
  <si>
    <t>https://techcombank.com/thong-tin/blog/chinh-sach-tang-luong-huu</t>
  </si>
  <si>
    <t>Top app ngân hàng uy tín — anh em chủ đề, người đọc muốn biết ngân hàng nào uy tín. (Theo title/meta, chưa đọc bài.)</t>
  </si>
  <si>
    <t>ngân hàng uy tín</t>
  </si>
  <si>
    <t>https://techcombank.com/thong-tin/blog/gui-tien-ngan-hang-co-an-toan-khong</t>
  </si>
  <si>
    <t>https://techcombank.com/thong-tin/blog/vay-the-chap-qua-luong</t>
  </si>
  <si>
    <t>Gửi tiền có an toàn không → chọn ngân hàng uy tín. (Theo title/meta, chưa đọc bài.)</t>
  </si>
  <si>
    <t>chọn ngân hàng uy tín</t>
  </si>
  <si>
    <t>https://techcombank.com/thong-tin/blog/nen-mo-tai-khoan-ngan-hang-nao-cho-doanh-nghiep</t>
  </si>
  <si>
    <t>Nhắc: thu nhập cá nhân, tncn.</t>
  </si>
  <si>
    <t>https://techcombank.com/thong-tin/blog/chi-tra-luong-huu</t>
  </si>
  <si>
    <t>Tiêu chí chọn ngân hàng — uy tín là một tiêu chí. (Theo title/meta, chưa đọc bài.)</t>
  </si>
  <si>
    <t>https://techcombank.com/thong-tin/blog/hoc-cach-tiet-kiem-tien-luong</t>
  </si>
  <si>
    <t>Mở rộng chủ đề (theo plan): bài nhắc thuế thu nhập cá nhân, tncn, thu nhập.</t>
  </si>
  <si>
    <t>Mở rộng chủ đề (theo plan): bài nhắc thu nhập, thuế, doanh nghiệp.</t>
  </si>
  <si>
    <t>Hướng dẫn chuyển tiền — phần lưu ý/xử lý sự cố chèn được. (Theo title/meta, chưa đọc bài.)</t>
  </si>
  <si>
    <t>chuyển khoản thành công nhưng không nhận được tiền</t>
  </si>
  <si>
    <t>Chuyển liên ngân hàng là trường hợp hay bị chậm nhận tiền. (Theo title/meta, chưa đọc bài.)</t>
  </si>
  <si>
    <t>chuyển tiền thành công nhưng chưa nhận được</t>
  </si>
  <si>
    <t>Mã giao dịch dùng để tra soát khi chuyển thành công mà chưa nhận. (Theo title/meta, chưa đọc bài.)</t>
  </si>
  <si>
    <t>tiền chuyển khoản bị treo</t>
  </si>
  <si>
    <t>https://techcombank.com/thong-tin/blog/chuyen-nham-tien-co-lay-lai-duoc-khong</t>
  </si>
  <si>
    <t>Sự cố chuyển tiền tương tự, người đọc quan tâm cả hai tình huống. (Theo title/meta, chưa đọc bài.)</t>
  </si>
  <si>
    <t>Sai thông tin ngân hàng thụ hưởng là một nguyên nhân không nhận được tiền. (Theo title/meta, chưa đọc bài.)</t>
  </si>
  <si>
    <t>https://techcombank.com/thong-tin/blog/mo-tai-khoan-ngan-hang-cho-tre-em</t>
  </si>
  <si>
    <t>https://techcombank.com/thong-tin/blog/bi-quyet-tiet-kiem-tien-mua-nha</t>
  </si>
  <si>
    <t>Mở rộng chủ đề (theo plan): bài nhắc thu nhập. Liên quan rộng – đọc bài trước khi chèn.</t>
  </si>
  <si>
    <t>https://techcombank.com/thong-tin/blog/bao-hiem-nhan-tho-bao-nhieu-tien</t>
  </si>
  <si>
    <t>Tài khoản cho con — phụ huynh cần biết quy định độ tuổi. (Theo title/meta, chưa đọc bài.)</t>
  </si>
  <si>
    <t>bao nhiêu tuổi được mở tài khoản ngân hàng</t>
  </si>
  <si>
    <t>https://techcombank.com/thong-tin/blog/hu-chi-tieu</t>
  </si>
  <si>
    <t>https://techcombank.com/thong-tin/blog/hoc-sinh-sinh-vien-nen-lam-the-ngan-hang-nao</t>
  </si>
  <si>
    <t>https://techcombank.com/thong-tin/blog/vay-the-chap-khong-chung-minh-thu-nhap</t>
  </si>
  <si>
    <t>HSSV chọn thẻ — câu hỏi bao nhiêu tuổi được làm thẻ đi kèm. (Theo title/meta, chưa đọc bài.)</t>
  </si>
  <si>
    <t>độ tuổi mở tài khoản ngân hàng</t>
  </si>
  <si>
    <t>https://techcombank.com/thong-tin/blog/cach-lam-the-atm</t>
  </si>
  <si>
    <t>Làm thẻ ATM; chèn ở mục điều kiện (độ tuổi). (Theo title/meta, chưa đọc bài.)</t>
  </si>
  <si>
    <t>https://techcombank.com/thong-tin/blog/han-muc-thau-chi-la-gi</t>
  </si>
  <si>
    <t>https://techcombank.com/thong-tin/blog/the-debit-cho-con</t>
  </si>
  <si>
    <t>https://techcombank.com/thong-tin/blog/mo-the-tin-dung-chi-can-cccd</t>
  </si>
  <si>
    <t>https://techcombank.com/thong-tin/blog/vay-tien-online</t>
  </si>
  <si>
    <t>Thẻ Debit cho con — mở TK cho con dưới 18 tuổi là bước đi kèm. (Theo title/meta, chưa đọc bài.)</t>
  </si>
  <si>
    <t>mở tài khoản ngân hàng dưới 18 tuổi</t>
  </si>
  <si>
    <t>https://techcombank.com/thong-tin/blog/mo-tai-khoan-tiet-kiem-cho-con</t>
  </si>
  <si>
    <t>https://techcombank.com/thong-tin/blog/mo-the-tin-dung-khong-can-chung-minh-thu-nhap</t>
  </si>
  <si>
    <t>https://techcombank.com/thong-tin/blog/dieu-kien-vay-the-chap</t>
  </si>
  <si>
    <t>Mở TK tiết kiệm cho con — liên quan trực tiếp. (Theo title/meta, chưa đọc bài.)</t>
  </si>
  <si>
    <t>mở tài khoản ngân hàng cho học sinh</t>
  </si>
  <si>
    <t>Mở rộng chủ đề (theo plan): bài nhắc thuế, hộ kinh doanh, nộp thuế. Liên quan rộng – đọc bài trước khi chèn.</t>
  </si>
  <si>
    <t>Mở TK online; chèn câu lưu ý cho người dưới 18 tuổi. (Theo title/meta, chưa đọc bài.)</t>
  </si>
  <si>
    <t>https://techcombank.com/thong-tin/blog/cdm</t>
  </si>
  <si>
    <t>Máy CDM dùng để nộp tiền — một trong các cách nạp tiền vào TK. (Theo title/meta, chưa đọc bài.)</t>
  </si>
  <si>
    <t>nạp tiền vào tài khoản ngân hàng</t>
  </si>
  <si>
    <t>https://techcombank.com/thong-tin/blog/cach-nap-tien-vao-the-ghi-no</t>
  </si>
  <si>
    <t>Nạp tiền vào thẻ ghi nợ = nạp vào TK gắn thẻ. (Theo title/meta, chưa đọc bài.)</t>
  </si>
  <si>
    <t>nộp tiền vào tài khoản</t>
  </si>
  <si>
    <t>https://techcombank.com/thong-tin/blog/tai-khoan-ngan-hang-con-0-dong-co-sao-khong</t>
  </si>
  <si>
    <t>TK 0 đồng → giải pháp nạp thêm tiền. (Theo title/meta, chưa đọc bài.)</t>
  </si>
  <si>
    <t>Tìm ATM/CDM gần đây để nộp tiền. (Theo title/meta, chưa đọc bài.)</t>
  </si>
  <si>
    <t>Sao kê lương là một dạng sao kê TK — dẫn sang hướng dẫn sao kê chung. (Theo title/meta, chưa đọc bài.)</t>
  </si>
  <si>
    <t>Số TK là gì &amp; cách kiểm tra — trùng nhu cầu, dẫn sang bài chi tiết 3 cách.</t>
  </si>
  <si>
    <t>cách sao kê tài khoản ngân hàng</t>
  </si>
  <si>
    <t>Số dư khả dụng — người đọc cần cách kiểm tra số dư.</t>
  </si>
  <si>
    <t>Bài anh em cho DN; chèn câu dẫn cho TK cá nhân. (Theo title/meta, chưa đọc bài.)</t>
  </si>
  <si>
    <t>sao kê tài khoản ngân hàng</t>
  </si>
  <si>
    <t>Kiểm tra mã giao dịch — chèn ở đoạn kiểm tra lịch sử giao dịch.</t>
  </si>
  <si>
    <t>Hồ sơ vay qua lương cần sao kê TK. (Theo title/meta, chưa đọc bài.)</t>
  </si>
  <si>
    <t>SMS Banking là một kênh kiểm tra biến động số dư.</t>
  </si>
  <si>
    <t>https://techcombank.com/thong-tin/blog/88-la-gi</t>
  </si>
  <si>
    <t>Ý nghĩa số 88 — một dãy số phát lộc; dẫn sang bài tổng hợp. (Theo title/meta, chưa đọc bài.)</t>
  </si>
  <si>
    <t>dãy số phát tài phát lộc</t>
  </si>
  <si>
    <t>Bài anh em cho TK công ty; chèn câu dẫn cho TK cá nhân.</t>
  </si>
  <si>
    <t>https://techcombank.com/thong-tin/blog/so-6868</t>
  </si>
  <si>
    <t>Nhắc: số tài khoản.</t>
  </si>
  <si>
    <t>Ý nghĩa 6868 — cùng chủ đề con số lộc phát. (Theo title/meta, chưa đọc bài.)</t>
  </si>
  <si>
    <t>số tài khoản phát tài phát lộc</t>
  </si>
  <si>
    <t>https://techcombank.com/thong-tin/blog/so-tai-khoan-dep</t>
  </si>
  <si>
    <t>Nhắc: số dư.</t>
  </si>
  <si>
    <t>Gợi ý dãy số TK đẹp phát tài phát lộc — sát chủ đề. (Theo title/meta, chưa đọc bài.)</t>
  </si>
  <si>
    <t>https://techcombank.com/thong-tin/blog/lo-so-tai-khoan-ngan-hang-co-sao-khong</t>
  </si>
  <si>
    <t>Cách chọn số TK phát tài — dẫn sang danh sách dãy số. (Theo title/meta, chưa đọc bài.)</t>
  </si>
  <si>
    <t>https://techcombank.com/thong-tin/blog/li-xi-so-dep</t>
  </si>
  <si>
    <t>Lì xì số đẹp phát tài — chèn ở đoạn ý nghĩa con số. (Theo title/meta, chưa đọc bài.)</t>
  </si>
  <si>
    <t>https://techcombank.com/thong-tin/blog/8868</t>
  </si>
  <si>
    <t>https://techcombank.com/thong-tin/blog/66666-co-y-nghia-gi</t>
  </si>
  <si>
    <t>Tra cứu nợ thuế TNCN — cùng nhóm tra cứu. (Theo title/meta, chưa đọc bài.)</t>
  </si>
  <si>
    <t>kiểm tra thuế thu nhập cá nhân</t>
  </si>
  <si>
    <t>Có MST rồi thì kiểm tra thuế TNCN theo MST. (Theo title/meta, chưa đọc bài.)</t>
  </si>
  <si>
    <t>kiểm tra thuế TNCN online</t>
  </si>
  <si>
    <t>eTax Mobile là kênh kiểm tra thuế TNCN. (Theo title/meta, chưa đọc bài.)</t>
  </si>
  <si>
    <t>https://techcombank.com/thong-tin/blog/so-8386</t>
  </si>
  <si>
    <t>tra cứu thuế TNCN</t>
  </si>
  <si>
    <t>Trước khi hoàn thuế cần kiểm tra số thuế đã nộp. (Theo title/meta, chưa đọc bài.)</t>
  </si>
  <si>
    <t>Kiểm tra số thuế đã khấu trừ trước khi quyết toán. (Theo title/meta, chưa đọc bài.)</t>
  </si>
  <si>
    <t>Mật khẩu đi cùng tên đăng nhập — bài anh em trực tiếp. (Theo title/meta, chưa đọc bài.)</t>
  </si>
  <si>
    <t>tên đăng nhập tài khoản ngân hàng</t>
  </si>
  <si>
    <t>https://techcombank.com/thong-tin/blog/internet-banking</t>
  </si>
  <si>
    <t>Đăng nhập Internet Banking cần tên đăng nhập. (Theo title/meta, chưa đọc bài.)</t>
  </si>
  <si>
    <t>tên đăng nhập</t>
  </si>
  <si>
    <t>https://techcombank.com/thong-tin/blog/so-du-tai-khoan-thanh-toan</t>
  </si>
  <si>
    <t>https://techcombank.com/thong-tin/blog/cach-bao-ve-tai-khoan</t>
  </si>
  <si>
    <t>Bảo vệ TK — giữ bí mật tên đăng nhập/mật khẩu. (Theo title/meta, chưa đọc bài.)</t>
  </si>
  <si>
    <t>https://techcombank.com/thong-tin/blog/so-du-tien-gui-la-gi</t>
  </si>
  <si>
    <t>https://techcombank.com/thong-tin/blog/smart-otp-la-gi</t>
  </si>
  <si>
    <t>Đăng nhập + OTP; chèn ở đoạn bước đăng nhập. (Theo title/meta, chưa đọc bài.)</t>
  </si>
  <si>
    <t>https://techcombank.com/thong-tin/blog/y-nghia-so-68</t>
  </si>
  <si>
    <t>Mất SĐT ảnh hưởng lấy lại thông tin đăng nhập. (Theo title/meta, chưa đọc bài.)</t>
  </si>
  <si>
    <t>Hỏi tiền vào TK có bị tính thuế — liên quan trực tiếp thuế TNCN. (Theo title/meta, chưa đọc bài.)</t>
  </si>
  <si>
    <t>Nợ thuế TNCN — người đọc cần hiểu thuế TNCN là gì. (Theo title/meta, chưa đọc bài.)</t>
  </si>
  <si>
    <t>thuế TNCN</t>
  </si>
  <si>
    <t>https://techcombank.com/thong-tin/blog/vip-ngan-hang</t>
  </si>
  <si>
    <t>Mở rộng chủ đề (theo plan): bài nhắc tài khoản, chuyển khoản, app ngân hàng.</t>
  </si>
  <si>
    <t>Bài anh em — người đọc cần hướng dẫn rút tiền QR cơ bản. (Theo title/meta, chưa đọc bài.)</t>
  </si>
  <si>
    <t>rút tiền bằng mã QR</t>
  </si>
  <si>
    <t>https://techcombank.com/thong-tin/blog/cach-rut-tien-atm</t>
  </si>
  <si>
    <t>Mở rộng chủ đề (theo plan): bài nhắc tài khoản, ngân hàng số, nạp tiền.</t>
  </si>
  <si>
    <t>Mở rộng chủ đề (theo plan): bài nhắc tài khoản, thẻ atm, cccd.</t>
  </si>
  <si>
    <t>Các cách rút tiền ATM — QR là một cách. (Theo title/meta, chưa đọc bài.)</t>
  </si>
  <si>
    <t>cách rút tiền bằng mã QR</t>
  </si>
  <si>
    <t>Mở rộng chủ đề (theo plan): bài nhắc tài khoản, chuyển khoản, chuyển tiền.</t>
  </si>
  <si>
    <t>https://techcombank.com/thong-tin/blog/the-atm-khong-rut-duoc-tien</t>
  </si>
  <si>
    <t>Mở rộng chủ đề (theo plan): bài nhắc tài khoản, mobile banking, ngân hàng.</t>
  </si>
  <si>
    <t>Thẻ lỗi không rút được → giải pháp rút bằng QR. (Theo title/meta, chưa đọc bài.)</t>
  </si>
  <si>
    <t>rút tiền không cần thẻ</t>
  </si>
  <si>
    <t>https://techcombank.com/thong-tin/blog/bi-nuot-the-atm-phai-lam-sao</t>
  </si>
  <si>
    <t>Bị nuốt thẻ → vẫn rút được tiền bằng QR. (Theo title/meta, chưa đọc bài.)</t>
  </si>
  <si>
    <t>Mở rộng chủ đề (theo plan): bài nhắc tài khoản, mã qr, ngân hàng.</t>
  </si>
  <si>
    <t>Tìm ATM; chèn ở đoạn ATM hỗ trợ rút QR. (Theo title/meta, chưa đọc bài.)</t>
  </si>
  <si>
    <t>Mở rộng chủ đề (theo plan): bài nhắc tài khoản, ngân hàng số, ngân hàng.</t>
  </si>
  <si>
    <t>Mở rộng chủ đề (theo plan): bài nhắc tài khoản, chuyển tiền, ngân hàng.</t>
  </si>
  <si>
    <t>https://techcombank.com/thong-tin/blog/xac-thuc-sinh-trac-hoc-khi-chuyen-tien</t>
  </si>
  <si>
    <t>Xác thực sinh trắc học yêu cầu quét NFC chip CCCD. (Theo title/meta, chưa đọc bài.)</t>
  </si>
  <si>
    <t>quét NFC CCCD trên iPhone</t>
  </si>
  <si>
    <t>https://techcombank.com/thong-tin/blog/cach-lien-ket-tai-khoan-ngan-hang-voi-vneid</t>
  </si>
  <si>
    <t>Liên kết VNeID cần quét chip CCCD. (Theo title/meta, chưa đọc bài.)</t>
  </si>
  <si>
    <t>quét NFC CCCD</t>
  </si>
  <si>
    <t>https://techcombank.com/thong-tin/blog/ekyc-la-gi</t>
  </si>
  <si>
    <t>eKYC dùng NFC CCCD để định danh. (Theo title/meta, chưa đọc bài.)</t>
  </si>
  <si>
    <t>cách quét NFC căn cước</t>
  </si>
  <si>
    <t>Định danh mức 2 cần quét CCCD gắn chip. (Theo title/meta, chưa đọc bài.)</t>
  </si>
  <si>
    <t>Mở TK online có bước quét NFC CCCD. (Theo title/meta, chưa đọc bài.)</t>
  </si>
  <si>
    <t>https://techcombank.com/thong-tin/blog/dau-chan-carbon</t>
  </si>
  <si>
    <t>Bài định nghĩa TK ngân hàng, kết thúc tự nhiên bằng cách mở.</t>
  </si>
  <si>
    <t>Bài dấu chân carbon nhắc lợi ích xanh của thẻ Visa Eco. (Theo title/meta, chưa đọc bài.)</t>
  </si>
  <si>
    <t>eco card</t>
  </si>
  <si>
    <t>https://techcombank.com/thong-tin/blog/san-pham-xanh</t>
  </si>
  <si>
    <t>Có mục điều kiện, thủ tục mở TK thanh toán.</t>
  </si>
  <si>
    <t>Điểm danh sản phẩm xanh ngành ngân hàng — Eco Card là ví dụ. (Theo title/meta, chưa đọc bài.)</t>
  </si>
  <si>
    <t>thẻ Eco</t>
  </si>
  <si>
    <t>https://techcombank.com/thong-tin/blog/xu-huong-song-xanh</t>
  </si>
  <si>
    <t>Băn khoăn an toàn khi mở online → dẫn sang hướng dẫn mở.</t>
  </si>
  <si>
    <t>Lối sống xanh → thẻ xanh. (Theo title/meta, chưa đọc bài.)</t>
  </si>
  <si>
    <t>Techcombank Eco</t>
  </si>
  <si>
    <t>https://techcombank.com/thong-tin/blog/the-ghi-no-visa-la-gi</t>
  </si>
  <si>
    <t>Hỏi phí mở TK → nhu cầu kế tiếp là cách mở. Bài cach-mo-tai-khoan đã link sang bài này (chiều ngược lại).</t>
  </si>
  <si>
    <t>Thẻ Visa Debit — Eco Card là một loại Visa Debit. (Theo title/meta, chưa đọc bài.)</t>
  </si>
  <si>
    <t>Quy định số TK/CCCD; chèn ở đoạn hướng dẫn đăng ký thêm TK.</t>
  </si>
  <si>
    <t>CCB</t>
  </si>
  <si>
    <t>https://techcombank.com/thong-tin/blog/diem-tin-dung</t>
  </si>
  <si>
    <t>Nhắc: mở tài khoản.</t>
  </si>
  <si>
    <t>Nhắc: tài khoản ngân hàng.</t>
  </si>
  <si>
    <t>Điểm tín dụng CIC — cần hiểu CIC là gì. (Theo title/meta, chưa đọc bài.)</t>
  </si>
  <si>
    <t>CIC là gì</t>
  </si>
  <si>
    <t>https://techcombank.com/thong-tin/blog/lich-su-tin-dung</t>
  </si>
  <si>
    <t>Lịch sử tín dụng lưu tại CIC. (Theo title/meta, chưa đọc bài.)</t>
  </si>
  <si>
    <t>CIC</t>
  </si>
  <si>
    <t>https://techcombank.com/thong-tin/blog/no-nhom-3</t>
  </si>
  <si>
    <t>Nợ nhóm 3 bao lâu xóa trên CIC. (Theo title/meta, chưa đọc bài.)</t>
  </si>
  <si>
    <t>Trung tâm Thông tin Tín dụng (CIC)</t>
  </si>
  <si>
    <t>https://techcombank.com/thong-tin/blog/cach-lien-ket-epass-voi-tai-khoan-ngan-hang</t>
  </si>
  <si>
    <t>https://techcombank.com/thong-tin/blog/no-chu-y-la-gi</t>
  </si>
  <si>
    <t>Nợ cần chú ý được ghi nhận trên CIC. (Theo title/meta, chưa đọc bài.)</t>
  </si>
  <si>
    <t>tra cứu CIC cá nhân</t>
  </si>
  <si>
    <t>https://techcombank.com/thong-tin/blog/no-xau-nhom-2</t>
  </si>
  <si>
    <t>Nợ nhóm 2 — tra trên CIC. (Theo title/meta, chưa đọc bài.)</t>
  </si>
  <si>
    <t>kiểm tra CIC</t>
  </si>
  <si>
    <t>https://techcombank.com/thong-tin/blog/phi-rut-tien-mat-the-tin-dung</t>
  </si>
  <si>
    <t>Nhắc: mở tài khoản, tài khoản ngân hàng.</t>
  </si>
  <si>
    <t>https://techcombank.com/thong-tin/blog/mo-them-tai-khoan-ngan-hang-cho-cong-ty</t>
  </si>
  <si>
    <t>Bài phí rút tiền — người đọc cần cách rút. (Theo title/meta, chưa đọc bài.)</t>
  </si>
  <si>
    <t>rút tiền mặt từ thẻ tín dụng</t>
  </si>
  <si>
    <t>https://techcombank.com/thong-tin/blog/the-visa-co-rut-tien-duoc-khong</t>
  </si>
  <si>
    <t>https://techcombank.com/thong-tin/blog/techcombank-sinh-loi-tu-dong</t>
  </si>
  <si>
    <t>Thẻ Visa rút tiền được không — dẫn sang hướng dẫn rút từ thẻ tín dụng. (Theo title/meta, chưa đọc bài.)</t>
  </si>
  <si>
    <t>Nhắc: tài khoản thanh toán.</t>
  </si>
  <si>
    <t>cách rút tiền thẻ tín dụng</t>
  </si>
  <si>
    <t>Nhu cầu lấy tiền mặt từ thẻ tín dụng tương tự. (Theo title/meta, chưa đọc bài.)</t>
  </si>
  <si>
    <t>https://techcombank.com/thong-tin/blog/han-muc-the-tin-dung</t>
  </si>
  <si>
    <t>Hạn mức rút tiền mặt là một phần hạn mức thẻ. (Theo title/meta, chưa đọc bài.)</t>
  </si>
  <si>
    <t>Nhắc: mở tài khoản, tài khoản ngân hàng, tài khoản thanh toán.</t>
  </si>
  <si>
    <t>https://techcombank.com/thong-tin/blog/lai-suat-the-tin-dung</t>
  </si>
  <si>
    <t>https://techcombank.com/thong-tin/blog/tai-khoan-ngan-hang-chua-toi-da-bao-nhieu-tien</t>
  </si>
  <si>
    <t>Rút tiền mặt phát sinh lãi ngay — chèn ở đoạn khi nào phát sinh lãi. (Theo title/meta, chưa đọc bài.)</t>
  </si>
  <si>
    <t>Định nghĩa thẻ tín dụng → nhu cầu làm thẻ. (Theo title/meta, chưa đọc bài.)</t>
  </si>
  <si>
    <t>https://techcombank.com/thong-tin/blog/dang-ky-nhieu-tai-khoan-ngan-hang-co-sao-khong</t>
  </si>
  <si>
    <t>làm thẻ tín dụng</t>
  </si>
  <si>
    <t>Một cách mở thẻ — dẫn sang hướng dẫn đầy đủ. (Theo title/meta, chưa đọc bài.)</t>
  </si>
  <si>
    <t>mở thẻ tín dụng</t>
  </si>
  <si>
    <t>https://techcombank.com/thong-tin/blog/lam-the-tin-dung-co-mat-phi-khong</t>
  </si>
  <si>
    <t>Phí làm thẻ — đi kèm thủ tục làm thẻ. (Theo title/meta, chưa đọc bài.)</t>
  </si>
  <si>
    <t>Điều kiện mở thẻ — sát chủ đề. (Theo title/meta, chưa đọc bài.)</t>
  </si>
  <si>
    <t>https://techcombank.com/thong-tin/blog/co-nen-dung-the-tin-dung-khong</t>
  </si>
  <si>
    <t>Quyết định dùng thẻ → bước làm thẻ. (Theo title/meta, chưa đọc bài.)</t>
  </si>
  <si>
    <t>https://techcombank.com/thong-tin/blog/the-tin-dung-nao-nhieu-uu-dai-nhat</t>
  </si>
  <si>
    <t>So sánh thẻ tín dụng Techcombank — Everyday nên được nhắc. (Theo title/meta, chưa đọc bài.)</t>
  </si>
  <si>
    <t>thẻ tín dụng Techcombank Everyday</t>
  </si>
  <si>
    <t>https://techcombank.com/thong-tin/blog/thoi-gian-hoan-tien-the-tin-dung</t>
  </si>
  <si>
    <t>Chương trình hoàn tiền thẻ tín dụng Techcombank. (Theo title/meta, chưa đọc bài.)</t>
  </si>
  <si>
    <t>Techcombank Everyday</t>
  </si>
  <si>
    <t>https://techcombank.com/thong-tin/blog/uu-dai-the-tin-dung</t>
  </si>
  <si>
    <t>Top ưu đãi thẻ tín dụng; chèn ở mục Techcombank. (Theo title/meta, chưa đọc bài.)</t>
  </si>
  <si>
    <t>https://techcombank.com/thong-tin/blog/cac-loai-the-tin-dung</t>
  </si>
  <si>
    <t>Top app ngân hàng uy tín — anh em chủ đề, người đọc muốn biết ngân hàng nào uy tín.</t>
  </si>
  <si>
    <t>Phân loại thẻ — chèn ví dụ thẻ hoàn tiền. (Theo title/meta, chưa đọc bài.)</t>
  </si>
  <si>
    <t>Gửi tiền có an toàn không → chọn ngân hàng uy tín.</t>
  </si>
  <si>
    <t>https://techcombank.com/thong-tin/blog/mo-the-tin-dung-co-loi-ich-gi</t>
  </si>
  <si>
    <t>Tiêu chí chọn ngân hàng — uy tín là một tiêu chí.</t>
  </si>
  <si>
    <t>https://techcombank.com/thong-tin/blog/gio-lam-viec-ngan-hang</t>
  </si>
  <si>
    <t>Lợi ích thẻ tín dụng — hoàn tiền là một lợi ích. (Theo title/meta, chưa đọc bài.)</t>
  </si>
  <si>
    <t>Nhắc nhiều ngân hàng lớn; chèn ở đoạn mở đầu. (Liên quan yếu – bản chặt đã loại.)</t>
  </si>
  <si>
    <t>https://techcombank.com/thong-tin/blog/gia-tri-thuong-hieu</t>
  </si>
  <si>
    <t>Giá trị thương hiệu ngân hàng — liên quan bảng xếp hạng ngân hàng. (Liên quan yếu – bản chặt đã loại.)</t>
  </si>
  <si>
    <t>Nhắc: các ngân hàng.</t>
  </si>
  <si>
    <t>Title nhắc 'hoàn tiền' khi trả tiền điện bằng thẻ tín dụng. (Theo title/meta, chưa đọc bài.)</t>
  </si>
  <si>
    <t>thẻ tín dụng hoàn tiền</t>
  </si>
  <si>
    <t>https://techcombank.com/thong-tin/blog/cashback-the-thanh-toan</t>
  </si>
  <si>
    <t>Cashback thẻ thanh toán (ghi nợ) — so sánh với thẻ tín dụng hoàn tiền. (Theo title/meta, chưa đọc bài.)</t>
  </si>
  <si>
    <t>https://techcombank.com/thong-tin/blog/nen-vay-the-chap-ngan-hang-nao</t>
  </si>
  <si>
    <t>thẻ hoàn tiền</t>
  </si>
  <si>
    <t>https://techcombank.com/thong-tin/blog/uu-dai-mo-the-tin-dung</t>
  </si>
  <si>
    <t>Nhắc: ngân hàng nào, chọn ngân hàng.</t>
  </si>
  <si>
    <t>https://techcombank.com/thong-tin/blog/su-hop-tac-cua-ngan-hang-va-fintech-tren-hanh-trinh-chuyen-doi-so</t>
  </si>
  <si>
    <t>Ưu đãi mở thẻ — hoàn tiền là ưu đãi phổ biến. (Theo title/meta, chưa đọc bài.)</t>
  </si>
  <si>
    <t>thẻ cashback</t>
  </si>
  <si>
    <t>Nhắc: ngân hàng nào.</t>
  </si>
  <si>
    <t>https://techcombank.com/thong-tin/blog/lam-the-visa-o-dau</t>
  </si>
  <si>
    <t>https://techcombank.com/thong-tin/blog/the-tin-dung-mien-phi-thuong-nien</t>
  </si>
  <si>
    <t>Nhắc: chọn ngân hàng.</t>
  </si>
  <si>
    <t>Top thẻ đáng mở — chèn ở tiêu chí chọn thẻ. (Theo title/meta, chưa đọc bài.)</t>
  </si>
  <si>
    <t>https://techcombank.com/thong-tin/blog/cach-su-dung-the-tin-dung</t>
  </si>
  <si>
    <t>Nhắc: ngân hàng uy tín, ngân hàng nào.</t>
  </si>
  <si>
    <t>Dùng thẻ tiết kiệm — tận dụng hoàn tiền. (Theo title/meta, chưa đọc bài.)</t>
  </si>
  <si>
    <t>Nhắc: chọn ngân hàng, ngân hàng tốt.</t>
  </si>
  <si>
    <t>https://techcombank.com/thong-tin/blog/vay-sinh-vien</t>
  </si>
  <si>
    <t>https://techcombank.com/thong-tin/blog/phi-thuong-nien-la-gi</t>
  </si>
  <si>
    <t>https://techcombank.com/thong-tin/blog/lai-suat-vay-tieu-dung</t>
  </si>
  <si>
    <t>Không muốn trả phí thường niên → hủy thẻ. (Theo title/meta, chưa đọc bài.)</t>
  </si>
  <si>
    <t>cách hủy thẻ tín dụng</t>
  </si>
  <si>
    <t>https://techcombank.com/thong-tin/blog/khong-su-dung-the-tin-dung-co-mat-phi-khong</t>
  </si>
  <si>
    <t>https://techcombank.com/thong-tin/blog/gui-tiet-kiem-ngoai-te</t>
  </si>
  <si>
    <t>https://techcombank.com/thong-tin/blog/the-tin-dung-mien-lai-55-ngay</t>
  </si>
  <si>
    <t>Không dùng thẻ vẫn mất phí → nên hủy. (Theo title/meta, chưa đọc bài.)</t>
  </si>
  <si>
    <t>hủy thẻ tín dụng</t>
  </si>
  <si>
    <t>https://techcombank.com/thong-tin/blog/cach-khoa-the-ngan-hang</t>
  </si>
  <si>
    <t>Khóa vs hủy thẻ — đối chiếu trực tiếp. (Theo title/meta, chưa đọc bài.)</t>
  </si>
  <si>
    <t>https://techcombank.com/thong-tin/blog/the-tin-dung-bi-khoa</t>
  </si>
  <si>
    <t>https://techcombank.com/thong-tin/blog/mat-the-tin-dung-co-lam-lai-duoc-khong</t>
  </si>
  <si>
    <t>Thẻ bị khóa — chèn ở đoạn phân biệt khóa/hủy. (Theo title/meta, chưa đọc bài.)</t>
  </si>
  <si>
    <t>https://techcombank.com/thong-tin/blog/the-tin-dung-het-han</t>
  </si>
  <si>
    <t>Thẻ hết hạn: gia hạn hoặc hủy. (Theo title/meta, chưa đọc bài.)</t>
  </si>
  <si>
    <t>Lịch sử tín dụng quyết định xếp hạng tín dụng. (Theo title/meta, chưa đọc bài.)</t>
  </si>
  <si>
    <t>xếp hạng tín dụng</t>
  </si>
  <si>
    <t>https://techcombank.com/thong-tin/blog/viet-kieu-co-mo-duoc-tai-khoan-ngan-hang-khong</t>
  </si>
  <si>
    <t>Điều kiện vay — xếp hạng tín dụng là một yếu tố. (Theo title/meta, chưa đọc bài.)</t>
  </si>
  <si>
    <t>xếp hạng tín dụng cá nhân</t>
  </si>
  <si>
    <t>https://techcombank.com/thong-tin/blog/ty-gia-cac-ngan-hang</t>
  </si>
  <si>
    <t>https://techcombank.com/thong-tin/blog/no-xau-co-vay-the-chap-duoc-khong</t>
  </si>
  <si>
    <t>Nhắc: chọn ngân hàng, các ngân hàng.</t>
  </si>
  <si>
    <t>https://techcombank.com/thong-tin/blog/ty-gia-la-gi</t>
  </si>
  <si>
    <t>Nợ xấu làm giảm xếp hạng. (Theo title/meta, chưa đọc bài.)</t>
  </si>
  <si>
    <t>https://techcombank.com/thong-tin/blog/thanh-toan-toi-thieu-the-tin-dung</t>
  </si>
  <si>
    <t>Thanh toán tối thiểu — liên quan trực tiếp cách trả dư nợ. (Theo title/meta, chưa đọc bài.)</t>
  </si>
  <si>
    <t>cách thanh toán thẻ tín dụng</t>
  </si>
  <si>
    <t>https://techcombank.com/thong-tin/blog/qua-han-thanh-toan-the-tin-dung-1-ngay</t>
  </si>
  <si>
    <t>Quá hạn → hướng dẫn các kênh thanh toán để không trễ. (Theo title/meta, chưa đọc bài.)</t>
  </si>
  <si>
    <t>thanh toán dư nợ thẻ tín dụng</t>
  </si>
  <si>
    <t>https://techcombank.com/thong-tin/blog/sao-ke-the-tin-dung-la-gi</t>
  </si>
  <si>
    <t>Sao kê ghi số tiền và hạn thanh toán. (Theo title/meta, chưa đọc bài.)</t>
  </si>
  <si>
    <t>trả nợ thẻ tín dụng</t>
  </si>
  <si>
    <t>Hướng dẫn chuyển tiền — phần lưu ý/xử lý sự cố chèn được.</t>
  </si>
  <si>
    <t>https://techcombank.com/thong-tin/blog/no-the-tin-dung-qua-han</t>
  </si>
  <si>
    <t>Nợ quá hạn — cần cách trả nợ thẻ. (Theo title/meta, chưa đọc bài.)</t>
  </si>
  <si>
    <t>Chuyển liên ngân hàng là trường hợp hay bị chậm nhận tiền.</t>
  </si>
  <si>
    <t>Mã giao dịch dùng để tra soát khi chuyển thành công mà chưa nhận.</t>
  </si>
  <si>
    <t>Miễn lãi khi thanh toán đúng hạn. (Theo title/meta, chưa đọc bài.)</t>
  </si>
  <si>
    <t>Sự cố chuyển tiền tương tự, người đọc quan tâm cả hai tình huống.</t>
  </si>
  <si>
    <t>CD</t>
  </si>
  <si>
    <t>https://techcombank.com/thong-tin/blog/chung-chi-tien-gui-khac-gi-so-tiet-kiem</t>
  </si>
  <si>
    <t>Sai thông tin ngân hàng thụ hưởng là một nguyên nhân không nhận được tiền.</t>
  </si>
  <si>
    <t>https://techcombank.com/thong-tin/blog/loa-thong-bao-chuyen-khoan</t>
  </si>
  <si>
    <t>So sánh CD và tiết kiệm — cần định nghĩa CD. (Theo title/meta, chưa đọc bài.)</t>
  </si>
  <si>
    <t>chứng chỉ tiền gửi là gì</t>
  </si>
  <si>
    <t>https://techcombank.com/thong-tin/blog/chung-chi-tien-gui-co-phai-la-trai-phieu-khong</t>
  </si>
  <si>
    <t>Nhắc: chuyển khoản.</t>
  </si>
  <si>
    <t>Câu hỏi bản chất CD. (Theo title/meta, chưa đọc bài.)</t>
  </si>
  <si>
    <t>chứng chỉ tiền gửi</t>
  </si>
  <si>
    <t>Nhắc: chuyển tiền.</t>
  </si>
  <si>
    <t>https://techcombank.com/thong-tin/blog/co-nen-gui-chung-chi-tien-gui</t>
  </si>
  <si>
    <t>Nhắc: chuyển tiền, thụ hưởng.</t>
  </si>
  <si>
    <t>https://techcombank.com/thong-tin/blog/remittance-la-gi</t>
  </si>
  <si>
    <t>Lý do nên mua CD → dẫn về bài tổng quan. (Theo title/meta, chưa đọc bài.)</t>
  </si>
  <si>
    <t>https://techcombank.com/thong-tin/blog/chung-chi-tien-gui-co-an-toan-khong</t>
  </si>
  <si>
    <t>Tính an toàn của CD. (Theo title/meta, chưa đọc bài.)</t>
  </si>
  <si>
    <t>https://techcombank.com/thong-tin/blog/tien-nhan-roi-nen-lam-gi</t>
  </si>
  <si>
    <t>Kênh sinh lời cho tiền nhàn rỗi — CD là một kênh. (Theo title/meta, chưa đọc bài.)</t>
  </si>
  <si>
    <t>https://techcombank.com/thong-tin/blog/loa-ting-ting</t>
  </si>
  <si>
    <t>Nhắc: chuyển khoản, chuyển tiền.</t>
  </si>
  <si>
    <t>https://techcombank.com/thong-tin/blog/uu-diem-cua-blockchain</t>
  </si>
  <si>
    <t>https://techcombank.com/thong-tin/blog/iban-la-gi</t>
  </si>
  <si>
    <t>https://techcombank.com/thong-tin/blog/nguoi-duoc-bao-hiem-la-gi</t>
  </si>
  <si>
    <t>Tính lợi nhuận CD cần mức lãi suất. (Theo title/meta, chưa đọc bài.)</t>
  </si>
  <si>
    <t>lãi suất chứng chỉ tiền gửi các ngân hàng</t>
  </si>
  <si>
    <t>https://techcombank.com/thong-tin/blog/tat-toan-chung-chi-tien-gui</t>
  </si>
  <si>
    <t>Nhắc: thụ hưởng.</t>
  </si>
  <si>
    <t>Tất toán ảnh hưởng lợi suất — chèn ở đoạn lãi suất. (Theo title/meta, chưa đọc bài.)</t>
  </si>
  <si>
    <t>lãi suất chứng chỉ tiền gửi</t>
  </si>
  <si>
    <t>https://techcombank.com/thong-tin/blog/chung-chi-tien-gui-co-duoc-rut-truoc-han</t>
  </si>
  <si>
    <t>Rút trước hạn mất lãi suất — chèn ở đoạn lãi. (Theo title/meta, chưa đọc bài.)</t>
  </si>
  <si>
    <t>lợi suất chứng chỉ tiền gửi</t>
  </si>
  <si>
    <t>Nhắc: chuyển khoản, chuyển nhầm.</t>
  </si>
  <si>
    <t>https://techcombank.com/thong-tin/blog/chuyen-nhuong-chung-chi-tien-gui</t>
  </si>
  <si>
    <t>https://techcombank.com/thong-tin/blog/cach-su-dung-the-visa-techcombank</t>
  </si>
  <si>
    <t>Giá chuyển nhượng phụ thuộc lãi suất. (Theo title/meta, chưa đọc bài.)</t>
  </si>
  <si>
    <t>https://techcombank.com/thong-tin/blog/ma-swift-ngan-hang</t>
  </si>
  <si>
    <t>FX</t>
  </si>
  <si>
    <t>https://techcombank.com/thong-tin/blog/tien-trung-quoc</t>
  </si>
  <si>
    <t>https://techcombank.com/thong-tin/blog/vi-dien-tu-la-gi</t>
  </si>
  <si>
    <t>Bài tổng quan tiền Trung Quốc — dẫn sang quy đổi 1 tệ. (Theo title/meta, chưa đọc bài.)</t>
  </si>
  <si>
    <t>1 Tệ bằng bao nhiêu tiền Việt</t>
  </si>
  <si>
    <t>https://techcombank.com/thong-tin/blog/1-van-te-bang-bao-nhieu-tien-viet</t>
  </si>
  <si>
    <t>Bài anh em mệnh giá 1 vạn tệ. (Theo title/meta, chưa đọc bài.)</t>
  </si>
  <si>
    <t>tỷ giá Nhân dân tệ</t>
  </si>
  <si>
    <t>https://techcombank.com/thong-tin/blog/1000-te-bang-bao-nhieu-tien-viet</t>
  </si>
  <si>
    <t>Bài anh em mệnh giá 1000 tệ. (Theo title/meta, chưa đọc bài.)</t>
  </si>
  <si>
    <t>https://techcombank.com/thong-tin/blog/thanh-toan-khi-du-lich-trung-quoc</t>
  </si>
  <si>
    <t>Du lịch Trung Quốc cần quy đổi tệ. (Theo title/meta, chưa đọc bài.)</t>
  </si>
  <si>
    <t>https://techcombank.com/thong-tin/blog/xu-huong-ty-gia-usd</t>
  </si>
  <si>
    <t>https://techcombank.com/thong-tin/blog/chuyen-tien-dinh-cu</t>
  </si>
  <si>
    <t>Xu hướng tỷ giá USD — người đọc cần tỷ giá hiện tại. (Theo title/meta, chưa đọc bài.)</t>
  </si>
  <si>
    <t>1 đô la Mỹ bằng bao nhiêu tiền Việt</t>
  </si>
  <si>
    <t>https://techcombank.com/thong-tin/blog/dieu-kien-mua-usd-tu-ngan-hang</t>
  </si>
  <si>
    <t>https://techcombank.com/thong-tin/blog/dinh-cu-chau-au</t>
  </si>
  <si>
    <t>https://techcombank.com/thong-tin/blog/cam-nang-dinh-cu-my</t>
  </si>
  <si>
    <t>Mua USD cần biết 1 USD bằng bao nhiêu VND. (Theo title/meta, chưa đọc bài.)</t>
  </si>
  <si>
    <t>1 đô bằng bao nhiêu tiền Việt</t>
  </si>
  <si>
    <t>https://techcombank.com/thong-tin/blog/1-cent-bang-bao-nhieu-tien-viet</t>
  </si>
  <si>
    <t>Bài anh em (cent = 1/100 USD). (Theo title/meta, chưa đọc bài.)</t>
  </si>
  <si>
    <t>tỷ giá USD/VND</t>
  </si>
  <si>
    <t>https://techcombank.com/thong-tin/blog/lai-suat-gui-tiet-kiem-usd</t>
  </si>
  <si>
    <t>Tiết kiệm USD — quy đổi sang VND. (Theo title/meta, chưa đọc bài.)</t>
  </si>
  <si>
    <t>https://techcombank.com/thong-tin/blog/chuyen-tien-tu-my-ve-viet-nam</t>
  </si>
  <si>
    <t>Chuyển tiền từ Mỹ — quy đổi USD. (Theo title/meta, chưa đọc bài.)</t>
  </si>
  <si>
    <t>https://techcombank.com/thong-tin/blog/thanh-toan-khi-du-lich-nhat-ban</t>
  </si>
  <si>
    <t>Du lịch Nhật cần biết mệnh giá tiền Nhật. (Theo title/meta, chưa đọc bài.)</t>
  </si>
  <si>
    <t>tiền Nhật</t>
  </si>
  <si>
    <t>https://techcombank.com/thong-tin/blog/chuyen-tien-tu-nhat-ve-viet-nam</t>
  </si>
  <si>
    <t>Tài khoản cho con — phụ huynh cần biết quy định độ tuổi.</t>
  </si>
  <si>
    <t>HSSV chọn thẻ — câu hỏi bao nhiêu tuổi được làm thẻ đi kèm.</t>
  </si>
  <si>
    <t>Làm thẻ ATM; chèn ở mục điều kiện (độ tuổi).</t>
  </si>
  <si>
    <t>Chuyển tiền từ Nhật — liên quan tiền Yên. (Theo title/meta, chưa đọc bài.)</t>
  </si>
  <si>
    <t>tiền Yên Nhật</t>
  </si>
  <si>
    <t>https://techcombank.com/thong-tin/blog/1-nguoi-co-the-lam-duoc-bao-nhieu-the-atm</t>
  </si>
  <si>
    <t>Quy định làm thẻ; chèn ở đoạn điều kiện chủ thẻ. (Liên quan yếu – bản chặt đã loại.)</t>
  </si>
  <si>
    <t>Bài quy đổi 1 Yên dẫn về tổng quan tiền Nhật. (Theo title/meta, chưa đọc bài.)</t>
  </si>
  <si>
    <t>https://techcombank.com/thong-tin/blog/lam-the-atm-bao-lau-co</t>
  </si>
  <si>
    <t>Thời gian làm thẻ; chèn ở đoạn điều kiện làm thẻ. (Liên quan yếu – bản chặt đã loại.)</t>
  </si>
  <si>
    <t>Bài 1 Man dẫn về mệnh giá tiền Nhật. (Theo title/meta, chưa đọc bài.)</t>
  </si>
  <si>
    <t>https://techcombank.com/thong-tin/blog/tap-doan-thanh-quang-khoi-sac-kinh-doanh-nho-nguon-von-vay-tin-dung-techcombank-tren-nen-tang-misa-lending</t>
  </si>
  <si>
    <t>https://techcombank.com/thong-tin/blog/1000-yen-bang-bao-nhieu-tien-viet</t>
  </si>
  <si>
    <t>Nhắc: trẻ em.</t>
  </si>
  <si>
    <t>https://techcombank.com/thong-tin/blog/the-he-ke-can</t>
  </si>
  <si>
    <t>Nhắc: cho con.</t>
  </si>
  <si>
    <t>Nhắc: tuổi.</t>
  </si>
  <si>
    <t>Bài anh em mệnh giá 1000 Yên. (Theo title/meta, chưa đọc bài.)</t>
  </si>
  <si>
    <t>1 Yên bằng bao nhiêu tiền Việt</t>
  </si>
  <si>
    <t>https://techcombank.com/thong-tin/blog/lam-the-atm-co-mat-phi-khong</t>
  </si>
  <si>
    <t>Bài tổng quan tiền Nhật — đoạn tỷ giá dẫn sang quy đổi 1 Yên. (Theo title/meta, chưa đọc bài.)</t>
  </si>
  <si>
    <t>tỷ giá Yên Nhật</t>
  </si>
  <si>
    <t>Nhắc: làm thẻ.</t>
  </si>
  <si>
    <t>1 Man = 10.000 Yên — dẫn sang tỷ giá 1 Yên. (Theo title/meta, chưa đọc bài.)</t>
  </si>
  <si>
    <t>https://techcombank.com/thong-tin/blog/sai-lam-ve-tai-chinh-ca-nhan</t>
  </si>
  <si>
    <t>Chuyển tiền từ Nhật — quy đổi JPY/VND. (Theo title/meta, chưa đọc bài.)</t>
  </si>
  <si>
    <t>https://techcombank.com/thong-tin/blog/the-visa-de-lam-gi</t>
  </si>
  <si>
    <t>https://techcombank.com/thong-tin/blog/1-trieu-won-bang-bao-nhieu-tien-viet</t>
  </si>
  <si>
    <t>Bài anh em mệnh giá 1 triệu Won. (Theo title/meta, chưa đọc bài.)</t>
  </si>
  <si>
    <t>1 Won bằng bao nhiêu tiền Việt</t>
  </si>
  <si>
    <t>Nhắc: tuổi, học sinh.</t>
  </si>
  <si>
    <t>Bài anh em 1000 Won. (Theo title/meta, chưa đọc bài.)</t>
  </si>
  <si>
    <t>tỷ giá Won</t>
  </si>
  <si>
    <t>https://techcombank.com/thong-tin/blog/no-xau-co-lam-the-visa-duoc-khong</t>
  </si>
  <si>
    <t>https://techcombank.com/thong-tin/blog/thanh-toan-khi-du-lich-han-quoc</t>
  </si>
  <si>
    <t>Du lịch Hàn Quốc cần quy đổi Won. (Theo title/meta, chưa đọc bài.)</t>
  </si>
  <si>
    <t>https://techcombank.com/thong-tin/blog/chuyen-tien-tu-han-sang-viet-nam</t>
  </si>
  <si>
    <t>https://techcombank.com/thong-tin/blog/lam-the-visa-mat-bao-lau</t>
  </si>
  <si>
    <t>Chuyển tiền Hàn về VN — tỷ giá Won. (Theo title/meta, chưa đọc bài.)</t>
  </si>
  <si>
    <t>So sánh tỷ giá các ngân hàng — chèn ở mục KRW. (Theo title/meta, chưa đọc bài.)</t>
  </si>
  <si>
    <t>https://techcombank.com/thong-tin/blog/shopeepay-la-gi</t>
  </si>
  <si>
    <t>https://techcombank.com/thong-tin/blog/1-van-tien-dai-loan-bang-bao-nhieu-tien-viet</t>
  </si>
  <si>
    <t>Nhắc: sinh viên.</t>
  </si>
  <si>
    <t>https://techcombank.com/thong-tin/blog/the-mastercard-la-gi</t>
  </si>
  <si>
    <t>Bài anh em 1 vạn Đài tệ. (Theo title/meta, chưa đọc bài.)</t>
  </si>
  <si>
    <t>tiền Đài Loan</t>
  </si>
  <si>
    <t>https://techcombank.com/thong-tin/blog/lam-the-visa-online</t>
  </si>
  <si>
    <t>https://techcombank.com/thong-tin/blog/ngoai-te-la-gi</t>
  </si>
  <si>
    <t>Định nghĩa ngoại tệ; chèn ví dụ Đài tệ. (Theo title/meta, chưa đọc bài.)</t>
  </si>
  <si>
    <t>Tân Đài tệ</t>
  </si>
  <si>
    <t>Bảng tỷ giá — chèn ở mục TWD. (Theo title/meta, chưa đọc bài.)</t>
  </si>
  <si>
    <t>tỷ giá Đài tệ</t>
  </si>
  <si>
    <t>https://techcombank.com/thong-tin/blog/han-muc-mua-ngoai-te-khi-di-du-lich</t>
  </si>
  <si>
    <t>Mua ngoại tệ đi du lịch — chèn ví dụ Đài Loan. (Theo title/meta, chưa đọc bài.)</t>
  </si>
  <si>
    <t>https://techcombank.com/thong-tin/blog/lam-the-thanh-toan-quoc-te</t>
  </si>
  <si>
    <t>Tổng quan tiền Nhật — đoạn mệnh giá 10.000 Yên dẫn sang 1 Man. (Theo title/meta, chưa đọc bài.)</t>
  </si>
  <si>
    <t>1 Man bằng bao nhiêu tiền Việt</t>
  </si>
  <si>
    <t>Bài 1 Yên — chèn ở đoạn quy đổi mệnh giá lớn. (Theo title/meta, chưa đọc bài.)</t>
  </si>
  <si>
    <t>1 Man Nhật</t>
  </si>
  <si>
    <t>Bài 1000 Yên — dẫn sang 1 Man. (Theo title/meta, chưa đọc bài.)</t>
  </si>
  <si>
    <t>Người lao động Nhật hay tính lương theo 'man'. (Theo title/meta, chưa đọc bài.)</t>
  </si>
  <si>
    <t>https://techcombank.com/thong-tin/blog/thanh-toan-hoc-phi-online</t>
  </si>
  <si>
    <t>Du lịch Nhật; chèn ở đoạn chuẩn bị tiền mặt. (Theo title/meta, chưa đọc bài.)</t>
  </si>
  <si>
    <t>Nhắc: học sinh.</t>
  </si>
  <si>
    <t>Mở rộng chủ đề (theo plan): bài nhắc con, tài khoản, ngân hàng.</t>
  </si>
  <si>
    <t>https://techcombank.com/thong-tin/blog/thanh-toan-khi-du-lich-thai-lan</t>
  </si>
  <si>
    <t>Du lịch Thái cần biết tiền Thái. (Theo title/meta, chưa đọc bài.)</t>
  </si>
  <si>
    <t>tiền Thái Lan</t>
  </si>
  <si>
    <t>https://techcombank.com/thong-tin/blog/thanh-toan-qr-thai-lan</t>
  </si>
  <si>
    <t>Thanh toán QR ở Thái — liên quan quy đổi Baht. (Theo title/meta, chưa đọc bài.)</t>
  </si>
  <si>
    <t>tiền Baht Thái</t>
  </si>
  <si>
    <t>Mua ngoại tệ đi du lịch — ví dụ Baht. (Theo title/meta, chưa đọc bài.)</t>
  </si>
  <si>
    <t>tiền Baht</t>
  </si>
  <si>
    <t>https://techcombank.com/thong-tin/blog/di-du-lich-nuoc-ngoai-can-chuan-bi-gi</t>
  </si>
  <si>
    <t>Thẻ Debit cho con — mở TK cho con dưới 18 tuổi là bước đi kèm.</t>
  </si>
  <si>
    <t>Checklist du lịch — mục đổi tiền. (Theo title/meta, chưa đọc bài.)</t>
  </si>
  <si>
    <t>Mở TK tiết kiệm cho con — liên quan trực tiếp.</t>
  </si>
  <si>
    <t>https://techcombank.com/thong-tin/blog/thanh-toan-bang-the-quoc-te</t>
  </si>
  <si>
    <t>Mở TK online; chèn câu lưu ý cho người dưới 18 tuổi.</t>
  </si>
  <si>
    <t>https://techcombank.com/thong-tin/blog/quy-gia-dinh</t>
  </si>
  <si>
    <t>Thanh toán thẻ quốc tế khi du lịch — chèn ở đoạn tiền mặt. (Theo title/meta, chưa đọc bài.)</t>
  </si>
  <si>
    <t>Quỹ gia đình trên app; chèn ở đoạn thành viên là con. (Liên quan yếu – bản chặt đã loại.)</t>
  </si>
  <si>
    <t>https://techcombank.com/thong-tin/blog/dao-tao-the-he-ke-can</t>
  </si>
  <si>
    <t>Dạy con quản lý tài chính sớm; chèn ở đoạn thực hành có TK riêng. (Liên quan yếu – bản chặt đã loại.)</t>
  </si>
  <si>
    <t>Bài 1 USD — chèn ở đoạn quy đổi số tiền lớn. (Theo title/meta, chưa đọc bài.)</t>
  </si>
  <si>
    <t>1 triệu đô bằng bao nhiêu tiền Việt</t>
  </si>
  <si>
    <t>Nhắc: cho con, thế hệ kế cận.</t>
  </si>
  <si>
    <t>https://techcombank.com/thong-tin/blog/high-net-worth-client-va-ultra-high-net-worth-client</t>
  </si>
  <si>
    <t>https://techcombank.com/thong-tin/blog/cho-vay-kinh-doanh-ho-gia-dinh</t>
  </si>
  <si>
    <t>Ngưỡng tài sản 'triệu đô' của HNWI. (Theo title/meta, chưa đọc bài.)</t>
  </si>
  <si>
    <t>Nhắc: gia đình.</t>
  </si>
  <si>
    <t>https://techcombank.com/thong-tin/blog/cach-tiet-kiem-tien-hieu-qua-cho-gia-dinh</t>
  </si>
  <si>
    <t>Tỷ giá USD — ví dụ quy đổi 1 triệu đô. (Theo title/meta, chưa đọc bài.)</t>
  </si>
  <si>
    <t>https://techcombank.com/thong-tin/blog/bao-hiem-suc-khoe-la-gi</t>
  </si>
  <si>
    <t>Bài 1 Won có bảng quy đổi 1.000 Won (theo meta). (Theo title/meta, chưa đọc bài.)</t>
  </si>
  <si>
    <t>1000 Won bằng bao nhiêu tiền Việt</t>
  </si>
  <si>
    <t>Bài anh em mệnh giá. (Theo title/meta, chưa đọc bài.)</t>
  </si>
  <si>
    <t>https://techcombank.com/thong-tin/blog/bao-hiem-nhan-tho-la-gi</t>
  </si>
  <si>
    <t>1,000 won</t>
  </si>
  <si>
    <t>Du lịch Hàn — giá món đồ thường tính nghìn Won. (Theo title/meta, chưa đọc bài.)</t>
  </si>
  <si>
    <t>Chuyển tiền Hàn — quy đổi. (Theo title/meta, chưa đọc bài.)</t>
  </si>
  <si>
    <t>https://techcombank.com/thong-tin/blog/cac-loai-hinh-bao-hiem-nhan-tho</t>
  </si>
  <si>
    <t>https://techcombank.com/thong-tin/blog/kieu-hoi-la-gi</t>
  </si>
  <si>
    <t>Mở rộng chủ đề (theo plan): bài nhắc tuổi, tài khoản, ngân hàng số.</t>
  </si>
  <si>
    <t>Mở rộng chủ đề (theo plan): bài nhắc tuổi, con.</t>
  </si>
  <si>
    <t>Kiều hối là tiền từ nước ngoài về. (Theo title/meta, chưa đọc bài.)</t>
  </si>
  <si>
    <t>cách nhận tiền từ nước ngoài về Việt Nam</t>
  </si>
  <si>
    <t>Mở rộng chủ đề (theo plan): bài nhắc tuổi, tài khoản, ngân hàng.</t>
  </si>
  <si>
    <t>https://techcombank.com/thong-tin/blog/nhan-tien-western-union</t>
  </si>
  <si>
    <t>Mở rộng chủ đề (theo plan): bài nhắc con, tài khoản, số tài khoản.</t>
  </si>
  <si>
    <t>Một kênh nhận tiền từ nước ngoài. (Theo title/meta, chưa đọc bài.)</t>
  </si>
  <si>
    <t>nhận tiền từ nước ngoài</t>
  </si>
  <si>
    <t>Mở rộng chủ đề (theo plan): bài nhắc tuổi, tài khoản.</t>
  </si>
  <si>
    <t>Nhận tiền quốc tế cần mã SWIFT. (Theo title/meta, chưa đọc bài.)</t>
  </si>
  <si>
    <t>nhận kiều hối</t>
  </si>
  <si>
    <t>Trường hợp cụ thể từ Mỹ. (Theo title/meta, chưa đọc bài.)</t>
  </si>
  <si>
    <t>Mở rộng chủ đề (theo plan): bài nhắc sinh viên, ngân hàng.</t>
  </si>
  <si>
    <t>Remittance = chuyển tiền quốc tế. (Theo title/meta, chưa đọc bài.)</t>
  </si>
  <si>
    <t>Điều kiện mua USD → nơi mua. (Theo title/meta, chưa đọc bài.)</t>
  </si>
  <si>
    <t>đổi tiền đô ở đâu</t>
  </si>
  <si>
    <t>Hạn mức mua ngoại tệ → nơi đổi. (Theo title/meta, chưa đọc bài.)</t>
  </si>
  <si>
    <t>đổi USD ở đâu</t>
  </si>
  <si>
    <t>So sánh tỷ giá → chọn nơi đổi. (Theo title/meta, chưa đọc bài.)</t>
  </si>
  <si>
    <t>Checklist đi nước ngoài — đổi tiền. (Theo title/meta, chưa đọc bài.)</t>
  </si>
  <si>
    <t>Bài quy đổi USD — chèn ở đoạn đổi tiền. (Theo title/meta, chưa đọc bài.)</t>
  </si>
  <si>
    <t>Home Loan</t>
  </si>
  <si>
    <t>https://techcombank.com/thong-tin/blog/co-nen-vay-ngan-hang-mua-nha</t>
  </si>
  <si>
    <t>Cân nhắc vay mua nhà — ví dụ khoản vay 1 tỷ. (Theo title/meta, chưa đọc bài.)</t>
  </si>
  <si>
    <t>vay ngân hàng 1 tỷ mỗi tháng trả bao nhiêu</t>
  </si>
  <si>
    <t>https://techcombank.com/thong-tin/blog/thu-tuc-vay-ngan-hang-mua-nha</t>
  </si>
  <si>
    <t>Thủ tục vay mua nhà — câu hỏi trả mỗi tháng bao nhiêu. (Theo title/meta, chưa đọc bài.)</t>
  </si>
  <si>
    <t>vay 1 tỷ mỗi tháng trả bao nhiêu</t>
  </si>
  <si>
    <t>https://techcombank.com/thong-tin/blog/kinh-nghiem-vay-tien-mua-nha</t>
  </si>
  <si>
    <t>Kinh nghiệm tránh áp lực trả nợ hàng tháng. (Theo title/meta, chưa đọc bài.)</t>
  </si>
  <si>
    <t>vay 1 tỷ trong 20 năm mỗi tháng trả bao nhiêu</t>
  </si>
  <si>
    <t>https://techcombank.com/thong-tin/blog/vay-mua-chung-cu</t>
  </si>
  <si>
    <t>Máy CDM dùng để nộp tiền — một trong các cách nạp tiền vào TK.</t>
  </si>
  <si>
    <t>Vay mua chung cư thường ở mức ~1 tỷ. (Theo title/meta, chưa đọc bài.)</t>
  </si>
  <si>
    <t>Nạp tiền vào thẻ ghi nợ = nạp vào TK gắn thẻ.</t>
  </si>
  <si>
    <t>Lãi suất thế chấp → số tiền trả hàng tháng. (Theo title/meta, chưa đọc bài.)</t>
  </si>
  <si>
    <t>Meta description bài đích (vay-ngan-hang-1-ty) đang lệch nội dung — nên sửa. Bài chưa có trong file crawl: kiểm tra link cũ khi mở bài.</t>
  </si>
  <si>
    <t>TK 0 đồng → giải pháp nạp thêm tiền.</t>
  </si>
  <si>
    <t>Loyalty</t>
  </si>
  <si>
    <t>https://techcombank.com/thong-tin/blog/dat-ve-may-bay</t>
  </si>
  <si>
    <t>Đặt vé máy bay online — Traveloka là kênh đặt vé. (Theo title/meta, chưa đọc bài.)</t>
  </si>
  <si>
    <t>voucher Traveloka</t>
  </si>
  <si>
    <t>https://techcombank.com/thong-tin/blog/mua-ve-may-bay-gia-re</t>
  </si>
  <si>
    <t>Tìm ATM/CDM gần đây để nộp tiền.</t>
  </si>
  <si>
    <t>https://techcombank.com/thong-tin/blog/mm-yy-la-gi</t>
  </si>
  <si>
    <t>Săn vé rẻ — dùng voucher Traveloka. (Theo title/meta, chưa đọc bài.)</t>
  </si>
  <si>
    <t>cách lấy voucher Traveloka</t>
  </si>
  <si>
    <t>https://techcombank.com/thong-tin/blog/techcombank-oneu</t>
  </si>
  <si>
    <t>Nhắc: atm.</t>
  </si>
  <si>
    <t>Đổi điểm U-Point trên OneU — voucher Traveloka là quà đổi. (Theo title/meta, chưa đọc bài.)</t>
  </si>
  <si>
    <t>https://techcombank.com/thong-tin/blog/tich-diem-doi-qua</t>
  </si>
  <si>
    <t>Nhắc: nộp tiền.</t>
  </si>
  <si>
    <t>Tích điểm đổi quà — ví dụ voucher Traveloka. (Theo title/meta, chưa đọc bài.)</t>
  </si>
  <si>
    <t>Merchant</t>
  </si>
  <si>
    <t>Có mục 'mức thuế phải đóng' (theo title). (Theo title/meta, chưa đọc bài.)</t>
  </si>
  <si>
    <t>https://techcombank.com/thong-tin/blog/tra-cuu-han-muc-the-tin-dung</t>
  </si>
  <si>
    <t>Thuế khoán là cách đóng thuế của HKD. (Theo title/meta, chưa đọc bài.)</t>
  </si>
  <si>
    <t>hộ kinh doanh đóng thuế</t>
  </si>
  <si>
    <t>Miễn thuế — đối lập với nghĩa vụ đóng thuế. (Theo title/meta, chưa đọc bài.)</t>
  </si>
  <si>
    <t>Nhắc: nạp tiền.</t>
  </si>
  <si>
    <t>Truy thu khi đóng thuế sai. (Theo title/meta, chưa đọc bài.)</t>
  </si>
  <si>
    <t>nghĩa vụ thuế hộ kinh doanh</t>
  </si>
  <si>
    <t>Cập nhật quy định HKD — chèn ở đoạn thuế. (Theo title/meta, chưa đọc bài.)</t>
  </si>
  <si>
    <t>https://techcombank.com/thong-tin/blog/nhuong-quyen-la-gi</t>
  </si>
  <si>
    <t>Nhượng quyền là một mô hình kinh doanh. (Theo title/meta, chưa đọc bài.)</t>
  </si>
  <si>
    <t>mô hình kinh doanh là gì</t>
  </si>
  <si>
    <t>https://techcombank.com/thong-tin/blog/kinh-doanh-online</t>
  </si>
  <si>
    <t>Kinh doanh online — chọn mô hình. (Theo title/meta, chưa đọc bài.)</t>
  </si>
  <si>
    <t>mô hình kinh doanh</t>
  </si>
  <si>
    <t>Mô hình One-Stop Shop. (Theo title/meta, chưa đọc bài.)</t>
  </si>
  <si>
    <t>https://techcombank.com/thong-tin/blog/the-atm-gan-chip</t>
  </si>
  <si>
    <t>Tạo xong mã QR → gửi cho người khác. (Theo title/meta, chưa đọc bài.)</t>
  </si>
  <si>
    <t>gửi mã QR ngân hàng</t>
  </si>
  <si>
    <t>https://techcombank.com/thong-tin/blog/in-ma-qr-ngan-hang</t>
  </si>
  <si>
    <t>In mã QR — dạng chia sẻ khác. (Theo title/meta, chưa đọc bài.)</t>
  </si>
  <si>
    <t>cách gửi mã QR ngân hàng</t>
  </si>
  <si>
    <t>Gửi mã QR có an toàn không. (Theo title/meta, chưa đọc bài.)</t>
  </si>
  <si>
    <t>https://techcombank.com/thong-tin/blog/lam-ma-qr-ngan-hang-co-mat-phi-khong</t>
  </si>
  <si>
    <t>Phí làm mã QR — dẫn sang cách lấy/gửi. (Theo title/meta, chưa đọc bài.)</t>
  </si>
  <si>
    <t>https://techcombank.com/thong-tin/blog/ma-pin-the-atm</t>
  </si>
  <si>
    <t>Lỗi mã QR khi gửi/nhận. (Theo title/meta, chưa đọc bài.)</t>
  </si>
  <si>
    <t>HKD cần gì ở TK — sát chủ đề. (Theo title/meta, chưa đọc bài.)</t>
  </si>
  <si>
    <t>mở tài khoản hộ kinh doanh</t>
  </si>
  <si>
    <t>https://techcombank.com/thong-tin/blog/cach-kich-hoat-the-atm</t>
  </si>
  <si>
    <t>Thành lập HKD xong → mở TK. (Theo title/meta, chưa đọc bài.)</t>
  </si>
  <si>
    <t>cách mở tài khoản hộ kinh doanh</t>
  </si>
  <si>
    <t>https://techcombank.com/thong-tin/blog/atm-la-gi</t>
  </si>
  <si>
    <t>Khai báo TK với thuế — cần có TK HKD. (Theo title/meta, chưa đọc bài.)</t>
  </si>
  <si>
    <t>tài khoản hộ kinh doanh</t>
  </si>
  <si>
    <t>Định nghĩa HKD cá thể. (Theo title/meta, chưa đọc bài.)</t>
  </si>
  <si>
    <t>https://techcombank.com/thong-tin/blog/chuyen-doi-the-atm</t>
  </si>
  <si>
    <t>Đăng ký MST HKD — bước liền kề. (Theo title/meta, chưa đọc bài.)</t>
  </si>
  <si>
    <t>https://techcombank.com/thong-tin/blog/the-visa-ao-la-gi</t>
  </si>
  <si>
    <t>Kê khai cần tính số thuế trước. (Theo title/meta, chưa đọc bài.)</t>
  </si>
  <si>
    <t>cách tính thuế hộ kinh doanh nhỏ lẻ</t>
  </si>
  <si>
    <t>https://techcombank.com/thong-tin/blog/the-atm-tu</t>
  </si>
  <si>
    <t>Kiểm tra số thuế → đối chiếu cách tính. (Theo title/meta, chưa đọc bài.)</t>
  </si>
  <si>
    <t>cách tính thuế hộ kinh doanh</t>
  </si>
  <si>
    <t>Thuế TMĐT cho HKD — tính theo tỷ lệ doanh thu. (Theo title/meta, chưa đọc bài.)</t>
  </si>
  <si>
    <t>Chính sách thuế mới cho HKD. (Theo title/meta, chưa đọc bài.)</t>
  </si>
  <si>
    <t>Tổng quan HKD — chèn ở đoạn nghĩa vụ thuế. (Theo title/meta, chưa đọc bài.)</t>
  </si>
  <si>
    <t>Secured Lending</t>
  </si>
  <si>
    <t>https://techcombank.com/thong-tin/blog/du-no-la-gi</t>
  </si>
  <si>
    <t>Dư nợ là cơ sở tính lãi. (Theo title/meta, chưa đọc bài.)</t>
  </si>
  <si>
    <t>cách tính lãi vay ngân hàng</t>
  </si>
  <si>
    <t>https://techcombank.com/thong-tin/blog/an-han-no-goc-la-gi</t>
  </si>
  <si>
    <t>Ân hạn gốc thay đổi cách tính lãi. (Theo title/meta, chưa đọc bài.)</t>
  </si>
  <si>
    <t>https://techcombank.com/thong-tin/blog/lai-suat-tha-noi</t>
  </si>
  <si>
    <t>Lãi thả nổi/cố định → cách tính khác nhau. (Theo title/meta, chưa đọc bài.)</t>
  </si>
  <si>
    <t>công thức tính lãi vay</t>
  </si>
  <si>
    <t>https://techcombank.com/thong-tin/blog/cong-thuc-tinh-lai-suat-thuc</t>
  </si>
  <si>
    <t>Công thức lãi suất thực — cùng chủ đề tính lãi. (Theo title/meta, chưa đọc bài.)</t>
  </si>
  <si>
    <t>tính lãi vay theo dư nợ giảm dần</t>
  </si>
  <si>
    <t>Vay trả góp — chèn ở đoạn chi phí lãi. (Theo title/meta, chưa đọc bài.)</t>
  </si>
  <si>
    <t>Hạn mức vay sổ đỏ — anh em trực tiếp. (Theo title/meta, chưa đọc bài.)</t>
  </si>
  <si>
    <t>lãi suất vay thế chấp sổ đỏ</t>
  </si>
  <si>
    <t>Sổ hồng ~ sổ đỏ, cùng nhu cầu. (Theo title/meta, chưa đọc bài.)</t>
  </si>
  <si>
    <t>Sao kê lương là một dạng sao kê TK — dẫn sang hướng dẫn sao kê chung.</t>
  </si>
  <si>
    <t>vay thế chấp sổ đỏ</t>
  </si>
  <si>
    <t>https://techcombank.com/thong-tin/blog/kinh-nghiem-vay-the-chap-ngan-hang</t>
  </si>
  <si>
    <t>Bài anh em cho DN; chèn câu dẫn cho TK cá nhân.</t>
  </si>
  <si>
    <t>Kinh nghiệm vay lãi tối ưu. (Theo title/meta, chưa đọc bài.)</t>
  </si>
  <si>
    <t>lãi suất vay thế chấp sổ hồng</t>
  </si>
  <si>
    <t>Hồ sơ vay qua lương cần sao kê TK.</t>
  </si>
  <si>
    <t>Cơ quan thuế có thể yêu cầu sao kê — chèn ở đoạn đó nếu có. (Liên quan yếu – bản chặt đã loại.)</t>
  </si>
  <si>
    <t>https://techcombank.com/thong-tin/blog/ghi-chep-chi-tieu</t>
  </si>
  <si>
    <t>Chọn ngân hàng — lãi suất là tiêu chí. (Theo title/meta, chưa đọc bài.)</t>
  </si>
  <si>
    <t>vay thế chấp sổ đỏ ngân hàng</t>
  </si>
  <si>
    <t>https://techcombank.com/thong-tin/blog/vay-the-chap-la-gi</t>
  </si>
  <si>
    <t>Dùng sao kê để đối chiếu chi tiêu. (Liên quan yếu – bản chặt đã loại.)</t>
  </si>
  <si>
    <t>https://techcombank.com/thong-tin/blog/ma-mcc</t>
  </si>
  <si>
    <t>Định nghĩa — chèn ở đoạn tài sản là sổ đỏ. (Theo title/meta, chưa đọc bài.)</t>
  </si>
  <si>
    <t>Nhắc: chi tiêu.</t>
  </si>
  <si>
    <t>https://techcombank.com/thong-tin/blog/quy-trinh-tat-toan-khoan-vay-the-chap</t>
  </si>
  <si>
    <t>https://techcombank.com/thong-tin/blog/vi-tra-sau</t>
  </si>
  <si>
    <t>https://techcombank.com/thong-tin/blog/uu-dai-the-tin-dung-techcombank-signature</t>
  </si>
  <si>
    <t>Tất toán xong → xóa thế chấp. (Theo title/meta, chưa đọc bài.)</t>
  </si>
  <si>
    <t>thủ tục xóa thế chấp</t>
  </si>
  <si>
    <t>https://techcombank.com/thong-tin/blog/tat-toan</t>
  </si>
  <si>
    <t>https://techcombank.com/thong-tin/blog/loi-ich-cua-viec-tiet-kiem-tien</t>
  </si>
  <si>
    <t>Tất toán khoản vay → bước giải chấp. (Theo title/meta, chưa đọc bài.)</t>
  </si>
  <si>
    <t>hồ sơ thủ tục xóa thế chấp</t>
  </si>
  <si>
    <t>https://techcombank.com/thong-tin/blog/the-chap-la-gi</t>
  </si>
  <si>
    <t>Định nghĩa thế chấp; chèn ở đoạn kết thúc thế chấp. (Theo title/meta, chưa đọc bài.)</t>
  </si>
  <si>
    <t>xóa thế chấp sổ đỏ</t>
  </si>
  <si>
    <t>https://techcombank.com/thong-tin/blog/app-mua-truoc-tra-sau</t>
  </si>
  <si>
    <t>TD</t>
  </si>
  <si>
    <t>https://techcombank.com/thong-tin/blog/nen-gui-tiet-kiem-6-thang-hay-1-nam</t>
  </si>
  <si>
    <t>https://techcombank.com/thong-tin/blog/tiet-kiem-khi-di-du-lich</t>
  </si>
  <si>
    <t>So kỳ hạn để lãi cao — cần bảng lãi suất. (Theo title/meta, chưa đọc bài.)</t>
  </si>
  <si>
    <t>lãi suất tiết kiệm</t>
  </si>
  <si>
    <t>https://techcombank.com/thong-tin/blog/cho-vay-tieu-dung-la-gi</t>
  </si>
  <si>
    <t>https://techcombank.com/thong-tin/blog/tai-sao-gui-tiet-kiem-online-lai-suat-cao-hon</t>
  </si>
  <si>
    <t>https://techcombank.com/thong-tin/blog/phan-mem-lap-ke-hoach-tai-chinh-ca-nhan</t>
  </si>
  <si>
    <t>So lãi online/quầy. (Theo title/meta, chưa đọc bài.)</t>
  </si>
  <si>
    <t>lãi suất gửi tiết kiệm</t>
  </si>
  <si>
    <t>https://techcombank.com/thong-tin/blog/co-nen-gui-tiet-kiem-ngan-hang</t>
  </si>
  <si>
    <t>https://techcombank.com/thong-tin/blog/mo-the-tin-dung-han-muc-cao</t>
  </si>
  <si>
    <t>Quyết định gửi dựa trên lãi suất hiện tại. (Theo title/meta, chưa đọc bài.)</t>
  </si>
  <si>
    <t>lãi suất tiết kiệm các ngân hàng</t>
  </si>
  <si>
    <t>https://techcombank.com/thong-tin/blog/tien-gui-co-ky-han</t>
  </si>
  <si>
    <t>Top ngân hàng lãi suất hấp dẫn. (Theo title/meta, chưa đọc bài.)</t>
  </si>
  <si>
    <t>https://techcombank.com/thong-tin/blog/so-sanh-gui-tiet-kiem-online-va-tai-quay</t>
  </si>
  <si>
    <t>https://techcombank.com/thong-tin/blog/app-quan-ly-chi-tieu</t>
  </si>
  <si>
    <t>So sánh lãi suất, kỳ hạn hôm nay. (Theo title/meta, chưa đọc bài.)</t>
  </si>
  <si>
    <t>https://techcombank.com/thong-tin/blog/lai-kep-ngan-hang</t>
  </si>
  <si>
    <t>Nhắc: sao kê.</t>
  </si>
  <si>
    <t>Lãi kép và công thức tính. (Theo title/meta, chưa đọc bài.)</t>
  </si>
  <si>
    <t>cách tính lãi suất tiền gửi tiết kiệm</t>
  </si>
  <si>
    <t>https://techcombank.com/thong-tin/blog/gui-tiet-kiem-lay-lai-hang-thang</t>
  </si>
  <si>
    <t>Nhận lãi hàng tháng — cách tính khác lãi cuối kỳ. (Theo title/meta, chưa đọc bài.)</t>
  </si>
  <si>
    <t>công thức tính lãi tiết kiệm</t>
  </si>
  <si>
    <t>https://techcombank.com/thong-tin/blog/nang-han-muc-tin-dung</t>
  </si>
  <si>
    <t>https://techcombank.com/thong-tin/blog/gui-tiet-kiem-hang-thang</t>
  </si>
  <si>
    <t>Có mục cách tính lãi (theo title). (Theo title/meta, chưa đọc bài.)</t>
  </si>
  <si>
    <t>https://techcombank.com/thong-tin/blog/tien-gui-khong-ky-han</t>
  </si>
  <si>
    <t>Có mục cách tính lãi không kỳ hạn. (Theo title/meta, chưa đọc bài.)</t>
  </si>
  <si>
    <t>https://techcombank.com/thong-tin/blog/dao-han-la-gi</t>
  </si>
  <si>
    <t>Nhắc: chứng minh thu nhập.</t>
  </si>
  <si>
    <t>Đáo hạn và cách tính. (Theo title/meta, chưa đọc bài.)</t>
  </si>
  <si>
    <t>https://techcombank.com/thong-tin/blog/tat-toan-so-tiet-kiem</t>
  </si>
  <si>
    <t>Tất toán trước hạn = rút trước hạn. (Theo title/meta, chưa đọc bài.)</t>
  </si>
  <si>
    <t>rút tiền tiết kiệm trước thời hạn</t>
  </si>
  <si>
    <t>https://techcombank.com/thong-tin/blog/gui-tiet-kiem-online-co-rut-truoc-han-duoc-khong</t>
  </si>
  <si>
    <t>https://techcombank.com/thong-tin/blog/ung-dung-cong-nghe</t>
  </si>
  <si>
    <t>Cùng câu hỏi cho tiết kiệm online. (Theo title/meta, chưa đọc bài.)</t>
  </si>
  <si>
    <t>rút tiết kiệm trước hạn</t>
  </si>
  <si>
    <t>Phương án thay cho rút trước hạn. (Theo title/meta, chưa đọc bài.)</t>
  </si>
  <si>
    <t>https://techcombank.com/thong-tin/blog/mat-so-tiet-kiem</t>
  </si>
  <si>
    <t>https://techcombank.com/thong-tin/blog/the-visa-co-may-loai</t>
  </si>
  <si>
    <t>Mất sổ — chèn ở đoạn rút tiền. (Theo title/meta, chưa đọc bài.)</t>
  </si>
  <si>
    <t>https://techcombank.com/thong-tin/blog/gui-them-tien-vao-so-tiet-kiem</t>
  </si>
  <si>
    <t>Các thao tác với sổ tiết kiệm. (Theo title/meta, chưa đọc bài.)</t>
  </si>
  <si>
    <t>https://techcombank.com/thong-tin/blog/6-chiec-lo-tai-chinh-ca-nhan</t>
  </si>
  <si>
    <t>https://techcombank.com/thong-tin/blog/mo-so-tiet-kiem-can-bao-nhieu-tien</t>
  </si>
  <si>
    <t>Mở sổ cần bao nhiêu tiền. (Theo title/meta, chưa đọc bài.)</t>
  </si>
  <si>
    <t>sổ tiết kiệm ngân hàng</t>
  </si>
  <si>
    <t>https://techcombank.com/thong-tin/blog/tai-khoan-tiet-kiem</t>
  </si>
  <si>
    <t>TK tiết kiệm ~ sổ tiết kiệm. (Theo title/meta, chưa đọc bài.)</t>
  </si>
  <si>
    <t>sổ tiết kiệm</t>
  </si>
  <si>
    <t>Mất sổ — cần hiểu sổ. (Theo title/meta, chưa đọc bài.)</t>
  </si>
  <si>
    <t>Gửi thêm vào sổ. (Theo title/meta, chưa đọc bài.)</t>
  </si>
  <si>
    <t>https://techcombank.com/thong-tin/blog/quy-trinh-gui-tien-tiet-kiem</t>
  </si>
  <si>
    <t>Quy trình gửi tiết kiệm tại quầy. (Theo title/meta, chưa đọc bài.)</t>
  </si>
  <si>
    <t>Ý nghĩa số 88 — một dãy số phát lộc; dẫn sang bài tổng hợp.</t>
  </si>
  <si>
    <t>Ý nghĩa 6868 — cùng chủ đề con số lộc phát.</t>
  </si>
  <si>
    <t>https://techcombank.com/thong-tin/blog/cach-tiet-kiem-tien-theo-tuan</t>
  </si>
  <si>
    <t>Gợi ý dãy số TK đẹp phát tài phát lộc — sát chủ đề.</t>
  </si>
  <si>
    <t>Cách chọn số TK phát tài — dẫn sang danh sách dãy số.</t>
  </si>
  <si>
    <t>Cách tiết kiệm theo tuần — dẫn sang 11 cách. (Theo title/meta, chưa đọc bài.)</t>
  </si>
  <si>
    <t>cách tiết kiệm tiền</t>
  </si>
  <si>
    <t>https://techcombank.com/thong-tin/blog/tiet-kiem-tien-moi-ngay</t>
  </si>
  <si>
    <t>Lì xì số đẹp phát tài — chèn ở đoạn ý nghĩa con số.</t>
  </si>
  <si>
    <t>Nhắc: số đẹp, tài khoản số.</t>
  </si>
  <si>
    <t>Tiết kiệm theo ngày. (Theo title/meta, chưa đọc bài.)</t>
  </si>
  <si>
    <t>cách tiết kiệm tiền hiệu quả</t>
  </si>
  <si>
    <t>https://techcombank.com/thong-tin/blog/li-xi-tet</t>
  </si>
  <si>
    <t>Nhắc: lộc.</t>
  </si>
  <si>
    <t>Tiết kiệm tiền lương. (Theo title/meta, chưa đọc bài.)</t>
  </si>
  <si>
    <t>https://techcombank.com/thong-tin/blog/sinh-loi-rinh-loc</t>
  </si>
  <si>
    <t>Nhắc: phát tài, lộc.</t>
  </si>
  <si>
    <t>Lợi ích tiết kiệm → cách làm. (Theo title/meta, chưa đọc bài.)</t>
  </si>
  <si>
    <t>Nhắc: ý nghĩa số, lộc.</t>
  </si>
  <si>
    <t>Nhắc: phát lộc, phát tài, ý nghĩa số, lộc.</t>
  </si>
  <si>
    <t>https://techcombank.com/thong-tin/blog/the-nao-la-tiet-kiem</t>
  </si>
  <si>
    <t>Thực hành tiết kiệm. (Theo title/meta, chưa đọc bài.)</t>
  </si>
  <si>
    <t>https://techcombank.com/thong-tin/blog/co-nen-gui-tiet-kiem-online</t>
  </si>
  <si>
    <t>Lý do nên gửi → đối chiếu rủi ro. (Theo title/meta, chưa đọc bài.)</t>
  </si>
  <si>
    <t>rủi ro khi gửi tiết kiệm online</t>
  </si>
  <si>
    <t>https://techcombank.com/thong-tin/blog/gui-tiet-kiem-online-bi-mat-tien</t>
  </si>
  <si>
    <t>Mở rộng chủ đề (theo plan): bài nhắc app ngân hàng, nạp tiền, ngân hàng. Liên quan rộng – đọc bài trước khi chèn.</t>
  </si>
  <si>
    <t>Mất tiền gửi online — rủi ro cụ thể. (Theo title/meta, chưa đọc bài.)</t>
  </si>
  <si>
    <t>gửi tiết kiệm online có an toàn không</t>
  </si>
  <si>
    <t>https://techcombank.com/thong-tin/blog/kinh-nghiem-gui-tiet-kiem-online</t>
  </si>
  <si>
    <t>Kinh nghiệm gửi an toàn. (Theo title/meta, chưa đọc bài.)</t>
  </si>
  <si>
    <t>https://techcombank.com/thong-tin/blog/cach-gui-tiet-kiem-online</t>
  </si>
  <si>
    <t>Hướng dẫn gửi — chèn lưu ý rủi ro. (Theo title/meta, chưa đọc bài.)</t>
  </si>
  <si>
    <t>https://techcombank.com/thong-tin/blog/rui-ro-khi-gui-tiet-kiem-ngan-hang</t>
  </si>
  <si>
    <t>Bài anh em (rủi ro chung). (Theo title/meta, chưa đọc bài.)</t>
  </si>
  <si>
    <t>Tra cứu nợ thuế TNCN — cùng nhóm tra cứu.</t>
  </si>
  <si>
    <t>Có MST rồi thì kiểm tra thuế TNCN theo MST.</t>
  </si>
  <si>
    <t>Tool</t>
  </si>
  <si>
    <t>eTax Mobile là kênh kiểm tra thuế TNCN.</t>
  </si>
  <si>
    <t>Trước khi hoàn thuế cần kiểm tra số thuế đã nộp.</t>
  </si>
  <si>
    <t>Vay 100 triệu — dùng công cụ tính tiền trả. (Theo title/meta, chưa đọc bài.)</t>
  </si>
  <si>
    <t>công cụ tính lãi vay</t>
  </si>
  <si>
    <t>Kiểm tra số thuế đã khấu trừ trước khi quyết toán.</t>
  </si>
  <si>
    <t>Nhắc: nợ thuế, etax.</t>
  </si>
  <si>
    <t>Vay 200 triệu trả góp — người đọc cần tính số tiền trả hàng tháng. (Theo title/meta, chưa đọc bài.)</t>
  </si>
  <si>
    <t>công cụ tính lãi suất vay ngân hàng</t>
  </si>
  <si>
    <t>Vay 300 triệu trả góp — người đọc cần tính số tiền trả hàng tháng. (Theo title/meta, chưa đọc bài.)</t>
  </si>
  <si>
    <t>bảng tính lãi suất vay</t>
  </si>
  <si>
    <t>Vay trả góp — tính số tiền trả. (Theo title/meta, chưa đọc bài.)</t>
  </si>
  <si>
    <t>Nhắc: thu nhập cá nhân, tncn, etax.</t>
  </si>
  <si>
    <t>https://techcombank.com/thong-tin/blog/dang-vay-tra-gop-co-vay-them-duoc-khong</t>
  </si>
  <si>
    <t>Vay thêm → tính lại khả năng trả. (Theo title/meta, chưa đọc bài.)</t>
  </si>
  <si>
    <t>Mở rộng chủ đề (theo plan): bài nhắc lương, doanh nghiệp.</t>
  </si>
  <si>
    <t>https://techcombank.com/thong-tin/blog/cach-tiet-kiem-100-trieu-1-nam</t>
  </si>
  <si>
    <t>Mục tiêu 100 triệu — tính lãi tích lũy. (Theo title/meta, chưa đọc bài.)</t>
  </si>
  <si>
    <t>công cụ tính lãi tiết kiệm</t>
  </si>
  <si>
    <t>So sánh gửi tiết kiệm 50 triệu — cần tính lãi. (Theo title/meta, chưa đọc bài.)</t>
  </si>
  <si>
    <t>bảng tính lãi suất tiết kiệm</t>
  </si>
  <si>
    <t>https://techcombank.com/thong-tin/blog/gui-tiet-kiem-tich-luy-la-gi</t>
  </si>
  <si>
    <t>Tiết kiệm tích lũy — tính lãi. (Theo title/meta, chưa đọc bài.)</t>
  </si>
  <si>
    <t>Trước khi gửi, tính lãi dự kiến. (Theo title/meta, chưa đọc bài.)</t>
  </si>
  <si>
    <t>Mật khẩu đi cùng tên đăng nhập — bài anh em trực tiếp.</t>
  </si>
  <si>
    <t>https://techcombank.com/thong-tin/blog/nen-de-tien-trong-the-hay-gui-tiet-kiem</t>
  </si>
  <si>
    <t>Đăng nhập Internet Banking cần tên đăng nhập.</t>
  </si>
  <si>
    <t>So sánh lãi — dùng công cụ. (Theo title/meta, chưa đọc bài.)</t>
  </si>
  <si>
    <t>Bảo vệ TK — giữ bí mật tên đăng nhập/mật khẩu.</t>
  </si>
  <si>
    <t>Đăng nhập + OTP; chèn ở đoạn bước đăng nhập.</t>
  </si>
  <si>
    <t>Unsecured Loan</t>
  </si>
  <si>
    <t>Mất SĐT ảnh hưởng lấy lại thông tin đăng nhập.</t>
  </si>
  <si>
    <t>Vay online — app là kênh chính. (Theo title/meta, chưa đọc bài.)</t>
  </si>
  <si>
    <t>Bài chưa có trong file crawl: kiểm tra link cũ khi mở bài. Anchor "vay tiền online" của trang đích 68 trùng chủ đề chính bài này — không dùng anchor đó tại đây; cân nhắc rủi ro ăn thịt từ khóa giữa vay-tien-online và app-vay-tien-nhanh.</t>
  </si>
  <si>
    <t>https://techcombank.com/thong-tin/blog/vay-ngan-hang-chi-can-cccd</t>
  </si>
  <si>
    <t>Nhắc: mobile banking.</t>
  </si>
  <si>
    <t>Vay chỉ cần CCCD — trùng nhu cầu. (Theo title/meta, chưa đọc bài.)</t>
  </si>
  <si>
    <t>app vay tiền chỉ cần CCCD</t>
  </si>
  <si>
    <t>Nhắc: internet banking.</t>
  </si>
  <si>
    <t>https://techcombank.com/thong-tin/blog/thanh-toan-ve-may-bay-online</t>
  </si>
  <si>
    <t>Vay nhanh 24/24. (Theo title/meta, chưa đọc bài.)</t>
  </si>
  <si>
    <t>vay tiền online</t>
  </si>
  <si>
    <t>https://techcombank.com/thong-tin/blog/vay-50-trieu</t>
  </si>
  <si>
    <t>Vay online 3 phút. (Theo title/meta, chưa đọc bài.)</t>
  </si>
  <si>
    <t>https://techcombank.com/thong-tin/blog/the-visa-co-can-mat-khau-khong</t>
  </si>
  <si>
    <t>https://techcombank.com/thong-tin/blog/vay-sieu-toc</t>
  </si>
  <si>
    <t>Nhắc: mật khẩu.</t>
  </si>
  <si>
    <t>Vay siêu tốc. (Theo title/meta, chưa đọc bài.)</t>
  </si>
  <si>
    <t>Nhắc: bảo vệ tài khoản.</t>
  </si>
  <si>
    <t>https://techcombank.com/thong-tin/blog/lai-suat-la-gi</t>
  </si>
  <si>
    <t>https://techcombank.com/thong-tin/blog/ma-otp-la-gi</t>
  </si>
  <si>
    <t>Lãi suất là gì → lãi suất vay hiện nay. (Theo title/meta, chưa đọc bài.)</t>
  </si>
  <si>
    <t>Nhắc: otp.</t>
  </si>
  <si>
    <t>Nhắc: internet banking, mobile banking.</t>
  </si>
  <si>
    <t>Lãi vay tiêu dùng — một phần lãi vay ngân hàng. (Theo title/meta, chưa đọc bài.)</t>
  </si>
  <si>
    <t>lãi suất vay ngân hàng mới nhất</t>
  </si>
  <si>
    <t>https://techcombank.com/thong-tin/blog/thanh-toan-tra-gop-qua-the-tin-dung</t>
  </si>
  <si>
    <t>Lãi vay tín chấp — anh em. (Theo title/meta, chưa đọc bài.)</t>
  </si>
  <si>
    <t>Điều kiện vay — chèn ở đoạn chi phí vay. (Theo title/meta, chưa đọc bài.)</t>
  </si>
  <si>
    <t>Nhắc: đăng nhập.</t>
  </si>
  <si>
    <t>https://techcombank.com/thong-tin/blog/lai-suat-qua-han</t>
  </si>
  <si>
    <t>Lãi quá hạn so với lãi vay thông thường. (Theo title/meta, chưa đọc bài.)</t>
  </si>
  <si>
    <t>Hạn mức thấu chi. (Theo title/meta, chưa đọc bài.)</t>
  </si>
  <si>
    <t>Lãi suất thấu chi. (Theo title/meta, chưa đọc bài.)</t>
  </si>
  <si>
    <t>https://techcombank.com/thong-tin/blog/thoi-han-vay-thau-chi</t>
  </si>
  <si>
    <t>Thời hạn thấu chi. (Theo title/meta, chưa đọc bài.)</t>
  </si>
  <si>
    <t>https://techcombank.com/thong-tin/blog/tra-no-vay-thau-chi-nhu-the-nao</t>
  </si>
  <si>
    <t>Trả nợ thấu chi. (Theo title/meta, chưa đọc bài.)</t>
  </si>
  <si>
    <t>https://techcombank.com/thong-tin/blog/vay-han-muc-la-gi</t>
  </si>
  <si>
    <t>Hỏi tiền vào TK có bị tính thuế — liên quan trực tiếp thuế TNCN.</t>
  </si>
  <si>
    <t>Nợ thuế TNCN — người đọc cần hiểu thuế TNCN là gì.</t>
  </si>
  <si>
    <t>Vay hạn mức — gần với thấu chi. (Theo title/meta, chưa đọc bài.)</t>
  </si>
  <si>
    <t>mức đóng thuế thu nhập cá nhân</t>
  </si>
  <si>
    <t>Lương hưu và thuế TNCN; chèn ở đoạn thu nhập. (Liên quan yếu – bản chặt đã loại.)</t>
  </si>
  <si>
    <t>Thu nhập từ lương là đối tượng chịu thuế TNCN. (Liên quan yếu – bản chặt đã loại.)</t>
  </si>
  <si>
    <t>Trước khi làm thẻ cần kiểm tra nợ xấu. (Theo title/meta, chưa đọc bài.)</t>
  </si>
  <si>
    <t>kiểm tra nợ xấu</t>
  </si>
  <si>
    <t>Nhắc: thuế cá nhân.</t>
  </si>
  <si>
    <t>https://techcombank.com/thong-tin/blog/no-xau-mo-the-tin-dung-duoc-khong</t>
  </si>
  <si>
    <t>Nhắc: thu nhập cá nhân, tncn, lương.</t>
  </si>
  <si>
    <t>Nợ xấu có mở thẻ tín dụng được không — cần kiểm tra nợ xấu trước khi mở thẻ. (Theo title/meta, chưa đọc bài.)</t>
  </si>
  <si>
    <t>tra cứu nợ xấu</t>
  </si>
  <si>
    <t>https://techcombank.com/thong-tin/blog/vay-tin-chap-no-xau</t>
  </si>
  <si>
    <t>Có mục cách kiểm tra (theo title). (Theo title/meta, chưa đọc bài.)</t>
  </si>
  <si>
    <t>Kiểm tra trước khi vay thế chấp. (Theo title/meta, chưa đọc bài.)</t>
  </si>
  <si>
    <t>Nợ nhóm 2 — kiểm tra nhóm nợ. (Theo title/meta, chưa đọc bài.)</t>
  </si>
  <si>
    <t>https://techcombank.com/thong-tin/blog/vay-tin-chap-la-gi</t>
  </si>
  <si>
    <t>Bài anh em — người đọc cần hướng dẫn rút tiền QR cơ bản.</t>
  </si>
  <si>
    <t>Định nghĩa → chọn nơi vay. (Theo title/meta, chưa đọc bài.)</t>
  </si>
  <si>
    <t>nên vay tín chấp ở đâu</t>
  </si>
  <si>
    <t>Các cách rút tiền ATM — QR là một cách.</t>
  </si>
  <si>
    <t>https://techcombank.com/thong-tin/blog/ho-so-vay-tin-chap</t>
  </si>
  <si>
    <t>Thẻ lỗi không rút được → giải pháp rút bằng QR.</t>
  </si>
  <si>
    <t>Bị nuốt thẻ → vẫn rút được tiền bằng QR.</t>
  </si>
  <si>
    <t>Hồ sơ vay → nơi nộp. (Theo title/meta, chưa đọc bài.)</t>
  </si>
  <si>
    <t>https://techcombank.com/thong-tin/blog/vay-tin-chap-toi-da-duoc-bao-nhieu</t>
  </si>
  <si>
    <t>Tìm ATM; chèn ở đoạn ATM hỗ trợ rút QR.</t>
  </si>
  <si>
    <t>https://techcombank.com/thong-tin/blog/quet-ma-qr-techcombank</t>
  </si>
  <si>
    <t>Hạn mức khác nhau giữa ngân hàng. (Theo title/meta, chưa đọc bài.)</t>
  </si>
  <si>
    <t>Nhắc: mã qr.</t>
  </si>
  <si>
    <t>Chọn hình thức → chọn nơi vay. (Theo title/meta, chưa đọc bài.)</t>
  </si>
  <si>
    <t>So lãi suất các ngân hàng. (Theo title/meta, chưa đọc bài.)</t>
  </si>
  <si>
    <t>Nợ nhóm 2 — giải thích nợ xấu. (Theo title/meta, chưa đọc bài.)</t>
  </si>
  <si>
    <t>nợ xấu là gì</t>
  </si>
  <si>
    <t>Nợ nhóm 3 là nợ xấu. (Theo title/meta, chưa đọc bài.)</t>
  </si>
  <si>
    <t>nợ xấu</t>
  </si>
  <si>
    <t>https://techcombank.com/thong-tin/blog/du-no-tin-dung-la-gi</t>
  </si>
  <si>
    <t>https://techcombank.com/thong-tin/blog/pos</t>
  </si>
  <si>
    <t>Dư nợ — chèn ở đoạn chất lượng dư nợ. (Theo title/meta, chưa đọc bài.)</t>
  </si>
  <si>
    <t>Nhắc: rút tiền.</t>
  </si>
  <si>
    <t>Quá hạn thẻ có thể thành nợ xấu. (Theo title/meta, chưa đọc bài.)</t>
  </si>
  <si>
    <t>Nhắc: rút tiền, atm.</t>
  </si>
  <si>
    <t>https://techcombank.com/thong-tin/blog/vay-the-chap-khong-tra-duoc</t>
  </si>
  <si>
    <t>https://techcombank.com/thong-tin/blog/ma-qr-lam-gia-duoc-khong</t>
  </si>
  <si>
    <t>Bài anh em (thế chấp). (Theo title/meta, chưa đọc bài.)</t>
  </si>
  <si>
    <t>vay tín chấp không trả được có sao không</t>
  </si>
  <si>
    <t>Lãi quá hạn khi không trả được. (Theo title/meta, chưa đọc bài.)</t>
  </si>
  <si>
    <t>https://techcombank.com/thong-tin/blog/ma-qr-techcombank</t>
  </si>
  <si>
    <t>Nợ quá hạn tương tự. (Theo title/meta, chưa đọc bài.)</t>
  </si>
  <si>
    <t>https://techcombank.com/thong-tin/blog/so-sanh-ma-qr-va-ma-vach</t>
  </si>
  <si>
    <t>Định nghĩa — chèn ở đoạn rủi ro. (Theo title/meta, chưa đọc bài.)</t>
  </si>
  <si>
    <t>Wealth</t>
  </si>
  <si>
    <t>https://techcombank.com/thong-tin/blog/qr-code-doanh-nghiep</t>
  </si>
  <si>
    <t>https://techcombank.com/thong-tin/blog/chung-chi-quy</t>
  </si>
  <si>
    <t>Chứng chỉ quỹ là gì → phương pháp đầu tư. (Theo title/meta, chưa đọc bài.)</t>
  </si>
  <si>
    <t>https://techcombank.com/thong-tin/blog/thanh-toan-bang-ma-qr</t>
  </si>
  <si>
    <t>phương pháp đầu tư chứng chỉ quỹ</t>
  </si>
  <si>
    <t>Hướng dẫn mua → phương pháp. (Theo title/meta, chưa đọc bài.)</t>
  </si>
  <si>
    <t>cách đầu tư chứng chỉ quỹ</t>
  </si>
  <si>
    <t>https://techcombank.com/thong-tin/blog/dau-tu-quy-mo</t>
  </si>
  <si>
    <t>Đầu tư quỹ mở cho người mới. (Theo title/meta, chưa đọc bài.)</t>
  </si>
  <si>
    <t>đầu tư chứng chỉ quỹ cho người mới</t>
  </si>
  <si>
    <t>https://techcombank.com/thong-tin/blog/app-theo-doi-chung-chi-quy</t>
  </si>
  <si>
    <t>App theo dõi CCQ. (Theo title/meta, chưa đọc bài.)</t>
  </si>
  <si>
    <t>https://techcombank.com/thong-tin/blog/chung-chi-quy-va-co-phieu</t>
  </si>
  <si>
    <t>So sánh CCQ với cổ phiếu. (Theo title/meta, chưa đọc bài.)</t>
  </si>
  <si>
    <t>https://techcombank.com/thong-tin/blog/qr-dong</t>
  </si>
  <si>
    <t>https://techcombank.com/thong-tin/blog/thanh-toan-ma-qr-tro-thanh-phuong-thuc-duoc-ua-chuong-va-trien-khai-manh-me</t>
  </si>
  <si>
    <t>Xác thực sinh trắc học yêu cầu quét NFC chip CCCD.</t>
  </si>
  <si>
    <t>Liên kết VNeID cần quét chip CCCD.</t>
  </si>
  <si>
    <t>eKYC dùng NFC CCCD để định danh.</t>
  </si>
  <si>
    <t>Định danh mức 2 cần quét CCCD gắn chip.</t>
  </si>
  <si>
    <t>Mở TK online có bước quét NFC CCCD.</t>
  </si>
  <si>
    <t>Nhắc: cccd, căn cước.</t>
  </si>
  <si>
    <t>Nhắc: cccd, định danh.</t>
  </si>
  <si>
    <t>Nhắc: cccd.</t>
  </si>
  <si>
    <t>https://techcombank.com/thong-tin/blog/uu-dai-mua-iphone-18</t>
  </si>
  <si>
    <t>Mở rộng chủ đề (theo plan): bài nhắc iphone. Liên quan rộng – đọc bài trước khi chèn.</t>
  </si>
  <si>
    <t>Bài dấu chân carbon nhắc lợi ích xanh của thẻ Visa Eco.</t>
  </si>
  <si>
    <t>Điểm danh sản phẩm xanh ngành ngân hàng — Eco Card là ví dụ.</t>
  </si>
  <si>
    <t>Lối sống xanh → thẻ xanh.</t>
  </si>
  <si>
    <t>Thẻ Visa Debit — Eco Card là một loại Visa Debit.</t>
  </si>
  <si>
    <t>https://techcombank.com/thong-tin/blog/tieu-dung-xanh</t>
  </si>
  <si>
    <t>Tiêu dùng xanh; chèn ở đoạn giải pháp thanh toán xanh. (Liên quan yếu – bản chặt đã loại.)</t>
  </si>
  <si>
    <t>Nhắc: bền vững.</t>
  </si>
  <si>
    <t>Nhắc: thẻ ghi nợ.</t>
  </si>
  <si>
    <t>https://techcombank.com/thong-tin/blog/cach-quan-ly-tai-san</t>
  </si>
  <si>
    <t>https://techcombank.com/thong-tin/blog/mr-eco</t>
  </si>
  <si>
    <t>Nhắc: eco.</t>
  </si>
  <si>
    <t>https://techcombank.com/thong-tin/blog/dat-xe-xanh-sm</t>
  </si>
  <si>
    <t>Nhắc: xanh.</t>
  </si>
  <si>
    <t>https://techcombank.com/thong-tin/blog/thuc-day-thi-truong-the-noi-dia-va-xu-huong-thanh-toan-tuong-lai</t>
  </si>
  <si>
    <t>https://techcombank.com/thong-tin/blog/ngan-hang-so-cho-doanh-nghiep</t>
  </si>
  <si>
    <t>https://techcombank.com/thong-tin/blog/voucher-xanh-sm</t>
  </si>
  <si>
    <t>https://techcombank.com/thong-tin/blog/bao-hiem-pin-xe-dien</t>
  </si>
  <si>
    <t>https://techcombank.com/thong-tin/blog/phan-bo-tai-san</t>
  </si>
  <si>
    <t>https://techcombank.com/thong-tin/blog/xu-huong-tieu-dung</t>
  </si>
  <si>
    <t>https://techcombank.com/thong-tin/blog/cach-lam-the-ngan-hang-chay-quang-cao-facebook</t>
  </si>
  <si>
    <t>https://techcombank.com/thong-tin/blog/the-ghi-no-va-the-tin-dung</t>
  </si>
  <si>
    <t>https://techcombank.com/thong-tin/blog/khau-vi-nha-dau-tu-tpdn-thay-doi-the-nao-sau-nhung-bien-dong-vua-qua</t>
  </si>
  <si>
    <t>https://techcombank.com/thong-tin/blog/gia-tri-tai-san-rong</t>
  </si>
  <si>
    <t>https://techcombank.com/thong-tin/blog/the-ghi-no-la-gi</t>
  </si>
  <si>
    <t>https://techcombank.com/thong-tin/blog/mo-the-ghi-no</t>
  </si>
  <si>
    <t>https://techcombank.com/thong-tin/blog/the-tin-dung-techcombank-visa-eco</t>
  </si>
  <si>
    <t>Nhắc: eco, xanh, carbon, bền vững.</t>
  </si>
  <si>
    <t>https://techcombank.com/thong-tin/blog/the-ghi-no-noi-dia</t>
  </si>
  <si>
    <t>https://techcombank.com/thong-tin/blog/giao-thong-xanh</t>
  </si>
  <si>
    <t>Điểm tín dụng CIC — cần hiểu CIC là gì.</t>
  </si>
  <si>
    <t>Lịch sử tín dụng lưu tại CIC.</t>
  </si>
  <si>
    <t>Nợ nhóm 3 bao lâu xóa trên CIC.</t>
  </si>
  <si>
    <t>Nợ cần chú ý được ghi nhận trên CIC.</t>
  </si>
  <si>
    <t>Nợ nhóm 2 — tra trên CIC.</t>
  </si>
  <si>
    <t>Nhắc: lịch sử tín dụng.</t>
  </si>
  <si>
    <t>Nhắc: cic, nợ xấu.</t>
  </si>
  <si>
    <t>https://techcombank.com/thong-tin/blog/no-xau</t>
  </si>
  <si>
    <t>Nhắc: nợ xấu.</t>
  </si>
  <si>
    <t>Nhắc: điểm tín dụng.</t>
  </si>
  <si>
    <t>https://techcombank.com/thong-tin/blog/spaylater</t>
  </si>
  <si>
    <t>Nhắc: cic.</t>
  </si>
  <si>
    <t>https://techcombank.com/thong-tin/blog/luu-y-khi-su-dung-the-tin-dung</t>
  </si>
  <si>
    <t>Nhắc: nợ xấu, điểm tín dụng.</t>
  </si>
  <si>
    <t>https://techcombank.com/thong-tin/blog/han-muc-tra-gop-the-tin-dung</t>
  </si>
  <si>
    <t>Mở rộng chủ đề (theo plan): bài nhắc tín dụng, thẻ tín dụng, hạn mức.</t>
  </si>
  <si>
    <t>Mở rộng chủ đề (theo plan): bài nhắc tín dụng, thẻ tín dụng, sao kê.</t>
  </si>
  <si>
    <t>https://techcombank.com/thong-tin/blog/the-tin-dung-phu-la-gi</t>
  </si>
  <si>
    <t>https://techcombank.com/thong-tin/blog/the-tin-dung-noi-dia</t>
  </si>
  <si>
    <t>https://techcombank.com/thong-tin/blog/vay-tin-chap-theo-luong</t>
  </si>
  <si>
    <t>Mở rộng chủ đề (theo plan): bài nhắc tín dụng, dư nợ, khoản vay.</t>
  </si>
  <si>
    <t>https://techcombank.com/thong-tin/blog/tra-gop-qua-the-tin-dung</t>
  </si>
  <si>
    <t>Mở rộng chủ đề (theo plan): bài nhắc tín dụng, thẻ tín dụng, trả góp.</t>
  </si>
  <si>
    <t>Mở rộng chủ đề (theo plan): bài nhắc tín dụng, thẻ tín dụng, thẻ visa.</t>
  </si>
  <si>
    <t>https://techcombank.com/thong-tin/blog/tra-gop-lazada</t>
  </si>
  <si>
    <t>https://techcombank.com/thong-tin/blog/lam-ho-so-tra-gop-dien-thoai</t>
  </si>
  <si>
    <t>https://techcombank.com/thong-tin/blog/tra-gop-shopee</t>
  </si>
  <si>
    <t>https://techcombank.com/thong-tin/blog/the-tin-dung-quoc-te</t>
  </si>
  <si>
    <t>Mở rộng chủ đề (theo plan): bài nhắc tín dụng, thẻ tín dụng, vay.</t>
  </si>
  <si>
    <t>Mở rộng chủ đề (theo plan): bài nhắc tín dụng, thẻ tín dụng, dư nợ.</t>
  </si>
  <si>
    <t>https://techcombank.com/thong-tin/blog/mua-truoc-tra-sau</t>
  </si>
  <si>
    <t>https://techcombank.com/thong-tin/blog/kich-hoat-the-tin-dung-techcombank</t>
  </si>
  <si>
    <t>Mở rộng chủ đề (theo plan): bài nhắc tín dụng, thẻ tín dụng, thẻ.</t>
  </si>
  <si>
    <t>https://techcombank.com/thong-tin/blog/the-tin-dung-vip</t>
  </si>
  <si>
    <t>https://techcombank.com/thong-tin/blog/so-luong-the-tin-dung-noi-dia-dang-luu-hanh-da-tang-42-so-voi-cung-ky-nam-2022</t>
  </si>
  <si>
    <t>https://techcombank.com/thong-tin/blog/so-the-tin-dung</t>
  </si>
  <si>
    <t>https://techcombank.com/thong-tin/blog/sang-ngang-the-tin-dung</t>
  </si>
  <si>
    <t>https://techcombank.com/thong-tin/blog/thanh-toan-online-bang-the-tin-dung</t>
  </si>
  <si>
    <t>https://techcombank.com/thong-tin/blog/3d-secure</t>
  </si>
  <si>
    <t>https://techcombank.com/thong-tin/blog/the-tin-dung-ao</t>
  </si>
  <si>
    <t>https://techcombank.com/thong-tin/blog/the-tin-dung-co-ma-pin-khong</t>
  </si>
  <si>
    <t>https://techcombank.com/thong-tin/blog/thanh-toan-khoan-vay</t>
  </si>
  <si>
    <t>Mở rộng chủ đề (theo plan): bài nhắc tín dụng, khoản vay, vay.</t>
  </si>
  <si>
    <t>https://techcombank.com/thong-tin/blog/dao-han-the-tin-dung</t>
  </si>
  <si>
    <t>https://techcombank.com/thong-tin/blog/the-tin-dung-den</t>
  </si>
  <si>
    <t>https://techcombank.com/thong-tin/blog/so-cvv-la-gi</t>
  </si>
  <si>
    <t>https://techcombank.com/thong-tin/blog/mua-iphone-17</t>
  </si>
  <si>
    <t>https://techcombank.com/thong-tin/blog/uu-dai-mua-ve-may-bay-bang-the-tin-dung</t>
  </si>
  <si>
    <t>https://techcombank.com/thong-tin/blog/mat-the-tin-dung-co-bi-mat-tien-khong</t>
  </si>
  <si>
    <t>https://techcombank.com/thong-tin/blog/ma-buu-chinh-the-tin-dung</t>
  </si>
  <si>
    <t>https://techcombank.com/thong-tin/blog/tin-dung-tieu-dung</t>
  </si>
  <si>
    <t>Mở rộng chủ đề (theo plan): bài nhắc tín dụng, vay.</t>
  </si>
  <si>
    <t>https://techcombank.com/thong-tin/blog/cho-vay-hop-von-la-gi</t>
  </si>
  <si>
    <t>https://techcombank.com/thong-tin/blog/nhu-cau-vay-tieu-dung-cua-nguoi-viet-du-kien-tang-manh-trong-thoi-gian-toi</t>
  </si>
  <si>
    <t>Mở rộng chủ đề (theo plan): bài nhắc tín dụng, thẻ.</t>
  </si>
  <si>
    <t>Mở rộng chủ đề (theo plan): bài nhắc tín dụng, dư nợ.</t>
  </si>
  <si>
    <t>https://techcombank.com/thong-tin/blog/cam-ket-tin-dung</t>
  </si>
  <si>
    <t>Mở rộng chủ đề (theo plan): bài nhắc tín dụng. Liên quan rộng – đọc bài trước khi chèn.</t>
  </si>
  <si>
    <t>https://techcombank.com/thong-tin/blog/thanh-toan-quoc-te</t>
  </si>
  <si>
    <t>https://techcombank.com/thong-tin/blog/tin-dung-la-gi</t>
  </si>
  <si>
    <t>Mở rộng chủ đề (theo plan): bài nhắc thẻ visa, mastercard, thẻ. Liên quan rộng – đọc bài trước khi chèn.</t>
  </si>
  <si>
    <t>Mở rộng chủ đề (theo plan): bài nhắc hạn mức, thẻ visa, thẻ. Liên quan rộng – đọc bài trước khi chèn.</t>
  </si>
  <si>
    <t>Mở rộng chủ đề (theo plan): bài nhắc hạn mức, khoản vay, vay. Liên quan rộng – đọc bài trước khi chèn.</t>
  </si>
  <si>
    <t>Mở rộng chủ đề (theo plan): bài nhắc trả góp, khoản vay, vay. Liên quan rộng – đọc bài trước khi chèn.</t>
  </si>
  <si>
    <t>Mở rộng chủ đề (theo plan): bài nhắc hạn mức, trả góp, vay. Liên quan rộng – đọc bài trước khi chèn.</t>
  </si>
  <si>
    <t>Mở rộng chủ đề (theo plan): bài nhắc trả góp, thẻ visa, thẻ. Liên quan rộng – đọc bài trước khi chèn.</t>
  </si>
  <si>
    <t>Mở rộng chủ đề (theo plan): bài nhắc trả góp, dư nợ, vay. Liên quan rộng – đọc bài trước khi chèn.</t>
  </si>
  <si>
    <t>https://techcombank.com/thong-tin/blog/the-visa-khong-thanh-toan-duoc</t>
  </si>
  <si>
    <t>Mở rộng chủ đề (theo plan): bài nhắc thẻ visa, thẻ. Liên quan rộng – đọc bài trước khi chèn.</t>
  </si>
  <si>
    <t>https://techcombank.com/thong-tin/blog/cach-dang-ky-the-visa</t>
  </si>
  <si>
    <t>https://techcombank.com/thong-tin/blog/the-visa</t>
  </si>
  <si>
    <t>https://techcombank.com/thong-tin/blog/so-the-visa-hop-le</t>
  </si>
  <si>
    <t>Mở rộng chủ đề (theo plan): bài nhắc hạn mức, vay. Liên quan rộng – đọc bài trước khi chèn.</t>
  </si>
  <si>
    <t>https://techcombank.com/thong-tin/blog/vay-the-chap-toi-da-duoc-bao-nhieu</t>
  </si>
  <si>
    <t>https://techcombank.com/thong-tin/blog/the-visa-co-thanh-toan-quoc-te-duoc-khong</t>
  </si>
  <si>
    <t>https://techcombank.com/thong-tin/blog/vay-mua-dien-thoai</t>
  </si>
  <si>
    <t>Mở rộng chủ đề (theo plan): bài nhắc trả góp, vay. Liên quan rộng – đọc bài trước khi chèn.</t>
  </si>
  <si>
    <t>https://techcombank.com/thong-tin/blog/nen-lam-the-visa-hay-noi-dia</t>
  </si>
  <si>
    <t>https://techcombank.com/thong-tin/blog/vay-15-trieu</t>
  </si>
  <si>
    <t>https://techcombank.com/thong-tin/blog/thu-tuc-vay-von-ngan-hang-de-xay-nha</t>
  </si>
  <si>
    <t>Mở rộng chủ đề (theo plan): bài nhắc khoản vay, vay. Liên quan rộng – đọc bài trước khi chèn.</t>
  </si>
  <si>
    <t>https://techcombank.com/thong-tin/blog/vay-the-chap-hop-dong-mua-ban-can-ho</t>
  </si>
  <si>
    <t>https://techcombank.com/thong-tin/blog/vay-40-trieu</t>
  </si>
  <si>
    <t>https://techcombank.com/thong-tin/blog/quy-trinh-cho-vay-tieu-dung</t>
  </si>
  <si>
    <t>https://techcombank.com/thong-tin/blog/lai-suat-cho-vay-doanh-nghiep</t>
  </si>
  <si>
    <t>https://techcombank.com/thong-tin/blog/vay-mua-nha-tra-gop</t>
  </si>
  <si>
    <t>https://techcombank.com/thong-tin/blog/lai-suat-ngan-hang-cho-vay-xay-nha</t>
  </si>
  <si>
    <t>Mở rộng chủ đề (theo plan): bài nhắc dư nợ, vay. Liên quan rộng – đọc bài trước khi chèn.</t>
  </si>
  <si>
    <t>https://techcombank.com/thong-tin/blog/kinh-nghiem-vay-tien-ngan-hang-xay-nha</t>
  </si>
  <si>
    <t>https://techcombank.com/thong-tin/blog/vay-20-trieu</t>
  </si>
  <si>
    <t>https://techcombank.com/thong-tin/blog/rui-ro-khi-vay-the-chap-ngan-hang</t>
  </si>
  <si>
    <t>https://techcombank.com/thong-tin/blog/bao-lanh-vay-von</t>
  </si>
  <si>
    <t>Mở rộng chủ đề (theo plan): bài nhắc vay. Liên quan rộng – đọc bài trước khi chèn.</t>
  </si>
  <si>
    <t>https://techcombank.com/thong-tin/blog/thu-tuc-vay-von-doanh-nghiep</t>
  </si>
  <si>
    <t>https://techcombank.com/thong-tin/blog/nap-xu-tiktok</t>
  </si>
  <si>
    <t>Mở rộng chủ đề (theo plan): bài nhắc thẻ. Liên quan rộng – đọc bài trước khi chèn.</t>
  </si>
  <si>
    <t>https://techcombank.com/thong-tin/blog/ho-so-vay-von-cua-doanh-nghiep-gom-nhung-gi</t>
  </si>
  <si>
    <t>https://techcombank.com/thong-tin/blog/cac-loai-the-ngan-hang</t>
  </si>
  <si>
    <t>https://techcombank.com/thong-tin/blog/cho-vay-tung-lan</t>
  </si>
  <si>
    <t>https://techcombank.com/thong-tin/blog/cach-thanh-toan-quang-cao-tiktok</t>
  </si>
  <si>
    <t>Mở rộng chủ đề (theo plan): bài nhắc sao kê. Liên quan rộng – đọc bài trước khi chèn.</t>
  </si>
  <si>
    <t>https://techcombank.com/thong-tin/blog/the-debit</t>
  </si>
  <si>
    <t>https://techcombank.com/thong-tin/blog/thanh-toan-khi-du-lich-hong-kong</t>
  </si>
  <si>
    <t>https://techcombank.com/thong-tin/blog/thanh-toan-khi-du-lich-singapore</t>
  </si>
  <si>
    <t>Mở rộng chủ đề (theo plan): bài nhắc hạn mức. Liên quan rộng – đọc bài trước khi chèn.</t>
  </si>
  <si>
    <t>https://techcombank.com/thong-tin/blog/the-napas-la-gi</t>
  </si>
  <si>
    <t>Bài phí rút tiền — người đọc cần cách rút.</t>
  </si>
  <si>
    <t>Thẻ Visa rút tiền được không — dẫn sang hướng dẫn rút từ thẻ tín dụng.</t>
  </si>
  <si>
    <t>Nhu cầu lấy tiền mặt từ thẻ tín dụng tương tự.</t>
  </si>
  <si>
    <t>Hạn mức rút tiền mặt là một phần hạn mức thẻ.</t>
  </si>
  <si>
    <t>Rút tiền mặt phát sinh lãi ngay — chèn ở đoạn khi nào phát sinh lãi.</t>
  </si>
  <si>
    <t>Nhắc: tiền mặt.</t>
  </si>
  <si>
    <t>https://techcombank.com/thong-tin/blog/vi-dien-tu</t>
  </si>
  <si>
    <t>https://techcombank.com/thong-tin/blog/thanh-toan-khong-dung-tien-mat</t>
  </si>
  <si>
    <t>Nhắc: rút tiền, tiền mặt.</t>
  </si>
  <si>
    <t>Nhắc: hạn mức thẻ.</t>
  </si>
  <si>
    <t>https://techcombank.com/thong-tin/blog/ty-le-thanh-toan-khong-dung-tien-mat-trong-linh-vuc-y-te-con-han-che</t>
  </si>
  <si>
    <t>https://techcombank.com/thong-tin/blog/thanh-toan-khong-dung-tien-mat-tro-thanh-xu-huong-tang-truong-chong-mat</t>
  </si>
  <si>
    <t>https://techcombank.com/thong-tin/blog/vay-tien-mat</t>
  </si>
  <si>
    <t>https://techcombank.com/thong-tin/blog/xu-huong-thanh-toan-khong-dung-tien-mat-tai-viet-nam</t>
  </si>
  <si>
    <t>https://techcombank.com/thong-tin/blog/rut-tien-bao-hiem-nhan-tho-khi-het-han</t>
  </si>
  <si>
    <t>https://techcombank.com/thong-tin/blog/thanh-toan-khong-tien-mat-trong-nganh-giao-duc-co-hoi-va-thach-thuc</t>
  </si>
  <si>
    <t>https://techcombank.com/thong-tin/blog/the-he-tre-day-manh-xu-huong-thanh-toan-khong-dung-tien-mat</t>
  </si>
  <si>
    <t>https://techcombank.com/thong-tin/blog/cach-su-dung-the-ghi-no</t>
  </si>
  <si>
    <t>https://techcombank.com/thong-tin/blog/the-ghi-no-co-rut-tien-duoc-khong</t>
  </si>
  <si>
    <t>Mở rộng chủ đề (theo plan): bài nhắc thẻ tín dụng, tín dụng, cic.</t>
  </si>
  <si>
    <t>Mở rộng chủ đề (theo plan): bài nhắc thẻ tín dụng, tín dụng, nợ xấu.</t>
  </si>
  <si>
    <t>Mở rộng chủ đề (theo plan): bài nhắc thẻ tín dụng, tín dụng, hạn mức.</t>
  </si>
  <si>
    <t>Mở rộng chủ đề (theo plan): bài nhắc thẻ tín dụng, tín dụng, sao kê.</t>
  </si>
  <si>
    <t>Mở rộng chủ đề (theo plan): bài nhắc thẻ tín dụng, tín dụng, lịch sử tín dụng.</t>
  </si>
  <si>
    <t>Mở rộng chủ đề (theo plan): bài nhắc thẻ tín dụng, tín dụng, trả góp.</t>
  </si>
  <si>
    <t>Mở rộng chủ đề (theo plan): bài nhắc thẻ tín dụng, tín dụng, thẻ visa.</t>
  </si>
  <si>
    <t>Định nghĩa thẻ tín dụng → nhu cầu làm thẻ.</t>
  </si>
  <si>
    <t>Một cách mở thẻ — dẫn sang hướng dẫn đầy đủ.</t>
  </si>
  <si>
    <t>Phí làm thẻ — đi kèm thủ tục làm thẻ.</t>
  </si>
  <si>
    <t>Điều kiện mở thẻ — sát chủ đề.</t>
  </si>
  <si>
    <t>Quyết định dùng thẻ → bước làm thẻ.</t>
  </si>
  <si>
    <t>Nhắc: thẻ tín dụng.</t>
  </si>
  <si>
    <t>Nhắc: thẻ tín dụng, mở thẻ.</t>
  </si>
  <si>
    <t>Nhắc: mở thẻ.</t>
  </si>
  <si>
    <t>Nhắc: mở thẻ, làm thẻ.</t>
  </si>
  <si>
    <t>So sánh thẻ tín dụng Techcombank — Everyday nên được nhắc.</t>
  </si>
  <si>
    <t>Chương trình hoàn tiền thẻ tín dụng Techcombank.</t>
  </si>
  <si>
    <t>Top ưu đãi thẻ tín dụng; chèn ở mục Techcombank.</t>
  </si>
  <si>
    <t>Phân loại thẻ — chèn ví dụ thẻ hoàn tiền.</t>
  </si>
  <si>
    <t>Lợi ích thẻ tín dụng — hoàn tiền là một lợi ích.</t>
  </si>
  <si>
    <t>Nhắc: thẻ tín dụng, hoàn tiền.</t>
  </si>
  <si>
    <t>Nhắc: hoàn tiền.</t>
  </si>
  <si>
    <t>Title nhắc 'hoàn tiền' khi trả tiền điện bằng thẻ tín dụng.</t>
  </si>
  <si>
    <t>Cashback thẻ thanh toán (ghi nợ) — so sánh với thẻ tín dụng hoàn tiền.</t>
  </si>
  <si>
    <t>Ưu đãi mở thẻ — hoàn tiền là ưu đãi phổ biến.</t>
  </si>
  <si>
    <t>Top thẻ đáng mở — chèn ở tiêu chí chọn thẻ.</t>
  </si>
  <si>
    <t>Dùng thẻ tiết kiệm — tận dụng hoàn tiền.</t>
  </si>
  <si>
    <t>Nhắc: thẻ tín dụng, ưu đãi thẻ.</t>
  </si>
  <si>
    <t>Nhắc: hoàn tiền, thẻ tín dụng.</t>
  </si>
  <si>
    <t>Không muốn trả phí thường niên → hủy thẻ.</t>
  </si>
  <si>
    <t>Không dùng thẻ vẫn mất phí → nên hủy.</t>
  </si>
  <si>
    <t>Khóa vs hủy thẻ — đối chiếu trực tiếp.</t>
  </si>
  <si>
    <t>Thẻ bị khóa — chèn ở đoạn phân biệt khóa/hủy.</t>
  </si>
  <si>
    <t>Thẻ hết hạn: gia hạn hoặc hủy.</t>
  </si>
  <si>
    <t>Nhắc: thẻ tín dụng, phí thường niên.</t>
  </si>
  <si>
    <t>Lịch sử tín dụng quyết định xếp hạng tín dụng.</t>
  </si>
  <si>
    <t>Điều kiện vay — xếp hạng tín dụng là một yếu tố.</t>
  </si>
  <si>
    <t>Nợ xấu làm giảm xếp hạng.</t>
  </si>
  <si>
    <t>Định nghĩa tín dụng; chèn ở đoạn đánh giá người vay. (Liên quan yếu – bản chặt đã loại.)</t>
  </si>
  <si>
    <t>Dư nợ ảnh hưởng xếp hạng tín dụng. (Liên quan yếu – bản chặt đã loại.)</t>
  </si>
  <si>
    <t>Nhắc: điều kiện vay.</t>
  </si>
  <si>
    <t>Nhắc: lịch sử tín dụng, nợ xấu.</t>
  </si>
  <si>
    <t>Nhắc: điểm tín dụng, cic.</t>
  </si>
  <si>
    <t>Nhắc: lịch sử tín dụng, cic, nợ xấu.</t>
  </si>
  <si>
    <t>Nhắc: lịch sử tín dụng, cic.</t>
  </si>
  <si>
    <t>Nhắc: điểm tín dụng, nợ xấu.</t>
  </si>
  <si>
    <t>Nhắc: lịch sử tín dụng, điều kiện vay.</t>
  </si>
  <si>
    <t>Thanh toán tối thiểu — liên quan trực tiếp cách trả dư nợ.</t>
  </si>
  <si>
    <t>Quá hạn → hướng dẫn các kênh thanh toán để không trễ.</t>
  </si>
  <si>
    <t>Sao kê ghi số tiền và hạn thanh toán.</t>
  </si>
  <si>
    <t>Nợ quá hạn — cần cách trả nợ thẻ.</t>
  </si>
  <si>
    <t>Miễn lãi khi thanh toán đúng hạn.</t>
  </si>
  <si>
    <t>Nhắc: dư nợ, quá hạn.</t>
  </si>
  <si>
    <t>So sánh CD và tiết kiệm — cần định nghĩa CD.</t>
  </si>
  <si>
    <t>Câu hỏi bản chất CD.</t>
  </si>
  <si>
    <t>Lý do nên mua CD → dẫn về bài tổng quan.</t>
  </si>
  <si>
    <t>Tính an toàn của CD.</t>
  </si>
  <si>
    <t>Kênh sinh lời cho tiền nhàn rỗi — CD là một kênh.</t>
  </si>
  <si>
    <t>https://techcombank.com/thong-tin/blog/chuyen-doi-so-ho-kinh-doanh</t>
  </si>
  <si>
    <t>Nhắc: tiền nhàn rỗi.</t>
  </si>
  <si>
    <t>Nhắc: gửi tiết kiệm.</t>
  </si>
  <si>
    <t>https://techcombank.com/thong-tin/blog/gui-tiet-kiem-theo-ngay</t>
  </si>
  <si>
    <t>https://techcombank.com/thong-tin/blog/gui-tiet-kiem-vang</t>
  </si>
  <si>
    <t>https://techcombank.com/thong-tin/blog/nen-gui-tiet-kiem-thong-thuong-hay-tich-luy</t>
  </si>
  <si>
    <t>https://techcombank.com/thong-tin/blog/chung-chi-tien-gui-co-duoc-bao-hiem-khong</t>
  </si>
  <si>
    <t>Nhắc: chứng chỉ tiền gửi.</t>
  </si>
  <si>
    <t>https://techcombank.com/thong-tin/blog/quan-ly-tai-chinh-cho-dan-van-phong</t>
  </si>
  <si>
    <t>https://techcombank.com/thong-tin/blog/chung-chi-quy-va-chung-khoan</t>
  </si>
  <si>
    <t>Nhắc: kênh đầu tư.</t>
  </si>
  <si>
    <t>https://techcombank.com/thong-tin/blog/gui-tiet-kiem-ngan-hang-van-la-lua-chon-an-toan-trong-thoi-ky-kinh-te-con-nhieu-bien-dong</t>
  </si>
  <si>
    <t>Nhắc: kênh đầu tư, gửi tiết kiệm.</t>
  </si>
  <si>
    <t>https://techcombank.com/thong-tin/blog/dau-tu-trai-phieu-doanh-nghiep-dung-ham-lai-suat-cao</t>
  </si>
  <si>
    <t>https://techcombank.com/thong-tin/blog/dau-tu-ngan-han</t>
  </si>
  <si>
    <t>Tính lợi nhuận CD cần mức lãi suất.</t>
  </si>
  <si>
    <t>Tất toán ảnh hưởng lợi suất — chèn ở đoạn lãi suất.</t>
  </si>
  <si>
    <t>Rút trước hạn mất lãi suất — chèn ở đoạn lãi.</t>
  </si>
  <si>
    <t>Giá chuyển nhượng phụ thuộc lãi suất.</t>
  </si>
  <si>
    <t>Chèn ở đoạn so sánh lợi ích. (Liên quan yếu – bản chặt đã loại.)</t>
  </si>
  <si>
    <t>Nhắc: lãi suất tiết kiệm.</t>
  </si>
  <si>
    <t>https://techcombank.com/thong-tin/blog/chon-kenh-dau-tu-an-toan-trong-boi-canh-thi-truong-bien-dong</t>
  </si>
  <si>
    <t>Mở rộng chủ đề (theo plan): bài nhắc lãi suất, tiền gửi, tiết kiệm.</t>
  </si>
  <si>
    <t>Mở rộng chủ đề (theo plan): bài nhắc lãi suất, tiền gửi, kỳ hạn.</t>
  </si>
  <si>
    <t>Mở rộng chủ đề (theo plan): bài nhắc lãi suất, tiết kiệm, gửi tiền.</t>
  </si>
  <si>
    <t>Mở rộng chủ đề (theo plan): bài nhắc lãi suất, tiết kiệm, kỳ hạn.</t>
  </si>
  <si>
    <t>https://techcombank.com/thong-tin/blog/cach-tiet-kiem-tien-sinh-loi</t>
  </si>
  <si>
    <t>Mở rộng chủ đề (theo plan): bài nhắc lãi suất, tiết kiệm, lãi.</t>
  </si>
  <si>
    <t>Mở rộng chủ đề (theo plan): bài nhắc lãi suất, tiết kiệm, tích lũy.</t>
  </si>
  <si>
    <t>https://techcombank.com/thong-tin/blog/nghich-ly-nha-dau-tu-che-trai-phieu-lai-suat-cao-ua-ma-an-toan-du-lai-suat-thap-hon-05-1</t>
  </si>
  <si>
    <t>Mở rộng chủ đề (theo plan): bài nhắc lãi suất, lãi, đầu tư.</t>
  </si>
  <si>
    <t>https://techcombank.com/thong-tin/blog/thi-truong-trai-phieu-co-hoi-dau-tu-trai-phieu-vang-du-lai-suat-thap</t>
  </si>
  <si>
    <t>Mở rộng chủ đề (theo plan): bài nhắc lãi suất, lãi, sinh lời.</t>
  </si>
  <si>
    <t>Mở rộng chủ đề (theo plan): bài nhắc lãi suất, lãi kép, lãi.</t>
  </si>
  <si>
    <t>Mở rộng chủ đề (theo plan): bài nhắc lãi suất, kỳ hạn, lãi.</t>
  </si>
  <si>
    <t>Bài tổng quan tiền Trung Quốc — dẫn sang quy đổi 1 tệ.</t>
  </si>
  <si>
    <t>Bài anh em mệnh giá 1 vạn tệ.</t>
  </si>
  <si>
    <t>Bài anh em mệnh giá 1000 tệ.</t>
  </si>
  <si>
    <t>Du lịch Trung Quốc cần quy đổi tệ.</t>
  </si>
  <si>
    <t>Nhắc: tệ.</t>
  </si>
  <si>
    <t>https://techcombank.com/thong-tin/blog/quy-dinh-ve-mua-ban-ngoai-te-cua-doanh-nghiep</t>
  </si>
  <si>
    <t>https://techcombank.com/thong-tin/blog/chuyen-tien-tu-duc-ve-viet-nam</t>
  </si>
  <si>
    <t>Nhắc: trung quốc.</t>
  </si>
  <si>
    <t>https://techcombank.com/thong-tin/blog/phi-chuyen-doi-ngoai-te</t>
  </si>
  <si>
    <t>Mở rộng chủ đề (theo plan): bài nhắc tỷ giá, đổi tiền, usd. Liên quan rộng – đọc bài trước khi chèn.</t>
  </si>
  <si>
    <t>Mở rộng chủ đề (theo plan): bài nhắc tỷ giá, đổi tiền, đô la. Liên quan rộng – đọc bài trước khi chèn.</t>
  </si>
  <si>
    <t>https://techcombank.com/thong-tin/blog/tien-singapore</t>
  </si>
  <si>
    <t>Mở rộng chủ đề (theo plan): bài nhắc tỷ giá, đổi tiền, đô. Liên quan rộng – đọc bài trước khi chèn.</t>
  </si>
  <si>
    <t>Mở rộng chủ đề (theo plan): bài nhắc tỷ giá, đổi tiền, yên nhật. Liên quan rộng – đọc bài trước khi chèn.</t>
  </si>
  <si>
    <t>https://techcombank.com/thong-tin/blog/100-riel-bang-bao-nhieu-tien-viet-nam</t>
  </si>
  <si>
    <t>Mở rộng chủ đề (theo plan): bài nhắc tỷ giá, đổi tiền, du lịch. Liên quan rộng – đọc bài trước khi chèn.</t>
  </si>
  <si>
    <t>https://techcombank.com/thong-tin/blog/tien-indonesia</t>
  </si>
  <si>
    <t>Mở rộng chủ đề (theo plan): bài nhắc tỷ giá, đổi tiền, won. Liên quan rộng – đọc bài trước khi chèn.</t>
  </si>
  <si>
    <t>https://techcombank.com/thong-tin/blog/1-do-uc-bang-bao-nhieu-tien-viet</t>
  </si>
  <si>
    <t>https://techcombank.com/thong-tin/blog/gui-tien-du-hoc</t>
  </si>
  <si>
    <t>Mở rộng chủ đề (theo plan): bài nhắc tỷ giá, quốc tế, du học. Liên quan rộng – đọc bài trước khi chèn.</t>
  </si>
  <si>
    <t>Xu hướng tỷ giá USD — người đọc cần tỷ giá hiện tại.</t>
  </si>
  <si>
    <t>Mua USD cần biết 1 USD bằng bao nhiêu VND.</t>
  </si>
  <si>
    <t>Bài anh em (cent = 1/100 USD).</t>
  </si>
  <si>
    <t>Tiết kiệm USD — quy đổi sang VND.</t>
  </si>
  <si>
    <t>Chuyển tiền từ Mỹ — quy đổi USD.</t>
  </si>
  <si>
    <t>https://techcombank.com/thong-tin/blog/vang-my-ky</t>
  </si>
  <si>
    <t>Nhắc: mỹ.</t>
  </si>
  <si>
    <t>https://techcombank.com/thong-tin/blog/gui-tiet-kiem-usd</t>
  </si>
  <si>
    <t>Nhắc: usd.</t>
  </si>
  <si>
    <t>Nhắc: đô la, tiền đô.</t>
  </si>
  <si>
    <t>https://techcombank.com/thong-tin/blog/chuyen-tien-di-uc</t>
  </si>
  <si>
    <t>Nhắc: đô la.</t>
  </si>
  <si>
    <t>Nhắc: tiền đô.</t>
  </si>
  <si>
    <t>Mở rộng chủ đề (theo plan): bài nhắc đô, tỷ giá, đổi tiền.</t>
  </si>
  <si>
    <t>Mở rộng chủ đề (theo plan): bài nhắc tỷ giá, đổi tiền, nhân dân tệ. Liên quan rộng – đọc bài trước khi chèn.</t>
  </si>
  <si>
    <t>Mở rộng chủ đề (theo plan): bài nhắc tỷ giá, ngoại tệ, won. Liên quan rộng – đọc bài trước khi chèn.</t>
  </si>
  <si>
    <t>Mở rộng chủ đề (theo plan): bài nhắc ngoại tệ, tệ, du lịch. Liên quan rộng – đọc bài trước khi chèn.</t>
  </si>
  <si>
    <t>Mở rộng chủ đề (theo plan): bài nhắc tỷ giá, ngoại tệ, yên nhật. Liên quan rộng – đọc bài trước khi chèn.</t>
  </si>
  <si>
    <t>Mở rộng chủ đề (theo plan): bài nhắc tỷ giá, đổi tiền, tệ. Liên quan rộng – đọc bài trước khi chèn.</t>
  </si>
  <si>
    <t>Mở rộng chủ đề (theo plan): bài nhắc tỷ giá, nhân dân tệ, tệ. Liên quan rộng – đọc bài trước khi chèn.</t>
  </si>
  <si>
    <t>Mở rộng chủ đề (theo plan): bài nhắc ngoại tệ, tệ, nước ngoài. Liên quan rộng – đọc bài trước khi chèn.</t>
  </si>
  <si>
    <t>https://techcombank.com/thong-tin/blog/tien-malaysia</t>
  </si>
  <si>
    <t>Mở rộng chủ đề (theo plan): bài nhắc tỷ giá, đổi tiền, tiền. Liên quan rộng – đọc bài trước khi chèn.</t>
  </si>
  <si>
    <t>Du lịch Nhật cần biết mệnh giá tiền Nhật.</t>
  </si>
  <si>
    <t>Chuyển tiền từ Nhật — liên quan tiền Yên.</t>
  </si>
  <si>
    <t>Bài quy đổi 1 Yên dẫn về tổng quan tiền Nhật.</t>
  </si>
  <si>
    <t>Bài 1 Man dẫn về mệnh giá tiền Nhật.</t>
  </si>
  <si>
    <t>https://techcombank.com/thong-tin/blog/cach-tiet-kiem-tien-cua-nguoi-nhat</t>
  </si>
  <si>
    <t>Chủ đề người Nhật; chỉ chèn nếu có nhắc tiền Yên. (Liên quan yếu – bản chặt đã loại.)</t>
  </si>
  <si>
    <t>https://techcombank.com/thong-tin/blog/chixmax</t>
  </si>
  <si>
    <t>Nhắc: nhật bản.</t>
  </si>
  <si>
    <t>Nhắc: yên nhật, jpy, 1000 yên.</t>
  </si>
  <si>
    <t>Mở rộng chủ đề (theo plan): bài nhắc đổi tiền, usd, đô. Liên quan rộng – đọc bài trước khi chèn.</t>
  </si>
  <si>
    <t>Mở rộng chủ đề (theo plan): bài nhắc đô la, đô, quốc tế. Liên quan rộng – đọc bài trước khi chèn.</t>
  </si>
  <si>
    <t>https://techcombank.com/thong-tin/blog/vnd-to-myr</t>
  </si>
  <si>
    <t>https://techcombank.com/thong-tin/blog/thu-tuc-chuyen-tien-ra-nuoc-ngoai</t>
  </si>
  <si>
    <t>Mở rộng chủ đề (theo plan): bài nhắc nước ngoài, quốc tế, tiền. Liên quan rộng – đọc bài trước khi chèn.</t>
  </si>
  <si>
    <t>Bài anh em mệnh giá 1000 Yên.</t>
  </si>
  <si>
    <t>Bài tổng quan tiền Nhật — đoạn tỷ giá dẫn sang quy đổi 1 Yên.</t>
  </si>
  <si>
    <t>1 Man = 10.000 Yên — dẫn sang tỷ giá 1 Yên.</t>
  </si>
  <si>
    <t>Chuyển tiền từ Nhật — quy đổi JPY/VND.</t>
  </si>
  <si>
    <t>https://techcombank.com/thong-tin/blog/tien-lao</t>
  </si>
  <si>
    <t>Bài anh em mệnh giá 1 triệu Won.</t>
  </si>
  <si>
    <t>Bài anh em 1000 Won.</t>
  </si>
  <si>
    <t>Du lịch Hàn Quốc cần quy đổi Won.</t>
  </si>
  <si>
    <t>Chuyển tiền Hàn về VN — tỷ giá Won.</t>
  </si>
  <si>
    <t>So sánh tỷ giá các ngân hàng — chèn ở mục KRW.</t>
  </si>
  <si>
    <t>Mở rộng chủ đề (theo plan): bài nhắc nước ngoài, quốc tế, visa. Liên quan rộng – đọc bài trước khi chèn.</t>
  </si>
  <si>
    <t>Mở rộng chủ đề (theo plan): bài nhắc du lịch, nước ngoài, quốc tế. Liên quan rộng – đọc bài trước khi chèn.</t>
  </si>
  <si>
    <t>https://techcombank.com/thong-tin/blog/vay-du-hoc</t>
  </si>
  <si>
    <t>Mở rộng chủ đề (theo plan): bài nhắc nước ngoài, du học, tiền. Liên quan rộng – đọc bài trước khi chèn.</t>
  </si>
  <si>
    <t>Bài anh em 1 vạn Đài tệ.</t>
  </si>
  <si>
    <t>Định nghĩa ngoại tệ; chèn ví dụ Đài tệ.</t>
  </si>
  <si>
    <t>Bảng tỷ giá — chèn ở mục TWD.</t>
  </si>
  <si>
    <t>Mua ngoại tệ đi du lịch — chèn ví dụ Đài Loan.</t>
  </si>
  <si>
    <t>https://techcombank.com/thong-tin/blog/shang-chi</t>
  </si>
  <si>
    <t>Nhắc: đài loan.</t>
  </si>
  <si>
    <t>https://techcombank.com/thong-tin/blog/gui-tien-sang-nuoc-ngoai</t>
  </si>
  <si>
    <t>Mở rộng chủ đề (theo plan): bài nhắc tỷ giá, nước ngoài, tiền. Liên quan rộng – đọc bài trước khi chèn.</t>
  </si>
  <si>
    <t>Mở rộng chủ đề (theo plan): bài nhắc đổi tiền, tệ, tiền. Liên quan rộng – đọc bài trước khi chèn.</t>
  </si>
  <si>
    <t>Tổng quan tiền Nhật — đoạn mệnh giá 10.000 Yên dẫn sang 1 Man.</t>
  </si>
  <si>
    <t>Bài 1 Yên — chèn ở đoạn quy đổi mệnh giá lớn.</t>
  </si>
  <si>
    <t>Bài 1000 Yên — dẫn sang 1 Man.</t>
  </si>
  <si>
    <t>Người lao động Nhật hay tính lương theo 'man'.</t>
  </si>
  <si>
    <t>Du lịch Nhật; chèn ở đoạn chuẩn bị tiền mặt.</t>
  </si>
  <si>
    <t>Mở rộng chủ đề (theo plan): bài nhắc tỷ giá, usd, quốc tế. Liên quan rộng – đọc bài trước khi chèn.</t>
  </si>
  <si>
    <t>Du lịch Thái cần biết tiền Thái.</t>
  </si>
  <si>
    <t>Thanh toán QR ở Thái — liên quan quy đổi Baht.</t>
  </si>
  <si>
    <t>Mua ngoại tệ đi du lịch — ví dụ Baht.</t>
  </si>
  <si>
    <t>Checklist du lịch — mục đổi tiền.</t>
  </si>
  <si>
    <t>Thanh toán thẻ quốc tế khi du lịch — chèn ở đoạn tiền mặt.</t>
  </si>
  <si>
    <t>Mở rộng chủ đề (theo plan): bài nhắc tỷ giá, won, tiền. Liên quan rộng – đọc bài trước khi chèn.</t>
  </si>
  <si>
    <t>Bài 1 USD — chèn ở đoạn quy đổi số tiền lớn.</t>
  </si>
  <si>
    <t>Ngưỡng tài sản 'triệu đô' của HNWI.</t>
  </si>
  <si>
    <t>Tỷ giá USD — ví dụ quy đổi 1 triệu đô.</t>
  </si>
  <si>
    <t>Net worth — ví dụ tài sản triệu đô. (Liên quan yếu – bản chặt đã loại.)</t>
  </si>
  <si>
    <t>Nhắc: usd, đô.</t>
  </si>
  <si>
    <t>Nhắc: đô.</t>
  </si>
  <si>
    <t>Mở rộng chủ đề (theo plan): bài nhắc tỷ giá, ngoại tệ, tệ. Liên quan rộng – đọc bài trước khi chèn.</t>
  </si>
  <si>
    <t>Bài 1 Won có bảng quy đổi 1.000 Won (theo meta).</t>
  </si>
  <si>
    <t>Bài anh em mệnh giá.</t>
  </si>
  <si>
    <t>Du lịch Hàn — giá món đồ thường tính nghìn Won.</t>
  </si>
  <si>
    <t>Chuyển tiền Hàn — quy đổi.</t>
  </si>
  <si>
    <t>Mở rộng chủ đề (theo plan): bài nhắc tỷ giá, đô, tiền. Liên quan rộng – đọc bài trước khi chèn.</t>
  </si>
  <si>
    <t>Kiều hối là tiền từ nước ngoài về.</t>
  </si>
  <si>
    <t>Một kênh nhận tiền từ nước ngoài.</t>
  </si>
  <si>
    <t>Nhận tiền quốc tế cần mã SWIFT.</t>
  </si>
  <si>
    <t>Trường hợp cụ thể từ Mỹ.</t>
  </si>
  <si>
    <t>Remittance = chuyển tiền quốc tế.</t>
  </si>
  <si>
    <t>Nhắc: quốc tế.</t>
  </si>
  <si>
    <t>https://techcombank.com/thong-tin/blog/bao-hiem-du-lich-quoc-te-nao-tot</t>
  </si>
  <si>
    <t>https://techcombank.com/thong-tin/blog/bib-techcombank</t>
  </si>
  <si>
    <t>Nhắc: quốc tế, swift.</t>
  </si>
  <si>
    <t>https://techcombank.com/thong-tin/blog/app-ngan-hang-co-dung-duoc-o-nuoc-ngoai</t>
  </si>
  <si>
    <t>Nhắc: nước ngoài.</t>
  </si>
  <si>
    <t>Nhắc: nước ngoài, quốc tế.</t>
  </si>
  <si>
    <t>https://techcombank.com/thong-tin/blog/gia-ca-phe-hom-nay</t>
  </si>
  <si>
    <t>Điều kiện mua USD → nơi mua.</t>
  </si>
  <si>
    <t>Hạn mức mua ngoại tệ → nơi đổi.</t>
  </si>
  <si>
    <t>So sánh tỷ giá → chọn nơi đổi.</t>
  </si>
  <si>
    <t>Checklist đi nước ngoài — đổi tiền.</t>
  </si>
  <si>
    <t>Bài quy đổi USD — chèn ở đoạn đổi tiền.</t>
  </si>
  <si>
    <t>Nhắc: ngoại tệ.</t>
  </si>
  <si>
    <t>Nhắc: tỷ giá.</t>
  </si>
  <si>
    <t>Nhắc: đổi tiền.</t>
  </si>
  <si>
    <t>https://techcombank.com/thong-tin/blog/dinar-kuwait</t>
  </si>
  <si>
    <t>Nhắc: ngoại tệ, tỷ giá.</t>
  </si>
  <si>
    <t>Nhắc: đổi tiền, đô, tỷ giá.</t>
  </si>
  <si>
    <t>Nhắc: đổi tiền, tỷ giá.</t>
  </si>
  <si>
    <t>Nhắc: usd, tỷ giá.</t>
  </si>
  <si>
    <t>Cân nhắc vay mua nhà — ví dụ khoản vay 1 tỷ.</t>
  </si>
  <si>
    <t>Thủ tục vay mua nhà — câu hỏi trả mỗi tháng bao nhiêu.</t>
  </si>
  <si>
    <t>Kinh nghiệm tránh áp lực trả nợ hàng tháng.</t>
  </si>
  <si>
    <t>Vay mua chung cư thường ở mức ~1 tỷ.</t>
  </si>
  <si>
    <t>Lãi suất thế chấp → số tiền trả hàng tháng.</t>
  </si>
  <si>
    <t>Meta description bài đích (vay-ngan-hang-1-ty) đang lệch nội dung — nên sửa.</t>
  </si>
  <si>
    <t>https://techcombank.com/thong-tin/blog/thu-tuc-vay-von-kinh-doanh-nho</t>
  </si>
  <si>
    <t>Nhắc: vay thế chấp.</t>
  </si>
  <si>
    <t>Nhắc: trả góp.</t>
  </si>
  <si>
    <t>https://techcombank.com/thong-tin/blog/vay-the-chap-so-bao-hiem-xa-hoi</t>
  </si>
  <si>
    <t>https://techcombank.com/thong-tin/blog/thanh-toan-phi-quan-ly-chung-cu</t>
  </si>
  <si>
    <t>Nhắc: chung cư.</t>
  </si>
  <si>
    <t>Nhắc: mua nhà.</t>
  </si>
  <si>
    <t>Nhắc: vay mua nhà, mua nhà, trả góp.</t>
  </si>
  <si>
    <t>Đặt vé máy bay online — Traveloka là kênh đặt vé.</t>
  </si>
  <si>
    <t>Săn vé rẻ — dùng voucher Traveloka.</t>
  </si>
  <si>
    <t>Đổi điểm U-Point trên OneU — voucher Traveloka là quà đổi.</t>
  </si>
  <si>
    <t>Tích điểm đổi quà — ví dụ voucher Traveloka.</t>
  </si>
  <si>
    <t>Tiết kiệm khi du lịch — dùng voucher. (Liên quan yếu – bản chặt đã loại.)</t>
  </si>
  <si>
    <t>https://techcombank.com/thong-tin/blog/giam-gia-be</t>
  </si>
  <si>
    <t>Nhắc: u-point, oneu.</t>
  </si>
  <si>
    <t>https://techcombank.com/thong-tin/blog/4p-pizza</t>
  </si>
  <si>
    <t>Nhắc: u-point.</t>
  </si>
  <si>
    <t>https://techcombank.com/thong-tin/blog/doi-dam-bay</t>
  </si>
  <si>
    <t>Nhắc: du lịch, u-point, oneu.</t>
  </si>
  <si>
    <t>https://techcombank.com/thong-tin/blog/voucher-the-coffee-house</t>
  </si>
  <si>
    <t>Nhắc: oneu.</t>
  </si>
  <si>
    <t>https://techcombank.com/thong-tin/blog/yakimono</t>
  </si>
  <si>
    <t>https://techcombank.com/thong-tin/blog/kichi-kichi</t>
  </si>
  <si>
    <t>https://techcombank.com/thong-tin/blog/ma-giam-gia-shopee</t>
  </si>
  <si>
    <t>https://techcombank.com/thong-tin/blog/voucher-starbucks</t>
  </si>
  <si>
    <t>https://techcombank.com/thong-tin/blog/voucher-cgv</t>
  </si>
  <si>
    <t>https://techcombank.com/thong-tin/blog/cua-hang-tien-loi</t>
  </si>
  <si>
    <t>https://techcombank.com/thong-tin/blog/voucher-highland</t>
  </si>
  <si>
    <t>https://techcombank.com/thong-tin/blog/ma-giam-xanh-sm</t>
  </si>
  <si>
    <t>https://techcombank.com/thong-tin/blog/voucher-kfc</t>
  </si>
  <si>
    <t>https://techcombank.com/thong-tin/blog/voucher-grab</t>
  </si>
  <si>
    <t>https://techcombank.com/thong-tin/blog/tous-les-jours</t>
  </si>
  <si>
    <t>https://techcombank.com/thong-tin/blog/woomaster</t>
  </si>
  <si>
    <t>https://techcombank.com/thong-tin/blog/diem-loyalty-la-gi</t>
  </si>
  <si>
    <t>Nhắc: vé máy bay.</t>
  </si>
  <si>
    <t>Có mục 'mức thuế phải đóng' (theo title).</t>
  </si>
  <si>
    <t>Thuế khoán là cách đóng thuế của HKD.</t>
  </si>
  <si>
    <t>Miễn thuế — đối lập với nghĩa vụ đóng thuế.</t>
  </si>
  <si>
    <t>Truy thu khi đóng thuế sai.</t>
  </si>
  <si>
    <t>Cập nhật quy định HKD — chèn ở đoạn thuế.</t>
  </si>
  <si>
    <t>Nhắc: thuế.</t>
  </si>
  <si>
    <t>Nhắc: hộ kinh doanh, thuế.</t>
  </si>
  <si>
    <t>Nhắc: hộ kinh doanh.</t>
  </si>
  <si>
    <t>https://techcombank.com/thong-tin/blog/vay-tin-chap-ho-kinh-doanh</t>
  </si>
  <si>
    <t>https://techcombank.com/thong-tin/blog/barcode-la-gi</t>
  </si>
  <si>
    <t>Nhắc: hộ kinh doanh, thuế khoán, thuế.</t>
  </si>
  <si>
    <t>Nhượng quyền là một mô hình kinh doanh.</t>
  </si>
  <si>
    <t>Kinh doanh online — chọn mô hình.</t>
  </si>
  <si>
    <t>Mô hình One-Stop Shop.</t>
  </si>
  <si>
    <t>https://techcombank.com/thong-tin/blog/cac-loai-hinh-doanh-nghiep</t>
  </si>
  <si>
    <t>Loại hình DN ≠ mô hình KD nhưng có thể dẫn câu ngắn. (Liên quan yếu – bản chặt đã loại.)</t>
  </si>
  <si>
    <t>https://techcombank.com/thong-tin/blog/merchant-la-gi</t>
  </si>
  <si>
    <t>Merchant — mô hình bán lẻ. (Liên quan yếu – bản chặt đã loại.)</t>
  </si>
  <si>
    <t>Nhắc: khởi nghiệp.</t>
  </si>
  <si>
    <t>Nhắc: kinh doanh online.</t>
  </si>
  <si>
    <t>https://techcombank.com/thong-tin/blog/quan-ly-chuoi-cua-hang</t>
  </si>
  <si>
    <t>Nhắc: chuỗi cửa hàng.</t>
  </si>
  <si>
    <t>https://techcombank.com/thong-tin/blog/giai-phap-quan-ly-chuoi-cua-hang</t>
  </si>
  <si>
    <t>https://techcombank.com/thong-tin/blog/vay-kinh-doanh-online</t>
  </si>
  <si>
    <t>https://techcombank.com/thong-tin/blog/quan-ly-chi-phi-doanh-nghiep</t>
  </si>
  <si>
    <t>https://techcombank.com/thong-tin/blog/tieu-dung-ben-vung</t>
  </si>
  <si>
    <t>Nhắc: mô hình.</t>
  </si>
  <si>
    <t>Mở rộng chủ đề (theo plan): bài nhắc kinh doanh, doanh nghiệp, hộ kinh doanh.</t>
  </si>
  <si>
    <t>Tạo xong mã QR → gửi cho người khác.</t>
  </si>
  <si>
    <t>In mã QR — dạng chia sẻ khác.</t>
  </si>
  <si>
    <t>Gửi mã QR có an toàn không.</t>
  </si>
  <si>
    <t>Phí làm mã QR — dẫn sang cách lấy/gửi.</t>
  </si>
  <si>
    <t>Lỗi mã QR khi gửi/nhận.</t>
  </si>
  <si>
    <t>Nhắc: mã qr, qr.</t>
  </si>
  <si>
    <t>Nhắc: qr.</t>
  </si>
  <si>
    <t>https://techcombank.com/thong-tin/blog/qr-code-phuong-thuc-thanh-toan-toi-uu-trong-ky-nguyen-so</t>
  </si>
  <si>
    <t>Mở rộng chủ đề (theo plan): bài nhắc kinh doanh, hộ kinh doanh, bán hàng. Liên quan rộng – đọc bài trước khi chèn.</t>
  </si>
  <si>
    <t>Mở rộng chủ đề (theo plan): bài nhắc chuyển khoản, kinh doanh, thanh toán.</t>
  </si>
  <si>
    <t>Mở rộng chủ đề (theo plan): bài nhắc chuyển khoản, kinh doanh.</t>
  </si>
  <si>
    <t>HKD cần gì ở TK — sát chủ đề.</t>
  </si>
  <si>
    <t>Thành lập HKD xong → mở TK.</t>
  </si>
  <si>
    <t>Khai báo TK với thuế — cần có TK HKD.</t>
  </si>
  <si>
    <t>Định nghĩa HKD cá thể.</t>
  </si>
  <si>
    <t>Đăng ký MST HKD — bước liền kề.</t>
  </si>
  <si>
    <t>Kê khai cần tính số thuế trước.</t>
  </si>
  <si>
    <t>Kiểm tra số thuế → đối chiếu cách tính.</t>
  </si>
  <si>
    <t>Thuế TMĐT cho HKD — tính theo tỷ lệ doanh thu.</t>
  </si>
  <si>
    <t>Chính sách thuế mới cho HKD.</t>
  </si>
  <si>
    <t>Tổng quan HKD — chèn ở đoạn nghĩa vụ thuế.</t>
  </si>
  <si>
    <t>Dư nợ là cơ sở tính lãi.</t>
  </si>
  <si>
    <t>Ân hạn gốc thay đổi cách tính lãi.</t>
  </si>
  <si>
    <t>Lãi thả nổi/cố định → cách tính khác nhau.</t>
  </si>
  <si>
    <t>Công thức lãi suất thực — cùng chủ đề tính lãi.</t>
  </si>
  <si>
    <t>Vay trả góp — chèn ở đoạn chi phí lãi.</t>
  </si>
  <si>
    <t>Nhắc: lãi suất vay.</t>
  </si>
  <si>
    <t>Nhắc: khoản vay.</t>
  </si>
  <si>
    <t>Nhắc: lãi vay.</t>
  </si>
  <si>
    <t>Nhắc: dư nợ.</t>
  </si>
  <si>
    <t>https://techcombank.com/thong-tin/blog/tra-gop-hoc-phi</t>
  </si>
  <si>
    <t>Nhắc: lãi vay, lãi suất vay.</t>
  </si>
  <si>
    <t>Nhắc: dư nợ, trả góp.</t>
  </si>
  <si>
    <t>Nhắc: dư nợ, khoản vay.</t>
  </si>
  <si>
    <t>Hạn mức vay sổ đỏ — anh em trực tiếp.</t>
  </si>
  <si>
    <t>Sổ hồng ~ sổ đỏ, cùng nhu cầu.</t>
  </si>
  <si>
    <t>Kinh nghiệm vay lãi tối ưu.</t>
  </si>
  <si>
    <t>Chọn ngân hàng — lãi suất là tiêu chí.</t>
  </si>
  <si>
    <t>Định nghĩa — chèn ở đoạn tài sản là sổ đỏ.</t>
  </si>
  <si>
    <t>https://techcombank.com/thong-tin/blog/vay-von-doanh-nghiep-khong-the-chap</t>
  </si>
  <si>
    <t>Nhắc: thế chấp.</t>
  </si>
  <si>
    <t>https://techcombank.com/thong-tin/blog/vay-ngan-han</t>
  </si>
  <si>
    <t>Nhắc: thế chấp, sổ đỏ.</t>
  </si>
  <si>
    <t>https://techcombank.com/thong-tin/blog/giai-ngan-vay-the-chap</t>
  </si>
  <si>
    <t>https://techcombank.com/thong-tin/blog/phi-vay-the-chap</t>
  </si>
  <si>
    <t>https://techcombank.com/thong-tin/blog/cac-hinh-thuc-cho-vay-tieu-dung</t>
  </si>
  <si>
    <t>Tất toán xong → xóa thế chấp.</t>
  </si>
  <si>
    <t>Tất toán khoản vay → bước giải chấp.</t>
  </si>
  <si>
    <t>Định nghĩa thế chấp; chèn ở đoạn kết thúc thế chấp.</t>
  </si>
  <si>
    <t>thủ tục giải chấp sổ đỏ</t>
  </si>
  <si>
    <t>Xử lý tài sản thế chấp — đối lập với xóa thế chấp. (Liên quan yếu – bản chặt đã loại.)</t>
  </si>
  <si>
    <t>Vòng đời khoản vay thế chấp. (Liên quan yếu – bản chặt đã loại.)</t>
  </si>
  <si>
    <t>Nhắc: tất toán.</t>
  </si>
  <si>
    <t>So kỳ hạn để lãi cao — cần bảng lãi suất.</t>
  </si>
  <si>
    <t>So lãi online/quầy.</t>
  </si>
  <si>
    <t>Quyết định gửi dựa trên lãi suất hiện tại.</t>
  </si>
  <si>
    <t>Top ngân hàng lãi suất hấp dẫn.</t>
  </si>
  <si>
    <t>So sánh lãi suất, kỳ hạn hôm nay.</t>
  </si>
  <si>
    <t>Nhắc: kỳ hạn.</t>
  </si>
  <si>
    <t>https://techcombank.com/thong-tin/blog/gia-cao-su</t>
  </si>
  <si>
    <t>https://techcombank.com/thong-tin/blog/casa-la-gi</t>
  </si>
  <si>
    <t>Nhắc: lãi suất tiết kiệm, lãi suất gửi tiết kiệm, gửi tiết kiệm.</t>
  </si>
  <si>
    <t>https://techcombank.com/thong-tin/blog/xu-huong-dau-tu-trai-phieu-ky-han-duoi-mot-nam-lua-chon-an-toan-khi-thi-truong-bien-dong</t>
  </si>
  <si>
    <t>https://techcombank.com/thong-tin/blog/gui-tiet-kiem-online-quay-vong-ca-goc-va-lai</t>
  </si>
  <si>
    <t>Nhắc: gửi tiết kiệm, kỳ hạn.</t>
  </si>
  <si>
    <t>Nhắc: lãi suất gửi tiết kiệm, gửi tiết kiệm.</t>
  </si>
  <si>
    <t>https://techcombank.com/thong-tin/blog/cach-tinh-ty-gia-ky-han</t>
  </si>
  <si>
    <t>Mở rộng chủ đề (theo plan): bài nhắc lãi suất, tiết kiệm, tiền gửi.</t>
  </si>
  <si>
    <t>https://techcombank.com/thong-tin/blog/app-gui-tien-tiet-kiem</t>
  </si>
  <si>
    <t>Mở rộng chủ đề (theo plan): bài nhắc tiết kiệm, gửi tiền, sinh lời.</t>
  </si>
  <si>
    <t>Mở rộng chủ đề (theo plan): bài nhắc lãi suất, tiền gửi, chứng chỉ tiền gửi.</t>
  </si>
  <si>
    <t>https://techcombank.com/thong-tin/blog/ngan-hang-so</t>
  </si>
  <si>
    <t>Mở rộng chủ đề (theo plan): bài nhắc tiết kiệm, đầu tư, quản lý tài chính.</t>
  </si>
  <si>
    <t>https://techcombank.com/thong-tin/blog/lap-ke-hoach-chi-tieu-ca-nhan</t>
  </si>
  <si>
    <t>Mở rộng chủ đề (theo plan): bài nhắc tiết kiệm, tài chính cá nhân, quản lý tài chính.</t>
  </si>
  <si>
    <t>https://techcombank.com/thong-tin/blog/ke-hoach-tai-chinh</t>
  </si>
  <si>
    <t>https://techcombank.com/thong-tin/blog/tich-luy-tai-san</t>
  </si>
  <si>
    <t>Mở rộng chủ đề (theo plan): bài nhắc tiết kiệm, tích lũy, đầu tư.</t>
  </si>
  <si>
    <t>Mở rộng chủ đề (theo plan): bài nhắc tiết kiệm, tiền gửi, tích lũy.</t>
  </si>
  <si>
    <t>Mở rộng chủ đề (theo plan): bài nhắc lãi suất, lãi, tài chính cá nhân.</t>
  </si>
  <si>
    <t>https://techcombank.com/thong-tin/blog/quy-du-phong-tai-chinh-la-gi</t>
  </si>
  <si>
    <t>Mở rộng chủ đề (theo plan): bài nhắc tiết kiệm, tài chính cá nhân.</t>
  </si>
  <si>
    <t>https://techcombank.com/thong-tin/blog/loi-ich-cua-ngan-hang-so-voi-sme</t>
  </si>
  <si>
    <t>Mở rộng chủ đề (theo plan): bài nhắc tiết kiệm, quản lý tài chính.</t>
  </si>
  <si>
    <t>Mở rộng chủ đề (theo plan): bài nhắc tiết kiệm, lãi.</t>
  </si>
  <si>
    <t>Mở rộng chủ đề (theo plan): bài nhắc lãi suất, lãi.</t>
  </si>
  <si>
    <t>Mở rộng chủ đề (theo plan): bài nhắc tiết kiệm, đầu tư.</t>
  </si>
  <si>
    <t>Mở rộng chủ đề (theo plan): bài nhắc tiền gửi, chứng chỉ tiền gửi, đầu tư. Liên quan rộng – đọc bài trước khi chèn.</t>
  </si>
  <si>
    <t>Mở rộng chủ đề (theo plan): bài nhắc tích lũy, đầu tư, sinh lời. Liên quan rộng – đọc bài trước khi chèn.</t>
  </si>
  <si>
    <t>Mở rộng chủ đề (theo plan): bài nhắc tiết kiệm, tích lũy.</t>
  </si>
  <si>
    <t>Mở rộng chủ đề (theo plan): bài nhắc tiết kiệm, tiền gửi.</t>
  </si>
  <si>
    <t>https://techcombank.com/thong-tin/blog/dac-san-hai-phong</t>
  </si>
  <si>
    <t>Mở rộng chủ đề (theo plan): bài nhắc tiết kiệm. Liên quan rộng – đọc bài trước khi chèn.</t>
  </si>
  <si>
    <t>https://techcombank.com/thong-tin/blog/ngan-hang-dien-tu</t>
  </si>
  <si>
    <t>https://techcombank.com/thong-tin/blog/nhung-kho-khan-khi-tiet-kiem-tien</t>
  </si>
  <si>
    <t>https://techcombank.com/thong-tin/blog/loi-ich-cua-mua-sam-online</t>
  </si>
  <si>
    <t>https://techcombank.com/thong-tin/blog/voucher-coopmart</t>
  </si>
  <si>
    <t>https://techcombank.com/thong-tin/blog/dau-tu-tai-chinh-ca-nhan</t>
  </si>
  <si>
    <t>Mở rộng chủ đề (theo plan): bài nhắc đầu tư, tài chính cá nhân, quản lý tài chính. Liên quan rộng – đọc bài trước khi chèn.</t>
  </si>
  <si>
    <t>Mở rộng chủ đề (theo plan): bài nhắc sinh lời, tiền nhàn rỗi, quản lý tài chính. Liên quan rộng – đọc bài trước khi chèn.</t>
  </si>
  <si>
    <t>Mở rộng chủ đề (theo plan): bài nhắc đầu tư, sinh lời, tiền nhàn rỗi. Liên quan rộng – đọc bài trước khi chèn.</t>
  </si>
  <si>
    <t>https://techcombank.com/thong-tin/blog/dau-tu-dai-han</t>
  </si>
  <si>
    <t>Mở rộng chủ đề (theo plan): bài nhắc lãi kép, lãi, đầu tư. Liên quan rộng – đọc bài trước khi chèn.</t>
  </si>
  <si>
    <t>Mở rộng chủ đề (theo plan): bài nhắc gửi tiền. Liên quan rộng – đọc bài trước khi chèn.</t>
  </si>
  <si>
    <t>https://techcombank.com/thong-tin/blog/nguyen-tac-quan-ly-tai-chinh-ca-nhan</t>
  </si>
  <si>
    <t>Mở rộng chủ đề (theo plan): bài nhắc tài chính cá nhân, quản lý tài chính. Liên quan rộng – đọc bài trước khi chèn.</t>
  </si>
  <si>
    <t>https://techcombank.com/thong-tin/blog/5-trieu-mua-duoc-bao-nhieu-vang</t>
  </si>
  <si>
    <t>Mở rộng chủ đề (theo plan): bài nhắc đầu tư, sinh lời. Liên quan rộng – đọc bài trước khi chèn.</t>
  </si>
  <si>
    <t>https://techcombank.com/thong-tin/blog/quan-ly-tai-chinh-doanh-nghiep-nho</t>
  </si>
  <si>
    <t>https://techcombank.com/thong-tin/blog/tai-san-va-tieu-san-la-gi</t>
  </si>
  <si>
    <t>https://techcombank.com/thong-tin/blog/lap-ke-hoach-tai-chinh-ca-nhan</t>
  </si>
  <si>
    <t>Mở rộng chủ đề (theo plan): bài nhắc đầu tư, tài chính cá nhân. Liên quan rộng – đọc bài trước khi chèn.</t>
  </si>
  <si>
    <t>https://techcombank.com/thong-tin/blog/cac-chung-chi-quy-o-viet-nam</t>
  </si>
  <si>
    <t>https://techcombank.com/thong-tin/blog/npv-la-gi</t>
  </si>
  <si>
    <t>Mở rộng chủ đề (theo plan): bài nhắc tiền gửi, chứng chỉ tiền gửi. Liên quan rộng – đọc bài trước khi chèn.</t>
  </si>
  <si>
    <t>https://techcombank.com/thong-tin/blog/tinh-thanh-khoan-la-gi</t>
  </si>
  <si>
    <t>Mở rộng chủ đề (theo plan): bài nhắc đầu tư, quản lý tài chính. Liên quan rộng – đọc bài trước khi chèn.</t>
  </si>
  <si>
    <t>Mở rộng chủ đề (theo plan): bài nhắc tích lũy, đầu tư. Liên quan rộng – đọc bài trước khi chèn.</t>
  </si>
  <si>
    <t>Mở rộng chủ đề (theo plan): bài nhắc sinh lời, tiền nhàn rỗi. Liên quan rộng – đọc bài trước khi chèn.</t>
  </si>
  <si>
    <t>https://techcombank.com/thong-tin/blog/bao-hiem-lien-ket-dau-tu</t>
  </si>
  <si>
    <t>Mở rộng chủ đề (theo plan): bài nhắc đầu tư. Liên quan rộng – đọc bài trước khi chèn.</t>
  </si>
  <si>
    <t>https://techcombank.com/thong-tin/blog/anh-sang-cuoi-duong-ham-xuat-hien-trai-phieu-doanh-nghiep-tot-va-an-toan-se-duoc-nha-dau-tu-chon</t>
  </si>
  <si>
    <t>https://techcombank.com/thong-tin/blog/vang-giam</t>
  </si>
  <si>
    <t>https://techcombank.com/thong-tin/blog/chung-chi-quy-dong</t>
  </si>
  <si>
    <t>https://techcombank.com/thong-tin/blog/bang-can-doi-tai-chinh</t>
  </si>
  <si>
    <t>Mở rộng chủ đề (theo plan): bài nhắc tài chính cá nhân. Liên quan rộng – đọc bài trước khi chèn.</t>
  </si>
  <si>
    <t>https://techcombank.com/thong-tin/blog/bao-hiem-sinh-ky-la-gi</t>
  </si>
  <si>
    <t>https://techcombank.com/thong-tin/blog/ly-do-ngan-hang-so-tro-thanh-cong-cu-tai-chinh-hang-dau-cua-gioi-tre</t>
  </si>
  <si>
    <t>Mở rộng chủ đề (theo plan): bài nhắc quản lý tài chính. Liên quan rộng – đọc bài trước khi chèn.</t>
  </si>
  <si>
    <t>https://techcombank.com/thong-tin/blog/ngan-hang-xanh</t>
  </si>
  <si>
    <t>https://techcombank.com/thong-tin/blog/chung-chi-quy-mo-va-dong</t>
  </si>
  <si>
    <t>https://techcombank.com/thong-tin/blog/bi-quyet-lua-chon-trai-phieu-an-toan-cho-nha-dau-tu</t>
  </si>
  <si>
    <t>Lãi kép và công thức tính.</t>
  </si>
  <si>
    <t>Nhận lãi hàng tháng — cách tính khác lãi cuối kỳ.</t>
  </si>
  <si>
    <t>Có mục cách tính lãi (theo title).</t>
  </si>
  <si>
    <t>Có mục cách tính lãi không kỳ hạn.</t>
  </si>
  <si>
    <t>Đáo hạn và cách tính.</t>
  </si>
  <si>
    <t>Nhắc: tính lãi.</t>
  </si>
  <si>
    <t>Nhắc: lãi suất tiết kiệm, gửi tiết kiệm.</t>
  </si>
  <si>
    <t>Nhắc: lãi kép.</t>
  </si>
  <si>
    <t>Mở rộng chủ đề (theo plan): bài nhắc tiết kiệm, kỳ hạn, lãi.</t>
  </si>
  <si>
    <t>Mở rộng chủ đề (theo plan): bài nhắc kỳ hạn, đầu tư, sinh lời. Liên quan rộng – đọc bài trước khi chèn.</t>
  </si>
  <si>
    <t>Mở rộng chủ đề (theo plan): bài nhắc tiền gửi, kỳ hạn, chứng chỉ tiền gửi. Liên quan rộng – đọc bài trước khi chèn.</t>
  </si>
  <si>
    <t>Tất toán trước hạn = rút trước hạn.</t>
  </si>
  <si>
    <t>Cùng câu hỏi cho tiết kiệm online.</t>
  </si>
  <si>
    <t>Phương án thay cho rút trước hạn.</t>
  </si>
  <si>
    <t>Mất sổ — chèn ở đoạn rút tiền.</t>
  </si>
  <si>
    <t>Các thao tác với sổ tiết kiệm.</t>
  </si>
  <si>
    <t>Nhắc: sổ tiết kiệm.</t>
  </si>
  <si>
    <t>Nhắc: tất toán, trước hạn, sổ tiết kiệm.</t>
  </si>
  <si>
    <t>Nhắc: trước hạn.</t>
  </si>
  <si>
    <t>Nhắc: tất toán, trước hạn.</t>
  </si>
  <si>
    <t>Mở rộng chủ đề (theo plan): bài nhắc tiết kiệm, lãi suất, tiền gửi.</t>
  </si>
  <si>
    <t>Mở rộng chủ đề (theo plan): bài nhắc tiết kiệm, lãi suất, gửi tiền.</t>
  </si>
  <si>
    <t>Mở rộng chủ đề (theo plan): bài nhắc tiết kiệm, lãi suất, kỳ hạn.</t>
  </si>
  <si>
    <t>Mở rộng chủ đề (theo plan): bài nhắc rút tiền, tiết kiệm, lãi.</t>
  </si>
  <si>
    <t>Mở rộng chủ đề (theo plan): bài nhắc tiết kiệm, lãi suất, lãi.</t>
  </si>
  <si>
    <t>Mở rộng chủ đề (theo plan): bài nhắc tiết kiệm, gửi tiền, lãi.</t>
  </si>
  <si>
    <t>Mở rộng chủ đề (theo plan): bài nhắc tiết kiệm, lãi suất, tích lũy.</t>
  </si>
  <si>
    <t>Mở rộng chủ đề (theo plan): bài nhắc tiết kiệm, gửi tiền, tích lũy.</t>
  </si>
  <si>
    <t>Mở sổ cần bao nhiêu tiền.</t>
  </si>
  <si>
    <t>TK tiết kiệm ~ sổ tiết kiệm.</t>
  </si>
  <si>
    <t>Mất sổ — cần hiểu sổ.</t>
  </si>
  <si>
    <t>Gửi thêm vào sổ.</t>
  </si>
  <si>
    <t>Quy trình gửi tiết kiệm tại quầy.</t>
  </si>
  <si>
    <t>Nhắc: tài khoản tiết kiệm.</t>
  </si>
  <si>
    <t>Cách tiết kiệm theo tuần — dẫn sang 11 cách.</t>
  </si>
  <si>
    <t>Tiết kiệm theo ngày.</t>
  </si>
  <si>
    <t>Tiết kiệm tiền lương.</t>
  </si>
  <si>
    <t>Lợi ích tiết kiệm → cách làm.</t>
  </si>
  <si>
    <t>Thực hành tiết kiệm.</t>
  </si>
  <si>
    <t>Nhắc: tài chính cá nhân.</t>
  </si>
  <si>
    <t>Nhắc: quản lý tài chính.</t>
  </si>
  <si>
    <t>Nhắc: tài chính cá nhân, quản lý tài chính.</t>
  </si>
  <si>
    <t>Nhắc: chi tiêu, quản lý tài chính.</t>
  </si>
  <si>
    <t>Nhắc: tiết kiệm tiền.</t>
  </si>
  <si>
    <t>https://techcombank.com/thong-tin/blog/lam-phat-la-gi</t>
  </si>
  <si>
    <t>Nhắc: tiết kiệm tiền, chi tiêu.</t>
  </si>
  <si>
    <t>https://techcombank.com/thong-tin/blog/phan-mem-quan-ly-tai-chinh-doanh-nghiep</t>
  </si>
  <si>
    <t>Lý do nên gửi → đối chiếu rủi ro.</t>
  </si>
  <si>
    <t>Mất tiền gửi online — rủi ro cụ thể.</t>
  </si>
  <si>
    <t>Kinh nghiệm gửi an toàn.</t>
  </si>
  <si>
    <t>Hướng dẫn gửi — chèn lưu ý rủi ro.</t>
  </si>
  <si>
    <t>Bài anh em (rủi ro chung).</t>
  </si>
  <si>
    <t>Nhắc: rủi ro.</t>
  </si>
  <si>
    <t>Nhắc: tiết kiệm online.</t>
  </si>
  <si>
    <t>Nhắc: mất tiền.</t>
  </si>
  <si>
    <t>Vay 100 triệu — dùng công cụ tính tiền trả.</t>
  </si>
  <si>
    <t>Vay 200 triệu trả góp — người đọc cần tính số tiền trả hàng tháng.</t>
  </si>
  <si>
    <t>Vay 300 triệu trả góp — người đọc cần tính số tiền trả hàng tháng.</t>
  </si>
  <si>
    <t>Vay trả góp — tính số tiền trả.</t>
  </si>
  <si>
    <t>Vay thêm → tính lại khả năng trả.</t>
  </si>
  <si>
    <t>Nhắc: trả góp, khoản vay.</t>
  </si>
  <si>
    <t>Mở rộng chủ đề (theo plan): bài nhắc tính lãi, vay, thấu chi.</t>
  </si>
  <si>
    <t>Mở rộng chủ đề (theo plan): bài nhắc tính lãi, vay, dư nợ.</t>
  </si>
  <si>
    <t>Mở rộng chủ đề (theo plan): bài nhắc tính lãi, vay, lãi suất.</t>
  </si>
  <si>
    <t>Mở rộng chủ đề (theo plan): bài nhắc vay, tín chấp, giải ngân.</t>
  </si>
  <si>
    <t>Mở rộng chủ đề (theo plan): bài nhắc vay, thế chấp, mua xe.</t>
  </si>
  <si>
    <t>Mở rộng chủ đề (theo plan): bài nhắc vay, tín chấp, thế chấp.</t>
  </si>
  <si>
    <t>Mở rộng chủ đề (theo plan): bài nhắc vay, thế chấp, hạn mức.</t>
  </si>
  <si>
    <t>Mở rộng chủ đề (theo plan): bài nhắc vay, thế chấp, giải ngân.</t>
  </si>
  <si>
    <t>Mở rộng chủ đề (theo plan): bài nhắc vay, thế chấp, lãi suất.</t>
  </si>
  <si>
    <t>Mở rộng chủ đề (theo plan): bài nhắc vay, hạn mức, lãi suất.</t>
  </si>
  <si>
    <t>Mở rộng chủ đề (theo plan): bài nhắc vay, thấu chi, hạn mức.</t>
  </si>
  <si>
    <t>Mở rộng chủ đề (theo plan): bài nhắc vay, tín chấp, hạn mức.</t>
  </si>
  <si>
    <t>Mở rộng chủ đề (theo plan): bài nhắc vay, cic, lãi suất.</t>
  </si>
  <si>
    <t>Mở rộng chủ đề (theo plan): bài nhắc vay, mua nhà, lãi suất.</t>
  </si>
  <si>
    <t>Mở rộng chủ đề (theo plan): bài nhắc vay, nợ xấu, cic.</t>
  </si>
  <si>
    <t>Mở rộng chủ đề (theo plan): bài nhắc vay, giải ngân, lãi suất.</t>
  </si>
  <si>
    <t>Mở rộng chủ đề (theo plan): bài nhắc vay, tín chấp, nợ xấu.</t>
  </si>
  <si>
    <t>Mở rộng chủ đề (theo plan): bài nhắc vay, thế chấp, nợ xấu.</t>
  </si>
  <si>
    <t>Mở rộng chủ đề (theo plan): bài nhắc vay, thấu chi.</t>
  </si>
  <si>
    <t>Mở rộng chủ đề (theo plan): bài nhắc vay, tín chấp.</t>
  </si>
  <si>
    <t>Mở rộng chủ đề (theo plan): bài nhắc vay, thế chấp.</t>
  </si>
  <si>
    <t>https://techcombank.com/thong-tin/blog/vay-tin-chap-cho-doanh-nghiep-moi-thanh-lap</t>
  </si>
  <si>
    <t>Mở rộng chủ đề (theo plan): bài nhắc vay, giải ngân.</t>
  </si>
  <si>
    <t>Mở rộng chủ đề (theo plan): bài nhắc vay, mua nhà.</t>
  </si>
  <si>
    <t>Mở rộng chủ đề (theo plan): bài nhắc vay, lãi suất.</t>
  </si>
  <si>
    <t>Mở rộng chủ đề (theo plan): bài nhắc tính lãi, lãi suất.</t>
  </si>
  <si>
    <t>Mở rộng chủ đề (theo plan): bài nhắc vay, nợ xấu.</t>
  </si>
  <si>
    <t>Mở rộng chủ đề (theo plan): bài nhắc vay, cic.</t>
  </si>
  <si>
    <t>Mở rộng chủ đề (theo plan): bài nhắc nợ xấu, cic, tất toán. Liên quan rộng – đọc bài trước khi chèn.</t>
  </si>
  <si>
    <t>Mở rộng chủ đề (theo plan): bài nhắc tính lãi. Liên quan rộng – đọc bài trước khi chèn.</t>
  </si>
  <si>
    <t>Mở rộng chủ đề (theo plan): bài nhắc tất toán, lãi suất. Liên quan rộng – đọc bài trước khi chèn.</t>
  </si>
  <si>
    <t>Mở rộng chủ đề (theo plan): bài nhắc hạn mức, lãi suất. Liên quan rộng – đọc bài trước khi chèn.</t>
  </si>
  <si>
    <t>https://techcombank.com/thong-tin/blog/giai-ngan-la-gi</t>
  </si>
  <si>
    <t>Mở rộng chủ đề (theo plan): bài nhắc giải ngân. Liên quan rộng – đọc bài trước khi chèn.</t>
  </si>
  <si>
    <t>Mở rộng chủ đề (theo plan): bài nhắc mua xe. Liên quan rộng – đọc bài trước khi chèn.</t>
  </si>
  <si>
    <t>Mở rộng chủ đề (theo plan): bài nhắc mua nhà. Liên quan rộng – đọc bài trước khi chèn.</t>
  </si>
  <si>
    <t>Mở rộng chủ đề (theo plan): bài nhắc thế chấp. Liên quan rộng – đọc bài trước khi chèn.</t>
  </si>
  <si>
    <t>Mục tiêu 100 triệu — tính lãi tích lũy.</t>
  </si>
  <si>
    <t>So sánh gửi tiết kiệm 50 triệu — cần tính lãi.</t>
  </si>
  <si>
    <t>Tiết kiệm tích lũy — tính lãi.</t>
  </si>
  <si>
    <t>Trước khi gửi, tính lãi dự kiến.</t>
  </si>
  <si>
    <t>So sánh lãi — dùng công cụ.</t>
  </si>
  <si>
    <t>Nhắc: tích lũy.</t>
  </si>
  <si>
    <t>Nhắc: gửi tiết kiệm, tích lũy.</t>
  </si>
  <si>
    <t>Nhắc: tính lãi, lãi suất tiết kiệm, gửi tiết kiệm.</t>
  </si>
  <si>
    <t>Nhắc: tính lãi, gửi tiết kiệm, tích lũy.</t>
  </si>
  <si>
    <t>Vay online — app là kênh chính.</t>
  </si>
  <si>
    <t>Anchor "vay tiền online" của trang đích 68 trùng chủ đề chính bài này — không dùng anchor đó tại đây; cân nhắc rủi ro ăn thịt từ khóa giữa vay-tien-online và app-vay-tien-nhanh.</t>
  </si>
  <si>
    <t>Vay chỉ cần CCCD — trùng nhu cầu.</t>
  </si>
  <si>
    <t>Vay nhanh 24/24.</t>
  </si>
  <si>
    <t>Vay online 3 phút.</t>
  </si>
  <si>
    <t>Vay siêu tốc.</t>
  </si>
  <si>
    <t>Nhắc: vay online.</t>
  </si>
  <si>
    <t>Nhắc: vay tiền.</t>
  </si>
  <si>
    <t>Nhắc: vay tiền, vay tiền mặt.</t>
  </si>
  <si>
    <t>Nhắc: vay nhanh.</t>
  </si>
  <si>
    <t>Mở rộng chủ đề (theo plan): bài nhắc vay, thế chấp, trả góp.</t>
  </si>
  <si>
    <t>Mở rộng chủ đề (theo plan): bài nhắc vay, thế chấp, lãi suất vay.</t>
  </si>
  <si>
    <t>Mở rộng chủ đề (theo plan): bài nhắc vay, trả góp, mua nhà.</t>
  </si>
  <si>
    <t>Mở rộng chủ đề (theo plan): bài nhắc vay, lãi suất vay, thấu chi.</t>
  </si>
  <si>
    <t>Mở rộng chủ đề (theo plan): bài nhắc vay, tín chấp, lãi suất vay.</t>
  </si>
  <si>
    <t>Mở rộng chủ đề (theo plan): bài nhắc vay, khoản vay, tín chấp.</t>
  </si>
  <si>
    <t>Mở rộng chủ đề (theo plan): bài nhắc vay, khoản vay, trả góp.</t>
  </si>
  <si>
    <t>Mở rộng chủ đề (theo plan): bài nhắc vay, tín chấp, trả góp.</t>
  </si>
  <si>
    <t>Mở rộng chủ đề (theo plan): bài nhắc vay, trả góp, mua xe.</t>
  </si>
  <si>
    <t>Mở rộng chủ đề (theo plan): bài nhắc vay, trả góp, giải ngân.</t>
  </si>
  <si>
    <t>Mở rộng chủ đề (theo plan): bài nhắc vay, khoản vay, nợ xấu.</t>
  </si>
  <si>
    <t>Mở rộng chủ đề (theo plan): bài nhắc vay, khoản vay, thế chấp.</t>
  </si>
  <si>
    <t>Mở rộng chủ đề (theo plan): bài nhắc vay, khoản vay, hạn mức.</t>
  </si>
  <si>
    <t>Mở rộng chủ đề (theo plan): bài nhắc vay, khoản vay, dư nợ.</t>
  </si>
  <si>
    <t>Mở rộng chủ đề (theo plan): bài nhắc vay, trả góp, lãi suất.</t>
  </si>
  <si>
    <t>Mở rộng chủ đề (theo plan): bài nhắc vay, dư nợ, lãi suất.</t>
  </si>
  <si>
    <t>Mở rộng chủ đề (theo plan): bài nhắc vay, tín chấp, lãi suất.</t>
  </si>
  <si>
    <t>Mở rộng chủ đề (theo plan): bài nhắc vay, khoản vay, lãi suất.</t>
  </si>
  <si>
    <t>Mở rộng chủ đề (theo plan): bài nhắc vay, khoản vay, tất toán.</t>
  </si>
  <si>
    <t>Mở rộng chủ đề (theo plan): bài nhắc vay, lãi suất vay, lãi suất.</t>
  </si>
  <si>
    <t>Mở rộng chủ đề (theo plan): bài nhắc vay, khoản vay.</t>
  </si>
  <si>
    <t>Mở rộng chủ đề (theo plan): bài nhắc vay, trả góp.</t>
  </si>
  <si>
    <t>Mở rộng chủ đề (theo plan): bài nhắc trả góp, giải ngân, lãi suất. Liên quan rộng – đọc bài trước khi chèn.</t>
  </si>
  <si>
    <t>Mở rộng chủ đề (theo plan): bài nhắc trả góp, hạn mức. Liên quan rộng – đọc bài trước khi chèn.</t>
  </si>
  <si>
    <t>Mở rộng chủ đề (theo plan): bài nhắc trả góp, lãi suất. Liên quan rộng – đọc bài trước khi chèn.</t>
  </si>
  <si>
    <t>Mở rộng chủ đề (theo plan): bài nhắc cic. Liên quan rộng – đọc bài trước khi chèn.</t>
  </si>
  <si>
    <t>Mở rộng chủ đề (theo plan): bài nhắc lãi suất. Liên quan rộng – đọc bài trước khi chèn.</t>
  </si>
  <si>
    <t>Mở rộng chủ đề (theo plan): bài nhắc trả góp. Liên quan rộng – đọc bài trước khi chèn.</t>
  </si>
  <si>
    <t>Mở rộng chủ đề (theo plan): bài nhắc tất toán. Liên quan rộng – đọc bài trước khi chèn.</t>
  </si>
  <si>
    <t>Mở rộng chủ đề (theo plan): bài nhắc dư nợ. Liên quan rộng – đọc bài trước khi chèn.</t>
  </si>
  <si>
    <t>Mở rộng chủ đề (theo plan): bài nhắc nợ xấu. Liên quan rộng – đọc bài trước khi chèn.</t>
  </si>
  <si>
    <t>Lãi suất là gì → lãi suất vay hiện nay.</t>
  </si>
  <si>
    <t>Lãi vay tiêu dùng — một phần lãi vay ngân hàng.</t>
  </si>
  <si>
    <t>Lãi vay tín chấp — anh em.</t>
  </si>
  <si>
    <t>Điều kiện vay — chèn ở đoạn chi phí vay.</t>
  </si>
  <si>
    <t>Lãi quá hạn so với lãi vay thông thường.</t>
  </si>
  <si>
    <t>Nhắc: lãi suất cho vay.</t>
  </si>
  <si>
    <t>Mở rộng chủ đề (theo plan): bài nhắc lãi suất, vay, thế chấp.</t>
  </si>
  <si>
    <t>Mở rộng chủ đề (theo plan): bài nhắc lãi suất, vay, tín chấp.</t>
  </si>
  <si>
    <t>Mở rộng chủ đề (theo plan): bài nhắc lãi suất, vay, trả góp.</t>
  </si>
  <si>
    <t>Mở rộng chủ đề (theo plan): bài nhắc lãi suất, vay, thấu chi.</t>
  </si>
  <si>
    <t>Mở rộng chủ đề (theo plan): bài nhắc lãi suất, vay, giải ngân.</t>
  </si>
  <si>
    <t>Mở rộng chủ đề (theo plan): bài nhắc lãi suất, vay, hạn mức.</t>
  </si>
  <si>
    <t>Mở rộng chủ đề (theo plan): bài nhắc lãi suất, vay, cic.</t>
  </si>
  <si>
    <t>Mở rộng chủ đề (theo plan): bài nhắc lãi suất, vay, mua nhà.</t>
  </si>
  <si>
    <t>Mở rộng chủ đề (theo plan): bài nhắc lãi suất, vay.</t>
  </si>
  <si>
    <t>Mở rộng chủ đề (theo plan): bài nhắc vay, khoản vay, mua nhà.</t>
  </si>
  <si>
    <t>Mở rộng chủ đề (theo plan): bài nhắc lãi suất, trả góp, giải ngân.</t>
  </si>
  <si>
    <t>Hạn mức thấu chi.</t>
  </si>
  <si>
    <t>Lãi suất thấu chi.</t>
  </si>
  <si>
    <t>Thời hạn thấu chi.</t>
  </si>
  <si>
    <t>Trả nợ thấu chi.</t>
  </si>
  <si>
    <t>Vay hạn mức — gần với thấu chi.</t>
  </si>
  <si>
    <t>Nhắc: thấu chi.</t>
  </si>
  <si>
    <t>Mở rộng chủ đề (theo plan): bài nhắc hạn mức, vay, thế chấp.</t>
  </si>
  <si>
    <t>Mở rộng chủ đề (theo plan): bài nhắc hạn mức, vay, tín chấp.</t>
  </si>
  <si>
    <t>Mở rộng chủ đề (theo plan): bài nhắc hạn mức, vay, trả góp.</t>
  </si>
  <si>
    <t>Mở rộng chủ đề (theo plan): bài nhắc hạn mức, vay, lãi suất.</t>
  </si>
  <si>
    <t>Trước khi làm thẻ cần kiểm tra nợ xấu.</t>
  </si>
  <si>
    <t>Nợ xấu có mở thẻ tín dụng được không — cần kiểm tra nợ xấu trước khi mở thẻ.</t>
  </si>
  <si>
    <t>Có mục cách kiểm tra (theo title).</t>
  </si>
  <si>
    <t>Kiểm tra trước khi vay thế chấp.</t>
  </si>
  <si>
    <t>Nợ nhóm 2 — kiểm tra nhóm nợ.</t>
  </si>
  <si>
    <t>Nhắc: nợ xấu, nợ nhóm.</t>
  </si>
  <si>
    <t>Nhắc: nợ xấu, cic, nợ nhóm.</t>
  </si>
  <si>
    <t>Mở rộng chủ đề (theo plan): bài nhắc tín dụng, vay, thấu chi.</t>
  </si>
  <si>
    <t>Mở rộng chủ đề (theo plan): bài nhắc tín dụng, vay, khoản vay.</t>
  </si>
  <si>
    <t>Mở rộng chủ đề (theo plan): bài nhắc tín dụng, vay, thế chấp.</t>
  </si>
  <si>
    <t>Mở rộng chủ đề (theo plan): bài nhắc vay, thế chấp, trả góp. Liên quan rộng – đọc bài trước khi chèn.</t>
  </si>
  <si>
    <t>Mở rộng chủ đề (theo plan): bài nhắc tín dụng, trả góp, hạn mức.</t>
  </si>
  <si>
    <t>Mở rộng chủ đề (theo plan): bài nhắc tín dụng, trả góp, lãi suất.</t>
  </si>
  <si>
    <t>Định nghĩa → chọn nơi vay.</t>
  </si>
  <si>
    <t>Hồ sơ vay → nơi nộp.</t>
  </si>
  <si>
    <t>Hạn mức khác nhau giữa ngân hàng.</t>
  </si>
  <si>
    <t>Chọn hình thức → chọn nơi vay.</t>
  </si>
  <si>
    <t>So lãi suất các ngân hàng.</t>
  </si>
  <si>
    <t>Nhắc: tín chấp.</t>
  </si>
  <si>
    <t>Nhắc: vay tiêu dùng.</t>
  </si>
  <si>
    <t>Nhắc: tín chấp, vay tiêu dùng.</t>
  </si>
  <si>
    <t>Nhắc: tín chấp, vay tiền.</t>
  </si>
  <si>
    <t>Nhắc: vay tiêu dùng, vay tiền.</t>
  </si>
  <si>
    <t>Nợ nhóm 2 — giải thích nợ xấu.</t>
  </si>
  <si>
    <t>Nợ nhóm 3 là nợ xấu.</t>
  </si>
  <si>
    <t>Dư nợ — chèn ở đoạn chất lượng dư nợ.</t>
  </si>
  <si>
    <t>Quá hạn thẻ có thể thành nợ xấu.</t>
  </si>
  <si>
    <t>Bài trùng chủ đề — nếu giữ cả 2 thì cần đọc kỹ để tránh cannibal. (Liên quan yếu – bản chặt đã loại.)</t>
  </si>
  <si>
    <t>Nhắc: quá hạn.</t>
  </si>
  <si>
    <t>Mở rộng chủ đề (theo plan): bài nhắc cic, tín dụng, vay.</t>
  </si>
  <si>
    <t>Mở rộng chủ đề (theo plan): bài nhắc cic, tín dụng.</t>
  </si>
  <si>
    <t>Bài anh em (thế chấp).</t>
  </si>
  <si>
    <t>Lãi quá hạn khi không trả được.</t>
  </si>
  <si>
    <t>Nợ quá hạn tương tự.</t>
  </si>
  <si>
    <t>Định nghĩa — chèn ở đoạn rủi ro.</t>
  </si>
  <si>
    <t>Tất toán — đối lập với không trả được. (Liên quan yếu – bản chặt đã loại.)</t>
  </si>
  <si>
    <t>Nhắc: tín chấp, nợ xấu.</t>
  </si>
  <si>
    <t>Chứng chỉ quỹ là gì → phương pháp đầu tư.</t>
  </si>
  <si>
    <t>Hướng dẫn mua → phương pháp.</t>
  </si>
  <si>
    <t>Đầu tư quỹ mở cho người mới.</t>
  </si>
  <si>
    <t xml:space="preserve">Mở rộng các chủ đề liên quan đến vay đều có thể chèn mà </t>
  </si>
  <si>
    <t>App theo dõi CCQ.</t>
  </si>
  <si>
    <t>So sánh CCQ với cổ phiếu.</t>
  </si>
  <si>
    <t>https://techcombank.com/thong-tin/blog/wacc-la-gi</t>
  </si>
  <si>
    <t>Nhắc: đầu tư.</t>
  </si>
  <si>
    <t>https://techcombank.com/thong-tin/blog/y-concert</t>
  </si>
  <si>
    <t>https://techcombank.com/thong-tin/blog/vang-24k</t>
  </si>
  <si>
    <t>https://techcombank.com/thong-tin/blog/chien-luoc-dau-tu</t>
  </si>
  <si>
    <t>https://techcombank.com/thong-tin/blog/thoi-gian-khop-lech-chung-chi-quy</t>
  </si>
  <si>
    <t>Nhắc: chứng chỉ quỹ, quỹ mở, đầu tư.</t>
  </si>
  <si>
    <t>https://techcombank.com/thong-tin/blog/techcom-securities-nhung-buoc-tien-phong-tren-san-thu-cap</t>
  </si>
  <si>
    <t>Nhắc: chứng chỉ quỹ, đầu tư.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</si>
</sst>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3.0"/>
      <color theme="1"/>
      <name val="Arial"/>
    </font>
    <font>
      <b/>
      <color rgb="FFFFFFFF"/>
      <name val="Arial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u/>
      <color rgb="FF0000FF"/>
    </font>
    <font>
      <u/>
      <sz val="10.0"/>
      <color rgb="FF0000FF"/>
      <name val="Arial"/>
    </font>
    <font>
      <b/>
      <color theme="1"/>
      <name val="Arial"/>
    </font>
    <font>
      <u/>
      <sz val="10.0"/>
      <color rgb="FF0000FF"/>
      <name val="Arial"/>
    </font>
    <font>
      <b/>
      <color theme="1"/>
      <name val="Arial"/>
      <scheme val="minor"/>
    </font>
    <font>
      <u/>
      <sz val="10.0"/>
      <color rgb="FF0000FF"/>
      <name val="Arial"/>
    </font>
    <font>
      <u/>
      <sz val="10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90000"/>
        <bgColor rgb="FF99000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top" wrapText="1"/>
    </xf>
    <xf borderId="0" fillId="0" fontId="6" numFmtId="0" xfId="0" applyAlignment="1" applyFont="1">
      <alignment shrinkToFit="0" vertical="top" wrapText="1"/>
    </xf>
    <xf borderId="0" fillId="0" fontId="5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shrinkToFit="0" vertical="top" wrapText="1"/>
    </xf>
    <xf borderId="0" fillId="0" fontId="6" numFmtId="0" xfId="0" applyAlignment="1" applyFont="1">
      <alignment horizontal="center" shrinkToFit="0" vertical="top" wrapText="1"/>
    </xf>
    <xf borderId="0" fillId="0" fontId="6" numFmtId="0" xfId="0" applyAlignment="1" applyFont="1">
      <alignment horizontal="center"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3" fontId="9" numFmtId="0" xfId="0" applyAlignment="1" applyFill="1" applyFont="1">
      <alignment horizontal="center" readingOrder="0" shrinkToFit="0" vertical="top" wrapText="1"/>
    </xf>
    <xf borderId="0" fillId="3" fontId="9" numFmtId="0" xfId="0" applyAlignment="1" applyFill="1" applyFont="1">
      <alignment readingOrder="0" shrinkToFit="0" vertical="top" wrapText="1"/>
    </xf>
    <xf borderId="0" fillId="4" fontId="6" numFmtId="0" xfId="0" applyAlignment="1" applyFill="1" applyFont="1">
      <alignment horizontal="center" shrinkToFit="0" vertical="center" wrapText="0"/>
    </xf>
    <xf borderId="0" fillId="4" fontId="6" numFmtId="0" xfId="0" applyAlignment="1" applyFill="1" applyFont="1">
      <alignment shrinkToFit="0" vertical="center" wrapText="0"/>
    </xf>
    <xf borderId="0" fillId="4" fontId="6" numFmtId="0" xfId="0" applyAlignment="1" applyFill="1" applyFont="1">
      <alignment readingOrder="0" shrinkToFit="0" vertical="center" wrapText="0"/>
    </xf>
    <xf borderId="0" fillId="4" fontId="6" numFmtId="0" xfId="0" applyAlignment="1" applyFill="1" applyFont="1">
      <alignment horizontal="center" readingOrder="0" shrinkToFit="0" vertical="center" wrapText="0"/>
    </xf>
    <xf borderId="0" fillId="4" fontId="6" numFmtId="0" xfId="0" applyAlignment="1" applyFill="1" applyFont="1">
      <alignment readingOrder="0" shrinkToFit="0" vertical="center" wrapText="1"/>
    </xf>
    <xf borderId="0" fillId="4" fontId="10" numFmtId="0" xfId="0" applyAlignment="1" applyFill="1" applyFont="1">
      <alignment shrinkToFit="0" vertical="center" wrapText="0"/>
    </xf>
    <xf borderId="0" fillId="0" fontId="5" numFmtId="0" xfId="0" applyAlignment="1" applyFont="1">
      <alignment horizontal="center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3" fontId="9" numFmtId="0" xfId="0" applyAlignment="1" applyFill="1" applyFont="1">
      <alignment horizontal="center" shrinkToFit="0" vertical="top" wrapText="1"/>
    </xf>
    <xf borderId="0" fillId="3" fontId="9" numFmtId="0" xfId="0" applyAlignment="1" applyFill="1" applyFont="1">
      <alignment shrinkToFit="0" vertical="top" wrapText="1"/>
    </xf>
    <xf borderId="0" fillId="0" fontId="13" numFmtId="0" xfId="0" applyAlignment="1" applyFont="1">
      <alignment shrinkToFit="0" vertical="top" wrapText="1"/>
    </xf>
    <xf borderId="0" fillId="0" fontId="6" numFmtId="0" xfId="0" applyAlignment="1" applyFont="1">
      <alignment shrinkToFit="0" vertical="center" wrapText="1"/>
    </xf>
    <xf borderId="0" fillId="4" fontId="6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8">
    <dxf>
      <font/>
      <fill>
        <patternFill patternType="solid">
          <fgColor rgb="FFCEE2F2"/>
          <bgColor rgb="FFCEE2F2"/>
        </patternFill>
      </fill>
      <border/>
    </dxf>
    <dxf>
      <font/>
      <fill>
        <patternFill patternType="solid">
          <fgColor rgb="FFD8EAD3"/>
          <bgColor rgb="FFD8EAD3"/>
        </patternFill>
      </fill>
      <border/>
    </dxf>
    <dxf>
      <font>
        <b/>
      </font>
      <fill>
        <patternFill patternType="solid">
          <fgColor rgb="FFF9C67F"/>
          <bgColor rgb="FFF9C67F"/>
        </patternFill>
      </fill>
      <border/>
    </dxf>
    <dxf>
      <font/>
      <fill>
        <patternFill patternType="solid">
          <fgColor rgb="FFFFF1CC"/>
          <bgColor rgb="FFFFF1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7EAD2"/>
          <bgColor rgb="FFD7EAD2"/>
        </patternFill>
      </fill>
      <border/>
    </dxf>
    <dxf>
      <font/>
      <fill>
        <patternFill patternType="solid">
          <fgColor rgb="FFCEE1F1"/>
          <bgColor rgb="FFCEE1F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techcombank.com/thong-tin/blog/mo-tai-khoan-ngan-hang-trung-so-dien-thoai" TargetMode="External"/><Relationship Id="rId391" Type="http://schemas.openxmlformats.org/officeDocument/2006/relationships/hyperlink" Target="https://techcombank.com/thong-tin/blog/cay-atm-gan-day" TargetMode="External"/><Relationship Id="rId390" Type="http://schemas.openxmlformats.org/officeDocument/2006/relationships/hyperlink" Target="https://techcombank.com/thong-tin/blog/cach-chuyen-khoan-bang-dien-thoai" TargetMode="External"/><Relationship Id="rId2180" Type="http://schemas.openxmlformats.org/officeDocument/2006/relationships/hyperlink" Target="https://techcombank.com/thong-tin/blog/gia-cao-su" TargetMode="External"/><Relationship Id="rId2181" Type="http://schemas.openxmlformats.org/officeDocument/2006/relationships/hyperlink" Target="https://techcombank.com/thong-tin/blog/nen-gui-tiet-kiem-thong-thuong-hay-tich-luy" TargetMode="External"/><Relationship Id="rId2182" Type="http://schemas.openxmlformats.org/officeDocument/2006/relationships/hyperlink" Target="https://techcombank.com/thong-tin/blog/nen-de-tien-trong-the-hay-gui-tiet-kiem" TargetMode="External"/><Relationship Id="rId2183" Type="http://schemas.openxmlformats.org/officeDocument/2006/relationships/hyperlink" Target="https://techcombank.com/thong-tin/blog/tien-gui-khong-ky-han" TargetMode="External"/><Relationship Id="rId385" Type="http://schemas.openxmlformats.org/officeDocument/2006/relationships/hyperlink" Target="https://techcombank.com/thong-tin/blog/cach-nap-the-mobi" TargetMode="External"/><Relationship Id="rId2184" Type="http://schemas.openxmlformats.org/officeDocument/2006/relationships/hyperlink" Target="https://techcombank.com/thong-tin/blog/vay-mua-nha-tra-gop" TargetMode="External"/><Relationship Id="rId384" Type="http://schemas.openxmlformats.org/officeDocument/2006/relationships/hyperlink" Target="https://techcombank.com/thong-tin/blog/cach-nap-the-vina" TargetMode="External"/><Relationship Id="rId2185" Type="http://schemas.openxmlformats.org/officeDocument/2006/relationships/hyperlink" Target="https://techcombank.com/thong-tin/blog/co-nen-gui-tiet-kiem-online" TargetMode="External"/><Relationship Id="rId383" Type="http://schemas.openxmlformats.org/officeDocument/2006/relationships/hyperlink" Target="https://techcombank.com/thong-tin/blog/thanh-toan-tra-sau-viettel-bang-tai-khoan-ngan-hang" TargetMode="External"/><Relationship Id="rId2186" Type="http://schemas.openxmlformats.org/officeDocument/2006/relationships/hyperlink" Target="https://techcombank.com/thong-tin/blog/gui-tiet-kiem-ngan-hang-van-la-lua-chon-an-toan-trong-thoi-ky-kinh-te-con-nhieu-bien-dong" TargetMode="External"/><Relationship Id="rId382" Type="http://schemas.openxmlformats.org/officeDocument/2006/relationships/hyperlink" Target="https://techcombank.com/thong-tin/blog/nap-tien-dien-thoai-online" TargetMode="External"/><Relationship Id="rId2187" Type="http://schemas.openxmlformats.org/officeDocument/2006/relationships/hyperlink" Target="https://techcombank.com/thong-tin/blog/cach-gui-tiet-kiem-online" TargetMode="External"/><Relationship Id="rId389" Type="http://schemas.openxmlformats.org/officeDocument/2006/relationships/hyperlink" Target="https://techcombank.com/thong-tin/blog/cach-chuyen-tien" TargetMode="External"/><Relationship Id="rId2188" Type="http://schemas.openxmlformats.org/officeDocument/2006/relationships/hyperlink" Target="https://techcombank.com/thong-tin/blog/gui-tien-ngan-hang-co-an-toan-khong" TargetMode="External"/><Relationship Id="rId388" Type="http://schemas.openxmlformats.org/officeDocument/2006/relationships/hyperlink" Target="https://techcombank.com/thong-tin/blog/app-dong-tien-dien-online" TargetMode="External"/><Relationship Id="rId2189" Type="http://schemas.openxmlformats.org/officeDocument/2006/relationships/hyperlink" Target="https://techcombank.com/thong-tin/blog/dau-tu-trai-phieu-doanh-nghiep-dung-ham-lai-suat-cao" TargetMode="External"/><Relationship Id="rId387" Type="http://schemas.openxmlformats.org/officeDocument/2006/relationships/hyperlink" Target="https://techcombank.com/thong-tin/blog/thanh-toan-tien-internet-online" TargetMode="External"/><Relationship Id="rId386" Type="http://schemas.openxmlformats.org/officeDocument/2006/relationships/hyperlink" Target="https://techcombank.com/thong-tin/blog/mat-so-dien-thoai-dang-ky-tai-khoan-ngan-hang" TargetMode="External"/><Relationship Id="rId381" Type="http://schemas.openxmlformats.org/officeDocument/2006/relationships/hyperlink" Target="https://techcombank.com/thong-tin/blog/cach-nap-the" TargetMode="External"/><Relationship Id="rId380" Type="http://schemas.openxmlformats.org/officeDocument/2006/relationships/hyperlink" Target="https://techcombank.com/thong-tin/blog/hieu-hiet-ve-tuan-thu-thue-cho-cac-doanh-nghiep-khoi-nghiep" TargetMode="External"/><Relationship Id="rId379" Type="http://schemas.openxmlformats.org/officeDocument/2006/relationships/hyperlink" Target="https://techcombank.com/thong-tin/blog/khoi-nghiep-truoc-chinh-sach-thue-moi" TargetMode="External"/><Relationship Id="rId2170" Type="http://schemas.openxmlformats.org/officeDocument/2006/relationships/hyperlink" Target="https://techcombank.com/thong-tin/blog/phi-vay-the-chap" TargetMode="External"/><Relationship Id="rId2171" Type="http://schemas.openxmlformats.org/officeDocument/2006/relationships/hyperlink" Target="https://techcombank.com/thong-tin/blog/nen-gui-tiet-kiem-6-thang-hay-1-nam" TargetMode="External"/><Relationship Id="rId2172" Type="http://schemas.openxmlformats.org/officeDocument/2006/relationships/hyperlink" Target="https://techcombank.com/thong-tin/blog/tai-sao-gui-tiet-kiem-online-lai-suat-cao-hon" TargetMode="External"/><Relationship Id="rId374" Type="http://schemas.openxmlformats.org/officeDocument/2006/relationships/hyperlink" Target="https://techcombank.com/thong-tin/blog/toi-uu-hoa-chi-phi-trong-doanh-nghiep" TargetMode="External"/><Relationship Id="rId2173" Type="http://schemas.openxmlformats.org/officeDocument/2006/relationships/hyperlink" Target="https://techcombank.com/thong-tin/blog/co-nen-gui-tiet-kiem-ngan-hang" TargetMode="External"/><Relationship Id="rId373" Type="http://schemas.openxmlformats.org/officeDocument/2006/relationships/hyperlink" Target="https://techcombank.com/thong-tin/blog/co-50-trieu-nen-mua-vang-hay-gui-tiet-kiem" TargetMode="External"/><Relationship Id="rId2174" Type="http://schemas.openxmlformats.org/officeDocument/2006/relationships/hyperlink" Target="https://techcombank.com/thong-tin/blog/tien-gui-co-ky-han" TargetMode="External"/><Relationship Id="rId372" Type="http://schemas.openxmlformats.org/officeDocument/2006/relationships/hyperlink" Target="https://techcombank.com/thong-tin/blog/dau-co-va-dau-tu" TargetMode="External"/><Relationship Id="rId2175" Type="http://schemas.openxmlformats.org/officeDocument/2006/relationships/hyperlink" Target="https://techcombank.com/thong-tin/blog/so-sanh-gui-tiet-kiem-online-va-tai-quay" TargetMode="External"/><Relationship Id="rId371" Type="http://schemas.openxmlformats.org/officeDocument/2006/relationships/hyperlink" Target="https://techcombank.com/thong-tin/blog/cach-tinh-loi-nhuan-chung-chi-tien-gui" TargetMode="External"/><Relationship Id="rId2176" Type="http://schemas.openxmlformats.org/officeDocument/2006/relationships/hyperlink" Target="https://techcombank.com/thong-tin/blog/so-tiet-kiem-ngan-hang" TargetMode="External"/><Relationship Id="rId378" Type="http://schemas.openxmlformats.org/officeDocument/2006/relationships/hyperlink" Target="https://techcombank.com/thong-tin/blog/phan-mem-xuat-hoa-don-dien-tu" TargetMode="External"/><Relationship Id="rId2177" Type="http://schemas.openxmlformats.org/officeDocument/2006/relationships/hyperlink" Target="https://techcombank.com/thong-tin/blog/quy-trinh-gui-tien-tiet-kiem" TargetMode="External"/><Relationship Id="rId377" Type="http://schemas.openxmlformats.org/officeDocument/2006/relationships/hyperlink" Target="https://techcombank.com/thong-tin/blog/hoan-thue-doanh-nghiep" TargetMode="External"/><Relationship Id="rId2178" Type="http://schemas.openxmlformats.org/officeDocument/2006/relationships/hyperlink" Target="https://techcombank.com/thong-tin/blog/gui-tiet-kiem-theo-ngay" TargetMode="External"/><Relationship Id="rId376" Type="http://schemas.openxmlformats.org/officeDocument/2006/relationships/hyperlink" Target="https://techcombank.com/thong-tin/blog/quyet-toan-thue-doanh-nghiep" TargetMode="External"/><Relationship Id="rId2179" Type="http://schemas.openxmlformats.org/officeDocument/2006/relationships/hyperlink" Target="https://techcombank.com/thong-tin/blog/gui-tiet-kiem-vang" TargetMode="External"/><Relationship Id="rId375" Type="http://schemas.openxmlformats.org/officeDocument/2006/relationships/hyperlink" Target="https://techcombank.com/thong-tin/blog/ngoai-hoi-la-gi" TargetMode="External"/><Relationship Id="rId2190" Type="http://schemas.openxmlformats.org/officeDocument/2006/relationships/hyperlink" Target="https://techcombank.com/thong-tin/blog/casa-la-gi" TargetMode="External"/><Relationship Id="rId2191" Type="http://schemas.openxmlformats.org/officeDocument/2006/relationships/hyperlink" Target="https://techcombank.com/thong-tin/blog/gui-tiet-kiem-tich-luy-la-gi" TargetMode="External"/><Relationship Id="rId2192" Type="http://schemas.openxmlformats.org/officeDocument/2006/relationships/hyperlink" Target="https://techcombank.com/thong-tin/blog/gui-tiet-kiem-lay-lai-hang-thang" TargetMode="External"/><Relationship Id="rId2193" Type="http://schemas.openxmlformats.org/officeDocument/2006/relationships/hyperlink" Target="https://techcombank.com/thong-tin/blog/rui-ro-khi-gui-tiet-kiem-online" TargetMode="External"/><Relationship Id="rId2194" Type="http://schemas.openxmlformats.org/officeDocument/2006/relationships/hyperlink" Target="https://techcombank.com/thong-tin/blog/cach-tinh-lai-suat-tien-gui-tiet-kiem" TargetMode="External"/><Relationship Id="rId396" Type="http://schemas.openxmlformats.org/officeDocument/2006/relationships/hyperlink" Target="https://techcombank.com/thong-tin/blog/mo-tai-khoan-ngan-hang-bang-so-dien-thoai" TargetMode="External"/><Relationship Id="rId2195" Type="http://schemas.openxmlformats.org/officeDocument/2006/relationships/hyperlink" Target="https://techcombank.com/thong-tin/blog/chon-kenh-dau-tu-an-toan-trong-boi-canh-thi-truong-bien-dong" TargetMode="External"/><Relationship Id="rId395" Type="http://schemas.openxmlformats.org/officeDocument/2006/relationships/hyperlink" Target="https://techcombank.com/thong-tin/blog/cach-dong-tien-dien-qua-tai-khoan-ngan-hang" TargetMode="External"/><Relationship Id="rId2196" Type="http://schemas.openxmlformats.org/officeDocument/2006/relationships/hyperlink" Target="https://techcombank.com/thong-tin/blog/mo-so-tiet-kiem-can-bao-nhieu-tien" TargetMode="External"/><Relationship Id="rId394" Type="http://schemas.openxmlformats.org/officeDocument/2006/relationships/hyperlink" Target="https://techcombank.com/thong-tin/blog/the-ghi-no-co-chuyen-khoan-duoc-khong" TargetMode="External"/><Relationship Id="rId2197" Type="http://schemas.openxmlformats.org/officeDocument/2006/relationships/hyperlink" Target="https://techcombank.com/thong-tin/blog/gui-tiet-kiem-ngoai-te" TargetMode="External"/><Relationship Id="rId393" Type="http://schemas.openxmlformats.org/officeDocument/2006/relationships/hyperlink" Target="https://techcombank.com/thong-tin/blog/tai-khoan-ngan-hang-bi-khoa" TargetMode="External"/><Relationship Id="rId2198" Type="http://schemas.openxmlformats.org/officeDocument/2006/relationships/hyperlink" Target="https://techcombank.com/thong-tin/blog/rui-ro-khi-gui-tiet-kiem-ngan-hang" TargetMode="External"/><Relationship Id="rId2199" Type="http://schemas.openxmlformats.org/officeDocument/2006/relationships/hyperlink" Target="https://techcombank.com/thong-tin/blog/gui-tiet-kiem-hang-thang" TargetMode="External"/><Relationship Id="rId399" Type="http://schemas.openxmlformats.org/officeDocument/2006/relationships/hyperlink" Target="https://techcombank.com/thong-tin/blog/nap-tien-vao-tai-khoan-ngan-hang" TargetMode="External"/><Relationship Id="rId398" Type="http://schemas.openxmlformats.org/officeDocument/2006/relationships/hyperlink" Target="https://techcombank.com/thong-tin/blog/mobile-banking-la-gi" TargetMode="External"/><Relationship Id="rId397" Type="http://schemas.openxmlformats.org/officeDocument/2006/relationships/hyperlink" Target="https://techcombank.com/thong-tin/blog/cach-dang-ky-dinh-danh-muc-2" TargetMode="External"/><Relationship Id="rId1730" Type="http://schemas.openxmlformats.org/officeDocument/2006/relationships/hyperlink" Target="https://techcombank.com/thong-tin/blog/tien-nhat" TargetMode="External"/><Relationship Id="rId1731" Type="http://schemas.openxmlformats.org/officeDocument/2006/relationships/hyperlink" Target="https://techcombank.com/thong-tin/blog/tien-dai-loan" TargetMode="External"/><Relationship Id="rId1732" Type="http://schemas.openxmlformats.org/officeDocument/2006/relationships/hyperlink" Target="https://techcombank.com/thong-tin/blog/1-van-te-bang-bao-nhieu-tien-viet" TargetMode="External"/><Relationship Id="rId1733" Type="http://schemas.openxmlformats.org/officeDocument/2006/relationships/hyperlink" Target="https://techcombank.com/thong-tin/blog/1000-te-bang-bao-nhieu-tien-viet" TargetMode="External"/><Relationship Id="rId1734" Type="http://schemas.openxmlformats.org/officeDocument/2006/relationships/hyperlink" Target="https://techcombank.com/thong-tin/blog/100-riel-bang-bao-nhieu-tien-viet-nam" TargetMode="External"/><Relationship Id="rId1735" Type="http://schemas.openxmlformats.org/officeDocument/2006/relationships/hyperlink" Target="https://techcombank.com/thong-tin/blog/tien-indonesia" TargetMode="External"/><Relationship Id="rId1736" Type="http://schemas.openxmlformats.org/officeDocument/2006/relationships/hyperlink" Target="https://techcombank.com/thong-tin/blog/1-won-bang-bao-nhieu-tien-viet" TargetMode="External"/><Relationship Id="rId1737" Type="http://schemas.openxmlformats.org/officeDocument/2006/relationships/hyperlink" Target="https://techcombank.com/thong-tin/blog/han-muc-mua-ngoai-te-khi-di-du-lich" TargetMode="External"/><Relationship Id="rId1738" Type="http://schemas.openxmlformats.org/officeDocument/2006/relationships/hyperlink" Target="https://techcombank.com/thong-tin/blog/gui-tien-du-hoc" TargetMode="External"/><Relationship Id="rId1739" Type="http://schemas.openxmlformats.org/officeDocument/2006/relationships/hyperlink" Target="https://techcombank.com/thong-tin/blog/chuyen-tien-dinh-cu" TargetMode="External"/><Relationship Id="rId1720" Type="http://schemas.openxmlformats.org/officeDocument/2006/relationships/hyperlink" Target="https://techcombank.com/thong-tin/blog/chuyen-tien-di-uc" TargetMode="External"/><Relationship Id="rId1721" Type="http://schemas.openxmlformats.org/officeDocument/2006/relationships/hyperlink" Target="https://techcombank.com/thong-tin/blog/chuyen-tien-tu-my-ve-viet-nam" TargetMode="External"/><Relationship Id="rId1722" Type="http://schemas.openxmlformats.org/officeDocument/2006/relationships/hyperlink" Target="https://techcombank.com/thong-tin/blog/1-cent-bang-bao-nhieu-tien-viet" TargetMode="External"/><Relationship Id="rId1723" Type="http://schemas.openxmlformats.org/officeDocument/2006/relationships/hyperlink" Target="https://techcombank.com/thong-tin/blog/1-do-uc-bang-bao-nhieu-tien-viet" TargetMode="External"/><Relationship Id="rId1724" Type="http://schemas.openxmlformats.org/officeDocument/2006/relationships/hyperlink" Target="https://techcombank.com/thong-tin/blog/1-te-bang-bao-nhieu-tien-viet-nam" TargetMode="External"/><Relationship Id="rId1725" Type="http://schemas.openxmlformats.org/officeDocument/2006/relationships/hyperlink" Target="https://techcombank.com/thong-tin/blog/tien-trung-quoc" TargetMode="External"/><Relationship Id="rId1726" Type="http://schemas.openxmlformats.org/officeDocument/2006/relationships/hyperlink" Target="https://techcombank.com/thong-tin/blog/1000-yen-bang-bao-nhieu-tien-viet" TargetMode="External"/><Relationship Id="rId1727" Type="http://schemas.openxmlformats.org/officeDocument/2006/relationships/hyperlink" Target="https://techcombank.com/thong-tin/blog/chuyen-tien-tu-nhat-ve-viet-nam" TargetMode="External"/><Relationship Id="rId1728" Type="http://schemas.openxmlformats.org/officeDocument/2006/relationships/hyperlink" Target="https://techcombank.com/thong-tin/blog/1000-won-bang-bao-nhieu-tien-viet" TargetMode="External"/><Relationship Id="rId1729" Type="http://schemas.openxmlformats.org/officeDocument/2006/relationships/hyperlink" Target="https://techcombank.com/thong-tin/blog/di-du-lich-nuoc-ngoai-can-chuan-bi-gi" TargetMode="External"/><Relationship Id="rId1752" Type="http://schemas.openxmlformats.org/officeDocument/2006/relationships/hyperlink" Target="https://techcombank.com/thong-tin/blog/di-du-lich-nuoc-ngoai-can-chuan-bi-gi" TargetMode="External"/><Relationship Id="rId1753" Type="http://schemas.openxmlformats.org/officeDocument/2006/relationships/hyperlink" Target="https://techcombank.com/thong-tin/blog/tien-nhat" TargetMode="External"/><Relationship Id="rId1754" Type="http://schemas.openxmlformats.org/officeDocument/2006/relationships/hyperlink" Target="https://techcombank.com/thong-tin/blog/dieu-kien-mua-usd-tu-ngan-hang" TargetMode="External"/><Relationship Id="rId1755" Type="http://schemas.openxmlformats.org/officeDocument/2006/relationships/hyperlink" Target="https://techcombank.com/thong-tin/blog/chuyen-tien-di-uc" TargetMode="External"/><Relationship Id="rId1756" Type="http://schemas.openxmlformats.org/officeDocument/2006/relationships/hyperlink" Target="https://techcombank.com/thong-tin/blog/tien-dai-loan" TargetMode="External"/><Relationship Id="rId1757" Type="http://schemas.openxmlformats.org/officeDocument/2006/relationships/hyperlink" Target="https://techcombank.com/thong-tin/blog/1-van-te-bang-bao-nhieu-tien-viet" TargetMode="External"/><Relationship Id="rId1758" Type="http://schemas.openxmlformats.org/officeDocument/2006/relationships/hyperlink" Target="https://techcombank.com/thong-tin/blog/1-cent-bang-bao-nhieu-tien-viet" TargetMode="External"/><Relationship Id="rId1759" Type="http://schemas.openxmlformats.org/officeDocument/2006/relationships/hyperlink" Target="https://techcombank.com/thong-tin/blog/1000-te-bang-bao-nhieu-tien-viet" TargetMode="External"/><Relationship Id="rId1750" Type="http://schemas.openxmlformats.org/officeDocument/2006/relationships/hyperlink" Target="https://techcombank.com/thong-tin/blog/chuyen-tien-tu-nhat-ve-viet-nam" TargetMode="External"/><Relationship Id="rId1751" Type="http://schemas.openxmlformats.org/officeDocument/2006/relationships/hyperlink" Target="https://techcombank.com/thong-tin/blog/tien-singapore" TargetMode="External"/><Relationship Id="rId1741" Type="http://schemas.openxmlformats.org/officeDocument/2006/relationships/hyperlink" Target="https://techcombank.com/thong-tin/blog/1-won-bang-bao-nhieu-tien-viet" TargetMode="External"/><Relationship Id="rId1742" Type="http://schemas.openxmlformats.org/officeDocument/2006/relationships/hyperlink" Target="https://techcombank.com/thong-tin/blog/1-trieu-won-bang-bao-nhieu-tien-viet" TargetMode="External"/><Relationship Id="rId1743" Type="http://schemas.openxmlformats.org/officeDocument/2006/relationships/hyperlink" Target="https://techcombank.com/thong-tin/blog/thanh-toan-khi-du-lich-han-quoc" TargetMode="External"/><Relationship Id="rId1744" Type="http://schemas.openxmlformats.org/officeDocument/2006/relationships/hyperlink" Target="https://techcombank.com/thong-tin/blog/chuyen-tien-tu-han-sang-viet-nam" TargetMode="External"/><Relationship Id="rId1745" Type="http://schemas.openxmlformats.org/officeDocument/2006/relationships/hyperlink" Target="https://techcombank.com/thong-tin/blog/1-dong-do-la-my-bang-bao-nhieu-tien-viet-nam" TargetMode="External"/><Relationship Id="rId1746" Type="http://schemas.openxmlformats.org/officeDocument/2006/relationships/hyperlink" Target="https://techcombank.com/thong-tin/blog/1-te-bang-bao-nhieu-tien-viet-nam" TargetMode="External"/><Relationship Id="rId1747" Type="http://schemas.openxmlformats.org/officeDocument/2006/relationships/hyperlink" Target="https://techcombank.com/thong-tin/blog/doi-tien-do-o-dau" TargetMode="External"/><Relationship Id="rId1748" Type="http://schemas.openxmlformats.org/officeDocument/2006/relationships/hyperlink" Target="https://techcombank.com/thong-tin/blog/tien-trung-quoc" TargetMode="External"/><Relationship Id="rId1749" Type="http://schemas.openxmlformats.org/officeDocument/2006/relationships/hyperlink" Target="https://techcombank.com/thong-tin/blog/1000-yen-bang-bao-nhieu-tien-viet" TargetMode="External"/><Relationship Id="rId1740" Type="http://schemas.openxmlformats.org/officeDocument/2006/relationships/hyperlink" Target="https://techcombank.com/thong-tin/blog/ty-gia-la-gi" TargetMode="External"/><Relationship Id="rId1710" Type="http://schemas.openxmlformats.org/officeDocument/2006/relationships/hyperlink" Target="https://techcombank.com/thong-tin/blog/1-yen-bang-bao-nhieu-tien-viet-nam" TargetMode="External"/><Relationship Id="rId1711" Type="http://schemas.openxmlformats.org/officeDocument/2006/relationships/hyperlink" Target="https://techcombank.com/thong-tin/blog/1-dong-do-la-my-bang-bao-nhieu-tien-viet-nam" TargetMode="External"/><Relationship Id="rId1712" Type="http://schemas.openxmlformats.org/officeDocument/2006/relationships/hyperlink" Target="https://techcombank.com/thong-tin/blog/high-net-worth-client-va-ultra-high-net-worth-client" TargetMode="External"/><Relationship Id="rId1713" Type="http://schemas.openxmlformats.org/officeDocument/2006/relationships/hyperlink" Target="https://techcombank.com/thong-tin/blog/xu-huong-ty-gia-usd" TargetMode="External"/><Relationship Id="rId1714" Type="http://schemas.openxmlformats.org/officeDocument/2006/relationships/hyperlink" Target="https://techcombank.com/thong-tin/blog/gia-tri-tai-san-rong" TargetMode="External"/><Relationship Id="rId1715" Type="http://schemas.openxmlformats.org/officeDocument/2006/relationships/hyperlink" Target="https://techcombank.com/thong-tin/blog/lai-suat-gui-tiet-kiem-usd" TargetMode="External"/><Relationship Id="rId1716" Type="http://schemas.openxmlformats.org/officeDocument/2006/relationships/hyperlink" Target="https://techcombank.com/thong-tin/blog/gui-tiet-kiem-usd" TargetMode="External"/><Relationship Id="rId1717" Type="http://schemas.openxmlformats.org/officeDocument/2006/relationships/hyperlink" Target="https://techcombank.com/thong-tin/blog/doi-tien-do-o-dau" TargetMode="External"/><Relationship Id="rId1718" Type="http://schemas.openxmlformats.org/officeDocument/2006/relationships/hyperlink" Target="https://techcombank.com/thong-tin/blog/dieu-kien-mua-usd-tu-ngan-hang" TargetMode="External"/><Relationship Id="rId1719" Type="http://schemas.openxmlformats.org/officeDocument/2006/relationships/hyperlink" Target="https://techcombank.com/thong-tin/blog/tien-singapore" TargetMode="External"/><Relationship Id="rId1700" Type="http://schemas.openxmlformats.org/officeDocument/2006/relationships/hyperlink" Target="https://techcombank.com/thong-tin/blog/1-won-bang-bao-nhieu-tien-viet" TargetMode="External"/><Relationship Id="rId1701" Type="http://schemas.openxmlformats.org/officeDocument/2006/relationships/hyperlink" Target="https://techcombank.com/thong-tin/blog/dieu-kien-mua-usd-tu-ngan-hang" TargetMode="External"/><Relationship Id="rId1702" Type="http://schemas.openxmlformats.org/officeDocument/2006/relationships/hyperlink" Target="https://techcombank.com/thong-tin/blog/chuyen-tien-di-uc" TargetMode="External"/><Relationship Id="rId1703" Type="http://schemas.openxmlformats.org/officeDocument/2006/relationships/hyperlink" Target="https://techcombank.com/thong-tin/blog/1-cent-bang-bao-nhieu-tien-viet" TargetMode="External"/><Relationship Id="rId1704" Type="http://schemas.openxmlformats.org/officeDocument/2006/relationships/hyperlink" Target="https://techcombank.com/thong-tin/blog/1-do-uc-bang-bao-nhieu-tien-viet" TargetMode="External"/><Relationship Id="rId1705" Type="http://schemas.openxmlformats.org/officeDocument/2006/relationships/hyperlink" Target="https://techcombank.com/thong-tin/blog/gui-tien-du-hoc" TargetMode="External"/><Relationship Id="rId1706" Type="http://schemas.openxmlformats.org/officeDocument/2006/relationships/hyperlink" Target="https://techcombank.com/thong-tin/blog/chuyen-tien-dinh-cu" TargetMode="External"/><Relationship Id="rId1707" Type="http://schemas.openxmlformats.org/officeDocument/2006/relationships/hyperlink" Target="https://techcombank.com/thong-tin/blog/vnd-to-myr" TargetMode="External"/><Relationship Id="rId1708" Type="http://schemas.openxmlformats.org/officeDocument/2006/relationships/hyperlink" Target="https://techcombank.com/thong-tin/blog/1-van-tien-dai-loan-bang-bao-nhieu-tien-viet" TargetMode="External"/><Relationship Id="rId1709" Type="http://schemas.openxmlformats.org/officeDocument/2006/relationships/hyperlink" Target="https://techcombank.com/thong-tin/blog/1-trieu-won-bang-bao-nhieu-tien-viet" TargetMode="External"/><Relationship Id="rId40" Type="http://schemas.openxmlformats.org/officeDocument/2006/relationships/hyperlink" Target="https://techcombank.com/thong-tin/blog/hoan-thue-thu-nhap-ca-nhan" TargetMode="External"/><Relationship Id="rId42" Type="http://schemas.openxmlformats.org/officeDocument/2006/relationships/hyperlink" Target="https://techcombank.com/thong-tin/blog/thue-thuong-mai-dien-tu" TargetMode="External"/><Relationship Id="rId41" Type="http://schemas.openxmlformats.org/officeDocument/2006/relationships/hyperlink" Target="https://techcombank.com/thong-tin/blog/ke-khai-thue-ho-kinh-doanh-ca-the-online" TargetMode="External"/><Relationship Id="rId44" Type="http://schemas.openxmlformats.org/officeDocument/2006/relationships/hyperlink" Target="https://techcombank.com/thong-tin/blog/ke-khai-thue-doanh-nghiep" TargetMode="External"/><Relationship Id="rId43" Type="http://schemas.openxmlformats.org/officeDocument/2006/relationships/hyperlink" Target="https://techcombank.com/thong-tin/blog/thue-thu-nhap-doanh-nghiep" TargetMode="External"/><Relationship Id="rId46" Type="http://schemas.openxmlformats.org/officeDocument/2006/relationships/hyperlink" Target="https://techcombank.com/thong-tin/blog/nop-thue-hai-quan" TargetMode="External"/><Relationship Id="rId45" Type="http://schemas.openxmlformats.org/officeDocument/2006/relationships/hyperlink" Target="https://techcombank.com/thong-tin/blog/tra-cuu-no-thue-doanh-nghiep" TargetMode="External"/><Relationship Id="rId48" Type="http://schemas.openxmlformats.org/officeDocument/2006/relationships/hyperlink" Target="https://techcombank.com/thong-tin/blog/cach-tinh-thue-thu-nhap-ca-nhan-2025" TargetMode="External"/><Relationship Id="rId47" Type="http://schemas.openxmlformats.org/officeDocument/2006/relationships/hyperlink" Target="https://techcombank.com/thong-tin/blog/tien-chuyen-vao-tai-khoan-co-bi-tinh-thue-khong" TargetMode="External"/><Relationship Id="rId49" Type="http://schemas.openxmlformats.org/officeDocument/2006/relationships/hyperlink" Target="https://techcombank.com/thong-tin/blog/kiem-tra-thue-thu-nhap-ca-nhan" TargetMode="External"/><Relationship Id="rId31" Type="http://schemas.openxmlformats.org/officeDocument/2006/relationships/hyperlink" Target="https://techcombank.com/thong-tin/blog/lien-ket-tai-khoan-ngan-hang-voi-etax-mobile" TargetMode="External"/><Relationship Id="rId30" Type="http://schemas.openxmlformats.org/officeDocument/2006/relationships/hyperlink" Target="https://techcombank.com/thong-tin/blog/lai-suat-vay-thau-chi" TargetMode="External"/><Relationship Id="rId33" Type="http://schemas.openxmlformats.org/officeDocument/2006/relationships/hyperlink" Target="https://techcombank.com/thong-tin/blog/ho-so-thu-tuc-xoa-the-chap" TargetMode="External"/><Relationship Id="rId32" Type="http://schemas.openxmlformats.org/officeDocument/2006/relationships/hyperlink" Target="https://techcombank.com/thong-tin/blog/cach-nop-thue-dien-tu" TargetMode="External"/><Relationship Id="rId35" Type="http://schemas.openxmlformats.org/officeDocument/2006/relationships/hyperlink" Target="https://techcombank.com/thong-tin/blog/tra-cuu-no-thue-hai-quan" TargetMode="External"/><Relationship Id="rId34" Type="http://schemas.openxmlformats.org/officeDocument/2006/relationships/hyperlink" Target="https://techcombank.com/thong-tin/blog/quyet-toan-thue-thu-nhap-ca-nhan" TargetMode="External"/><Relationship Id="rId37" Type="http://schemas.openxmlformats.org/officeDocument/2006/relationships/hyperlink" Target="https://techcombank.com/thong-tin/blog/truy-thu-thue-ho-kinh-doanh" TargetMode="External"/><Relationship Id="rId36" Type="http://schemas.openxmlformats.org/officeDocument/2006/relationships/hyperlink" Target="https://techcombank.com/thong-tin/blog/tra-cuu-no-thue-ho-kinh-doanh" TargetMode="External"/><Relationship Id="rId39" Type="http://schemas.openxmlformats.org/officeDocument/2006/relationships/hyperlink" Target="https://techcombank.com/thong-tin/blog/tra-cuu-no-thue-ca-nhan" TargetMode="External"/><Relationship Id="rId38" Type="http://schemas.openxmlformats.org/officeDocument/2006/relationships/hyperlink" Target="https://techcombank.com/thong-tin/blog/kiem-tra-thue-ho-kinh-doanh" TargetMode="External"/><Relationship Id="rId2203" Type="http://schemas.openxmlformats.org/officeDocument/2006/relationships/hyperlink" Target="https://techcombank.com/thong-tin/blog/gui-tiet-kiem-online-co-rut-truoc-han-duoc-khong" TargetMode="External"/><Relationship Id="rId2204" Type="http://schemas.openxmlformats.org/officeDocument/2006/relationships/hyperlink" Target="https://techcombank.com/thong-tin/blog/gui-tiet-kiem-online-quay-vong-ca-goc-va-lai" TargetMode="External"/><Relationship Id="rId20" Type="http://schemas.openxmlformats.org/officeDocument/2006/relationships/hyperlink" Target="https://techcombank.com/thong-tin/blog/vay-the-chap-so-hong" TargetMode="External"/><Relationship Id="rId2205" Type="http://schemas.openxmlformats.org/officeDocument/2006/relationships/hyperlink" Target="https://techcombank.com/thong-tin/blog/chung-chi-tien-gui-khac-gi-so-tiet-kiem" TargetMode="External"/><Relationship Id="rId2206" Type="http://schemas.openxmlformats.org/officeDocument/2006/relationships/hyperlink" Target="https://techcombank.com/thong-tin/blog/chung-chi-tien-gui-co-duoc-rut-truoc-han" TargetMode="External"/><Relationship Id="rId22" Type="http://schemas.openxmlformats.org/officeDocument/2006/relationships/hyperlink" Target="https://techcombank.com/thong-tin/blog/vay-300-trieu" TargetMode="External"/><Relationship Id="rId2207" Type="http://schemas.openxmlformats.org/officeDocument/2006/relationships/hyperlink" Target="https://techcombank.com/thong-tin/blog/cach-tiet-kiem-tien-sinh-loi" TargetMode="External"/><Relationship Id="rId21" Type="http://schemas.openxmlformats.org/officeDocument/2006/relationships/hyperlink" Target="https://techcombank.com/thong-tin/blog/mua-nha-tra-gop-dua-truoc-100-trieu" TargetMode="External"/><Relationship Id="rId2208" Type="http://schemas.openxmlformats.org/officeDocument/2006/relationships/hyperlink" Target="https://techcombank.com/thong-tin/blog/co-50-trieu-nen-mua-vang-hay-gui-tiet-kiem" TargetMode="External"/><Relationship Id="rId24" Type="http://schemas.openxmlformats.org/officeDocument/2006/relationships/hyperlink" Target="https://techcombank.com/thong-tin/blog/vay-30-trieu" TargetMode="External"/><Relationship Id="rId2209" Type="http://schemas.openxmlformats.org/officeDocument/2006/relationships/hyperlink" Target="https://techcombank.com/thong-tin/blog/lai-suat-cho-vay-doanh-nghiep" TargetMode="External"/><Relationship Id="rId23" Type="http://schemas.openxmlformats.org/officeDocument/2006/relationships/hyperlink" Target="https://techcombank.com/thong-tin/blog/vay-100-trieu" TargetMode="External"/><Relationship Id="rId26" Type="http://schemas.openxmlformats.org/officeDocument/2006/relationships/hyperlink" Target="https://techcombank.com/thong-tin/blog/vay-200-trieu" TargetMode="External"/><Relationship Id="rId25" Type="http://schemas.openxmlformats.org/officeDocument/2006/relationships/hyperlink" Target="https://techcombank.com/thong-tin/blog/vay-the-chap-kinh-doanh" TargetMode="External"/><Relationship Id="rId28" Type="http://schemas.openxmlformats.org/officeDocument/2006/relationships/hyperlink" Target="https://techcombank.com/thong-tin/blog/vay-tra-gop" TargetMode="External"/><Relationship Id="rId27" Type="http://schemas.openxmlformats.org/officeDocument/2006/relationships/hyperlink" Target="https://techcombank.com/thong-tin/blog/vay-thau-chi-bang-so-tiet-kiem" TargetMode="External"/><Relationship Id="rId29" Type="http://schemas.openxmlformats.org/officeDocument/2006/relationships/hyperlink" Target="https://techcombank.com/thong-tin/blog/lai-suat-vay-the-chap" TargetMode="External"/><Relationship Id="rId2200" Type="http://schemas.openxmlformats.org/officeDocument/2006/relationships/hyperlink" Target="https://techcombank.com/thong-tin/blog/xu-huong-dau-tu-trai-phieu-ky-han-duoi-mot-nam-lua-chon-an-toan-khi-thi-truong-bien-dong" TargetMode="External"/><Relationship Id="rId2201" Type="http://schemas.openxmlformats.org/officeDocument/2006/relationships/hyperlink" Target="https://techcombank.com/thong-tin/blog/gui-tiet-kiem-online-bi-mat-tien" TargetMode="External"/><Relationship Id="rId2202" Type="http://schemas.openxmlformats.org/officeDocument/2006/relationships/hyperlink" Target="https://techcombank.com/thong-tin/blog/kinh-nghiem-gui-tiet-kiem-online" TargetMode="External"/><Relationship Id="rId11" Type="http://schemas.openxmlformats.org/officeDocument/2006/relationships/hyperlink" Target="https://techcombank.com/thong-tin/blog/vay-mua-nha-o-xa-hoi" TargetMode="External"/><Relationship Id="rId10" Type="http://schemas.openxmlformats.org/officeDocument/2006/relationships/hyperlink" Target="https://techcombank.com/thong-tin/blog/tin-chap-doanh-nghiep" TargetMode="External"/><Relationship Id="rId13" Type="http://schemas.openxmlformats.org/officeDocument/2006/relationships/hyperlink" Target="https://techcombank.com/thong-tin/blog/vay-san-xuat-kinh-doanh" TargetMode="External"/><Relationship Id="rId12" Type="http://schemas.openxmlformats.org/officeDocument/2006/relationships/hyperlink" Target="https://techcombank.com/thong-tin/blog/cach-tinh-lai-vay-ngan-hang" TargetMode="External"/><Relationship Id="rId15" Type="http://schemas.openxmlformats.org/officeDocument/2006/relationships/hyperlink" Target="https://techcombank.com/thong-tin/blog/cac-hinh-thuc-vay-von-ngan-hang" TargetMode="External"/><Relationship Id="rId14" Type="http://schemas.openxmlformats.org/officeDocument/2006/relationships/hyperlink" Target="https://techcombank.com/thong-tin/blog/lai-suat-vay-tin-chap" TargetMode="External"/><Relationship Id="rId17" Type="http://schemas.openxmlformats.org/officeDocument/2006/relationships/hyperlink" Target="https://techcombank.com/thong-tin/blog/lai-suat-vay-the-chap-so-do" TargetMode="External"/><Relationship Id="rId16" Type="http://schemas.openxmlformats.org/officeDocument/2006/relationships/hyperlink" Target="https://techcombank.com/thong-tin/blog/vay-tin-chap-va-vay-the-chap" TargetMode="External"/><Relationship Id="rId19" Type="http://schemas.openxmlformats.org/officeDocument/2006/relationships/hyperlink" Target="https://techcombank.com/thong-tin/blog/nen-vay-tin-chap-o-dau" TargetMode="External"/><Relationship Id="rId18" Type="http://schemas.openxmlformats.org/officeDocument/2006/relationships/hyperlink" Target="https://techcombank.com/thong-tin/blog/co-100-trieu-co-mua-nen-mua-tra-gop" TargetMode="External"/><Relationship Id="rId84" Type="http://schemas.openxmlformats.org/officeDocument/2006/relationships/hyperlink" Target="https://techcombank.com/thong-tin/blog/thu-tuc-thanh-lap-doanh-nghiep" TargetMode="External"/><Relationship Id="rId1774" Type="http://schemas.openxmlformats.org/officeDocument/2006/relationships/hyperlink" Target="https://techcombank.com/thong-tin/blog/chuyen-tien-tu-my-ve-viet-nam" TargetMode="External"/><Relationship Id="rId83" Type="http://schemas.openxmlformats.org/officeDocument/2006/relationships/hyperlink" Target="https://techcombank.com/thong-tin/blog/phat-cham-dang-ky-thue-ho-kinh-doanh" TargetMode="External"/><Relationship Id="rId1775" Type="http://schemas.openxmlformats.org/officeDocument/2006/relationships/hyperlink" Target="https://techcombank.com/thong-tin/blog/remittance-la-gi" TargetMode="External"/><Relationship Id="rId86" Type="http://schemas.openxmlformats.org/officeDocument/2006/relationships/hyperlink" Target="https://techcombank.com/thong-tin/blog/thue-doanh-nghiep-2025" TargetMode="External"/><Relationship Id="rId1776" Type="http://schemas.openxmlformats.org/officeDocument/2006/relationships/hyperlink" Target="https://techcombank.com/thong-tin/blog/thanh-toan-quoc-te" TargetMode="External"/><Relationship Id="rId85" Type="http://schemas.openxmlformats.org/officeDocument/2006/relationships/hyperlink" Target="https://techcombank.com/thong-tin/blog/chi-phi-mo-tai-khoan-ngan-hang-cho-cong-ty" TargetMode="External"/><Relationship Id="rId1777" Type="http://schemas.openxmlformats.org/officeDocument/2006/relationships/hyperlink" Target="https://techcombank.com/thong-tin/blog/bao-hiem-du-lich-quoc-te-nao-tot" TargetMode="External"/><Relationship Id="rId88" Type="http://schemas.openxmlformats.org/officeDocument/2006/relationships/hyperlink" Target="https://techcombank.com/thong-tin/blog/dong-tai-khoan-ngan-hang-cong-ty" TargetMode="External"/><Relationship Id="rId1778" Type="http://schemas.openxmlformats.org/officeDocument/2006/relationships/hyperlink" Target="https://techcombank.com/thong-tin/blog/ma-buu-chinh-the-tin-dung" TargetMode="External"/><Relationship Id="rId87" Type="http://schemas.openxmlformats.org/officeDocument/2006/relationships/hyperlink" Target="https://techcombank.com/thong-tin/blog/khoi-nghiep-truoc-chinh-sach-thue-moi" TargetMode="External"/><Relationship Id="rId1779" Type="http://schemas.openxmlformats.org/officeDocument/2006/relationships/hyperlink" Target="https://techcombank.com/thong-tin/blog/the-tin-dung-quoc-te" TargetMode="External"/><Relationship Id="rId89" Type="http://schemas.openxmlformats.org/officeDocument/2006/relationships/hyperlink" Target="https://techcombank.com/thong-tin/blog/luu-y-khi-chuyen-tien-vao-tai-khoan-cong-ty" TargetMode="External"/><Relationship Id="rId80" Type="http://schemas.openxmlformats.org/officeDocument/2006/relationships/hyperlink" Target="https://techcombank.com/thong-tin/blog/ho-so-dang-ky-thanh-lap-doanh-nghiep" TargetMode="External"/><Relationship Id="rId82" Type="http://schemas.openxmlformats.org/officeDocument/2006/relationships/hyperlink" Target="https://techcombank.com/thong-tin/blog/doanh-nghiep-moi-thanh-lap-duoc-uu-dai-gi" TargetMode="External"/><Relationship Id="rId81" Type="http://schemas.openxmlformats.org/officeDocument/2006/relationships/hyperlink" Target="https://techcombank.com/thong-tin/blog/thue-khoan-ho-kinh-doanh-la-gi" TargetMode="External"/><Relationship Id="rId1770" Type="http://schemas.openxmlformats.org/officeDocument/2006/relationships/hyperlink" Target="https://techcombank.com/thong-tin/blog/thu-tuc-chuyen-tien-ra-nuoc-ngoai" TargetMode="External"/><Relationship Id="rId1771" Type="http://schemas.openxmlformats.org/officeDocument/2006/relationships/hyperlink" Target="https://techcombank.com/thong-tin/blog/kieu-hoi-la-gi" TargetMode="External"/><Relationship Id="rId1772" Type="http://schemas.openxmlformats.org/officeDocument/2006/relationships/hyperlink" Target="https://techcombank.com/thong-tin/blog/nhan-tien-western-union" TargetMode="External"/><Relationship Id="rId1773" Type="http://schemas.openxmlformats.org/officeDocument/2006/relationships/hyperlink" Target="https://techcombank.com/thong-tin/blog/ma-swift-ngan-hang" TargetMode="External"/><Relationship Id="rId73" Type="http://schemas.openxmlformats.org/officeDocument/2006/relationships/hyperlink" Target="https://techcombank.com/thong-tin/blog/hoan-thue-doanh-nghiep" TargetMode="External"/><Relationship Id="rId1763" Type="http://schemas.openxmlformats.org/officeDocument/2006/relationships/hyperlink" Target="https://techcombank.com/thong-tin/blog/han-muc-mua-ngoai-te-khi-di-du-lich" TargetMode="External"/><Relationship Id="rId72" Type="http://schemas.openxmlformats.org/officeDocument/2006/relationships/hyperlink" Target="https://techcombank.com/thong-tin/blog/ho-kinh-doanh-dong-thue-nhu-nao" TargetMode="External"/><Relationship Id="rId1764" Type="http://schemas.openxmlformats.org/officeDocument/2006/relationships/hyperlink" Target="https://techcombank.com/thong-tin/blog/gui-tien-du-hoc" TargetMode="External"/><Relationship Id="rId75" Type="http://schemas.openxmlformats.org/officeDocument/2006/relationships/hyperlink" Target="https://techcombank.com/thong-tin/blog/kinh-nghiem-chuyen-doi-tu-ho-kinh-doanh-len-doanh-nghiep" TargetMode="External"/><Relationship Id="rId1765" Type="http://schemas.openxmlformats.org/officeDocument/2006/relationships/hyperlink" Target="https://techcombank.com/thong-tin/blog/chuyen-tien-dinh-cu" TargetMode="External"/><Relationship Id="rId74" Type="http://schemas.openxmlformats.org/officeDocument/2006/relationships/hyperlink" Target="https://techcombank.com/thong-tin/blog/cong-ty-su-dung-tai-khoan-ca-nhan" TargetMode="External"/><Relationship Id="rId1766" Type="http://schemas.openxmlformats.org/officeDocument/2006/relationships/hyperlink" Target="https://techcombank.com/thong-tin/blog/1-trieu-do-bang-bao-nhieu-tien-viet" TargetMode="External"/><Relationship Id="rId77" Type="http://schemas.openxmlformats.org/officeDocument/2006/relationships/hyperlink" Target="https://techcombank.com/thong-tin/blog/dieu-kien-thanh-lap-doanh-nghiep" TargetMode="External"/><Relationship Id="rId1767" Type="http://schemas.openxmlformats.org/officeDocument/2006/relationships/hyperlink" Target="https://techcombank.com/thong-tin/blog/the-visa-co-thanh-toan-quoc-te-duoc-khong" TargetMode="External"/><Relationship Id="rId76" Type="http://schemas.openxmlformats.org/officeDocument/2006/relationships/hyperlink" Target="https://techcombank.com/thong-tin/blog/top-phan-mem-ban-hang" TargetMode="External"/><Relationship Id="rId1768" Type="http://schemas.openxmlformats.org/officeDocument/2006/relationships/hyperlink" Target="https://techcombank.com/thong-tin/blog/thanh-toan-bang-the-quoc-te" TargetMode="External"/><Relationship Id="rId79" Type="http://schemas.openxmlformats.org/officeDocument/2006/relationships/hyperlink" Target="https://techcombank.com/thong-tin/blog/luat-thuong-mai-dien-tu" TargetMode="External"/><Relationship Id="rId1769" Type="http://schemas.openxmlformats.org/officeDocument/2006/relationships/hyperlink" Target="https://techcombank.com/thong-tin/blog/vay-du-hoc" TargetMode="External"/><Relationship Id="rId78" Type="http://schemas.openxmlformats.org/officeDocument/2006/relationships/hyperlink" Target="https://techcombank.com/thong-tin/blog/dang-ky-thue-ho-kinh-doanh-ca-the-online" TargetMode="External"/><Relationship Id="rId71" Type="http://schemas.openxmlformats.org/officeDocument/2006/relationships/hyperlink" Target="https://techcombank.com/thong-tin/blog/quyet-toan-thue-doanh-nghiep" TargetMode="External"/><Relationship Id="rId70" Type="http://schemas.openxmlformats.org/officeDocument/2006/relationships/hyperlink" Target="https://techcombank.com/thong-tin/blog/tra-cuu-ma-so-thue-ho-kinh-doanh" TargetMode="External"/><Relationship Id="rId1760" Type="http://schemas.openxmlformats.org/officeDocument/2006/relationships/hyperlink" Target="https://techcombank.com/thong-tin/blog/100-riel-bang-bao-nhieu-tien-viet-nam" TargetMode="External"/><Relationship Id="rId1761" Type="http://schemas.openxmlformats.org/officeDocument/2006/relationships/hyperlink" Target="https://techcombank.com/thong-tin/blog/tien-indonesia" TargetMode="External"/><Relationship Id="rId1762" Type="http://schemas.openxmlformats.org/officeDocument/2006/relationships/hyperlink" Target="https://techcombank.com/thong-tin/blog/1-do-uc-bang-bao-nhieu-tien-viet" TargetMode="External"/><Relationship Id="rId62" Type="http://schemas.openxmlformats.org/officeDocument/2006/relationships/hyperlink" Target="https://techcombank.com/thong-tin/blog/thue-phi-co-dinh-khi-chuyen-doi-tu-ho-kinh-doanh-len-doanh-nghiep" TargetMode="External"/><Relationship Id="rId1796" Type="http://schemas.openxmlformats.org/officeDocument/2006/relationships/hyperlink" Target="https://techcombank.com/thong-tin/blog/di-du-lich-nuoc-ngoai-can-chuan-bi-gi" TargetMode="External"/><Relationship Id="rId61" Type="http://schemas.openxmlformats.org/officeDocument/2006/relationships/hyperlink" Target="https://techcombank.com/thong-tin/blog/chuyen-gia-du-doan-gia-bat-dong-san-2025-va-cac-no-luc-tu-ngan-hang" TargetMode="External"/><Relationship Id="rId1797" Type="http://schemas.openxmlformats.org/officeDocument/2006/relationships/hyperlink" Target="https://techcombank.com/thong-tin/blog/thu-tuc-chuyen-tien-ra-nuoc-ngoai" TargetMode="External"/><Relationship Id="rId64" Type="http://schemas.openxmlformats.org/officeDocument/2006/relationships/hyperlink" Target="https://techcombank.com/thong-tin/blog/nhung-chi-phi-khong-duoc-tru-khi-tinh-thue-tndn" TargetMode="External"/><Relationship Id="rId1798" Type="http://schemas.openxmlformats.org/officeDocument/2006/relationships/hyperlink" Target="https://techcombank.com/thong-tin/blog/gui-tien-sang-nuoc-ngoai" TargetMode="External"/><Relationship Id="rId63" Type="http://schemas.openxmlformats.org/officeDocument/2006/relationships/hyperlink" Target="https://techcombank.com/thong-tin/blog/ho-kinh-doanh-ca-the" TargetMode="External"/><Relationship Id="rId1799" Type="http://schemas.openxmlformats.org/officeDocument/2006/relationships/hyperlink" Target="https://techcombank.com/thong-tin/blog/gia-ca-phe-hom-nay" TargetMode="External"/><Relationship Id="rId66" Type="http://schemas.openxmlformats.org/officeDocument/2006/relationships/hyperlink" Target="https://techcombank.com/thong-tin/blog/one-stop-shop" TargetMode="External"/><Relationship Id="rId65" Type="http://schemas.openxmlformats.org/officeDocument/2006/relationships/hyperlink" Target="https://techcombank.com/thong-tin/blog/hoa-don-dien-tu" TargetMode="External"/><Relationship Id="rId68" Type="http://schemas.openxmlformats.org/officeDocument/2006/relationships/hyperlink" Target="https://techcombank.com/thong-tin/blog/cach-dang-ky-ma-so-thue-ho-kinh-doanh-online" TargetMode="External"/><Relationship Id="rId67" Type="http://schemas.openxmlformats.org/officeDocument/2006/relationships/hyperlink" Target="https://techcombank.com/thong-tin/blog/cac-sai-lam-pho-bien-khi-chuyen-doi-ho-kinh-doanh-len-sme" TargetMode="External"/><Relationship Id="rId60" Type="http://schemas.openxmlformats.org/officeDocument/2006/relationships/hyperlink" Target="https://techcombank.com/thong-tin/blog/eco-card" TargetMode="External"/><Relationship Id="rId69" Type="http://schemas.openxmlformats.org/officeDocument/2006/relationships/hyperlink" Target="https://techcombank.com/thong-tin/blog/kiem-tra-ma-so-thue-doanh-nghiep" TargetMode="External"/><Relationship Id="rId1790" Type="http://schemas.openxmlformats.org/officeDocument/2006/relationships/hyperlink" Target="https://techcombank.com/thong-tin/blog/thanh-toan-bang-the-quoc-te" TargetMode="External"/><Relationship Id="rId1791" Type="http://schemas.openxmlformats.org/officeDocument/2006/relationships/hyperlink" Target="https://techcombank.com/thong-tin/blog/han-muc-mua-ngoai-te-khi-di-du-lich" TargetMode="External"/><Relationship Id="rId1792" Type="http://schemas.openxmlformats.org/officeDocument/2006/relationships/hyperlink" Target="https://techcombank.com/thong-tin/blog/ngoai-te-la-gi" TargetMode="External"/><Relationship Id="rId1793" Type="http://schemas.openxmlformats.org/officeDocument/2006/relationships/hyperlink" Target="https://techcombank.com/thong-tin/blog/nen-lam-the-visa-hay-noi-dia" TargetMode="External"/><Relationship Id="rId1794" Type="http://schemas.openxmlformats.org/officeDocument/2006/relationships/hyperlink" Target="https://techcombank.com/thong-tin/blog/dinh-cu-chau-au" TargetMode="External"/><Relationship Id="rId1795" Type="http://schemas.openxmlformats.org/officeDocument/2006/relationships/hyperlink" Target="https://techcombank.com/thong-tin/blog/vay-du-hoc" TargetMode="External"/><Relationship Id="rId51" Type="http://schemas.openxmlformats.org/officeDocument/2006/relationships/hyperlink" Target="https://techcombank.com/thong-tin/blog/han-muc-vay-the-chap-so-do" TargetMode="External"/><Relationship Id="rId1785" Type="http://schemas.openxmlformats.org/officeDocument/2006/relationships/hyperlink" Target="https://techcombank.com/thong-tin/blog/cashback-the-thanh-toan" TargetMode="External"/><Relationship Id="rId50" Type="http://schemas.openxmlformats.org/officeDocument/2006/relationships/hyperlink" Target="https://techcombank.com/thong-tin/blog/lai-suat-vay-the-chap-so-do" TargetMode="External"/><Relationship Id="rId1786" Type="http://schemas.openxmlformats.org/officeDocument/2006/relationships/hyperlink" Target="https://techcombank.com/thong-tin/blog/lam-the-thanh-toan-quoc-te" TargetMode="External"/><Relationship Id="rId53" Type="http://schemas.openxmlformats.org/officeDocument/2006/relationships/hyperlink" Target="https://techcombank.com/thong-tin/blog/tim-hieu-ve-chinh-sach-thue-moi" TargetMode="External"/><Relationship Id="rId1787" Type="http://schemas.openxmlformats.org/officeDocument/2006/relationships/hyperlink" Target="https://techcombank.com/thong-tin/blog/the-ghi-no-visa-la-gi" TargetMode="External"/><Relationship Id="rId52" Type="http://schemas.openxmlformats.org/officeDocument/2006/relationships/hyperlink" Target="https://techcombank.com/thong-tin/blog/thue-thu-nhap-ca-nhan" TargetMode="External"/><Relationship Id="rId1788" Type="http://schemas.openxmlformats.org/officeDocument/2006/relationships/hyperlink" Target="https://techcombank.com/thong-tin/blog/the-visa-co-thanh-toan-quoc-te-duoc-khong" TargetMode="External"/><Relationship Id="rId55" Type="http://schemas.openxmlformats.org/officeDocument/2006/relationships/hyperlink" Target="https://techcombank.com/thong-tin/blog/nen-thanh-lap-ho-kinh-doanh-ke-khai-hay-doanh-nghiep" TargetMode="External"/><Relationship Id="rId1789" Type="http://schemas.openxmlformats.org/officeDocument/2006/relationships/hyperlink" Target="https://techcombank.com/thong-tin/blog/chuyen-tien-dinh-cu" TargetMode="External"/><Relationship Id="rId54" Type="http://schemas.openxmlformats.org/officeDocument/2006/relationships/hyperlink" Target="https://techcombank.com/thong-tin/blog/chuyen-doi-ho-kinh-doanh-len-doanh-nghiep" TargetMode="External"/><Relationship Id="rId57" Type="http://schemas.openxmlformats.org/officeDocument/2006/relationships/hyperlink" Target="https://techcombank.com/thong-tin/blog/dong-ma-so-thue-ho-kinh-doanh" TargetMode="External"/><Relationship Id="rId56" Type="http://schemas.openxmlformats.org/officeDocument/2006/relationships/hyperlink" Target="https://techcombank.com/thong-tin/blog/giai-dap-ve-thue-doanh-nghiep" TargetMode="External"/><Relationship Id="rId59" Type="http://schemas.openxmlformats.org/officeDocument/2006/relationships/hyperlink" Target="https://techcombank.com/thong-tin/blog/cach-dau-tu" TargetMode="External"/><Relationship Id="rId58" Type="http://schemas.openxmlformats.org/officeDocument/2006/relationships/hyperlink" Target="https://techcombank.com/thong-tin/blog/khach-hang-vip-bat-dong-san" TargetMode="External"/><Relationship Id="rId1780" Type="http://schemas.openxmlformats.org/officeDocument/2006/relationships/hyperlink" Target="https://techcombank.com/thong-tin/blog/bib-techcombank" TargetMode="External"/><Relationship Id="rId1781" Type="http://schemas.openxmlformats.org/officeDocument/2006/relationships/hyperlink" Target="https://techcombank.com/thong-tin/blog/the-ghi-no-noi-dia" TargetMode="External"/><Relationship Id="rId1782" Type="http://schemas.openxmlformats.org/officeDocument/2006/relationships/hyperlink" Target="https://techcombank.com/thong-tin/blog/iban-la-gi" TargetMode="External"/><Relationship Id="rId1783" Type="http://schemas.openxmlformats.org/officeDocument/2006/relationships/hyperlink" Target="https://techcombank.com/thong-tin/blog/the-tin-dung-noi-dia" TargetMode="External"/><Relationship Id="rId1784" Type="http://schemas.openxmlformats.org/officeDocument/2006/relationships/hyperlink" Target="https://techcombank.com/thong-tin/blog/app-ngan-hang-co-dung-duoc-o-nuoc-ngoai" TargetMode="External"/><Relationship Id="rId2269" Type="http://schemas.openxmlformats.org/officeDocument/2006/relationships/hyperlink" Target="https://techcombank.com/thong-tin/blog/vay-30-trieu" TargetMode="External"/><Relationship Id="rId349" Type="http://schemas.openxmlformats.org/officeDocument/2006/relationships/hyperlink" Target="https://techcombank.com/thong-tin/blog/cong-ty-xuat-nhap-khau" TargetMode="External"/><Relationship Id="rId348" Type="http://schemas.openxmlformats.org/officeDocument/2006/relationships/hyperlink" Target="https://techcombank.com/thong-tin/blog/nen-thanh-lap-ho-kinh-doanh-ke-khai-hay-doanh-nghiep" TargetMode="External"/><Relationship Id="rId347" Type="http://schemas.openxmlformats.org/officeDocument/2006/relationships/hyperlink" Target="https://techcombank.com/thong-tin/blog/chuyen-doi-ho-kinh-doanh-len-doanh-nghiep" TargetMode="External"/><Relationship Id="rId346" Type="http://schemas.openxmlformats.org/officeDocument/2006/relationships/hyperlink" Target="https://techcombank.com/thong-tin/blog/kiem-tra-thue-ho-kinh-doanh" TargetMode="External"/><Relationship Id="rId2260" Type="http://schemas.openxmlformats.org/officeDocument/2006/relationships/hyperlink" Target="https://techcombank.com/thong-tin/blog/vay-the-chap-so-hong" TargetMode="External"/><Relationship Id="rId341" Type="http://schemas.openxmlformats.org/officeDocument/2006/relationships/hyperlink" Target="https://techcombank.com/thong-tin/blog/cach-kiem-tra-tai-khoan-ngan-hang-cua-cong-ty" TargetMode="External"/><Relationship Id="rId2261" Type="http://schemas.openxmlformats.org/officeDocument/2006/relationships/hyperlink" Target="https://techcombank.com/thong-tin/blog/lai-suat-vay-mua-o-to" TargetMode="External"/><Relationship Id="rId340" Type="http://schemas.openxmlformats.org/officeDocument/2006/relationships/hyperlink" Target="https://techcombank.com/thong-tin/blog/thue-thuong-mai-dien-tu" TargetMode="External"/><Relationship Id="rId2262" Type="http://schemas.openxmlformats.org/officeDocument/2006/relationships/hyperlink" Target="https://techcombank.com/thong-tin/blog/bao-hiem-vat-chat-xe-o-to" TargetMode="External"/><Relationship Id="rId2263" Type="http://schemas.openxmlformats.org/officeDocument/2006/relationships/hyperlink" Target="https://techcombank.com/thong-tin/blog/vay-300-trieu" TargetMode="External"/><Relationship Id="rId2264" Type="http://schemas.openxmlformats.org/officeDocument/2006/relationships/hyperlink" Target="https://techcombank.com/thong-tin/blog/vay-the-chap-xe-o-to-cu" TargetMode="External"/><Relationship Id="rId345" Type="http://schemas.openxmlformats.org/officeDocument/2006/relationships/hyperlink" Target="https://techcombank.com/thong-tin/blog/quyet-toan-thue-thu-nhap-ca-nhan" TargetMode="External"/><Relationship Id="rId2265" Type="http://schemas.openxmlformats.org/officeDocument/2006/relationships/hyperlink" Target="https://techcombank.com/thong-tin/blog/thu-tuc-mua-xe-tra-gop" TargetMode="External"/><Relationship Id="rId344" Type="http://schemas.openxmlformats.org/officeDocument/2006/relationships/hyperlink" Target="https://techcombank.com/thong-tin/blog/ke-khai-thue-ho-kinh-doanh-ca-the-online" TargetMode="External"/><Relationship Id="rId2266" Type="http://schemas.openxmlformats.org/officeDocument/2006/relationships/hyperlink" Target="https://techcombank.com/thong-tin/blog/lai-suat-the-tin-dung" TargetMode="External"/><Relationship Id="rId343" Type="http://schemas.openxmlformats.org/officeDocument/2006/relationships/hyperlink" Target="https://techcombank.com/thong-tin/blog/giai-dap-ve-thue-doanh-nghiep" TargetMode="External"/><Relationship Id="rId2267" Type="http://schemas.openxmlformats.org/officeDocument/2006/relationships/hyperlink" Target="https://techcombank.com/thong-tin/blog/tra-gop-lazada" TargetMode="External"/><Relationship Id="rId342" Type="http://schemas.openxmlformats.org/officeDocument/2006/relationships/hyperlink" Target="https://techcombank.com/thong-tin/blog/tra-cuu-no-thue-doanh-nghiep" TargetMode="External"/><Relationship Id="rId2268" Type="http://schemas.openxmlformats.org/officeDocument/2006/relationships/hyperlink" Target="https://techcombank.com/thong-tin/blog/lam-ho-so-tra-gop-dien-thoai" TargetMode="External"/><Relationship Id="rId2258" Type="http://schemas.openxmlformats.org/officeDocument/2006/relationships/hyperlink" Target="https://techcombank.com/thong-tin/blog/tin-chap-doanh-nghiep" TargetMode="External"/><Relationship Id="rId2259" Type="http://schemas.openxmlformats.org/officeDocument/2006/relationships/hyperlink" Target="https://techcombank.com/thong-tin/blog/vay-sinh-vien" TargetMode="External"/><Relationship Id="rId338" Type="http://schemas.openxmlformats.org/officeDocument/2006/relationships/hyperlink" Target="https://techcombank.com/thong-tin/blog/ho-so-dang-ky-thanh-lap-doanh-nghiep" TargetMode="External"/><Relationship Id="rId337" Type="http://schemas.openxmlformats.org/officeDocument/2006/relationships/hyperlink" Target="https://techcombank.com/thong-tin/blog/dieu-kien-thanh-lap-doanh-nghiep" TargetMode="External"/><Relationship Id="rId336" Type="http://schemas.openxmlformats.org/officeDocument/2006/relationships/hyperlink" Target="https://techcombank.com/thong-tin/blog/tim-hieu-ve-chinh-sach-thue-moi" TargetMode="External"/><Relationship Id="rId335" Type="http://schemas.openxmlformats.org/officeDocument/2006/relationships/hyperlink" Target="https://techcombank.com/thong-tin/blog/cach-nop-thue-dien-tu" TargetMode="External"/><Relationship Id="rId339" Type="http://schemas.openxmlformats.org/officeDocument/2006/relationships/hyperlink" Target="https://techcombank.com/thong-tin/blog/thu-tuc-thanh-lap-doanh-nghiep" TargetMode="External"/><Relationship Id="rId330" Type="http://schemas.openxmlformats.org/officeDocument/2006/relationships/hyperlink" Target="https://techcombank.com/thong-tin/blog/sao-ke-tai-khoan-doanh-nghiep" TargetMode="External"/><Relationship Id="rId2250" Type="http://schemas.openxmlformats.org/officeDocument/2006/relationships/hyperlink" Target="https://techcombank.com/thong-tin/blog/kinh-nghiem-vay-the-chap-ngan-hang" TargetMode="External"/><Relationship Id="rId2251" Type="http://schemas.openxmlformats.org/officeDocument/2006/relationships/hyperlink" Target="https://techcombank.com/thong-tin/blog/cho-vay-tieu-dung-la-gi" TargetMode="External"/><Relationship Id="rId2252" Type="http://schemas.openxmlformats.org/officeDocument/2006/relationships/hyperlink" Target="https://techcombank.com/thong-tin/blog/vay-15-trieu" TargetMode="External"/><Relationship Id="rId2253" Type="http://schemas.openxmlformats.org/officeDocument/2006/relationships/hyperlink" Target="https://techcombank.com/thong-tin/blog/lai-suat-tha-noi" TargetMode="External"/><Relationship Id="rId334" Type="http://schemas.openxmlformats.org/officeDocument/2006/relationships/hyperlink" Target="https://techcombank.com/thong-tin/blog/ke-khai-thue-doanh-nghiep" TargetMode="External"/><Relationship Id="rId2254" Type="http://schemas.openxmlformats.org/officeDocument/2006/relationships/hyperlink" Target="https://techcombank.com/thong-tin/blog/vay-tien-mat" TargetMode="External"/><Relationship Id="rId333" Type="http://schemas.openxmlformats.org/officeDocument/2006/relationships/hyperlink" Target="https://techcombank.com/thong-tin/blog/chi-phi-mo-tai-khoan-ngan-hang-cho-cong-ty" TargetMode="External"/><Relationship Id="rId2255" Type="http://schemas.openxmlformats.org/officeDocument/2006/relationships/hyperlink" Target="https://techcombank.com/thong-tin/blog/cach-tiet-kiem-tien" TargetMode="External"/><Relationship Id="rId332" Type="http://schemas.openxmlformats.org/officeDocument/2006/relationships/hyperlink" Target="https://techcombank.com/thong-tin/blog/tai-khoan-cong-ty-co-chuyen-online-duoc-khong" TargetMode="External"/><Relationship Id="rId2256" Type="http://schemas.openxmlformats.org/officeDocument/2006/relationships/hyperlink" Target="https://techcombank.com/thong-tin/blog/lai-suat-qua-han" TargetMode="External"/><Relationship Id="rId331" Type="http://schemas.openxmlformats.org/officeDocument/2006/relationships/hyperlink" Target="https://techcombank.com/thong-tin/blog/mau-mo-tai-khoan-doanh-nghiep-techcombank" TargetMode="External"/><Relationship Id="rId2257" Type="http://schemas.openxmlformats.org/officeDocument/2006/relationships/hyperlink" Target="https://techcombank.com/thong-tin/blog/app-vay-tien-nhanh" TargetMode="External"/><Relationship Id="rId370" Type="http://schemas.openxmlformats.org/officeDocument/2006/relationships/hyperlink" Target="https://techcombank.com/thong-tin/blog/mua-chung-chi-quy" TargetMode="External"/><Relationship Id="rId369" Type="http://schemas.openxmlformats.org/officeDocument/2006/relationships/hyperlink" Target="https://techcombank.com/thong-tin/blog/danh-muc-dau-tu" TargetMode="External"/><Relationship Id="rId368" Type="http://schemas.openxmlformats.org/officeDocument/2006/relationships/hyperlink" Target="https://techcombank.com/thong-tin/blog/ho-kinh-doanh-can-gi-o-tai-khoan-ngan-hang" TargetMode="External"/><Relationship Id="rId2280" Type="http://schemas.openxmlformats.org/officeDocument/2006/relationships/hyperlink" Target="https://techcombank.com/thong-tin/blog/lai-suat-vay-thau-chi" TargetMode="External"/><Relationship Id="rId2281" Type="http://schemas.openxmlformats.org/officeDocument/2006/relationships/hyperlink" Target="https://techcombank.com/thong-tin/blog/lai-suat-vay-tieu-dung" TargetMode="External"/><Relationship Id="rId2282" Type="http://schemas.openxmlformats.org/officeDocument/2006/relationships/hyperlink" Target="https://techcombank.com/thong-tin/blog/cach-tinh-lai-vay-ngan-hang" TargetMode="External"/><Relationship Id="rId363" Type="http://schemas.openxmlformats.org/officeDocument/2006/relationships/hyperlink" Target="https://techcombank.com/thong-tin/blog/quan-ly-tai-chinh-doanh-nghiep-la-gi" TargetMode="External"/><Relationship Id="rId2283" Type="http://schemas.openxmlformats.org/officeDocument/2006/relationships/hyperlink" Target="https://techcombank.com/thong-tin/blog/lai-suat-vay-ngan-hang" TargetMode="External"/><Relationship Id="rId362" Type="http://schemas.openxmlformats.org/officeDocument/2006/relationships/hyperlink" Target="https://techcombank.com/thong-tin/blog/kinh-nghiem-mua-vang-tich-tru" TargetMode="External"/><Relationship Id="rId2284" Type="http://schemas.openxmlformats.org/officeDocument/2006/relationships/hyperlink" Target="https://techcombank.com/thong-tin/blog/uu-dai-the-tin-dung-techcombank-signature" TargetMode="External"/><Relationship Id="rId361" Type="http://schemas.openxmlformats.org/officeDocument/2006/relationships/hyperlink" Target="https://techcombank.com/thong-tin/blog/thi-truong-trai-phieu-am-tro-lai-nha-dau-tu-san-sang-cho-nhung-co-hoi-sinh-loi-moi" TargetMode="External"/><Relationship Id="rId2285" Type="http://schemas.openxmlformats.org/officeDocument/2006/relationships/hyperlink" Target="https://techcombank.com/thong-tin/blog/lai-suat-vay-tin-chap" TargetMode="External"/><Relationship Id="rId360" Type="http://schemas.openxmlformats.org/officeDocument/2006/relationships/hyperlink" Target="https://techcombank.com/thong-tin/blog/thue-thu-nhap-doanh-nghiep" TargetMode="External"/><Relationship Id="rId2286" Type="http://schemas.openxmlformats.org/officeDocument/2006/relationships/hyperlink" Target="https://techcombank.com/thong-tin/blog/lai-suat-vay-kinh-doanh" TargetMode="External"/><Relationship Id="rId367" Type="http://schemas.openxmlformats.org/officeDocument/2006/relationships/hyperlink" Target="https://techcombank.com/thong-tin/blog/lai-suat-chung-chi-quy" TargetMode="External"/><Relationship Id="rId2287" Type="http://schemas.openxmlformats.org/officeDocument/2006/relationships/hyperlink" Target="https://techcombank.com/thong-tin/blog/vay-tin-chap-va-vay-the-chap" TargetMode="External"/><Relationship Id="rId366" Type="http://schemas.openxmlformats.org/officeDocument/2006/relationships/hyperlink" Target="https://techcombank.com/thong-tin/blog/lai-suat-tiet-kiem" TargetMode="External"/><Relationship Id="rId2288" Type="http://schemas.openxmlformats.org/officeDocument/2006/relationships/hyperlink" Target="https://techcombank.com/thong-tin/blog/lai-suat-vay-the-chap-so-do" TargetMode="External"/><Relationship Id="rId365" Type="http://schemas.openxmlformats.org/officeDocument/2006/relationships/hyperlink" Target="https://techcombank.com/thong-tin/blog/gia-chung-chi-quy-la-gi" TargetMode="External"/><Relationship Id="rId2289" Type="http://schemas.openxmlformats.org/officeDocument/2006/relationships/hyperlink" Target="https://techcombank.com/thong-tin/blog/dac-san-hai-phong" TargetMode="External"/><Relationship Id="rId364" Type="http://schemas.openxmlformats.org/officeDocument/2006/relationships/hyperlink" Target="https://techcombank.com/thong-tin/blog/nha-dau-tu-giao-dich-trai-phieu-truc-tuyen-tang-manh-tro-lai" TargetMode="External"/><Relationship Id="rId95" Type="http://schemas.openxmlformats.org/officeDocument/2006/relationships/hyperlink" Target="https://techcombank.com/thong-tin/blog/nop-tien-mat-vao-tai-khoan-cong-ty" TargetMode="External"/><Relationship Id="rId94" Type="http://schemas.openxmlformats.org/officeDocument/2006/relationships/hyperlink" Target="https://techcombank.com/thong-tin/blog/phan-mem-xuat-hoa-don-dien-tu" TargetMode="External"/><Relationship Id="rId97" Type="http://schemas.openxmlformats.org/officeDocument/2006/relationships/hyperlink" Target="https://techcombank.com/thong-tin/blog/thanh-lap-ho-kinh-doanh-ca-the" TargetMode="External"/><Relationship Id="rId96" Type="http://schemas.openxmlformats.org/officeDocument/2006/relationships/hyperlink" Target="https://techcombank.com/thong-tin/blog/ho-kinh-doanh-la-gi" TargetMode="External"/><Relationship Id="rId99" Type="http://schemas.openxmlformats.org/officeDocument/2006/relationships/hyperlink" Target="https://techcombank.com/thong-tin/blog/mo-tai-khoan-doanh-nghiep" TargetMode="External"/><Relationship Id="rId98" Type="http://schemas.openxmlformats.org/officeDocument/2006/relationships/hyperlink" Target="https://techcombank.com/thong-tin/blog/thue-ho-kinh-doanh-2025" TargetMode="External"/><Relationship Id="rId91" Type="http://schemas.openxmlformats.org/officeDocument/2006/relationships/hyperlink" Target="https://techcombank.com/thong-tin/blog/khai-bao-tai-khoan-ngan-hang-voi-co-quan-thue" TargetMode="External"/><Relationship Id="rId90" Type="http://schemas.openxmlformats.org/officeDocument/2006/relationships/hyperlink" Target="https://techcombank.com/thong-tin/blog/hieu-hiet-ve-tuan-thu-thue-cho-cac-doanh-nghiep-khoi-nghiep" TargetMode="External"/><Relationship Id="rId93" Type="http://schemas.openxmlformats.org/officeDocument/2006/relationships/hyperlink" Target="https://techcombank.com/thong-tin/blog/may-tinh-tien" TargetMode="External"/><Relationship Id="rId92" Type="http://schemas.openxmlformats.org/officeDocument/2006/relationships/hyperlink" Target="https://techcombank.com/thong-tin/blog/hoa-don-dien-tu-ho-kinh-doanh" TargetMode="External"/><Relationship Id="rId359" Type="http://schemas.openxmlformats.org/officeDocument/2006/relationships/hyperlink" Target="https://techcombank.com/thong-tin/blog/tim-hieu-ve-chinh-sach-thue-moi" TargetMode="External"/><Relationship Id="rId358" Type="http://schemas.openxmlformats.org/officeDocument/2006/relationships/hyperlink" Target="https://techcombank.com/thong-tin/blog/thue-doanh-nghiep" TargetMode="External"/><Relationship Id="rId357" Type="http://schemas.openxmlformats.org/officeDocument/2006/relationships/hyperlink" Target="https://techcombank.com/thong-tin/blog/loi-nhuan" TargetMode="External"/><Relationship Id="rId2270" Type="http://schemas.openxmlformats.org/officeDocument/2006/relationships/hyperlink" Target="https://techcombank.com/thong-tin/blog/lai-suat-ngan-hang-cho-vay-xay-nha" TargetMode="External"/><Relationship Id="rId2271" Type="http://schemas.openxmlformats.org/officeDocument/2006/relationships/hyperlink" Target="https://techcombank.com/thong-tin/blog/cach-su-dung-the-tin-dung" TargetMode="External"/><Relationship Id="rId352" Type="http://schemas.openxmlformats.org/officeDocument/2006/relationships/hyperlink" Target="https://techcombank.com/thong-tin/blog/khau-hao" TargetMode="External"/><Relationship Id="rId2272" Type="http://schemas.openxmlformats.org/officeDocument/2006/relationships/hyperlink" Target="https://techcombank.com/thong-tin/blog/vay-mua-nha-o-xa-hoi" TargetMode="External"/><Relationship Id="rId351" Type="http://schemas.openxmlformats.org/officeDocument/2006/relationships/hyperlink" Target="https://techcombank.com/thong-tin/blog/nhung-chi-phi-khong-duoc-tru-khi-tinh-thue-tndn" TargetMode="External"/><Relationship Id="rId2273" Type="http://schemas.openxmlformats.org/officeDocument/2006/relationships/hyperlink" Target="https://techcombank.com/thong-tin/blog/dao-han-la-gi" TargetMode="External"/><Relationship Id="rId350" Type="http://schemas.openxmlformats.org/officeDocument/2006/relationships/hyperlink" Target="https://techcombank.com/thong-tin/blog/vi-sao-lai-suat-trai-phieu-tai-tcbs-lai-thap-hon-so-voi-cac-to-chuc-phat-hanh-khac" TargetMode="External"/><Relationship Id="rId2274" Type="http://schemas.openxmlformats.org/officeDocument/2006/relationships/hyperlink" Target="https://techcombank.com/thong-tin/blog/vay-mua-xe-tra-gop-ngan-hang-nao-tot-nhat" TargetMode="External"/><Relationship Id="rId2275" Type="http://schemas.openxmlformats.org/officeDocument/2006/relationships/hyperlink" Target="https://techcombank.com/thong-tin/blog/nen-mua-xe-tra-gop-hay-tra-thang" TargetMode="External"/><Relationship Id="rId356" Type="http://schemas.openxmlformats.org/officeDocument/2006/relationships/hyperlink" Target="https://techcombank.com/thong-tin/blog/khau-hao-la-gi" TargetMode="External"/><Relationship Id="rId2276" Type="http://schemas.openxmlformats.org/officeDocument/2006/relationships/hyperlink" Target="https://techcombank.com/thong-tin/blog/vay-tin-chap-la-gi" TargetMode="External"/><Relationship Id="rId355" Type="http://schemas.openxmlformats.org/officeDocument/2006/relationships/hyperlink" Target="https://techcombank.com/thong-tin/blog/chuan-bi-cho-doanh-nghiep-khoi-nghiep-truoc-nhung-thay-doi-ve-thue" TargetMode="External"/><Relationship Id="rId2277" Type="http://schemas.openxmlformats.org/officeDocument/2006/relationships/hyperlink" Target="https://techcombank.com/thong-tin/blog/vay-the-chap-kinh-doanh" TargetMode="External"/><Relationship Id="rId354" Type="http://schemas.openxmlformats.org/officeDocument/2006/relationships/hyperlink" Target="https://techcombank.com/thong-tin/blog/cach-doc-bao-cao-tai-chinh" TargetMode="External"/><Relationship Id="rId2278" Type="http://schemas.openxmlformats.org/officeDocument/2006/relationships/hyperlink" Target="https://techcombank.com/thong-tin/blog/the-ghi-no-va-the-tin-dung" TargetMode="External"/><Relationship Id="rId353" Type="http://schemas.openxmlformats.org/officeDocument/2006/relationships/hyperlink" Target="https://techcombank.com/thong-tin/blog/loi-nhuan-rong" TargetMode="External"/><Relationship Id="rId2279" Type="http://schemas.openxmlformats.org/officeDocument/2006/relationships/hyperlink" Target="https://techcombank.com/thong-tin/blog/lai-suat-vay-the-chap" TargetMode="External"/><Relationship Id="rId2225" Type="http://schemas.openxmlformats.org/officeDocument/2006/relationships/hyperlink" Target="https://techcombank.com/thong-tin/blog/thi-truong-trai-phieu-co-hoi-dau-tu-trai-phieu-vang-du-lai-suat-thap" TargetMode="External"/><Relationship Id="rId2226" Type="http://schemas.openxmlformats.org/officeDocument/2006/relationships/hyperlink" Target="https://techcombank.com/thong-tin/blog/techcombank-sinh-loi-tu-dong" TargetMode="External"/><Relationship Id="rId2227" Type="http://schemas.openxmlformats.org/officeDocument/2006/relationships/hyperlink" Target="https://techcombank.com/thong-tin/blog/lai-kep-ngan-hang" TargetMode="External"/><Relationship Id="rId2228" Type="http://schemas.openxmlformats.org/officeDocument/2006/relationships/hyperlink" Target="https://techcombank.com/thong-tin/blog/lai-suat-chung-chi-quy" TargetMode="External"/><Relationship Id="rId2229" Type="http://schemas.openxmlformats.org/officeDocument/2006/relationships/hyperlink" Target="https://techcombank.com/thong-tin/blog/mo-tai-khoan-tiet-kiem-cho-con" TargetMode="External"/><Relationship Id="rId305" Type="http://schemas.openxmlformats.org/officeDocument/2006/relationships/hyperlink" Target="https://techcombank.com/thong-tin/blog/quyet-toan-thue-doanh-nghiep" TargetMode="External"/><Relationship Id="rId304" Type="http://schemas.openxmlformats.org/officeDocument/2006/relationships/hyperlink" Target="https://techcombank.com/thong-tin/blog/tim-hieu-ve-chinh-sach-thue-moi" TargetMode="External"/><Relationship Id="rId303" Type="http://schemas.openxmlformats.org/officeDocument/2006/relationships/hyperlink" Target="https://techcombank.com/thong-tin/blog/chuan-bi-cho-doanh-nghiep-khoi-nghiep-truoc-nhung-thay-doi-ve-thue" TargetMode="External"/><Relationship Id="rId302" Type="http://schemas.openxmlformats.org/officeDocument/2006/relationships/hyperlink" Target="https://techcombank.com/thong-tin/blog/ho-so-dang-ky-thanh-lap-doanh-nghiep" TargetMode="External"/><Relationship Id="rId309" Type="http://schemas.openxmlformats.org/officeDocument/2006/relationships/hyperlink" Target="https://techcombank.com/thong-tin/blog/thu-tuc-thanh-lap-doanh-nghiep" TargetMode="External"/><Relationship Id="rId308" Type="http://schemas.openxmlformats.org/officeDocument/2006/relationships/hyperlink" Target="https://techcombank.com/thong-tin/blog/tra-cuu-no-thue-doanh-nghiep" TargetMode="External"/><Relationship Id="rId307" Type="http://schemas.openxmlformats.org/officeDocument/2006/relationships/hyperlink" Target="https://techcombank.com/thong-tin/blog/dang-ky-thanh-lap-doanh-nghiep-online" TargetMode="External"/><Relationship Id="rId306" Type="http://schemas.openxmlformats.org/officeDocument/2006/relationships/hyperlink" Target="https://techcombank.com/thong-tin/blog/ke-khai-thue-doanh-nghiep" TargetMode="External"/><Relationship Id="rId2220" Type="http://schemas.openxmlformats.org/officeDocument/2006/relationships/hyperlink" Target="https://techcombank.com/thong-tin/blog/ngan-hang-so" TargetMode="External"/><Relationship Id="rId301" Type="http://schemas.openxmlformats.org/officeDocument/2006/relationships/hyperlink" Target="https://techcombank.com/thong-tin/blog/chinh-sach-thue-moi" TargetMode="External"/><Relationship Id="rId2221" Type="http://schemas.openxmlformats.org/officeDocument/2006/relationships/hyperlink" Target="https://techcombank.com/thong-tin/blog/lap-ke-hoach-chi-tieu-ca-nhan" TargetMode="External"/><Relationship Id="rId300" Type="http://schemas.openxmlformats.org/officeDocument/2006/relationships/hyperlink" Target="https://techcombank.com/thong-tin/blog/kiem-tra-ma-so-thue-doanh-nghiep" TargetMode="External"/><Relationship Id="rId2222" Type="http://schemas.openxmlformats.org/officeDocument/2006/relationships/hyperlink" Target="https://techcombank.com/thong-tin/blog/ke-hoach-tai-chinh" TargetMode="External"/><Relationship Id="rId2223" Type="http://schemas.openxmlformats.org/officeDocument/2006/relationships/hyperlink" Target="https://techcombank.com/thong-tin/blog/tich-luy-tai-san" TargetMode="External"/><Relationship Id="rId2224" Type="http://schemas.openxmlformats.org/officeDocument/2006/relationships/hyperlink" Target="https://techcombank.com/thong-tin/blog/nghich-ly-nha-dau-tu-che-trai-phieu-lai-suat-cao-ua-ma-an-toan-du-lai-suat-thap-hon-05-1" TargetMode="External"/><Relationship Id="rId2214" Type="http://schemas.openxmlformats.org/officeDocument/2006/relationships/hyperlink" Target="https://techcombank.com/thong-tin/blog/app-gui-tien-tiet-kiem" TargetMode="External"/><Relationship Id="rId2215" Type="http://schemas.openxmlformats.org/officeDocument/2006/relationships/hyperlink" Target="https://techcombank.com/thong-tin/blog/bi-quyet-tiet-kiem-tien-mua-nha" TargetMode="External"/><Relationship Id="rId2216" Type="http://schemas.openxmlformats.org/officeDocument/2006/relationships/hyperlink" Target="https://techcombank.com/thong-tin/blog/tat-toan-so-tiet-kiem" TargetMode="External"/><Relationship Id="rId2217" Type="http://schemas.openxmlformats.org/officeDocument/2006/relationships/hyperlink" Target="https://techcombank.com/thong-tin/blog/tra-gop-shopee" TargetMode="External"/><Relationship Id="rId2218" Type="http://schemas.openxmlformats.org/officeDocument/2006/relationships/hyperlink" Target="https://techcombank.com/thong-tin/blog/vay-thau-chi-bang-so-tiet-kiem" TargetMode="External"/><Relationship Id="rId2219" Type="http://schemas.openxmlformats.org/officeDocument/2006/relationships/hyperlink" Target="https://techcombank.com/thong-tin/blog/chung-chi-tien-gui-la-gi" TargetMode="External"/><Relationship Id="rId2210" Type="http://schemas.openxmlformats.org/officeDocument/2006/relationships/hyperlink" Target="https://techcombank.com/thong-tin/blog/lai-suat-gui-tiet-kiem-usd" TargetMode="External"/><Relationship Id="rId2211" Type="http://schemas.openxmlformats.org/officeDocument/2006/relationships/hyperlink" Target="https://techcombank.com/thong-tin/blog/gui-tiet-kiem-usd" TargetMode="External"/><Relationship Id="rId2212" Type="http://schemas.openxmlformats.org/officeDocument/2006/relationships/hyperlink" Target="https://techcombank.com/thong-tin/blog/cach-tinh-ty-gia-ky-han" TargetMode="External"/><Relationship Id="rId2213" Type="http://schemas.openxmlformats.org/officeDocument/2006/relationships/hyperlink" Target="https://techcombank.com/thong-tin/blog/lai-suat-chung-chi-tien-gui-cac-ngan-hang" TargetMode="External"/><Relationship Id="rId2247" Type="http://schemas.openxmlformats.org/officeDocument/2006/relationships/hyperlink" Target="https://techcombank.com/thong-tin/blog/cong-thuc-tinh-lai-suat-thuc" TargetMode="External"/><Relationship Id="rId2248" Type="http://schemas.openxmlformats.org/officeDocument/2006/relationships/hyperlink" Target="https://techcombank.com/thong-tin/blog/nen-vay-tin-chap-o-dau" TargetMode="External"/><Relationship Id="rId2249" Type="http://schemas.openxmlformats.org/officeDocument/2006/relationships/hyperlink" Target="https://techcombank.com/thong-tin/blog/diem-tin-dung" TargetMode="External"/><Relationship Id="rId327" Type="http://schemas.openxmlformats.org/officeDocument/2006/relationships/hyperlink" Target="https://techcombank.com/thong-tin/blog/dong-tai-khoan-ngan-hang-cong-ty" TargetMode="External"/><Relationship Id="rId326" Type="http://schemas.openxmlformats.org/officeDocument/2006/relationships/hyperlink" Target="https://techcombank.com/thong-tin/blog/nop-tien-mat-vao-tai-khoan-cong-ty" TargetMode="External"/><Relationship Id="rId325" Type="http://schemas.openxmlformats.org/officeDocument/2006/relationships/hyperlink" Target="https://techcombank.com/thong-tin/blog/tra-luong-tien-mat" TargetMode="External"/><Relationship Id="rId324" Type="http://schemas.openxmlformats.org/officeDocument/2006/relationships/hyperlink" Target="https://techcombank.com/thong-tin/blog/tien-chuyen-vao-tai-khoan-co-bi-tinh-thue-khong" TargetMode="External"/><Relationship Id="rId329" Type="http://schemas.openxmlformats.org/officeDocument/2006/relationships/hyperlink" Target="https://techcombank.com/thong-tin/blog/rut-tien-mat-tu-tai-khoan-doanh-nghiep" TargetMode="External"/><Relationship Id="rId328" Type="http://schemas.openxmlformats.org/officeDocument/2006/relationships/hyperlink" Target="https://techcombank.com/thong-tin/blog/tai-khoan-doanh-nghiep-co-the-khong" TargetMode="External"/><Relationship Id="rId2240" Type="http://schemas.openxmlformats.org/officeDocument/2006/relationships/hyperlink" Target="https://techcombank.com/thong-tin/blog/vay-von-doanh-nghiep-nho" TargetMode="External"/><Relationship Id="rId2241" Type="http://schemas.openxmlformats.org/officeDocument/2006/relationships/hyperlink" Target="https://techcombank.com/thong-tin/blog/vay-mua-chung-cu" TargetMode="External"/><Relationship Id="rId2242" Type="http://schemas.openxmlformats.org/officeDocument/2006/relationships/hyperlink" Target="https://techcombank.com/thong-tin/blog/tra-gop-hoc-phi" TargetMode="External"/><Relationship Id="rId323" Type="http://schemas.openxmlformats.org/officeDocument/2006/relationships/hyperlink" Target="https://techcombank.com/thong-tin/blog/cach-su-dung-tai-khoan-cong-ty" TargetMode="External"/><Relationship Id="rId2243" Type="http://schemas.openxmlformats.org/officeDocument/2006/relationships/hyperlink" Target="https://techcombank.com/thong-tin/blog/vay-50-trieu" TargetMode="External"/><Relationship Id="rId322" Type="http://schemas.openxmlformats.org/officeDocument/2006/relationships/hyperlink" Target="https://techcombank.com/thong-tin/blog/luu-y-khi-chuyen-tien-vao-tai-khoan-cong-ty" TargetMode="External"/><Relationship Id="rId2244" Type="http://schemas.openxmlformats.org/officeDocument/2006/relationships/hyperlink" Target="https://techcombank.com/thong-tin/blog/chung-chi-tien-gui-co-an-toan-khong" TargetMode="External"/><Relationship Id="rId321" Type="http://schemas.openxmlformats.org/officeDocument/2006/relationships/hyperlink" Target="https://techcombank.com/thong-tin/blog/mo-tai-khoan-doanh-nghiep" TargetMode="External"/><Relationship Id="rId2245" Type="http://schemas.openxmlformats.org/officeDocument/2006/relationships/hyperlink" Target="https://techcombank.com/thong-tin/blog/vay-mua-dien-thoai" TargetMode="External"/><Relationship Id="rId320" Type="http://schemas.openxmlformats.org/officeDocument/2006/relationships/hyperlink" Target="https://techcombank.com/thong-tin/blog/kinh-nghiem-chuyen-doi-tu-ho-kinh-doanh-len-doanh-nghiep" TargetMode="External"/><Relationship Id="rId2246" Type="http://schemas.openxmlformats.org/officeDocument/2006/relationships/hyperlink" Target="https://techcombank.com/thong-tin/blog/tien-nhan-roi-nen-lam-gi" TargetMode="External"/><Relationship Id="rId2236" Type="http://schemas.openxmlformats.org/officeDocument/2006/relationships/hyperlink" Target="https://techcombank.com/thong-tin/blog/cach-dau-tu" TargetMode="External"/><Relationship Id="rId2237" Type="http://schemas.openxmlformats.org/officeDocument/2006/relationships/hyperlink" Target="https://techcombank.com/thong-tin/blog/vay-bo-sung-von-luu-dong" TargetMode="External"/><Relationship Id="rId2238" Type="http://schemas.openxmlformats.org/officeDocument/2006/relationships/hyperlink" Target="https://techcombank.com/thong-tin/blog/vay-ngan-han" TargetMode="External"/><Relationship Id="rId2239" Type="http://schemas.openxmlformats.org/officeDocument/2006/relationships/hyperlink" Target="https://techcombank.com/thong-tin/blog/cho-vay-kinh-doanh-ho-gia-dinh" TargetMode="External"/><Relationship Id="rId316" Type="http://schemas.openxmlformats.org/officeDocument/2006/relationships/hyperlink" Target="https://techcombank.com/thong-tin/blog/tra-cuu-no-thue-hai-quan" TargetMode="External"/><Relationship Id="rId315" Type="http://schemas.openxmlformats.org/officeDocument/2006/relationships/hyperlink" Target="https://techcombank.com/thong-tin/blog/ho-kinh-doanh-ca-the" TargetMode="External"/><Relationship Id="rId314" Type="http://schemas.openxmlformats.org/officeDocument/2006/relationships/hyperlink" Target="https://techcombank.com/thong-tin/blog/nhung-chi-phi-khong-duoc-tru-khi-tinh-thue-tndn" TargetMode="External"/><Relationship Id="rId313" Type="http://schemas.openxmlformats.org/officeDocument/2006/relationships/hyperlink" Target="https://techcombank.com/thong-tin/blog/thue-thu-nhap-doanh-nghiep" TargetMode="External"/><Relationship Id="rId319" Type="http://schemas.openxmlformats.org/officeDocument/2006/relationships/hyperlink" Target="https://techcombank.com/thong-tin/blog/doanh-nghiep-moi-thanh-lap-duoc-uu-dai-gi" TargetMode="External"/><Relationship Id="rId318" Type="http://schemas.openxmlformats.org/officeDocument/2006/relationships/hyperlink" Target="https://techcombank.com/thong-tin/blog/cong-ty-su-dung-tai-khoan-ca-nhan" TargetMode="External"/><Relationship Id="rId317" Type="http://schemas.openxmlformats.org/officeDocument/2006/relationships/hyperlink" Target="https://techcombank.com/thong-tin/blog/cac-sai-lam-pho-bien-khi-chuyen-doi-ho-kinh-doanh-len-sme" TargetMode="External"/><Relationship Id="rId2230" Type="http://schemas.openxmlformats.org/officeDocument/2006/relationships/hyperlink" Target="https://techcombank.com/thong-tin/blog/vay-100-trieu" TargetMode="External"/><Relationship Id="rId2231" Type="http://schemas.openxmlformats.org/officeDocument/2006/relationships/hyperlink" Target="https://techcombank.com/thong-tin/blog/quy-du-phong-tai-chinh-la-gi" TargetMode="External"/><Relationship Id="rId312" Type="http://schemas.openxmlformats.org/officeDocument/2006/relationships/hyperlink" Target="https://techcombank.com/thong-tin/blog/nen-thanh-lap-ho-kinh-doanh-ke-khai-hay-doanh-nghiep" TargetMode="External"/><Relationship Id="rId2232" Type="http://schemas.openxmlformats.org/officeDocument/2006/relationships/hyperlink" Target="https://techcombank.com/thong-tin/blog/loi-ich-cua-ngan-hang-so-voi-sme" TargetMode="External"/><Relationship Id="rId311" Type="http://schemas.openxmlformats.org/officeDocument/2006/relationships/hyperlink" Target="https://techcombank.com/thong-tin/blog/chuyen-doi-ho-kinh-doanh-len-doanh-nghiep" TargetMode="External"/><Relationship Id="rId2233" Type="http://schemas.openxmlformats.org/officeDocument/2006/relationships/hyperlink" Target="https://techcombank.com/thong-tin/blog/rut-tien-tiet-kiem-truoc-thoi-han" TargetMode="External"/><Relationship Id="rId310" Type="http://schemas.openxmlformats.org/officeDocument/2006/relationships/hyperlink" Target="https://techcombank.com/thong-tin/blog/cach-nop-thue-dien-tu" TargetMode="External"/><Relationship Id="rId2234" Type="http://schemas.openxmlformats.org/officeDocument/2006/relationships/hyperlink" Target="https://techcombank.com/thong-tin/blog/lai-suat-la-gi" TargetMode="External"/><Relationship Id="rId2235" Type="http://schemas.openxmlformats.org/officeDocument/2006/relationships/hyperlink" Target="https://techcombank.com/thong-tin/blog/vi-sao-lai-suat-trai-phieu-tai-tcbs-lai-thap-hon-so-voi-cac-to-chuc-phat-hanh-khac" TargetMode="External"/><Relationship Id="rId297" Type="http://schemas.openxmlformats.org/officeDocument/2006/relationships/hyperlink" Target="https://techcombank.com/thong-tin/blog/hoan-thue-doanh-nghiep" TargetMode="External"/><Relationship Id="rId296" Type="http://schemas.openxmlformats.org/officeDocument/2006/relationships/hyperlink" Target="https://techcombank.com/thong-tin/blog/huong-dan-dang-ky-thanh-lap-doanh-nghiep" TargetMode="External"/><Relationship Id="rId295" Type="http://schemas.openxmlformats.org/officeDocument/2006/relationships/hyperlink" Target="https://techcombank.com/thong-tin/blog/dieu-kien-thanh-lap-doanh-nghiep" TargetMode="External"/><Relationship Id="rId294" Type="http://schemas.openxmlformats.org/officeDocument/2006/relationships/hyperlink" Target="https://techcombank.com/thong-tin/blog/thue-doanh-nghiep-2025" TargetMode="External"/><Relationship Id="rId299" Type="http://schemas.openxmlformats.org/officeDocument/2006/relationships/hyperlink" Target="https://techcombank.com/thong-tin/blog/cach-tinh-thue-thu-nhap-doanh-nghiep" TargetMode="External"/><Relationship Id="rId298" Type="http://schemas.openxmlformats.org/officeDocument/2006/relationships/hyperlink" Target="https://techcombank.com/thong-tin/blog/dang-ky-thanh-lap-doanh-nghiep" TargetMode="External"/><Relationship Id="rId271" Type="http://schemas.openxmlformats.org/officeDocument/2006/relationships/hyperlink" Target="https://techcombank.com/thong-tin/blog/tra-cuu-ma-so-thue-ho-kinh-doanh" TargetMode="External"/><Relationship Id="rId270" Type="http://schemas.openxmlformats.org/officeDocument/2006/relationships/hyperlink" Target="https://techcombank.com/thong-tin/blog/thue-doanh-nghiep" TargetMode="External"/><Relationship Id="rId269" Type="http://schemas.openxmlformats.org/officeDocument/2006/relationships/hyperlink" Target="https://techcombank.com/thong-tin/blog/tra-cuu-no-thue-ca-nhan" TargetMode="External"/><Relationship Id="rId264" Type="http://schemas.openxmlformats.org/officeDocument/2006/relationships/hyperlink" Target="https://techcombank.com/thong-tin/blog/ke-khai-thue-doanh-nghiep" TargetMode="External"/><Relationship Id="rId263" Type="http://schemas.openxmlformats.org/officeDocument/2006/relationships/hyperlink" Target="https://techcombank.com/thong-tin/blog/quyet-toan-thue-doanh-nghiep" TargetMode="External"/><Relationship Id="rId262" Type="http://schemas.openxmlformats.org/officeDocument/2006/relationships/hyperlink" Target="https://techcombank.com/thong-tin/blog/tra-cuu-no-thue-hai-quan" TargetMode="External"/><Relationship Id="rId261" Type="http://schemas.openxmlformats.org/officeDocument/2006/relationships/hyperlink" Target="https://techcombank.com/thong-tin/blog/kiem-tra-ma-so-thue-doanh-nghiep" TargetMode="External"/><Relationship Id="rId268" Type="http://schemas.openxmlformats.org/officeDocument/2006/relationships/hyperlink" Target="https://techcombank.com/thong-tin/blog/giai-dap-ve-thue-doanh-nghiep" TargetMode="External"/><Relationship Id="rId267" Type="http://schemas.openxmlformats.org/officeDocument/2006/relationships/hyperlink" Target="https://techcombank.com/thong-tin/blog/cach-tinh-thue-thu-nhap-doanh-nghiep" TargetMode="External"/><Relationship Id="rId266" Type="http://schemas.openxmlformats.org/officeDocument/2006/relationships/hyperlink" Target="https://techcombank.com/thong-tin/blog/hoan-thue-doanh-nghiep" TargetMode="External"/><Relationship Id="rId265" Type="http://schemas.openxmlformats.org/officeDocument/2006/relationships/hyperlink" Target="https://techcombank.com/thong-tin/blog/tra-cuu-no-thue-ho-kinh-doanh" TargetMode="External"/><Relationship Id="rId260" Type="http://schemas.openxmlformats.org/officeDocument/2006/relationships/hyperlink" Target="https://techcombank.com/thong-tin/blog/nen-thanh-lap-ho-kinh-doanh-ke-khai-hay-doanh-nghiep" TargetMode="External"/><Relationship Id="rId259" Type="http://schemas.openxmlformats.org/officeDocument/2006/relationships/hyperlink" Target="https://techcombank.com/thong-tin/blog/giai-dap-ve-thue-doanh-nghiep" TargetMode="External"/><Relationship Id="rId258" Type="http://schemas.openxmlformats.org/officeDocument/2006/relationships/hyperlink" Target="https://techcombank.com/thong-tin/blog/chuyen-doi-ho-kinh-doanh-len-doanh-nghiep" TargetMode="External"/><Relationship Id="rId2290" Type="http://schemas.openxmlformats.org/officeDocument/2006/relationships/hyperlink" Target="https://techcombank.com/thong-tin/blog/ngan-hang-dien-tu" TargetMode="External"/><Relationship Id="rId2291" Type="http://schemas.openxmlformats.org/officeDocument/2006/relationships/hyperlink" Target="https://techcombank.com/thong-tin/blog/nhung-kho-khan-khi-tiet-kiem-tien" TargetMode="External"/><Relationship Id="rId2292" Type="http://schemas.openxmlformats.org/officeDocument/2006/relationships/hyperlink" Target="https://techcombank.com/thong-tin/blog/loi-ich-cua-mua-sam-online" TargetMode="External"/><Relationship Id="rId2293" Type="http://schemas.openxmlformats.org/officeDocument/2006/relationships/hyperlink" Target="https://techcombank.com/thong-tin/blog/voucher-coopmart" TargetMode="External"/><Relationship Id="rId253" Type="http://schemas.openxmlformats.org/officeDocument/2006/relationships/hyperlink" Target="https://techcombank.com/thong-tin/blog/app-chia-tien" TargetMode="External"/><Relationship Id="rId2294" Type="http://schemas.openxmlformats.org/officeDocument/2006/relationships/hyperlink" Target="https://techcombank.com/thong-tin/blog/dau-tu-tai-chinh-ca-nhan" TargetMode="External"/><Relationship Id="rId252" Type="http://schemas.openxmlformats.org/officeDocument/2006/relationships/hyperlink" Target="https://techcombank.com/thong-tin/blog/cach-huy-thanh-toan-tien-dien" TargetMode="External"/><Relationship Id="rId2295" Type="http://schemas.openxmlformats.org/officeDocument/2006/relationships/hyperlink" Target="https://techcombank.com/thong-tin/blog/dang-ky-thanh-lap-doanh-nghiep" TargetMode="External"/><Relationship Id="rId251" Type="http://schemas.openxmlformats.org/officeDocument/2006/relationships/hyperlink" Target="https://techcombank.com/thong-tin/blog/thanh-toan-hoa-don-tieu-dung" TargetMode="External"/><Relationship Id="rId2296" Type="http://schemas.openxmlformats.org/officeDocument/2006/relationships/hyperlink" Target="https://techcombank.com/thong-tin/blog/quan-ly-chuoi-cua-hang" TargetMode="External"/><Relationship Id="rId250" Type="http://schemas.openxmlformats.org/officeDocument/2006/relationships/hyperlink" Target="https://techcombank.com/thong-tin/blog/tra-cuu-hoa-don-tien-dien" TargetMode="External"/><Relationship Id="rId2297" Type="http://schemas.openxmlformats.org/officeDocument/2006/relationships/hyperlink" Target="https://techcombank.com/thong-tin/blog/woomaster" TargetMode="External"/><Relationship Id="rId257" Type="http://schemas.openxmlformats.org/officeDocument/2006/relationships/hyperlink" Target="https://techcombank.com/thong-tin/blog/quyet-toan-thue-thu-nhap-ca-nhan" TargetMode="External"/><Relationship Id="rId2298" Type="http://schemas.openxmlformats.org/officeDocument/2006/relationships/hyperlink" Target="https://techcombank.com/thong-tin/blog/nap-xu-tiktok" TargetMode="External"/><Relationship Id="rId256" Type="http://schemas.openxmlformats.org/officeDocument/2006/relationships/hyperlink" Target="https://techcombank.com/thong-tin/blog/tra-cuu-no-thue-doanh-nghiep" TargetMode="External"/><Relationship Id="rId2299" Type="http://schemas.openxmlformats.org/officeDocument/2006/relationships/hyperlink" Target="https://techcombank.com/thong-tin/blog/cach-tiet-kiem-tien-theo-tuan" TargetMode="External"/><Relationship Id="rId255" Type="http://schemas.openxmlformats.org/officeDocument/2006/relationships/hyperlink" Target="https://techcombank.com/thong-tin/blog/ke-khai-thue-ho-kinh-doanh-ca-the-online" TargetMode="External"/><Relationship Id="rId254" Type="http://schemas.openxmlformats.org/officeDocument/2006/relationships/hyperlink" Target="https://techcombank.com/thong-tin/blog/cach-nop-thue-dien-tu" TargetMode="External"/><Relationship Id="rId293" Type="http://schemas.openxmlformats.org/officeDocument/2006/relationships/hyperlink" Target="https://techcombank.com/thong-tin/blog/thue-phi-co-dinh-khi-chuyen-doi-tu-ho-kinh-doanh-len-doanh-nghiep" TargetMode="External"/><Relationship Id="rId292" Type="http://schemas.openxmlformats.org/officeDocument/2006/relationships/hyperlink" Target="https://techcombank.com/thong-tin/blog/hieu-hiet-ve-tuan-thu-thue-cho-cac-doanh-nghiep-khoi-nghiep" TargetMode="External"/><Relationship Id="rId291" Type="http://schemas.openxmlformats.org/officeDocument/2006/relationships/hyperlink" Target="https://techcombank.com/thong-tin/blog/giai-dap-ve-thue-doanh-nghiep" TargetMode="External"/><Relationship Id="rId290" Type="http://schemas.openxmlformats.org/officeDocument/2006/relationships/hyperlink" Target="https://techcombank.com/thong-tin/blog/bang-gia-chung-chi-quy" TargetMode="External"/><Relationship Id="rId286" Type="http://schemas.openxmlformats.org/officeDocument/2006/relationships/hyperlink" Target="https://techcombank.com/thong-tin/blog/ke-khai-thue-ho-kinh-doanh-ca-the-online" TargetMode="External"/><Relationship Id="rId285" Type="http://schemas.openxmlformats.org/officeDocument/2006/relationships/hyperlink" Target="https://techcombank.com/thong-tin/blog/thue-thuong-mai-dien-tu" TargetMode="External"/><Relationship Id="rId284" Type="http://schemas.openxmlformats.org/officeDocument/2006/relationships/hyperlink" Target="https://techcombank.com/thong-tin/blog/tra-cuu-hoa-don-tien-dien" TargetMode="External"/><Relationship Id="rId283" Type="http://schemas.openxmlformats.org/officeDocument/2006/relationships/hyperlink" Target="https://techcombank.com/thong-tin/blog/cach-dang-ky-ma-so-thue-ho-kinh-doanh-online" TargetMode="External"/><Relationship Id="rId289" Type="http://schemas.openxmlformats.org/officeDocument/2006/relationships/hyperlink" Target="https://techcombank.com/thong-tin/blog/gio-lam-viec-techcombank" TargetMode="External"/><Relationship Id="rId288" Type="http://schemas.openxmlformats.org/officeDocument/2006/relationships/hyperlink" Target="https://techcombank.com/thong-tin/blog/nen-thanh-lap-ho-kinh-doanh-ke-khai-hay-doanh-nghiep" TargetMode="External"/><Relationship Id="rId287" Type="http://schemas.openxmlformats.org/officeDocument/2006/relationships/hyperlink" Target="https://techcombank.com/thong-tin/blog/chuyen-doi-ho-kinh-doanh-len-doanh-nghiep" TargetMode="External"/><Relationship Id="rId282" Type="http://schemas.openxmlformats.org/officeDocument/2006/relationships/hyperlink" Target="https://techcombank.com/thong-tin/blog/cach-kiem-tra-tai-khoan-ngan-hang-cua-cong-ty" TargetMode="External"/><Relationship Id="rId281" Type="http://schemas.openxmlformats.org/officeDocument/2006/relationships/hyperlink" Target="https://techcombank.com/thong-tin/blog/cach-nop-thue-dien-tu" TargetMode="External"/><Relationship Id="rId280" Type="http://schemas.openxmlformats.org/officeDocument/2006/relationships/hyperlink" Target="https://techcombank.com/thong-tin/blog/kiem-tra-thue-thu-nhap-ca-nhan" TargetMode="External"/><Relationship Id="rId275" Type="http://schemas.openxmlformats.org/officeDocument/2006/relationships/hyperlink" Target="https://techcombank.com/thong-tin/blog/tim-hieu-ve-chinh-sach-thue-moi" TargetMode="External"/><Relationship Id="rId274" Type="http://schemas.openxmlformats.org/officeDocument/2006/relationships/hyperlink" Target="https://techcombank.com/thong-tin/blog/kiem-tra-thue-ho-kinh-doanh" TargetMode="External"/><Relationship Id="rId273" Type="http://schemas.openxmlformats.org/officeDocument/2006/relationships/hyperlink" Target="https://techcombank.com/thong-tin/blog/quyet-toan-thue-thu-nhap-ca-nhan" TargetMode="External"/><Relationship Id="rId272" Type="http://schemas.openxmlformats.org/officeDocument/2006/relationships/hyperlink" Target="https://techcombank.com/thong-tin/blog/dang-ky-ma-so-thue-ca-nhan" TargetMode="External"/><Relationship Id="rId279" Type="http://schemas.openxmlformats.org/officeDocument/2006/relationships/hyperlink" Target="https://techcombank.com/thong-tin/blog/cach-tra-cuu-hoa-don-dien-tu" TargetMode="External"/><Relationship Id="rId278" Type="http://schemas.openxmlformats.org/officeDocument/2006/relationships/hyperlink" Target="https://techcombank.com/thong-tin/blog/nop-thue-hai-quan" TargetMode="External"/><Relationship Id="rId277" Type="http://schemas.openxmlformats.org/officeDocument/2006/relationships/hyperlink" Target="https://techcombank.com/thong-tin/blog/dong-ma-so-thue-ho-kinh-doanh" TargetMode="External"/><Relationship Id="rId276" Type="http://schemas.openxmlformats.org/officeDocument/2006/relationships/hyperlink" Target="https://techcombank.com/thong-tin/blog/hoan-thue-thu-nhap-ca-nhan" TargetMode="External"/><Relationship Id="rId1851" Type="http://schemas.openxmlformats.org/officeDocument/2006/relationships/hyperlink" Target="https://techcombank.com/thong-tin/blog/vay-mua-xe-tra-gop-ngan-hang-nao-tot-nhat" TargetMode="External"/><Relationship Id="rId1852" Type="http://schemas.openxmlformats.org/officeDocument/2006/relationships/hyperlink" Target="https://techcombank.com/thong-tin/blog/chuyen-gia-du-doan-gia-bat-dong-san-2025-va-cac-no-luc-tu-ngan-hang" TargetMode="External"/><Relationship Id="rId1853" Type="http://schemas.openxmlformats.org/officeDocument/2006/relationships/hyperlink" Target="https://techcombank.com/thong-tin/blog/vay-mua-nha-tra-gop" TargetMode="External"/><Relationship Id="rId1854" Type="http://schemas.openxmlformats.org/officeDocument/2006/relationships/hyperlink" Target="https://techcombank.com/thong-tin/blog/quy-trinh-tat-toan-khoan-vay-the-chap" TargetMode="External"/><Relationship Id="rId1855" Type="http://schemas.openxmlformats.org/officeDocument/2006/relationships/hyperlink" Target="https://techcombank.com/thong-tin/blog/vay-the-chap-xe-o-to-cu" TargetMode="External"/><Relationship Id="rId1856" Type="http://schemas.openxmlformats.org/officeDocument/2006/relationships/hyperlink" Target="https://techcombank.com/thong-tin/blog/vay-40-trieu" TargetMode="External"/><Relationship Id="rId1857" Type="http://schemas.openxmlformats.org/officeDocument/2006/relationships/hyperlink" Target="https://techcombank.com/thong-tin/blog/vay-the-chap-qua-luong" TargetMode="External"/><Relationship Id="rId1858" Type="http://schemas.openxmlformats.org/officeDocument/2006/relationships/hyperlink" Target="https://techcombank.com/thong-tin/blog/thu-tuc-mua-xe-tra-gop" TargetMode="External"/><Relationship Id="rId1859" Type="http://schemas.openxmlformats.org/officeDocument/2006/relationships/hyperlink" Target="https://techcombank.com/thong-tin/blog/vay-100-trieu" TargetMode="External"/><Relationship Id="rId1850" Type="http://schemas.openxmlformats.org/officeDocument/2006/relationships/hyperlink" Target="https://techcombank.com/thong-tin/blog/kinh-nghiem-vay-the-chap-ngan-hang" TargetMode="External"/><Relationship Id="rId1840" Type="http://schemas.openxmlformats.org/officeDocument/2006/relationships/hyperlink" Target="https://techcombank.com/thong-tin/blog/vay-the-chap-khong-tra-duoc" TargetMode="External"/><Relationship Id="rId1841" Type="http://schemas.openxmlformats.org/officeDocument/2006/relationships/hyperlink" Target="https://techcombank.com/thong-tin/blog/vay-the-chap-so-bao-hiem-xa-hoi" TargetMode="External"/><Relationship Id="rId1842" Type="http://schemas.openxmlformats.org/officeDocument/2006/relationships/hyperlink" Target="https://techcombank.com/thong-tin/blog/vay-300-trieu" TargetMode="External"/><Relationship Id="rId1843" Type="http://schemas.openxmlformats.org/officeDocument/2006/relationships/hyperlink" Target="https://techcombank.com/thong-tin/blog/thanh-toan-phi-quan-ly-chung-cu" TargetMode="External"/><Relationship Id="rId1844" Type="http://schemas.openxmlformats.org/officeDocument/2006/relationships/hyperlink" Target="https://techcombank.com/thong-tin/blog/nen-vay-the-chap-ngan-hang-nao" TargetMode="External"/><Relationship Id="rId1845" Type="http://schemas.openxmlformats.org/officeDocument/2006/relationships/hyperlink" Target="https://techcombank.com/thong-tin/blog/mua-truoc-tra-sau" TargetMode="External"/><Relationship Id="rId1846" Type="http://schemas.openxmlformats.org/officeDocument/2006/relationships/hyperlink" Target="https://techcombank.com/thong-tin/blog/vay-the-chap-la-gi" TargetMode="External"/><Relationship Id="rId1847" Type="http://schemas.openxmlformats.org/officeDocument/2006/relationships/hyperlink" Target="https://techcombank.com/thong-tin/blog/the-visa-de-lam-gi" TargetMode="External"/><Relationship Id="rId1848" Type="http://schemas.openxmlformats.org/officeDocument/2006/relationships/hyperlink" Target="https://techcombank.com/thong-tin/blog/rui-ro-khi-vay-the-chap-ngan-hang" TargetMode="External"/><Relationship Id="rId1849" Type="http://schemas.openxmlformats.org/officeDocument/2006/relationships/hyperlink" Target="https://techcombank.com/thong-tin/blog/vay-tin-chap-va-vay-the-chap" TargetMode="External"/><Relationship Id="rId1873" Type="http://schemas.openxmlformats.org/officeDocument/2006/relationships/hyperlink" Target="https://techcombank.com/thong-tin/blog/ma-giam-gia-shopee" TargetMode="External"/><Relationship Id="rId1874" Type="http://schemas.openxmlformats.org/officeDocument/2006/relationships/hyperlink" Target="https://techcombank.com/thong-tin/blog/voucher-starbucks" TargetMode="External"/><Relationship Id="rId1875" Type="http://schemas.openxmlformats.org/officeDocument/2006/relationships/hyperlink" Target="https://techcombank.com/thong-tin/blog/voucher-cgv" TargetMode="External"/><Relationship Id="rId1876" Type="http://schemas.openxmlformats.org/officeDocument/2006/relationships/hyperlink" Target="https://techcombank.com/thong-tin/blog/cua-hang-tien-loi" TargetMode="External"/><Relationship Id="rId1877" Type="http://schemas.openxmlformats.org/officeDocument/2006/relationships/hyperlink" Target="https://techcombank.com/thong-tin/blog/voucher-highland" TargetMode="External"/><Relationship Id="rId1878" Type="http://schemas.openxmlformats.org/officeDocument/2006/relationships/hyperlink" Target="https://techcombank.com/thong-tin/blog/ma-giam-xanh-sm" TargetMode="External"/><Relationship Id="rId1879" Type="http://schemas.openxmlformats.org/officeDocument/2006/relationships/hyperlink" Target="https://techcombank.com/thong-tin/blog/voucher-kfc" TargetMode="External"/><Relationship Id="rId1870" Type="http://schemas.openxmlformats.org/officeDocument/2006/relationships/hyperlink" Target="https://techcombank.com/thong-tin/blog/yakimono" TargetMode="External"/><Relationship Id="rId1871" Type="http://schemas.openxmlformats.org/officeDocument/2006/relationships/hyperlink" Target="https://techcombank.com/thong-tin/blog/chixmax" TargetMode="External"/><Relationship Id="rId1872" Type="http://schemas.openxmlformats.org/officeDocument/2006/relationships/hyperlink" Target="https://techcombank.com/thong-tin/blog/kichi-kichi" TargetMode="External"/><Relationship Id="rId1862" Type="http://schemas.openxmlformats.org/officeDocument/2006/relationships/hyperlink" Target="https://techcombank.com/thong-tin/blog/mua-ve-may-bay-gia-re" TargetMode="External"/><Relationship Id="rId1863" Type="http://schemas.openxmlformats.org/officeDocument/2006/relationships/hyperlink" Target="https://techcombank.com/thong-tin/blog/techcombank-oneu" TargetMode="External"/><Relationship Id="rId1864" Type="http://schemas.openxmlformats.org/officeDocument/2006/relationships/hyperlink" Target="https://techcombank.com/thong-tin/blog/tich-diem-doi-qua" TargetMode="External"/><Relationship Id="rId1865" Type="http://schemas.openxmlformats.org/officeDocument/2006/relationships/hyperlink" Target="https://techcombank.com/thong-tin/blog/tiet-kiem-khi-di-du-lich" TargetMode="External"/><Relationship Id="rId1866" Type="http://schemas.openxmlformats.org/officeDocument/2006/relationships/hyperlink" Target="https://techcombank.com/thong-tin/blog/giam-gia-be" TargetMode="External"/><Relationship Id="rId1867" Type="http://schemas.openxmlformats.org/officeDocument/2006/relationships/hyperlink" Target="https://techcombank.com/thong-tin/blog/4p-pizza" TargetMode="External"/><Relationship Id="rId1868" Type="http://schemas.openxmlformats.org/officeDocument/2006/relationships/hyperlink" Target="https://techcombank.com/thong-tin/blog/doi-dam-bay" TargetMode="External"/><Relationship Id="rId1869" Type="http://schemas.openxmlformats.org/officeDocument/2006/relationships/hyperlink" Target="https://techcombank.com/thong-tin/blog/voucher-the-coffee-house" TargetMode="External"/><Relationship Id="rId1860" Type="http://schemas.openxmlformats.org/officeDocument/2006/relationships/hyperlink" Target="https://techcombank.com/thong-tin/blog/tra-gop-shopee" TargetMode="External"/><Relationship Id="rId1861" Type="http://schemas.openxmlformats.org/officeDocument/2006/relationships/hyperlink" Target="https://techcombank.com/thong-tin/blog/dat-ve-may-bay" TargetMode="External"/><Relationship Id="rId1810" Type="http://schemas.openxmlformats.org/officeDocument/2006/relationships/hyperlink" Target="https://techcombank.com/thong-tin/blog/lai-suat-gui-tiet-kiem-usd" TargetMode="External"/><Relationship Id="rId1811" Type="http://schemas.openxmlformats.org/officeDocument/2006/relationships/hyperlink" Target="https://techcombank.com/thong-tin/blog/gui-tiet-kiem-usd" TargetMode="External"/><Relationship Id="rId1812" Type="http://schemas.openxmlformats.org/officeDocument/2006/relationships/hyperlink" Target="https://techcombank.com/thong-tin/blog/gui-tien-sang-nuoc-ngoai" TargetMode="External"/><Relationship Id="rId1813" Type="http://schemas.openxmlformats.org/officeDocument/2006/relationships/hyperlink" Target="https://techcombank.com/thong-tin/blog/quy-dinh-ve-mua-ban-ngoai-te-cua-doanh-nghiep" TargetMode="External"/><Relationship Id="rId1814" Type="http://schemas.openxmlformats.org/officeDocument/2006/relationships/hyperlink" Target="https://techcombank.com/thong-tin/blog/gia-ca-phe-hom-nay" TargetMode="External"/><Relationship Id="rId1815" Type="http://schemas.openxmlformats.org/officeDocument/2006/relationships/hyperlink" Target="https://techcombank.com/thong-tin/blog/chuyen-tien-tu-duc-ve-viet-nam" TargetMode="External"/><Relationship Id="rId1816" Type="http://schemas.openxmlformats.org/officeDocument/2006/relationships/hyperlink" Target="https://techcombank.com/thong-tin/blog/gui-tien-du-hoc" TargetMode="External"/><Relationship Id="rId1817" Type="http://schemas.openxmlformats.org/officeDocument/2006/relationships/hyperlink" Target="https://techcombank.com/thong-tin/blog/ngoai-hoi-la-gi" TargetMode="External"/><Relationship Id="rId1818" Type="http://schemas.openxmlformats.org/officeDocument/2006/relationships/hyperlink" Target="https://techcombank.com/thong-tin/blog/dinar-kuwait" TargetMode="External"/><Relationship Id="rId1819" Type="http://schemas.openxmlformats.org/officeDocument/2006/relationships/hyperlink" Target="https://techcombank.com/thong-tin/blog/phi-chuyen-doi-ngoai-te" TargetMode="External"/><Relationship Id="rId1800" Type="http://schemas.openxmlformats.org/officeDocument/2006/relationships/hyperlink" Target="https://techcombank.com/thong-tin/blog/gui-tien-du-hoc" TargetMode="External"/><Relationship Id="rId1801" Type="http://schemas.openxmlformats.org/officeDocument/2006/relationships/hyperlink" Target="https://techcombank.com/thong-tin/blog/dieu-kien-mua-usd-tu-ngan-hang" TargetMode="External"/><Relationship Id="rId1802" Type="http://schemas.openxmlformats.org/officeDocument/2006/relationships/hyperlink" Target="https://techcombank.com/thong-tin/blog/han-muc-mua-ngoai-te-khi-di-du-lich" TargetMode="External"/><Relationship Id="rId1803" Type="http://schemas.openxmlformats.org/officeDocument/2006/relationships/hyperlink" Target="https://techcombank.com/thong-tin/blog/ty-gia-cac-ngan-hang" TargetMode="External"/><Relationship Id="rId1804" Type="http://schemas.openxmlformats.org/officeDocument/2006/relationships/hyperlink" Target="https://techcombank.com/thong-tin/blog/di-du-lich-nuoc-ngoai-can-chuan-bi-gi" TargetMode="External"/><Relationship Id="rId1805" Type="http://schemas.openxmlformats.org/officeDocument/2006/relationships/hyperlink" Target="https://techcombank.com/thong-tin/blog/1-trieu-do-bang-bao-nhieu-tien-viet" TargetMode="External"/><Relationship Id="rId1806" Type="http://schemas.openxmlformats.org/officeDocument/2006/relationships/hyperlink" Target="https://techcombank.com/thong-tin/blog/gui-tiet-kiem-ngoai-te" TargetMode="External"/><Relationship Id="rId1807" Type="http://schemas.openxmlformats.org/officeDocument/2006/relationships/hyperlink" Target="https://techcombank.com/thong-tin/blog/chuyen-tien-dinh-cu" TargetMode="External"/><Relationship Id="rId1808" Type="http://schemas.openxmlformats.org/officeDocument/2006/relationships/hyperlink" Target="https://techcombank.com/thong-tin/blog/ngoai-te-la-gi" TargetMode="External"/><Relationship Id="rId1809" Type="http://schemas.openxmlformats.org/officeDocument/2006/relationships/hyperlink" Target="https://techcombank.com/thong-tin/blog/tai-khoan-ngan-hang-la-gi" TargetMode="External"/><Relationship Id="rId1830" Type="http://schemas.openxmlformats.org/officeDocument/2006/relationships/hyperlink" Target="https://techcombank.com/thong-tin/blog/tien-dai-loan" TargetMode="External"/><Relationship Id="rId1831" Type="http://schemas.openxmlformats.org/officeDocument/2006/relationships/hyperlink" Target="https://techcombank.com/thong-tin/blog/co-nen-vay-ngan-hang-mua-nha" TargetMode="External"/><Relationship Id="rId1832" Type="http://schemas.openxmlformats.org/officeDocument/2006/relationships/hyperlink" Target="https://techcombank.com/thong-tin/blog/thu-tuc-vay-ngan-hang-mua-nha" TargetMode="External"/><Relationship Id="rId1833" Type="http://schemas.openxmlformats.org/officeDocument/2006/relationships/hyperlink" Target="https://techcombank.com/thong-tin/blog/kinh-nghiem-vay-tien-mua-nha" TargetMode="External"/><Relationship Id="rId1834" Type="http://schemas.openxmlformats.org/officeDocument/2006/relationships/hyperlink" Target="https://techcombank.com/thong-tin/blog/vay-mua-chung-cu" TargetMode="External"/><Relationship Id="rId1835" Type="http://schemas.openxmlformats.org/officeDocument/2006/relationships/hyperlink" Target="https://techcombank.com/thong-tin/blog/lai-suat-vay-the-chap" TargetMode="External"/><Relationship Id="rId1836" Type="http://schemas.openxmlformats.org/officeDocument/2006/relationships/hyperlink" Target="https://techcombank.com/thong-tin/blog/thu-tuc-vay-von-kinh-doanh-nho" TargetMode="External"/><Relationship Id="rId1837" Type="http://schemas.openxmlformats.org/officeDocument/2006/relationships/hyperlink" Target="https://techcombank.com/thong-tin/blog/cac-hinh-thuc-vay-von-ngan-hang" TargetMode="External"/><Relationship Id="rId1838" Type="http://schemas.openxmlformats.org/officeDocument/2006/relationships/hyperlink" Target="https://techcombank.com/thong-tin/blog/vay-the-chap-kinh-doanh" TargetMode="External"/><Relationship Id="rId1839" Type="http://schemas.openxmlformats.org/officeDocument/2006/relationships/hyperlink" Target="https://techcombank.com/thong-tin/blog/co-nen-mua-o-to-tra-gop" TargetMode="External"/><Relationship Id="rId1820" Type="http://schemas.openxmlformats.org/officeDocument/2006/relationships/hyperlink" Target="https://techcombank.com/thong-tin/blog/chuyen-tien-tu-han-sang-viet-nam" TargetMode="External"/><Relationship Id="rId1821" Type="http://schemas.openxmlformats.org/officeDocument/2006/relationships/hyperlink" Target="https://techcombank.com/thong-tin/blog/chuyen-tien-tu-nhat-ve-viet-nam" TargetMode="External"/><Relationship Id="rId1822" Type="http://schemas.openxmlformats.org/officeDocument/2006/relationships/hyperlink" Target="https://techcombank.com/thong-tin/blog/tien-singapore" TargetMode="External"/><Relationship Id="rId1823" Type="http://schemas.openxmlformats.org/officeDocument/2006/relationships/hyperlink" Target="https://techcombank.com/thong-tin/blog/tien-thai-lan" TargetMode="External"/><Relationship Id="rId1824" Type="http://schemas.openxmlformats.org/officeDocument/2006/relationships/hyperlink" Target="https://techcombank.com/thong-tin/blog/tien-nhat" TargetMode="External"/><Relationship Id="rId1825" Type="http://schemas.openxmlformats.org/officeDocument/2006/relationships/hyperlink" Target="https://techcombank.com/thong-tin/blog/1-man-bang-bao-nhieu-tien-viet" TargetMode="External"/><Relationship Id="rId1826" Type="http://schemas.openxmlformats.org/officeDocument/2006/relationships/hyperlink" Target="https://techcombank.com/thong-tin/blog/chuyen-tien-di-uc" TargetMode="External"/><Relationship Id="rId1827" Type="http://schemas.openxmlformats.org/officeDocument/2006/relationships/hyperlink" Target="https://techcombank.com/thong-tin/blog/tien-lao" TargetMode="External"/><Relationship Id="rId1828" Type="http://schemas.openxmlformats.org/officeDocument/2006/relationships/hyperlink" Target="https://techcombank.com/thong-tin/blog/chuyen-tien-tu-my-ve-viet-nam" TargetMode="External"/><Relationship Id="rId1829" Type="http://schemas.openxmlformats.org/officeDocument/2006/relationships/hyperlink" Target="https://techcombank.com/thong-tin/blog/1000-won-bang-bao-nhieu-tien-viet" TargetMode="External"/><Relationship Id="rId2302" Type="http://schemas.openxmlformats.org/officeDocument/2006/relationships/hyperlink" Target="https://techcombank.com/thong-tin/blog/tiet-kiem-tien-moi-ngay" TargetMode="External"/><Relationship Id="rId2303" Type="http://schemas.openxmlformats.org/officeDocument/2006/relationships/hyperlink" Target="https://techcombank.com/thong-tin/blog/cach-tiet-kiem-100-trieu-1-nam" TargetMode="External"/><Relationship Id="rId2304" Type="http://schemas.openxmlformats.org/officeDocument/2006/relationships/hyperlink" Target="https://techcombank.com/thong-tin/blog/dau-tu-dai-han" TargetMode="External"/><Relationship Id="rId2305" Type="http://schemas.openxmlformats.org/officeDocument/2006/relationships/hyperlink" Target="https://techcombank.com/thong-tin/blog/tai-khoan-tiet-kiem" TargetMode="External"/><Relationship Id="rId2306" Type="http://schemas.openxmlformats.org/officeDocument/2006/relationships/hyperlink" Target="https://techcombank.com/thong-tin/blog/the-nao-la-tiet-kiem" TargetMode="External"/><Relationship Id="rId2307" Type="http://schemas.openxmlformats.org/officeDocument/2006/relationships/hyperlink" Target="https://techcombank.com/thong-tin/blog/thanh-toan-khi-du-lich-singapore" TargetMode="External"/><Relationship Id="rId2308" Type="http://schemas.openxmlformats.org/officeDocument/2006/relationships/hyperlink" Target="https://techcombank.com/thong-tin/blog/loa-thong-bao-chuyen-khoan" TargetMode="External"/><Relationship Id="rId2309" Type="http://schemas.openxmlformats.org/officeDocument/2006/relationships/hyperlink" Target="https://techcombank.com/thong-tin/blog/dat-xe-xanh-sm" TargetMode="External"/><Relationship Id="rId2300" Type="http://schemas.openxmlformats.org/officeDocument/2006/relationships/hyperlink" Target="https://techcombank.com/thong-tin/blog/quan-ly-tai-chinh-cho-dan-van-phong" TargetMode="External"/><Relationship Id="rId2301" Type="http://schemas.openxmlformats.org/officeDocument/2006/relationships/hyperlink" Target="https://techcombank.com/thong-tin/blog/dau-tu-ngan-han" TargetMode="External"/><Relationship Id="rId2324" Type="http://schemas.openxmlformats.org/officeDocument/2006/relationships/hyperlink" Target="https://techcombank.com/thong-tin/blog/thanh-toan-khi-du-lich-nhat-ban" TargetMode="External"/><Relationship Id="rId2325" Type="http://schemas.openxmlformats.org/officeDocument/2006/relationships/hyperlink" Target="https://techcombank.com/thong-tin/blog/gui-tien-sang-nuoc-ngoai" TargetMode="External"/><Relationship Id="rId2326" Type="http://schemas.openxmlformats.org/officeDocument/2006/relationships/hyperlink" Target="https://techcombank.com/thong-tin/blog/chuyen-tien-tu-han-sang-viet-nam" TargetMode="External"/><Relationship Id="rId2327" Type="http://schemas.openxmlformats.org/officeDocument/2006/relationships/hyperlink" Target="https://techcombank.com/thong-tin/blog/cach-tiet-kiem-tien-hieu-qua-cho-gia-dinh" TargetMode="External"/><Relationship Id="rId2328" Type="http://schemas.openxmlformats.org/officeDocument/2006/relationships/hyperlink" Target="https://techcombank.com/thong-tin/blog/tiet-kiem-khi-di-du-lich" TargetMode="External"/><Relationship Id="rId2329" Type="http://schemas.openxmlformats.org/officeDocument/2006/relationships/hyperlink" Target="https://techcombank.com/thong-tin/blog/uu-dai-the-tin-dung" TargetMode="External"/><Relationship Id="rId2320" Type="http://schemas.openxmlformats.org/officeDocument/2006/relationships/hyperlink" Target="https://techcombank.com/thong-tin/blog/thanh-toan-khi-du-lich-han-quoc" TargetMode="External"/><Relationship Id="rId2321" Type="http://schemas.openxmlformats.org/officeDocument/2006/relationships/hyperlink" Target="https://techcombank.com/thong-tin/blog/co-nen-gui-chung-chi-tien-gui" TargetMode="External"/><Relationship Id="rId2322" Type="http://schemas.openxmlformats.org/officeDocument/2006/relationships/hyperlink" Target="https://techcombank.com/thong-tin/blog/cashback-the-thanh-toan" TargetMode="External"/><Relationship Id="rId2323" Type="http://schemas.openxmlformats.org/officeDocument/2006/relationships/hyperlink" Target="https://techcombank.com/thong-tin/blog/hoc-cach-tiet-kiem-tien-luong" TargetMode="External"/><Relationship Id="rId2313" Type="http://schemas.openxmlformats.org/officeDocument/2006/relationships/hyperlink" Target="https://techcombank.com/thong-tin/blog/loi-ich-cua-viec-tiet-kiem-tien" TargetMode="External"/><Relationship Id="rId2314" Type="http://schemas.openxmlformats.org/officeDocument/2006/relationships/hyperlink" Target="https://techcombank.com/thong-tin/blog/mo-the-ghi-no" TargetMode="External"/><Relationship Id="rId2315" Type="http://schemas.openxmlformats.org/officeDocument/2006/relationships/hyperlink" Target="https://techcombank.com/thong-tin/blog/phan-mem-lap-ke-hoach-tai-chinh-ca-nhan" TargetMode="External"/><Relationship Id="rId2316" Type="http://schemas.openxmlformats.org/officeDocument/2006/relationships/hyperlink" Target="https://techcombank.com/thong-tin/blog/thanh-toan-tien-nuoc-online" TargetMode="External"/><Relationship Id="rId2317" Type="http://schemas.openxmlformats.org/officeDocument/2006/relationships/hyperlink" Target="https://techcombank.com/thong-tin/blog/mat-so-tiet-kiem" TargetMode="External"/><Relationship Id="rId2318" Type="http://schemas.openxmlformats.org/officeDocument/2006/relationships/hyperlink" Target="https://techcombank.com/thong-tin/blog/thanh-toan-hoc-phi-online" TargetMode="External"/><Relationship Id="rId2319" Type="http://schemas.openxmlformats.org/officeDocument/2006/relationships/hyperlink" Target="https://techcombank.com/thong-tin/blog/uu-dai-mua-iphone-18" TargetMode="External"/><Relationship Id="rId2310" Type="http://schemas.openxmlformats.org/officeDocument/2006/relationships/hyperlink" Target="https://techcombank.com/thong-tin/blog/cach-tiet-kiem-tien-cua-nguoi-nhat" TargetMode="External"/><Relationship Id="rId2311" Type="http://schemas.openxmlformats.org/officeDocument/2006/relationships/hyperlink" Target="https://techcombank.com/thong-tin/blog/tai-khoan-thanh-toan-la-gi" TargetMode="External"/><Relationship Id="rId2312" Type="http://schemas.openxmlformats.org/officeDocument/2006/relationships/hyperlink" Target="https://techcombank.com/thong-tin/blog/gui-them-tien-vao-so-tiet-kiem" TargetMode="External"/><Relationship Id="rId1895" Type="http://schemas.openxmlformats.org/officeDocument/2006/relationships/hyperlink" Target="https://techcombank.com/thong-tin/blog/thue-ho-kinh-doanh-2025" TargetMode="External"/><Relationship Id="rId1896" Type="http://schemas.openxmlformats.org/officeDocument/2006/relationships/hyperlink" Target="https://techcombank.com/thong-tin/blog/hoan-thue-doanh-nghiep" TargetMode="External"/><Relationship Id="rId1897" Type="http://schemas.openxmlformats.org/officeDocument/2006/relationships/hyperlink" Target="https://techcombank.com/thong-tin/blog/thanh-lap-ho-kinh-doanh-ca-the" TargetMode="External"/><Relationship Id="rId1898" Type="http://schemas.openxmlformats.org/officeDocument/2006/relationships/hyperlink" Target="https://techcombank.com/thong-tin/blog/thue-doanh-nghiep-2025" TargetMode="External"/><Relationship Id="rId1899" Type="http://schemas.openxmlformats.org/officeDocument/2006/relationships/hyperlink" Target="https://techcombank.com/thong-tin/blog/cach-tao-ma-qr" TargetMode="External"/><Relationship Id="rId1890" Type="http://schemas.openxmlformats.org/officeDocument/2006/relationships/hyperlink" Target="https://techcombank.com/thong-tin/blog/uu-dai-mua-ve-may-bay-bang-the-tin-dung" TargetMode="External"/><Relationship Id="rId1891" Type="http://schemas.openxmlformats.org/officeDocument/2006/relationships/hyperlink" Target="https://techcombank.com/thong-tin/blog/ho-kinh-doanh-la-gi" TargetMode="External"/><Relationship Id="rId1892" Type="http://schemas.openxmlformats.org/officeDocument/2006/relationships/hyperlink" Target="https://techcombank.com/thong-tin/blog/thue-khoan-ho-kinh-doanh-la-gi" TargetMode="External"/><Relationship Id="rId1893" Type="http://schemas.openxmlformats.org/officeDocument/2006/relationships/hyperlink" Target="https://techcombank.com/thong-tin/blog/nhung-ho-kinh-doanh-duoc-mien-thue" TargetMode="External"/><Relationship Id="rId1894" Type="http://schemas.openxmlformats.org/officeDocument/2006/relationships/hyperlink" Target="https://techcombank.com/thong-tin/blog/truy-thu-thue-ho-kinh-doanh" TargetMode="External"/><Relationship Id="rId1884" Type="http://schemas.openxmlformats.org/officeDocument/2006/relationships/hyperlink" Target="https://techcombank.com/thong-tin/blog/shang-chi" TargetMode="External"/><Relationship Id="rId1885" Type="http://schemas.openxmlformats.org/officeDocument/2006/relationships/hyperlink" Target="https://techcombank.com/thong-tin/blog/tous-les-jours" TargetMode="External"/><Relationship Id="rId1886" Type="http://schemas.openxmlformats.org/officeDocument/2006/relationships/hyperlink" Target="https://techcombank.com/thong-tin/blog/woomaster" TargetMode="External"/><Relationship Id="rId1887" Type="http://schemas.openxmlformats.org/officeDocument/2006/relationships/hyperlink" Target="https://techcombank.com/thong-tin/blog/voucher-xanh-sm" TargetMode="External"/><Relationship Id="rId1888" Type="http://schemas.openxmlformats.org/officeDocument/2006/relationships/hyperlink" Target="https://techcombank.com/thong-tin/blog/diem-loyalty-la-gi" TargetMode="External"/><Relationship Id="rId1889" Type="http://schemas.openxmlformats.org/officeDocument/2006/relationships/hyperlink" Target="https://techcombank.com/thong-tin/blog/thanh-toan-ve-may-bay-online" TargetMode="External"/><Relationship Id="rId1880" Type="http://schemas.openxmlformats.org/officeDocument/2006/relationships/hyperlink" Target="https://techcombank.com/thong-tin/blog/mr-eco" TargetMode="External"/><Relationship Id="rId1881" Type="http://schemas.openxmlformats.org/officeDocument/2006/relationships/hyperlink" Target="https://techcombank.com/thong-tin/blog/voucher-phuc-long" TargetMode="External"/><Relationship Id="rId1882" Type="http://schemas.openxmlformats.org/officeDocument/2006/relationships/hyperlink" Target="https://techcombank.com/thong-tin/blog/voucher-grab" TargetMode="External"/><Relationship Id="rId1883" Type="http://schemas.openxmlformats.org/officeDocument/2006/relationships/hyperlink" Target="https://techcombank.com/thong-tin/blog/dat-xe-xanh-sm" TargetMode="External"/><Relationship Id="rId1059" Type="http://schemas.openxmlformats.org/officeDocument/2006/relationships/hyperlink" Target="https://techcombank.com/thong-tin/blog/tap-doan-thanh-quang-khoi-sac-kinh-doanh-nho-nguon-von-vay-tin-dung-techcombank-tren-nen-tang-misa-lending" TargetMode="External"/><Relationship Id="rId228" Type="http://schemas.openxmlformats.org/officeDocument/2006/relationships/hyperlink" Target="https://techcombank.com/thong-tin/blog/thue-doanh-nghiep-2025" TargetMode="External"/><Relationship Id="rId227" Type="http://schemas.openxmlformats.org/officeDocument/2006/relationships/hyperlink" Target="https://techcombank.com/thong-tin/blog/nop-tien-mat-vao-tai-khoan-cong-ty" TargetMode="External"/><Relationship Id="rId226" Type="http://schemas.openxmlformats.org/officeDocument/2006/relationships/hyperlink" Target="https://techcombank.com/thong-tin/blog/chi-phi-mo-tai-khoan-ngan-hang-cho-cong-ty" TargetMode="External"/><Relationship Id="rId225" Type="http://schemas.openxmlformats.org/officeDocument/2006/relationships/hyperlink" Target="https://techcombank.com/thong-tin/blog/thu-tuc-thanh-lap-doanh-nghiep" TargetMode="External"/><Relationship Id="rId2380" Type="http://schemas.openxmlformats.org/officeDocument/2006/relationships/hyperlink" Target="https://techcombank.com/thong-tin/blog/gui-tiet-kiem-vang" TargetMode="External"/><Relationship Id="rId229" Type="http://schemas.openxmlformats.org/officeDocument/2006/relationships/hyperlink" Target="https://techcombank.com/thong-tin/blog/mo-tai-khoan-doanh-nghiep" TargetMode="External"/><Relationship Id="rId1050" Type="http://schemas.openxmlformats.org/officeDocument/2006/relationships/hyperlink" Target="https://techcombank.com/thong-tin/blog/ma-buu-chinh-the-tin-dung" TargetMode="External"/><Relationship Id="rId2381" Type="http://schemas.openxmlformats.org/officeDocument/2006/relationships/hyperlink" Target="https://techcombank.com/thong-tin/blog/nen-gui-tiet-kiem-thong-thuong-hay-tich-luy" TargetMode="External"/><Relationship Id="rId220" Type="http://schemas.openxmlformats.org/officeDocument/2006/relationships/hyperlink" Target="https://techcombank.com/thong-tin/blog/dieu-kien-thanh-lap-doanh-nghiep" TargetMode="External"/><Relationship Id="rId1051" Type="http://schemas.openxmlformats.org/officeDocument/2006/relationships/hyperlink" Target="https://techcombank.com/thong-tin/blog/tai-khoan-doanh-nghiep-co-the-khong" TargetMode="External"/><Relationship Id="rId2382" Type="http://schemas.openxmlformats.org/officeDocument/2006/relationships/hyperlink" Target="https://techcombank.com/thong-tin/blog/tai-sao-gui-tiet-kiem-online-lai-suat-cao-hon" TargetMode="External"/><Relationship Id="rId1052" Type="http://schemas.openxmlformats.org/officeDocument/2006/relationships/hyperlink" Target="https://techcombank.com/thong-tin/blog/mm-yy-la-gi" TargetMode="External"/><Relationship Id="rId2383" Type="http://schemas.openxmlformats.org/officeDocument/2006/relationships/hyperlink" Target="https://techcombank.com/thong-tin/blog/rui-ro-khi-vay-the-chap-ngan-hang" TargetMode="External"/><Relationship Id="rId1053" Type="http://schemas.openxmlformats.org/officeDocument/2006/relationships/hyperlink" Target="https://techcombank.com/thong-tin/blog/uu-dai-the-tin-dung-techcombank-signature" TargetMode="External"/><Relationship Id="rId2384" Type="http://schemas.openxmlformats.org/officeDocument/2006/relationships/hyperlink" Target="https://techcombank.com/thong-tin/blog/nen-de-tien-trong-the-hay-gui-tiet-kiem" TargetMode="External"/><Relationship Id="rId1054" Type="http://schemas.openxmlformats.org/officeDocument/2006/relationships/hyperlink" Target="https://techcombank.com/thong-tin/blog/tin-dung-tieu-dung" TargetMode="External"/><Relationship Id="rId2385" Type="http://schemas.openxmlformats.org/officeDocument/2006/relationships/hyperlink" Target="https://techcombank.com/thong-tin/blog/lai-suat-vay-thau-chi" TargetMode="External"/><Relationship Id="rId224" Type="http://schemas.openxmlformats.org/officeDocument/2006/relationships/hyperlink" Target="https://techcombank.com/thong-tin/blog/ho-so-dang-ky-thanh-lap-doanh-nghiep" TargetMode="External"/><Relationship Id="rId1055" Type="http://schemas.openxmlformats.org/officeDocument/2006/relationships/hyperlink" Target="https://techcombank.com/thong-tin/blog/tin-dung-doanh-nghiep" TargetMode="External"/><Relationship Id="rId2386" Type="http://schemas.openxmlformats.org/officeDocument/2006/relationships/hyperlink" Target="https://techcombank.com/thong-tin/blog/qua-han-thanh-toan-the-tin-dung-1-ngay" TargetMode="External"/><Relationship Id="rId223" Type="http://schemas.openxmlformats.org/officeDocument/2006/relationships/hyperlink" Target="https://techcombank.com/thong-tin/blog/hieu-hiet-ve-tuan-thu-thue-cho-cac-doanh-nghiep-khoi-nghiep" TargetMode="External"/><Relationship Id="rId1056" Type="http://schemas.openxmlformats.org/officeDocument/2006/relationships/hyperlink" Target="https://techcombank.com/thong-tin/blog/cho-vay-hop-von-la-gi" TargetMode="External"/><Relationship Id="rId2387" Type="http://schemas.openxmlformats.org/officeDocument/2006/relationships/hyperlink" Target="https://techcombank.com/thong-tin/blog/co-nen-gui-tiet-kiem-ngan-hang" TargetMode="External"/><Relationship Id="rId222" Type="http://schemas.openxmlformats.org/officeDocument/2006/relationships/hyperlink" Target="https://techcombank.com/thong-tin/blog/luat-thuong-mai-dien-tu" TargetMode="External"/><Relationship Id="rId1057" Type="http://schemas.openxmlformats.org/officeDocument/2006/relationships/hyperlink" Target="https://techcombank.com/thong-tin/blog/nhu-cau-vay-tieu-dung-cua-nguoi-viet-du-kien-tang-manh-trong-thoi-gian-toi" TargetMode="External"/><Relationship Id="rId2388" Type="http://schemas.openxmlformats.org/officeDocument/2006/relationships/hyperlink" Target="https://techcombank.com/thong-tin/blog/lai-suat-tiet-kiem" TargetMode="External"/><Relationship Id="rId221" Type="http://schemas.openxmlformats.org/officeDocument/2006/relationships/hyperlink" Target="https://techcombank.com/thong-tin/blog/luu-y-khi-chuyen-tien-vao-tai-khoan-cong-ty" TargetMode="External"/><Relationship Id="rId1058" Type="http://schemas.openxmlformats.org/officeDocument/2006/relationships/hyperlink" Target="https://techcombank.com/thong-tin/blog/san-pham-xanh" TargetMode="External"/><Relationship Id="rId2389" Type="http://schemas.openxmlformats.org/officeDocument/2006/relationships/hyperlink" Target="https://techcombank.com/thong-tin/blog/co-nen-gui-tiet-kiem-online" TargetMode="External"/><Relationship Id="rId1048" Type="http://schemas.openxmlformats.org/officeDocument/2006/relationships/hyperlink" Target="https://techcombank.com/thong-tin/blog/cach-lam-the-ngan-hang-chay-quang-cao-facebook" TargetMode="External"/><Relationship Id="rId2379" Type="http://schemas.openxmlformats.org/officeDocument/2006/relationships/hyperlink" Target="https://techcombank.com/thong-tin/blog/gui-tiet-kiem-theo-ngay" TargetMode="External"/><Relationship Id="rId1049" Type="http://schemas.openxmlformats.org/officeDocument/2006/relationships/hyperlink" Target="https://techcombank.com/thong-tin/blog/co-nen-dung-the-tin-dung-khong" TargetMode="External"/><Relationship Id="rId217" Type="http://schemas.openxmlformats.org/officeDocument/2006/relationships/hyperlink" Target="https://techcombank.com/thong-tin/blog/kinh-nghiem-chuyen-doi-tu-ho-kinh-doanh-len-doanh-nghiep" TargetMode="External"/><Relationship Id="rId216" Type="http://schemas.openxmlformats.org/officeDocument/2006/relationships/hyperlink" Target="https://techcombank.com/thong-tin/blog/cong-ty-su-dung-tai-khoan-ca-nhan" TargetMode="External"/><Relationship Id="rId215" Type="http://schemas.openxmlformats.org/officeDocument/2006/relationships/hyperlink" Target="https://techcombank.com/thong-tin/blog/cac-sai-lam-pho-bien-khi-chuyen-doi-ho-kinh-doanh-len-sme" TargetMode="External"/><Relationship Id="rId214" Type="http://schemas.openxmlformats.org/officeDocument/2006/relationships/hyperlink" Target="https://techcombank.com/thong-tin/blog/tra-cuu-no-thue-hai-quan" TargetMode="External"/><Relationship Id="rId219" Type="http://schemas.openxmlformats.org/officeDocument/2006/relationships/hyperlink" Target="https://techcombank.com/thong-tin/blog/dong-tai-khoan-ngan-hang-cong-ty" TargetMode="External"/><Relationship Id="rId218" Type="http://schemas.openxmlformats.org/officeDocument/2006/relationships/hyperlink" Target="https://techcombank.com/thong-tin/blog/top-phan-mem-ban-hang" TargetMode="External"/><Relationship Id="rId2370" Type="http://schemas.openxmlformats.org/officeDocument/2006/relationships/hyperlink" Target="https://techcombank.com/thong-tin/blog/bi-quyet-lua-chon-trai-phieu-an-toan-cho-nha-dau-tu" TargetMode="External"/><Relationship Id="rId1040" Type="http://schemas.openxmlformats.org/officeDocument/2006/relationships/hyperlink" Target="https://techcombank.com/thong-tin/blog/so-cvv-la-gi" TargetMode="External"/><Relationship Id="rId2371" Type="http://schemas.openxmlformats.org/officeDocument/2006/relationships/hyperlink" Target="https://techcombank.com/thong-tin/blog/lai-kep-ngan-hang" TargetMode="External"/><Relationship Id="rId1041" Type="http://schemas.openxmlformats.org/officeDocument/2006/relationships/hyperlink" Target="https://techcombank.com/thong-tin/blog/the-tin-dung-nao-nhieu-uu-dai-nhat" TargetMode="External"/><Relationship Id="rId2372" Type="http://schemas.openxmlformats.org/officeDocument/2006/relationships/hyperlink" Target="https://techcombank.com/thong-tin/blog/gui-tiet-kiem-lay-lai-hang-thang" TargetMode="External"/><Relationship Id="rId1042" Type="http://schemas.openxmlformats.org/officeDocument/2006/relationships/hyperlink" Target="https://techcombank.com/thong-tin/blog/mua-iphone-17" TargetMode="External"/><Relationship Id="rId2373" Type="http://schemas.openxmlformats.org/officeDocument/2006/relationships/hyperlink" Target="https://techcombank.com/thong-tin/blog/gui-tiet-kiem-hang-thang" TargetMode="External"/><Relationship Id="rId1043" Type="http://schemas.openxmlformats.org/officeDocument/2006/relationships/hyperlink" Target="https://techcombank.com/thong-tin/blog/the-tin-dung-het-han" TargetMode="External"/><Relationship Id="rId2374" Type="http://schemas.openxmlformats.org/officeDocument/2006/relationships/hyperlink" Target="https://techcombank.com/thong-tin/blog/tien-gui-khong-ky-han" TargetMode="External"/><Relationship Id="rId213" Type="http://schemas.openxmlformats.org/officeDocument/2006/relationships/hyperlink" Target="https://techcombank.com/thong-tin/blog/ho-kinh-doanh-ca-the" TargetMode="External"/><Relationship Id="rId1044" Type="http://schemas.openxmlformats.org/officeDocument/2006/relationships/hyperlink" Target="https://techcombank.com/thong-tin/blog/phi-rut-tien-mat-the-tin-dung" TargetMode="External"/><Relationship Id="rId2375" Type="http://schemas.openxmlformats.org/officeDocument/2006/relationships/hyperlink" Target="https://techcombank.com/thong-tin/blog/dao-han-la-gi" TargetMode="External"/><Relationship Id="rId212" Type="http://schemas.openxmlformats.org/officeDocument/2006/relationships/hyperlink" Target="https://techcombank.com/thong-tin/blog/thue-phi-co-dinh-khi-chuyen-doi-tu-ho-kinh-doanh-len-doanh-nghiep" TargetMode="External"/><Relationship Id="rId1045" Type="http://schemas.openxmlformats.org/officeDocument/2006/relationships/hyperlink" Target="https://techcombank.com/thong-tin/blog/the-tin-dung-co-chuyen-khoan-duoc-khong" TargetMode="External"/><Relationship Id="rId2376" Type="http://schemas.openxmlformats.org/officeDocument/2006/relationships/hyperlink" Target="https://techcombank.com/thong-tin/blog/lai-suat-vay-kinh-doanh" TargetMode="External"/><Relationship Id="rId211" Type="http://schemas.openxmlformats.org/officeDocument/2006/relationships/hyperlink" Target="https://techcombank.com/thong-tin/blog/nen-thanh-lap-ho-kinh-doanh-ke-khai-hay-doanh-nghiep" TargetMode="External"/><Relationship Id="rId1046" Type="http://schemas.openxmlformats.org/officeDocument/2006/relationships/hyperlink" Target="https://techcombank.com/thong-tin/blog/uu-dai-mua-ve-may-bay-bang-the-tin-dung" TargetMode="External"/><Relationship Id="rId2377" Type="http://schemas.openxmlformats.org/officeDocument/2006/relationships/hyperlink" Target="https://techcombank.com/thong-tin/blog/cong-thuc-tinh-lai-suat-thuc" TargetMode="External"/><Relationship Id="rId210" Type="http://schemas.openxmlformats.org/officeDocument/2006/relationships/hyperlink" Target="https://techcombank.com/thong-tin/blog/chuyen-doi-ho-kinh-doanh-len-doanh-nghiep" TargetMode="External"/><Relationship Id="rId1047" Type="http://schemas.openxmlformats.org/officeDocument/2006/relationships/hyperlink" Target="https://techcombank.com/thong-tin/blog/mat-the-tin-dung-co-bi-mat-tien-khong" TargetMode="External"/><Relationship Id="rId2378" Type="http://schemas.openxmlformats.org/officeDocument/2006/relationships/hyperlink" Target="https://techcombank.com/thong-tin/blog/quy-trinh-gui-tien-tiet-kiem" TargetMode="External"/><Relationship Id="rId249" Type="http://schemas.openxmlformats.org/officeDocument/2006/relationships/hyperlink" Target="https://techcombank.com/thong-tin/blog/tra-cuu-hoa-don-nuoc" TargetMode="External"/><Relationship Id="rId248" Type="http://schemas.openxmlformats.org/officeDocument/2006/relationships/hyperlink" Target="https://techcombank.com/thong-tin/blog/app-dong-tien-dien-online" TargetMode="External"/><Relationship Id="rId247" Type="http://schemas.openxmlformats.org/officeDocument/2006/relationships/hyperlink" Target="https://techcombank.com/thong-tin/blog/the-tin-dung-co-chuyen-khoan-duoc-khong" TargetMode="External"/><Relationship Id="rId1070" Type="http://schemas.openxmlformats.org/officeDocument/2006/relationships/hyperlink" Target="https://techcombank.com/thong-tin/blog/vay-mua-nha-o-xa-hoi" TargetMode="External"/><Relationship Id="rId1071" Type="http://schemas.openxmlformats.org/officeDocument/2006/relationships/hyperlink" Target="https://techcombank.com/thong-tin/blog/cach-su-dung-the-visa-techcombank" TargetMode="External"/><Relationship Id="rId1072" Type="http://schemas.openxmlformats.org/officeDocument/2006/relationships/hyperlink" Target="https://techcombank.com/thong-tin/blog/mua-nha-tra-gop-dua-truoc-100-trieu" TargetMode="External"/><Relationship Id="rId242" Type="http://schemas.openxmlformats.org/officeDocument/2006/relationships/hyperlink" Target="https://techcombank.com/thong-tin/blog/thue-doanh-nghiep" TargetMode="External"/><Relationship Id="rId1073" Type="http://schemas.openxmlformats.org/officeDocument/2006/relationships/hyperlink" Target="https://techcombank.com/thong-tin/blog/nen-mua-xe-tra-gop-hay-tra-thang" TargetMode="External"/><Relationship Id="rId241" Type="http://schemas.openxmlformats.org/officeDocument/2006/relationships/hyperlink" Target="https://techcombank.com/thong-tin/blog/ho-kinh-doanh-dong-thue-nhu-nao" TargetMode="External"/><Relationship Id="rId1074" Type="http://schemas.openxmlformats.org/officeDocument/2006/relationships/hyperlink" Target="https://techcombank.com/thong-tin/blog/vay-200-trieu" TargetMode="External"/><Relationship Id="rId240" Type="http://schemas.openxmlformats.org/officeDocument/2006/relationships/hyperlink" Target="https://techcombank.com/thong-tin/blog/hoa-don-dien-tu-ho-kinh-doanh" TargetMode="External"/><Relationship Id="rId1075" Type="http://schemas.openxmlformats.org/officeDocument/2006/relationships/hyperlink" Target="https://techcombank.com/thong-tin/blog/the-visa-de-lam-gi" TargetMode="External"/><Relationship Id="rId1076" Type="http://schemas.openxmlformats.org/officeDocument/2006/relationships/hyperlink" Target="https://techcombank.com/thong-tin/blog/the-visa-khong-thanh-toan-duoc" TargetMode="External"/><Relationship Id="rId246" Type="http://schemas.openxmlformats.org/officeDocument/2006/relationships/hyperlink" Target="https://techcombank.com/thong-tin/blog/phan-mem-xuat-hoa-don-dien-tu" TargetMode="External"/><Relationship Id="rId1077" Type="http://schemas.openxmlformats.org/officeDocument/2006/relationships/hyperlink" Target="https://techcombank.com/thong-tin/blog/cach-dang-ky-the-visa" TargetMode="External"/><Relationship Id="rId245" Type="http://schemas.openxmlformats.org/officeDocument/2006/relationships/hyperlink" Target="https://techcombank.com/thong-tin/blog/may-tinh-tien" TargetMode="External"/><Relationship Id="rId1078" Type="http://schemas.openxmlformats.org/officeDocument/2006/relationships/hyperlink" Target="https://techcombank.com/thong-tin/blog/the-visa" TargetMode="External"/><Relationship Id="rId244" Type="http://schemas.openxmlformats.org/officeDocument/2006/relationships/hyperlink" Target="https://techcombank.com/thong-tin/blog/tim-hieu-ve-chinh-sach-thue-moi" TargetMode="External"/><Relationship Id="rId1079" Type="http://schemas.openxmlformats.org/officeDocument/2006/relationships/hyperlink" Target="https://techcombank.com/thong-tin/blog/so-the-visa-hop-le" TargetMode="External"/><Relationship Id="rId243" Type="http://schemas.openxmlformats.org/officeDocument/2006/relationships/hyperlink" Target="https://techcombank.com/thong-tin/blog/one-stop-shop" TargetMode="External"/><Relationship Id="rId239" Type="http://schemas.openxmlformats.org/officeDocument/2006/relationships/hyperlink" Target="https://techcombank.com/thong-tin/blog/voucher-phuc-long" TargetMode="External"/><Relationship Id="rId238" Type="http://schemas.openxmlformats.org/officeDocument/2006/relationships/hyperlink" Target="https://techcombank.com/thong-tin/blog/hoa-don-dien-tu" TargetMode="External"/><Relationship Id="rId237" Type="http://schemas.openxmlformats.org/officeDocument/2006/relationships/hyperlink" Target="https://techcombank.com/thong-tin/blog/nhung-ho-kinh-doanh-duoc-mien-thue" TargetMode="External"/><Relationship Id="rId236" Type="http://schemas.openxmlformats.org/officeDocument/2006/relationships/hyperlink" Target="https://techcombank.com/thong-tin/blog/cach-tinh-thue-ho-kinh-doanh-nho-le" TargetMode="External"/><Relationship Id="rId2390" Type="http://schemas.openxmlformats.org/officeDocument/2006/relationships/hyperlink" Target="https://techcombank.com/thong-tin/blog/gui-tiet-kiem-ngan-hang-van-la-lua-chon-an-toan-trong-thoi-ky-kinh-te-con-nhieu-bien-dong" TargetMode="External"/><Relationship Id="rId1060" Type="http://schemas.openxmlformats.org/officeDocument/2006/relationships/hyperlink" Target="https://techcombank.com/thong-tin/blog/du-no-la-gi" TargetMode="External"/><Relationship Id="rId2391" Type="http://schemas.openxmlformats.org/officeDocument/2006/relationships/hyperlink" Target="https://techcombank.com/thong-tin/blog/cach-gui-tiet-kiem-online" TargetMode="External"/><Relationship Id="rId1061" Type="http://schemas.openxmlformats.org/officeDocument/2006/relationships/hyperlink" Target="https://techcombank.com/thong-tin/blog/cam-ket-tin-dung" TargetMode="External"/><Relationship Id="rId2392" Type="http://schemas.openxmlformats.org/officeDocument/2006/relationships/hyperlink" Target="https://techcombank.com/thong-tin/blog/gui-tien-ngan-hang-co-an-toan-khong" TargetMode="External"/><Relationship Id="rId231" Type="http://schemas.openxmlformats.org/officeDocument/2006/relationships/hyperlink" Target="https://techcombank.com/thong-tin/blog/ke-khai-thue-doanh-nghiep" TargetMode="External"/><Relationship Id="rId1062" Type="http://schemas.openxmlformats.org/officeDocument/2006/relationships/hyperlink" Target="https://techcombank.com/thong-tin/blog/xep-hang-tin-dung" TargetMode="External"/><Relationship Id="rId2393" Type="http://schemas.openxmlformats.org/officeDocument/2006/relationships/hyperlink" Target="https://techcombank.com/thong-tin/blog/dau-tu-trai-phieu-doanh-nghiep-dung-ham-lai-suat-cao" TargetMode="External"/><Relationship Id="rId230" Type="http://schemas.openxmlformats.org/officeDocument/2006/relationships/hyperlink" Target="https://techcombank.com/thong-tin/blog/loi-ich-khi-ho-kinh-doanh-chuyen-len-doanh-nghiep" TargetMode="External"/><Relationship Id="rId1063" Type="http://schemas.openxmlformats.org/officeDocument/2006/relationships/hyperlink" Target="https://techcombank.com/thong-tin/blog/thanh-toan-quoc-te" TargetMode="External"/><Relationship Id="rId2394" Type="http://schemas.openxmlformats.org/officeDocument/2006/relationships/hyperlink" Target="https://techcombank.com/thong-tin/blog/nen-gui-tiet-kiem-6-thang-hay-1-nam" TargetMode="External"/><Relationship Id="rId1064" Type="http://schemas.openxmlformats.org/officeDocument/2006/relationships/hyperlink" Target="https://techcombank.com/thong-tin/blog/tin-dung-la-gi" TargetMode="External"/><Relationship Id="rId2395" Type="http://schemas.openxmlformats.org/officeDocument/2006/relationships/hyperlink" Target="https://techcombank.com/thong-tin/blog/lai-suat-the-tin-dung" TargetMode="External"/><Relationship Id="rId1065" Type="http://schemas.openxmlformats.org/officeDocument/2006/relationships/hyperlink" Target="https://techcombank.com/thong-tin/blog/the-mastercard-la-gi" TargetMode="External"/><Relationship Id="rId2396" Type="http://schemas.openxmlformats.org/officeDocument/2006/relationships/hyperlink" Target="https://techcombank.com/thong-tin/blog/gui-tiet-kiem-tich-luy-la-gi" TargetMode="External"/><Relationship Id="rId235" Type="http://schemas.openxmlformats.org/officeDocument/2006/relationships/hyperlink" Target="https://techcombank.com/thong-tin/blog/cach-tra-cuu-hoa-don-dien-tu" TargetMode="External"/><Relationship Id="rId1066" Type="http://schemas.openxmlformats.org/officeDocument/2006/relationships/hyperlink" Target="https://techcombank.com/thong-tin/blog/the-visa-co-rut-tien-duoc-khong" TargetMode="External"/><Relationship Id="rId2397" Type="http://schemas.openxmlformats.org/officeDocument/2006/relationships/hyperlink" Target="https://techcombank.com/thong-tin/blog/lai-suat-vay-the-chap-so-do" TargetMode="External"/><Relationship Id="rId234" Type="http://schemas.openxmlformats.org/officeDocument/2006/relationships/hyperlink" Target="https://techcombank.com/thong-tin/blog/thue-thuong-mai-dien-tu" TargetMode="External"/><Relationship Id="rId1067" Type="http://schemas.openxmlformats.org/officeDocument/2006/relationships/hyperlink" Target="https://techcombank.com/thong-tin/blog/vay-han-muc-la-gi" TargetMode="External"/><Relationship Id="rId2398" Type="http://schemas.openxmlformats.org/officeDocument/2006/relationships/hyperlink" Target="https://techcombank.com/thong-tin/blog/rui-ro-khi-gui-tiet-kiem-online" TargetMode="External"/><Relationship Id="rId233" Type="http://schemas.openxmlformats.org/officeDocument/2006/relationships/hyperlink" Target="https://techcombank.com/thong-tin/blog/chuyen-doi-hoa-don-dien-tu" TargetMode="External"/><Relationship Id="rId1068" Type="http://schemas.openxmlformats.org/officeDocument/2006/relationships/hyperlink" Target="https://techcombank.com/thong-tin/blog/co-100-trieu-co-mua-nen-mua-tra-gop" TargetMode="External"/><Relationship Id="rId2399" Type="http://schemas.openxmlformats.org/officeDocument/2006/relationships/hyperlink" Target="https://techcombank.com/thong-tin/blog/lai-suat-tha-noi" TargetMode="External"/><Relationship Id="rId232" Type="http://schemas.openxmlformats.org/officeDocument/2006/relationships/hyperlink" Target="https://techcombank.com/thong-tin/blog/hoan-thue-doanh-nghiep" TargetMode="External"/><Relationship Id="rId1069" Type="http://schemas.openxmlformats.org/officeDocument/2006/relationships/hyperlink" Target="https://techcombank.com/thong-tin/blog/doanh-nghiep-moi-thanh-lap-duoc-uu-dai-gi" TargetMode="External"/><Relationship Id="rId1015" Type="http://schemas.openxmlformats.org/officeDocument/2006/relationships/hyperlink" Target="https://techcombank.com/thong-tin/blog/3d-secure" TargetMode="External"/><Relationship Id="rId2346" Type="http://schemas.openxmlformats.org/officeDocument/2006/relationships/hyperlink" Target="https://techcombank.com/thong-tin/blog/cach-quan-ly-tai-san" TargetMode="External"/><Relationship Id="rId1016" Type="http://schemas.openxmlformats.org/officeDocument/2006/relationships/hyperlink" Target="https://techcombank.com/thong-tin/blog/the-tin-dung-ao" TargetMode="External"/><Relationship Id="rId2347" Type="http://schemas.openxmlformats.org/officeDocument/2006/relationships/hyperlink" Target="https://techcombank.com/thong-tin/blog/npv-la-gi" TargetMode="External"/><Relationship Id="rId1017" Type="http://schemas.openxmlformats.org/officeDocument/2006/relationships/hyperlink" Target="https://techcombank.com/thong-tin/blog/the-tin-dung-co-ma-pin-khong" TargetMode="External"/><Relationship Id="rId2348" Type="http://schemas.openxmlformats.org/officeDocument/2006/relationships/hyperlink" Target="https://techcombank.com/thong-tin/blog/chung-chi-tien-gui-co-duoc-bao-hiem-khong" TargetMode="External"/><Relationship Id="rId1018" Type="http://schemas.openxmlformats.org/officeDocument/2006/relationships/hyperlink" Target="https://techcombank.com/thong-tin/blog/mat-the-tin-dung-co-lam-lai-duoc-khong" TargetMode="External"/><Relationship Id="rId2349" Type="http://schemas.openxmlformats.org/officeDocument/2006/relationships/hyperlink" Target="https://techcombank.com/thong-tin/blog/chuyen-nhuong-chung-chi-tien-gui" TargetMode="External"/><Relationship Id="rId1019" Type="http://schemas.openxmlformats.org/officeDocument/2006/relationships/hyperlink" Target="https://techcombank.com/thong-tin/blog/uu-dai-mua-iphone-18" TargetMode="External"/><Relationship Id="rId2340" Type="http://schemas.openxmlformats.org/officeDocument/2006/relationships/hyperlink" Target="https://techcombank.com/thong-tin/blog/tai-san-va-tieu-san-la-gi" TargetMode="External"/><Relationship Id="rId1010" Type="http://schemas.openxmlformats.org/officeDocument/2006/relationships/hyperlink" Target="https://techcombank.com/thong-tin/blog/so-luong-the-tin-dung-noi-dia-dang-luu-hanh-da-tang-42-so-voi-cung-ky-nam-2022" TargetMode="External"/><Relationship Id="rId2341" Type="http://schemas.openxmlformats.org/officeDocument/2006/relationships/hyperlink" Target="https://techcombank.com/thong-tin/blog/lap-ke-hoach-tai-chinh-ca-nhan" TargetMode="External"/><Relationship Id="rId1011" Type="http://schemas.openxmlformats.org/officeDocument/2006/relationships/hyperlink" Target="https://techcombank.com/thong-tin/blog/so-the-tin-dung" TargetMode="External"/><Relationship Id="rId2342" Type="http://schemas.openxmlformats.org/officeDocument/2006/relationships/hyperlink" Target="https://techcombank.com/thong-tin/blog/cac-chung-chi-quy-o-viet-nam" TargetMode="External"/><Relationship Id="rId1012" Type="http://schemas.openxmlformats.org/officeDocument/2006/relationships/hyperlink" Target="https://techcombank.com/thong-tin/blog/the-tin-dung-hoan-tien" TargetMode="External"/><Relationship Id="rId2343" Type="http://schemas.openxmlformats.org/officeDocument/2006/relationships/hyperlink" Target="https://techcombank.com/thong-tin/blog/dau-tu-quy-mo" TargetMode="External"/><Relationship Id="rId1013" Type="http://schemas.openxmlformats.org/officeDocument/2006/relationships/hyperlink" Target="https://techcombank.com/thong-tin/blog/sang-ngang-the-tin-dung" TargetMode="External"/><Relationship Id="rId2344" Type="http://schemas.openxmlformats.org/officeDocument/2006/relationships/hyperlink" Target="https://techcombank.com/thong-tin/blog/6-chiec-lo-tai-chinh-ca-nhan" TargetMode="External"/><Relationship Id="rId1014" Type="http://schemas.openxmlformats.org/officeDocument/2006/relationships/hyperlink" Target="https://techcombank.com/thong-tin/blog/thanh-toan-online-bang-the-tin-dung" TargetMode="External"/><Relationship Id="rId2345" Type="http://schemas.openxmlformats.org/officeDocument/2006/relationships/hyperlink" Target="https://techcombank.com/thong-tin/blog/hu-chi-tieu" TargetMode="External"/><Relationship Id="rId1004" Type="http://schemas.openxmlformats.org/officeDocument/2006/relationships/hyperlink" Target="https://techcombank.com/thong-tin/blog/vay-ngan-hang-1-ty-moi-thang-tra-bao-nhieu" TargetMode="External"/><Relationship Id="rId2335" Type="http://schemas.openxmlformats.org/officeDocument/2006/relationships/hyperlink" Target="https://techcombank.com/thong-tin/blog/chuyen-tien-tu-nhat-ve-viet-nam" TargetMode="External"/><Relationship Id="rId1005" Type="http://schemas.openxmlformats.org/officeDocument/2006/relationships/hyperlink" Target="https://techcombank.com/thong-tin/blog/cach-thanh-toan-the-tin-dung" TargetMode="External"/><Relationship Id="rId2336" Type="http://schemas.openxmlformats.org/officeDocument/2006/relationships/hyperlink" Target="https://techcombank.com/thong-tin/blog/gui-tien-du-hoc" TargetMode="External"/><Relationship Id="rId1006" Type="http://schemas.openxmlformats.org/officeDocument/2006/relationships/hyperlink" Target="https://techcombank.com/thong-tin/blog/mua-truoc-tra-sau" TargetMode="External"/><Relationship Id="rId2337" Type="http://schemas.openxmlformats.org/officeDocument/2006/relationships/hyperlink" Target="https://techcombank.com/thong-tin/blog/nguyen-tac-quan-ly-tai-chinh-ca-nhan" TargetMode="External"/><Relationship Id="rId1007" Type="http://schemas.openxmlformats.org/officeDocument/2006/relationships/hyperlink" Target="https://techcombank.com/thong-tin/blog/tra-cuu-han-muc-the-tin-dung" TargetMode="External"/><Relationship Id="rId2338" Type="http://schemas.openxmlformats.org/officeDocument/2006/relationships/hyperlink" Target="https://techcombank.com/thong-tin/blog/5-trieu-mua-duoc-bao-nhieu-vang" TargetMode="External"/><Relationship Id="rId1008" Type="http://schemas.openxmlformats.org/officeDocument/2006/relationships/hyperlink" Target="https://techcombank.com/thong-tin/blog/kich-hoat-the-tin-dung-techcombank" TargetMode="External"/><Relationship Id="rId2339" Type="http://schemas.openxmlformats.org/officeDocument/2006/relationships/hyperlink" Target="https://techcombank.com/thong-tin/blog/quan-ly-tai-chinh-doanh-nghiep-nho" TargetMode="External"/><Relationship Id="rId1009" Type="http://schemas.openxmlformats.org/officeDocument/2006/relationships/hyperlink" Target="https://techcombank.com/thong-tin/blog/the-tin-dung-vip" TargetMode="External"/><Relationship Id="rId2330" Type="http://schemas.openxmlformats.org/officeDocument/2006/relationships/hyperlink" Target="https://techcombank.com/thong-tin/blog/tat-toan-chung-chi-tien-gui" TargetMode="External"/><Relationship Id="rId1000" Type="http://schemas.openxmlformats.org/officeDocument/2006/relationships/hyperlink" Target="https://techcombank.com/thong-tin/blog/the-tin-dung-mien-phi-thuong-nien" TargetMode="External"/><Relationship Id="rId2331" Type="http://schemas.openxmlformats.org/officeDocument/2006/relationships/hyperlink" Target="https://techcombank.com/thong-tin/blog/tai-khoan-ngan-hang-la-gi" TargetMode="External"/><Relationship Id="rId1001" Type="http://schemas.openxmlformats.org/officeDocument/2006/relationships/hyperlink" Target="https://techcombank.com/thong-tin/blog/the-visa-co-can-mat-khau-khong" TargetMode="External"/><Relationship Id="rId2332" Type="http://schemas.openxmlformats.org/officeDocument/2006/relationships/hyperlink" Target="https://techcombank.com/thong-tin/blog/mo-the-tin-dung-khong-can-chung-minh-thu-nhap" TargetMode="External"/><Relationship Id="rId1002" Type="http://schemas.openxmlformats.org/officeDocument/2006/relationships/hyperlink" Target="https://techcombank.com/thong-tin/blog/the-ghi-no-va-the-tin-dung" TargetMode="External"/><Relationship Id="rId2333" Type="http://schemas.openxmlformats.org/officeDocument/2006/relationships/hyperlink" Target="https://techcombank.com/thong-tin/blog/tat-toan" TargetMode="External"/><Relationship Id="rId1003" Type="http://schemas.openxmlformats.org/officeDocument/2006/relationships/hyperlink" Target="https://techcombank.com/thong-tin/blog/the-tin-dung-quoc-te" TargetMode="External"/><Relationship Id="rId2334" Type="http://schemas.openxmlformats.org/officeDocument/2006/relationships/hyperlink" Target="https://techcombank.com/thong-tin/blog/chuyen-tien-di-uc" TargetMode="External"/><Relationship Id="rId1037" Type="http://schemas.openxmlformats.org/officeDocument/2006/relationships/hyperlink" Target="https://techcombank.com/thong-tin/blog/mo-the-tin-dung-chi-can-cccd" TargetMode="External"/><Relationship Id="rId2368" Type="http://schemas.openxmlformats.org/officeDocument/2006/relationships/hyperlink" Target="https://techcombank.com/thong-tin/blog/ngan-hang-xanh" TargetMode="External"/><Relationship Id="rId1038" Type="http://schemas.openxmlformats.org/officeDocument/2006/relationships/hyperlink" Target="https://techcombank.com/thong-tin/blog/mo-the-tin-dung-khong-can-chung-minh-thu-nhap" TargetMode="External"/><Relationship Id="rId2369" Type="http://schemas.openxmlformats.org/officeDocument/2006/relationships/hyperlink" Target="https://techcombank.com/thong-tin/blog/chung-chi-quy-mo-va-dong" TargetMode="External"/><Relationship Id="rId1039" Type="http://schemas.openxmlformats.org/officeDocument/2006/relationships/hyperlink" Target="https://techcombank.com/thong-tin/blog/cac-loai-the-tin-dung" TargetMode="External"/><Relationship Id="rId206" Type="http://schemas.openxmlformats.org/officeDocument/2006/relationships/hyperlink" Target="https://techcombank.com/thong-tin/blog/co-50-trieu-nen-mua-vang-hay-gui-tiet-kiem" TargetMode="External"/><Relationship Id="rId205" Type="http://schemas.openxmlformats.org/officeDocument/2006/relationships/hyperlink" Target="https://techcombank.com/thong-tin/blog/dau-co-va-dau-tu" TargetMode="External"/><Relationship Id="rId204" Type="http://schemas.openxmlformats.org/officeDocument/2006/relationships/hyperlink" Target="https://techcombank.com/thong-tin/blog/cach-tinh-loi-nhuan-chung-chi-tien-gui" TargetMode="External"/><Relationship Id="rId203" Type="http://schemas.openxmlformats.org/officeDocument/2006/relationships/hyperlink" Target="https://techcombank.com/thong-tin/blog/mua-chung-chi-quy" TargetMode="External"/><Relationship Id="rId209" Type="http://schemas.openxmlformats.org/officeDocument/2006/relationships/hyperlink" Target="https://techcombank.com/thong-tin/blog/cach-nop-thue-dien-tu" TargetMode="External"/><Relationship Id="rId208" Type="http://schemas.openxmlformats.org/officeDocument/2006/relationships/hyperlink" Target="https://techcombank.com/thong-tin/blog/ngoai-hoi-la-gi" TargetMode="External"/><Relationship Id="rId207" Type="http://schemas.openxmlformats.org/officeDocument/2006/relationships/hyperlink" Target="https://techcombank.com/thong-tin/blog/toi-uu-hoa-chi-phi-trong-doanh-nghiep" TargetMode="External"/><Relationship Id="rId2360" Type="http://schemas.openxmlformats.org/officeDocument/2006/relationships/hyperlink" Target="https://techcombank.com/thong-tin/blog/du-no-tin-dung-la-gi" TargetMode="External"/><Relationship Id="rId1030" Type="http://schemas.openxmlformats.org/officeDocument/2006/relationships/hyperlink" Target="https://techcombank.com/thong-tin/blog/uu-dai-the-tin-dung" TargetMode="External"/><Relationship Id="rId2361" Type="http://schemas.openxmlformats.org/officeDocument/2006/relationships/hyperlink" Target="https://techcombank.com/thong-tin/blog/bao-hiem-lien-ket-dau-tu" TargetMode="External"/><Relationship Id="rId1031" Type="http://schemas.openxmlformats.org/officeDocument/2006/relationships/hyperlink" Target="https://techcombank.com/thong-tin/blog/the-tin-dung-la-gi" TargetMode="External"/><Relationship Id="rId2362" Type="http://schemas.openxmlformats.org/officeDocument/2006/relationships/hyperlink" Target="https://techcombank.com/thong-tin/blog/anh-sang-cuoi-duong-ham-xuat-hien-trai-phieu-doanh-nghiep-tot-va-an-toan-se-duoc-nha-dau-tu-chon" TargetMode="External"/><Relationship Id="rId1032" Type="http://schemas.openxmlformats.org/officeDocument/2006/relationships/hyperlink" Target="https://techcombank.com/thong-tin/blog/tai-khoan-ngan-hang-la-gi" TargetMode="External"/><Relationship Id="rId2363" Type="http://schemas.openxmlformats.org/officeDocument/2006/relationships/hyperlink" Target="https://techcombank.com/thong-tin/blog/vang-giam" TargetMode="External"/><Relationship Id="rId202" Type="http://schemas.openxmlformats.org/officeDocument/2006/relationships/hyperlink" Target="https://techcombank.com/thong-tin/blog/danh-muc-dau-tu" TargetMode="External"/><Relationship Id="rId1033" Type="http://schemas.openxmlformats.org/officeDocument/2006/relationships/hyperlink" Target="https://techcombank.com/thong-tin/blog/cach-huy-the-tin-dung" TargetMode="External"/><Relationship Id="rId2364" Type="http://schemas.openxmlformats.org/officeDocument/2006/relationships/hyperlink" Target="https://techcombank.com/thong-tin/blog/chung-chi-quy-dong" TargetMode="External"/><Relationship Id="rId201" Type="http://schemas.openxmlformats.org/officeDocument/2006/relationships/hyperlink" Target="https://techcombank.com/thong-tin/blog/ho-kinh-doanh-can-gi-o-tai-khoan-ngan-hang" TargetMode="External"/><Relationship Id="rId1034" Type="http://schemas.openxmlformats.org/officeDocument/2006/relationships/hyperlink" Target="https://techcombank.com/thong-tin/blog/the-tin-dung-den" TargetMode="External"/><Relationship Id="rId2365" Type="http://schemas.openxmlformats.org/officeDocument/2006/relationships/hyperlink" Target="https://techcombank.com/thong-tin/blog/bang-can-doi-tai-chinh" TargetMode="External"/><Relationship Id="rId200" Type="http://schemas.openxmlformats.org/officeDocument/2006/relationships/hyperlink" Target="https://techcombank.com/thong-tin/blog/lai-suat-chung-chi-quy" TargetMode="External"/><Relationship Id="rId1035" Type="http://schemas.openxmlformats.org/officeDocument/2006/relationships/hyperlink" Target="https://techcombank.com/thong-tin/blog/lai-suat-the-tin-dung" TargetMode="External"/><Relationship Id="rId2366" Type="http://schemas.openxmlformats.org/officeDocument/2006/relationships/hyperlink" Target="https://techcombank.com/thong-tin/blog/bao-hiem-sinh-ky-la-gi" TargetMode="External"/><Relationship Id="rId1036" Type="http://schemas.openxmlformats.org/officeDocument/2006/relationships/hyperlink" Target="https://techcombank.com/thong-tin/blog/thanh-toan-tien-dien-bang-the-tin-dung" TargetMode="External"/><Relationship Id="rId2367" Type="http://schemas.openxmlformats.org/officeDocument/2006/relationships/hyperlink" Target="https://techcombank.com/thong-tin/blog/ly-do-ngan-hang-so-tro-thanh-cong-cu-tai-chinh-hang-dau-cua-gioi-tre" TargetMode="External"/><Relationship Id="rId1026" Type="http://schemas.openxmlformats.org/officeDocument/2006/relationships/hyperlink" Target="https://techcombank.com/thong-tin/blog/the-tin-dung-mien-lai-55-ngay" TargetMode="External"/><Relationship Id="rId2357" Type="http://schemas.openxmlformats.org/officeDocument/2006/relationships/hyperlink" Target="https://techcombank.com/thong-tin/blog/cach-tinh-loi-nhuan-chung-chi-tien-gui" TargetMode="External"/><Relationship Id="rId1027" Type="http://schemas.openxmlformats.org/officeDocument/2006/relationships/hyperlink" Target="https://techcombank.com/thong-tin/blog/lam-the-tin-dung-co-mat-phi-khong" TargetMode="External"/><Relationship Id="rId2358" Type="http://schemas.openxmlformats.org/officeDocument/2006/relationships/hyperlink" Target="https://techcombank.com/thong-tin/blog/rut-tien-bao-hiem-nhan-tho-khi-het-han" TargetMode="External"/><Relationship Id="rId1028" Type="http://schemas.openxmlformats.org/officeDocument/2006/relationships/hyperlink" Target="https://techcombank.com/thong-tin/blog/thoi-gian-hoan-tien-the-tin-dung" TargetMode="External"/><Relationship Id="rId2359" Type="http://schemas.openxmlformats.org/officeDocument/2006/relationships/hyperlink" Target="https://techcombank.com/thong-tin/blog/ho-kinh-doanh-can-gi-o-tai-khoan-ngan-hang" TargetMode="External"/><Relationship Id="rId1029" Type="http://schemas.openxmlformats.org/officeDocument/2006/relationships/hyperlink" Target="https://techcombank.com/thong-tin/blog/uu-dai-mo-the-tin-dung" TargetMode="External"/><Relationship Id="rId2350" Type="http://schemas.openxmlformats.org/officeDocument/2006/relationships/hyperlink" Target="https://techcombank.com/thong-tin/blog/chung-chi-tien-gui-co-phai-la-trai-phieu-khong" TargetMode="External"/><Relationship Id="rId1020" Type="http://schemas.openxmlformats.org/officeDocument/2006/relationships/hyperlink" Target="https://techcombank.com/thong-tin/blog/khong-su-dung-the-tin-dung-co-mat-phi-khong" TargetMode="External"/><Relationship Id="rId2351" Type="http://schemas.openxmlformats.org/officeDocument/2006/relationships/hyperlink" Target="https://techcombank.com/thong-tin/blog/thi-truong-trai-phieu-am-tro-lai-nha-dau-tu-san-sang-cho-nhung-co-hoi-sinh-loi-moi" TargetMode="External"/><Relationship Id="rId1021" Type="http://schemas.openxmlformats.org/officeDocument/2006/relationships/hyperlink" Target="https://techcombank.com/thong-tin/blog/thanh-toan-khoan-vay" TargetMode="External"/><Relationship Id="rId2352" Type="http://schemas.openxmlformats.org/officeDocument/2006/relationships/hyperlink" Target="https://techcombank.com/thong-tin/blog/tinh-thanh-khoan-la-gi" TargetMode="External"/><Relationship Id="rId1022" Type="http://schemas.openxmlformats.org/officeDocument/2006/relationships/hyperlink" Target="https://techcombank.com/thong-tin/blog/dao-han-the-tin-dung" TargetMode="External"/><Relationship Id="rId2353" Type="http://schemas.openxmlformats.org/officeDocument/2006/relationships/hyperlink" Target="https://techcombank.com/thong-tin/blog/kinh-nghiem-mua-vang-tich-tru" TargetMode="External"/><Relationship Id="rId1023" Type="http://schemas.openxmlformats.org/officeDocument/2006/relationships/hyperlink" Target="https://techcombank.com/thong-tin/blog/the-tin-dung-techcombank-visa-eco" TargetMode="External"/><Relationship Id="rId2354" Type="http://schemas.openxmlformats.org/officeDocument/2006/relationships/hyperlink" Target="https://techcombank.com/thong-tin/blog/mo-tai-khoan-ngan-hang-cho-tre-em" TargetMode="External"/><Relationship Id="rId1024" Type="http://schemas.openxmlformats.org/officeDocument/2006/relationships/hyperlink" Target="https://techcombank.com/thong-tin/blog/mo-the-tin-dung-co-loi-ich-gi" TargetMode="External"/><Relationship Id="rId2355" Type="http://schemas.openxmlformats.org/officeDocument/2006/relationships/hyperlink" Target="https://techcombank.com/thong-tin/blog/danh-muc-dau-tu" TargetMode="External"/><Relationship Id="rId1025" Type="http://schemas.openxmlformats.org/officeDocument/2006/relationships/hyperlink" Target="https://techcombank.com/thong-tin/blog/lam-the-tin-dung" TargetMode="External"/><Relationship Id="rId2356" Type="http://schemas.openxmlformats.org/officeDocument/2006/relationships/hyperlink" Target="https://techcombank.com/thong-tin/blog/vay-tin-chap-theo-luong" TargetMode="External"/><Relationship Id="rId1910" Type="http://schemas.openxmlformats.org/officeDocument/2006/relationships/hyperlink" Target="https://techcombank.com/thong-tin/blog/thanh-toan-khong-dung-tien-mat" TargetMode="External"/><Relationship Id="rId1911" Type="http://schemas.openxmlformats.org/officeDocument/2006/relationships/hyperlink" Target="https://techcombank.com/thong-tin/blog/mo-tai-khoan-ho-kinh-doanh" TargetMode="External"/><Relationship Id="rId1912" Type="http://schemas.openxmlformats.org/officeDocument/2006/relationships/hyperlink" Target="https://techcombank.com/thong-tin/blog/nhung-chi-phi-khong-duoc-tru-khi-tinh-thue-tndn" TargetMode="External"/><Relationship Id="rId1913" Type="http://schemas.openxmlformats.org/officeDocument/2006/relationships/hyperlink" Target="https://techcombank.com/thong-tin/blog/giai-dap-ve-thue-doanh-nghiep" TargetMode="External"/><Relationship Id="rId1914" Type="http://schemas.openxmlformats.org/officeDocument/2006/relationships/hyperlink" Target="https://techcombank.com/thong-tin/blog/nen-thanh-lap-ho-kinh-doanh-ke-khai-hay-doanh-nghiep" TargetMode="External"/><Relationship Id="rId1915" Type="http://schemas.openxmlformats.org/officeDocument/2006/relationships/hyperlink" Target="https://techcombank.com/thong-tin/blog/due-diligence" TargetMode="External"/><Relationship Id="rId1916" Type="http://schemas.openxmlformats.org/officeDocument/2006/relationships/hyperlink" Target="https://techcombank.com/thong-tin/blog/vay-tin-chap-ho-kinh-doanh" TargetMode="External"/><Relationship Id="rId1917" Type="http://schemas.openxmlformats.org/officeDocument/2006/relationships/hyperlink" Target="https://techcombank.com/thong-tin/blog/tra-cuu-no-thue-ho-kinh-doanh" TargetMode="External"/><Relationship Id="rId1918" Type="http://schemas.openxmlformats.org/officeDocument/2006/relationships/hyperlink" Target="https://techcombank.com/thong-tin/blog/lien-ket-tai-khoan-ngan-hang-voi-etax-mobile" TargetMode="External"/><Relationship Id="rId1919" Type="http://schemas.openxmlformats.org/officeDocument/2006/relationships/hyperlink" Target="https://techcombank.com/thong-tin/blog/thu-tuc-vay-von-kinh-doanh-nho" TargetMode="External"/><Relationship Id="rId1900" Type="http://schemas.openxmlformats.org/officeDocument/2006/relationships/hyperlink" Target="https://techcombank.com/thong-tin/blog/cach-tinh-thue-ho-kinh-doanh-nho-le" TargetMode="External"/><Relationship Id="rId1901" Type="http://schemas.openxmlformats.org/officeDocument/2006/relationships/hyperlink" Target="https://techcombank.com/thong-tin/blog/loi-ich-khi-ho-kinh-doanh-chuyen-len-doanh-nghiep" TargetMode="External"/><Relationship Id="rId1902" Type="http://schemas.openxmlformats.org/officeDocument/2006/relationships/hyperlink" Target="https://techcombank.com/thong-tin/blog/tiem-nang-chuyen-doi-tu-ho-kinh-doanh-len-doanh-nghiep-sme" TargetMode="External"/><Relationship Id="rId1903" Type="http://schemas.openxmlformats.org/officeDocument/2006/relationships/hyperlink" Target="https://techcombank.com/thong-tin/blog/quyet-toan-thue-thu-nhap-ca-nhan" TargetMode="External"/><Relationship Id="rId1904" Type="http://schemas.openxmlformats.org/officeDocument/2006/relationships/hyperlink" Target="https://techcombank.com/thong-tin/blog/cach-tinh-thue-thu-nhap-doanh-nghiep" TargetMode="External"/><Relationship Id="rId1905" Type="http://schemas.openxmlformats.org/officeDocument/2006/relationships/hyperlink" Target="https://techcombank.com/thong-tin/blog/lai-suat-vay-kinh-doanh" TargetMode="External"/><Relationship Id="rId1906" Type="http://schemas.openxmlformats.org/officeDocument/2006/relationships/hyperlink" Target="https://techcombank.com/thong-tin/blog/khoi-nghiep-truoc-chinh-sach-thue-moi" TargetMode="External"/><Relationship Id="rId1907" Type="http://schemas.openxmlformats.org/officeDocument/2006/relationships/hyperlink" Target="https://techcombank.com/thong-tin/blog/cach-tra-cuu-hoa-don-dien-tu" TargetMode="External"/><Relationship Id="rId1908" Type="http://schemas.openxmlformats.org/officeDocument/2006/relationships/hyperlink" Target="https://techcombank.com/thong-tin/blog/tra-cuu-no-thue-hai-quan" TargetMode="External"/><Relationship Id="rId1909" Type="http://schemas.openxmlformats.org/officeDocument/2006/relationships/hyperlink" Target="https://techcombank.com/thong-tin/blog/chuyen-doi-ho-kinh-doanh-len-doanh-nghiep" TargetMode="External"/><Relationship Id="rId1090" Type="http://schemas.openxmlformats.org/officeDocument/2006/relationships/hyperlink" Target="https://techcombank.com/thong-tin/blog/lam-the-visa-o-dau" TargetMode="External"/><Relationship Id="rId1091" Type="http://schemas.openxmlformats.org/officeDocument/2006/relationships/hyperlink" Target="https://techcombank.com/thong-tin/blog/vay-15-trieu" TargetMode="External"/><Relationship Id="rId1092" Type="http://schemas.openxmlformats.org/officeDocument/2006/relationships/hyperlink" Target="https://techcombank.com/thong-tin/blog/thu-tuc-vay-von-ngan-hang-de-xay-nha" TargetMode="External"/><Relationship Id="rId1093" Type="http://schemas.openxmlformats.org/officeDocument/2006/relationships/hyperlink" Target="https://techcombank.com/thong-tin/blog/vay-the-chap-hop-dong-mua-ban-can-ho" TargetMode="External"/><Relationship Id="rId1094" Type="http://schemas.openxmlformats.org/officeDocument/2006/relationships/hyperlink" Target="https://techcombank.com/thong-tin/blog/tin-chap-doanh-nghiep" TargetMode="External"/><Relationship Id="rId1095" Type="http://schemas.openxmlformats.org/officeDocument/2006/relationships/hyperlink" Target="https://techcombank.com/thong-tin/blog/vay-40-trieu" TargetMode="External"/><Relationship Id="rId1096" Type="http://schemas.openxmlformats.org/officeDocument/2006/relationships/hyperlink" Target="https://techcombank.com/thong-tin/blog/vay-sinh-vien" TargetMode="External"/><Relationship Id="rId1097" Type="http://schemas.openxmlformats.org/officeDocument/2006/relationships/hyperlink" Target="https://techcombank.com/thong-tin/blog/vay-the-chap-so-hong" TargetMode="External"/><Relationship Id="rId1098" Type="http://schemas.openxmlformats.org/officeDocument/2006/relationships/hyperlink" Target="https://techcombank.com/thong-tin/blog/vay-tin-chap-toi-da-duoc-bao-nhieu" TargetMode="External"/><Relationship Id="rId1099" Type="http://schemas.openxmlformats.org/officeDocument/2006/relationships/hyperlink" Target="https://techcombank.com/thong-tin/blog/bao-hiem-vat-chat-xe-o-to" TargetMode="External"/><Relationship Id="rId1080" Type="http://schemas.openxmlformats.org/officeDocument/2006/relationships/hyperlink" Target="https://techcombank.com/thong-tin/blog/cho-vay-kinh-doanh-ho-gia-dinh" TargetMode="External"/><Relationship Id="rId1081" Type="http://schemas.openxmlformats.org/officeDocument/2006/relationships/hyperlink" Target="https://techcombank.com/thong-tin/blog/vay-von-doanh-nghiep-nho" TargetMode="External"/><Relationship Id="rId1082" Type="http://schemas.openxmlformats.org/officeDocument/2006/relationships/hyperlink" Target="https://techcombank.com/thong-tin/blog/lam-the-visa-mat-bao-lau" TargetMode="External"/><Relationship Id="rId1083" Type="http://schemas.openxmlformats.org/officeDocument/2006/relationships/hyperlink" Target="https://techcombank.com/thong-tin/blog/lam-the-visa-online" TargetMode="External"/><Relationship Id="rId1084" Type="http://schemas.openxmlformats.org/officeDocument/2006/relationships/hyperlink" Target="https://techcombank.com/thong-tin/blog/the-visa-co-may-loai" TargetMode="External"/><Relationship Id="rId1085" Type="http://schemas.openxmlformats.org/officeDocument/2006/relationships/hyperlink" Target="https://techcombank.com/thong-tin/blog/vay-the-chap-toi-da-duoc-bao-nhieu" TargetMode="External"/><Relationship Id="rId1086" Type="http://schemas.openxmlformats.org/officeDocument/2006/relationships/hyperlink" Target="https://techcombank.com/thong-tin/blog/the-visa-ao-la-gi" TargetMode="External"/><Relationship Id="rId1087" Type="http://schemas.openxmlformats.org/officeDocument/2006/relationships/hyperlink" Target="https://techcombank.com/thong-tin/blog/the-visa-co-thanh-toan-quoc-te-duoc-khong" TargetMode="External"/><Relationship Id="rId1088" Type="http://schemas.openxmlformats.org/officeDocument/2006/relationships/hyperlink" Target="https://techcombank.com/thong-tin/blog/vay-mua-dien-thoai" TargetMode="External"/><Relationship Id="rId1089" Type="http://schemas.openxmlformats.org/officeDocument/2006/relationships/hyperlink" Target="https://techcombank.com/thong-tin/blog/nen-lam-the-visa-hay-noi-dia" TargetMode="External"/><Relationship Id="rId1972" Type="http://schemas.openxmlformats.org/officeDocument/2006/relationships/hyperlink" Target="https://techcombank.com/thong-tin/blog/in-ma-qr-ngan-hang" TargetMode="External"/><Relationship Id="rId1973" Type="http://schemas.openxmlformats.org/officeDocument/2006/relationships/hyperlink" Target="https://techcombank.com/thong-tin/blog/lo-ma-qr-ngan-hang-co-sao-khong" TargetMode="External"/><Relationship Id="rId1974" Type="http://schemas.openxmlformats.org/officeDocument/2006/relationships/hyperlink" Target="https://techcombank.com/thong-tin/blog/lam-ma-qr-ngan-hang-co-mat-phi-khong" TargetMode="External"/><Relationship Id="rId1975" Type="http://schemas.openxmlformats.org/officeDocument/2006/relationships/hyperlink" Target="https://techcombank.com/thong-tin/blog/ma-qr-ngan-hang-khong-hop-le" TargetMode="External"/><Relationship Id="rId1976" Type="http://schemas.openxmlformats.org/officeDocument/2006/relationships/hyperlink" Target="https://techcombank.com/thong-tin/blog/quet-ma-qr-techcombank" TargetMode="External"/><Relationship Id="rId1977" Type="http://schemas.openxmlformats.org/officeDocument/2006/relationships/hyperlink" Target="https://techcombank.com/thong-tin/blog/tao-ma-qr-thanh-toan-cho-cua-hang" TargetMode="External"/><Relationship Id="rId1978" Type="http://schemas.openxmlformats.org/officeDocument/2006/relationships/hyperlink" Target="https://techcombank.com/thong-tin/blog/pos" TargetMode="External"/><Relationship Id="rId1979" Type="http://schemas.openxmlformats.org/officeDocument/2006/relationships/hyperlink" Target="https://techcombank.com/thong-tin/blog/softpos" TargetMode="External"/><Relationship Id="rId1970" Type="http://schemas.openxmlformats.org/officeDocument/2006/relationships/hyperlink" Target="https://techcombank.com/thong-tin/blog/dang-ky-kinh-doanh-la-gi" TargetMode="External"/><Relationship Id="rId1971" Type="http://schemas.openxmlformats.org/officeDocument/2006/relationships/hyperlink" Target="https://techcombank.com/thong-tin/blog/cach-tao-ma-qr" TargetMode="External"/><Relationship Id="rId1961" Type="http://schemas.openxmlformats.org/officeDocument/2006/relationships/hyperlink" Target="https://techcombank.com/thong-tin/blog/cach-tao-ma-qr" TargetMode="External"/><Relationship Id="rId1962" Type="http://schemas.openxmlformats.org/officeDocument/2006/relationships/hyperlink" Target="https://techcombank.com/thong-tin/blog/thue-phi-co-dinh-khi-chuyen-doi-tu-ho-kinh-doanh-len-doanh-nghiep" TargetMode="External"/><Relationship Id="rId1963" Type="http://schemas.openxmlformats.org/officeDocument/2006/relationships/hyperlink" Target="https://techcombank.com/thong-tin/blog/ho-kinh-doanh-ca-the" TargetMode="External"/><Relationship Id="rId1964" Type="http://schemas.openxmlformats.org/officeDocument/2006/relationships/hyperlink" Target="https://techcombank.com/thong-tin/blog/cac-sai-lam-pho-bien-khi-chuyen-doi-ho-kinh-doanh-len-sme" TargetMode="External"/><Relationship Id="rId1965" Type="http://schemas.openxmlformats.org/officeDocument/2006/relationships/hyperlink" Target="https://techcombank.com/thong-tin/blog/tim-hieu-ve-chinh-sach-thue-moi" TargetMode="External"/><Relationship Id="rId1966" Type="http://schemas.openxmlformats.org/officeDocument/2006/relationships/hyperlink" Target="https://techcombank.com/thong-tin/blog/chuyen-doi-ho-kinh-doanh-len-doanh-nghiep" TargetMode="External"/><Relationship Id="rId1967" Type="http://schemas.openxmlformats.org/officeDocument/2006/relationships/hyperlink" Target="https://techcombank.com/thong-tin/blog/nen-thanh-lap-ho-kinh-doanh-ke-khai-hay-doanh-nghiep" TargetMode="External"/><Relationship Id="rId1968" Type="http://schemas.openxmlformats.org/officeDocument/2006/relationships/hyperlink" Target="https://techcombank.com/thong-tin/blog/tiem-nang-chuyen-doi-tu-ho-kinh-doanh-len-doanh-nghiep-sme" TargetMode="External"/><Relationship Id="rId1969" Type="http://schemas.openxmlformats.org/officeDocument/2006/relationships/hyperlink" Target="https://techcombank.com/thong-tin/blog/giay-phep-kinh-doanh" TargetMode="External"/><Relationship Id="rId1960" Type="http://schemas.openxmlformats.org/officeDocument/2006/relationships/hyperlink" Target="https://techcombank.com/thong-tin/blog/top-phan-mem-ban-hang" TargetMode="External"/><Relationship Id="rId1994" Type="http://schemas.openxmlformats.org/officeDocument/2006/relationships/hyperlink" Target="https://techcombank.com/thong-tin/blog/cach-chuyen-tien" TargetMode="External"/><Relationship Id="rId1995" Type="http://schemas.openxmlformats.org/officeDocument/2006/relationships/hyperlink" Target="https://techcombank.com/thong-tin/blog/cach-chuyen-tien-qua-ma-qr-techcombank" TargetMode="External"/><Relationship Id="rId1996" Type="http://schemas.openxmlformats.org/officeDocument/2006/relationships/hyperlink" Target="https://techcombank.com/thong-tin/blog/thanh-toan-qr-thai-lan" TargetMode="External"/><Relationship Id="rId1997" Type="http://schemas.openxmlformats.org/officeDocument/2006/relationships/hyperlink" Target="https://techcombank.com/thong-tin/blog/one-stop-shop" TargetMode="External"/><Relationship Id="rId1998" Type="http://schemas.openxmlformats.org/officeDocument/2006/relationships/hyperlink" Target="https://techcombank.com/thong-tin/blog/loa-thong-bao-chuyen-khoan" TargetMode="External"/><Relationship Id="rId1999" Type="http://schemas.openxmlformats.org/officeDocument/2006/relationships/hyperlink" Target="https://techcombank.com/thong-tin/blog/top-phan-mem-ban-hang" TargetMode="External"/><Relationship Id="rId1990" Type="http://schemas.openxmlformats.org/officeDocument/2006/relationships/hyperlink" Target="https://techcombank.com/thong-tin/blog/qr-code-phuong-thuc-thanh-toan-toi-uu-trong-ky-nguyen-so" TargetMode="External"/><Relationship Id="rId1991" Type="http://schemas.openxmlformats.org/officeDocument/2006/relationships/hyperlink" Target="https://techcombank.com/thong-tin/blog/rut-tien-bang-ma-qr-la-gi-cach-thuc-hien-nhu-the-nao" TargetMode="External"/><Relationship Id="rId1992" Type="http://schemas.openxmlformats.org/officeDocument/2006/relationships/hyperlink" Target="https://techcombank.com/thong-tin/blog/cach-chuyen-khoan-bang-dien-thoai" TargetMode="External"/><Relationship Id="rId1993" Type="http://schemas.openxmlformats.org/officeDocument/2006/relationships/hyperlink" Target="https://techcombank.com/thong-tin/blog/cach-rut-tien-atm" TargetMode="External"/><Relationship Id="rId1983" Type="http://schemas.openxmlformats.org/officeDocument/2006/relationships/hyperlink" Target="https://techcombank.com/thong-tin/blog/so-sanh-ma-qr-va-ma-vach" TargetMode="External"/><Relationship Id="rId1984" Type="http://schemas.openxmlformats.org/officeDocument/2006/relationships/hyperlink" Target="https://techcombank.com/thong-tin/blog/qr-code-doanh-nghiep" TargetMode="External"/><Relationship Id="rId1985" Type="http://schemas.openxmlformats.org/officeDocument/2006/relationships/hyperlink" Target="https://techcombank.com/thong-tin/blog/thanh-toan-bang-ma-qr" TargetMode="External"/><Relationship Id="rId1986" Type="http://schemas.openxmlformats.org/officeDocument/2006/relationships/hyperlink" Target="https://techcombank.com/thong-tin/blog/cach-tao-ma-qr-code-mien-phi" TargetMode="External"/><Relationship Id="rId1987" Type="http://schemas.openxmlformats.org/officeDocument/2006/relationships/hyperlink" Target="https://techcombank.com/thong-tin/blog/qr-dong" TargetMode="External"/><Relationship Id="rId1988" Type="http://schemas.openxmlformats.org/officeDocument/2006/relationships/hyperlink" Target="https://techcombank.com/thong-tin/blog/rut-tien-bang-ma-qr-khac-ngan-hang-duoc-khong" TargetMode="External"/><Relationship Id="rId1989" Type="http://schemas.openxmlformats.org/officeDocument/2006/relationships/hyperlink" Target="https://techcombank.com/thong-tin/blog/thanh-toan-ma-qr-tro-thanh-phuong-thuc-duoc-ua-chuong-va-trien-khai-manh-me" TargetMode="External"/><Relationship Id="rId1980" Type="http://schemas.openxmlformats.org/officeDocument/2006/relationships/hyperlink" Target="https://techcombank.com/thong-tin/blog/merchant-la-gi" TargetMode="External"/><Relationship Id="rId1981" Type="http://schemas.openxmlformats.org/officeDocument/2006/relationships/hyperlink" Target="https://techcombank.com/thong-tin/blog/ma-qr-lam-gia-duoc-khong" TargetMode="External"/><Relationship Id="rId1982" Type="http://schemas.openxmlformats.org/officeDocument/2006/relationships/hyperlink" Target="https://techcombank.com/thong-tin/blog/ma-qr-techcombank" TargetMode="External"/><Relationship Id="rId1930" Type="http://schemas.openxmlformats.org/officeDocument/2006/relationships/hyperlink" Target="https://techcombank.com/thong-tin/blog/cach-kiem-tra-tai-khoan-ngan-hang-cua-cong-ty" TargetMode="External"/><Relationship Id="rId1931" Type="http://schemas.openxmlformats.org/officeDocument/2006/relationships/hyperlink" Target="https://techcombank.com/thong-tin/blog/kiem-tra-ma-so-thue-doanh-nghiep" TargetMode="External"/><Relationship Id="rId1932" Type="http://schemas.openxmlformats.org/officeDocument/2006/relationships/hyperlink" Target="https://techcombank.com/thong-tin/blog/barcode-la-gi" TargetMode="External"/><Relationship Id="rId1933" Type="http://schemas.openxmlformats.org/officeDocument/2006/relationships/hyperlink" Target="https://techcombank.com/thong-tin/blog/tra-cuu-ma-so-thue-ho-kinh-doanh" TargetMode="External"/><Relationship Id="rId1934" Type="http://schemas.openxmlformats.org/officeDocument/2006/relationships/hyperlink" Target="https://techcombank.com/thong-tin/blog/dang-ky-thue-ho-kinh-doanh-ca-the-online" TargetMode="External"/><Relationship Id="rId1935" Type="http://schemas.openxmlformats.org/officeDocument/2006/relationships/hyperlink" Target="https://techcombank.com/thong-tin/blog/chuyen-doi-so-ho-kinh-doanh" TargetMode="External"/><Relationship Id="rId1936" Type="http://schemas.openxmlformats.org/officeDocument/2006/relationships/hyperlink" Target="https://techcombank.com/thong-tin/blog/chinh-sach-thue-moi" TargetMode="External"/><Relationship Id="rId1937" Type="http://schemas.openxmlformats.org/officeDocument/2006/relationships/hyperlink" Target="https://techcombank.com/thong-tin/blog/hoa-don-dien-tu" TargetMode="External"/><Relationship Id="rId1938" Type="http://schemas.openxmlformats.org/officeDocument/2006/relationships/hyperlink" Target="https://techcombank.com/thong-tin/blog/luat-thuong-mai-dien-tu" TargetMode="External"/><Relationship Id="rId1939" Type="http://schemas.openxmlformats.org/officeDocument/2006/relationships/hyperlink" Target="https://techcombank.com/thong-tin/blog/ke-khai-thue-ho-kinh-doanh-ca-the-online" TargetMode="External"/><Relationship Id="rId1920" Type="http://schemas.openxmlformats.org/officeDocument/2006/relationships/hyperlink" Target="https://techcombank.com/thong-tin/blog/kiem-tra-thue-ho-kinh-doanh" TargetMode="External"/><Relationship Id="rId1921" Type="http://schemas.openxmlformats.org/officeDocument/2006/relationships/hyperlink" Target="https://techcombank.com/thong-tin/blog/cac-sai-lam-pho-bien-khi-chuyen-doi-ho-kinh-doanh-len-sme" TargetMode="External"/><Relationship Id="rId1922" Type="http://schemas.openxmlformats.org/officeDocument/2006/relationships/hyperlink" Target="https://techcombank.com/thong-tin/blog/giay-phep-kinh-doanh" TargetMode="External"/><Relationship Id="rId1923" Type="http://schemas.openxmlformats.org/officeDocument/2006/relationships/hyperlink" Target="https://techcombank.com/thong-tin/blog/tra-cuu-no-thue-ca-nhan" TargetMode="External"/><Relationship Id="rId1924" Type="http://schemas.openxmlformats.org/officeDocument/2006/relationships/hyperlink" Target="https://techcombank.com/thong-tin/blog/chuyen-doi-hoa-don-dien-tu" TargetMode="External"/><Relationship Id="rId1925" Type="http://schemas.openxmlformats.org/officeDocument/2006/relationships/hyperlink" Target="https://techcombank.com/thong-tin/blog/hoan-thue-thu-nhap-ca-nhan" TargetMode="External"/><Relationship Id="rId1926" Type="http://schemas.openxmlformats.org/officeDocument/2006/relationships/hyperlink" Target="https://techcombank.com/thong-tin/blog/dang-ky-kinh-doanh-la-gi" TargetMode="External"/><Relationship Id="rId1927" Type="http://schemas.openxmlformats.org/officeDocument/2006/relationships/hyperlink" Target="https://techcombank.com/thong-tin/blog/thay-doi-dia-chi-ho-kinh-doanh" TargetMode="External"/><Relationship Id="rId1928" Type="http://schemas.openxmlformats.org/officeDocument/2006/relationships/hyperlink" Target="https://techcombank.com/thong-tin/blog/cach-dang-ky-ma-so-thue-ho-kinh-doanh-online" TargetMode="External"/><Relationship Id="rId1929" Type="http://schemas.openxmlformats.org/officeDocument/2006/relationships/hyperlink" Target="https://techcombank.com/thong-tin/blog/luu-y-khi-chuyen-doi-tu-ho-kinh-doanh-len-doanh-nghiep" TargetMode="External"/><Relationship Id="rId1950" Type="http://schemas.openxmlformats.org/officeDocument/2006/relationships/hyperlink" Target="https://techcombank.com/thong-tin/blog/kiem-tra-thue-ho-kinh-doanh" TargetMode="External"/><Relationship Id="rId1951" Type="http://schemas.openxmlformats.org/officeDocument/2006/relationships/hyperlink" Target="https://techcombank.com/thong-tin/blog/giai-phap-quan-ly-chuoi-cua-hang" TargetMode="External"/><Relationship Id="rId1952" Type="http://schemas.openxmlformats.org/officeDocument/2006/relationships/hyperlink" Target="https://techcombank.com/thong-tin/blog/cach-dang-ky-ma-so-thue-ho-kinh-doanh-online" TargetMode="External"/><Relationship Id="rId1953" Type="http://schemas.openxmlformats.org/officeDocument/2006/relationships/hyperlink" Target="https://techcombank.com/thong-tin/blog/tra-cuu-ma-so-thue-ho-kinh-doanh" TargetMode="External"/><Relationship Id="rId1954" Type="http://schemas.openxmlformats.org/officeDocument/2006/relationships/hyperlink" Target="https://techcombank.com/thong-tin/blog/cua-hang-tien-loi" TargetMode="External"/><Relationship Id="rId1955" Type="http://schemas.openxmlformats.org/officeDocument/2006/relationships/hyperlink" Target="https://techcombank.com/thong-tin/blog/hieu-hiet-ve-tuan-thu-thue-cho-cac-doanh-nghiep-khoi-nghiep" TargetMode="External"/><Relationship Id="rId1956" Type="http://schemas.openxmlformats.org/officeDocument/2006/relationships/hyperlink" Target="https://techcombank.com/thong-tin/blog/vay-kinh-doanh-online" TargetMode="External"/><Relationship Id="rId1957" Type="http://schemas.openxmlformats.org/officeDocument/2006/relationships/hyperlink" Target="https://techcombank.com/thong-tin/blog/chuan-bi-cho-doanh-nghiep-khoi-nghiep-truoc-nhung-thay-doi-ve-thue" TargetMode="External"/><Relationship Id="rId1958" Type="http://schemas.openxmlformats.org/officeDocument/2006/relationships/hyperlink" Target="https://techcombank.com/thong-tin/blog/quan-ly-chi-phi-doanh-nghiep" TargetMode="External"/><Relationship Id="rId1959" Type="http://schemas.openxmlformats.org/officeDocument/2006/relationships/hyperlink" Target="https://techcombank.com/thong-tin/blog/tieu-dung-ben-vung" TargetMode="External"/><Relationship Id="rId1940" Type="http://schemas.openxmlformats.org/officeDocument/2006/relationships/hyperlink" Target="https://techcombank.com/thong-tin/blog/vay-the-chap-kinh-doanh" TargetMode="External"/><Relationship Id="rId1941" Type="http://schemas.openxmlformats.org/officeDocument/2006/relationships/hyperlink" Target="https://techcombank.com/thong-tin/blog/nhuong-quyen-la-gi" TargetMode="External"/><Relationship Id="rId1942" Type="http://schemas.openxmlformats.org/officeDocument/2006/relationships/hyperlink" Target="https://techcombank.com/thong-tin/blog/kinh-doanh-online" TargetMode="External"/><Relationship Id="rId1943" Type="http://schemas.openxmlformats.org/officeDocument/2006/relationships/hyperlink" Target="https://techcombank.com/thong-tin/blog/one-stop-shop" TargetMode="External"/><Relationship Id="rId1944" Type="http://schemas.openxmlformats.org/officeDocument/2006/relationships/hyperlink" Target="https://techcombank.com/thong-tin/blog/cac-loai-hinh-doanh-nghiep" TargetMode="External"/><Relationship Id="rId1945" Type="http://schemas.openxmlformats.org/officeDocument/2006/relationships/hyperlink" Target="https://techcombank.com/thong-tin/blog/merchant-la-gi" TargetMode="External"/><Relationship Id="rId1946" Type="http://schemas.openxmlformats.org/officeDocument/2006/relationships/hyperlink" Target="https://techcombank.com/thong-tin/blog/huong-dan-dang-ky-thanh-lap-doanh-nghiep" TargetMode="External"/><Relationship Id="rId1947" Type="http://schemas.openxmlformats.org/officeDocument/2006/relationships/hyperlink" Target="https://techcombank.com/thong-tin/blog/khoi-nghiep-truoc-chinh-sach-thue-moi" TargetMode="External"/><Relationship Id="rId1948" Type="http://schemas.openxmlformats.org/officeDocument/2006/relationships/hyperlink" Target="https://techcombank.com/thong-tin/blog/mo-tai-khoan-ho-kinh-doanh" TargetMode="External"/><Relationship Id="rId1949" Type="http://schemas.openxmlformats.org/officeDocument/2006/relationships/hyperlink" Target="https://techcombank.com/thong-tin/blog/quan-ly-chuoi-cua-hang" TargetMode="External"/><Relationship Id="rId2423" Type="http://schemas.openxmlformats.org/officeDocument/2006/relationships/hyperlink" Target="https://techcombank.com/thong-tin/blog/gui-tiet-kiem-usd" TargetMode="External"/><Relationship Id="rId2424" Type="http://schemas.openxmlformats.org/officeDocument/2006/relationships/hyperlink" Target="https://techcombank.com/thong-tin/blog/lai-suat-chung-chi-tien-gui-cac-ngan-hang" TargetMode="External"/><Relationship Id="rId2425" Type="http://schemas.openxmlformats.org/officeDocument/2006/relationships/hyperlink" Target="https://techcombank.com/thong-tin/blog/so-tiet-kiem-ngan-hang" TargetMode="External"/><Relationship Id="rId2426" Type="http://schemas.openxmlformats.org/officeDocument/2006/relationships/hyperlink" Target="https://techcombank.com/thong-tin/blog/app-gui-tien-tiet-kiem" TargetMode="External"/><Relationship Id="rId2427" Type="http://schemas.openxmlformats.org/officeDocument/2006/relationships/hyperlink" Target="https://techcombank.com/thong-tin/blog/bi-quyet-tiet-kiem-tien-mua-nha" TargetMode="External"/><Relationship Id="rId2428" Type="http://schemas.openxmlformats.org/officeDocument/2006/relationships/hyperlink" Target="https://techcombank.com/thong-tin/blog/tat-toan-so-tiet-kiem" TargetMode="External"/><Relationship Id="rId2429" Type="http://schemas.openxmlformats.org/officeDocument/2006/relationships/hyperlink" Target="https://techcombank.com/thong-tin/blog/tra-gop-shopee" TargetMode="External"/><Relationship Id="rId509" Type="http://schemas.openxmlformats.org/officeDocument/2006/relationships/hyperlink" Target="https://techcombank.com/thong-tin/blog/nhung-chi-phi-khong-duoc-tru-khi-tinh-thue-tndn" TargetMode="External"/><Relationship Id="rId508" Type="http://schemas.openxmlformats.org/officeDocument/2006/relationships/hyperlink" Target="https://techcombank.com/thong-tin/blog/thue-phi-co-dinh-khi-chuyen-doi-tu-ho-kinh-doanh-len-doanh-nghiep" TargetMode="External"/><Relationship Id="rId503" Type="http://schemas.openxmlformats.org/officeDocument/2006/relationships/hyperlink" Target="https://techcombank.com/thong-tin/blog/mo-the-tin-dung-khong-can-chung-minh-thu-nhap" TargetMode="External"/><Relationship Id="rId502" Type="http://schemas.openxmlformats.org/officeDocument/2006/relationships/hyperlink" Target="https://techcombank.com/thong-tin/blog/mua-nha-tra-gop-dua-truoc-100-trieu" TargetMode="External"/><Relationship Id="rId501" Type="http://schemas.openxmlformats.org/officeDocument/2006/relationships/hyperlink" Target="https://techcombank.com/thong-tin/blog/vay-tien-online" TargetMode="External"/><Relationship Id="rId500" Type="http://schemas.openxmlformats.org/officeDocument/2006/relationships/hyperlink" Target="https://techcombank.com/thong-tin/blog/mo-the-tin-dung-chi-can-cccd" TargetMode="External"/><Relationship Id="rId507" Type="http://schemas.openxmlformats.org/officeDocument/2006/relationships/hyperlink" Target="https://techcombank.com/thong-tin/blog/one-stop-shop" TargetMode="External"/><Relationship Id="rId506" Type="http://schemas.openxmlformats.org/officeDocument/2006/relationships/hyperlink" Target="https://techcombank.com/thong-tin/blog/hoa-don-dien-tu" TargetMode="External"/><Relationship Id="rId505" Type="http://schemas.openxmlformats.org/officeDocument/2006/relationships/hyperlink" Target="https://techcombank.com/thong-tin/blog/truy-thu-thue-ho-kinh-doanh" TargetMode="External"/><Relationship Id="rId504" Type="http://schemas.openxmlformats.org/officeDocument/2006/relationships/hyperlink" Target="https://techcombank.com/thong-tin/blog/dieu-kien-vay-the-chap" TargetMode="External"/><Relationship Id="rId2420" Type="http://schemas.openxmlformats.org/officeDocument/2006/relationships/hyperlink" Target="https://techcombank.com/thong-tin/blog/vay-tin-chap-la-gi" TargetMode="External"/><Relationship Id="rId2421" Type="http://schemas.openxmlformats.org/officeDocument/2006/relationships/hyperlink" Target="https://techcombank.com/thong-tin/blog/tien-gui-co-ky-han" TargetMode="External"/><Relationship Id="rId2422" Type="http://schemas.openxmlformats.org/officeDocument/2006/relationships/hyperlink" Target="https://techcombank.com/thong-tin/blog/lai-suat-gui-tiet-kiem-usd" TargetMode="External"/><Relationship Id="rId2412" Type="http://schemas.openxmlformats.org/officeDocument/2006/relationships/hyperlink" Target="https://techcombank.com/thong-tin/blog/gui-tiet-kiem-online-quay-vong-ca-goc-va-lai" TargetMode="External"/><Relationship Id="rId2413" Type="http://schemas.openxmlformats.org/officeDocument/2006/relationships/hyperlink" Target="https://techcombank.com/thong-tin/blog/chung-chi-tien-gui-khac-gi-so-tiet-kiem" TargetMode="External"/><Relationship Id="rId2414" Type="http://schemas.openxmlformats.org/officeDocument/2006/relationships/hyperlink" Target="https://techcombank.com/thong-tin/blog/dau-tu-dai-han" TargetMode="External"/><Relationship Id="rId2415" Type="http://schemas.openxmlformats.org/officeDocument/2006/relationships/hyperlink" Target="https://techcombank.com/thong-tin/blog/so-sanh-gui-tiet-kiem-online-va-tai-quay" TargetMode="External"/><Relationship Id="rId2416" Type="http://schemas.openxmlformats.org/officeDocument/2006/relationships/hyperlink" Target="https://techcombank.com/thong-tin/blog/lai-suat-vay-tin-chap" TargetMode="External"/><Relationship Id="rId2417" Type="http://schemas.openxmlformats.org/officeDocument/2006/relationships/hyperlink" Target="https://techcombank.com/thong-tin/blog/cach-tiet-kiem-tien-sinh-loi" TargetMode="External"/><Relationship Id="rId2418" Type="http://schemas.openxmlformats.org/officeDocument/2006/relationships/hyperlink" Target="https://techcombank.com/thong-tin/blog/co-50-trieu-nen-mua-vang-hay-gui-tiet-kiem" TargetMode="External"/><Relationship Id="rId2419" Type="http://schemas.openxmlformats.org/officeDocument/2006/relationships/hyperlink" Target="https://techcombank.com/thong-tin/blog/vay-20-trieu" TargetMode="External"/><Relationship Id="rId2410" Type="http://schemas.openxmlformats.org/officeDocument/2006/relationships/hyperlink" Target="https://techcombank.com/thong-tin/blog/lai-suat-vay-ngan-hang" TargetMode="External"/><Relationship Id="rId2411" Type="http://schemas.openxmlformats.org/officeDocument/2006/relationships/hyperlink" Target="https://techcombank.com/thong-tin/blog/gui-tiet-kiem-online-co-rut-truoc-han-duoc-khong" TargetMode="External"/><Relationship Id="rId1114" Type="http://schemas.openxmlformats.org/officeDocument/2006/relationships/hyperlink" Target="https://techcombank.com/thong-tin/blog/vay-mua-xe-tra-gop-ngan-hang-nao-tot-nhat" TargetMode="External"/><Relationship Id="rId2445" Type="http://schemas.openxmlformats.org/officeDocument/2006/relationships/hyperlink" Target="https://techcombank.com/thong-tin/blog/rut-tien-tiet-kiem-truoc-thoi-han" TargetMode="External"/><Relationship Id="rId1115" Type="http://schemas.openxmlformats.org/officeDocument/2006/relationships/hyperlink" Target="https://techcombank.com/thong-tin/blog/vay-ngan-hang-chi-can-cccd" TargetMode="External"/><Relationship Id="rId2446" Type="http://schemas.openxmlformats.org/officeDocument/2006/relationships/hyperlink" Target="https://techcombank.com/thong-tin/blog/lai-suat-la-gi" TargetMode="External"/><Relationship Id="rId1116" Type="http://schemas.openxmlformats.org/officeDocument/2006/relationships/hyperlink" Target="https://techcombank.com/thong-tin/blog/vay-thau-chi-bang-so-tiet-kiem" TargetMode="External"/><Relationship Id="rId2447" Type="http://schemas.openxmlformats.org/officeDocument/2006/relationships/hyperlink" Target="https://techcombank.com/thong-tin/blog/vi-sao-lai-suat-trai-phieu-tai-tcbs-lai-thap-hon-so-voi-cac-to-chuc-phat-hanh-khac" TargetMode="External"/><Relationship Id="rId1117" Type="http://schemas.openxmlformats.org/officeDocument/2006/relationships/hyperlink" Target="https://techcombank.com/thong-tin/blog/vay-tra-gop" TargetMode="External"/><Relationship Id="rId2448" Type="http://schemas.openxmlformats.org/officeDocument/2006/relationships/hyperlink" Target="https://techcombank.com/thong-tin/blog/cach-dau-tu" TargetMode="External"/><Relationship Id="rId1118" Type="http://schemas.openxmlformats.org/officeDocument/2006/relationships/hyperlink" Target="https://techcombank.com/thong-tin/blog/vay-20-trieu" TargetMode="External"/><Relationship Id="rId2449" Type="http://schemas.openxmlformats.org/officeDocument/2006/relationships/hyperlink" Target="https://techcombank.com/thong-tin/blog/vay-bo-sung-von-luu-dong" TargetMode="External"/><Relationship Id="rId1119" Type="http://schemas.openxmlformats.org/officeDocument/2006/relationships/hyperlink" Target="https://techcombank.com/thong-tin/blog/vay-the-chap-kinh-doanh" TargetMode="External"/><Relationship Id="rId525" Type="http://schemas.openxmlformats.org/officeDocument/2006/relationships/hyperlink" Target="https://techcombank.com/thong-tin/blog/so-tai-khoan-dep" TargetMode="External"/><Relationship Id="rId524" Type="http://schemas.openxmlformats.org/officeDocument/2006/relationships/hyperlink" Target="https://techcombank.com/thong-tin/blog/so-the-ngan-hang" TargetMode="External"/><Relationship Id="rId523" Type="http://schemas.openxmlformats.org/officeDocument/2006/relationships/hyperlink" Target="https://techcombank.com/thong-tin/blog/so-8386" TargetMode="External"/><Relationship Id="rId522" Type="http://schemas.openxmlformats.org/officeDocument/2006/relationships/hyperlink" Target="https://techcombank.com/thong-tin/blog/66666-co-y-nghia-gi" TargetMode="External"/><Relationship Id="rId529" Type="http://schemas.openxmlformats.org/officeDocument/2006/relationships/hyperlink" Target="https://techcombank.com/thong-tin/blog/so-6868" TargetMode="External"/><Relationship Id="rId528" Type="http://schemas.openxmlformats.org/officeDocument/2006/relationships/hyperlink" Target="https://techcombank.com/thong-tin/blog/so-du-tien-gui-la-gi" TargetMode="External"/><Relationship Id="rId527" Type="http://schemas.openxmlformats.org/officeDocument/2006/relationships/hyperlink" Target="https://techcombank.com/thong-tin/blog/so-du-tai-khoan-thanh-toan" TargetMode="External"/><Relationship Id="rId526" Type="http://schemas.openxmlformats.org/officeDocument/2006/relationships/hyperlink" Target="https://techcombank.com/thong-tin/blog/99999-co-y-nghia-gi" TargetMode="External"/><Relationship Id="rId2440" Type="http://schemas.openxmlformats.org/officeDocument/2006/relationships/hyperlink" Target="https://techcombank.com/thong-tin/blog/lai-suat-cho-vay-doanh-nghiep" TargetMode="External"/><Relationship Id="rId521" Type="http://schemas.openxmlformats.org/officeDocument/2006/relationships/hyperlink" Target="https://techcombank.com/thong-tin/blog/day-so-phat-tai-phat-loc" TargetMode="External"/><Relationship Id="rId1110" Type="http://schemas.openxmlformats.org/officeDocument/2006/relationships/hyperlink" Target="https://techcombank.com/thong-tin/blog/kinh-nghiem-vay-tien-ngan-hang-xay-nha" TargetMode="External"/><Relationship Id="rId2441" Type="http://schemas.openxmlformats.org/officeDocument/2006/relationships/hyperlink" Target="https://techcombank.com/thong-tin/blog/mo-tai-khoan-tiet-kiem-cho-con" TargetMode="External"/><Relationship Id="rId520" Type="http://schemas.openxmlformats.org/officeDocument/2006/relationships/hyperlink" Target="https://techcombank.com/thong-tin/blog/8868" TargetMode="External"/><Relationship Id="rId1111" Type="http://schemas.openxmlformats.org/officeDocument/2006/relationships/hyperlink" Target="https://techcombank.com/thong-tin/blog/dang-vay-tra-gop-co-vay-them-duoc-khong" TargetMode="External"/><Relationship Id="rId2442" Type="http://schemas.openxmlformats.org/officeDocument/2006/relationships/hyperlink" Target="https://techcombank.com/thong-tin/blog/vay-100-trieu" TargetMode="External"/><Relationship Id="rId1112" Type="http://schemas.openxmlformats.org/officeDocument/2006/relationships/hyperlink" Target="https://techcombank.com/thong-tin/blog/kinh-nghiem-vay-tien-mua-nha" TargetMode="External"/><Relationship Id="rId2443" Type="http://schemas.openxmlformats.org/officeDocument/2006/relationships/hyperlink" Target="https://techcombank.com/thong-tin/blog/quy-du-phong-tai-chinh-la-gi" TargetMode="External"/><Relationship Id="rId1113" Type="http://schemas.openxmlformats.org/officeDocument/2006/relationships/hyperlink" Target="https://techcombank.com/thong-tin/blog/dao-han-la-gi" TargetMode="External"/><Relationship Id="rId2444" Type="http://schemas.openxmlformats.org/officeDocument/2006/relationships/hyperlink" Target="https://techcombank.com/thong-tin/blog/loi-ich-cua-ngan-hang-so-voi-sme" TargetMode="External"/><Relationship Id="rId1103" Type="http://schemas.openxmlformats.org/officeDocument/2006/relationships/hyperlink" Target="https://techcombank.com/thong-tin/blog/vay-300-trieu" TargetMode="External"/><Relationship Id="rId2434" Type="http://schemas.openxmlformats.org/officeDocument/2006/relationships/hyperlink" Target="https://techcombank.com/thong-tin/blog/tich-luy-tai-san" TargetMode="External"/><Relationship Id="rId1104" Type="http://schemas.openxmlformats.org/officeDocument/2006/relationships/hyperlink" Target="https://techcombank.com/thong-tin/blog/vay-mua-nha-tra-gop" TargetMode="External"/><Relationship Id="rId2435" Type="http://schemas.openxmlformats.org/officeDocument/2006/relationships/hyperlink" Target="https://techcombank.com/thong-tin/blog/nghich-ly-nha-dau-tu-che-trai-phieu-lai-suat-cao-ua-ma-an-toan-du-lai-suat-thap-hon-05-1" TargetMode="External"/><Relationship Id="rId1105" Type="http://schemas.openxmlformats.org/officeDocument/2006/relationships/hyperlink" Target="https://techcombank.com/thong-tin/blog/vay-the-chap-xe-o-to-cu" TargetMode="External"/><Relationship Id="rId2436" Type="http://schemas.openxmlformats.org/officeDocument/2006/relationships/hyperlink" Target="https://techcombank.com/thong-tin/blog/thi-truong-trai-phieu-co-hoi-dau-tu-trai-phieu-vang-du-lai-suat-thap" TargetMode="External"/><Relationship Id="rId1106" Type="http://schemas.openxmlformats.org/officeDocument/2006/relationships/hyperlink" Target="https://techcombank.com/thong-tin/blog/thu-tuc-mua-xe-tra-gop" TargetMode="External"/><Relationship Id="rId2437" Type="http://schemas.openxmlformats.org/officeDocument/2006/relationships/hyperlink" Target="https://techcombank.com/thong-tin/blog/techcombank-sinh-loi-tu-dong" TargetMode="External"/><Relationship Id="rId1107" Type="http://schemas.openxmlformats.org/officeDocument/2006/relationships/hyperlink" Target="https://techcombank.com/thong-tin/blog/vay-100-trieu" TargetMode="External"/><Relationship Id="rId2438" Type="http://schemas.openxmlformats.org/officeDocument/2006/relationships/hyperlink" Target="https://techcombank.com/thong-tin/blog/mo-so-tiet-kiem-can-bao-nhieu-tien" TargetMode="External"/><Relationship Id="rId1108" Type="http://schemas.openxmlformats.org/officeDocument/2006/relationships/hyperlink" Target="https://techcombank.com/thong-tin/blog/vay-30-trieu" TargetMode="External"/><Relationship Id="rId2439" Type="http://schemas.openxmlformats.org/officeDocument/2006/relationships/hyperlink" Target="https://techcombank.com/thong-tin/blog/lai-suat-chung-chi-quy" TargetMode="External"/><Relationship Id="rId1109" Type="http://schemas.openxmlformats.org/officeDocument/2006/relationships/hyperlink" Target="https://techcombank.com/thong-tin/blog/lai-suat-ngan-hang-cho-vay-xay-nha" TargetMode="External"/><Relationship Id="rId519" Type="http://schemas.openxmlformats.org/officeDocument/2006/relationships/hyperlink" Target="https://techcombank.com/thong-tin/blog/cach-chon-so-tai-khoan-dep" TargetMode="External"/><Relationship Id="rId514" Type="http://schemas.openxmlformats.org/officeDocument/2006/relationships/hyperlink" Target="https://techcombank.com/thong-tin/blog/sms-banking" TargetMode="External"/><Relationship Id="rId513" Type="http://schemas.openxmlformats.org/officeDocument/2006/relationships/hyperlink" Target="https://techcombank.com/thong-tin/blog/ma-giao-dich-la-gi" TargetMode="External"/><Relationship Id="rId512" Type="http://schemas.openxmlformats.org/officeDocument/2006/relationships/hyperlink" Target="https://techcombank.com/thong-tin/blog/so-du-kha-dung" TargetMode="External"/><Relationship Id="rId511" Type="http://schemas.openxmlformats.org/officeDocument/2006/relationships/hyperlink" Target="https://techcombank.com/thong-tin/blog/so-tai-khoan-ngan-hang" TargetMode="External"/><Relationship Id="rId518" Type="http://schemas.openxmlformats.org/officeDocument/2006/relationships/hyperlink" Target="https://techcombank.com/thong-tin/blog/lo-so-tai-khoan-ngan-hang-co-sao-khong" TargetMode="External"/><Relationship Id="rId517" Type="http://schemas.openxmlformats.org/officeDocument/2006/relationships/hyperlink" Target="https://techcombank.com/thong-tin/blog/cdm" TargetMode="External"/><Relationship Id="rId516" Type="http://schemas.openxmlformats.org/officeDocument/2006/relationships/hyperlink" Target="https://techcombank.com/thong-tin/blog/co-nen-mua-so-tai-khoan-ngan-hang-dep" TargetMode="External"/><Relationship Id="rId515" Type="http://schemas.openxmlformats.org/officeDocument/2006/relationships/hyperlink" Target="https://techcombank.com/thong-tin/blog/cach-kiem-tra-tai-khoan-ngan-hang-cua-cong-ty" TargetMode="External"/><Relationship Id="rId510" Type="http://schemas.openxmlformats.org/officeDocument/2006/relationships/hyperlink" Target="https://techcombank.com/thong-tin/blog/kiem-tra-ma-so-thue-doanh-nghiep" TargetMode="External"/><Relationship Id="rId2430" Type="http://schemas.openxmlformats.org/officeDocument/2006/relationships/hyperlink" Target="https://techcombank.com/thong-tin/blog/chung-chi-tien-gui-la-gi" TargetMode="External"/><Relationship Id="rId1100" Type="http://schemas.openxmlformats.org/officeDocument/2006/relationships/hyperlink" Target="https://techcombank.com/thong-tin/blog/quy-trinh-cho-vay-tieu-dung" TargetMode="External"/><Relationship Id="rId2431" Type="http://schemas.openxmlformats.org/officeDocument/2006/relationships/hyperlink" Target="https://techcombank.com/thong-tin/blog/ngan-hang-so" TargetMode="External"/><Relationship Id="rId1101" Type="http://schemas.openxmlformats.org/officeDocument/2006/relationships/hyperlink" Target="https://techcombank.com/thong-tin/blog/lai-suat-cho-vay-doanh-nghiep" TargetMode="External"/><Relationship Id="rId2432" Type="http://schemas.openxmlformats.org/officeDocument/2006/relationships/hyperlink" Target="https://techcombank.com/thong-tin/blog/lap-ke-hoach-chi-tieu-ca-nhan" TargetMode="External"/><Relationship Id="rId1102" Type="http://schemas.openxmlformats.org/officeDocument/2006/relationships/hyperlink" Target="https://techcombank.com/thong-tin/blog/co-nen-mua-o-to-tra-gop" TargetMode="External"/><Relationship Id="rId2433" Type="http://schemas.openxmlformats.org/officeDocument/2006/relationships/hyperlink" Target="https://techcombank.com/thong-tin/blog/ke-hoach-tai-chinh" TargetMode="External"/><Relationship Id="rId2401" Type="http://schemas.openxmlformats.org/officeDocument/2006/relationships/hyperlink" Target="https://techcombank.com/thong-tin/blog/chon-kenh-dau-tu-an-toan-trong-boi-canh-thi-truong-bien-dong" TargetMode="External"/><Relationship Id="rId2402" Type="http://schemas.openxmlformats.org/officeDocument/2006/relationships/hyperlink" Target="https://techcombank.com/thong-tin/blog/gui-tiet-kiem-ngoai-te" TargetMode="External"/><Relationship Id="rId2403" Type="http://schemas.openxmlformats.org/officeDocument/2006/relationships/hyperlink" Target="https://techcombank.com/thong-tin/blog/lai-suat-ngan-hang-cho-vay-xay-nha" TargetMode="External"/><Relationship Id="rId2404" Type="http://schemas.openxmlformats.org/officeDocument/2006/relationships/hyperlink" Target="https://techcombank.com/thong-tin/blog/rui-ro-khi-gui-tiet-kiem-ngan-hang" TargetMode="External"/><Relationship Id="rId2405" Type="http://schemas.openxmlformats.org/officeDocument/2006/relationships/hyperlink" Target="https://techcombank.com/thong-tin/blog/tra-no-vay-thau-chi-nhu-the-nao" TargetMode="External"/><Relationship Id="rId2406" Type="http://schemas.openxmlformats.org/officeDocument/2006/relationships/hyperlink" Target="https://techcombank.com/thong-tin/blog/cach-tinh-lai-vay-ngan-hang" TargetMode="External"/><Relationship Id="rId2407" Type="http://schemas.openxmlformats.org/officeDocument/2006/relationships/hyperlink" Target="https://techcombank.com/thong-tin/blog/gui-tiet-kiem-online-bi-mat-tien" TargetMode="External"/><Relationship Id="rId2408" Type="http://schemas.openxmlformats.org/officeDocument/2006/relationships/hyperlink" Target="https://techcombank.com/thong-tin/blog/kinh-nghiem-gui-tiet-kiem-online" TargetMode="External"/><Relationship Id="rId2409" Type="http://schemas.openxmlformats.org/officeDocument/2006/relationships/hyperlink" Target="https://techcombank.com/thong-tin/blog/vay-thau-chi-bang-so-tiet-kiem" TargetMode="External"/><Relationship Id="rId2400" Type="http://schemas.openxmlformats.org/officeDocument/2006/relationships/hyperlink" Target="https://techcombank.com/thong-tin/blog/lai-suat-vay-tieu-dung" TargetMode="External"/><Relationship Id="rId590" Type="http://schemas.openxmlformats.org/officeDocument/2006/relationships/hyperlink" Target="https://techcombank.com/thong-tin/blog/the-tin-dung-mien-lai-55-ngay" TargetMode="External"/><Relationship Id="rId589" Type="http://schemas.openxmlformats.org/officeDocument/2006/relationships/hyperlink" Target="https://techcombank.com/thong-tin/blog/gui-tiet-kiem-ngoai-te" TargetMode="External"/><Relationship Id="rId588" Type="http://schemas.openxmlformats.org/officeDocument/2006/relationships/hyperlink" Target="https://techcombank.com/thong-tin/blog/hoc-sinh-sinh-vien-nen-lam-the-ngan-hang-nao" TargetMode="External"/><Relationship Id="rId1170" Type="http://schemas.openxmlformats.org/officeDocument/2006/relationships/hyperlink" Target="https://techcombank.com/thong-tin/blog/rut-tien-mat-tu-tai-khoan-doanh-nghiep" TargetMode="External"/><Relationship Id="rId1171" Type="http://schemas.openxmlformats.org/officeDocument/2006/relationships/hyperlink" Target="https://techcombank.com/thong-tin/blog/cdm" TargetMode="External"/><Relationship Id="rId583" Type="http://schemas.openxmlformats.org/officeDocument/2006/relationships/hyperlink" Target="https://techcombank.com/thong-tin/blog/uu-dai-mo-the-tin-dung" TargetMode="External"/><Relationship Id="rId1172" Type="http://schemas.openxmlformats.org/officeDocument/2006/relationships/hyperlink" Target="https://techcombank.com/thong-tin/blog/cach-su-dung-tai-khoan-cong-ty" TargetMode="External"/><Relationship Id="rId582" Type="http://schemas.openxmlformats.org/officeDocument/2006/relationships/hyperlink" Target="https://techcombank.com/thong-tin/blog/lai-suat-tiet-kiem" TargetMode="External"/><Relationship Id="rId1173" Type="http://schemas.openxmlformats.org/officeDocument/2006/relationships/hyperlink" Target="https://techcombank.com/thong-tin/blog/rut-tien-bang-ma-qr-khac-ngan-hang-duoc-khong" TargetMode="External"/><Relationship Id="rId581" Type="http://schemas.openxmlformats.org/officeDocument/2006/relationships/hyperlink" Target="https://techcombank.com/thong-tin/blog/lam-the-visa-o-dau" TargetMode="External"/><Relationship Id="rId1174" Type="http://schemas.openxmlformats.org/officeDocument/2006/relationships/hyperlink" Target="https://techcombank.com/thong-tin/blog/tra-cuu-han-muc-the-tin-dung" TargetMode="External"/><Relationship Id="rId580" Type="http://schemas.openxmlformats.org/officeDocument/2006/relationships/hyperlink" Target="https://techcombank.com/thong-tin/blog/vay-mua-xe-tra-gop-ngan-hang-nao-tot-nhat" TargetMode="External"/><Relationship Id="rId1175" Type="http://schemas.openxmlformats.org/officeDocument/2006/relationships/hyperlink" Target="https://techcombank.com/thong-tin/blog/the-visa-de-lam-gi" TargetMode="External"/><Relationship Id="rId587" Type="http://schemas.openxmlformats.org/officeDocument/2006/relationships/hyperlink" Target="https://techcombank.com/thong-tin/blog/lai-suat-vay-tieu-dung" TargetMode="External"/><Relationship Id="rId1176" Type="http://schemas.openxmlformats.org/officeDocument/2006/relationships/hyperlink" Target="https://techcombank.com/thong-tin/blog/the-atm-khong-rut-duoc-tien" TargetMode="External"/><Relationship Id="rId586" Type="http://schemas.openxmlformats.org/officeDocument/2006/relationships/hyperlink" Target="https://techcombank.com/thong-tin/blog/vay-sinh-vien" TargetMode="External"/><Relationship Id="rId1177" Type="http://schemas.openxmlformats.org/officeDocument/2006/relationships/hyperlink" Target="https://techcombank.com/thong-tin/blog/rut-tien-tiet-kiem-truoc-thoi-han" TargetMode="External"/><Relationship Id="rId585" Type="http://schemas.openxmlformats.org/officeDocument/2006/relationships/hyperlink" Target="https://techcombank.com/thong-tin/blog/cach-tinh-lai-suat-tien-gui-tiet-kiem" TargetMode="External"/><Relationship Id="rId1178" Type="http://schemas.openxmlformats.org/officeDocument/2006/relationships/hyperlink" Target="https://techcombank.com/thong-tin/blog/rut-tien-bang-ma-qr-la-gi-cach-thuc-hien-nhu-the-nao" TargetMode="External"/><Relationship Id="rId584" Type="http://schemas.openxmlformats.org/officeDocument/2006/relationships/hyperlink" Target="https://techcombank.com/thong-tin/blog/app-ngan-hang" TargetMode="External"/><Relationship Id="rId1179" Type="http://schemas.openxmlformats.org/officeDocument/2006/relationships/hyperlink" Target="https://techcombank.com/thong-tin/blog/ty-le-thanh-toan-khong-dung-tien-mat-trong-linh-vuc-y-te-con-han-che" TargetMode="External"/><Relationship Id="rId1169" Type="http://schemas.openxmlformats.org/officeDocument/2006/relationships/hyperlink" Target="https://techcombank.com/thong-tin/blog/thanh-toan-khong-dung-tien-mat" TargetMode="External"/><Relationship Id="rId579" Type="http://schemas.openxmlformats.org/officeDocument/2006/relationships/hyperlink" Target="https://techcombank.com/thong-tin/blog/su-hop-tac-cua-ngan-hang-va-fintech-tren-hanh-trinh-chuyen-doi-so" TargetMode="External"/><Relationship Id="rId578" Type="http://schemas.openxmlformats.org/officeDocument/2006/relationships/hyperlink" Target="https://techcombank.com/thong-tin/blog/nen-vay-the-chap-ngan-hang-nao" TargetMode="External"/><Relationship Id="rId577" Type="http://schemas.openxmlformats.org/officeDocument/2006/relationships/hyperlink" Target="https://techcombank.com/thong-tin/blog/nen-vay-tin-chap-o-dau" TargetMode="External"/><Relationship Id="rId2490" Type="http://schemas.openxmlformats.org/officeDocument/2006/relationships/hyperlink" Target="https://techcombank.com/thong-tin/blog/nhung-kho-khan-khi-tiet-kiem-tien" TargetMode="External"/><Relationship Id="rId1160" Type="http://schemas.openxmlformats.org/officeDocument/2006/relationships/hyperlink" Target="https://techcombank.com/thong-tin/blog/the-atm-tu" TargetMode="External"/><Relationship Id="rId2491" Type="http://schemas.openxmlformats.org/officeDocument/2006/relationships/hyperlink" Target="https://techcombank.com/thong-tin/blog/loi-ich-cua-mua-sam-online" TargetMode="External"/><Relationship Id="rId572" Type="http://schemas.openxmlformats.org/officeDocument/2006/relationships/hyperlink" Target="https://techcombank.com/thong-tin/blog/gui-tien-ngan-hang-co-an-toan-khong" TargetMode="External"/><Relationship Id="rId1161" Type="http://schemas.openxmlformats.org/officeDocument/2006/relationships/hyperlink" Target="https://techcombank.com/thong-tin/blog/phi-rut-tien-mat-the-tin-dung" TargetMode="External"/><Relationship Id="rId2492" Type="http://schemas.openxmlformats.org/officeDocument/2006/relationships/hyperlink" Target="https://techcombank.com/thong-tin/blog/xu-huong-dau-tu-trai-phieu-ky-han-duoi-mot-nam-lua-chon-an-toan-khi-thi-truong-bien-dong" TargetMode="External"/><Relationship Id="rId571" Type="http://schemas.openxmlformats.org/officeDocument/2006/relationships/hyperlink" Target="https://techcombank.com/thong-tin/blog/app-ngan-hang-uy-tin" TargetMode="External"/><Relationship Id="rId1162" Type="http://schemas.openxmlformats.org/officeDocument/2006/relationships/hyperlink" Target="https://techcombank.com/thong-tin/blog/the-visa-co-rut-tien-duoc-khong" TargetMode="External"/><Relationship Id="rId2493" Type="http://schemas.openxmlformats.org/officeDocument/2006/relationships/hyperlink" Target="https://techcombank.com/thong-tin/blog/voucher-coopmart" TargetMode="External"/><Relationship Id="rId570" Type="http://schemas.openxmlformats.org/officeDocument/2006/relationships/hyperlink" Target="https://techcombank.com/thong-tin/blog/mo-tai-khoan-tiet-kiem-cho-con" TargetMode="External"/><Relationship Id="rId1163" Type="http://schemas.openxmlformats.org/officeDocument/2006/relationships/hyperlink" Target="https://techcombank.com/thong-tin/blog/the-tin-dung-co-chuyen-khoan-duoc-khong" TargetMode="External"/><Relationship Id="rId2494" Type="http://schemas.openxmlformats.org/officeDocument/2006/relationships/hyperlink" Target="https://techcombank.com/thong-tin/blog/dau-tu-tai-chinh-ca-nhan" TargetMode="External"/><Relationship Id="rId1164" Type="http://schemas.openxmlformats.org/officeDocument/2006/relationships/hyperlink" Target="https://techcombank.com/thong-tin/blog/han-muc-the-tin-dung" TargetMode="External"/><Relationship Id="rId2495" Type="http://schemas.openxmlformats.org/officeDocument/2006/relationships/hyperlink" Target="https://techcombank.com/thong-tin/blog/dang-ky-thanh-lap-doanh-nghiep" TargetMode="External"/><Relationship Id="rId576" Type="http://schemas.openxmlformats.org/officeDocument/2006/relationships/hyperlink" Target="https://techcombank.com/thong-tin/blog/dieu-kien-vay-von-ngan-hang" TargetMode="External"/><Relationship Id="rId1165" Type="http://schemas.openxmlformats.org/officeDocument/2006/relationships/hyperlink" Target="https://techcombank.com/thong-tin/blog/lai-suat-the-tin-dung" TargetMode="External"/><Relationship Id="rId2496" Type="http://schemas.openxmlformats.org/officeDocument/2006/relationships/hyperlink" Target="https://techcombank.com/thong-tin/blog/quan-ly-chuoi-cua-hang" TargetMode="External"/><Relationship Id="rId575" Type="http://schemas.openxmlformats.org/officeDocument/2006/relationships/hyperlink" Target="https://techcombank.com/thong-tin/blog/gia-tri-thuong-hieu" TargetMode="External"/><Relationship Id="rId1166" Type="http://schemas.openxmlformats.org/officeDocument/2006/relationships/hyperlink" Target="https://techcombank.com/thong-tin/blog/nop-tien-mat-vao-tai-khoan-cong-ty" TargetMode="External"/><Relationship Id="rId2497" Type="http://schemas.openxmlformats.org/officeDocument/2006/relationships/hyperlink" Target="https://techcombank.com/thong-tin/blog/woomaster" TargetMode="External"/><Relationship Id="rId574" Type="http://schemas.openxmlformats.org/officeDocument/2006/relationships/hyperlink" Target="https://techcombank.com/thong-tin/blog/gio-lam-viec-ngan-hang" TargetMode="External"/><Relationship Id="rId1167" Type="http://schemas.openxmlformats.org/officeDocument/2006/relationships/hyperlink" Target="https://techcombank.com/thong-tin/blog/vi-dien-tu" TargetMode="External"/><Relationship Id="rId2498" Type="http://schemas.openxmlformats.org/officeDocument/2006/relationships/hyperlink" Target="https://techcombank.com/thong-tin/blog/nap-xu-tiktok" TargetMode="External"/><Relationship Id="rId573" Type="http://schemas.openxmlformats.org/officeDocument/2006/relationships/hyperlink" Target="https://techcombank.com/thong-tin/blog/nen-mo-tai-khoan-ngan-hang-nao-cho-doanh-nghiep" TargetMode="External"/><Relationship Id="rId1168" Type="http://schemas.openxmlformats.org/officeDocument/2006/relationships/hyperlink" Target="https://techcombank.com/thong-tin/blog/tra-luong-tien-mat" TargetMode="External"/><Relationship Id="rId2499" Type="http://schemas.openxmlformats.org/officeDocument/2006/relationships/hyperlink" Target="https://techcombank.com/thong-tin/blog/cach-tiet-kiem-tien-theo-tuan" TargetMode="External"/><Relationship Id="rId1190" Type="http://schemas.openxmlformats.org/officeDocument/2006/relationships/hyperlink" Target="https://techcombank.com/thong-tin/blog/thanh-toan-khong-tien-mat-trong-nganh-giao-duc-co-hoi-va-thach-thuc" TargetMode="External"/><Relationship Id="rId1191" Type="http://schemas.openxmlformats.org/officeDocument/2006/relationships/hyperlink" Target="https://techcombank.com/thong-tin/blog/the-he-tre-day-manh-xu-huong-thanh-toan-khong-dung-tien-mat" TargetMode="External"/><Relationship Id="rId1192" Type="http://schemas.openxmlformats.org/officeDocument/2006/relationships/hyperlink" Target="https://techcombank.com/thong-tin/blog/cay-atm-gan-day" TargetMode="External"/><Relationship Id="rId1193" Type="http://schemas.openxmlformats.org/officeDocument/2006/relationships/hyperlink" Target="https://techcombank.com/thong-tin/blog/dang-vay-tra-gop-co-vay-them-duoc-khong" TargetMode="External"/><Relationship Id="rId1194" Type="http://schemas.openxmlformats.org/officeDocument/2006/relationships/hyperlink" Target="https://techcombank.com/thong-tin/blog/cach-su-dung-the-ghi-no" TargetMode="External"/><Relationship Id="rId1195" Type="http://schemas.openxmlformats.org/officeDocument/2006/relationships/hyperlink" Target="https://techcombank.com/thong-tin/blog/the-ghi-no-co-rut-tien-duoc-khong" TargetMode="External"/><Relationship Id="rId1196" Type="http://schemas.openxmlformats.org/officeDocument/2006/relationships/hyperlink" Target="https://techcombank.com/thong-tin/blog/tien-gui-co-ky-han" TargetMode="External"/><Relationship Id="rId1197" Type="http://schemas.openxmlformats.org/officeDocument/2006/relationships/hyperlink" Target="https://techcombank.com/thong-tin/blog/cic-la-gi" TargetMode="External"/><Relationship Id="rId1198" Type="http://schemas.openxmlformats.org/officeDocument/2006/relationships/hyperlink" Target="https://techcombank.com/thong-tin/blog/no-xau-nhom-2" TargetMode="External"/><Relationship Id="rId1199" Type="http://schemas.openxmlformats.org/officeDocument/2006/relationships/hyperlink" Target="https://techcombank.com/thong-tin/blog/han-muc-tra-gop-the-tin-dung" TargetMode="External"/><Relationship Id="rId599" Type="http://schemas.openxmlformats.org/officeDocument/2006/relationships/hyperlink" Target="https://techcombank.com/thong-tin/blog/ty-gia-cac-ngan-hang" TargetMode="External"/><Relationship Id="rId1180" Type="http://schemas.openxmlformats.org/officeDocument/2006/relationships/hyperlink" Target="https://techcombank.com/thong-tin/blog/thanh-toan-khong-dung-tien-mat-tro-thanh-xu-huong-tang-truong-chong-mat" TargetMode="External"/><Relationship Id="rId1181" Type="http://schemas.openxmlformats.org/officeDocument/2006/relationships/hyperlink" Target="https://techcombank.com/thong-tin/blog/bi-nuot-the-atm-phai-lam-sao" TargetMode="External"/><Relationship Id="rId1182" Type="http://schemas.openxmlformats.org/officeDocument/2006/relationships/hyperlink" Target="https://techcombank.com/thong-tin/blog/vay-tien-mat" TargetMode="External"/><Relationship Id="rId594" Type="http://schemas.openxmlformats.org/officeDocument/2006/relationships/hyperlink" Target="https://techcombank.com/thong-tin/blog/lai-suat-vay-mua-o-to" TargetMode="External"/><Relationship Id="rId1183" Type="http://schemas.openxmlformats.org/officeDocument/2006/relationships/hyperlink" Target="https://techcombank.com/thong-tin/blog/the-tin-dung-la-gi" TargetMode="External"/><Relationship Id="rId593" Type="http://schemas.openxmlformats.org/officeDocument/2006/relationships/hyperlink" Target="https://techcombank.com/thong-tin/blog/lai-suat-chung-chi-tien-gui-cac-ngan-hang" TargetMode="External"/><Relationship Id="rId1184" Type="http://schemas.openxmlformats.org/officeDocument/2006/relationships/hyperlink" Target="https://techcombank.com/thong-tin/blog/cach-su-dung-the-tin-dung" TargetMode="External"/><Relationship Id="rId592" Type="http://schemas.openxmlformats.org/officeDocument/2006/relationships/hyperlink" Target="https://techcombank.com/thong-tin/blog/mat-the-tin-dung-co-lam-lai-duoc-khong" TargetMode="External"/><Relationship Id="rId1185" Type="http://schemas.openxmlformats.org/officeDocument/2006/relationships/hyperlink" Target="https://techcombank.com/thong-tin/blog/nang-han-muc-tin-dung" TargetMode="External"/><Relationship Id="rId591" Type="http://schemas.openxmlformats.org/officeDocument/2006/relationships/hyperlink" Target="https://techcombank.com/thong-tin/blog/lai-suat-vay-ngan-hang" TargetMode="External"/><Relationship Id="rId1186" Type="http://schemas.openxmlformats.org/officeDocument/2006/relationships/hyperlink" Target="https://techcombank.com/thong-tin/blog/xu-huong-thanh-toan-khong-dung-tien-mat-tai-viet-nam" TargetMode="External"/><Relationship Id="rId598" Type="http://schemas.openxmlformats.org/officeDocument/2006/relationships/hyperlink" Target="https://techcombank.com/thong-tin/blog/viet-kieu-co-mo-duoc-tai-khoan-ngan-hang-khong" TargetMode="External"/><Relationship Id="rId1187" Type="http://schemas.openxmlformats.org/officeDocument/2006/relationships/hyperlink" Target="https://techcombank.com/thong-tin/blog/cach-rut-tien-atm" TargetMode="External"/><Relationship Id="rId597" Type="http://schemas.openxmlformats.org/officeDocument/2006/relationships/hyperlink" Target="https://techcombank.com/thong-tin/blog/vip-ngan-hang" TargetMode="External"/><Relationship Id="rId1188" Type="http://schemas.openxmlformats.org/officeDocument/2006/relationships/hyperlink" Target="https://techcombank.com/thong-tin/blog/rut-tien-bao-hiem-nhan-tho-khi-het-han" TargetMode="External"/><Relationship Id="rId596" Type="http://schemas.openxmlformats.org/officeDocument/2006/relationships/hyperlink" Target="https://techcombank.com/thong-tin/blog/bao-hiem-vat-chat-xe-o-to" TargetMode="External"/><Relationship Id="rId1189" Type="http://schemas.openxmlformats.org/officeDocument/2006/relationships/hyperlink" Target="https://techcombank.com/thong-tin/blog/cach-su-dung-the-visa-techcombank" TargetMode="External"/><Relationship Id="rId595" Type="http://schemas.openxmlformats.org/officeDocument/2006/relationships/hyperlink" Target="https://techcombank.com/thong-tin/blog/lai-suat-vay-tin-chap" TargetMode="External"/><Relationship Id="rId1136" Type="http://schemas.openxmlformats.org/officeDocument/2006/relationships/hyperlink" Target="https://techcombank.com/thong-tin/blog/cach-sao-ke-tai-khoan-ngan-hang" TargetMode="External"/><Relationship Id="rId2467" Type="http://schemas.openxmlformats.org/officeDocument/2006/relationships/hyperlink" Target="https://techcombank.com/thong-tin/blog/app-vay-tien-nhanh" TargetMode="External"/><Relationship Id="rId1137" Type="http://schemas.openxmlformats.org/officeDocument/2006/relationships/hyperlink" Target="https://techcombank.com/thong-tin/blog/cach-nap-the-viettel" TargetMode="External"/><Relationship Id="rId2468" Type="http://schemas.openxmlformats.org/officeDocument/2006/relationships/hyperlink" Target="https://techcombank.com/thong-tin/blog/tin-chap-doanh-nghiep" TargetMode="External"/><Relationship Id="rId1138" Type="http://schemas.openxmlformats.org/officeDocument/2006/relationships/hyperlink" Target="https://techcombank.com/thong-tin/blog/the-debit" TargetMode="External"/><Relationship Id="rId2469" Type="http://schemas.openxmlformats.org/officeDocument/2006/relationships/hyperlink" Target="https://techcombank.com/thong-tin/blog/vay-sinh-vien" TargetMode="External"/><Relationship Id="rId1139" Type="http://schemas.openxmlformats.org/officeDocument/2006/relationships/hyperlink" Target="https://techcombank.com/thong-tin/blog/thanh-toan-khi-du-lich-hong-kong" TargetMode="External"/><Relationship Id="rId547" Type="http://schemas.openxmlformats.org/officeDocument/2006/relationships/hyperlink" Target="https://techcombank.com/thong-tin/blog/dong-tai-khoan-ngan-hang-cong-ty" TargetMode="External"/><Relationship Id="rId546" Type="http://schemas.openxmlformats.org/officeDocument/2006/relationships/hyperlink" Target="https://techcombank.com/thong-tin/blog/mo-tai-khoan-doanh-nghiep" TargetMode="External"/><Relationship Id="rId545" Type="http://schemas.openxmlformats.org/officeDocument/2006/relationships/hyperlink" Target="https://techcombank.com/thong-tin/blog/1-cmnd-dang-ky-duoc-may-tai-khoan-ngan-hang" TargetMode="External"/><Relationship Id="rId544" Type="http://schemas.openxmlformats.org/officeDocument/2006/relationships/hyperlink" Target="https://techcombank.com/thong-tin/blog/mo-tai-khoan-ngan-hang-co-mat-phi-khong" TargetMode="External"/><Relationship Id="rId549" Type="http://schemas.openxmlformats.org/officeDocument/2006/relationships/hyperlink" Target="https://techcombank.com/thong-tin/blog/lien-ket-tai-khoan-ngan-hang-voi-etax-mobile" TargetMode="External"/><Relationship Id="rId548" Type="http://schemas.openxmlformats.org/officeDocument/2006/relationships/hyperlink" Target="https://techcombank.com/thong-tin/blog/mo-tai-khoan-ho-kinh-doanh" TargetMode="External"/><Relationship Id="rId2460" Type="http://schemas.openxmlformats.org/officeDocument/2006/relationships/hyperlink" Target="https://techcombank.com/thong-tin/blog/diem-tin-dung" TargetMode="External"/><Relationship Id="rId1130" Type="http://schemas.openxmlformats.org/officeDocument/2006/relationships/hyperlink" Target="https://techcombank.com/thong-tin/blog/nap-xu-tiktok" TargetMode="External"/><Relationship Id="rId2461" Type="http://schemas.openxmlformats.org/officeDocument/2006/relationships/hyperlink" Target="https://techcombank.com/thong-tin/blog/kinh-nghiem-vay-the-chap-ngan-hang" TargetMode="External"/><Relationship Id="rId1131" Type="http://schemas.openxmlformats.org/officeDocument/2006/relationships/hyperlink" Target="https://techcombank.com/thong-tin/blog/ho-so-vay-von-cua-doanh-nghiep-gom-nhung-gi" TargetMode="External"/><Relationship Id="rId2462" Type="http://schemas.openxmlformats.org/officeDocument/2006/relationships/hyperlink" Target="https://techcombank.com/thong-tin/blog/cho-vay-tieu-dung-la-gi" TargetMode="External"/><Relationship Id="rId543" Type="http://schemas.openxmlformats.org/officeDocument/2006/relationships/hyperlink" Target="https://techcombank.com/thong-tin/blog/mo-tai-khoan-ngan-hang-online-co-an-toan-khong" TargetMode="External"/><Relationship Id="rId1132" Type="http://schemas.openxmlformats.org/officeDocument/2006/relationships/hyperlink" Target="https://techcombank.com/thong-tin/blog/cac-loai-the-ngan-hang" TargetMode="External"/><Relationship Id="rId2463" Type="http://schemas.openxmlformats.org/officeDocument/2006/relationships/hyperlink" Target="https://techcombank.com/thong-tin/blog/vay-15-trieu" TargetMode="External"/><Relationship Id="rId542" Type="http://schemas.openxmlformats.org/officeDocument/2006/relationships/hyperlink" Target="https://techcombank.com/thong-tin/blog/tai-khoan-thanh-toan-la-gi" TargetMode="External"/><Relationship Id="rId1133" Type="http://schemas.openxmlformats.org/officeDocument/2006/relationships/hyperlink" Target="https://techcombank.com/thong-tin/blog/vay-thau-chi-la-gi" TargetMode="External"/><Relationship Id="rId2464" Type="http://schemas.openxmlformats.org/officeDocument/2006/relationships/hyperlink" Target="https://techcombank.com/thong-tin/blog/vay-tien-mat" TargetMode="External"/><Relationship Id="rId541" Type="http://schemas.openxmlformats.org/officeDocument/2006/relationships/hyperlink" Target="https://techcombank.com/thong-tin/blog/tai-khoan-ngan-hang-la-gi" TargetMode="External"/><Relationship Id="rId1134" Type="http://schemas.openxmlformats.org/officeDocument/2006/relationships/hyperlink" Target="https://techcombank.com/thong-tin/blog/cho-vay-tung-lan" TargetMode="External"/><Relationship Id="rId2465" Type="http://schemas.openxmlformats.org/officeDocument/2006/relationships/hyperlink" Target="https://techcombank.com/thong-tin/blog/cach-tiet-kiem-tien" TargetMode="External"/><Relationship Id="rId540" Type="http://schemas.openxmlformats.org/officeDocument/2006/relationships/hyperlink" Target="https://techcombank.com/thong-tin/blog/mo-tai-khoan-ngan-hang-co-mat-phi-khong" TargetMode="External"/><Relationship Id="rId1135" Type="http://schemas.openxmlformats.org/officeDocument/2006/relationships/hyperlink" Target="https://techcombank.com/thong-tin/blog/cach-thanh-toan-quang-cao-tiktok" TargetMode="External"/><Relationship Id="rId2466" Type="http://schemas.openxmlformats.org/officeDocument/2006/relationships/hyperlink" Target="https://techcombank.com/thong-tin/blog/lai-suat-qua-han" TargetMode="External"/><Relationship Id="rId1125" Type="http://schemas.openxmlformats.org/officeDocument/2006/relationships/hyperlink" Target="https://techcombank.com/thong-tin/blog/rui-ro-khi-vay-the-chap-ngan-hang" TargetMode="External"/><Relationship Id="rId2456" Type="http://schemas.openxmlformats.org/officeDocument/2006/relationships/hyperlink" Target="https://techcombank.com/thong-tin/blog/chung-chi-tien-gui-co-an-toan-khong" TargetMode="External"/><Relationship Id="rId1126" Type="http://schemas.openxmlformats.org/officeDocument/2006/relationships/hyperlink" Target="https://techcombank.com/thong-tin/blog/cac-hinh-thuc-vay-von-ngan-hang" TargetMode="External"/><Relationship Id="rId2457" Type="http://schemas.openxmlformats.org/officeDocument/2006/relationships/hyperlink" Target="https://techcombank.com/thong-tin/blog/vay-mua-dien-thoai" TargetMode="External"/><Relationship Id="rId1127" Type="http://schemas.openxmlformats.org/officeDocument/2006/relationships/hyperlink" Target="https://techcombank.com/thong-tin/blog/lai-suat-vay-the-chap-so-do" TargetMode="External"/><Relationship Id="rId2458" Type="http://schemas.openxmlformats.org/officeDocument/2006/relationships/hyperlink" Target="https://techcombank.com/thong-tin/blog/tien-nhan-roi-nen-lam-gi" TargetMode="External"/><Relationship Id="rId1128" Type="http://schemas.openxmlformats.org/officeDocument/2006/relationships/hyperlink" Target="https://techcombank.com/thong-tin/blog/bao-lanh-vay-von" TargetMode="External"/><Relationship Id="rId2459" Type="http://schemas.openxmlformats.org/officeDocument/2006/relationships/hyperlink" Target="https://techcombank.com/thong-tin/blog/nen-vay-tin-chap-o-dau" TargetMode="External"/><Relationship Id="rId1129" Type="http://schemas.openxmlformats.org/officeDocument/2006/relationships/hyperlink" Target="https://techcombank.com/thong-tin/blog/thu-tuc-vay-von-doanh-nghiep" TargetMode="External"/><Relationship Id="rId536" Type="http://schemas.openxmlformats.org/officeDocument/2006/relationships/hyperlink" Target="https://techcombank.com/thong-tin/blog/cach-lay-lai-tien-da-chuyen-khoan-khi-bi-lua" TargetMode="External"/><Relationship Id="rId535" Type="http://schemas.openxmlformats.org/officeDocument/2006/relationships/hyperlink" Target="https://techcombank.com/thong-tin/blog/1-cmnd-dang-ky-duoc-may-tai-khoan-ngan-hang" TargetMode="External"/><Relationship Id="rId534" Type="http://schemas.openxmlformats.org/officeDocument/2006/relationships/hyperlink" Target="https://techcombank.com/thong-tin/blog/nap-tien-vao-tai-khoan-ngan-hang" TargetMode="External"/><Relationship Id="rId533" Type="http://schemas.openxmlformats.org/officeDocument/2006/relationships/hyperlink" Target="https://techcombank.com/thong-tin/blog/cach-chuyen-khoan-bang-dien-thoai" TargetMode="External"/><Relationship Id="rId539" Type="http://schemas.openxmlformats.org/officeDocument/2006/relationships/hyperlink" Target="https://techcombank.com/thong-tin/blog/mo-tai-khoan-ngan-hang-online-co-an-toan-khong" TargetMode="External"/><Relationship Id="rId538" Type="http://schemas.openxmlformats.org/officeDocument/2006/relationships/hyperlink" Target="https://techcombank.com/thong-tin/blog/lo-ma-qr-ngan-hang-co-sao-khong" TargetMode="External"/><Relationship Id="rId537" Type="http://schemas.openxmlformats.org/officeDocument/2006/relationships/hyperlink" Target="https://techcombank.com/thong-tin/blog/cach-doi-mat-khau-tai-khoan-ngan-hang" TargetMode="External"/><Relationship Id="rId2450" Type="http://schemas.openxmlformats.org/officeDocument/2006/relationships/hyperlink" Target="https://techcombank.com/thong-tin/blog/vay-ngan-han" TargetMode="External"/><Relationship Id="rId1120" Type="http://schemas.openxmlformats.org/officeDocument/2006/relationships/hyperlink" Target="https://techcombank.com/thong-tin/blog/tat-toan" TargetMode="External"/><Relationship Id="rId2451" Type="http://schemas.openxmlformats.org/officeDocument/2006/relationships/hyperlink" Target="https://techcombank.com/thong-tin/blog/cho-vay-kinh-doanh-ho-gia-dinh" TargetMode="External"/><Relationship Id="rId532" Type="http://schemas.openxmlformats.org/officeDocument/2006/relationships/hyperlink" Target="https://techcombank.com/thong-tin/blog/vip-ngan-hang" TargetMode="External"/><Relationship Id="rId1121" Type="http://schemas.openxmlformats.org/officeDocument/2006/relationships/hyperlink" Target="https://techcombank.com/thong-tin/blog/quy-trinh-tat-toan-khoan-vay-the-chap" TargetMode="External"/><Relationship Id="rId2452" Type="http://schemas.openxmlformats.org/officeDocument/2006/relationships/hyperlink" Target="https://techcombank.com/thong-tin/blog/vay-von-doanh-nghiep-nho" TargetMode="External"/><Relationship Id="rId531" Type="http://schemas.openxmlformats.org/officeDocument/2006/relationships/hyperlink" Target="https://techcombank.com/thong-tin/blog/cach-chuyen-tien" TargetMode="External"/><Relationship Id="rId1122" Type="http://schemas.openxmlformats.org/officeDocument/2006/relationships/hyperlink" Target="https://techcombank.com/thong-tin/blog/cach-tinh-lai-vay-ngan-hang" TargetMode="External"/><Relationship Id="rId2453" Type="http://schemas.openxmlformats.org/officeDocument/2006/relationships/hyperlink" Target="https://techcombank.com/thong-tin/blog/vay-mua-chung-cu" TargetMode="External"/><Relationship Id="rId530" Type="http://schemas.openxmlformats.org/officeDocument/2006/relationships/hyperlink" Target="https://techcombank.com/thong-tin/blog/y-nghia-so-68" TargetMode="External"/><Relationship Id="rId1123" Type="http://schemas.openxmlformats.org/officeDocument/2006/relationships/hyperlink" Target="https://techcombank.com/thong-tin/blog/vay-san-xuat-kinh-doanh" TargetMode="External"/><Relationship Id="rId2454" Type="http://schemas.openxmlformats.org/officeDocument/2006/relationships/hyperlink" Target="https://techcombank.com/thong-tin/blog/tra-gop-hoc-phi" TargetMode="External"/><Relationship Id="rId1124" Type="http://schemas.openxmlformats.org/officeDocument/2006/relationships/hyperlink" Target="https://techcombank.com/thong-tin/blog/lai-suat-vay-tin-chap" TargetMode="External"/><Relationship Id="rId2455" Type="http://schemas.openxmlformats.org/officeDocument/2006/relationships/hyperlink" Target="https://techcombank.com/thong-tin/blog/vay-50-trieu" TargetMode="External"/><Relationship Id="rId1158" Type="http://schemas.openxmlformats.org/officeDocument/2006/relationships/hyperlink" Target="https://techcombank.com/thong-tin/blog/vay-sieu-toc" TargetMode="External"/><Relationship Id="rId2489" Type="http://schemas.openxmlformats.org/officeDocument/2006/relationships/hyperlink" Target="https://techcombank.com/thong-tin/blog/ngan-hang-dien-tu" TargetMode="External"/><Relationship Id="rId1159" Type="http://schemas.openxmlformats.org/officeDocument/2006/relationships/hyperlink" Target="https://techcombank.com/thong-tin/blog/phi-thuong-nien-la-gi" TargetMode="External"/><Relationship Id="rId569" Type="http://schemas.openxmlformats.org/officeDocument/2006/relationships/hyperlink" Target="https://techcombank.com/thong-tin/blog/mat-so-dien-thoai-dang-ky-tai-khoan-ngan-hang" TargetMode="External"/><Relationship Id="rId568" Type="http://schemas.openxmlformats.org/officeDocument/2006/relationships/hyperlink" Target="https://techcombank.com/thong-tin/blog/mo-tai-khoan-ngan-hang-duoi-18-tuoi" TargetMode="External"/><Relationship Id="rId567" Type="http://schemas.openxmlformats.org/officeDocument/2006/relationships/hyperlink" Target="https://techcombank.com/thong-tin/blog/mau-mo-tai-khoan-doanh-nghiep-techcombank" TargetMode="External"/><Relationship Id="rId566" Type="http://schemas.openxmlformats.org/officeDocument/2006/relationships/hyperlink" Target="https://techcombank.com/thong-tin/blog/cach-dong-tien-dien-qua-tai-khoan-ngan-hang" TargetMode="External"/><Relationship Id="rId2480" Type="http://schemas.openxmlformats.org/officeDocument/2006/relationships/hyperlink" Target="https://techcombank.com/thong-tin/blog/vay-mua-nha-o-xa-hoi" TargetMode="External"/><Relationship Id="rId561" Type="http://schemas.openxmlformats.org/officeDocument/2006/relationships/hyperlink" Target="https://techcombank.com/thong-tin/blog/tai-khoan-ngan-hang-chua-toi-da-bao-nhieu-tien" TargetMode="External"/><Relationship Id="rId1150" Type="http://schemas.openxmlformats.org/officeDocument/2006/relationships/hyperlink" Target="https://techcombank.com/thong-tin/blog/mo-the-ghi-no" TargetMode="External"/><Relationship Id="rId2481" Type="http://schemas.openxmlformats.org/officeDocument/2006/relationships/hyperlink" Target="https://techcombank.com/thong-tin/blog/vay-mua-xe-tra-gop-ngan-hang-nao-tot-nhat" TargetMode="External"/><Relationship Id="rId560" Type="http://schemas.openxmlformats.org/officeDocument/2006/relationships/hyperlink" Target="https://techcombank.com/thong-tin/blog/lo-so-tai-khoan-ngan-hang-co-sao-khong" TargetMode="External"/><Relationship Id="rId1151" Type="http://schemas.openxmlformats.org/officeDocument/2006/relationships/hyperlink" Target="https://techcombank.com/thong-tin/blog/cach-nap-the-mobi" TargetMode="External"/><Relationship Id="rId2482" Type="http://schemas.openxmlformats.org/officeDocument/2006/relationships/hyperlink" Target="https://techcombank.com/thong-tin/blog/nen-mua-xe-tra-gop-hay-tra-thang" TargetMode="External"/><Relationship Id="rId1152" Type="http://schemas.openxmlformats.org/officeDocument/2006/relationships/hyperlink" Target="https://techcombank.com/thong-tin/blog/the-atm-gan-chip" TargetMode="External"/><Relationship Id="rId2483" Type="http://schemas.openxmlformats.org/officeDocument/2006/relationships/hyperlink" Target="https://techcombank.com/thong-tin/blog/vay-the-chap-kinh-doanh" TargetMode="External"/><Relationship Id="rId1153" Type="http://schemas.openxmlformats.org/officeDocument/2006/relationships/hyperlink" Target="https://techcombank.com/thong-tin/blog/vay-mua-chung-cu" TargetMode="External"/><Relationship Id="rId2484" Type="http://schemas.openxmlformats.org/officeDocument/2006/relationships/hyperlink" Target="https://techcombank.com/thong-tin/blog/the-ghi-no-va-the-tin-dung" TargetMode="External"/><Relationship Id="rId565" Type="http://schemas.openxmlformats.org/officeDocument/2006/relationships/hyperlink" Target="https://techcombank.com/thong-tin/blog/cach-chon-so-tai-khoan-dep" TargetMode="External"/><Relationship Id="rId1154" Type="http://schemas.openxmlformats.org/officeDocument/2006/relationships/hyperlink" Target="https://techcombank.com/thong-tin/blog/thoi-han-vay-thau-chi" TargetMode="External"/><Relationship Id="rId2485" Type="http://schemas.openxmlformats.org/officeDocument/2006/relationships/hyperlink" Target="https://techcombank.com/thong-tin/blog/lai-suat-vay-the-chap" TargetMode="External"/><Relationship Id="rId564" Type="http://schemas.openxmlformats.org/officeDocument/2006/relationships/hyperlink" Target="https://techcombank.com/thong-tin/blog/thue-thu-nhap-ca-nhan" TargetMode="External"/><Relationship Id="rId1155" Type="http://schemas.openxmlformats.org/officeDocument/2006/relationships/hyperlink" Target="https://techcombank.com/thong-tin/blog/ma-pin-the-atm" TargetMode="External"/><Relationship Id="rId2486" Type="http://schemas.openxmlformats.org/officeDocument/2006/relationships/hyperlink" Target="https://techcombank.com/thong-tin/blog/uu-dai-the-tin-dung-techcombank-signature" TargetMode="External"/><Relationship Id="rId563" Type="http://schemas.openxmlformats.org/officeDocument/2006/relationships/hyperlink" Target="https://techcombank.com/thong-tin/blog/dang-ky-nhieu-tai-khoan-ngan-hang-co-sao-khong" TargetMode="External"/><Relationship Id="rId1156" Type="http://schemas.openxmlformats.org/officeDocument/2006/relationships/hyperlink" Target="https://techcombank.com/thong-tin/blog/atm-la-gi" TargetMode="External"/><Relationship Id="rId2487" Type="http://schemas.openxmlformats.org/officeDocument/2006/relationships/hyperlink" Target="https://techcombank.com/thong-tin/blog/vay-tin-chap-va-vay-the-chap" TargetMode="External"/><Relationship Id="rId562" Type="http://schemas.openxmlformats.org/officeDocument/2006/relationships/hyperlink" Target="https://techcombank.com/thong-tin/blog/88-la-gi" TargetMode="External"/><Relationship Id="rId1157" Type="http://schemas.openxmlformats.org/officeDocument/2006/relationships/hyperlink" Target="https://techcombank.com/thong-tin/blog/chuyen-doi-the-atm" TargetMode="External"/><Relationship Id="rId2488" Type="http://schemas.openxmlformats.org/officeDocument/2006/relationships/hyperlink" Target="https://techcombank.com/thong-tin/blog/dac-san-hai-phong" TargetMode="External"/><Relationship Id="rId1147" Type="http://schemas.openxmlformats.org/officeDocument/2006/relationships/hyperlink" Target="https://techcombank.com/thong-tin/blog/cach-nap-the-vina" TargetMode="External"/><Relationship Id="rId2478" Type="http://schemas.openxmlformats.org/officeDocument/2006/relationships/hyperlink" Target="https://techcombank.com/thong-tin/blog/vay-30-trieu" TargetMode="External"/><Relationship Id="rId1148" Type="http://schemas.openxmlformats.org/officeDocument/2006/relationships/hyperlink" Target="https://techcombank.com/thong-tin/blog/co-nen-vay-ngan-hang-mua-nha" TargetMode="External"/><Relationship Id="rId2479" Type="http://schemas.openxmlformats.org/officeDocument/2006/relationships/hyperlink" Target="https://techcombank.com/thong-tin/blog/cach-su-dung-the-tin-dung" TargetMode="External"/><Relationship Id="rId1149" Type="http://schemas.openxmlformats.org/officeDocument/2006/relationships/hyperlink" Target="https://techcombank.com/thong-tin/blog/the-ghi-no-la-gi" TargetMode="External"/><Relationship Id="rId558" Type="http://schemas.openxmlformats.org/officeDocument/2006/relationships/hyperlink" Target="https://techcombank.com/thong-tin/blog/cach-doi-mat-khau-tai-khoan-ngan-hang" TargetMode="External"/><Relationship Id="rId557" Type="http://schemas.openxmlformats.org/officeDocument/2006/relationships/hyperlink" Target="https://techcombank.com/thong-tin/blog/nap-tien-vao-tai-khoan-ngan-hang" TargetMode="External"/><Relationship Id="rId556" Type="http://schemas.openxmlformats.org/officeDocument/2006/relationships/hyperlink" Target="https://techcombank.com/thong-tin/blog/techcombank-sinh-loi-tu-dong" TargetMode="External"/><Relationship Id="rId555" Type="http://schemas.openxmlformats.org/officeDocument/2006/relationships/hyperlink" Target="https://techcombank.com/thong-tin/blog/mo-them-tai-khoan-ngan-hang-cho-cong-ty" TargetMode="External"/><Relationship Id="rId559" Type="http://schemas.openxmlformats.org/officeDocument/2006/relationships/hyperlink" Target="https://techcombank.com/thong-tin/blog/cach-lien-ket-tai-khoan-ngan-hang-voi-vneid" TargetMode="External"/><Relationship Id="rId550" Type="http://schemas.openxmlformats.org/officeDocument/2006/relationships/hyperlink" Target="https://techcombank.com/thong-tin/blog/cach-kiem-tra-tai-khoan-ngan-hang-cua-cong-ty" TargetMode="External"/><Relationship Id="rId2470" Type="http://schemas.openxmlformats.org/officeDocument/2006/relationships/hyperlink" Target="https://techcombank.com/thong-tin/blog/vay-the-chap-so-hong" TargetMode="External"/><Relationship Id="rId1140" Type="http://schemas.openxmlformats.org/officeDocument/2006/relationships/hyperlink" Target="https://techcombank.com/thong-tin/blog/thanh-toan-khi-du-lich-singapore" TargetMode="External"/><Relationship Id="rId2471" Type="http://schemas.openxmlformats.org/officeDocument/2006/relationships/hyperlink" Target="https://techcombank.com/thong-tin/blog/lai-suat-vay-mua-o-to" TargetMode="External"/><Relationship Id="rId1141" Type="http://schemas.openxmlformats.org/officeDocument/2006/relationships/hyperlink" Target="https://techcombank.com/thong-tin/blog/bao-lanh-bao-hanh" TargetMode="External"/><Relationship Id="rId2472" Type="http://schemas.openxmlformats.org/officeDocument/2006/relationships/hyperlink" Target="https://techcombank.com/thong-tin/blog/bao-hiem-vat-chat-xe-o-to" TargetMode="External"/><Relationship Id="rId1142" Type="http://schemas.openxmlformats.org/officeDocument/2006/relationships/hyperlink" Target="https://techcombank.com/thong-tin/blog/vay-bo-sung-von-luu-dong" TargetMode="External"/><Relationship Id="rId2473" Type="http://schemas.openxmlformats.org/officeDocument/2006/relationships/hyperlink" Target="https://techcombank.com/thong-tin/blog/vay-300-trieu" TargetMode="External"/><Relationship Id="rId554" Type="http://schemas.openxmlformats.org/officeDocument/2006/relationships/hyperlink" Target="https://techcombank.com/thong-tin/blog/nen-mo-tai-khoan-ngan-hang-nao-cho-doanh-nghiep" TargetMode="External"/><Relationship Id="rId1143" Type="http://schemas.openxmlformats.org/officeDocument/2006/relationships/hyperlink" Target="https://techcombank.com/thong-tin/blog/von-luu-dong-la-gi" TargetMode="External"/><Relationship Id="rId2474" Type="http://schemas.openxmlformats.org/officeDocument/2006/relationships/hyperlink" Target="https://techcombank.com/thong-tin/blog/vay-the-chap-xe-o-to-cu" TargetMode="External"/><Relationship Id="rId553" Type="http://schemas.openxmlformats.org/officeDocument/2006/relationships/hyperlink" Target="https://techcombank.com/thong-tin/blog/khai-bao-tai-khoan-ngan-hang-voi-co-quan-thue" TargetMode="External"/><Relationship Id="rId1144" Type="http://schemas.openxmlformats.org/officeDocument/2006/relationships/hyperlink" Target="https://techcombank.com/thong-tin/blog/thuc-day-thi-truong-the-noi-dia-va-xu-huong-thanh-toan-tuong-lai" TargetMode="External"/><Relationship Id="rId2475" Type="http://schemas.openxmlformats.org/officeDocument/2006/relationships/hyperlink" Target="https://techcombank.com/thong-tin/blog/thu-tuc-mua-xe-tra-gop" TargetMode="External"/><Relationship Id="rId552" Type="http://schemas.openxmlformats.org/officeDocument/2006/relationships/hyperlink" Target="https://techcombank.com/thong-tin/blog/co-nen-mua-so-tai-khoan-ngan-hang-dep" TargetMode="External"/><Relationship Id="rId1145" Type="http://schemas.openxmlformats.org/officeDocument/2006/relationships/hyperlink" Target="https://techcombank.com/thong-tin/blog/tai-khoan-ngan-hang-chua-toi-da-bao-nhieu-tien" TargetMode="External"/><Relationship Id="rId2476" Type="http://schemas.openxmlformats.org/officeDocument/2006/relationships/hyperlink" Target="https://techcombank.com/thong-tin/blog/tra-gop-lazada" TargetMode="External"/><Relationship Id="rId551" Type="http://schemas.openxmlformats.org/officeDocument/2006/relationships/hyperlink" Target="https://techcombank.com/thong-tin/blog/cach-lien-ket-epass-voi-tai-khoan-ngan-hang" TargetMode="External"/><Relationship Id="rId1146" Type="http://schemas.openxmlformats.org/officeDocument/2006/relationships/hyperlink" Target="https://techcombank.com/thong-tin/blog/the-napas-la-gi" TargetMode="External"/><Relationship Id="rId2477" Type="http://schemas.openxmlformats.org/officeDocument/2006/relationships/hyperlink" Target="https://techcombank.com/thong-tin/blog/lam-ho-so-tra-gop-dien-thoai" TargetMode="External"/><Relationship Id="rId495" Type="http://schemas.openxmlformats.org/officeDocument/2006/relationships/hyperlink" Target="https://techcombank.com/thong-tin/blog/cach-tiet-kiem-tien" TargetMode="External"/><Relationship Id="rId494" Type="http://schemas.openxmlformats.org/officeDocument/2006/relationships/hyperlink" Target="https://techcombank.com/thong-tin/blog/nop-thue-dat-qua-ngan-hang" TargetMode="External"/><Relationship Id="rId493" Type="http://schemas.openxmlformats.org/officeDocument/2006/relationships/hyperlink" Target="https://techcombank.com/thong-tin/blog/vay-the-chap-khong-chung-minh-thu-nhap" TargetMode="External"/><Relationship Id="rId492" Type="http://schemas.openxmlformats.org/officeDocument/2006/relationships/hyperlink" Target="https://techcombank.com/thong-tin/blog/hu-chi-tieu" TargetMode="External"/><Relationship Id="rId499" Type="http://schemas.openxmlformats.org/officeDocument/2006/relationships/hyperlink" Target="https://techcombank.com/thong-tin/blog/vay-mua-nha-o-xa-hoi" TargetMode="External"/><Relationship Id="rId498" Type="http://schemas.openxmlformats.org/officeDocument/2006/relationships/hyperlink" Target="https://techcombank.com/thong-tin/blog/han-muc-thau-chi-la-gi" TargetMode="External"/><Relationship Id="rId497" Type="http://schemas.openxmlformats.org/officeDocument/2006/relationships/hyperlink" Target="https://techcombank.com/thong-tin/blog/dong-ma-so-thue-ho-kinh-doanh" TargetMode="External"/><Relationship Id="rId496" Type="http://schemas.openxmlformats.org/officeDocument/2006/relationships/hyperlink" Target="https://techcombank.com/thong-tin/blog/co-100-trieu-co-mua-nen-mua-tra-gop" TargetMode="External"/><Relationship Id="rId1213" Type="http://schemas.openxmlformats.org/officeDocument/2006/relationships/hyperlink" Target="https://techcombank.com/thong-tin/blog/lam-the-tin-dung-co-mat-phi-khong" TargetMode="External"/><Relationship Id="rId2544" Type="http://schemas.openxmlformats.org/officeDocument/2006/relationships/hyperlink" Target="https://techcombank.com/thong-tin/blog/chon-kenh-dau-tu-an-toan-trong-boi-canh-thi-truong-bien-dong" TargetMode="External"/><Relationship Id="rId1214" Type="http://schemas.openxmlformats.org/officeDocument/2006/relationships/hyperlink" Target="https://techcombank.com/thong-tin/blog/mo-the-tin-dung-khong-can-chung-minh-thu-nhap" TargetMode="External"/><Relationship Id="rId2545" Type="http://schemas.openxmlformats.org/officeDocument/2006/relationships/hyperlink" Target="https://techcombank.com/thong-tin/blog/kinh-nghiem-gui-tiet-kiem-online" TargetMode="External"/><Relationship Id="rId1215" Type="http://schemas.openxmlformats.org/officeDocument/2006/relationships/hyperlink" Target="https://techcombank.com/thong-tin/blog/co-nen-dung-the-tin-dung-khong" TargetMode="External"/><Relationship Id="rId2546" Type="http://schemas.openxmlformats.org/officeDocument/2006/relationships/hyperlink" Target="https://techcombank.com/thong-tin/blog/so-sanh-gui-tiet-kiem-online-va-tai-quay" TargetMode="External"/><Relationship Id="rId1216" Type="http://schemas.openxmlformats.org/officeDocument/2006/relationships/hyperlink" Target="https://techcombank.com/thong-tin/blog/tai-khoan-doanh-nghiep-co-the-khong" TargetMode="External"/><Relationship Id="rId2547" Type="http://schemas.openxmlformats.org/officeDocument/2006/relationships/hyperlink" Target="https://techcombank.com/thong-tin/blog/cach-tiet-kiem-tien-sinh-loi" TargetMode="External"/><Relationship Id="rId1217" Type="http://schemas.openxmlformats.org/officeDocument/2006/relationships/hyperlink" Target="https://techcombank.com/thong-tin/blog/mm-yy-la-gi" TargetMode="External"/><Relationship Id="rId2548" Type="http://schemas.openxmlformats.org/officeDocument/2006/relationships/hyperlink" Target="https://techcombank.com/thong-tin/blog/gui-tiet-kiem-hang-thang" TargetMode="External"/><Relationship Id="rId1218" Type="http://schemas.openxmlformats.org/officeDocument/2006/relationships/hyperlink" Target="https://techcombank.com/thong-tin/blog/uu-dai-the-tin-dung-techcombank-signature" TargetMode="External"/><Relationship Id="rId2549" Type="http://schemas.openxmlformats.org/officeDocument/2006/relationships/hyperlink" Target="https://techcombank.com/thong-tin/blog/gui-tiet-kiem-vang" TargetMode="External"/><Relationship Id="rId1219" Type="http://schemas.openxmlformats.org/officeDocument/2006/relationships/hyperlink" Target="https://techcombank.com/thong-tin/blog/cac-loai-the-tin-dung" TargetMode="External"/><Relationship Id="rId2540" Type="http://schemas.openxmlformats.org/officeDocument/2006/relationships/hyperlink" Target="https://techcombank.com/thong-tin/blog/lai-suat-chung-chi-tien-gui-cac-ngan-hang" TargetMode="External"/><Relationship Id="rId1210" Type="http://schemas.openxmlformats.org/officeDocument/2006/relationships/hyperlink" Target="https://techcombank.com/thong-tin/blog/tra-gop-shopee" TargetMode="External"/><Relationship Id="rId2541" Type="http://schemas.openxmlformats.org/officeDocument/2006/relationships/hyperlink" Target="https://techcombank.com/thong-tin/blog/gui-tiet-kiem-theo-ngay" TargetMode="External"/><Relationship Id="rId1211" Type="http://schemas.openxmlformats.org/officeDocument/2006/relationships/hyperlink" Target="https://techcombank.com/thong-tin/blog/the-tin-dung-la-gi" TargetMode="External"/><Relationship Id="rId2542" Type="http://schemas.openxmlformats.org/officeDocument/2006/relationships/hyperlink" Target="https://techcombank.com/thong-tin/blog/nen-gui-tiet-kiem-6-thang-hay-1-nam" TargetMode="External"/><Relationship Id="rId1212" Type="http://schemas.openxmlformats.org/officeDocument/2006/relationships/hyperlink" Target="https://techcombank.com/thong-tin/blog/mo-the-tin-dung-chi-can-cccd" TargetMode="External"/><Relationship Id="rId2543" Type="http://schemas.openxmlformats.org/officeDocument/2006/relationships/hyperlink" Target="https://techcombank.com/thong-tin/blog/cach-su-dung-the-tin-dung" TargetMode="External"/><Relationship Id="rId1202" Type="http://schemas.openxmlformats.org/officeDocument/2006/relationships/hyperlink" Target="https://techcombank.com/thong-tin/blog/the-tin-dung-phu-la-gi" TargetMode="External"/><Relationship Id="rId2533" Type="http://schemas.openxmlformats.org/officeDocument/2006/relationships/hyperlink" Target="https://techcombank.com/thong-tin/blog/no-xau-mo-the-tin-dung-duoc-khong" TargetMode="External"/><Relationship Id="rId1203" Type="http://schemas.openxmlformats.org/officeDocument/2006/relationships/hyperlink" Target="https://techcombank.com/thong-tin/blog/luu-y-khi-su-dung-the-tin-dung" TargetMode="External"/><Relationship Id="rId2534" Type="http://schemas.openxmlformats.org/officeDocument/2006/relationships/hyperlink" Target="https://techcombank.com/thong-tin/blog/rut-tien-bao-hiem-nhan-tho-khi-het-han" TargetMode="External"/><Relationship Id="rId1204" Type="http://schemas.openxmlformats.org/officeDocument/2006/relationships/hyperlink" Target="https://techcombank.com/thong-tin/blog/mo-the-tin-dung-han-muc-cao" TargetMode="External"/><Relationship Id="rId2535" Type="http://schemas.openxmlformats.org/officeDocument/2006/relationships/hyperlink" Target="https://techcombank.com/thong-tin/blog/mo-the-tin-dung-khong-can-chung-minh-thu-nhap" TargetMode="External"/><Relationship Id="rId1205" Type="http://schemas.openxmlformats.org/officeDocument/2006/relationships/hyperlink" Target="https://techcombank.com/thong-tin/blog/the-tin-dung-noi-dia" TargetMode="External"/><Relationship Id="rId2536" Type="http://schemas.openxmlformats.org/officeDocument/2006/relationships/hyperlink" Target="https://techcombank.com/thong-tin/blog/chung-chi-tien-gui-khac-gi-so-tiet-kiem" TargetMode="External"/><Relationship Id="rId1206" Type="http://schemas.openxmlformats.org/officeDocument/2006/relationships/hyperlink" Target="https://techcombank.com/thong-tin/blog/tra-gop-qua-the-tin-dung" TargetMode="External"/><Relationship Id="rId2537" Type="http://schemas.openxmlformats.org/officeDocument/2006/relationships/hyperlink" Target="https://techcombank.com/thong-tin/blog/chung-chi-tien-gui-co-duoc-rut-truoc-han" TargetMode="External"/><Relationship Id="rId1207" Type="http://schemas.openxmlformats.org/officeDocument/2006/relationships/hyperlink" Target="https://techcombank.com/thong-tin/blog/the-ghi-no-visa-la-gi" TargetMode="External"/><Relationship Id="rId2538" Type="http://schemas.openxmlformats.org/officeDocument/2006/relationships/hyperlink" Target="https://techcombank.com/thong-tin/blog/vay-20-trieu" TargetMode="External"/><Relationship Id="rId1208" Type="http://schemas.openxmlformats.org/officeDocument/2006/relationships/hyperlink" Target="https://techcombank.com/thong-tin/blog/tra-gop-lazada" TargetMode="External"/><Relationship Id="rId2539" Type="http://schemas.openxmlformats.org/officeDocument/2006/relationships/hyperlink" Target="https://techcombank.com/thong-tin/blog/tien-gui-co-ky-han" TargetMode="External"/><Relationship Id="rId1209" Type="http://schemas.openxmlformats.org/officeDocument/2006/relationships/hyperlink" Target="https://techcombank.com/thong-tin/blog/lam-ho-so-tra-gop-dien-thoai" TargetMode="External"/><Relationship Id="rId2530" Type="http://schemas.openxmlformats.org/officeDocument/2006/relationships/hyperlink" Target="https://techcombank.com/thong-tin/blog/tat-toan-chung-chi-tien-gui" TargetMode="External"/><Relationship Id="rId1200" Type="http://schemas.openxmlformats.org/officeDocument/2006/relationships/hyperlink" Target="https://techcombank.com/thong-tin/blog/sao-ke-the-tin-dung-la-gi" TargetMode="External"/><Relationship Id="rId2531" Type="http://schemas.openxmlformats.org/officeDocument/2006/relationships/hyperlink" Target="https://techcombank.com/thong-tin/blog/mo-so-tiet-kiem-can-bao-nhieu-tien" TargetMode="External"/><Relationship Id="rId1201" Type="http://schemas.openxmlformats.org/officeDocument/2006/relationships/hyperlink" Target="https://techcombank.com/thong-tin/blog/no-xau-mo-the-tin-dung-duoc-khong" TargetMode="External"/><Relationship Id="rId2532" Type="http://schemas.openxmlformats.org/officeDocument/2006/relationships/hyperlink" Target="https://techcombank.com/thong-tin/blog/chuyen-nhuong-chung-chi-tien-gui" TargetMode="External"/><Relationship Id="rId1235" Type="http://schemas.openxmlformats.org/officeDocument/2006/relationships/hyperlink" Target="https://techcombank.com/thong-tin/blog/the-tin-dung-het-han" TargetMode="External"/><Relationship Id="rId2566" Type="http://schemas.openxmlformats.org/officeDocument/2006/relationships/hyperlink" Target="https://techcombank.com/thong-tin/blog/lai-suat-tiet-kiem" TargetMode="External"/><Relationship Id="rId1236" Type="http://schemas.openxmlformats.org/officeDocument/2006/relationships/hyperlink" Target="https://techcombank.com/thong-tin/blog/cach-huy-the-tin-dung" TargetMode="External"/><Relationship Id="rId2567" Type="http://schemas.openxmlformats.org/officeDocument/2006/relationships/hyperlink" Target="https://techcombank.com/thong-tin/blog/co-nen-gui-tiet-kiem-online" TargetMode="External"/><Relationship Id="rId1237" Type="http://schemas.openxmlformats.org/officeDocument/2006/relationships/hyperlink" Target="https://techcombank.com/thong-tin/blog/lam-the-atm-bao-lau-co" TargetMode="External"/><Relationship Id="rId2568" Type="http://schemas.openxmlformats.org/officeDocument/2006/relationships/hyperlink" Target="https://techcombank.com/thong-tin/blog/gui-tiet-kiem-ngan-hang-van-la-lua-chon-an-toan-trong-thoi-ky-kinh-te-con-nhieu-bien-dong" TargetMode="External"/><Relationship Id="rId1238" Type="http://schemas.openxmlformats.org/officeDocument/2006/relationships/hyperlink" Target="https://techcombank.com/thong-tin/blog/the-napas-la-gi" TargetMode="External"/><Relationship Id="rId2569" Type="http://schemas.openxmlformats.org/officeDocument/2006/relationships/hyperlink" Target="https://techcombank.com/thong-tin/blog/cach-gui-tiet-kiem-online" TargetMode="External"/><Relationship Id="rId1239" Type="http://schemas.openxmlformats.org/officeDocument/2006/relationships/hyperlink" Target="https://techcombank.com/thong-tin/blog/ma-buu-chinh-the-tin-dung" TargetMode="External"/><Relationship Id="rId409" Type="http://schemas.openxmlformats.org/officeDocument/2006/relationships/hyperlink" Target="https://techcombank.com/thong-tin/blog/app-ngan-hang" TargetMode="External"/><Relationship Id="rId404" Type="http://schemas.openxmlformats.org/officeDocument/2006/relationships/hyperlink" Target="https://techcombank.com/thong-tin/blog/1-cmnd-dang-ky-duoc-may-tai-khoan-ngan-hang" TargetMode="External"/><Relationship Id="rId403" Type="http://schemas.openxmlformats.org/officeDocument/2006/relationships/hyperlink" Target="https://techcombank.com/thong-tin/blog/softpos" TargetMode="External"/><Relationship Id="rId402" Type="http://schemas.openxmlformats.org/officeDocument/2006/relationships/hyperlink" Target="https://techcombank.com/thong-tin/blog/cach-chuyen-tien-qua-ma-qr-techcombank" TargetMode="External"/><Relationship Id="rId401" Type="http://schemas.openxmlformats.org/officeDocument/2006/relationships/hyperlink" Target="https://techcombank.com/thong-tin/blog/the-tin-dung-la-gi" TargetMode="External"/><Relationship Id="rId408" Type="http://schemas.openxmlformats.org/officeDocument/2006/relationships/hyperlink" Target="https://techcombank.com/thong-tin/blog/cach-lay-lai-tien-da-chuyen-khoan-khi-bi-lua" TargetMode="External"/><Relationship Id="rId407" Type="http://schemas.openxmlformats.org/officeDocument/2006/relationships/hyperlink" Target="https://techcombank.com/thong-tin/blog/app-ngan-hang-uy-tin" TargetMode="External"/><Relationship Id="rId406" Type="http://schemas.openxmlformats.org/officeDocument/2006/relationships/hyperlink" Target="https://techcombank.com/thong-tin/blog/cach-kiem-tra-tai-khoan-ngan-hang" TargetMode="External"/><Relationship Id="rId405" Type="http://schemas.openxmlformats.org/officeDocument/2006/relationships/hyperlink" Target="https://techcombank.com/thong-tin/blog/cach-chon-so-tai-khoan-dep" TargetMode="External"/><Relationship Id="rId2560" Type="http://schemas.openxmlformats.org/officeDocument/2006/relationships/hyperlink" Target="https://techcombank.com/thong-tin/blog/tai-sao-gui-tiet-kiem-online-lai-suat-cao-hon" TargetMode="External"/><Relationship Id="rId1230" Type="http://schemas.openxmlformats.org/officeDocument/2006/relationships/hyperlink" Target="https://techcombank.com/thong-tin/blog/the-visa-co-can-mat-khau-khong" TargetMode="External"/><Relationship Id="rId2561" Type="http://schemas.openxmlformats.org/officeDocument/2006/relationships/hyperlink" Target="https://techcombank.com/thong-tin/blog/tat-toan-so-tiet-kiem" TargetMode="External"/><Relationship Id="rId400" Type="http://schemas.openxmlformats.org/officeDocument/2006/relationships/hyperlink" Target="https://techcombank.com/thong-tin/blog/ngan-hang-thu-huong-la-gi" TargetMode="External"/><Relationship Id="rId1231" Type="http://schemas.openxmlformats.org/officeDocument/2006/relationships/hyperlink" Target="https://techcombank.com/thong-tin/blog/mua-truoc-tra-sau" TargetMode="External"/><Relationship Id="rId2562" Type="http://schemas.openxmlformats.org/officeDocument/2006/relationships/hyperlink" Target="https://techcombank.com/thong-tin/blog/tat-toan" TargetMode="External"/><Relationship Id="rId1232" Type="http://schemas.openxmlformats.org/officeDocument/2006/relationships/hyperlink" Target="https://techcombank.com/thong-tin/blog/tra-cuu-han-muc-the-tin-dung" TargetMode="External"/><Relationship Id="rId2563" Type="http://schemas.openxmlformats.org/officeDocument/2006/relationships/hyperlink" Target="https://techcombank.com/thong-tin/blog/dao-han-la-gi" TargetMode="External"/><Relationship Id="rId1233" Type="http://schemas.openxmlformats.org/officeDocument/2006/relationships/hyperlink" Target="https://techcombank.com/thong-tin/blog/the-visa-de-lam-gi" TargetMode="External"/><Relationship Id="rId2564" Type="http://schemas.openxmlformats.org/officeDocument/2006/relationships/hyperlink" Target="https://techcombank.com/thong-tin/blog/nen-de-tien-trong-the-hay-gui-tiet-kiem" TargetMode="External"/><Relationship Id="rId1234" Type="http://schemas.openxmlformats.org/officeDocument/2006/relationships/hyperlink" Target="https://techcombank.com/thong-tin/blog/the-ghi-no-va-the-tin-dung" TargetMode="External"/><Relationship Id="rId2565" Type="http://schemas.openxmlformats.org/officeDocument/2006/relationships/hyperlink" Target="https://techcombank.com/thong-tin/blog/co-nen-gui-tiet-kiem-ngan-hang" TargetMode="External"/><Relationship Id="rId1224" Type="http://schemas.openxmlformats.org/officeDocument/2006/relationships/hyperlink" Target="https://techcombank.com/thong-tin/blog/lam-the-atm-co-mat-phi-khong" TargetMode="External"/><Relationship Id="rId2555" Type="http://schemas.openxmlformats.org/officeDocument/2006/relationships/hyperlink" Target="https://techcombank.com/thong-tin/blog/quy-trinh-gui-tien-tiet-kiem" TargetMode="External"/><Relationship Id="rId1225" Type="http://schemas.openxmlformats.org/officeDocument/2006/relationships/hyperlink" Target="https://techcombank.com/thong-tin/blog/the-tin-dung-nao-nhieu-uu-dai-nhat" TargetMode="External"/><Relationship Id="rId2556" Type="http://schemas.openxmlformats.org/officeDocument/2006/relationships/hyperlink" Target="https://techcombank.com/thong-tin/blog/gui-tiet-kiem-theo-ngay" TargetMode="External"/><Relationship Id="rId1226" Type="http://schemas.openxmlformats.org/officeDocument/2006/relationships/hyperlink" Target="https://techcombank.com/thong-tin/blog/cach-lam-the-ngan-hang-chay-quang-cao-facebook" TargetMode="External"/><Relationship Id="rId2557" Type="http://schemas.openxmlformats.org/officeDocument/2006/relationships/hyperlink" Target="https://techcombank.com/thong-tin/blog/tai-khoan-thanh-toan-la-gi" TargetMode="External"/><Relationship Id="rId1227" Type="http://schemas.openxmlformats.org/officeDocument/2006/relationships/hyperlink" Target="https://techcombank.com/thong-tin/blog/eco-card" TargetMode="External"/><Relationship Id="rId2558" Type="http://schemas.openxmlformats.org/officeDocument/2006/relationships/hyperlink" Target="https://techcombank.com/thong-tin/blog/gui-tiet-kiem-vang" TargetMode="External"/><Relationship Id="rId1228" Type="http://schemas.openxmlformats.org/officeDocument/2006/relationships/hyperlink" Target="https://techcombank.com/thong-tin/blog/mua-iphone-17" TargetMode="External"/><Relationship Id="rId2559" Type="http://schemas.openxmlformats.org/officeDocument/2006/relationships/hyperlink" Target="https://techcombank.com/thong-tin/blog/nen-gui-tiet-kiem-thong-thuong-hay-tich-luy" TargetMode="External"/><Relationship Id="rId1229" Type="http://schemas.openxmlformats.org/officeDocument/2006/relationships/hyperlink" Target="https://techcombank.com/thong-tin/blog/cach-lam-the-atm" TargetMode="External"/><Relationship Id="rId2550" Type="http://schemas.openxmlformats.org/officeDocument/2006/relationships/hyperlink" Target="https://techcombank.com/thong-tin/blog/dau-tu-trai-phieu-doanh-nghiep-dung-ham-lai-suat-cao" TargetMode="External"/><Relationship Id="rId1220" Type="http://schemas.openxmlformats.org/officeDocument/2006/relationships/hyperlink" Target="https://techcombank.com/thong-tin/blog/the-tin-dung-mien-phi-thuong-nien" TargetMode="External"/><Relationship Id="rId2551" Type="http://schemas.openxmlformats.org/officeDocument/2006/relationships/hyperlink" Target="https://techcombank.com/thong-tin/blog/mo-so-tiet-kiem-can-bao-nhieu-tien" TargetMode="External"/><Relationship Id="rId1221" Type="http://schemas.openxmlformats.org/officeDocument/2006/relationships/hyperlink" Target="https://techcombank.com/thong-tin/blog/uu-dai-mua-ve-may-bay-bang-the-tin-dung" TargetMode="External"/><Relationship Id="rId2552" Type="http://schemas.openxmlformats.org/officeDocument/2006/relationships/hyperlink" Target="https://techcombank.com/thong-tin/blog/tai-khoan-tiet-kiem" TargetMode="External"/><Relationship Id="rId1222" Type="http://schemas.openxmlformats.org/officeDocument/2006/relationships/hyperlink" Target="https://techcombank.com/thong-tin/blog/mat-the-tin-dung-co-bi-mat-tien-khong" TargetMode="External"/><Relationship Id="rId2553" Type="http://schemas.openxmlformats.org/officeDocument/2006/relationships/hyperlink" Target="https://techcombank.com/thong-tin/blog/mat-so-tiet-kiem" TargetMode="External"/><Relationship Id="rId1223" Type="http://schemas.openxmlformats.org/officeDocument/2006/relationships/hyperlink" Target="https://techcombank.com/thong-tin/blog/so-cvv-la-gi" TargetMode="External"/><Relationship Id="rId2554" Type="http://schemas.openxmlformats.org/officeDocument/2006/relationships/hyperlink" Target="https://techcombank.com/thong-tin/blog/gui-them-tien-vao-so-tiet-kiem" TargetMode="External"/><Relationship Id="rId2500" Type="http://schemas.openxmlformats.org/officeDocument/2006/relationships/hyperlink" Target="https://techcombank.com/thong-tin/blog/quan-ly-tai-chinh-cho-dan-van-phong" TargetMode="External"/><Relationship Id="rId2501" Type="http://schemas.openxmlformats.org/officeDocument/2006/relationships/hyperlink" Target="https://techcombank.com/thong-tin/blog/dau-tu-ngan-han" TargetMode="External"/><Relationship Id="rId2502" Type="http://schemas.openxmlformats.org/officeDocument/2006/relationships/hyperlink" Target="https://techcombank.com/thong-tin/blog/tiet-kiem-tien-moi-ngay" TargetMode="External"/><Relationship Id="rId2503" Type="http://schemas.openxmlformats.org/officeDocument/2006/relationships/hyperlink" Target="https://techcombank.com/thong-tin/blog/cach-tiet-kiem-100-trieu-1-nam" TargetMode="External"/><Relationship Id="rId2504" Type="http://schemas.openxmlformats.org/officeDocument/2006/relationships/hyperlink" Target="https://techcombank.com/thong-tin/blog/tai-khoan-tiet-kiem" TargetMode="External"/><Relationship Id="rId2505" Type="http://schemas.openxmlformats.org/officeDocument/2006/relationships/hyperlink" Target="https://techcombank.com/thong-tin/blog/the-nao-la-tiet-kiem" TargetMode="External"/><Relationship Id="rId2506" Type="http://schemas.openxmlformats.org/officeDocument/2006/relationships/hyperlink" Target="https://techcombank.com/thong-tin/blog/thanh-toan-khi-du-lich-singapore" TargetMode="External"/><Relationship Id="rId2507" Type="http://schemas.openxmlformats.org/officeDocument/2006/relationships/hyperlink" Target="https://techcombank.com/thong-tin/blog/loa-thong-bao-chuyen-khoan" TargetMode="External"/><Relationship Id="rId2508" Type="http://schemas.openxmlformats.org/officeDocument/2006/relationships/hyperlink" Target="https://techcombank.com/thong-tin/blog/dat-xe-xanh-sm" TargetMode="External"/><Relationship Id="rId2509" Type="http://schemas.openxmlformats.org/officeDocument/2006/relationships/hyperlink" Target="https://techcombank.com/thong-tin/blog/cach-tiet-kiem-tien-cua-nguoi-nhat" TargetMode="External"/><Relationship Id="rId2522" Type="http://schemas.openxmlformats.org/officeDocument/2006/relationships/hyperlink" Target="https://techcombank.com/thong-tin/blog/gui-tiet-kiem-online-co-rut-truoc-han-duoc-khong" TargetMode="External"/><Relationship Id="rId2523" Type="http://schemas.openxmlformats.org/officeDocument/2006/relationships/hyperlink" Target="https://techcombank.com/thong-tin/blog/vay-thau-chi-bang-so-tiet-kiem" TargetMode="External"/><Relationship Id="rId2524" Type="http://schemas.openxmlformats.org/officeDocument/2006/relationships/hyperlink" Target="https://techcombank.com/thong-tin/blog/mat-so-tiet-kiem" TargetMode="External"/><Relationship Id="rId2525" Type="http://schemas.openxmlformats.org/officeDocument/2006/relationships/hyperlink" Target="https://techcombank.com/thong-tin/blog/gui-them-tien-vao-so-tiet-kiem" TargetMode="External"/><Relationship Id="rId2526" Type="http://schemas.openxmlformats.org/officeDocument/2006/relationships/hyperlink" Target="https://techcombank.com/thong-tin/blog/so-tiet-kiem-ngan-hang" TargetMode="External"/><Relationship Id="rId2527" Type="http://schemas.openxmlformats.org/officeDocument/2006/relationships/hyperlink" Target="https://techcombank.com/thong-tin/blog/tat-toan" TargetMode="External"/><Relationship Id="rId2528" Type="http://schemas.openxmlformats.org/officeDocument/2006/relationships/hyperlink" Target="https://techcombank.com/thong-tin/blog/dao-han-la-gi" TargetMode="External"/><Relationship Id="rId2529" Type="http://schemas.openxmlformats.org/officeDocument/2006/relationships/hyperlink" Target="https://techcombank.com/thong-tin/blog/quy-trinh-tat-toan-khoan-vay-the-chap" TargetMode="External"/><Relationship Id="rId2520" Type="http://schemas.openxmlformats.org/officeDocument/2006/relationships/hyperlink" Target="https://techcombank.com/thong-tin/blog/thanh-toan-khi-du-lich-han-quoc" TargetMode="External"/><Relationship Id="rId2521" Type="http://schemas.openxmlformats.org/officeDocument/2006/relationships/hyperlink" Target="https://techcombank.com/thong-tin/blog/tat-toan-so-tiet-kiem" TargetMode="External"/><Relationship Id="rId2511" Type="http://schemas.openxmlformats.org/officeDocument/2006/relationships/hyperlink" Target="https://techcombank.com/thong-tin/blog/gui-them-tien-vao-so-tiet-kiem" TargetMode="External"/><Relationship Id="rId2512" Type="http://schemas.openxmlformats.org/officeDocument/2006/relationships/hyperlink" Target="https://techcombank.com/thong-tin/blog/loi-ich-cua-viec-tiet-kiem-tien" TargetMode="External"/><Relationship Id="rId2513" Type="http://schemas.openxmlformats.org/officeDocument/2006/relationships/hyperlink" Target="https://techcombank.com/thong-tin/blog/mo-the-ghi-no" TargetMode="External"/><Relationship Id="rId2514" Type="http://schemas.openxmlformats.org/officeDocument/2006/relationships/hyperlink" Target="https://techcombank.com/thong-tin/blog/phan-mem-lap-ke-hoach-tai-chinh-ca-nhan" TargetMode="External"/><Relationship Id="rId2515" Type="http://schemas.openxmlformats.org/officeDocument/2006/relationships/hyperlink" Target="https://techcombank.com/thong-tin/blog/thanh-toan-tien-nuoc-online" TargetMode="External"/><Relationship Id="rId2516" Type="http://schemas.openxmlformats.org/officeDocument/2006/relationships/hyperlink" Target="https://techcombank.com/thong-tin/blog/mat-so-tiet-kiem" TargetMode="External"/><Relationship Id="rId2517" Type="http://schemas.openxmlformats.org/officeDocument/2006/relationships/hyperlink" Target="https://techcombank.com/thong-tin/blog/thanh-toan-hoc-phi-online" TargetMode="External"/><Relationship Id="rId2518" Type="http://schemas.openxmlformats.org/officeDocument/2006/relationships/hyperlink" Target="https://techcombank.com/thong-tin/blog/chung-chi-tien-gui-co-duoc-rut-truoc-han" TargetMode="External"/><Relationship Id="rId2519" Type="http://schemas.openxmlformats.org/officeDocument/2006/relationships/hyperlink" Target="https://techcombank.com/thong-tin/blog/uu-dai-mua-iphone-18" TargetMode="External"/><Relationship Id="rId2510" Type="http://schemas.openxmlformats.org/officeDocument/2006/relationships/hyperlink" Target="https://techcombank.com/thong-tin/blog/tai-khoan-thanh-toan-la-gi" TargetMode="External"/><Relationship Id="rId469" Type="http://schemas.openxmlformats.org/officeDocument/2006/relationships/hyperlink" Target="https://techcombank.com/thong-tin/blog/nhung-ho-kinh-doanh-duoc-mien-thue" TargetMode="External"/><Relationship Id="rId468" Type="http://schemas.openxmlformats.org/officeDocument/2006/relationships/hyperlink" Target="https://techcombank.com/thong-tin/blog/tra-cuu-no-thue-ca-nhan" TargetMode="External"/><Relationship Id="rId467" Type="http://schemas.openxmlformats.org/officeDocument/2006/relationships/hyperlink" Target="https://techcombank.com/thong-tin/blog/tra-luong-tien-mat" TargetMode="External"/><Relationship Id="rId1290" Type="http://schemas.openxmlformats.org/officeDocument/2006/relationships/hyperlink" Target="https://techcombank.com/thong-tin/blog/the-tin-dung-het-han" TargetMode="External"/><Relationship Id="rId1291" Type="http://schemas.openxmlformats.org/officeDocument/2006/relationships/hyperlink" Target="https://techcombank.com/thong-tin/blog/cach-huy-the-tin-dung" TargetMode="External"/><Relationship Id="rId1292" Type="http://schemas.openxmlformats.org/officeDocument/2006/relationships/hyperlink" Target="https://techcombank.com/thong-tin/blog/co-nen-dung-the-tin-dung-khong" TargetMode="External"/><Relationship Id="rId462" Type="http://schemas.openxmlformats.org/officeDocument/2006/relationships/hyperlink" Target="https://techcombank.com/thong-tin/blog/hoan-thue-thu-nhap-ca-nhan" TargetMode="External"/><Relationship Id="rId1293" Type="http://schemas.openxmlformats.org/officeDocument/2006/relationships/hyperlink" Target="https://techcombank.com/thong-tin/blog/ma-buu-chinh-the-tin-dung" TargetMode="External"/><Relationship Id="rId461" Type="http://schemas.openxmlformats.org/officeDocument/2006/relationships/hyperlink" Target="https://techcombank.com/thong-tin/blog/quyet-toan-thue-thu-nhap-ca-nhan" TargetMode="External"/><Relationship Id="rId1294" Type="http://schemas.openxmlformats.org/officeDocument/2006/relationships/hyperlink" Target="https://techcombank.com/thong-tin/blog/the-tin-dung-quoc-te" TargetMode="External"/><Relationship Id="rId460" Type="http://schemas.openxmlformats.org/officeDocument/2006/relationships/hyperlink" Target="https://techcombank.com/thong-tin/blog/rut-tien-bang-ma-qr-khac-ngan-hang-duoc-khong" TargetMode="External"/><Relationship Id="rId1295" Type="http://schemas.openxmlformats.org/officeDocument/2006/relationships/hyperlink" Target="https://techcombank.com/thong-tin/blog/qua-han-thanh-toan-the-tin-dung-1-ngay" TargetMode="External"/><Relationship Id="rId1296" Type="http://schemas.openxmlformats.org/officeDocument/2006/relationships/hyperlink" Target="https://techcombank.com/thong-tin/blog/phi-rut-tien-mat-the-tin-dung" TargetMode="External"/><Relationship Id="rId466" Type="http://schemas.openxmlformats.org/officeDocument/2006/relationships/hyperlink" Target="https://techcombank.com/thong-tin/blog/cach-tinh-thue-ho-kinh-doanh-nho-le" TargetMode="External"/><Relationship Id="rId1297" Type="http://schemas.openxmlformats.org/officeDocument/2006/relationships/hyperlink" Target="https://techcombank.com/thong-tin/blog/tiet-kiem-khi-di-du-lich" TargetMode="External"/><Relationship Id="rId465" Type="http://schemas.openxmlformats.org/officeDocument/2006/relationships/hyperlink" Target="https://techcombank.com/thong-tin/blog/luong-huu" TargetMode="External"/><Relationship Id="rId1298" Type="http://schemas.openxmlformats.org/officeDocument/2006/relationships/hyperlink" Target="https://techcombank.com/thong-tin/blog/vay-ngan-hang-1-ty-moi-thang-tra-bao-nhieu" TargetMode="External"/><Relationship Id="rId464" Type="http://schemas.openxmlformats.org/officeDocument/2006/relationships/hyperlink" Target="https://techcombank.com/thong-tin/blog/sao-ke-luong" TargetMode="External"/><Relationship Id="rId1299" Type="http://schemas.openxmlformats.org/officeDocument/2006/relationships/hyperlink" Target="https://techcombank.com/thong-tin/blog/cach-thanh-toan-the-tin-dung" TargetMode="External"/><Relationship Id="rId463" Type="http://schemas.openxmlformats.org/officeDocument/2006/relationships/hyperlink" Target="https://techcombank.com/thong-tin/blog/dang-ky-ma-so-thue-ca-nhan" TargetMode="External"/><Relationship Id="rId459" Type="http://schemas.openxmlformats.org/officeDocument/2006/relationships/hyperlink" Target="https://techcombank.com/thong-tin/blog/cach-tao-ma-qr-code-mien-phi" TargetMode="External"/><Relationship Id="rId458" Type="http://schemas.openxmlformats.org/officeDocument/2006/relationships/hyperlink" Target="https://techcombank.com/thong-tin/blog/rut-tien-mat-tu-tai-khoan-doanh-nghiep" TargetMode="External"/><Relationship Id="rId457" Type="http://schemas.openxmlformats.org/officeDocument/2006/relationships/hyperlink" Target="https://techcombank.com/thong-tin/blog/ma-qr-ngan-hang-khong-hop-le" TargetMode="External"/><Relationship Id="rId456" Type="http://schemas.openxmlformats.org/officeDocument/2006/relationships/hyperlink" Target="https://techcombank.com/thong-tin/blog/co-nen-mua-so-tai-khoan-ngan-hang-dep" TargetMode="External"/><Relationship Id="rId1280" Type="http://schemas.openxmlformats.org/officeDocument/2006/relationships/hyperlink" Target="https://techcombank.com/thong-tin/blog/uu-dai-mua-ve-may-bay-bang-the-tin-dung" TargetMode="External"/><Relationship Id="rId1281" Type="http://schemas.openxmlformats.org/officeDocument/2006/relationships/hyperlink" Target="https://techcombank.com/thong-tin/blog/mat-the-tin-dung-co-bi-mat-tien-khong" TargetMode="External"/><Relationship Id="rId451" Type="http://schemas.openxmlformats.org/officeDocument/2006/relationships/hyperlink" Target="https://techcombank.com/thong-tin/blog/app-ngan-hang" TargetMode="External"/><Relationship Id="rId1282" Type="http://schemas.openxmlformats.org/officeDocument/2006/relationships/hyperlink" Target="https://techcombank.com/thong-tin/blog/so-cvv-la-gi" TargetMode="External"/><Relationship Id="rId450" Type="http://schemas.openxmlformats.org/officeDocument/2006/relationships/hyperlink" Target="https://techcombank.com/thong-tin/blog/lo-ma-qr-ngan-hang-co-sao-khong" TargetMode="External"/><Relationship Id="rId1283" Type="http://schemas.openxmlformats.org/officeDocument/2006/relationships/hyperlink" Target="https://techcombank.com/thong-tin/blog/the-tin-dung-nao-nhieu-uu-dai-nhat" TargetMode="External"/><Relationship Id="rId1284" Type="http://schemas.openxmlformats.org/officeDocument/2006/relationships/hyperlink" Target="https://techcombank.com/thong-tin/blog/cach-lam-the-ngan-hang-chay-quang-cao-facebook" TargetMode="External"/><Relationship Id="rId1285" Type="http://schemas.openxmlformats.org/officeDocument/2006/relationships/hyperlink" Target="https://techcombank.com/thong-tin/blog/mua-iphone-17" TargetMode="External"/><Relationship Id="rId455" Type="http://schemas.openxmlformats.org/officeDocument/2006/relationships/hyperlink" Target="https://techcombank.com/thong-tin/blog/thanh-toan-tra-sau-viettel-bang-tai-khoan-ngan-hang" TargetMode="External"/><Relationship Id="rId1286" Type="http://schemas.openxmlformats.org/officeDocument/2006/relationships/hyperlink" Target="https://techcombank.com/thong-tin/blog/the-visa-co-can-mat-khau-khong" TargetMode="External"/><Relationship Id="rId454" Type="http://schemas.openxmlformats.org/officeDocument/2006/relationships/hyperlink" Target="https://techcombank.com/thong-tin/blog/mo-tai-khoan-ngan-hang-co-mat-phi-khong" TargetMode="External"/><Relationship Id="rId1287" Type="http://schemas.openxmlformats.org/officeDocument/2006/relationships/hyperlink" Target="https://techcombank.com/thong-tin/blog/mua-truoc-tra-sau" TargetMode="External"/><Relationship Id="rId453" Type="http://schemas.openxmlformats.org/officeDocument/2006/relationships/hyperlink" Target="https://techcombank.com/thong-tin/blog/mo-tai-khoan-ngan-hang-online-co-an-toan-khong" TargetMode="External"/><Relationship Id="rId1288" Type="http://schemas.openxmlformats.org/officeDocument/2006/relationships/hyperlink" Target="https://techcombank.com/thong-tin/blog/tra-cuu-han-muc-the-tin-dung" TargetMode="External"/><Relationship Id="rId452" Type="http://schemas.openxmlformats.org/officeDocument/2006/relationships/hyperlink" Target="https://techcombank.com/thong-tin/blog/so-the-ngan-hang" TargetMode="External"/><Relationship Id="rId1289" Type="http://schemas.openxmlformats.org/officeDocument/2006/relationships/hyperlink" Target="https://techcombank.com/thong-tin/blog/the-ghi-no-va-the-tin-dung" TargetMode="External"/><Relationship Id="rId3018" Type="http://schemas.openxmlformats.org/officeDocument/2006/relationships/hyperlink" Target="https://techcombank.com/thong-tin/blog/giai-ngan-la-gi" TargetMode="External"/><Relationship Id="rId3017" Type="http://schemas.openxmlformats.org/officeDocument/2006/relationships/hyperlink" Target="https://techcombank.com/thong-tin/blog/the-ghi-no-va-the-tin-dung" TargetMode="External"/><Relationship Id="rId3019" Type="http://schemas.openxmlformats.org/officeDocument/2006/relationships/hyperlink" Target="https://techcombank.com/thong-tin/blog/nen-mua-xe-o-to-dien-hay-xe-xang" TargetMode="External"/><Relationship Id="rId491" Type="http://schemas.openxmlformats.org/officeDocument/2006/relationships/hyperlink" Target="https://techcombank.com/thong-tin/blog/bao-hiem-nhan-tho-bao-nhieu-tien" TargetMode="External"/><Relationship Id="rId490" Type="http://schemas.openxmlformats.org/officeDocument/2006/relationships/hyperlink" Target="https://techcombank.com/thong-tin/blog/bi-quyet-tiet-kiem-tien-mua-nha" TargetMode="External"/><Relationship Id="rId489" Type="http://schemas.openxmlformats.org/officeDocument/2006/relationships/hyperlink" Target="https://techcombank.com/thong-tin/blog/nen-thanh-lap-ho-kinh-doanh-ke-khai-hay-doanh-nghiep" TargetMode="External"/><Relationship Id="rId484" Type="http://schemas.openxmlformats.org/officeDocument/2006/relationships/hyperlink" Target="https://techcombank.com/thong-tin/blog/tra-cuu-no-thue-doanh-nghiep" TargetMode="External"/><Relationship Id="rId3010" Type="http://schemas.openxmlformats.org/officeDocument/2006/relationships/hyperlink" Target="https://techcombank.com/thong-tin/blog/no-xau-mo-the-tin-dung-duoc-khong" TargetMode="External"/><Relationship Id="rId483" Type="http://schemas.openxmlformats.org/officeDocument/2006/relationships/hyperlink" Target="https://techcombank.com/thong-tin/blog/thue-thuong-mai-dien-tu" TargetMode="External"/><Relationship Id="rId482" Type="http://schemas.openxmlformats.org/officeDocument/2006/relationships/hyperlink" Target="https://techcombank.com/thong-tin/blog/tim-hieu-ve-chinh-sach-thue-moi" TargetMode="External"/><Relationship Id="rId3012" Type="http://schemas.openxmlformats.org/officeDocument/2006/relationships/hyperlink" Target="https://techcombank.com/thong-tin/blog/gui-tiet-kiem-online-co-rut-truoc-han-duoc-khong" TargetMode="External"/><Relationship Id="rId481" Type="http://schemas.openxmlformats.org/officeDocument/2006/relationships/hyperlink" Target="https://techcombank.com/thong-tin/blog/cach-nop-thue-dien-tu" TargetMode="External"/><Relationship Id="rId3011" Type="http://schemas.openxmlformats.org/officeDocument/2006/relationships/hyperlink" Target="https://techcombank.com/thong-tin/blog/han-muc-tra-gop-the-tin-dung" TargetMode="External"/><Relationship Id="rId488" Type="http://schemas.openxmlformats.org/officeDocument/2006/relationships/hyperlink" Target="https://techcombank.com/thong-tin/blog/chuyen-doi-ho-kinh-doanh-len-doanh-nghiep" TargetMode="External"/><Relationship Id="rId3014" Type="http://schemas.openxmlformats.org/officeDocument/2006/relationships/hyperlink" Target="https://techcombank.com/thong-tin/blog/lam-ho-so-tra-gop-dien-thoai" TargetMode="External"/><Relationship Id="rId487" Type="http://schemas.openxmlformats.org/officeDocument/2006/relationships/hyperlink" Target="https://techcombank.com/thong-tin/blog/kiem-tra-thue-ho-kinh-doanh" TargetMode="External"/><Relationship Id="rId3013" Type="http://schemas.openxmlformats.org/officeDocument/2006/relationships/hyperlink" Target="https://techcombank.com/thong-tin/blog/tra-gop-lazada" TargetMode="External"/><Relationship Id="rId486" Type="http://schemas.openxmlformats.org/officeDocument/2006/relationships/hyperlink" Target="https://techcombank.com/thong-tin/blog/ke-khai-thue-ho-kinh-doanh-ca-the-online" TargetMode="External"/><Relationship Id="rId3016" Type="http://schemas.openxmlformats.org/officeDocument/2006/relationships/hyperlink" Target="https://techcombank.com/thong-tin/blog/tra-gop-shopee" TargetMode="External"/><Relationship Id="rId485" Type="http://schemas.openxmlformats.org/officeDocument/2006/relationships/hyperlink" Target="https://techcombank.com/thong-tin/blog/giai-dap-ve-thue-doanh-nghiep" TargetMode="External"/><Relationship Id="rId3015" Type="http://schemas.openxmlformats.org/officeDocument/2006/relationships/hyperlink" Target="https://techcombank.com/thong-tin/blog/tat-toan-so-tiet-kiem" TargetMode="External"/><Relationship Id="rId3007" Type="http://schemas.openxmlformats.org/officeDocument/2006/relationships/hyperlink" Target="https://techcombank.com/thong-tin/blog/dieu-kien-vay-von-ngan-hang" TargetMode="External"/><Relationship Id="rId3006" Type="http://schemas.openxmlformats.org/officeDocument/2006/relationships/hyperlink" Target="https://techcombank.com/thong-tin/blog/loi-nhuan" TargetMode="External"/><Relationship Id="rId3009" Type="http://schemas.openxmlformats.org/officeDocument/2006/relationships/hyperlink" Target="https://techcombank.com/thong-tin/blog/vay-ngan-hang-1-ty-moi-thang-tra-bao-nhieu" TargetMode="External"/><Relationship Id="rId3008" Type="http://schemas.openxmlformats.org/officeDocument/2006/relationships/hyperlink" Target="https://techcombank.com/thong-tin/blog/tra-gop-hoc-phi" TargetMode="External"/><Relationship Id="rId480" Type="http://schemas.openxmlformats.org/officeDocument/2006/relationships/hyperlink" Target="https://techcombank.com/thong-tin/blog/ke-khai-thue-doanh-nghiep" TargetMode="External"/><Relationship Id="rId479" Type="http://schemas.openxmlformats.org/officeDocument/2006/relationships/hyperlink" Target="https://techcombank.com/thong-tin/blog/cach-tinh-thue-thu-nhap-doanh-nghiep" TargetMode="External"/><Relationship Id="rId478" Type="http://schemas.openxmlformats.org/officeDocument/2006/relationships/hyperlink" Target="https://techcombank.com/thong-tin/blog/thue-thu-nhap-doanh-nghiep" TargetMode="External"/><Relationship Id="rId473" Type="http://schemas.openxmlformats.org/officeDocument/2006/relationships/hyperlink" Target="https://techcombank.com/thong-tin/blog/vay-the-chap-qua-luong" TargetMode="External"/><Relationship Id="rId472" Type="http://schemas.openxmlformats.org/officeDocument/2006/relationships/hyperlink" Target="https://techcombank.com/thong-tin/blog/chinh-sach-tang-luong-huu" TargetMode="External"/><Relationship Id="rId471" Type="http://schemas.openxmlformats.org/officeDocument/2006/relationships/hyperlink" Target="https://techcombank.com/thong-tin/blog/ho-kinh-doanh-dong-thue-nhu-nao" TargetMode="External"/><Relationship Id="rId3001" Type="http://schemas.openxmlformats.org/officeDocument/2006/relationships/hyperlink" Target="https://techcombank.com/thong-tin/blog/tin-dung-doanh-nghiep" TargetMode="External"/><Relationship Id="rId470" Type="http://schemas.openxmlformats.org/officeDocument/2006/relationships/hyperlink" Target="https://techcombank.com/thong-tin/blog/app-tra-luong" TargetMode="External"/><Relationship Id="rId3000" Type="http://schemas.openxmlformats.org/officeDocument/2006/relationships/hyperlink" Target="https://techcombank.com/thong-tin/blog/tin-dung-tieu-dung" TargetMode="External"/><Relationship Id="rId477" Type="http://schemas.openxmlformats.org/officeDocument/2006/relationships/hyperlink" Target="https://techcombank.com/thong-tin/blog/thue-thu-nhap-ca-nhan" TargetMode="External"/><Relationship Id="rId3003" Type="http://schemas.openxmlformats.org/officeDocument/2006/relationships/hyperlink" Target="https://techcombank.com/thong-tin/blog/von-luu-dong-la-gi" TargetMode="External"/><Relationship Id="rId476" Type="http://schemas.openxmlformats.org/officeDocument/2006/relationships/hyperlink" Target="https://techcombank.com/thong-tin/blog/hoc-cach-tiet-kiem-tien-luong" TargetMode="External"/><Relationship Id="rId3002" Type="http://schemas.openxmlformats.org/officeDocument/2006/relationships/hyperlink" Target="https://techcombank.com/thong-tin/blog/cho-vay-hop-von-la-gi" TargetMode="External"/><Relationship Id="rId475" Type="http://schemas.openxmlformats.org/officeDocument/2006/relationships/hyperlink" Target="https://techcombank.com/thong-tin/blog/chi-tra-luong-huu" TargetMode="External"/><Relationship Id="rId3005" Type="http://schemas.openxmlformats.org/officeDocument/2006/relationships/hyperlink" Target="https://techcombank.com/thong-tin/blog/tap-doan-thanh-quang-khoi-sac-kinh-doanh-nho-nguon-von-vay-tin-dung-techcombank-tren-nen-tang-misa-lending" TargetMode="External"/><Relationship Id="rId474" Type="http://schemas.openxmlformats.org/officeDocument/2006/relationships/hyperlink" Target="https://techcombank.com/thong-tin/blog/kiem-tra-thue-thu-nhap-ca-nhan" TargetMode="External"/><Relationship Id="rId3004" Type="http://schemas.openxmlformats.org/officeDocument/2006/relationships/hyperlink" Target="https://techcombank.com/thong-tin/blog/nhu-cau-vay-tieu-dung-cua-nguoi-viet-du-kien-tang-manh-trong-thoi-gian-toi" TargetMode="External"/><Relationship Id="rId1257" Type="http://schemas.openxmlformats.org/officeDocument/2006/relationships/hyperlink" Target="https://techcombank.com/thong-tin/blog/tra-cuu-han-muc-the-tin-dung" TargetMode="External"/><Relationship Id="rId2588" Type="http://schemas.openxmlformats.org/officeDocument/2006/relationships/hyperlink" Target="https://techcombank.com/thong-tin/blog/ke-hoach-tai-chinh" TargetMode="External"/><Relationship Id="rId1258" Type="http://schemas.openxmlformats.org/officeDocument/2006/relationships/hyperlink" Target="https://techcombank.com/thong-tin/blog/the-ghi-no-va-the-tin-dung" TargetMode="External"/><Relationship Id="rId2589" Type="http://schemas.openxmlformats.org/officeDocument/2006/relationships/hyperlink" Target="https://techcombank.com/thong-tin/blog/ma-mcc" TargetMode="External"/><Relationship Id="rId1259" Type="http://schemas.openxmlformats.org/officeDocument/2006/relationships/hyperlink" Target="https://techcombank.com/thong-tin/blog/the-tin-dung-het-han" TargetMode="External"/><Relationship Id="rId426" Type="http://schemas.openxmlformats.org/officeDocument/2006/relationships/hyperlink" Target="https://techcombank.com/thong-tin/blog/thanh-toan-hoa-don-tieu-dung" TargetMode="External"/><Relationship Id="rId425" Type="http://schemas.openxmlformats.org/officeDocument/2006/relationships/hyperlink" Target="https://techcombank.com/thong-tin/blog/nap-tien-dien-thoai-online" TargetMode="External"/><Relationship Id="rId424" Type="http://schemas.openxmlformats.org/officeDocument/2006/relationships/hyperlink" Target="https://techcombank.com/thong-tin/blog/vay-ngan-hang-1-ty-moi-thang-tra-bao-nhieu" TargetMode="External"/><Relationship Id="rId423" Type="http://schemas.openxmlformats.org/officeDocument/2006/relationships/hyperlink" Target="https://techcombank.com/thong-tin/blog/phan-mem-xuat-hoa-don-dien-tu" TargetMode="External"/><Relationship Id="rId429" Type="http://schemas.openxmlformats.org/officeDocument/2006/relationships/hyperlink" Target="https://techcombank.com/thong-tin/blog/the-ghi-no-co-chuyen-khoan-duoc-khong" TargetMode="External"/><Relationship Id="rId428" Type="http://schemas.openxmlformats.org/officeDocument/2006/relationships/hyperlink" Target="https://techcombank.com/thong-tin/blog/cach-chuyen-tien" TargetMode="External"/><Relationship Id="rId427" Type="http://schemas.openxmlformats.org/officeDocument/2006/relationships/hyperlink" Target="https://techcombank.com/thong-tin/blog/cach-huy-thanh-toan-tien-dien" TargetMode="External"/><Relationship Id="rId2580" Type="http://schemas.openxmlformats.org/officeDocument/2006/relationships/hyperlink" Target="https://techcombank.com/thong-tin/blog/gui-tiet-kiem-online-bi-mat-tien" TargetMode="External"/><Relationship Id="rId1250" Type="http://schemas.openxmlformats.org/officeDocument/2006/relationships/hyperlink" Target="https://techcombank.com/thong-tin/blog/uu-dai-mua-ve-may-bay-bang-the-tin-dung" TargetMode="External"/><Relationship Id="rId2581" Type="http://schemas.openxmlformats.org/officeDocument/2006/relationships/hyperlink" Target="https://techcombank.com/thong-tin/blog/cach-tiet-kiem-tien-theo-tuan" TargetMode="External"/><Relationship Id="rId1251" Type="http://schemas.openxmlformats.org/officeDocument/2006/relationships/hyperlink" Target="https://techcombank.com/thong-tin/blog/mat-the-tin-dung-co-bi-mat-tien-khong" TargetMode="External"/><Relationship Id="rId2582" Type="http://schemas.openxmlformats.org/officeDocument/2006/relationships/hyperlink" Target="https://techcombank.com/thong-tin/blog/tiet-kiem-tien-moi-ngay" TargetMode="External"/><Relationship Id="rId1252" Type="http://schemas.openxmlformats.org/officeDocument/2006/relationships/hyperlink" Target="https://techcombank.com/thong-tin/blog/so-cvv-la-gi" TargetMode="External"/><Relationship Id="rId2583" Type="http://schemas.openxmlformats.org/officeDocument/2006/relationships/hyperlink" Target="https://techcombank.com/thong-tin/blog/hoc-cach-tiet-kiem-tien-luong" TargetMode="External"/><Relationship Id="rId422" Type="http://schemas.openxmlformats.org/officeDocument/2006/relationships/hyperlink" Target="https://techcombank.com/thong-tin/blog/may-tinh-tien" TargetMode="External"/><Relationship Id="rId1253" Type="http://schemas.openxmlformats.org/officeDocument/2006/relationships/hyperlink" Target="https://techcombank.com/thong-tin/blog/cach-lam-the-ngan-hang-chay-quang-cao-facebook" TargetMode="External"/><Relationship Id="rId2584" Type="http://schemas.openxmlformats.org/officeDocument/2006/relationships/hyperlink" Target="https://techcombank.com/thong-tin/blog/loi-ich-cua-viec-tiet-kiem-tien" TargetMode="External"/><Relationship Id="rId421" Type="http://schemas.openxmlformats.org/officeDocument/2006/relationships/hyperlink" Target="https://techcombank.com/thong-tin/blog/tim-hieu-ve-chinh-sach-thue-moi" TargetMode="External"/><Relationship Id="rId1254" Type="http://schemas.openxmlformats.org/officeDocument/2006/relationships/hyperlink" Target="https://techcombank.com/thong-tin/blog/mua-iphone-17" TargetMode="External"/><Relationship Id="rId2585" Type="http://schemas.openxmlformats.org/officeDocument/2006/relationships/hyperlink" Target="https://techcombank.com/thong-tin/blog/the-nao-la-tiet-kiem" TargetMode="External"/><Relationship Id="rId420" Type="http://schemas.openxmlformats.org/officeDocument/2006/relationships/hyperlink" Target="https://techcombank.com/thong-tin/blog/one-stop-shop" TargetMode="External"/><Relationship Id="rId1255" Type="http://schemas.openxmlformats.org/officeDocument/2006/relationships/hyperlink" Target="https://techcombank.com/thong-tin/blog/the-visa-co-can-mat-khau-khong" TargetMode="External"/><Relationship Id="rId2586" Type="http://schemas.openxmlformats.org/officeDocument/2006/relationships/hyperlink" Target="https://techcombank.com/thong-tin/blog/mo-tai-khoan-doanh-nghiep" TargetMode="External"/><Relationship Id="rId1256" Type="http://schemas.openxmlformats.org/officeDocument/2006/relationships/hyperlink" Target="https://techcombank.com/thong-tin/blog/mua-truoc-tra-sau" TargetMode="External"/><Relationship Id="rId2587" Type="http://schemas.openxmlformats.org/officeDocument/2006/relationships/hyperlink" Target="https://techcombank.com/thong-tin/blog/vi-dien-tu" TargetMode="External"/><Relationship Id="rId1246" Type="http://schemas.openxmlformats.org/officeDocument/2006/relationships/hyperlink" Target="https://techcombank.com/thong-tin/blog/tai-khoan-doanh-nghiep-co-the-khong" TargetMode="External"/><Relationship Id="rId2577" Type="http://schemas.openxmlformats.org/officeDocument/2006/relationships/hyperlink" Target="https://techcombank.com/thong-tin/blog/gui-tiet-kiem-ngoai-te" TargetMode="External"/><Relationship Id="rId1247" Type="http://schemas.openxmlformats.org/officeDocument/2006/relationships/hyperlink" Target="https://techcombank.com/thong-tin/blog/mm-yy-la-gi" TargetMode="External"/><Relationship Id="rId2578" Type="http://schemas.openxmlformats.org/officeDocument/2006/relationships/hyperlink" Target="https://techcombank.com/thong-tin/blog/rui-ro-khi-gui-tiet-kiem-ngan-hang" TargetMode="External"/><Relationship Id="rId1248" Type="http://schemas.openxmlformats.org/officeDocument/2006/relationships/hyperlink" Target="https://techcombank.com/thong-tin/blog/uu-dai-the-tin-dung-techcombank-signature" TargetMode="External"/><Relationship Id="rId2579" Type="http://schemas.openxmlformats.org/officeDocument/2006/relationships/hyperlink" Target="https://techcombank.com/thong-tin/blog/gui-tiet-kiem-hang-thang" TargetMode="External"/><Relationship Id="rId1249" Type="http://schemas.openxmlformats.org/officeDocument/2006/relationships/hyperlink" Target="https://techcombank.com/thong-tin/blog/the-tin-dung-mien-phi-thuong-nien" TargetMode="External"/><Relationship Id="rId415" Type="http://schemas.openxmlformats.org/officeDocument/2006/relationships/hyperlink" Target="https://techcombank.com/thong-tin/blog/thanh-toan-tien-dien-bang-the-tin-dung" TargetMode="External"/><Relationship Id="rId414" Type="http://schemas.openxmlformats.org/officeDocument/2006/relationships/hyperlink" Target="https://techcombank.com/thong-tin/blog/app-dong-tien-dien-online" TargetMode="External"/><Relationship Id="rId413" Type="http://schemas.openxmlformats.org/officeDocument/2006/relationships/hyperlink" Target="https://techcombank.com/thong-tin/blog/cach-dong-tien-dien-qua-tai-khoan-ngan-hang" TargetMode="External"/><Relationship Id="rId412" Type="http://schemas.openxmlformats.org/officeDocument/2006/relationships/hyperlink" Target="https://techcombank.com/thong-tin/blog/tra-cuu-hoa-don-tien-dien" TargetMode="External"/><Relationship Id="rId419" Type="http://schemas.openxmlformats.org/officeDocument/2006/relationships/hyperlink" Target="https://techcombank.com/thong-tin/blog/hoa-don-dien-tu-ho-kinh-doanh" TargetMode="External"/><Relationship Id="rId418" Type="http://schemas.openxmlformats.org/officeDocument/2006/relationships/hyperlink" Target="https://techcombank.com/thong-tin/blog/hoa-don-dien-tu" TargetMode="External"/><Relationship Id="rId417" Type="http://schemas.openxmlformats.org/officeDocument/2006/relationships/hyperlink" Target="https://techcombank.com/thong-tin/blog/chuyen-doi-hoa-don-dien-tu" TargetMode="External"/><Relationship Id="rId416" Type="http://schemas.openxmlformats.org/officeDocument/2006/relationships/hyperlink" Target="https://techcombank.com/thong-tin/blog/cach-tra-cuu-hoa-don-dien-tu" TargetMode="External"/><Relationship Id="rId2570" Type="http://schemas.openxmlformats.org/officeDocument/2006/relationships/hyperlink" Target="https://techcombank.com/thong-tin/blog/gui-tien-ngan-hang-co-an-toan-khong" TargetMode="External"/><Relationship Id="rId1240" Type="http://schemas.openxmlformats.org/officeDocument/2006/relationships/hyperlink" Target="https://techcombank.com/thong-tin/blog/the-tin-dung-quoc-te" TargetMode="External"/><Relationship Id="rId2571" Type="http://schemas.openxmlformats.org/officeDocument/2006/relationships/hyperlink" Target="https://techcombank.com/thong-tin/blog/nen-gui-tiet-kiem-6-thang-hay-1-nam" TargetMode="External"/><Relationship Id="rId1241" Type="http://schemas.openxmlformats.org/officeDocument/2006/relationships/hyperlink" Target="https://techcombank.com/thong-tin/blog/the-tin-dung-nao-nhieu-uu-dai-nhat" TargetMode="External"/><Relationship Id="rId2572" Type="http://schemas.openxmlformats.org/officeDocument/2006/relationships/hyperlink" Target="https://techcombank.com/thong-tin/blog/mo-tai-khoan-tiet-kiem-cho-con" TargetMode="External"/><Relationship Id="rId411" Type="http://schemas.openxmlformats.org/officeDocument/2006/relationships/hyperlink" Target="https://techcombank.com/thong-tin/blog/gia-dien-sinh-hoat" TargetMode="External"/><Relationship Id="rId1242" Type="http://schemas.openxmlformats.org/officeDocument/2006/relationships/hyperlink" Target="https://techcombank.com/thong-tin/blog/thoi-gian-hoan-tien-the-tin-dung" TargetMode="External"/><Relationship Id="rId2573" Type="http://schemas.openxmlformats.org/officeDocument/2006/relationships/hyperlink" Target="https://techcombank.com/thong-tin/blog/gui-tiet-kiem-tich-luy-la-gi" TargetMode="External"/><Relationship Id="rId410" Type="http://schemas.openxmlformats.org/officeDocument/2006/relationships/hyperlink" Target="https://techcombank.com/thong-tin/blog/so-the-ngan-hang" TargetMode="External"/><Relationship Id="rId1243" Type="http://schemas.openxmlformats.org/officeDocument/2006/relationships/hyperlink" Target="https://techcombank.com/thong-tin/blog/uu-dai-the-tin-dung" TargetMode="External"/><Relationship Id="rId2574" Type="http://schemas.openxmlformats.org/officeDocument/2006/relationships/hyperlink" Target="https://techcombank.com/thong-tin/blog/gui-tiet-kiem-lay-lai-hang-thang" TargetMode="External"/><Relationship Id="rId1244" Type="http://schemas.openxmlformats.org/officeDocument/2006/relationships/hyperlink" Target="https://techcombank.com/thong-tin/blog/cac-loai-the-tin-dung" TargetMode="External"/><Relationship Id="rId2575" Type="http://schemas.openxmlformats.org/officeDocument/2006/relationships/hyperlink" Target="https://techcombank.com/thong-tin/blog/rui-ro-khi-gui-tiet-kiem-online" TargetMode="External"/><Relationship Id="rId1245" Type="http://schemas.openxmlformats.org/officeDocument/2006/relationships/hyperlink" Target="https://techcombank.com/thong-tin/blog/mo-the-tin-dung-co-loi-ich-gi" TargetMode="External"/><Relationship Id="rId2576" Type="http://schemas.openxmlformats.org/officeDocument/2006/relationships/hyperlink" Target="https://techcombank.com/thong-tin/blog/cach-tinh-lai-suat-tien-gui-tiet-kiem" TargetMode="External"/><Relationship Id="rId1279" Type="http://schemas.openxmlformats.org/officeDocument/2006/relationships/hyperlink" Target="https://techcombank.com/thong-tin/blog/cac-loai-the-tin-dung" TargetMode="External"/><Relationship Id="rId448" Type="http://schemas.openxmlformats.org/officeDocument/2006/relationships/hyperlink" Target="https://techcombank.com/thong-tin/blog/cach-lay-lai-tien-da-chuyen-khoan-khi-bi-lua" TargetMode="External"/><Relationship Id="rId447" Type="http://schemas.openxmlformats.org/officeDocument/2006/relationships/hyperlink" Target="https://techcombank.com/thong-tin/blog/app-ngan-hang-uy-tin" TargetMode="External"/><Relationship Id="rId446" Type="http://schemas.openxmlformats.org/officeDocument/2006/relationships/hyperlink" Target="https://techcombank.com/thong-tin/blog/tao-ma-qr-thanh-toan-cho-cua-hang" TargetMode="External"/><Relationship Id="rId445" Type="http://schemas.openxmlformats.org/officeDocument/2006/relationships/hyperlink" Target="https://techcombank.com/thong-tin/blog/gui-ma-qr-ngan-hang" TargetMode="External"/><Relationship Id="rId449" Type="http://schemas.openxmlformats.org/officeDocument/2006/relationships/hyperlink" Target="https://techcombank.com/thong-tin/blog/cach-doi-mat-khau-tai-khoan-ngan-hang" TargetMode="External"/><Relationship Id="rId1270" Type="http://schemas.openxmlformats.org/officeDocument/2006/relationships/hyperlink" Target="https://techcombank.com/thong-tin/blog/dao-han-the-tin-dung" TargetMode="External"/><Relationship Id="rId440" Type="http://schemas.openxmlformats.org/officeDocument/2006/relationships/hyperlink" Target="https://techcombank.com/thong-tin/blog/chuyen-khoan-lien-ngan-hang" TargetMode="External"/><Relationship Id="rId1271" Type="http://schemas.openxmlformats.org/officeDocument/2006/relationships/hyperlink" Target="https://techcombank.com/thong-tin/blog/thanh-toan-tien-dien-bang-the-tin-dung" TargetMode="External"/><Relationship Id="rId1272" Type="http://schemas.openxmlformats.org/officeDocument/2006/relationships/hyperlink" Target="https://techcombank.com/thong-tin/blog/cashback-the-thanh-toan" TargetMode="External"/><Relationship Id="rId1273" Type="http://schemas.openxmlformats.org/officeDocument/2006/relationships/hyperlink" Target="https://techcombank.com/thong-tin/blog/uu-dai-mo-the-tin-dung" TargetMode="External"/><Relationship Id="rId1274" Type="http://schemas.openxmlformats.org/officeDocument/2006/relationships/hyperlink" Target="https://techcombank.com/thong-tin/blog/the-tin-dung-mien-phi-thuong-nien" TargetMode="External"/><Relationship Id="rId444" Type="http://schemas.openxmlformats.org/officeDocument/2006/relationships/hyperlink" Target="https://techcombank.com/thong-tin/blog/app-chia-tien" TargetMode="External"/><Relationship Id="rId1275" Type="http://schemas.openxmlformats.org/officeDocument/2006/relationships/hyperlink" Target="https://techcombank.com/thong-tin/blog/cach-su-dung-the-tin-dung" TargetMode="External"/><Relationship Id="rId443" Type="http://schemas.openxmlformats.org/officeDocument/2006/relationships/hyperlink" Target="https://techcombank.com/thong-tin/blog/so-tai-khoan-ngan-hang" TargetMode="External"/><Relationship Id="rId1276" Type="http://schemas.openxmlformats.org/officeDocument/2006/relationships/hyperlink" Target="https://techcombank.com/thong-tin/blog/tai-khoan-doanh-nghiep-co-the-khong" TargetMode="External"/><Relationship Id="rId442" Type="http://schemas.openxmlformats.org/officeDocument/2006/relationships/hyperlink" Target="https://techcombank.com/thong-tin/blog/tra-cuu-hoa-don-nuoc" TargetMode="External"/><Relationship Id="rId1277" Type="http://schemas.openxmlformats.org/officeDocument/2006/relationships/hyperlink" Target="https://techcombank.com/thong-tin/blog/mm-yy-la-gi" TargetMode="External"/><Relationship Id="rId441" Type="http://schemas.openxmlformats.org/officeDocument/2006/relationships/hyperlink" Target="https://techcombank.com/thong-tin/blog/cach-kiem-tra-tai-khoan-ngan-hang" TargetMode="External"/><Relationship Id="rId1278" Type="http://schemas.openxmlformats.org/officeDocument/2006/relationships/hyperlink" Target="https://techcombank.com/thong-tin/blog/uu-dai-the-tin-dung-techcombank-signature" TargetMode="External"/><Relationship Id="rId1268" Type="http://schemas.openxmlformats.org/officeDocument/2006/relationships/hyperlink" Target="https://techcombank.com/thong-tin/blog/cach-thanh-toan-the-tin-dung" TargetMode="External"/><Relationship Id="rId2599" Type="http://schemas.openxmlformats.org/officeDocument/2006/relationships/hyperlink" Target="https://techcombank.com/thong-tin/blog/quan-ly-tai-chinh-doanh-nghiep-la-gi" TargetMode="External"/><Relationship Id="rId1269" Type="http://schemas.openxmlformats.org/officeDocument/2006/relationships/hyperlink" Target="https://techcombank.com/thong-tin/blog/the-tin-dung-den" TargetMode="External"/><Relationship Id="rId437" Type="http://schemas.openxmlformats.org/officeDocument/2006/relationships/hyperlink" Target="https://techcombank.com/thong-tin/blog/1-cmnd-dang-ky-duoc-may-tai-khoan-ngan-hang" TargetMode="External"/><Relationship Id="rId436" Type="http://schemas.openxmlformats.org/officeDocument/2006/relationships/hyperlink" Target="https://techcombank.com/thong-tin/blog/cach-chuyen-tien-qua-ma-qr-techcombank" TargetMode="External"/><Relationship Id="rId435" Type="http://schemas.openxmlformats.org/officeDocument/2006/relationships/hyperlink" Target="https://techcombank.com/thong-tin/blog/ngan-hang-thu-huong-la-gi" TargetMode="External"/><Relationship Id="rId434" Type="http://schemas.openxmlformats.org/officeDocument/2006/relationships/hyperlink" Target="https://techcombank.com/thong-tin/blog/nap-tien-vao-tai-khoan-ngan-hang" TargetMode="External"/><Relationship Id="rId439" Type="http://schemas.openxmlformats.org/officeDocument/2006/relationships/hyperlink" Target="https://techcombank.com/thong-tin/blog/99999-co-y-nghia-gi" TargetMode="External"/><Relationship Id="rId438" Type="http://schemas.openxmlformats.org/officeDocument/2006/relationships/hyperlink" Target="https://techcombank.com/thong-tin/blog/cach-chon-so-tai-khoan-dep" TargetMode="External"/><Relationship Id="rId2590" Type="http://schemas.openxmlformats.org/officeDocument/2006/relationships/hyperlink" Target="https://techcombank.com/thong-tin/blog/chinh-sach-thue-moi" TargetMode="External"/><Relationship Id="rId1260" Type="http://schemas.openxmlformats.org/officeDocument/2006/relationships/hyperlink" Target="https://techcombank.com/thong-tin/blog/cach-huy-the-tin-dung" TargetMode="External"/><Relationship Id="rId2591" Type="http://schemas.openxmlformats.org/officeDocument/2006/relationships/hyperlink" Target="https://techcombank.com/thong-tin/blog/ghi-chep-chi-tieu" TargetMode="External"/><Relationship Id="rId1261" Type="http://schemas.openxmlformats.org/officeDocument/2006/relationships/hyperlink" Target="https://techcombank.com/thong-tin/blog/co-nen-dung-the-tin-dung-khong" TargetMode="External"/><Relationship Id="rId2592" Type="http://schemas.openxmlformats.org/officeDocument/2006/relationships/hyperlink" Target="https://techcombank.com/thong-tin/blog/vi-tra-sau" TargetMode="External"/><Relationship Id="rId1262" Type="http://schemas.openxmlformats.org/officeDocument/2006/relationships/hyperlink" Target="https://techcombank.com/thong-tin/blog/ma-buu-chinh-the-tin-dung" TargetMode="External"/><Relationship Id="rId2593" Type="http://schemas.openxmlformats.org/officeDocument/2006/relationships/hyperlink" Target="https://techcombank.com/thong-tin/blog/thue-phi-co-dinh-khi-chuyen-doi-tu-ho-kinh-doanh-len-doanh-nghiep" TargetMode="External"/><Relationship Id="rId1263" Type="http://schemas.openxmlformats.org/officeDocument/2006/relationships/hyperlink" Target="https://techcombank.com/thong-tin/blog/the-tin-dung-quoc-te" TargetMode="External"/><Relationship Id="rId2594" Type="http://schemas.openxmlformats.org/officeDocument/2006/relationships/hyperlink" Target="https://techcombank.com/thong-tin/blog/ngan-hang-so-cho-doanh-nghiep" TargetMode="External"/><Relationship Id="rId433" Type="http://schemas.openxmlformats.org/officeDocument/2006/relationships/hyperlink" Target="https://techcombank.com/thong-tin/blog/mobile-banking-la-gi" TargetMode="External"/><Relationship Id="rId1264" Type="http://schemas.openxmlformats.org/officeDocument/2006/relationships/hyperlink" Target="https://techcombank.com/thong-tin/blog/qua-han-thanh-toan-the-tin-dung-1-ngay" TargetMode="External"/><Relationship Id="rId2595" Type="http://schemas.openxmlformats.org/officeDocument/2006/relationships/hyperlink" Target="https://techcombank.com/thong-tin/blog/chinh-sach-tang-luong-huu" TargetMode="External"/><Relationship Id="rId432" Type="http://schemas.openxmlformats.org/officeDocument/2006/relationships/hyperlink" Target="https://techcombank.com/thong-tin/blog/thanh-toan-tien-nuoc-online" TargetMode="External"/><Relationship Id="rId1265" Type="http://schemas.openxmlformats.org/officeDocument/2006/relationships/hyperlink" Target="https://techcombank.com/thong-tin/blog/phi-rut-tien-mat-the-tin-dung" TargetMode="External"/><Relationship Id="rId2596" Type="http://schemas.openxmlformats.org/officeDocument/2006/relationships/hyperlink" Target="https://techcombank.com/thong-tin/blog/tinh-thanh-khoan-la-gi" TargetMode="External"/><Relationship Id="rId431" Type="http://schemas.openxmlformats.org/officeDocument/2006/relationships/hyperlink" Target="https://techcombank.com/thong-tin/blog/the-tin-dung-co-chuyen-khoan-duoc-khong" TargetMode="External"/><Relationship Id="rId1266" Type="http://schemas.openxmlformats.org/officeDocument/2006/relationships/hyperlink" Target="https://techcombank.com/thong-tin/blog/tiet-kiem-khi-di-du-lich" TargetMode="External"/><Relationship Id="rId2597" Type="http://schemas.openxmlformats.org/officeDocument/2006/relationships/hyperlink" Target="https://techcombank.com/thong-tin/blog/loi-ich-cua-ngan-hang-so-voi-sme" TargetMode="External"/><Relationship Id="rId430" Type="http://schemas.openxmlformats.org/officeDocument/2006/relationships/hyperlink" Target="https://techcombank.com/thong-tin/blog/cach-chuyen-khoan-bang-dien-thoai" TargetMode="External"/><Relationship Id="rId1267" Type="http://schemas.openxmlformats.org/officeDocument/2006/relationships/hyperlink" Target="https://techcombank.com/thong-tin/blog/vay-ngan-hang-1-ty-moi-thang-tra-bao-nhieu" TargetMode="External"/><Relationship Id="rId2598" Type="http://schemas.openxmlformats.org/officeDocument/2006/relationships/hyperlink" Target="https://techcombank.com/thong-tin/blog/npv-la-gi" TargetMode="External"/><Relationship Id="rId3070" Type="http://schemas.openxmlformats.org/officeDocument/2006/relationships/hyperlink" Target="https://techcombank.com/thong-tin/blog/lai-suat-the-tin-dung" TargetMode="External"/><Relationship Id="rId3072" Type="http://schemas.openxmlformats.org/officeDocument/2006/relationships/hyperlink" Target="https://techcombank.com/thong-tin/blog/cach-tinh-lai-suat-tien-gui-tiet-kiem" TargetMode="External"/><Relationship Id="rId3071" Type="http://schemas.openxmlformats.org/officeDocument/2006/relationships/hyperlink" Target="https://techcombank.com/thong-tin/blog/thanh-toan-toi-thieu-the-tin-dung" TargetMode="External"/><Relationship Id="rId3074" Type="http://schemas.openxmlformats.org/officeDocument/2006/relationships/hyperlink" Target="https://techcombank.com/thong-tin/blog/gui-tiet-kiem-hang-thang" TargetMode="External"/><Relationship Id="rId3073" Type="http://schemas.openxmlformats.org/officeDocument/2006/relationships/hyperlink" Target="https://techcombank.com/thong-tin/blog/gui-tiet-kiem-ngoai-te" TargetMode="External"/><Relationship Id="rId3076" Type="http://schemas.openxmlformats.org/officeDocument/2006/relationships/hyperlink" Target="https://techcombank.com/thong-tin/blog/the-visa-de-lam-gi" TargetMode="External"/><Relationship Id="rId3075" Type="http://schemas.openxmlformats.org/officeDocument/2006/relationships/hyperlink" Target="https://techcombank.com/thong-tin/blog/tien-gui-co-ky-han" TargetMode="External"/><Relationship Id="rId3078" Type="http://schemas.openxmlformats.org/officeDocument/2006/relationships/hyperlink" Target="https://techcombank.com/thong-tin/blog/cach-chuyen-khoan-bang-dien-thoai" TargetMode="External"/><Relationship Id="rId3077" Type="http://schemas.openxmlformats.org/officeDocument/2006/relationships/hyperlink" Target="https://techcombank.com/thong-tin/blog/lai-suat-tiet-kiem" TargetMode="External"/><Relationship Id="rId3079" Type="http://schemas.openxmlformats.org/officeDocument/2006/relationships/hyperlink" Target="https://techcombank.com/thong-tin/blog/cach-su-dung-the-tin-dung" TargetMode="External"/><Relationship Id="rId3061" Type="http://schemas.openxmlformats.org/officeDocument/2006/relationships/hyperlink" Target="https://techcombank.com/thong-tin/blog/lai-suat-qua-han" TargetMode="External"/><Relationship Id="rId3060" Type="http://schemas.openxmlformats.org/officeDocument/2006/relationships/hyperlink" Target="https://techcombank.com/thong-tin/blog/no-the-tin-dung-qua-han" TargetMode="External"/><Relationship Id="rId3063" Type="http://schemas.openxmlformats.org/officeDocument/2006/relationships/hyperlink" Target="https://techcombank.com/thong-tin/blog/lai-suat-gui-tiet-kiem-usd" TargetMode="External"/><Relationship Id="rId3062" Type="http://schemas.openxmlformats.org/officeDocument/2006/relationships/hyperlink" Target="https://techcombank.com/thong-tin/blog/chung-chi-tien-gui-khac-gi-so-tiet-kiem" TargetMode="External"/><Relationship Id="rId3065" Type="http://schemas.openxmlformats.org/officeDocument/2006/relationships/hyperlink" Target="https://techcombank.com/thong-tin/blog/the-tin-dung-quoc-te" TargetMode="External"/><Relationship Id="rId3064" Type="http://schemas.openxmlformats.org/officeDocument/2006/relationships/hyperlink" Target="https://techcombank.com/thong-tin/blog/gui-tiet-kiem-theo-ngay" TargetMode="External"/><Relationship Id="rId3067" Type="http://schemas.openxmlformats.org/officeDocument/2006/relationships/hyperlink" Target="https://techcombank.com/thong-tin/blog/cach-thanh-toan-the-tin-dung" TargetMode="External"/><Relationship Id="rId3066" Type="http://schemas.openxmlformats.org/officeDocument/2006/relationships/hyperlink" Target="https://techcombank.com/thong-tin/blog/lai-suat-chung-chi-quy" TargetMode="External"/><Relationship Id="rId3069" Type="http://schemas.openxmlformats.org/officeDocument/2006/relationships/hyperlink" Target="https://techcombank.com/thong-tin/blog/nen-gui-tiet-kiem-6-thang-hay-1-nam" TargetMode="External"/><Relationship Id="rId3068" Type="http://schemas.openxmlformats.org/officeDocument/2006/relationships/hyperlink" Target="https://techcombank.com/thong-tin/blog/dau-tu-trai-phieu-doanh-nghiep-dung-ham-lai-suat-cao" TargetMode="External"/><Relationship Id="rId3090" Type="http://schemas.openxmlformats.org/officeDocument/2006/relationships/hyperlink" Target="https://techcombank.com/thong-tin/blog/loi-nhuan" TargetMode="External"/><Relationship Id="rId3092" Type="http://schemas.openxmlformats.org/officeDocument/2006/relationships/hyperlink" Target="https://techcombank.com/thong-tin/blog/lai-suat-vay-the-chap" TargetMode="External"/><Relationship Id="rId3091" Type="http://schemas.openxmlformats.org/officeDocument/2006/relationships/hyperlink" Target="https://techcombank.com/thong-tin/blog/vay-tin-chap-va-vay-the-chap" TargetMode="External"/><Relationship Id="rId3094" Type="http://schemas.openxmlformats.org/officeDocument/2006/relationships/hyperlink" Target="https://techcombank.com/thong-tin/blog/lai-suat-vay-the-chap-so-do" TargetMode="External"/><Relationship Id="rId3093" Type="http://schemas.openxmlformats.org/officeDocument/2006/relationships/hyperlink" Target="https://techcombank.com/thong-tin/blog/lai-suat-vay-thau-chi" TargetMode="External"/><Relationship Id="rId3096" Type="http://schemas.openxmlformats.org/officeDocument/2006/relationships/hyperlink" Target="https://techcombank.com/thong-tin/blog/cach-tinh-lai-vay-ngan-hang" TargetMode="External"/><Relationship Id="rId3095" Type="http://schemas.openxmlformats.org/officeDocument/2006/relationships/hyperlink" Target="https://techcombank.com/thong-tin/blog/lai-suat-ngan-hang-cho-vay-xay-nha" TargetMode="External"/><Relationship Id="rId3098" Type="http://schemas.openxmlformats.org/officeDocument/2006/relationships/hyperlink" Target="https://techcombank.com/thong-tin/blog/vay-tin-chap-la-gi" TargetMode="External"/><Relationship Id="rId3097" Type="http://schemas.openxmlformats.org/officeDocument/2006/relationships/hyperlink" Target="https://techcombank.com/thong-tin/blog/lai-suat-vay-mua-o-to" TargetMode="External"/><Relationship Id="rId3099" Type="http://schemas.openxmlformats.org/officeDocument/2006/relationships/hyperlink" Target="https://techcombank.com/thong-tin/blog/lai-suat-cho-vay-doanh-nghiep" TargetMode="External"/><Relationship Id="rId3081" Type="http://schemas.openxmlformats.org/officeDocument/2006/relationships/hyperlink" Target="https://techcombank.com/thong-tin/blog/tra-cuu-han-muc-the-tin-dung" TargetMode="External"/><Relationship Id="rId3080" Type="http://schemas.openxmlformats.org/officeDocument/2006/relationships/hyperlink" Target="https://techcombank.com/thong-tin/blog/mua-truoc-tra-sau" TargetMode="External"/><Relationship Id="rId3083" Type="http://schemas.openxmlformats.org/officeDocument/2006/relationships/hyperlink" Target="https://techcombank.com/thong-tin/blog/han-muc-mua-ngoai-te-khi-di-du-lich" TargetMode="External"/><Relationship Id="rId3082" Type="http://schemas.openxmlformats.org/officeDocument/2006/relationships/hyperlink" Target="https://techcombank.com/thong-tin/blog/uu-dai-the-tin-dung-techcombank-signature" TargetMode="External"/><Relationship Id="rId3085" Type="http://schemas.openxmlformats.org/officeDocument/2006/relationships/hyperlink" Target="https://techcombank.com/thong-tin/blog/lai-suat-vay-tieu-dung" TargetMode="External"/><Relationship Id="rId3084" Type="http://schemas.openxmlformats.org/officeDocument/2006/relationships/hyperlink" Target="https://techcombank.com/thong-tin/blog/lai-suat-la-gi" TargetMode="External"/><Relationship Id="rId3087" Type="http://schemas.openxmlformats.org/officeDocument/2006/relationships/hyperlink" Target="https://techcombank.com/thong-tin/blog/dieu-kien-vay-von-ngan-hang" TargetMode="External"/><Relationship Id="rId3086" Type="http://schemas.openxmlformats.org/officeDocument/2006/relationships/hyperlink" Target="https://techcombank.com/thong-tin/blog/lai-suat-vay-tin-chap" TargetMode="External"/><Relationship Id="rId3089" Type="http://schemas.openxmlformats.org/officeDocument/2006/relationships/hyperlink" Target="https://techcombank.com/thong-tin/blog/lai-suat-vay-kinh-doanh" TargetMode="External"/><Relationship Id="rId3088" Type="http://schemas.openxmlformats.org/officeDocument/2006/relationships/hyperlink" Target="https://techcombank.com/thong-tin/blog/lai-suat-qua-han" TargetMode="External"/><Relationship Id="rId3039" Type="http://schemas.openxmlformats.org/officeDocument/2006/relationships/hyperlink" Target="https://techcombank.com/thong-tin/blog/chung-chi-tien-gui-co-duoc-rut-truoc-han" TargetMode="External"/><Relationship Id="rId1" Type="http://schemas.openxmlformats.org/officeDocument/2006/relationships/hyperlink" Target="https://techcombank.com/thong-tin/blog/vay-mua-xe-tra-gop-ngan-hang-nao-tot-nhat" TargetMode="External"/><Relationship Id="rId2" Type="http://schemas.openxmlformats.org/officeDocument/2006/relationships/hyperlink" Target="https://techcombank.com/thong-tin/blog/co-nen-mua-o-to-tra-gop" TargetMode="External"/><Relationship Id="rId3" Type="http://schemas.openxmlformats.org/officeDocument/2006/relationships/hyperlink" Target="https://techcombank.com/thong-tin/blog/thu-tuc-mua-xe-tra-gop" TargetMode="External"/><Relationship Id="rId4" Type="http://schemas.openxmlformats.org/officeDocument/2006/relationships/hyperlink" Target="https://techcombank.com/thong-tin/blog/nen-mua-xe-tra-gop-hay-tra-thang" TargetMode="External"/><Relationship Id="rId3030" Type="http://schemas.openxmlformats.org/officeDocument/2006/relationships/hyperlink" Target="https://techcombank.com/thong-tin/blog/nang-han-muc-tin-dung" TargetMode="External"/><Relationship Id="rId9" Type="http://schemas.openxmlformats.org/officeDocument/2006/relationships/hyperlink" Target="https://techcombank.com/thong-tin/blog/nen-mua-xe-o-to-dien-hay-xe-xang" TargetMode="External"/><Relationship Id="rId3032" Type="http://schemas.openxmlformats.org/officeDocument/2006/relationships/hyperlink" Target="https://techcombank.com/thong-tin/blog/chung-chi-tien-gui-la-gi" TargetMode="External"/><Relationship Id="rId3031" Type="http://schemas.openxmlformats.org/officeDocument/2006/relationships/hyperlink" Target="https://techcombank.com/thong-tin/blog/lich-su-tin-dung" TargetMode="External"/><Relationship Id="rId3034" Type="http://schemas.openxmlformats.org/officeDocument/2006/relationships/hyperlink" Target="https://techcombank.com/thong-tin/blog/vi-sao-lai-suat-trai-phieu-tai-tcbs-lai-thap-hon-so-voi-cac-to-chuc-phat-hanh-khac" TargetMode="External"/><Relationship Id="rId3033" Type="http://schemas.openxmlformats.org/officeDocument/2006/relationships/hyperlink" Target="https://techcombank.com/thong-tin/blog/lai-suat-la-gi" TargetMode="External"/><Relationship Id="rId5" Type="http://schemas.openxmlformats.org/officeDocument/2006/relationships/hyperlink" Target="https://techcombank.com/thong-tin/blog/vay-the-chap-xe-o-to-cu" TargetMode="External"/><Relationship Id="rId3036" Type="http://schemas.openxmlformats.org/officeDocument/2006/relationships/hyperlink" Target="https://techcombank.com/thong-tin/blog/the-tin-dung-noi-dia" TargetMode="External"/><Relationship Id="rId6" Type="http://schemas.openxmlformats.org/officeDocument/2006/relationships/hyperlink" Target="https://techcombank.com/thong-tin/blog/mua-bao-hiem-o-to-dien" TargetMode="External"/><Relationship Id="rId3035" Type="http://schemas.openxmlformats.org/officeDocument/2006/relationships/hyperlink" Target="https://techcombank.com/thong-tin/blog/mo-the-tin-dung-han-muc-cao" TargetMode="External"/><Relationship Id="rId7" Type="http://schemas.openxmlformats.org/officeDocument/2006/relationships/hyperlink" Target="https://techcombank.com/thong-tin/blog/mua-bao-hiem-o-to" TargetMode="External"/><Relationship Id="rId3038" Type="http://schemas.openxmlformats.org/officeDocument/2006/relationships/hyperlink" Target="https://techcombank.com/thong-tin/blog/tra-gop-qua-the-tin-dung" TargetMode="External"/><Relationship Id="rId8" Type="http://schemas.openxmlformats.org/officeDocument/2006/relationships/hyperlink" Target="https://techcombank.com/thong-tin/blog/bao-hiem-vat-chat-xe-o-to" TargetMode="External"/><Relationship Id="rId3037" Type="http://schemas.openxmlformats.org/officeDocument/2006/relationships/hyperlink" Target="https://techcombank.com/thong-tin/blog/nghich-ly-nha-dau-tu-che-trai-phieu-lai-suat-cao-ua-ma-an-toan-du-lai-suat-thap-hon-05-1" TargetMode="External"/><Relationship Id="rId3029" Type="http://schemas.openxmlformats.org/officeDocument/2006/relationships/hyperlink" Target="https://techcombank.com/thong-tin/blog/spaylater" TargetMode="External"/><Relationship Id="rId3028" Type="http://schemas.openxmlformats.org/officeDocument/2006/relationships/hyperlink" Target="https://techcombank.com/thong-tin/blog/ho-so-thu-tuc-xoa-the-chap" TargetMode="External"/><Relationship Id="rId3021" Type="http://schemas.openxmlformats.org/officeDocument/2006/relationships/hyperlink" Target="https://techcombank.com/thong-tin/blog/the-tin-dung-phu-la-gi" TargetMode="External"/><Relationship Id="rId3020" Type="http://schemas.openxmlformats.org/officeDocument/2006/relationships/hyperlink" Target="https://techcombank.com/thong-tin/blog/han-muc-the-tin-dung" TargetMode="External"/><Relationship Id="rId3023" Type="http://schemas.openxmlformats.org/officeDocument/2006/relationships/hyperlink" Target="https://techcombank.com/thong-tin/blog/the-visa-co-rut-tien-duoc-khong" TargetMode="External"/><Relationship Id="rId3022" Type="http://schemas.openxmlformats.org/officeDocument/2006/relationships/hyperlink" Target="https://techcombank.com/thong-tin/blog/rut-tien-mat-tu-the-tin-dung" TargetMode="External"/><Relationship Id="rId3025" Type="http://schemas.openxmlformats.org/officeDocument/2006/relationships/hyperlink" Target="https://techcombank.com/thong-tin/blog/tai-khoan-ngan-hang-chua-toi-da-bao-nhieu-tien" TargetMode="External"/><Relationship Id="rId3024" Type="http://schemas.openxmlformats.org/officeDocument/2006/relationships/hyperlink" Target="https://techcombank.com/thong-tin/blog/bao-lanh-bao-hanh" TargetMode="External"/><Relationship Id="rId3027" Type="http://schemas.openxmlformats.org/officeDocument/2006/relationships/hyperlink" Target="https://techcombank.com/thong-tin/blog/chuyen-gia-du-doan-gia-bat-dong-san-2025-va-cac-no-luc-tu-ngan-hang" TargetMode="External"/><Relationship Id="rId3026" Type="http://schemas.openxmlformats.org/officeDocument/2006/relationships/hyperlink" Target="https://techcombank.com/thong-tin/blog/app-mua-truoc-tra-sau" TargetMode="External"/><Relationship Id="rId3050" Type="http://schemas.openxmlformats.org/officeDocument/2006/relationships/hyperlink" Target="https://techcombank.com/thong-tin/blog/chon-kenh-dau-tu-an-toan-trong-boi-canh-thi-truong-bien-dong" TargetMode="External"/><Relationship Id="rId3052" Type="http://schemas.openxmlformats.org/officeDocument/2006/relationships/hyperlink" Target="https://techcombank.com/thong-tin/blog/lai-suat-chung-chi-tien-gui-cac-ngan-hang" TargetMode="External"/><Relationship Id="rId3051" Type="http://schemas.openxmlformats.org/officeDocument/2006/relationships/hyperlink" Target="https://techcombank.com/thong-tin/blog/cach-su-dung-the-visa-techcombank" TargetMode="External"/><Relationship Id="rId3054" Type="http://schemas.openxmlformats.org/officeDocument/2006/relationships/hyperlink" Target="https://techcombank.com/thong-tin/blog/cach-tiet-kiem-tien-sinh-loi" TargetMode="External"/><Relationship Id="rId3053" Type="http://schemas.openxmlformats.org/officeDocument/2006/relationships/hyperlink" Target="https://techcombank.com/thong-tin/blog/so-sanh-gui-tiet-kiem-online-va-tai-quay" TargetMode="External"/><Relationship Id="rId3056" Type="http://schemas.openxmlformats.org/officeDocument/2006/relationships/hyperlink" Target="https://techcombank.com/thong-tin/blog/co-nen-gui-tiet-kiem-online" TargetMode="External"/><Relationship Id="rId3055" Type="http://schemas.openxmlformats.org/officeDocument/2006/relationships/hyperlink" Target="https://techcombank.com/thong-tin/blog/tai-sao-gui-tiet-kiem-online-lai-suat-cao-hon" TargetMode="External"/><Relationship Id="rId3058" Type="http://schemas.openxmlformats.org/officeDocument/2006/relationships/hyperlink" Target="https://techcombank.com/thong-tin/blog/sao-ke-the-tin-dung-la-gi" TargetMode="External"/><Relationship Id="rId3057" Type="http://schemas.openxmlformats.org/officeDocument/2006/relationships/hyperlink" Target="https://techcombank.com/thong-tin/blog/no-xau-co-lam-the-visa-duoc-khong" TargetMode="External"/><Relationship Id="rId3059" Type="http://schemas.openxmlformats.org/officeDocument/2006/relationships/hyperlink" Target="https://techcombank.com/thong-tin/blog/the-tin-dung-bi-khoa" TargetMode="External"/><Relationship Id="rId3041" Type="http://schemas.openxmlformats.org/officeDocument/2006/relationships/hyperlink" Target="https://techcombank.com/thong-tin/blog/du-no-la-gi" TargetMode="External"/><Relationship Id="rId3040" Type="http://schemas.openxmlformats.org/officeDocument/2006/relationships/hyperlink" Target="https://techcombank.com/thong-tin/blog/thi-truong-trai-phieu-co-hoi-dau-tu-trai-phieu-vang-du-lai-suat-thap" TargetMode="External"/><Relationship Id="rId3043" Type="http://schemas.openxmlformats.org/officeDocument/2006/relationships/hyperlink" Target="https://techcombank.com/thong-tin/blog/so-tiet-kiem-ngan-hang" TargetMode="External"/><Relationship Id="rId3042" Type="http://schemas.openxmlformats.org/officeDocument/2006/relationships/hyperlink" Target="https://techcombank.com/thong-tin/blog/cong-thuc-tinh-lai-suat-thuc" TargetMode="External"/><Relationship Id="rId3045" Type="http://schemas.openxmlformats.org/officeDocument/2006/relationships/hyperlink" Target="https://techcombank.com/thong-tin/blog/no-xau" TargetMode="External"/><Relationship Id="rId3044" Type="http://schemas.openxmlformats.org/officeDocument/2006/relationships/hyperlink" Target="https://techcombank.com/thong-tin/blog/techcombank-sinh-loi-tu-dong" TargetMode="External"/><Relationship Id="rId3047" Type="http://schemas.openxmlformats.org/officeDocument/2006/relationships/hyperlink" Target="https://techcombank.com/thong-tin/blog/tien-gui-khong-ky-han" TargetMode="External"/><Relationship Id="rId3046" Type="http://schemas.openxmlformats.org/officeDocument/2006/relationships/hyperlink" Target="https://techcombank.com/thong-tin/blog/lai-kep-ngan-hang" TargetMode="External"/><Relationship Id="rId3049" Type="http://schemas.openxmlformats.org/officeDocument/2006/relationships/hyperlink" Target="https://techcombank.com/thong-tin/blog/tat-toan-chung-chi-tien-gui" TargetMode="External"/><Relationship Id="rId3048" Type="http://schemas.openxmlformats.org/officeDocument/2006/relationships/hyperlink" Target="https://techcombank.com/thong-tin/blog/thanh-toan-tra-gop-qua-the-tin-dung" TargetMode="External"/><Relationship Id="rId2600" Type="http://schemas.openxmlformats.org/officeDocument/2006/relationships/hyperlink" Target="https://techcombank.com/thong-tin/blog/quan-ly-tai-chinh-doanh-nghiep-nho" TargetMode="External"/><Relationship Id="rId2601" Type="http://schemas.openxmlformats.org/officeDocument/2006/relationships/hyperlink" Target="https://techcombank.com/thong-tin/blog/uu-dai-the-tin-dung-techcombank-signature" TargetMode="External"/><Relationship Id="rId2602" Type="http://schemas.openxmlformats.org/officeDocument/2006/relationships/hyperlink" Target="https://techcombank.com/thong-tin/blog/tai-san-va-tieu-san-la-gi" TargetMode="External"/><Relationship Id="rId2603" Type="http://schemas.openxmlformats.org/officeDocument/2006/relationships/hyperlink" Target="https://techcombank.com/thong-tin/blog/cach-tiet-kiem-tien-cua-nguoi-nhat" TargetMode="External"/><Relationship Id="rId2604" Type="http://schemas.openxmlformats.org/officeDocument/2006/relationships/hyperlink" Target="https://techcombank.com/thong-tin/blog/sai-lam-ve-tai-chinh-ca-nhan" TargetMode="External"/><Relationship Id="rId2605" Type="http://schemas.openxmlformats.org/officeDocument/2006/relationships/hyperlink" Target="https://techcombank.com/thong-tin/blog/lam-phat-la-gi" TargetMode="External"/><Relationship Id="rId2606" Type="http://schemas.openxmlformats.org/officeDocument/2006/relationships/hyperlink" Target="https://techcombank.com/thong-tin/blog/cach-tiet-kiem-tien-hieu-qua-cho-gia-dinh" TargetMode="External"/><Relationship Id="rId808" Type="http://schemas.openxmlformats.org/officeDocument/2006/relationships/hyperlink" Target="https://techcombank.com/thong-tin/blog/nen-thanh-lap-ho-kinh-doanh-ke-khai-hay-doanh-nghiep" TargetMode="External"/><Relationship Id="rId2607" Type="http://schemas.openxmlformats.org/officeDocument/2006/relationships/hyperlink" Target="https://techcombank.com/thong-tin/blog/dau-chan-carbon" TargetMode="External"/><Relationship Id="rId807" Type="http://schemas.openxmlformats.org/officeDocument/2006/relationships/hyperlink" Target="https://techcombank.com/thong-tin/blog/chuyen-doi-ho-kinh-doanh-len-doanh-nghiep" TargetMode="External"/><Relationship Id="rId2608" Type="http://schemas.openxmlformats.org/officeDocument/2006/relationships/hyperlink" Target="https://techcombank.com/thong-tin/blog/mo-tai-khoan-ngan-hang-cho-tre-em" TargetMode="External"/><Relationship Id="rId806" Type="http://schemas.openxmlformats.org/officeDocument/2006/relationships/hyperlink" Target="https://techcombank.com/thong-tin/blog/giai-dap-ve-thue-doanh-nghiep" TargetMode="External"/><Relationship Id="rId2609" Type="http://schemas.openxmlformats.org/officeDocument/2006/relationships/hyperlink" Target="https://techcombank.com/thong-tin/blog/app-mua-truoc-tra-sau" TargetMode="External"/><Relationship Id="rId805" Type="http://schemas.openxmlformats.org/officeDocument/2006/relationships/hyperlink" Target="https://techcombank.com/thong-tin/blog/thue-thuong-mai-dien-tu" TargetMode="External"/><Relationship Id="rId809" Type="http://schemas.openxmlformats.org/officeDocument/2006/relationships/hyperlink" Target="https://techcombank.com/thong-tin/blog/bi-quyet-tiet-kiem-tien-mua-nha" TargetMode="External"/><Relationship Id="rId800" Type="http://schemas.openxmlformats.org/officeDocument/2006/relationships/hyperlink" Target="https://techcombank.com/thong-tin/blog/cach-tinh-thue-thu-nhap-doanh-nghiep" TargetMode="External"/><Relationship Id="rId804" Type="http://schemas.openxmlformats.org/officeDocument/2006/relationships/hyperlink" Target="https://techcombank.com/thong-tin/blog/tra-luong-tien-mat" TargetMode="External"/><Relationship Id="rId803" Type="http://schemas.openxmlformats.org/officeDocument/2006/relationships/hyperlink" Target="https://techcombank.com/thong-tin/blog/app-tra-luong" TargetMode="External"/><Relationship Id="rId802" Type="http://schemas.openxmlformats.org/officeDocument/2006/relationships/hyperlink" Target="https://techcombank.com/thong-tin/blog/tim-hieu-ve-chinh-sach-thue-moi" TargetMode="External"/><Relationship Id="rId801" Type="http://schemas.openxmlformats.org/officeDocument/2006/relationships/hyperlink" Target="https://techcombank.com/thong-tin/blog/ke-khai-thue-doanh-nghiep" TargetMode="External"/><Relationship Id="rId1334" Type="http://schemas.openxmlformats.org/officeDocument/2006/relationships/hyperlink" Target="https://techcombank.com/thong-tin/blog/mo-the-tin-dung-han-muc-cao" TargetMode="External"/><Relationship Id="rId2665" Type="http://schemas.openxmlformats.org/officeDocument/2006/relationships/hyperlink" Target="https://techcombank.com/thong-tin/blog/vay-ngan-hang-chi-can-cccd" TargetMode="External"/><Relationship Id="rId1335" Type="http://schemas.openxmlformats.org/officeDocument/2006/relationships/hyperlink" Target="https://techcombank.com/thong-tin/blog/uu-dai-the-tin-dung" TargetMode="External"/><Relationship Id="rId2666" Type="http://schemas.openxmlformats.org/officeDocument/2006/relationships/hyperlink" Target="https://techcombank.com/thong-tin/blog/tra-gop-shopee" TargetMode="External"/><Relationship Id="rId1336" Type="http://schemas.openxmlformats.org/officeDocument/2006/relationships/hyperlink" Target="https://techcombank.com/thong-tin/blog/3d-secure" TargetMode="External"/><Relationship Id="rId2667" Type="http://schemas.openxmlformats.org/officeDocument/2006/relationships/hyperlink" Target="https://techcombank.com/thong-tin/blog/tra-gop-hoc-phi" TargetMode="External"/><Relationship Id="rId1337" Type="http://schemas.openxmlformats.org/officeDocument/2006/relationships/hyperlink" Target="https://techcombank.com/thong-tin/blog/lai-suat-the-tin-dung" TargetMode="External"/><Relationship Id="rId2668" Type="http://schemas.openxmlformats.org/officeDocument/2006/relationships/hyperlink" Target="https://techcombank.com/thong-tin/blog/thanh-toan-tra-gop-qua-the-tin-dung" TargetMode="External"/><Relationship Id="rId1338" Type="http://schemas.openxmlformats.org/officeDocument/2006/relationships/hyperlink" Target="https://techcombank.com/thong-tin/blog/mo-the-tin-dung-co-loi-ich-gi" TargetMode="External"/><Relationship Id="rId2669" Type="http://schemas.openxmlformats.org/officeDocument/2006/relationships/hyperlink" Target="https://techcombank.com/thong-tin/blog/tra-gop-lazada" TargetMode="External"/><Relationship Id="rId1339" Type="http://schemas.openxmlformats.org/officeDocument/2006/relationships/hyperlink" Target="https://techcombank.com/thong-tin/blog/the-tin-dung-ao" TargetMode="External"/><Relationship Id="rId745" Type="http://schemas.openxmlformats.org/officeDocument/2006/relationships/hyperlink" Target="https://techcombank.com/thong-tin/blog/thoi-gian-hoan-tien-the-tin-dung" TargetMode="External"/><Relationship Id="rId744" Type="http://schemas.openxmlformats.org/officeDocument/2006/relationships/hyperlink" Target="https://techcombank.com/thong-tin/blog/the-debit-cho-con" TargetMode="External"/><Relationship Id="rId743" Type="http://schemas.openxmlformats.org/officeDocument/2006/relationships/hyperlink" Target="https://techcombank.com/thong-tin/blog/mo-the-tin-dung-chi-can-cccd" TargetMode="External"/><Relationship Id="rId742" Type="http://schemas.openxmlformats.org/officeDocument/2006/relationships/hyperlink" Target="https://techcombank.com/thong-tin/blog/cach-tiet-kiem-tien" TargetMode="External"/><Relationship Id="rId749" Type="http://schemas.openxmlformats.org/officeDocument/2006/relationships/hyperlink" Target="https://techcombank.com/thong-tin/blog/mo-the-tin-dung-khong-can-chung-minh-thu-nhap" TargetMode="External"/><Relationship Id="rId748" Type="http://schemas.openxmlformats.org/officeDocument/2006/relationships/hyperlink" Target="https://techcombank.com/thong-tin/blog/the-visa-co-may-loai" TargetMode="External"/><Relationship Id="rId747" Type="http://schemas.openxmlformats.org/officeDocument/2006/relationships/hyperlink" Target="https://techcombank.com/thong-tin/blog/vay-tien-online" TargetMode="External"/><Relationship Id="rId746" Type="http://schemas.openxmlformats.org/officeDocument/2006/relationships/hyperlink" Target="https://techcombank.com/thong-tin/blog/ung-dung-cong-nghe" TargetMode="External"/><Relationship Id="rId2660" Type="http://schemas.openxmlformats.org/officeDocument/2006/relationships/hyperlink" Target="https://techcombank.com/thong-tin/blog/lai-suat-vay-thau-chi" TargetMode="External"/><Relationship Id="rId741" Type="http://schemas.openxmlformats.org/officeDocument/2006/relationships/hyperlink" Target="https://techcombank.com/thong-tin/blog/nang-han-muc-tin-dung" TargetMode="External"/><Relationship Id="rId1330" Type="http://schemas.openxmlformats.org/officeDocument/2006/relationships/hyperlink" Target="https://techcombank.com/thong-tin/blog/thanh-toan-online-bang-the-tin-dung" TargetMode="External"/><Relationship Id="rId2661" Type="http://schemas.openxmlformats.org/officeDocument/2006/relationships/hyperlink" Target="https://techcombank.com/thong-tin/blog/vay-mua-nha-tra-gop" TargetMode="External"/><Relationship Id="rId740" Type="http://schemas.openxmlformats.org/officeDocument/2006/relationships/hyperlink" Target="https://techcombank.com/thong-tin/blog/cashback-the-thanh-toan" TargetMode="External"/><Relationship Id="rId1331" Type="http://schemas.openxmlformats.org/officeDocument/2006/relationships/hyperlink" Target="https://techcombank.com/thong-tin/blog/uu-dai-mo-the-tin-dung" TargetMode="External"/><Relationship Id="rId2662" Type="http://schemas.openxmlformats.org/officeDocument/2006/relationships/hyperlink" Target="https://techcombank.com/thong-tin/blog/quy-trinh-tat-toan-khoan-vay-the-chap" TargetMode="External"/><Relationship Id="rId1332" Type="http://schemas.openxmlformats.org/officeDocument/2006/relationships/hyperlink" Target="https://techcombank.com/thong-tin/blog/the-tin-dung-co-chuyen-khoan-duoc-khong" TargetMode="External"/><Relationship Id="rId2663" Type="http://schemas.openxmlformats.org/officeDocument/2006/relationships/hyperlink" Target="https://techcombank.com/thong-tin/blog/vay-40-trieu" TargetMode="External"/><Relationship Id="rId1333" Type="http://schemas.openxmlformats.org/officeDocument/2006/relationships/hyperlink" Target="https://techcombank.com/thong-tin/blog/the-tin-dung-techcombank-visa-eco" TargetMode="External"/><Relationship Id="rId2664" Type="http://schemas.openxmlformats.org/officeDocument/2006/relationships/hyperlink" Target="https://techcombank.com/thong-tin/blog/thu-tuc-mua-xe-tra-gop" TargetMode="External"/><Relationship Id="rId1323" Type="http://schemas.openxmlformats.org/officeDocument/2006/relationships/hyperlink" Target="https://techcombank.com/thong-tin/blog/the-tin-dung-quoc-te" TargetMode="External"/><Relationship Id="rId2654" Type="http://schemas.openxmlformats.org/officeDocument/2006/relationships/hyperlink" Target="https://techcombank.com/thong-tin/blog/rui-ro-khi-vay-the-chap-ngan-hang" TargetMode="External"/><Relationship Id="rId1324" Type="http://schemas.openxmlformats.org/officeDocument/2006/relationships/hyperlink" Target="https://techcombank.com/thong-tin/blog/qua-han-thanh-toan-the-tin-dung-1-ngay" TargetMode="External"/><Relationship Id="rId2655" Type="http://schemas.openxmlformats.org/officeDocument/2006/relationships/hyperlink" Target="https://techcombank.com/thong-tin/blog/vay-tin-chap-va-vay-the-chap" TargetMode="External"/><Relationship Id="rId1325" Type="http://schemas.openxmlformats.org/officeDocument/2006/relationships/hyperlink" Target="https://techcombank.com/thong-tin/blog/phi-rut-tien-mat-the-tin-dung" TargetMode="External"/><Relationship Id="rId2656" Type="http://schemas.openxmlformats.org/officeDocument/2006/relationships/hyperlink" Target="https://techcombank.com/thong-tin/blog/lai-suat-vay-the-chap" TargetMode="External"/><Relationship Id="rId1326" Type="http://schemas.openxmlformats.org/officeDocument/2006/relationships/hyperlink" Target="https://techcombank.com/thong-tin/blog/vay-ngan-hang-1-ty-moi-thang-tra-bao-nhieu" TargetMode="External"/><Relationship Id="rId2657" Type="http://schemas.openxmlformats.org/officeDocument/2006/relationships/hyperlink" Target="https://techcombank.com/thong-tin/blog/tat-toan" TargetMode="External"/><Relationship Id="rId1327" Type="http://schemas.openxmlformats.org/officeDocument/2006/relationships/hyperlink" Target="https://techcombank.com/thong-tin/blog/cach-thanh-toan-the-tin-dung" TargetMode="External"/><Relationship Id="rId2658" Type="http://schemas.openxmlformats.org/officeDocument/2006/relationships/hyperlink" Target="https://techcombank.com/thong-tin/blog/dao-han-la-gi" TargetMode="External"/><Relationship Id="rId1328" Type="http://schemas.openxmlformats.org/officeDocument/2006/relationships/hyperlink" Target="https://techcombank.com/thong-tin/blog/the-tin-dung-den" TargetMode="External"/><Relationship Id="rId2659" Type="http://schemas.openxmlformats.org/officeDocument/2006/relationships/hyperlink" Target="https://techcombank.com/thong-tin/blog/vay-mua-xe-tra-gop-ngan-hang-nao-tot-nhat" TargetMode="External"/><Relationship Id="rId1329" Type="http://schemas.openxmlformats.org/officeDocument/2006/relationships/hyperlink" Target="https://techcombank.com/thong-tin/blog/dao-han-the-tin-dung" TargetMode="External"/><Relationship Id="rId739" Type="http://schemas.openxmlformats.org/officeDocument/2006/relationships/hyperlink" Target="https://techcombank.com/thong-tin/blog/sao-ke-the-tin-dung-la-gi" TargetMode="External"/><Relationship Id="rId734" Type="http://schemas.openxmlformats.org/officeDocument/2006/relationships/hyperlink" Target="https://techcombank.com/thong-tin/blog/cho-vay-tieu-dung-la-gi" TargetMode="External"/><Relationship Id="rId733" Type="http://schemas.openxmlformats.org/officeDocument/2006/relationships/hyperlink" Target="https://techcombank.com/thong-tin/blog/tiet-kiem-khi-di-du-lich" TargetMode="External"/><Relationship Id="rId732" Type="http://schemas.openxmlformats.org/officeDocument/2006/relationships/hyperlink" Target="https://techcombank.com/thong-tin/blog/app-mua-truoc-tra-sau" TargetMode="External"/><Relationship Id="rId731" Type="http://schemas.openxmlformats.org/officeDocument/2006/relationships/hyperlink" Target="https://techcombank.com/thong-tin/blog/dau-chan-carbon" TargetMode="External"/><Relationship Id="rId738" Type="http://schemas.openxmlformats.org/officeDocument/2006/relationships/hyperlink" Target="https://techcombank.com/thong-tin/blog/app-quan-ly-chi-tieu" TargetMode="External"/><Relationship Id="rId737" Type="http://schemas.openxmlformats.org/officeDocument/2006/relationships/hyperlink" Target="https://techcombank.com/thong-tin/blog/uu-dai-the-tin-dung" TargetMode="External"/><Relationship Id="rId736" Type="http://schemas.openxmlformats.org/officeDocument/2006/relationships/hyperlink" Target="https://techcombank.com/thong-tin/blog/mo-the-tin-dung-han-muc-cao" TargetMode="External"/><Relationship Id="rId735" Type="http://schemas.openxmlformats.org/officeDocument/2006/relationships/hyperlink" Target="https://techcombank.com/thong-tin/blog/phan-mem-lap-ke-hoach-tai-chinh-ca-nhan" TargetMode="External"/><Relationship Id="rId730" Type="http://schemas.openxmlformats.org/officeDocument/2006/relationships/hyperlink" Target="https://techcombank.com/thong-tin/blog/cach-tiet-kiem-tien-hieu-qua-cho-gia-dinh" TargetMode="External"/><Relationship Id="rId2650" Type="http://schemas.openxmlformats.org/officeDocument/2006/relationships/hyperlink" Target="https://techcombank.com/thong-tin/blog/thanh-toan-khoan-vay" TargetMode="External"/><Relationship Id="rId1320" Type="http://schemas.openxmlformats.org/officeDocument/2006/relationships/hyperlink" Target="https://techcombank.com/thong-tin/blog/the-ghi-no-va-the-tin-dung" TargetMode="External"/><Relationship Id="rId2651" Type="http://schemas.openxmlformats.org/officeDocument/2006/relationships/hyperlink" Target="https://techcombank.com/thong-tin/blog/kiem-tra-no-xau" TargetMode="External"/><Relationship Id="rId1321" Type="http://schemas.openxmlformats.org/officeDocument/2006/relationships/hyperlink" Target="https://techcombank.com/thong-tin/blog/co-nen-dung-the-tin-dung-khong" TargetMode="External"/><Relationship Id="rId2652" Type="http://schemas.openxmlformats.org/officeDocument/2006/relationships/hyperlink" Target="https://techcombank.com/thong-tin/blog/mua-truoc-tra-sau" TargetMode="External"/><Relationship Id="rId1322" Type="http://schemas.openxmlformats.org/officeDocument/2006/relationships/hyperlink" Target="https://techcombank.com/thong-tin/blog/ma-buu-chinh-the-tin-dung" TargetMode="External"/><Relationship Id="rId2653" Type="http://schemas.openxmlformats.org/officeDocument/2006/relationships/hyperlink" Target="https://techcombank.com/thong-tin/blog/the-visa-de-lam-gi" TargetMode="External"/><Relationship Id="rId1356" Type="http://schemas.openxmlformats.org/officeDocument/2006/relationships/hyperlink" Target="https://techcombank.com/thong-tin/blog/vay-san-xuat-kinh-doanh" TargetMode="External"/><Relationship Id="rId2687" Type="http://schemas.openxmlformats.org/officeDocument/2006/relationships/hyperlink" Target="https://techcombank.com/thong-tin/blog/vay-han-muc-la-gi" TargetMode="External"/><Relationship Id="rId1357" Type="http://schemas.openxmlformats.org/officeDocument/2006/relationships/hyperlink" Target="https://techcombank.com/thong-tin/blog/vay-the-chap-khong-tra-duoc" TargetMode="External"/><Relationship Id="rId2688" Type="http://schemas.openxmlformats.org/officeDocument/2006/relationships/hyperlink" Target="https://techcombank.com/thong-tin/blog/lai-suat-vay-mua-o-to" TargetMode="External"/><Relationship Id="rId1358" Type="http://schemas.openxmlformats.org/officeDocument/2006/relationships/hyperlink" Target="https://techcombank.com/thong-tin/blog/no-chu-y-la-gi" TargetMode="External"/><Relationship Id="rId2689" Type="http://schemas.openxmlformats.org/officeDocument/2006/relationships/hyperlink" Target="https://techcombank.com/thong-tin/blog/no-xau-nhom-2" TargetMode="External"/><Relationship Id="rId1359" Type="http://schemas.openxmlformats.org/officeDocument/2006/relationships/hyperlink" Target="https://techcombank.com/thong-tin/blog/diem-tin-dung" TargetMode="External"/><Relationship Id="rId767" Type="http://schemas.openxmlformats.org/officeDocument/2006/relationships/hyperlink" Target="https://techcombank.com/thong-tin/blog/ngan-hang-thu-huong-la-gi" TargetMode="External"/><Relationship Id="rId766" Type="http://schemas.openxmlformats.org/officeDocument/2006/relationships/hyperlink" Target="https://techcombank.com/thong-tin/blog/mobile-banking-la-gi" TargetMode="External"/><Relationship Id="rId765" Type="http://schemas.openxmlformats.org/officeDocument/2006/relationships/hyperlink" Target="https://techcombank.com/thong-tin/blog/cach-chuyen-khoan-bang-dien-thoai" TargetMode="External"/><Relationship Id="rId764" Type="http://schemas.openxmlformats.org/officeDocument/2006/relationships/hyperlink" Target="https://techcombank.com/thong-tin/blog/the-ghi-no-co-chuyen-khoan-duoc-khong" TargetMode="External"/><Relationship Id="rId769" Type="http://schemas.openxmlformats.org/officeDocument/2006/relationships/hyperlink" Target="https://techcombank.com/thong-tin/blog/nap-tien-vao-tai-khoan-ngan-hang" TargetMode="External"/><Relationship Id="rId768" Type="http://schemas.openxmlformats.org/officeDocument/2006/relationships/hyperlink" Target="https://techcombank.com/thong-tin/blog/cach-chuyen-tien-qua-ma-qr-techcombank" TargetMode="External"/><Relationship Id="rId2680" Type="http://schemas.openxmlformats.org/officeDocument/2006/relationships/hyperlink" Target="https://techcombank.com/thong-tin/blog/vay-tin-chap-theo-luong" TargetMode="External"/><Relationship Id="rId1350" Type="http://schemas.openxmlformats.org/officeDocument/2006/relationships/hyperlink" Target="https://techcombank.com/thong-tin/blog/lam-ho-so-tra-gop-dien-thoai" TargetMode="External"/><Relationship Id="rId2681" Type="http://schemas.openxmlformats.org/officeDocument/2006/relationships/hyperlink" Target="https://techcombank.com/thong-tin/blog/tra-gop-qua-the-tin-dung" TargetMode="External"/><Relationship Id="rId1351" Type="http://schemas.openxmlformats.org/officeDocument/2006/relationships/hyperlink" Target="https://techcombank.com/thong-tin/blog/lich-su-tin-dung" TargetMode="External"/><Relationship Id="rId2682" Type="http://schemas.openxmlformats.org/officeDocument/2006/relationships/hyperlink" Target="https://techcombank.com/thong-tin/blog/cach-tinh-lai-vay-ngan-hang" TargetMode="External"/><Relationship Id="rId763" Type="http://schemas.openxmlformats.org/officeDocument/2006/relationships/hyperlink" Target="https://techcombank.com/thong-tin/blog/cach-chuyen-tien" TargetMode="External"/><Relationship Id="rId1352" Type="http://schemas.openxmlformats.org/officeDocument/2006/relationships/hyperlink" Target="https://techcombank.com/thong-tin/blog/dieu-kien-vay-von-ngan-hang" TargetMode="External"/><Relationship Id="rId2683" Type="http://schemas.openxmlformats.org/officeDocument/2006/relationships/hyperlink" Target="https://techcombank.com/thong-tin/blog/cach-su-dung-the-visa-techcombank" TargetMode="External"/><Relationship Id="rId762" Type="http://schemas.openxmlformats.org/officeDocument/2006/relationships/hyperlink" Target="https://techcombank.com/thong-tin/blog/y-nghia-so-68" TargetMode="External"/><Relationship Id="rId1353" Type="http://schemas.openxmlformats.org/officeDocument/2006/relationships/hyperlink" Target="https://techcombank.com/thong-tin/blog/no-xau-co-vay-the-chap-duoc-khong" TargetMode="External"/><Relationship Id="rId2684" Type="http://schemas.openxmlformats.org/officeDocument/2006/relationships/hyperlink" Target="https://techcombank.com/thong-tin/blog/lai-suat-vay-ngan-hang" TargetMode="External"/><Relationship Id="rId761" Type="http://schemas.openxmlformats.org/officeDocument/2006/relationships/hyperlink" Target="https://techcombank.com/thong-tin/blog/so-8386" TargetMode="External"/><Relationship Id="rId1354" Type="http://schemas.openxmlformats.org/officeDocument/2006/relationships/hyperlink" Target="https://techcombank.com/thong-tin/blog/tin-dung-la-gi" TargetMode="External"/><Relationship Id="rId2685" Type="http://schemas.openxmlformats.org/officeDocument/2006/relationships/hyperlink" Target="https://techcombank.com/thong-tin/blog/du-no-tin-dung-la-gi" TargetMode="External"/><Relationship Id="rId760" Type="http://schemas.openxmlformats.org/officeDocument/2006/relationships/hyperlink" Target="https://techcombank.com/thong-tin/blog/66666-co-y-nghia-gi" TargetMode="External"/><Relationship Id="rId1355" Type="http://schemas.openxmlformats.org/officeDocument/2006/relationships/hyperlink" Target="https://techcombank.com/thong-tin/blog/du-no-tin-dung-la-gi" TargetMode="External"/><Relationship Id="rId2686" Type="http://schemas.openxmlformats.org/officeDocument/2006/relationships/hyperlink" Target="https://techcombank.com/thong-tin/blog/mua-nha-tra-gop-dua-truoc-100-trieu" TargetMode="External"/><Relationship Id="rId1345" Type="http://schemas.openxmlformats.org/officeDocument/2006/relationships/hyperlink" Target="https://techcombank.com/thong-tin/blog/lam-the-tin-dung" TargetMode="External"/><Relationship Id="rId2676" Type="http://schemas.openxmlformats.org/officeDocument/2006/relationships/hyperlink" Target="https://techcombank.com/thong-tin/blog/thu-tuc-vay-von-ngan-hang-de-xay-nha" TargetMode="External"/><Relationship Id="rId1346" Type="http://schemas.openxmlformats.org/officeDocument/2006/relationships/hyperlink" Target="https://techcombank.com/thong-tin/blog/the-tin-dung-co-ma-pin-khong" TargetMode="External"/><Relationship Id="rId2677" Type="http://schemas.openxmlformats.org/officeDocument/2006/relationships/hyperlink" Target="https://techcombank.com/thong-tin/blog/cach-su-dung-the-tin-dung" TargetMode="External"/><Relationship Id="rId1347" Type="http://schemas.openxmlformats.org/officeDocument/2006/relationships/hyperlink" Target="https://techcombank.com/thong-tin/blog/cic-la-gi" TargetMode="External"/><Relationship Id="rId2678" Type="http://schemas.openxmlformats.org/officeDocument/2006/relationships/hyperlink" Target="https://techcombank.com/thong-tin/blog/vay-mua-nha-o-xa-hoi" TargetMode="External"/><Relationship Id="rId1348" Type="http://schemas.openxmlformats.org/officeDocument/2006/relationships/hyperlink" Target="https://techcombank.com/thong-tin/blog/sao-ke-the-tin-dung-la-gi" TargetMode="External"/><Relationship Id="rId2679" Type="http://schemas.openxmlformats.org/officeDocument/2006/relationships/hyperlink" Target="https://techcombank.com/thong-tin/blog/kinh-nghiem-vay-tien-ngan-hang-xay-nha" TargetMode="External"/><Relationship Id="rId1349" Type="http://schemas.openxmlformats.org/officeDocument/2006/relationships/hyperlink" Target="https://techcombank.com/thong-tin/blog/the-tin-dung-noi-dia" TargetMode="External"/><Relationship Id="rId756" Type="http://schemas.openxmlformats.org/officeDocument/2006/relationships/hyperlink" Target="https://techcombank.com/thong-tin/blog/co-nen-mua-so-tai-khoan-ngan-hang-dep" TargetMode="External"/><Relationship Id="rId755" Type="http://schemas.openxmlformats.org/officeDocument/2006/relationships/hyperlink" Target="https://techcombank.com/thong-tin/blog/li-xi-so-dep" TargetMode="External"/><Relationship Id="rId754" Type="http://schemas.openxmlformats.org/officeDocument/2006/relationships/hyperlink" Target="https://techcombank.com/thong-tin/blog/cach-chon-so-tai-khoan-dep" TargetMode="External"/><Relationship Id="rId753" Type="http://schemas.openxmlformats.org/officeDocument/2006/relationships/hyperlink" Target="https://techcombank.com/thong-tin/blog/so-tai-khoan-dep" TargetMode="External"/><Relationship Id="rId759" Type="http://schemas.openxmlformats.org/officeDocument/2006/relationships/hyperlink" Target="https://techcombank.com/thong-tin/blog/8868" TargetMode="External"/><Relationship Id="rId758" Type="http://schemas.openxmlformats.org/officeDocument/2006/relationships/hyperlink" Target="https://techcombank.com/thong-tin/blog/sinh-loi-rinh-loc" TargetMode="External"/><Relationship Id="rId757" Type="http://schemas.openxmlformats.org/officeDocument/2006/relationships/hyperlink" Target="https://techcombank.com/thong-tin/blog/li-xi-tet" TargetMode="External"/><Relationship Id="rId2670" Type="http://schemas.openxmlformats.org/officeDocument/2006/relationships/hyperlink" Target="https://techcombank.com/thong-tin/blog/lai-suat-vay-the-chap-so-do" TargetMode="External"/><Relationship Id="rId1340" Type="http://schemas.openxmlformats.org/officeDocument/2006/relationships/hyperlink" Target="https://techcombank.com/thong-tin/blog/thanh-toan-toi-thieu-the-tin-dung" TargetMode="External"/><Relationship Id="rId2671" Type="http://schemas.openxmlformats.org/officeDocument/2006/relationships/hyperlink" Target="https://techcombank.com/thong-tin/blog/nen-mua-xe-tra-gop-hay-tra-thang" TargetMode="External"/><Relationship Id="rId752" Type="http://schemas.openxmlformats.org/officeDocument/2006/relationships/hyperlink" Target="https://techcombank.com/thong-tin/blog/so-6868" TargetMode="External"/><Relationship Id="rId1341" Type="http://schemas.openxmlformats.org/officeDocument/2006/relationships/hyperlink" Target="https://techcombank.com/thong-tin/blog/tra-gop-shopee" TargetMode="External"/><Relationship Id="rId2672" Type="http://schemas.openxmlformats.org/officeDocument/2006/relationships/hyperlink" Target="https://techcombank.com/thong-tin/blog/vay-15-trieu" TargetMode="External"/><Relationship Id="rId751" Type="http://schemas.openxmlformats.org/officeDocument/2006/relationships/hyperlink" Target="https://techcombank.com/thong-tin/blog/88-la-gi" TargetMode="External"/><Relationship Id="rId1342" Type="http://schemas.openxmlformats.org/officeDocument/2006/relationships/hyperlink" Target="https://techcombank.com/thong-tin/blog/thanh-toan-tien-dien-bang-the-tin-dung" TargetMode="External"/><Relationship Id="rId2673" Type="http://schemas.openxmlformats.org/officeDocument/2006/relationships/hyperlink" Target="https://techcombank.com/thong-tin/blog/lai-suat-vay-tieu-dung" TargetMode="External"/><Relationship Id="rId750" Type="http://schemas.openxmlformats.org/officeDocument/2006/relationships/hyperlink" Target="https://techcombank.com/thong-tin/blog/6-chiec-lo-tai-chinh-ca-nhan" TargetMode="External"/><Relationship Id="rId1343" Type="http://schemas.openxmlformats.org/officeDocument/2006/relationships/hyperlink" Target="https://techcombank.com/thong-tin/blog/thanh-toan-tra-gop-qua-the-tin-dung" TargetMode="External"/><Relationship Id="rId2674" Type="http://schemas.openxmlformats.org/officeDocument/2006/relationships/hyperlink" Target="https://techcombank.com/thong-tin/blog/lam-ho-so-tra-gop-dien-thoai" TargetMode="External"/><Relationship Id="rId1344" Type="http://schemas.openxmlformats.org/officeDocument/2006/relationships/hyperlink" Target="https://techcombank.com/thong-tin/blog/tra-gop-lazada" TargetMode="External"/><Relationship Id="rId2675" Type="http://schemas.openxmlformats.org/officeDocument/2006/relationships/hyperlink" Target="https://techcombank.com/thong-tin/blog/vay-30-trieu" TargetMode="External"/><Relationship Id="rId2621" Type="http://schemas.openxmlformats.org/officeDocument/2006/relationships/hyperlink" Target="https://techcombank.com/thong-tin/blog/phat-cham-dang-ky-thue-ho-kinh-doanh" TargetMode="External"/><Relationship Id="rId2622" Type="http://schemas.openxmlformats.org/officeDocument/2006/relationships/hyperlink" Target="https://techcombank.com/thong-tin/blog/quy-trinh-gui-tien-tiet-kiem" TargetMode="External"/><Relationship Id="rId2623" Type="http://schemas.openxmlformats.org/officeDocument/2006/relationships/hyperlink" Target="https://techcombank.com/thong-tin/blog/vay-the-chap-khong-tra-duoc" TargetMode="External"/><Relationship Id="rId2624" Type="http://schemas.openxmlformats.org/officeDocument/2006/relationships/hyperlink" Target="https://techcombank.com/thong-tin/blog/phan-bo-tai-san" TargetMode="External"/><Relationship Id="rId2625" Type="http://schemas.openxmlformats.org/officeDocument/2006/relationships/hyperlink" Target="https://techcombank.com/thong-tin/blog/vay-the-chap-so-bao-hiem-xa-hoi" TargetMode="External"/><Relationship Id="rId2626" Type="http://schemas.openxmlformats.org/officeDocument/2006/relationships/hyperlink" Target="https://techcombank.com/thong-tin/blog/mat-the-tin-dung-co-bi-mat-tien-khong" TargetMode="External"/><Relationship Id="rId2627" Type="http://schemas.openxmlformats.org/officeDocument/2006/relationships/hyperlink" Target="https://techcombank.com/thong-tin/blog/chung-chi-quy-va-co-phieu" TargetMode="External"/><Relationship Id="rId2628" Type="http://schemas.openxmlformats.org/officeDocument/2006/relationships/hyperlink" Target="https://techcombank.com/thong-tin/blog/gui-tiet-kiem-vang" TargetMode="External"/><Relationship Id="rId709" Type="http://schemas.openxmlformats.org/officeDocument/2006/relationships/hyperlink" Target="https://techcombank.com/thong-tin/blog/rut-tien-bang-ma-qr-la-gi-cach-thuc-hien-nhu-the-nao" TargetMode="External"/><Relationship Id="rId2629" Type="http://schemas.openxmlformats.org/officeDocument/2006/relationships/hyperlink" Target="https://techcombank.com/thong-tin/blog/lo-so-tai-khoan-ngan-hang-co-sao-khong" TargetMode="External"/><Relationship Id="rId708" Type="http://schemas.openxmlformats.org/officeDocument/2006/relationships/hyperlink" Target="https://techcombank.com/thong-tin/blog/the-atm-gan-chip" TargetMode="External"/><Relationship Id="rId707" Type="http://schemas.openxmlformats.org/officeDocument/2006/relationships/hyperlink" Target="https://techcombank.com/thong-tin/blog/nap-tien-dien-thoai-online" TargetMode="External"/><Relationship Id="rId706" Type="http://schemas.openxmlformats.org/officeDocument/2006/relationships/hyperlink" Target="https://techcombank.com/thong-tin/blog/cach-thanh-toan-the-tin-dung" TargetMode="External"/><Relationship Id="rId701" Type="http://schemas.openxmlformats.org/officeDocument/2006/relationships/hyperlink" Target="https://techcombank.com/thong-tin/blog/tra-cuu-han-muc-the-tin-dung" TargetMode="External"/><Relationship Id="rId700" Type="http://schemas.openxmlformats.org/officeDocument/2006/relationships/hyperlink" Target="https://techcombank.com/thong-tin/blog/cach-lam-the-atm" TargetMode="External"/><Relationship Id="rId705" Type="http://schemas.openxmlformats.org/officeDocument/2006/relationships/hyperlink" Target="https://techcombank.com/thong-tin/blog/cach-nap-the" TargetMode="External"/><Relationship Id="rId704" Type="http://schemas.openxmlformats.org/officeDocument/2006/relationships/hyperlink" Target="https://techcombank.com/thong-tin/blog/lam-the-atm-bao-lau-co" TargetMode="External"/><Relationship Id="rId703" Type="http://schemas.openxmlformats.org/officeDocument/2006/relationships/hyperlink" Target="https://techcombank.com/thong-tin/blog/the-atm-khong-rut-duoc-tien" TargetMode="External"/><Relationship Id="rId702" Type="http://schemas.openxmlformats.org/officeDocument/2006/relationships/hyperlink" Target="https://techcombank.com/thong-tin/blog/the-visa-de-lam-gi" TargetMode="External"/><Relationship Id="rId2620" Type="http://schemas.openxmlformats.org/officeDocument/2006/relationships/hyperlink" Target="https://techcombank.com/thong-tin/blog/tinh-thanh-khoan-la-gi" TargetMode="External"/><Relationship Id="rId2610" Type="http://schemas.openxmlformats.org/officeDocument/2006/relationships/hyperlink" Target="https://techcombank.com/thong-tin/blog/phan-mem-quan-ly-tai-chinh-doanh-nghiep" TargetMode="External"/><Relationship Id="rId2611" Type="http://schemas.openxmlformats.org/officeDocument/2006/relationships/hyperlink" Target="https://techcombank.com/thong-tin/blog/co-nen-gui-tiet-kiem-online" TargetMode="External"/><Relationship Id="rId2612" Type="http://schemas.openxmlformats.org/officeDocument/2006/relationships/hyperlink" Target="https://techcombank.com/thong-tin/blog/gui-tiet-kiem-online-bi-mat-tien" TargetMode="External"/><Relationship Id="rId2613" Type="http://schemas.openxmlformats.org/officeDocument/2006/relationships/hyperlink" Target="https://techcombank.com/thong-tin/blog/kinh-nghiem-gui-tiet-kiem-online" TargetMode="External"/><Relationship Id="rId2614" Type="http://schemas.openxmlformats.org/officeDocument/2006/relationships/hyperlink" Target="https://techcombank.com/thong-tin/blog/cach-gui-tiet-kiem-online" TargetMode="External"/><Relationship Id="rId2615" Type="http://schemas.openxmlformats.org/officeDocument/2006/relationships/hyperlink" Target="https://techcombank.com/thong-tin/blog/rui-ro-khi-gui-tiet-kiem-ngan-hang" TargetMode="External"/><Relationship Id="rId2616" Type="http://schemas.openxmlformats.org/officeDocument/2006/relationships/hyperlink" Target="https://techcombank.com/thong-tin/blog/tra-luong-tien-mat" TargetMode="External"/><Relationship Id="rId2617" Type="http://schemas.openxmlformats.org/officeDocument/2006/relationships/hyperlink" Target="https://techcombank.com/thong-tin/blog/due-diligence" TargetMode="External"/><Relationship Id="rId2618" Type="http://schemas.openxmlformats.org/officeDocument/2006/relationships/hyperlink" Target="https://techcombank.com/thong-tin/blog/cho-vay-hop-von-la-gi" TargetMode="External"/><Relationship Id="rId2619" Type="http://schemas.openxmlformats.org/officeDocument/2006/relationships/hyperlink" Target="https://techcombank.com/thong-tin/blog/cac-sai-lam-pho-bien-khi-chuyen-doi-ho-kinh-doanh-len-sme" TargetMode="External"/><Relationship Id="rId1312" Type="http://schemas.openxmlformats.org/officeDocument/2006/relationships/hyperlink" Target="https://techcombank.com/thong-tin/blog/mat-the-tin-dung-co-bi-mat-tien-khong" TargetMode="External"/><Relationship Id="rId2643" Type="http://schemas.openxmlformats.org/officeDocument/2006/relationships/hyperlink" Target="https://techcombank.com/thong-tin/blog/vay-300-trieu" TargetMode="External"/><Relationship Id="rId1313" Type="http://schemas.openxmlformats.org/officeDocument/2006/relationships/hyperlink" Target="https://techcombank.com/thong-tin/blog/so-cvv-la-gi" TargetMode="External"/><Relationship Id="rId2644" Type="http://schemas.openxmlformats.org/officeDocument/2006/relationships/hyperlink" Target="https://techcombank.com/thong-tin/blog/vay-tra-gop" TargetMode="External"/><Relationship Id="rId1314" Type="http://schemas.openxmlformats.org/officeDocument/2006/relationships/hyperlink" Target="https://techcombank.com/thong-tin/blog/the-tin-dung-nao-nhieu-uu-dai-nhat" TargetMode="External"/><Relationship Id="rId2645" Type="http://schemas.openxmlformats.org/officeDocument/2006/relationships/hyperlink" Target="https://techcombank.com/thong-tin/blog/dang-vay-tra-gop-co-vay-them-duoc-khong" TargetMode="External"/><Relationship Id="rId1315" Type="http://schemas.openxmlformats.org/officeDocument/2006/relationships/hyperlink" Target="https://techcombank.com/thong-tin/blog/cach-lam-the-ngan-hang-chay-quang-cao-facebook" TargetMode="External"/><Relationship Id="rId2646" Type="http://schemas.openxmlformats.org/officeDocument/2006/relationships/hyperlink" Target="https://techcombank.com/thong-tin/blog/lai-suat-vay-kinh-doanh" TargetMode="External"/><Relationship Id="rId1316" Type="http://schemas.openxmlformats.org/officeDocument/2006/relationships/hyperlink" Target="https://techcombank.com/thong-tin/blog/mua-iphone-17" TargetMode="External"/><Relationship Id="rId2647" Type="http://schemas.openxmlformats.org/officeDocument/2006/relationships/hyperlink" Target="https://techcombank.com/thong-tin/blog/cac-hinh-thuc-vay-von-ngan-hang" TargetMode="External"/><Relationship Id="rId1317" Type="http://schemas.openxmlformats.org/officeDocument/2006/relationships/hyperlink" Target="https://techcombank.com/thong-tin/blog/the-visa-co-can-mat-khau-khong" TargetMode="External"/><Relationship Id="rId2648" Type="http://schemas.openxmlformats.org/officeDocument/2006/relationships/hyperlink" Target="https://techcombank.com/thong-tin/blog/loi-nhuan" TargetMode="External"/><Relationship Id="rId1318" Type="http://schemas.openxmlformats.org/officeDocument/2006/relationships/hyperlink" Target="https://techcombank.com/thong-tin/blog/mua-truoc-tra-sau" TargetMode="External"/><Relationship Id="rId2649" Type="http://schemas.openxmlformats.org/officeDocument/2006/relationships/hyperlink" Target="https://techcombank.com/thong-tin/blog/co-nen-mua-o-to-tra-gop" TargetMode="External"/><Relationship Id="rId1319" Type="http://schemas.openxmlformats.org/officeDocument/2006/relationships/hyperlink" Target="https://techcombank.com/thong-tin/blog/tra-cuu-han-muc-the-tin-dung" TargetMode="External"/><Relationship Id="rId729" Type="http://schemas.openxmlformats.org/officeDocument/2006/relationships/hyperlink" Target="https://techcombank.com/thong-tin/blog/loi-ich-cua-viec-tiet-kiem-tien" TargetMode="External"/><Relationship Id="rId728" Type="http://schemas.openxmlformats.org/officeDocument/2006/relationships/hyperlink" Target="https://techcombank.com/thong-tin/blog/uu-dai-the-tin-dung-techcombank-signature" TargetMode="External"/><Relationship Id="rId723" Type="http://schemas.openxmlformats.org/officeDocument/2006/relationships/hyperlink" Target="https://techcombank.com/thong-tin/blog/vay-the-chap-qua-luong" TargetMode="External"/><Relationship Id="rId722" Type="http://schemas.openxmlformats.org/officeDocument/2006/relationships/hyperlink" Target="https://techcombank.com/thong-tin/blog/sao-ke-tai-khoan-doanh-nghiep" TargetMode="External"/><Relationship Id="rId721" Type="http://schemas.openxmlformats.org/officeDocument/2006/relationships/hyperlink" Target="https://techcombank.com/thong-tin/blog/sao-ke-luong" TargetMode="External"/><Relationship Id="rId720" Type="http://schemas.openxmlformats.org/officeDocument/2006/relationships/hyperlink" Target="https://techcombank.com/thong-tin/blog/the-atm-tu" TargetMode="External"/><Relationship Id="rId727" Type="http://schemas.openxmlformats.org/officeDocument/2006/relationships/hyperlink" Target="https://techcombank.com/thong-tin/blog/vi-tra-sau" TargetMode="External"/><Relationship Id="rId726" Type="http://schemas.openxmlformats.org/officeDocument/2006/relationships/hyperlink" Target="https://techcombank.com/thong-tin/blog/ma-mcc" TargetMode="External"/><Relationship Id="rId725" Type="http://schemas.openxmlformats.org/officeDocument/2006/relationships/hyperlink" Target="https://techcombank.com/thong-tin/blog/ghi-chep-chi-tieu" TargetMode="External"/><Relationship Id="rId724" Type="http://schemas.openxmlformats.org/officeDocument/2006/relationships/hyperlink" Target="https://techcombank.com/thong-tin/blog/tien-chuyen-vao-tai-khoan-co-bi-tinh-thue-khong" TargetMode="External"/><Relationship Id="rId2640" Type="http://schemas.openxmlformats.org/officeDocument/2006/relationships/hyperlink" Target="https://techcombank.com/thong-tin/blog/tra-no-vay-thau-chi-nhu-the-nao" TargetMode="External"/><Relationship Id="rId1310" Type="http://schemas.openxmlformats.org/officeDocument/2006/relationships/hyperlink" Target="https://techcombank.com/thong-tin/blog/the-tin-dung-mien-phi-thuong-nien" TargetMode="External"/><Relationship Id="rId2641" Type="http://schemas.openxmlformats.org/officeDocument/2006/relationships/hyperlink" Target="https://techcombank.com/thong-tin/blog/vay-100-trieu" TargetMode="External"/><Relationship Id="rId1311" Type="http://schemas.openxmlformats.org/officeDocument/2006/relationships/hyperlink" Target="https://techcombank.com/thong-tin/blog/uu-dai-mua-ve-may-bay-bang-the-tin-dung" TargetMode="External"/><Relationship Id="rId2642" Type="http://schemas.openxmlformats.org/officeDocument/2006/relationships/hyperlink" Target="https://techcombank.com/thong-tin/blog/vay-200-trieu" TargetMode="External"/><Relationship Id="rId1301" Type="http://schemas.openxmlformats.org/officeDocument/2006/relationships/hyperlink" Target="https://techcombank.com/thong-tin/blog/phi-thuong-nien-la-gi" TargetMode="External"/><Relationship Id="rId2632" Type="http://schemas.openxmlformats.org/officeDocument/2006/relationships/hyperlink" Target="https://techcombank.com/thong-tin/blog/the-atm-khong-rut-duoc-tien" TargetMode="External"/><Relationship Id="rId1302" Type="http://schemas.openxmlformats.org/officeDocument/2006/relationships/hyperlink" Target="https://techcombank.com/thong-tin/blog/khong-su-dung-the-tin-dung-co-mat-phi-khong" TargetMode="External"/><Relationship Id="rId2633" Type="http://schemas.openxmlformats.org/officeDocument/2006/relationships/hyperlink" Target="https://techcombank.com/thong-tin/blog/phuong-phap-dau-tu-chung-chi-quy" TargetMode="External"/><Relationship Id="rId1303" Type="http://schemas.openxmlformats.org/officeDocument/2006/relationships/hyperlink" Target="https://techcombank.com/thong-tin/blog/cach-khoa-the-ngan-hang" TargetMode="External"/><Relationship Id="rId2634" Type="http://schemas.openxmlformats.org/officeDocument/2006/relationships/hyperlink" Target="https://techcombank.com/thong-tin/blog/gia-chung-chi-quy-la-gi" TargetMode="External"/><Relationship Id="rId1304" Type="http://schemas.openxmlformats.org/officeDocument/2006/relationships/hyperlink" Target="https://techcombank.com/thong-tin/blog/the-tin-dung-bi-khoa" TargetMode="External"/><Relationship Id="rId2635" Type="http://schemas.openxmlformats.org/officeDocument/2006/relationships/hyperlink" Target="https://techcombank.com/thong-tin/blog/chung-chi-quy-va-chung-khoan" TargetMode="External"/><Relationship Id="rId1305" Type="http://schemas.openxmlformats.org/officeDocument/2006/relationships/hyperlink" Target="https://techcombank.com/thong-tin/blog/the-tin-dung-het-han" TargetMode="External"/><Relationship Id="rId2636" Type="http://schemas.openxmlformats.org/officeDocument/2006/relationships/hyperlink" Target="https://techcombank.com/thong-tin/blog/danh-muc-dau-tu" TargetMode="External"/><Relationship Id="rId1306" Type="http://schemas.openxmlformats.org/officeDocument/2006/relationships/hyperlink" Target="https://techcombank.com/thong-tin/blog/tai-khoan-doanh-nghiep-co-the-khong" TargetMode="External"/><Relationship Id="rId2637" Type="http://schemas.openxmlformats.org/officeDocument/2006/relationships/hyperlink" Target="https://techcombank.com/thong-tin/blog/cach-khoa-the-ngan-hang" TargetMode="External"/><Relationship Id="rId1307" Type="http://schemas.openxmlformats.org/officeDocument/2006/relationships/hyperlink" Target="https://techcombank.com/thong-tin/blog/mm-yy-la-gi" TargetMode="External"/><Relationship Id="rId2638" Type="http://schemas.openxmlformats.org/officeDocument/2006/relationships/hyperlink" Target="https://techcombank.com/thong-tin/blog/cac-chung-chi-quy-o-viet-nam" TargetMode="External"/><Relationship Id="rId1308" Type="http://schemas.openxmlformats.org/officeDocument/2006/relationships/hyperlink" Target="https://techcombank.com/thong-tin/blog/uu-dai-the-tin-dung-techcombank-signature" TargetMode="External"/><Relationship Id="rId2639" Type="http://schemas.openxmlformats.org/officeDocument/2006/relationships/hyperlink" Target="https://techcombank.com/thong-tin/blog/mo-tai-khoan-ngan-hang-online-co-an-toan-khong" TargetMode="External"/><Relationship Id="rId1309" Type="http://schemas.openxmlformats.org/officeDocument/2006/relationships/hyperlink" Target="https://techcombank.com/thong-tin/blog/cac-loai-the-tin-dung" TargetMode="External"/><Relationship Id="rId719" Type="http://schemas.openxmlformats.org/officeDocument/2006/relationships/hyperlink" Target="https://techcombank.com/thong-tin/blog/the-visa-ao-la-gi" TargetMode="External"/><Relationship Id="rId718" Type="http://schemas.openxmlformats.org/officeDocument/2006/relationships/hyperlink" Target="https://techcombank.com/thong-tin/blog/so-du-tien-gui-la-gi" TargetMode="External"/><Relationship Id="rId717" Type="http://schemas.openxmlformats.org/officeDocument/2006/relationships/hyperlink" Target="https://techcombank.com/thong-tin/blog/chuyen-doi-the-atm" TargetMode="External"/><Relationship Id="rId712" Type="http://schemas.openxmlformats.org/officeDocument/2006/relationships/hyperlink" Target="https://techcombank.com/thong-tin/blog/1-nguoi-co-the-lam-duoc-bao-nhieu-the-atm" TargetMode="External"/><Relationship Id="rId711" Type="http://schemas.openxmlformats.org/officeDocument/2006/relationships/hyperlink" Target="https://techcombank.com/thong-tin/blog/ma-pin-the-atm" TargetMode="External"/><Relationship Id="rId710" Type="http://schemas.openxmlformats.org/officeDocument/2006/relationships/hyperlink" Target="https://techcombank.com/thong-tin/blog/bi-nuot-the-atm-phai-lam-sao" TargetMode="External"/><Relationship Id="rId716" Type="http://schemas.openxmlformats.org/officeDocument/2006/relationships/hyperlink" Target="https://techcombank.com/thong-tin/blog/1-cmnd-dang-ky-duoc-may-tai-khoan-ngan-hang" TargetMode="External"/><Relationship Id="rId715" Type="http://schemas.openxmlformats.org/officeDocument/2006/relationships/hyperlink" Target="https://techcombank.com/thong-tin/blog/atm-la-gi" TargetMode="External"/><Relationship Id="rId714" Type="http://schemas.openxmlformats.org/officeDocument/2006/relationships/hyperlink" Target="https://techcombank.com/thong-tin/blog/cach-kich-hoat-the-atm" TargetMode="External"/><Relationship Id="rId713" Type="http://schemas.openxmlformats.org/officeDocument/2006/relationships/hyperlink" Target="https://techcombank.com/thong-tin/blog/cach-rut-tien-atm" TargetMode="External"/><Relationship Id="rId2630" Type="http://schemas.openxmlformats.org/officeDocument/2006/relationships/hyperlink" Target="https://techcombank.com/thong-tin/blog/tai-sao-gui-tiet-kiem-online-lai-suat-cao-hon" TargetMode="External"/><Relationship Id="rId1300" Type="http://schemas.openxmlformats.org/officeDocument/2006/relationships/hyperlink" Target="https://techcombank.com/thong-tin/blog/the-tin-dung-den" TargetMode="External"/><Relationship Id="rId2631" Type="http://schemas.openxmlformats.org/officeDocument/2006/relationships/hyperlink" Target="https://techcombank.com/thong-tin/blog/rui-ro-khi-vay-the-chap-ngan-hang" TargetMode="External"/><Relationship Id="rId3117" Type="http://schemas.openxmlformats.org/officeDocument/2006/relationships/hyperlink" Target="https://techcombank.com/thong-tin/blog/cho-vay-kinh-doanh-ho-gia-dinh" TargetMode="External"/><Relationship Id="rId3116" Type="http://schemas.openxmlformats.org/officeDocument/2006/relationships/hyperlink" Target="https://techcombank.com/thong-tin/blog/vay-ngan-han" TargetMode="External"/><Relationship Id="rId3119" Type="http://schemas.openxmlformats.org/officeDocument/2006/relationships/hyperlink" Target="https://techcombank.com/thong-tin/blog/vay-15-trieu" TargetMode="External"/><Relationship Id="rId3118" Type="http://schemas.openxmlformats.org/officeDocument/2006/relationships/hyperlink" Target="https://techcombank.com/thong-tin/blog/vay-von-doanh-nghiep-nho" TargetMode="External"/><Relationship Id="rId3111" Type="http://schemas.openxmlformats.org/officeDocument/2006/relationships/hyperlink" Target="https://techcombank.com/thong-tin/blog/vay-100-trieu" TargetMode="External"/><Relationship Id="rId3110" Type="http://schemas.openxmlformats.org/officeDocument/2006/relationships/hyperlink" Target="https://techcombank.com/thong-tin/blog/vay-mua-xe-tra-gop-ngan-hang-nao-tot-nhat" TargetMode="External"/><Relationship Id="rId3113" Type="http://schemas.openxmlformats.org/officeDocument/2006/relationships/hyperlink" Target="https://techcombank.com/thong-tin/blog/vay-the-chap-kinh-doanh" TargetMode="External"/><Relationship Id="rId3112" Type="http://schemas.openxmlformats.org/officeDocument/2006/relationships/hyperlink" Target="https://techcombank.com/thong-tin/blog/vay-thau-chi-bang-so-tiet-kiem" TargetMode="External"/><Relationship Id="rId3115" Type="http://schemas.openxmlformats.org/officeDocument/2006/relationships/hyperlink" Target="https://techcombank.com/thong-tin/blog/vay-mua-dien-thoai" TargetMode="External"/><Relationship Id="rId3114" Type="http://schemas.openxmlformats.org/officeDocument/2006/relationships/hyperlink" Target="https://techcombank.com/thong-tin/blog/vay-tien-mat" TargetMode="External"/><Relationship Id="rId3106" Type="http://schemas.openxmlformats.org/officeDocument/2006/relationships/hyperlink" Target="https://techcombank.com/thong-tin/blog/vay-300-trieu" TargetMode="External"/><Relationship Id="rId3105" Type="http://schemas.openxmlformats.org/officeDocument/2006/relationships/hyperlink" Target="https://techcombank.com/thong-tin/blog/bao-hiem-vat-chat-xe-o-to" TargetMode="External"/><Relationship Id="rId3108" Type="http://schemas.openxmlformats.org/officeDocument/2006/relationships/hyperlink" Target="https://techcombank.com/thong-tin/blog/thu-tuc-mua-xe-tra-gop" TargetMode="External"/><Relationship Id="rId3107" Type="http://schemas.openxmlformats.org/officeDocument/2006/relationships/hyperlink" Target="https://techcombank.com/thong-tin/blog/nen-vay-tin-chap-o-dau" TargetMode="External"/><Relationship Id="rId3109" Type="http://schemas.openxmlformats.org/officeDocument/2006/relationships/hyperlink" Target="https://techcombank.com/thong-tin/blog/vay-the-chap-so-hong" TargetMode="External"/><Relationship Id="rId3100" Type="http://schemas.openxmlformats.org/officeDocument/2006/relationships/hyperlink" Target="https://techcombank.com/thong-tin/blog/nen-mua-xe-tra-gop-hay-tra-thang" TargetMode="External"/><Relationship Id="rId3102" Type="http://schemas.openxmlformats.org/officeDocument/2006/relationships/hyperlink" Target="https://techcombank.com/thong-tin/blog/vay-mua-nha-o-xa-hoi" TargetMode="External"/><Relationship Id="rId3101" Type="http://schemas.openxmlformats.org/officeDocument/2006/relationships/hyperlink" Target="https://techcombank.com/thong-tin/blog/tin-chap-doanh-nghiep" TargetMode="External"/><Relationship Id="rId3104" Type="http://schemas.openxmlformats.org/officeDocument/2006/relationships/hyperlink" Target="https://techcombank.com/thong-tin/blog/vay-30-trieu" TargetMode="External"/><Relationship Id="rId3103" Type="http://schemas.openxmlformats.org/officeDocument/2006/relationships/hyperlink" Target="https://techcombank.com/thong-tin/blog/vay-the-chap-xe-o-to-cu" TargetMode="External"/><Relationship Id="rId3139" Type="http://schemas.openxmlformats.org/officeDocument/2006/relationships/hyperlink" Target="https://techcombank.com/thong-tin/blog/giai-ngan-vay-the-chap" TargetMode="External"/><Relationship Id="rId3138" Type="http://schemas.openxmlformats.org/officeDocument/2006/relationships/hyperlink" Target="https://techcombank.com/thong-tin/blog/vay-the-chap-hop-dong-mua-ban-can-ho" TargetMode="External"/><Relationship Id="rId3131" Type="http://schemas.openxmlformats.org/officeDocument/2006/relationships/hyperlink" Target="https://techcombank.com/thong-tin/blog/vay-tra-gop" TargetMode="External"/><Relationship Id="rId3130" Type="http://schemas.openxmlformats.org/officeDocument/2006/relationships/hyperlink" Target="https://techcombank.com/thong-tin/blog/app-vay-tien-nhanh" TargetMode="External"/><Relationship Id="rId3133" Type="http://schemas.openxmlformats.org/officeDocument/2006/relationships/hyperlink" Target="https://techcombank.com/thong-tin/blog/vay-mua-chung-cu" TargetMode="External"/><Relationship Id="rId3132" Type="http://schemas.openxmlformats.org/officeDocument/2006/relationships/hyperlink" Target="https://techcombank.com/thong-tin/blog/vay-bo-sung-von-luu-dong" TargetMode="External"/><Relationship Id="rId3135" Type="http://schemas.openxmlformats.org/officeDocument/2006/relationships/hyperlink" Target="https://techcombank.com/thong-tin/blog/kiem-tra-no-xau" TargetMode="External"/><Relationship Id="rId3134" Type="http://schemas.openxmlformats.org/officeDocument/2006/relationships/hyperlink" Target="https://techcombank.com/thong-tin/blog/vay-200-trieu" TargetMode="External"/><Relationship Id="rId3137" Type="http://schemas.openxmlformats.org/officeDocument/2006/relationships/hyperlink" Target="https://techcombank.com/thong-tin/blog/cho-vay-tieu-dung-la-gi" TargetMode="External"/><Relationship Id="rId3136" Type="http://schemas.openxmlformats.org/officeDocument/2006/relationships/hyperlink" Target="https://techcombank.com/thong-tin/blog/quy-trinh-tat-toan-khoan-vay-the-chap" TargetMode="External"/><Relationship Id="rId3128" Type="http://schemas.openxmlformats.org/officeDocument/2006/relationships/hyperlink" Target="https://techcombank.com/thong-tin/blog/vay-50-trieu" TargetMode="External"/><Relationship Id="rId3127" Type="http://schemas.openxmlformats.org/officeDocument/2006/relationships/hyperlink" Target="https://techcombank.com/thong-tin/blog/lai-suat-tha-noi" TargetMode="External"/><Relationship Id="rId3129" Type="http://schemas.openxmlformats.org/officeDocument/2006/relationships/hyperlink" Target="https://techcombank.com/thong-tin/blog/mua-nha-tra-gop-dua-truoc-100-trieu" TargetMode="External"/><Relationship Id="rId3120" Type="http://schemas.openxmlformats.org/officeDocument/2006/relationships/hyperlink" Target="https://techcombank.com/thong-tin/blog/diem-tin-dung" TargetMode="External"/><Relationship Id="rId3122" Type="http://schemas.openxmlformats.org/officeDocument/2006/relationships/hyperlink" Target="https://techcombank.com/thong-tin/blog/bi-quyet-tiet-kiem-tien-mua-nha" TargetMode="External"/><Relationship Id="rId3121" Type="http://schemas.openxmlformats.org/officeDocument/2006/relationships/hyperlink" Target="https://techcombank.com/thong-tin/blog/kinh-nghiem-vay-the-chap-ngan-hang" TargetMode="External"/><Relationship Id="rId3124" Type="http://schemas.openxmlformats.org/officeDocument/2006/relationships/hyperlink" Target="https://techcombank.com/thong-tin/blog/vay-san-xuat-kinh-doanh" TargetMode="External"/><Relationship Id="rId3123" Type="http://schemas.openxmlformats.org/officeDocument/2006/relationships/hyperlink" Target="https://techcombank.com/thong-tin/blog/vay-sinh-vien" TargetMode="External"/><Relationship Id="rId3126" Type="http://schemas.openxmlformats.org/officeDocument/2006/relationships/hyperlink" Target="https://techcombank.com/thong-tin/blog/co-100-trieu-co-mua-nen-mua-tra-gop" TargetMode="External"/><Relationship Id="rId3125" Type="http://schemas.openxmlformats.org/officeDocument/2006/relationships/hyperlink" Target="https://techcombank.com/thong-tin/blog/cac-hinh-thuc-vay-von-ngan-hang" TargetMode="External"/><Relationship Id="rId1378" Type="http://schemas.openxmlformats.org/officeDocument/2006/relationships/hyperlink" Target="https://techcombank.com/thong-tin/blog/vay-tin-chap-no-xau" TargetMode="External"/><Relationship Id="rId1379" Type="http://schemas.openxmlformats.org/officeDocument/2006/relationships/hyperlink" Target="https://techcombank.com/thong-tin/blog/mua-nha-tra-gop-dua-truoc-100-trieu" TargetMode="External"/><Relationship Id="rId789" Type="http://schemas.openxmlformats.org/officeDocument/2006/relationships/hyperlink" Target="https://techcombank.com/thong-tin/blog/kiem-tra-thue-ho-kinh-doanh" TargetMode="External"/><Relationship Id="rId788" Type="http://schemas.openxmlformats.org/officeDocument/2006/relationships/hyperlink" Target="https://techcombank.com/thong-tin/blog/tra-cuu-no-thue-ho-kinh-doanh" TargetMode="External"/><Relationship Id="rId787" Type="http://schemas.openxmlformats.org/officeDocument/2006/relationships/hyperlink" Target="https://techcombank.com/thong-tin/blog/tra-cuu-no-thue-hai-quan" TargetMode="External"/><Relationship Id="rId786" Type="http://schemas.openxmlformats.org/officeDocument/2006/relationships/hyperlink" Target="https://techcombank.com/thong-tin/blog/cach-tinh-thue-ho-kinh-doanh-nho-le" TargetMode="External"/><Relationship Id="rId781" Type="http://schemas.openxmlformats.org/officeDocument/2006/relationships/hyperlink" Target="https://techcombank.com/thong-tin/blog/tra-cuu-no-thue-ca-nhan" TargetMode="External"/><Relationship Id="rId1370" Type="http://schemas.openxmlformats.org/officeDocument/2006/relationships/hyperlink" Target="https://techcombank.com/thong-tin/blog/lai-suat-vay-the-chap-so-do" TargetMode="External"/><Relationship Id="rId780" Type="http://schemas.openxmlformats.org/officeDocument/2006/relationships/hyperlink" Target="https://techcombank.com/thong-tin/blog/so-the-ngan-hang" TargetMode="External"/><Relationship Id="rId1371" Type="http://schemas.openxmlformats.org/officeDocument/2006/relationships/hyperlink" Target="https://techcombank.com/thong-tin/blog/no-nhom-3" TargetMode="External"/><Relationship Id="rId1372" Type="http://schemas.openxmlformats.org/officeDocument/2006/relationships/hyperlink" Target="https://techcombank.com/thong-tin/blog/cic-la-gi" TargetMode="External"/><Relationship Id="rId1373" Type="http://schemas.openxmlformats.org/officeDocument/2006/relationships/hyperlink" Target="https://techcombank.com/thong-tin/blog/the-tin-dung-bi-khoa" TargetMode="External"/><Relationship Id="rId785" Type="http://schemas.openxmlformats.org/officeDocument/2006/relationships/hyperlink" Target="https://techcombank.com/thong-tin/blog/quyet-toan-thue-thu-nhap-ca-nhan" TargetMode="External"/><Relationship Id="rId1374" Type="http://schemas.openxmlformats.org/officeDocument/2006/relationships/hyperlink" Target="https://techcombank.com/thong-tin/blog/no-xau-mo-the-tin-dung-duoc-khong" TargetMode="External"/><Relationship Id="rId784" Type="http://schemas.openxmlformats.org/officeDocument/2006/relationships/hyperlink" Target="https://techcombank.com/thong-tin/blog/hoan-thue-thu-nhap-ca-nhan" TargetMode="External"/><Relationship Id="rId1375" Type="http://schemas.openxmlformats.org/officeDocument/2006/relationships/hyperlink" Target="https://techcombank.com/thong-tin/blog/no-the-tin-dung-qua-han" TargetMode="External"/><Relationship Id="rId783" Type="http://schemas.openxmlformats.org/officeDocument/2006/relationships/hyperlink" Target="https://techcombank.com/thong-tin/blog/lien-ket-tai-khoan-ngan-hang-voi-etax-mobile" TargetMode="External"/><Relationship Id="rId1376" Type="http://schemas.openxmlformats.org/officeDocument/2006/relationships/hyperlink" Target="https://techcombank.com/thong-tin/blog/luu-y-khi-su-dung-the-tin-dung" TargetMode="External"/><Relationship Id="rId782" Type="http://schemas.openxmlformats.org/officeDocument/2006/relationships/hyperlink" Target="https://techcombank.com/thong-tin/blog/dang-ky-ma-so-thue-ca-nhan" TargetMode="External"/><Relationship Id="rId1377" Type="http://schemas.openxmlformats.org/officeDocument/2006/relationships/hyperlink" Target="https://techcombank.com/thong-tin/blog/han-muc-vay-the-chap-so-do" TargetMode="External"/><Relationship Id="rId1367" Type="http://schemas.openxmlformats.org/officeDocument/2006/relationships/hyperlink" Target="https://techcombank.com/thong-tin/blog/thu-tuc-vay-ngan-hang-mua-nha" TargetMode="External"/><Relationship Id="rId2698" Type="http://schemas.openxmlformats.org/officeDocument/2006/relationships/hyperlink" Target="https://techcombank.com/thong-tin/blog/vay-mua-dien-thoai" TargetMode="External"/><Relationship Id="rId1368" Type="http://schemas.openxmlformats.org/officeDocument/2006/relationships/hyperlink" Target="https://techcombank.com/thong-tin/blog/thanh-toan-toi-thieu-the-tin-dung" TargetMode="External"/><Relationship Id="rId2699" Type="http://schemas.openxmlformats.org/officeDocument/2006/relationships/hyperlink" Target="https://techcombank.com/thong-tin/blog/vay-the-chap-hop-dong-mua-ban-can-ho" TargetMode="External"/><Relationship Id="rId1369" Type="http://schemas.openxmlformats.org/officeDocument/2006/relationships/hyperlink" Target="https://techcombank.com/thong-tin/blog/spaylater" TargetMode="External"/><Relationship Id="rId778" Type="http://schemas.openxmlformats.org/officeDocument/2006/relationships/hyperlink" Target="https://techcombank.com/thong-tin/blog/nap-tien-dien-thoai-online" TargetMode="External"/><Relationship Id="rId777" Type="http://schemas.openxmlformats.org/officeDocument/2006/relationships/hyperlink" Target="https://techcombank.com/thong-tin/blog/app-ngan-hang-uy-tin" TargetMode="External"/><Relationship Id="rId776" Type="http://schemas.openxmlformats.org/officeDocument/2006/relationships/hyperlink" Target="https://techcombank.com/thong-tin/blog/tao-ma-qr-thanh-toan-cho-cua-hang" TargetMode="External"/><Relationship Id="rId775" Type="http://schemas.openxmlformats.org/officeDocument/2006/relationships/hyperlink" Target="https://techcombank.com/thong-tin/blog/gui-ma-qr-ngan-hang" TargetMode="External"/><Relationship Id="rId779" Type="http://schemas.openxmlformats.org/officeDocument/2006/relationships/hyperlink" Target="https://techcombank.com/thong-tin/blog/app-ngan-hang" TargetMode="External"/><Relationship Id="rId770" Type="http://schemas.openxmlformats.org/officeDocument/2006/relationships/hyperlink" Target="https://techcombank.com/thong-tin/blog/1-cmnd-dang-ky-duoc-may-tai-khoan-ngan-hang" TargetMode="External"/><Relationship Id="rId2690" Type="http://schemas.openxmlformats.org/officeDocument/2006/relationships/hyperlink" Target="https://techcombank.com/thong-tin/blog/lai-suat-vay-tin-chap" TargetMode="External"/><Relationship Id="rId1360" Type="http://schemas.openxmlformats.org/officeDocument/2006/relationships/hyperlink" Target="https://techcombank.com/thong-tin/blog/kiem-tra-no-xau" TargetMode="External"/><Relationship Id="rId2691" Type="http://schemas.openxmlformats.org/officeDocument/2006/relationships/hyperlink" Target="https://techcombank.com/thong-tin/blog/co-100-trieu-co-mua-nen-mua-tra-gop" TargetMode="External"/><Relationship Id="rId1361" Type="http://schemas.openxmlformats.org/officeDocument/2006/relationships/hyperlink" Target="https://techcombank.com/thong-tin/blog/no-xau" TargetMode="External"/><Relationship Id="rId2692" Type="http://schemas.openxmlformats.org/officeDocument/2006/relationships/hyperlink" Target="https://techcombank.com/thong-tin/blog/bao-hiem-vat-chat-xe-o-to" TargetMode="External"/><Relationship Id="rId1362" Type="http://schemas.openxmlformats.org/officeDocument/2006/relationships/hyperlink" Target="https://techcombank.com/thong-tin/blog/no-xau-la-gi" TargetMode="External"/><Relationship Id="rId2693" Type="http://schemas.openxmlformats.org/officeDocument/2006/relationships/hyperlink" Target="https://techcombank.com/thong-tin/blog/han-muc-tra-gop-the-tin-dung" TargetMode="External"/><Relationship Id="rId774" Type="http://schemas.openxmlformats.org/officeDocument/2006/relationships/hyperlink" Target="https://techcombank.com/thong-tin/blog/so-tai-khoan-ngan-hang" TargetMode="External"/><Relationship Id="rId1363" Type="http://schemas.openxmlformats.org/officeDocument/2006/relationships/hyperlink" Target="https://techcombank.com/thong-tin/blog/han-muc-thau-chi-la-gi" TargetMode="External"/><Relationship Id="rId2694" Type="http://schemas.openxmlformats.org/officeDocument/2006/relationships/hyperlink" Target="https://techcombank.com/thong-tin/blog/quy-trinh-cho-vay-tieu-dung" TargetMode="External"/><Relationship Id="rId773" Type="http://schemas.openxmlformats.org/officeDocument/2006/relationships/hyperlink" Target="https://techcombank.com/thong-tin/blog/cach-kiem-tra-tai-khoan-ngan-hang" TargetMode="External"/><Relationship Id="rId1364" Type="http://schemas.openxmlformats.org/officeDocument/2006/relationships/hyperlink" Target="https://techcombank.com/thong-tin/blog/qua-han-thanh-toan-the-tin-dung-1-ngay" TargetMode="External"/><Relationship Id="rId2695" Type="http://schemas.openxmlformats.org/officeDocument/2006/relationships/hyperlink" Target="https://techcombank.com/thong-tin/blog/vay-20-trieu" TargetMode="External"/><Relationship Id="rId772" Type="http://schemas.openxmlformats.org/officeDocument/2006/relationships/hyperlink" Target="https://techcombank.com/thong-tin/blog/chuyen-khoan-lien-ngan-hang" TargetMode="External"/><Relationship Id="rId1365" Type="http://schemas.openxmlformats.org/officeDocument/2006/relationships/hyperlink" Target="https://techcombank.com/thong-tin/blog/cho-vay-tieu-dung-la-gi" TargetMode="External"/><Relationship Id="rId2696" Type="http://schemas.openxmlformats.org/officeDocument/2006/relationships/hyperlink" Target="https://techcombank.com/thong-tin/blog/kinh-nghiem-vay-tien-mua-nha" TargetMode="External"/><Relationship Id="rId771" Type="http://schemas.openxmlformats.org/officeDocument/2006/relationships/hyperlink" Target="https://techcombank.com/thong-tin/blog/99999-co-y-nghia-gi" TargetMode="External"/><Relationship Id="rId1366" Type="http://schemas.openxmlformats.org/officeDocument/2006/relationships/hyperlink" Target="https://techcombank.com/thong-tin/blog/no-xau-co-lam-the-visa-duoc-khong" TargetMode="External"/><Relationship Id="rId2697" Type="http://schemas.openxmlformats.org/officeDocument/2006/relationships/hyperlink" Target="https://techcombank.com/thong-tin/blog/vay-tin-chap-la-gi" TargetMode="External"/><Relationship Id="rId1390" Type="http://schemas.openxmlformats.org/officeDocument/2006/relationships/hyperlink" Target="https://techcombank.com/thong-tin/blog/uu-dai-the-tin-dung-techcombank-signature" TargetMode="External"/><Relationship Id="rId1391" Type="http://schemas.openxmlformats.org/officeDocument/2006/relationships/hyperlink" Target="https://techcombank.com/thong-tin/blog/cac-loai-the-tin-dung" TargetMode="External"/><Relationship Id="rId1392" Type="http://schemas.openxmlformats.org/officeDocument/2006/relationships/hyperlink" Target="https://techcombank.com/thong-tin/blog/the-tin-dung-mien-phi-thuong-nien" TargetMode="External"/><Relationship Id="rId1393" Type="http://schemas.openxmlformats.org/officeDocument/2006/relationships/hyperlink" Target="https://techcombank.com/thong-tin/blog/uu-dai-mua-ve-may-bay-bang-the-tin-dung" TargetMode="External"/><Relationship Id="rId1394" Type="http://schemas.openxmlformats.org/officeDocument/2006/relationships/hyperlink" Target="https://techcombank.com/thong-tin/blog/mat-the-tin-dung-co-bi-mat-tien-khong" TargetMode="External"/><Relationship Id="rId1395" Type="http://schemas.openxmlformats.org/officeDocument/2006/relationships/hyperlink" Target="https://techcombank.com/thong-tin/blog/so-cvv-la-gi" TargetMode="External"/><Relationship Id="rId1396" Type="http://schemas.openxmlformats.org/officeDocument/2006/relationships/hyperlink" Target="https://techcombank.com/thong-tin/blog/the-tin-dung-nao-nhieu-uu-dai-nhat" TargetMode="External"/><Relationship Id="rId1397" Type="http://schemas.openxmlformats.org/officeDocument/2006/relationships/hyperlink" Target="https://techcombank.com/thong-tin/blog/cach-lam-the-ngan-hang-chay-quang-cao-facebook" TargetMode="External"/><Relationship Id="rId1398" Type="http://schemas.openxmlformats.org/officeDocument/2006/relationships/hyperlink" Target="https://techcombank.com/thong-tin/blog/mua-iphone-17" TargetMode="External"/><Relationship Id="rId1399" Type="http://schemas.openxmlformats.org/officeDocument/2006/relationships/hyperlink" Target="https://techcombank.com/thong-tin/blog/the-visa-co-can-mat-khau-khong" TargetMode="External"/><Relationship Id="rId1389" Type="http://schemas.openxmlformats.org/officeDocument/2006/relationships/hyperlink" Target="https://techcombank.com/thong-tin/blog/sao-ke-tai-khoan-doanh-nghiep" TargetMode="External"/><Relationship Id="rId799" Type="http://schemas.openxmlformats.org/officeDocument/2006/relationships/hyperlink" Target="https://techcombank.com/thong-tin/blog/thue-thu-nhap-doanh-nghiep" TargetMode="External"/><Relationship Id="rId798" Type="http://schemas.openxmlformats.org/officeDocument/2006/relationships/hyperlink" Target="https://techcombank.com/thong-tin/blog/cach-nop-thue-dien-tu" TargetMode="External"/><Relationship Id="rId797" Type="http://schemas.openxmlformats.org/officeDocument/2006/relationships/hyperlink" Target="https://techcombank.com/thong-tin/blog/nop-thue-dat-qua-ngan-hang" TargetMode="External"/><Relationship Id="rId1380" Type="http://schemas.openxmlformats.org/officeDocument/2006/relationships/hyperlink" Target="https://techcombank.com/thong-tin/blog/dieu-kien-vay-the-chap" TargetMode="External"/><Relationship Id="rId792" Type="http://schemas.openxmlformats.org/officeDocument/2006/relationships/hyperlink" Target="https://techcombank.com/thong-tin/blog/ho-kinh-doanh-dong-thue-nhu-nao" TargetMode="External"/><Relationship Id="rId1381" Type="http://schemas.openxmlformats.org/officeDocument/2006/relationships/hyperlink" Target="https://techcombank.com/thong-tin/blog/thanh-toan-toi-thieu-the-tin-dung" TargetMode="External"/><Relationship Id="rId791" Type="http://schemas.openxmlformats.org/officeDocument/2006/relationships/hyperlink" Target="https://techcombank.com/thong-tin/blog/ke-khai-thue-ho-kinh-doanh-ca-the-online" TargetMode="External"/><Relationship Id="rId1382" Type="http://schemas.openxmlformats.org/officeDocument/2006/relationships/hyperlink" Target="https://techcombank.com/thong-tin/blog/qua-han-thanh-toan-the-tin-dung-1-ngay" TargetMode="External"/><Relationship Id="rId790" Type="http://schemas.openxmlformats.org/officeDocument/2006/relationships/hyperlink" Target="https://techcombank.com/thong-tin/blog/nhung-ho-kinh-doanh-duoc-mien-thue" TargetMode="External"/><Relationship Id="rId1383" Type="http://schemas.openxmlformats.org/officeDocument/2006/relationships/hyperlink" Target="https://techcombank.com/thong-tin/blog/sao-ke-the-tin-dung-la-gi" TargetMode="External"/><Relationship Id="rId1384" Type="http://schemas.openxmlformats.org/officeDocument/2006/relationships/hyperlink" Target="https://techcombank.com/thong-tin/blog/no-the-tin-dung-qua-han" TargetMode="External"/><Relationship Id="rId796" Type="http://schemas.openxmlformats.org/officeDocument/2006/relationships/hyperlink" Target="https://techcombank.com/thong-tin/blog/thue-thu-nhap-ca-nhan" TargetMode="External"/><Relationship Id="rId1385" Type="http://schemas.openxmlformats.org/officeDocument/2006/relationships/hyperlink" Target="https://techcombank.com/thong-tin/blog/the-tin-dung-mien-lai-55-ngay" TargetMode="External"/><Relationship Id="rId795" Type="http://schemas.openxmlformats.org/officeDocument/2006/relationships/hyperlink" Target="https://techcombank.com/thong-tin/blog/cach-tinh-thue-thu-nhap-ca-nhan-2025" TargetMode="External"/><Relationship Id="rId1386" Type="http://schemas.openxmlformats.org/officeDocument/2006/relationships/hyperlink" Target="https://techcombank.com/thong-tin/blog/du-no-la-gi" TargetMode="External"/><Relationship Id="rId794" Type="http://schemas.openxmlformats.org/officeDocument/2006/relationships/hyperlink" Target="https://techcombank.com/thong-tin/blog/tien-chuyen-vao-tai-khoan-co-bi-tinh-thue-khong" TargetMode="External"/><Relationship Id="rId1387" Type="http://schemas.openxmlformats.org/officeDocument/2006/relationships/hyperlink" Target="https://techcombank.com/thong-tin/blog/tai-khoan-doanh-nghiep-co-the-khong" TargetMode="External"/><Relationship Id="rId793" Type="http://schemas.openxmlformats.org/officeDocument/2006/relationships/hyperlink" Target="https://techcombank.com/thong-tin/blog/tra-cuu-no-thue-doanh-nghiep" TargetMode="External"/><Relationship Id="rId1388" Type="http://schemas.openxmlformats.org/officeDocument/2006/relationships/hyperlink" Target="https://techcombank.com/thong-tin/blog/mm-yy-la-gi" TargetMode="External"/><Relationship Id="rId3191" Type="http://schemas.openxmlformats.org/officeDocument/2006/relationships/hyperlink" Target="https://techcombank.com/thong-tin/blog/cach-tinh-lai-vay-ngan-hang" TargetMode="External"/><Relationship Id="rId3190" Type="http://schemas.openxmlformats.org/officeDocument/2006/relationships/hyperlink" Target="https://techcombank.com/thong-tin/blog/vay-san-xuat-kinh-doanh" TargetMode="External"/><Relationship Id="rId3193" Type="http://schemas.openxmlformats.org/officeDocument/2006/relationships/hyperlink" Target="https://techcombank.com/thong-tin/blog/nen-mua-xe-tra-gop-hay-tra-thang" TargetMode="External"/><Relationship Id="rId3192" Type="http://schemas.openxmlformats.org/officeDocument/2006/relationships/hyperlink" Target="https://techcombank.com/thong-tin/blog/vay-thau-chi-bang-so-tiet-kiem" TargetMode="External"/><Relationship Id="rId3195" Type="http://schemas.openxmlformats.org/officeDocument/2006/relationships/hyperlink" Target="https://techcombank.com/thong-tin/blog/vay-mua-nha-o-xa-hoi" TargetMode="External"/><Relationship Id="rId3194" Type="http://schemas.openxmlformats.org/officeDocument/2006/relationships/hyperlink" Target="https://techcombank.com/thong-tin/blog/tin-chap-doanh-nghiep" TargetMode="External"/><Relationship Id="rId3197" Type="http://schemas.openxmlformats.org/officeDocument/2006/relationships/hyperlink" Target="https://techcombank.com/thong-tin/blog/lai-suat-vay-the-chap-so-do" TargetMode="External"/><Relationship Id="rId3196" Type="http://schemas.openxmlformats.org/officeDocument/2006/relationships/hyperlink" Target="https://techcombank.com/thong-tin/blog/vay-the-chap-xe-o-to-cu" TargetMode="External"/><Relationship Id="rId3199" Type="http://schemas.openxmlformats.org/officeDocument/2006/relationships/hyperlink" Target="https://techcombank.com/thong-tin/blog/vay-the-chap-kinh-doanh" TargetMode="External"/><Relationship Id="rId3198" Type="http://schemas.openxmlformats.org/officeDocument/2006/relationships/hyperlink" Target="https://techcombank.com/thong-tin/blog/vay-the-chap-so-hong" TargetMode="External"/><Relationship Id="rId3180" Type="http://schemas.openxmlformats.org/officeDocument/2006/relationships/hyperlink" Target="https://techcombank.com/thong-tin/blog/nen-vay-the-chap-ngan-hang-nao" TargetMode="External"/><Relationship Id="rId3182" Type="http://schemas.openxmlformats.org/officeDocument/2006/relationships/hyperlink" Target="https://techcombank.com/thong-tin/blog/tra-no-vay-thau-chi-nhu-the-nao" TargetMode="External"/><Relationship Id="rId3181" Type="http://schemas.openxmlformats.org/officeDocument/2006/relationships/hyperlink" Target="https://techcombank.com/thong-tin/blog/vay-ngan-hang-chi-can-cccd" TargetMode="External"/><Relationship Id="rId3184" Type="http://schemas.openxmlformats.org/officeDocument/2006/relationships/hyperlink" Target="https://techcombank.com/thong-tin/blog/han-muc-thau-chi-la-gi" TargetMode="External"/><Relationship Id="rId3183" Type="http://schemas.openxmlformats.org/officeDocument/2006/relationships/hyperlink" Target="https://techcombank.com/thong-tin/blog/vay-tin-chap-ho-kinh-doanh" TargetMode="External"/><Relationship Id="rId3186" Type="http://schemas.openxmlformats.org/officeDocument/2006/relationships/hyperlink" Target="https://techcombank.com/thong-tin/blog/thoi-han-vay-thau-chi" TargetMode="External"/><Relationship Id="rId3185" Type="http://schemas.openxmlformats.org/officeDocument/2006/relationships/hyperlink" Target="https://techcombank.com/thong-tin/blog/lai-suat-vay-thau-chi" TargetMode="External"/><Relationship Id="rId3188" Type="http://schemas.openxmlformats.org/officeDocument/2006/relationships/hyperlink" Target="https://techcombank.com/thong-tin/blog/vay-han-muc-la-gi" TargetMode="External"/><Relationship Id="rId3187" Type="http://schemas.openxmlformats.org/officeDocument/2006/relationships/hyperlink" Target="https://techcombank.com/thong-tin/blog/tra-no-vay-thau-chi-nhu-the-nao" TargetMode="External"/><Relationship Id="rId3189" Type="http://schemas.openxmlformats.org/officeDocument/2006/relationships/hyperlink" Target="https://techcombank.com/thong-tin/blog/cac-hinh-thuc-vay-von-ngan-hang" TargetMode="External"/><Relationship Id="rId3151" Type="http://schemas.openxmlformats.org/officeDocument/2006/relationships/hyperlink" Target="https://techcombank.com/thong-tin/blog/no-nhom-3" TargetMode="External"/><Relationship Id="rId3150" Type="http://schemas.openxmlformats.org/officeDocument/2006/relationships/hyperlink" Target="https://techcombank.com/thong-tin/blog/no-xau-nhom-2" TargetMode="External"/><Relationship Id="rId3153" Type="http://schemas.openxmlformats.org/officeDocument/2006/relationships/hyperlink" Target="https://techcombank.com/thong-tin/blog/du-no-tin-dung-la-gi" TargetMode="External"/><Relationship Id="rId3152" Type="http://schemas.openxmlformats.org/officeDocument/2006/relationships/hyperlink" Target="https://techcombank.com/thong-tin/blog/han-muc-vay-the-chap-so-do" TargetMode="External"/><Relationship Id="rId3155" Type="http://schemas.openxmlformats.org/officeDocument/2006/relationships/hyperlink" Target="https://techcombank.com/thong-tin/blog/vay-tin-chap-no-xau" TargetMode="External"/><Relationship Id="rId3154" Type="http://schemas.openxmlformats.org/officeDocument/2006/relationships/hyperlink" Target="https://techcombank.com/thong-tin/blog/vay-20-trieu" TargetMode="External"/><Relationship Id="rId3157" Type="http://schemas.openxmlformats.org/officeDocument/2006/relationships/hyperlink" Target="https://techcombank.com/thong-tin/blog/no-xau-co-vay-the-chap-duoc-khong" TargetMode="External"/><Relationship Id="rId3156" Type="http://schemas.openxmlformats.org/officeDocument/2006/relationships/hyperlink" Target="https://techcombank.com/thong-tin/blog/tat-toan" TargetMode="External"/><Relationship Id="rId3159" Type="http://schemas.openxmlformats.org/officeDocument/2006/relationships/hyperlink" Target="https://techcombank.com/thong-tin/blog/rui-ro-khi-vay-the-chap-ngan-hang" TargetMode="External"/><Relationship Id="rId3158" Type="http://schemas.openxmlformats.org/officeDocument/2006/relationships/hyperlink" Target="https://techcombank.com/thong-tin/blog/thu-tuc-vay-von-kinh-doanh-nho" TargetMode="External"/><Relationship Id="rId3149" Type="http://schemas.openxmlformats.org/officeDocument/2006/relationships/hyperlink" Target="https://techcombank.com/thong-tin/blog/tra-gop-hoc-phi" TargetMode="External"/><Relationship Id="rId3140" Type="http://schemas.openxmlformats.org/officeDocument/2006/relationships/hyperlink" Target="https://techcombank.com/thong-tin/blog/vay-the-chap-toi-da-duoc-bao-nhieu" TargetMode="External"/><Relationship Id="rId3142" Type="http://schemas.openxmlformats.org/officeDocument/2006/relationships/hyperlink" Target="https://techcombank.com/thong-tin/blog/vay-tin-chap-toi-da-duoc-bao-nhieu" TargetMode="External"/><Relationship Id="rId3141" Type="http://schemas.openxmlformats.org/officeDocument/2006/relationships/hyperlink" Target="https://techcombank.com/thong-tin/blog/vay-han-muc-la-gi" TargetMode="External"/><Relationship Id="rId3144" Type="http://schemas.openxmlformats.org/officeDocument/2006/relationships/hyperlink" Target="https://techcombank.com/thong-tin/blog/vay-tin-chap-theo-luong" TargetMode="External"/><Relationship Id="rId3143" Type="http://schemas.openxmlformats.org/officeDocument/2006/relationships/hyperlink" Target="https://techcombank.com/thong-tin/blog/kinh-nghiem-vay-tien-ngan-hang-xay-nha" TargetMode="External"/><Relationship Id="rId3146" Type="http://schemas.openxmlformats.org/officeDocument/2006/relationships/hyperlink" Target="https://techcombank.com/thong-tin/blog/kinh-nghiem-vay-tien-mua-nha" TargetMode="External"/><Relationship Id="rId3145" Type="http://schemas.openxmlformats.org/officeDocument/2006/relationships/hyperlink" Target="https://techcombank.com/thong-tin/blog/cac-hinh-thuc-cho-vay-tieu-dung" TargetMode="External"/><Relationship Id="rId3148" Type="http://schemas.openxmlformats.org/officeDocument/2006/relationships/hyperlink" Target="https://techcombank.com/thong-tin/blog/vay-mua-nha-tra-gop" TargetMode="External"/><Relationship Id="rId3147" Type="http://schemas.openxmlformats.org/officeDocument/2006/relationships/hyperlink" Target="https://techcombank.com/thong-tin/blog/han-muc-thau-chi-la-gi" TargetMode="External"/><Relationship Id="rId3171" Type="http://schemas.openxmlformats.org/officeDocument/2006/relationships/hyperlink" Target="https://techcombank.com/thong-tin/blog/phi-vay-the-chap" TargetMode="External"/><Relationship Id="rId3170" Type="http://schemas.openxmlformats.org/officeDocument/2006/relationships/hyperlink" Target="https://techcombank.com/thong-tin/blog/thu-tuc-vay-von-ngan-hang-de-xay-nha" TargetMode="External"/><Relationship Id="rId3173" Type="http://schemas.openxmlformats.org/officeDocument/2006/relationships/hyperlink" Target="https://techcombank.com/thong-tin/blog/vay-the-chap-khong-chung-minh-thu-nhap" TargetMode="External"/><Relationship Id="rId3172" Type="http://schemas.openxmlformats.org/officeDocument/2006/relationships/hyperlink" Target="https://techcombank.com/thong-tin/blog/the-chap-la-gi" TargetMode="External"/><Relationship Id="rId3175" Type="http://schemas.openxmlformats.org/officeDocument/2006/relationships/hyperlink" Target="https://techcombank.com/thong-tin/blog/vay-the-chap-la-gi" TargetMode="External"/><Relationship Id="rId3174" Type="http://schemas.openxmlformats.org/officeDocument/2006/relationships/hyperlink" Target="https://techcombank.com/thong-tin/blog/quy-trinh-cho-vay-tieu-dung" TargetMode="External"/><Relationship Id="rId3177" Type="http://schemas.openxmlformats.org/officeDocument/2006/relationships/hyperlink" Target="https://techcombank.com/thong-tin/blog/dang-vay-tra-gop-co-vay-them-duoc-khong" TargetMode="External"/><Relationship Id="rId3176" Type="http://schemas.openxmlformats.org/officeDocument/2006/relationships/hyperlink" Target="https://techcombank.com/thong-tin/blog/vay-40-trieu" TargetMode="External"/><Relationship Id="rId3179" Type="http://schemas.openxmlformats.org/officeDocument/2006/relationships/hyperlink" Target="https://techcombank.com/thong-tin/blog/vay-the-chap-so-bao-hiem-xa-hoi" TargetMode="External"/><Relationship Id="rId3178" Type="http://schemas.openxmlformats.org/officeDocument/2006/relationships/hyperlink" Target="https://techcombank.com/thong-tin/blog/co-nen-mua-o-to-tra-gop" TargetMode="External"/><Relationship Id="rId3160" Type="http://schemas.openxmlformats.org/officeDocument/2006/relationships/hyperlink" Target="https://techcombank.com/thong-tin/blog/vay-kinh-doanh-online" TargetMode="External"/><Relationship Id="rId3162" Type="http://schemas.openxmlformats.org/officeDocument/2006/relationships/hyperlink" Target="https://techcombank.com/thong-tin/blog/vay-tin-chap-khong-tra-duoc-co-sao-khong" TargetMode="External"/><Relationship Id="rId3161" Type="http://schemas.openxmlformats.org/officeDocument/2006/relationships/hyperlink" Target="https://techcombank.com/thong-tin/blog/vay-thau-chi-la-gi" TargetMode="External"/><Relationship Id="rId3164" Type="http://schemas.openxmlformats.org/officeDocument/2006/relationships/hyperlink" Target="https://techcombank.com/thong-tin/blog/vay-tin-chap-cho-doanh-nghiep-moi-thanh-lap" TargetMode="External"/><Relationship Id="rId3163" Type="http://schemas.openxmlformats.org/officeDocument/2006/relationships/hyperlink" Target="https://techcombank.com/thong-tin/blog/vay-von-doanh-nghiep-khong-the-chap" TargetMode="External"/><Relationship Id="rId3166" Type="http://schemas.openxmlformats.org/officeDocument/2006/relationships/hyperlink" Target="https://techcombank.com/thong-tin/blog/co-nen-vay-ngan-hang-mua-nha" TargetMode="External"/><Relationship Id="rId3165" Type="http://schemas.openxmlformats.org/officeDocument/2006/relationships/hyperlink" Target="https://techcombank.com/thong-tin/blog/thanh-toan-khoan-vay" TargetMode="External"/><Relationship Id="rId3168" Type="http://schemas.openxmlformats.org/officeDocument/2006/relationships/hyperlink" Target="https://techcombank.com/thong-tin/blog/thu-tuc-vay-ngan-hang-mua-nha" TargetMode="External"/><Relationship Id="rId3167" Type="http://schemas.openxmlformats.org/officeDocument/2006/relationships/hyperlink" Target="https://techcombank.com/thong-tin/blog/ho-so-vay-tin-chap" TargetMode="External"/><Relationship Id="rId3169" Type="http://schemas.openxmlformats.org/officeDocument/2006/relationships/hyperlink" Target="https://techcombank.com/thong-tin/blog/thoi-han-vay-thau-chi" TargetMode="External"/><Relationship Id="rId2700" Type="http://schemas.openxmlformats.org/officeDocument/2006/relationships/hyperlink" Target="https://techcombank.com/thong-tin/blog/lai-suat-cho-vay-doanh-nghiep" TargetMode="External"/><Relationship Id="rId2701" Type="http://schemas.openxmlformats.org/officeDocument/2006/relationships/hyperlink" Target="https://techcombank.com/thong-tin/blog/vay-thau-chi-bang-so-tiet-kiem" TargetMode="External"/><Relationship Id="rId2702" Type="http://schemas.openxmlformats.org/officeDocument/2006/relationships/hyperlink" Target="https://techcombank.com/thong-tin/blog/lai-suat-ngan-hang-cho-vay-xay-nha" TargetMode="External"/><Relationship Id="rId2703" Type="http://schemas.openxmlformats.org/officeDocument/2006/relationships/hyperlink" Target="https://techcombank.com/thong-tin/blog/lai-suat-tha-noi" TargetMode="External"/><Relationship Id="rId2704" Type="http://schemas.openxmlformats.org/officeDocument/2006/relationships/hyperlink" Target="https://techcombank.com/thong-tin/blog/tra-no-vay-thau-chi-nhu-the-nao" TargetMode="External"/><Relationship Id="rId2705" Type="http://schemas.openxmlformats.org/officeDocument/2006/relationships/hyperlink" Target="https://techcombank.com/thong-tin/blog/tin-chap-doanh-nghiep" TargetMode="External"/><Relationship Id="rId2706" Type="http://schemas.openxmlformats.org/officeDocument/2006/relationships/hyperlink" Target="https://techcombank.com/thong-tin/blog/vay-the-chap-xe-o-to-cu" TargetMode="External"/><Relationship Id="rId2707" Type="http://schemas.openxmlformats.org/officeDocument/2006/relationships/hyperlink" Target="https://techcombank.com/thong-tin/blog/vay-san-xuat-kinh-doanh" TargetMode="External"/><Relationship Id="rId2708" Type="http://schemas.openxmlformats.org/officeDocument/2006/relationships/hyperlink" Target="https://techcombank.com/thong-tin/blog/nen-vay-tin-chap-o-dau" TargetMode="External"/><Relationship Id="rId2709" Type="http://schemas.openxmlformats.org/officeDocument/2006/relationships/hyperlink" Target="https://techcombank.com/thong-tin/blog/vay-the-chap-so-hong" TargetMode="External"/><Relationship Id="rId2720" Type="http://schemas.openxmlformats.org/officeDocument/2006/relationships/hyperlink" Target="https://techcombank.com/thong-tin/blog/kinh-nghiem-vay-the-chap-ngan-hang" TargetMode="External"/><Relationship Id="rId2721" Type="http://schemas.openxmlformats.org/officeDocument/2006/relationships/hyperlink" Target="https://techcombank.com/thong-tin/blog/bi-quyet-tiet-kiem-tien-mua-nha" TargetMode="External"/><Relationship Id="rId2722" Type="http://schemas.openxmlformats.org/officeDocument/2006/relationships/hyperlink" Target="https://techcombank.com/thong-tin/blog/no-nhom-3" TargetMode="External"/><Relationship Id="rId2723" Type="http://schemas.openxmlformats.org/officeDocument/2006/relationships/hyperlink" Target="https://techcombank.com/thong-tin/blog/vay-tien-mat" TargetMode="External"/><Relationship Id="rId2724" Type="http://schemas.openxmlformats.org/officeDocument/2006/relationships/hyperlink" Target="https://techcombank.com/thong-tin/blog/han-muc-vay-the-chap-so-do" TargetMode="External"/><Relationship Id="rId2725" Type="http://schemas.openxmlformats.org/officeDocument/2006/relationships/hyperlink" Target="https://techcombank.com/thong-tin/blog/vay-sinh-vien" TargetMode="External"/><Relationship Id="rId2726" Type="http://schemas.openxmlformats.org/officeDocument/2006/relationships/hyperlink" Target="https://techcombank.com/thong-tin/blog/vay-tin-chap-no-xau" TargetMode="External"/><Relationship Id="rId2727" Type="http://schemas.openxmlformats.org/officeDocument/2006/relationships/hyperlink" Target="https://techcombank.com/thong-tin/blog/no-xau-co-vay-the-chap-duoc-khong" TargetMode="External"/><Relationship Id="rId2728" Type="http://schemas.openxmlformats.org/officeDocument/2006/relationships/hyperlink" Target="https://techcombank.com/thong-tin/blog/thu-tuc-vay-von-kinh-doanh-nho" TargetMode="External"/><Relationship Id="rId2729" Type="http://schemas.openxmlformats.org/officeDocument/2006/relationships/hyperlink" Target="https://techcombank.com/thong-tin/blog/vay-thau-chi-la-gi" TargetMode="External"/><Relationship Id="rId2710" Type="http://schemas.openxmlformats.org/officeDocument/2006/relationships/hyperlink" Target="https://techcombank.com/thong-tin/blog/vay-the-chap-kinh-doanh" TargetMode="External"/><Relationship Id="rId2711" Type="http://schemas.openxmlformats.org/officeDocument/2006/relationships/hyperlink" Target="https://techcombank.com/thong-tin/blog/giai-ngan-vay-the-chap" TargetMode="External"/><Relationship Id="rId2712" Type="http://schemas.openxmlformats.org/officeDocument/2006/relationships/hyperlink" Target="https://techcombank.com/thong-tin/blog/vay-the-chap-toi-da-duoc-bao-nhieu" TargetMode="External"/><Relationship Id="rId2713" Type="http://schemas.openxmlformats.org/officeDocument/2006/relationships/hyperlink" Target="https://techcombank.com/thong-tin/blog/cac-hinh-thuc-cho-vay-tieu-dung" TargetMode="External"/><Relationship Id="rId2714" Type="http://schemas.openxmlformats.org/officeDocument/2006/relationships/hyperlink" Target="https://techcombank.com/thong-tin/blog/vay-ngan-han" TargetMode="External"/><Relationship Id="rId2715" Type="http://schemas.openxmlformats.org/officeDocument/2006/relationships/hyperlink" Target="https://techcombank.com/thong-tin/blog/cho-vay-kinh-doanh-ho-gia-dinh" TargetMode="External"/><Relationship Id="rId2716" Type="http://schemas.openxmlformats.org/officeDocument/2006/relationships/hyperlink" Target="https://techcombank.com/thong-tin/blog/vay-von-doanh-nghiep-nho" TargetMode="External"/><Relationship Id="rId2717" Type="http://schemas.openxmlformats.org/officeDocument/2006/relationships/hyperlink" Target="https://techcombank.com/thong-tin/blog/han-muc-thau-chi-la-gi" TargetMode="External"/><Relationship Id="rId2718" Type="http://schemas.openxmlformats.org/officeDocument/2006/relationships/hyperlink" Target="https://techcombank.com/thong-tin/blog/vay-tin-chap-toi-da-duoc-bao-nhieu" TargetMode="External"/><Relationship Id="rId2719" Type="http://schemas.openxmlformats.org/officeDocument/2006/relationships/hyperlink" Target="https://techcombank.com/thong-tin/blog/diem-tin-dung" TargetMode="External"/><Relationship Id="rId1455" Type="http://schemas.openxmlformats.org/officeDocument/2006/relationships/hyperlink" Target="https://techcombank.com/thong-tin/blog/so-tiet-kiem-ngan-hang" TargetMode="External"/><Relationship Id="rId2786" Type="http://schemas.openxmlformats.org/officeDocument/2006/relationships/hyperlink" Target="https://techcombank.com/thong-tin/blog/bao-lanh-bao-hanh" TargetMode="External"/><Relationship Id="rId1456" Type="http://schemas.openxmlformats.org/officeDocument/2006/relationships/hyperlink" Target="https://techcombank.com/thong-tin/blog/tien-gui-khong-ky-han" TargetMode="External"/><Relationship Id="rId2787" Type="http://schemas.openxmlformats.org/officeDocument/2006/relationships/hyperlink" Target="https://techcombank.com/thong-tin/blog/tai-khoan-ngan-hang-chua-toi-da-bao-nhieu-tien" TargetMode="External"/><Relationship Id="rId1457" Type="http://schemas.openxmlformats.org/officeDocument/2006/relationships/hyperlink" Target="https://techcombank.com/thong-tin/blog/tien-gui-co-ky-han" TargetMode="External"/><Relationship Id="rId2788" Type="http://schemas.openxmlformats.org/officeDocument/2006/relationships/hyperlink" Target="https://techcombank.com/thong-tin/blog/app-mua-truoc-tra-sau" TargetMode="External"/><Relationship Id="rId1458" Type="http://schemas.openxmlformats.org/officeDocument/2006/relationships/hyperlink" Target="https://techcombank.com/thong-tin/blog/gui-tiet-kiem-theo-ngay" TargetMode="External"/><Relationship Id="rId2789" Type="http://schemas.openxmlformats.org/officeDocument/2006/relationships/hyperlink" Target="https://techcombank.com/thong-tin/blog/chuyen-gia-du-doan-gia-bat-dong-san-2025-va-cac-no-luc-tu-ngan-hang" TargetMode="External"/><Relationship Id="rId1459" Type="http://schemas.openxmlformats.org/officeDocument/2006/relationships/hyperlink" Target="https://techcombank.com/thong-tin/blog/nen-gui-tiet-kiem-6-thang-hay-1-nam" TargetMode="External"/><Relationship Id="rId629" Type="http://schemas.openxmlformats.org/officeDocument/2006/relationships/hyperlink" Target="https://techcombank.com/thong-tin/blog/dinh-cu-chau-au" TargetMode="External"/><Relationship Id="rId624" Type="http://schemas.openxmlformats.org/officeDocument/2006/relationships/hyperlink" Target="https://techcombank.com/thong-tin/blog/xac-thuc-sinh-trac-hoc-khi-chuyen-tien" TargetMode="External"/><Relationship Id="rId623" Type="http://schemas.openxmlformats.org/officeDocument/2006/relationships/hyperlink" Target="https://techcombank.com/thong-tin/blog/mo-tai-khoan-ngan-hang-co-mat-phi-khong" TargetMode="External"/><Relationship Id="rId622" Type="http://schemas.openxmlformats.org/officeDocument/2006/relationships/hyperlink" Target="https://techcombank.com/thong-tin/blog/vi-dien-tu-la-gi" TargetMode="External"/><Relationship Id="rId621" Type="http://schemas.openxmlformats.org/officeDocument/2006/relationships/hyperlink" Target="https://techcombank.com/thong-tin/blog/ma-swift-ngan-hang" TargetMode="External"/><Relationship Id="rId628" Type="http://schemas.openxmlformats.org/officeDocument/2006/relationships/hyperlink" Target="https://techcombank.com/thong-tin/blog/chuyen-tien-dinh-cu" TargetMode="External"/><Relationship Id="rId627" Type="http://schemas.openxmlformats.org/officeDocument/2006/relationships/hyperlink" Target="https://techcombank.com/thong-tin/blog/the-ghi-no-co-chuyen-khoan-duoc-khong" TargetMode="External"/><Relationship Id="rId626" Type="http://schemas.openxmlformats.org/officeDocument/2006/relationships/hyperlink" Target="https://techcombank.com/thong-tin/blog/cach-chuyen-tien-qua-ma-qr-techcombank" TargetMode="External"/><Relationship Id="rId625" Type="http://schemas.openxmlformats.org/officeDocument/2006/relationships/hyperlink" Target="https://techcombank.com/thong-tin/blog/app-vay-tien-nhanh" TargetMode="External"/><Relationship Id="rId2780" Type="http://schemas.openxmlformats.org/officeDocument/2006/relationships/hyperlink" Target="https://techcombank.com/thong-tin/blog/gui-tiet-kiem-online-co-rut-truoc-han-duoc-khong" TargetMode="External"/><Relationship Id="rId1450" Type="http://schemas.openxmlformats.org/officeDocument/2006/relationships/hyperlink" Target="https://techcombank.com/thong-tin/blog/cach-tinh-lai-suat-tien-gui-tiet-kiem" TargetMode="External"/><Relationship Id="rId2781" Type="http://schemas.openxmlformats.org/officeDocument/2006/relationships/hyperlink" Target="https://techcombank.com/thong-tin/blog/tat-toan-so-tiet-kiem" TargetMode="External"/><Relationship Id="rId620" Type="http://schemas.openxmlformats.org/officeDocument/2006/relationships/hyperlink" Target="https://techcombank.com/thong-tin/blog/cach-su-dung-the-visa-techcombank" TargetMode="External"/><Relationship Id="rId1451" Type="http://schemas.openxmlformats.org/officeDocument/2006/relationships/hyperlink" Target="https://techcombank.com/thong-tin/blog/chon-kenh-dau-tu-an-toan-trong-boi-canh-thi-truong-bien-dong" TargetMode="External"/><Relationship Id="rId2782" Type="http://schemas.openxmlformats.org/officeDocument/2006/relationships/hyperlink" Target="https://techcombank.com/thong-tin/blog/the-ghi-no-va-the-tin-dung" TargetMode="External"/><Relationship Id="rId1452" Type="http://schemas.openxmlformats.org/officeDocument/2006/relationships/hyperlink" Target="https://techcombank.com/thong-tin/blog/chung-chi-tien-gui-khac-gi-so-tiet-kiem" TargetMode="External"/><Relationship Id="rId2783" Type="http://schemas.openxmlformats.org/officeDocument/2006/relationships/hyperlink" Target="https://techcombank.com/thong-tin/blog/giai-ngan-la-gi" TargetMode="External"/><Relationship Id="rId1453" Type="http://schemas.openxmlformats.org/officeDocument/2006/relationships/hyperlink" Target="https://techcombank.com/thong-tin/blog/chung-chi-tien-gui-co-phai-la-trai-phieu-khong" TargetMode="External"/><Relationship Id="rId2784" Type="http://schemas.openxmlformats.org/officeDocument/2006/relationships/hyperlink" Target="https://techcombank.com/thong-tin/blog/nen-mua-xe-o-to-dien-hay-xe-xang" TargetMode="External"/><Relationship Id="rId1454" Type="http://schemas.openxmlformats.org/officeDocument/2006/relationships/hyperlink" Target="https://techcombank.com/thong-tin/blog/chung-chi-tien-gui-co-an-toan-khong" TargetMode="External"/><Relationship Id="rId2785" Type="http://schemas.openxmlformats.org/officeDocument/2006/relationships/hyperlink" Target="https://techcombank.com/thong-tin/blog/rut-tien-mat-tu-the-tin-dung" TargetMode="External"/><Relationship Id="rId1444" Type="http://schemas.openxmlformats.org/officeDocument/2006/relationships/hyperlink" Target="https://techcombank.com/thong-tin/blog/chuyen-nhuong-chung-chi-tien-gui" TargetMode="External"/><Relationship Id="rId2775" Type="http://schemas.openxmlformats.org/officeDocument/2006/relationships/hyperlink" Target="https://techcombank.com/thong-tin/blog/vay-tien-online" TargetMode="External"/><Relationship Id="rId1445" Type="http://schemas.openxmlformats.org/officeDocument/2006/relationships/hyperlink" Target="https://techcombank.com/thong-tin/blog/chung-chi-tien-gui-co-duoc-bao-hiem-khong" TargetMode="External"/><Relationship Id="rId2776" Type="http://schemas.openxmlformats.org/officeDocument/2006/relationships/hyperlink" Target="https://techcombank.com/thong-tin/blog/vay-du-hoc" TargetMode="External"/><Relationship Id="rId1446" Type="http://schemas.openxmlformats.org/officeDocument/2006/relationships/hyperlink" Target="https://techcombank.com/thong-tin/blog/chung-chi-tien-gui-la-gi" TargetMode="External"/><Relationship Id="rId2777" Type="http://schemas.openxmlformats.org/officeDocument/2006/relationships/hyperlink" Target="https://techcombank.com/thong-tin/blog/vay-ngan-hang-1-ty-moi-thang-tra-bao-nhieu" TargetMode="External"/><Relationship Id="rId1447" Type="http://schemas.openxmlformats.org/officeDocument/2006/relationships/hyperlink" Target="https://techcombank.com/thong-tin/blog/lai-suat-tiet-kiem" TargetMode="External"/><Relationship Id="rId2778" Type="http://schemas.openxmlformats.org/officeDocument/2006/relationships/hyperlink" Target="https://techcombank.com/thong-tin/blog/no-xau-mo-the-tin-dung-duoc-khong" TargetMode="External"/><Relationship Id="rId1448" Type="http://schemas.openxmlformats.org/officeDocument/2006/relationships/hyperlink" Target="https://techcombank.com/thong-tin/blog/co-nen-gui-chung-chi-tien-gui" TargetMode="External"/><Relationship Id="rId2779" Type="http://schemas.openxmlformats.org/officeDocument/2006/relationships/hyperlink" Target="https://techcombank.com/thong-tin/blog/qua-han-thanh-toan-the-tin-dung-1-ngay" TargetMode="External"/><Relationship Id="rId1449" Type="http://schemas.openxmlformats.org/officeDocument/2006/relationships/hyperlink" Target="https://techcombank.com/thong-tin/blog/dau-tu-trai-phieu-doanh-nghiep-dung-ham-lai-suat-cao" TargetMode="External"/><Relationship Id="rId619" Type="http://schemas.openxmlformats.org/officeDocument/2006/relationships/hyperlink" Target="https://techcombank.com/thong-tin/blog/cach-chuyen-khoan-bang-dien-thoai" TargetMode="External"/><Relationship Id="rId618" Type="http://schemas.openxmlformats.org/officeDocument/2006/relationships/hyperlink" Target="https://techcombank.com/thong-tin/blog/nguoi-duoc-bao-hiem-la-gi" TargetMode="External"/><Relationship Id="rId613" Type="http://schemas.openxmlformats.org/officeDocument/2006/relationships/hyperlink" Target="https://techcombank.com/thong-tin/blog/loa-ting-ting" TargetMode="External"/><Relationship Id="rId612" Type="http://schemas.openxmlformats.org/officeDocument/2006/relationships/hyperlink" Target="https://techcombank.com/thong-tin/blog/cach-tao-ma-qr-code-mien-phi" TargetMode="External"/><Relationship Id="rId611" Type="http://schemas.openxmlformats.org/officeDocument/2006/relationships/hyperlink" Target="https://techcombank.com/thong-tin/blog/cach-su-dung-tai-khoan-cong-ty" TargetMode="External"/><Relationship Id="rId610" Type="http://schemas.openxmlformats.org/officeDocument/2006/relationships/hyperlink" Target="https://techcombank.com/thong-tin/blog/cdm" TargetMode="External"/><Relationship Id="rId617" Type="http://schemas.openxmlformats.org/officeDocument/2006/relationships/hyperlink" Target="https://techcombank.com/thong-tin/blog/iban-la-gi" TargetMode="External"/><Relationship Id="rId616" Type="http://schemas.openxmlformats.org/officeDocument/2006/relationships/hyperlink" Target="https://techcombank.com/thong-tin/blog/the-tin-dung-co-chuyen-khoan-duoc-khong" TargetMode="External"/><Relationship Id="rId615" Type="http://schemas.openxmlformats.org/officeDocument/2006/relationships/hyperlink" Target="https://techcombank.com/thong-tin/blog/uu-diem-cua-blockchain" TargetMode="External"/><Relationship Id="rId614" Type="http://schemas.openxmlformats.org/officeDocument/2006/relationships/hyperlink" Target="https://techcombank.com/thong-tin/blog/cach-lay-lai-tien-da-chuyen-khoan-khi-bi-lua" TargetMode="External"/><Relationship Id="rId2770" Type="http://schemas.openxmlformats.org/officeDocument/2006/relationships/hyperlink" Target="https://techcombank.com/thong-tin/blog/von-luu-dong-la-gi" TargetMode="External"/><Relationship Id="rId1440" Type="http://schemas.openxmlformats.org/officeDocument/2006/relationships/hyperlink" Target="https://techcombank.com/thong-tin/blog/cach-tinh-lai-suat-tien-gui-tiet-kiem" TargetMode="External"/><Relationship Id="rId2771" Type="http://schemas.openxmlformats.org/officeDocument/2006/relationships/hyperlink" Target="https://techcombank.com/thong-tin/blog/nhu-cau-vay-tieu-dung-cua-nguoi-viet-du-kien-tang-manh-trong-thoi-gian-toi" TargetMode="External"/><Relationship Id="rId1441" Type="http://schemas.openxmlformats.org/officeDocument/2006/relationships/hyperlink" Target="https://techcombank.com/thong-tin/blog/cach-tinh-loi-nhuan-chung-chi-tien-gui" TargetMode="External"/><Relationship Id="rId2772" Type="http://schemas.openxmlformats.org/officeDocument/2006/relationships/hyperlink" Target="https://techcombank.com/thong-tin/blog/vay-sieu-toc" TargetMode="External"/><Relationship Id="rId1442" Type="http://schemas.openxmlformats.org/officeDocument/2006/relationships/hyperlink" Target="https://techcombank.com/thong-tin/blog/tat-toan-chung-chi-tien-gui" TargetMode="External"/><Relationship Id="rId2773" Type="http://schemas.openxmlformats.org/officeDocument/2006/relationships/hyperlink" Target="https://techcombank.com/thong-tin/blog/tap-doan-thanh-quang-khoi-sac-kinh-doanh-nho-nguon-von-vay-tin-dung-techcombank-tren-nen-tang-misa-lending" TargetMode="External"/><Relationship Id="rId1443" Type="http://schemas.openxmlformats.org/officeDocument/2006/relationships/hyperlink" Target="https://techcombank.com/thong-tin/blog/chung-chi-tien-gui-co-duoc-rut-truoc-han" TargetMode="External"/><Relationship Id="rId2774" Type="http://schemas.openxmlformats.org/officeDocument/2006/relationships/hyperlink" Target="https://techcombank.com/thong-tin/blog/dieu-kien-vay-von-ngan-hang" TargetMode="External"/><Relationship Id="rId1477" Type="http://schemas.openxmlformats.org/officeDocument/2006/relationships/hyperlink" Target="https://techcombank.com/thong-tin/blog/han-muc-mua-ngoai-te-khi-di-du-lich" TargetMode="External"/><Relationship Id="rId1478" Type="http://schemas.openxmlformats.org/officeDocument/2006/relationships/hyperlink" Target="https://techcombank.com/thong-tin/blog/ngoai-te-la-gi" TargetMode="External"/><Relationship Id="rId1479" Type="http://schemas.openxmlformats.org/officeDocument/2006/relationships/hyperlink" Target="https://techcombank.com/thong-tin/blog/tai-khoan-ngan-hang-la-gi" TargetMode="External"/><Relationship Id="rId646" Type="http://schemas.openxmlformats.org/officeDocument/2006/relationships/hyperlink" Target="https://techcombank.com/thong-tin/blog/no-xau-co-lam-the-visa-duoc-khong" TargetMode="External"/><Relationship Id="rId645" Type="http://schemas.openxmlformats.org/officeDocument/2006/relationships/hyperlink" Target="https://techcombank.com/thong-tin/blog/mo-tai-khoan-ngan-hang-duoi-18-tuoi" TargetMode="External"/><Relationship Id="rId644" Type="http://schemas.openxmlformats.org/officeDocument/2006/relationships/hyperlink" Target="https://techcombank.com/thong-tin/blog/lam-the-visa-o-dau" TargetMode="External"/><Relationship Id="rId643" Type="http://schemas.openxmlformats.org/officeDocument/2006/relationships/hyperlink" Target="https://techcombank.com/thong-tin/blog/co-nen-dung-the-tin-dung-khong" TargetMode="External"/><Relationship Id="rId649" Type="http://schemas.openxmlformats.org/officeDocument/2006/relationships/hyperlink" Target="https://techcombank.com/thong-tin/blog/lam-the-tin-dung" TargetMode="External"/><Relationship Id="rId648" Type="http://schemas.openxmlformats.org/officeDocument/2006/relationships/hyperlink" Target="https://techcombank.com/thong-tin/blog/lam-the-visa-mat-bao-lau" TargetMode="External"/><Relationship Id="rId647" Type="http://schemas.openxmlformats.org/officeDocument/2006/relationships/hyperlink" Target="https://techcombank.com/thong-tin/blog/mo-tai-khoan-tiet-kiem-cho-con" TargetMode="External"/><Relationship Id="rId1470" Type="http://schemas.openxmlformats.org/officeDocument/2006/relationships/hyperlink" Target="https://techcombank.com/thong-tin/blog/lai-suat-cho-vay-doanh-nghiep" TargetMode="External"/><Relationship Id="rId1471" Type="http://schemas.openxmlformats.org/officeDocument/2006/relationships/hyperlink" Target="https://techcombank.com/thong-tin/blog/tien-trung-quoc" TargetMode="External"/><Relationship Id="rId1472" Type="http://schemas.openxmlformats.org/officeDocument/2006/relationships/hyperlink" Target="https://techcombank.com/thong-tin/blog/1-van-te-bang-bao-nhieu-tien-viet" TargetMode="External"/><Relationship Id="rId642" Type="http://schemas.openxmlformats.org/officeDocument/2006/relationships/hyperlink" Target="https://techcombank.com/thong-tin/blog/cach-chon-so-tai-khoan-dep" TargetMode="External"/><Relationship Id="rId1473" Type="http://schemas.openxmlformats.org/officeDocument/2006/relationships/hyperlink" Target="https://techcombank.com/thong-tin/blog/1000-te-bang-bao-nhieu-tien-viet" TargetMode="External"/><Relationship Id="rId641" Type="http://schemas.openxmlformats.org/officeDocument/2006/relationships/hyperlink" Target="https://techcombank.com/thong-tin/blog/the-visa-de-lam-gi" TargetMode="External"/><Relationship Id="rId1474" Type="http://schemas.openxmlformats.org/officeDocument/2006/relationships/hyperlink" Target="https://techcombank.com/thong-tin/blog/thanh-toan-khi-du-lich-trung-quoc" TargetMode="External"/><Relationship Id="rId640" Type="http://schemas.openxmlformats.org/officeDocument/2006/relationships/hyperlink" Target="https://techcombank.com/thong-tin/blog/sai-lam-ve-tai-chinh-ca-nhan" TargetMode="External"/><Relationship Id="rId1475" Type="http://schemas.openxmlformats.org/officeDocument/2006/relationships/hyperlink" Target="https://techcombank.com/thong-tin/blog/gui-tiet-kiem-ngoai-te" TargetMode="External"/><Relationship Id="rId1476" Type="http://schemas.openxmlformats.org/officeDocument/2006/relationships/hyperlink" Target="https://techcombank.com/thong-tin/blog/chuyen-tien-dinh-cu" TargetMode="External"/><Relationship Id="rId1466" Type="http://schemas.openxmlformats.org/officeDocument/2006/relationships/hyperlink" Target="https://techcombank.com/thong-tin/blog/lai-kep-ngan-hang" TargetMode="External"/><Relationship Id="rId2797" Type="http://schemas.openxmlformats.org/officeDocument/2006/relationships/hyperlink" Target="https://techcombank.com/thong-tin/blog/cong-thuc-tinh-lai-suat-thuc" TargetMode="External"/><Relationship Id="rId1467" Type="http://schemas.openxmlformats.org/officeDocument/2006/relationships/hyperlink" Target="https://techcombank.com/thong-tin/blog/bi-quyet-tiet-kiem-tien-mua-nha" TargetMode="External"/><Relationship Id="rId2798" Type="http://schemas.openxmlformats.org/officeDocument/2006/relationships/hyperlink" Target="https://techcombank.com/thong-tin/blog/diem-loyalty-la-gi" TargetMode="External"/><Relationship Id="rId1468" Type="http://schemas.openxmlformats.org/officeDocument/2006/relationships/hyperlink" Target="https://techcombank.com/thong-tin/blog/tat-toan-so-tiet-kiem" TargetMode="External"/><Relationship Id="rId2799" Type="http://schemas.openxmlformats.org/officeDocument/2006/relationships/hyperlink" Target="https://techcombank.com/thong-tin/blog/techcombank-oneu" TargetMode="External"/><Relationship Id="rId1469" Type="http://schemas.openxmlformats.org/officeDocument/2006/relationships/hyperlink" Target="https://techcombank.com/thong-tin/blog/lai-suat-chung-chi-quy" TargetMode="External"/><Relationship Id="rId635" Type="http://schemas.openxmlformats.org/officeDocument/2006/relationships/hyperlink" Target="https://techcombank.com/thong-tin/blog/lam-the-atm-bao-lau-co" TargetMode="External"/><Relationship Id="rId634" Type="http://schemas.openxmlformats.org/officeDocument/2006/relationships/hyperlink" Target="https://techcombank.com/thong-tin/blog/1-nguoi-co-the-lam-duoc-bao-nhieu-the-atm" TargetMode="External"/><Relationship Id="rId633" Type="http://schemas.openxmlformats.org/officeDocument/2006/relationships/hyperlink" Target="https://techcombank.com/thong-tin/blog/cach-lam-the-atm" TargetMode="External"/><Relationship Id="rId632" Type="http://schemas.openxmlformats.org/officeDocument/2006/relationships/hyperlink" Target="https://techcombank.com/thong-tin/blog/hoc-sinh-sinh-vien-nen-lam-the-ngan-hang-nao" TargetMode="External"/><Relationship Id="rId639" Type="http://schemas.openxmlformats.org/officeDocument/2006/relationships/hyperlink" Target="https://techcombank.com/thong-tin/blog/lam-the-atm-co-mat-phi-khong" TargetMode="External"/><Relationship Id="rId638" Type="http://schemas.openxmlformats.org/officeDocument/2006/relationships/hyperlink" Target="https://techcombank.com/thong-tin/blog/li-xi-so-dep" TargetMode="External"/><Relationship Id="rId637" Type="http://schemas.openxmlformats.org/officeDocument/2006/relationships/hyperlink" Target="https://techcombank.com/thong-tin/blog/the-he-ke-can" TargetMode="External"/><Relationship Id="rId636" Type="http://schemas.openxmlformats.org/officeDocument/2006/relationships/hyperlink" Target="https://techcombank.com/thong-tin/blog/tap-doan-thanh-quang-khoi-sac-kinh-doanh-nho-nguon-von-vay-tin-dung-techcombank-tren-nen-tang-misa-lending" TargetMode="External"/><Relationship Id="rId2790" Type="http://schemas.openxmlformats.org/officeDocument/2006/relationships/hyperlink" Target="https://techcombank.com/thong-tin/blog/ho-so-thu-tuc-xoa-the-chap" TargetMode="External"/><Relationship Id="rId1460" Type="http://schemas.openxmlformats.org/officeDocument/2006/relationships/hyperlink" Target="https://techcombank.com/thong-tin/blog/so-sanh-gui-tiet-kiem-online-va-tai-quay" TargetMode="External"/><Relationship Id="rId2791" Type="http://schemas.openxmlformats.org/officeDocument/2006/relationships/hyperlink" Target="https://techcombank.com/thong-tin/blog/cach-tiet-kiem-100-trieu-1-nam" TargetMode="External"/><Relationship Id="rId1461" Type="http://schemas.openxmlformats.org/officeDocument/2006/relationships/hyperlink" Target="https://techcombank.com/thong-tin/blog/cach-tiet-kiem-tien-sinh-loi" TargetMode="External"/><Relationship Id="rId2792" Type="http://schemas.openxmlformats.org/officeDocument/2006/relationships/hyperlink" Target="https://techcombank.com/thong-tin/blog/co-50-trieu-nen-mua-vang-hay-gui-tiet-kiem" TargetMode="External"/><Relationship Id="rId631" Type="http://schemas.openxmlformats.org/officeDocument/2006/relationships/hyperlink" Target="https://techcombank.com/thong-tin/blog/mo-tai-khoan-ngan-hang-cho-tre-em" TargetMode="External"/><Relationship Id="rId1462" Type="http://schemas.openxmlformats.org/officeDocument/2006/relationships/hyperlink" Target="https://techcombank.com/thong-tin/blog/gui-tiet-kiem-hang-thang" TargetMode="External"/><Relationship Id="rId2793" Type="http://schemas.openxmlformats.org/officeDocument/2006/relationships/hyperlink" Target="https://techcombank.com/thong-tin/blog/gui-tiet-kiem-tich-luy-la-gi" TargetMode="External"/><Relationship Id="rId630" Type="http://schemas.openxmlformats.org/officeDocument/2006/relationships/hyperlink" Target="https://techcombank.com/thong-tin/blog/cam-nang-dinh-cu-my" TargetMode="External"/><Relationship Id="rId1463" Type="http://schemas.openxmlformats.org/officeDocument/2006/relationships/hyperlink" Target="https://techcombank.com/thong-tin/blog/nghich-ly-nha-dau-tu-che-trai-phieu-lai-suat-cao-ua-ma-an-toan-du-lai-suat-thap-hon-05-1" TargetMode="External"/><Relationship Id="rId2794" Type="http://schemas.openxmlformats.org/officeDocument/2006/relationships/hyperlink" Target="https://techcombank.com/thong-tin/blog/quy-trinh-gui-tien-tiet-kiem" TargetMode="External"/><Relationship Id="rId1464" Type="http://schemas.openxmlformats.org/officeDocument/2006/relationships/hyperlink" Target="https://techcombank.com/thong-tin/blog/thi-truong-trai-phieu-co-hoi-dau-tu-trai-phieu-vang-du-lai-suat-thap" TargetMode="External"/><Relationship Id="rId2795" Type="http://schemas.openxmlformats.org/officeDocument/2006/relationships/hyperlink" Target="https://techcombank.com/thong-tin/blog/nen-de-tien-trong-the-hay-gui-tiet-kiem" TargetMode="External"/><Relationship Id="rId1465" Type="http://schemas.openxmlformats.org/officeDocument/2006/relationships/hyperlink" Target="https://techcombank.com/thong-tin/blog/techcombank-sinh-loi-tu-dong" TargetMode="External"/><Relationship Id="rId2796" Type="http://schemas.openxmlformats.org/officeDocument/2006/relationships/hyperlink" Target="https://techcombank.com/thong-tin/blog/lai-suat-vay-kinh-doanh" TargetMode="External"/><Relationship Id="rId1411" Type="http://schemas.openxmlformats.org/officeDocument/2006/relationships/hyperlink" Target="https://techcombank.com/thong-tin/blog/chung-chi-tien-gui-khac-gi-so-tiet-kiem" TargetMode="External"/><Relationship Id="rId2742" Type="http://schemas.openxmlformats.org/officeDocument/2006/relationships/hyperlink" Target="https://techcombank.com/thong-tin/blog/vay-bo-sung-von-luu-dong" TargetMode="External"/><Relationship Id="rId1412" Type="http://schemas.openxmlformats.org/officeDocument/2006/relationships/hyperlink" Target="https://techcombank.com/thong-tin/blog/chung-chi-tien-gui-co-phai-la-trai-phieu-khong" TargetMode="External"/><Relationship Id="rId2743" Type="http://schemas.openxmlformats.org/officeDocument/2006/relationships/hyperlink" Target="https://techcombank.com/thong-tin/blog/cong-thuc-tinh-lai-suat-thuc" TargetMode="External"/><Relationship Id="rId1413" Type="http://schemas.openxmlformats.org/officeDocument/2006/relationships/hyperlink" Target="https://techcombank.com/thong-tin/blog/co-nen-gui-chung-chi-tien-gui" TargetMode="External"/><Relationship Id="rId2744" Type="http://schemas.openxmlformats.org/officeDocument/2006/relationships/hyperlink" Target="https://techcombank.com/thong-tin/blog/vay-the-chap-so-bao-hiem-xa-hoi" TargetMode="External"/><Relationship Id="rId1414" Type="http://schemas.openxmlformats.org/officeDocument/2006/relationships/hyperlink" Target="https://techcombank.com/thong-tin/blog/chung-chi-tien-gui-co-an-toan-khong" TargetMode="External"/><Relationship Id="rId2745" Type="http://schemas.openxmlformats.org/officeDocument/2006/relationships/hyperlink" Target="https://techcombank.com/thong-tin/blog/nen-vay-the-chap-ngan-hang-nao" TargetMode="External"/><Relationship Id="rId1415" Type="http://schemas.openxmlformats.org/officeDocument/2006/relationships/hyperlink" Target="https://techcombank.com/thong-tin/blog/tien-nhan-roi-nen-lam-gi" TargetMode="External"/><Relationship Id="rId2746" Type="http://schemas.openxmlformats.org/officeDocument/2006/relationships/hyperlink" Target="https://techcombank.com/thong-tin/blog/lai-kep-ngan-hang" TargetMode="External"/><Relationship Id="rId1416" Type="http://schemas.openxmlformats.org/officeDocument/2006/relationships/hyperlink" Target="https://techcombank.com/thong-tin/blog/chuyen-doi-so-ho-kinh-doanh" TargetMode="External"/><Relationship Id="rId2747" Type="http://schemas.openxmlformats.org/officeDocument/2006/relationships/hyperlink" Target="https://techcombank.com/thong-tin/blog/tien-gui-khong-ky-han" TargetMode="External"/><Relationship Id="rId1417" Type="http://schemas.openxmlformats.org/officeDocument/2006/relationships/hyperlink" Target="https://techcombank.com/thong-tin/blog/quy-trinh-gui-tien-tiet-kiem" TargetMode="External"/><Relationship Id="rId2748" Type="http://schemas.openxmlformats.org/officeDocument/2006/relationships/hyperlink" Target="https://techcombank.com/thong-tin/blog/vay-mua-chung-cu" TargetMode="External"/><Relationship Id="rId1418" Type="http://schemas.openxmlformats.org/officeDocument/2006/relationships/hyperlink" Target="https://techcombank.com/thong-tin/blog/gui-tiet-kiem-theo-ngay" TargetMode="External"/><Relationship Id="rId2749" Type="http://schemas.openxmlformats.org/officeDocument/2006/relationships/hyperlink" Target="https://techcombank.com/thong-tin/blog/vay-50-trieu" TargetMode="External"/><Relationship Id="rId1419" Type="http://schemas.openxmlformats.org/officeDocument/2006/relationships/hyperlink" Target="https://techcombank.com/thong-tin/blog/gui-tiet-kiem-vang" TargetMode="External"/><Relationship Id="rId2740" Type="http://schemas.openxmlformats.org/officeDocument/2006/relationships/hyperlink" Target="https://techcombank.com/thong-tin/blog/vay-the-chap-khong-chung-minh-thu-nhap" TargetMode="External"/><Relationship Id="rId1410" Type="http://schemas.openxmlformats.org/officeDocument/2006/relationships/hyperlink" Target="https://techcombank.com/thong-tin/blog/the-tin-dung-den" TargetMode="External"/><Relationship Id="rId2741" Type="http://schemas.openxmlformats.org/officeDocument/2006/relationships/hyperlink" Target="https://techcombank.com/thong-tin/blog/vay-the-chap-la-gi" TargetMode="External"/><Relationship Id="rId1400" Type="http://schemas.openxmlformats.org/officeDocument/2006/relationships/hyperlink" Target="https://techcombank.com/thong-tin/blog/mua-truoc-tra-sau" TargetMode="External"/><Relationship Id="rId2731" Type="http://schemas.openxmlformats.org/officeDocument/2006/relationships/hyperlink" Target="https://techcombank.com/thong-tin/blog/vay-von-doanh-nghiep-khong-the-chap" TargetMode="External"/><Relationship Id="rId1401" Type="http://schemas.openxmlformats.org/officeDocument/2006/relationships/hyperlink" Target="https://techcombank.com/thong-tin/blog/tra-cuu-han-muc-the-tin-dung" TargetMode="External"/><Relationship Id="rId2732" Type="http://schemas.openxmlformats.org/officeDocument/2006/relationships/hyperlink" Target="https://techcombank.com/thong-tin/blog/vay-tin-chap-cho-doanh-nghiep-moi-thanh-lap" TargetMode="External"/><Relationship Id="rId1402" Type="http://schemas.openxmlformats.org/officeDocument/2006/relationships/hyperlink" Target="https://techcombank.com/thong-tin/blog/the-ghi-no-va-the-tin-dung" TargetMode="External"/><Relationship Id="rId2733" Type="http://schemas.openxmlformats.org/officeDocument/2006/relationships/hyperlink" Target="https://techcombank.com/thong-tin/blog/vay-kinh-doanh-online" TargetMode="External"/><Relationship Id="rId1403" Type="http://schemas.openxmlformats.org/officeDocument/2006/relationships/hyperlink" Target="https://techcombank.com/thong-tin/blog/the-tin-dung-het-han" TargetMode="External"/><Relationship Id="rId2734" Type="http://schemas.openxmlformats.org/officeDocument/2006/relationships/hyperlink" Target="https://techcombank.com/thong-tin/blog/co-nen-vay-ngan-hang-mua-nha" TargetMode="External"/><Relationship Id="rId1404" Type="http://schemas.openxmlformats.org/officeDocument/2006/relationships/hyperlink" Target="https://techcombank.com/thong-tin/blog/cach-huy-the-tin-dung" TargetMode="External"/><Relationship Id="rId2735" Type="http://schemas.openxmlformats.org/officeDocument/2006/relationships/hyperlink" Target="https://techcombank.com/thong-tin/blog/ho-so-vay-tin-chap" TargetMode="External"/><Relationship Id="rId1405" Type="http://schemas.openxmlformats.org/officeDocument/2006/relationships/hyperlink" Target="https://techcombank.com/thong-tin/blog/co-nen-dung-the-tin-dung-khong" TargetMode="External"/><Relationship Id="rId2736" Type="http://schemas.openxmlformats.org/officeDocument/2006/relationships/hyperlink" Target="https://techcombank.com/thong-tin/blog/thu-tuc-vay-ngan-hang-mua-nha" TargetMode="External"/><Relationship Id="rId1406" Type="http://schemas.openxmlformats.org/officeDocument/2006/relationships/hyperlink" Target="https://techcombank.com/thong-tin/blog/ma-buu-chinh-the-tin-dung" TargetMode="External"/><Relationship Id="rId2737" Type="http://schemas.openxmlformats.org/officeDocument/2006/relationships/hyperlink" Target="https://techcombank.com/thong-tin/blog/thoi-han-vay-thau-chi" TargetMode="External"/><Relationship Id="rId1407" Type="http://schemas.openxmlformats.org/officeDocument/2006/relationships/hyperlink" Target="https://techcombank.com/thong-tin/blog/the-tin-dung-quoc-te" TargetMode="External"/><Relationship Id="rId2738" Type="http://schemas.openxmlformats.org/officeDocument/2006/relationships/hyperlink" Target="https://techcombank.com/thong-tin/blog/phi-vay-the-chap" TargetMode="External"/><Relationship Id="rId1408" Type="http://schemas.openxmlformats.org/officeDocument/2006/relationships/hyperlink" Target="https://techcombank.com/thong-tin/blog/phi-rut-tien-mat-the-tin-dung" TargetMode="External"/><Relationship Id="rId2739" Type="http://schemas.openxmlformats.org/officeDocument/2006/relationships/hyperlink" Target="https://techcombank.com/thong-tin/blog/the-chap-la-gi" TargetMode="External"/><Relationship Id="rId1409" Type="http://schemas.openxmlformats.org/officeDocument/2006/relationships/hyperlink" Target="https://techcombank.com/thong-tin/blog/vay-ngan-hang-1-ty-moi-thang-tra-bao-nhieu" TargetMode="External"/><Relationship Id="rId2730" Type="http://schemas.openxmlformats.org/officeDocument/2006/relationships/hyperlink" Target="https://techcombank.com/thong-tin/blog/vay-tin-chap-khong-tra-duoc-co-sao-khong" TargetMode="External"/><Relationship Id="rId1433" Type="http://schemas.openxmlformats.org/officeDocument/2006/relationships/hyperlink" Target="https://techcombank.com/thong-tin/blog/nen-gui-tiet-kiem-6-thang-hay-1-nam" TargetMode="External"/><Relationship Id="rId2764" Type="http://schemas.openxmlformats.org/officeDocument/2006/relationships/hyperlink" Target="https://techcombank.com/thong-tin/blog/thu-tuc-vay-von-doanh-nghiep" TargetMode="External"/><Relationship Id="rId1434" Type="http://schemas.openxmlformats.org/officeDocument/2006/relationships/hyperlink" Target="https://techcombank.com/thong-tin/blog/dau-tu-ngan-han" TargetMode="External"/><Relationship Id="rId2765" Type="http://schemas.openxmlformats.org/officeDocument/2006/relationships/hyperlink" Target="https://techcombank.com/thong-tin/blog/ho-so-vay-von-cua-doanh-nghiep-gom-nhung-gi" TargetMode="External"/><Relationship Id="rId1435" Type="http://schemas.openxmlformats.org/officeDocument/2006/relationships/hyperlink" Target="https://techcombank.com/thong-tin/blog/ho-kinh-doanh-can-gi-o-tai-khoan-ngan-hang" TargetMode="External"/><Relationship Id="rId2766" Type="http://schemas.openxmlformats.org/officeDocument/2006/relationships/hyperlink" Target="https://techcombank.com/thong-tin/blog/cho-vay-tung-lan" TargetMode="External"/><Relationship Id="rId1436" Type="http://schemas.openxmlformats.org/officeDocument/2006/relationships/hyperlink" Target="https://techcombank.com/thong-tin/blog/gui-tiet-kiem-tich-luy-la-gi" TargetMode="External"/><Relationship Id="rId2767" Type="http://schemas.openxmlformats.org/officeDocument/2006/relationships/hyperlink" Target="https://techcombank.com/thong-tin/blog/tin-dung-tieu-dung" TargetMode="External"/><Relationship Id="rId1437" Type="http://schemas.openxmlformats.org/officeDocument/2006/relationships/hyperlink" Target="https://techcombank.com/thong-tin/blog/gui-tiet-kiem-lay-lai-hang-thang" TargetMode="External"/><Relationship Id="rId2768" Type="http://schemas.openxmlformats.org/officeDocument/2006/relationships/hyperlink" Target="https://techcombank.com/thong-tin/blog/tin-dung-doanh-nghiep" TargetMode="External"/><Relationship Id="rId1438" Type="http://schemas.openxmlformats.org/officeDocument/2006/relationships/hyperlink" Target="https://techcombank.com/thong-tin/blog/rui-ro-khi-gui-tiet-kiem-online" TargetMode="External"/><Relationship Id="rId2769" Type="http://schemas.openxmlformats.org/officeDocument/2006/relationships/hyperlink" Target="https://techcombank.com/thong-tin/blog/cho-vay-hop-von-la-gi" TargetMode="External"/><Relationship Id="rId1439" Type="http://schemas.openxmlformats.org/officeDocument/2006/relationships/hyperlink" Target="https://techcombank.com/thong-tin/blog/tat-toan-chung-chi-tien-gui" TargetMode="External"/><Relationship Id="rId609" Type="http://schemas.openxmlformats.org/officeDocument/2006/relationships/hyperlink" Target="https://techcombank.com/thong-tin/blog/remittance-la-gi" TargetMode="External"/><Relationship Id="rId608" Type="http://schemas.openxmlformats.org/officeDocument/2006/relationships/hyperlink" Target="https://techcombank.com/thong-tin/blog/luu-y-khi-chuyen-tien-vao-tai-khoan-cong-ty" TargetMode="External"/><Relationship Id="rId607" Type="http://schemas.openxmlformats.org/officeDocument/2006/relationships/hyperlink" Target="https://techcombank.com/thong-tin/blog/ma-qr-ngan-hang-khong-hop-le" TargetMode="External"/><Relationship Id="rId602" Type="http://schemas.openxmlformats.org/officeDocument/2006/relationships/hyperlink" Target="https://techcombank.com/thong-tin/blog/chuyen-khoan-lien-ngan-hang" TargetMode="External"/><Relationship Id="rId601" Type="http://schemas.openxmlformats.org/officeDocument/2006/relationships/hyperlink" Target="https://techcombank.com/thong-tin/blog/cach-chuyen-tien" TargetMode="External"/><Relationship Id="rId600" Type="http://schemas.openxmlformats.org/officeDocument/2006/relationships/hyperlink" Target="https://techcombank.com/thong-tin/blog/ty-gia-la-gi" TargetMode="External"/><Relationship Id="rId606" Type="http://schemas.openxmlformats.org/officeDocument/2006/relationships/hyperlink" Target="https://techcombank.com/thong-tin/blog/loa-thong-bao-chuyen-khoan" TargetMode="External"/><Relationship Id="rId605" Type="http://schemas.openxmlformats.org/officeDocument/2006/relationships/hyperlink" Target="https://techcombank.com/thong-tin/blog/ngan-hang-thu-huong-la-gi" TargetMode="External"/><Relationship Id="rId604" Type="http://schemas.openxmlformats.org/officeDocument/2006/relationships/hyperlink" Target="https://techcombank.com/thong-tin/blog/chuyen-nham-tien-co-lay-lai-duoc-khong" TargetMode="External"/><Relationship Id="rId603" Type="http://schemas.openxmlformats.org/officeDocument/2006/relationships/hyperlink" Target="https://techcombank.com/thong-tin/blog/ma-giao-dich-la-gi" TargetMode="External"/><Relationship Id="rId2760" Type="http://schemas.openxmlformats.org/officeDocument/2006/relationships/hyperlink" Target="https://techcombank.com/thong-tin/blog/tien-gui-co-ky-han" TargetMode="External"/><Relationship Id="rId1430" Type="http://schemas.openxmlformats.org/officeDocument/2006/relationships/hyperlink" Target="https://techcombank.com/thong-tin/blog/cach-gui-tiet-kiem-online" TargetMode="External"/><Relationship Id="rId2761" Type="http://schemas.openxmlformats.org/officeDocument/2006/relationships/hyperlink" Target="https://techcombank.com/thong-tin/blog/vay-the-chap-khong-tra-duoc" TargetMode="External"/><Relationship Id="rId1431" Type="http://schemas.openxmlformats.org/officeDocument/2006/relationships/hyperlink" Target="https://techcombank.com/thong-tin/blog/gui-tien-ngan-hang-co-an-toan-khong" TargetMode="External"/><Relationship Id="rId2762" Type="http://schemas.openxmlformats.org/officeDocument/2006/relationships/hyperlink" Target="https://techcombank.com/thong-tin/blog/vay-the-chap-qua-luong" TargetMode="External"/><Relationship Id="rId1432" Type="http://schemas.openxmlformats.org/officeDocument/2006/relationships/hyperlink" Target="https://techcombank.com/thong-tin/blog/dau-tu-trai-phieu-doanh-nghiep-dung-ham-lai-suat-cao" TargetMode="External"/><Relationship Id="rId2763" Type="http://schemas.openxmlformats.org/officeDocument/2006/relationships/hyperlink" Target="https://techcombank.com/thong-tin/blog/bao-lanh-vay-von" TargetMode="External"/><Relationship Id="rId1422" Type="http://schemas.openxmlformats.org/officeDocument/2006/relationships/hyperlink" Target="https://techcombank.com/thong-tin/blog/chung-chi-tien-gui-co-duoc-bao-hiem-khong" TargetMode="External"/><Relationship Id="rId2753" Type="http://schemas.openxmlformats.org/officeDocument/2006/relationships/hyperlink" Target="https://techcombank.com/thong-tin/blog/cho-vay-tieu-dung-la-gi" TargetMode="External"/><Relationship Id="rId1423" Type="http://schemas.openxmlformats.org/officeDocument/2006/relationships/hyperlink" Target="https://techcombank.com/thong-tin/blog/nen-de-tien-trong-the-hay-gui-tiet-kiem" TargetMode="External"/><Relationship Id="rId2754" Type="http://schemas.openxmlformats.org/officeDocument/2006/relationships/hyperlink" Target="https://techcombank.com/thong-tin/blog/cic-la-gi" TargetMode="External"/><Relationship Id="rId1424" Type="http://schemas.openxmlformats.org/officeDocument/2006/relationships/hyperlink" Target="https://techcombank.com/thong-tin/blog/quan-ly-tai-chinh-cho-dan-van-phong" TargetMode="External"/><Relationship Id="rId2755" Type="http://schemas.openxmlformats.org/officeDocument/2006/relationships/hyperlink" Target="https://techcombank.com/thong-tin/blog/dieu-kien-vay-the-chap" TargetMode="External"/><Relationship Id="rId1425" Type="http://schemas.openxmlformats.org/officeDocument/2006/relationships/hyperlink" Target="https://techcombank.com/thong-tin/blog/co-nen-gui-tiet-kiem-ngan-hang" TargetMode="External"/><Relationship Id="rId2756" Type="http://schemas.openxmlformats.org/officeDocument/2006/relationships/hyperlink" Target="https://techcombank.com/thong-tin/blog/app-vay-tien-nhanh" TargetMode="External"/><Relationship Id="rId1426" Type="http://schemas.openxmlformats.org/officeDocument/2006/relationships/hyperlink" Target="https://techcombank.com/thong-tin/blog/lai-suat-tiet-kiem" TargetMode="External"/><Relationship Id="rId2757" Type="http://schemas.openxmlformats.org/officeDocument/2006/relationships/hyperlink" Target="https://techcombank.com/thong-tin/blog/lai-suat-the-tin-dung" TargetMode="External"/><Relationship Id="rId1427" Type="http://schemas.openxmlformats.org/officeDocument/2006/relationships/hyperlink" Target="https://techcombank.com/thong-tin/blog/chung-chi-quy-va-chung-khoan" TargetMode="External"/><Relationship Id="rId2758" Type="http://schemas.openxmlformats.org/officeDocument/2006/relationships/hyperlink" Target="https://techcombank.com/thong-tin/blog/cach-tinh-lai-suat-tien-gui-tiet-kiem" TargetMode="External"/><Relationship Id="rId1428" Type="http://schemas.openxmlformats.org/officeDocument/2006/relationships/hyperlink" Target="https://techcombank.com/thong-tin/blog/co-nen-gui-tiet-kiem-online" TargetMode="External"/><Relationship Id="rId2759" Type="http://schemas.openxmlformats.org/officeDocument/2006/relationships/hyperlink" Target="https://techcombank.com/thong-tin/blog/gui-tiet-kiem-hang-thang" TargetMode="External"/><Relationship Id="rId1429" Type="http://schemas.openxmlformats.org/officeDocument/2006/relationships/hyperlink" Target="https://techcombank.com/thong-tin/blog/gui-tiet-kiem-ngan-hang-van-la-lua-chon-an-toan-trong-thoi-ky-kinh-te-con-nhieu-bien-dong" TargetMode="External"/><Relationship Id="rId2750" Type="http://schemas.openxmlformats.org/officeDocument/2006/relationships/hyperlink" Target="https://techcombank.com/thong-tin/blog/vay-tin-chap-ho-kinh-doanh" TargetMode="External"/><Relationship Id="rId1420" Type="http://schemas.openxmlformats.org/officeDocument/2006/relationships/hyperlink" Target="https://techcombank.com/thong-tin/blog/nen-gui-tiet-kiem-thong-thuong-hay-tich-luy" TargetMode="External"/><Relationship Id="rId2751" Type="http://schemas.openxmlformats.org/officeDocument/2006/relationships/hyperlink" Target="https://techcombank.com/thong-tin/blog/no-chu-y-la-gi" TargetMode="External"/><Relationship Id="rId1421" Type="http://schemas.openxmlformats.org/officeDocument/2006/relationships/hyperlink" Target="https://techcombank.com/thong-tin/blog/tai-sao-gui-tiet-kiem-online-lai-suat-cao-hon" TargetMode="External"/><Relationship Id="rId2752" Type="http://schemas.openxmlformats.org/officeDocument/2006/relationships/hyperlink" Target="https://techcombank.com/thong-tin/blog/no-xau-la-gi" TargetMode="External"/><Relationship Id="rId3238" Type="http://schemas.openxmlformats.org/officeDocument/2006/relationships/hyperlink" Target="https://techcombank.com/thong-tin/blog/no-xau-nhom-2" TargetMode="External"/><Relationship Id="rId3237" Type="http://schemas.openxmlformats.org/officeDocument/2006/relationships/hyperlink" Target="https://techcombank.com/thong-tin/blog/no-xau-co-vay-the-chap-duoc-khong" TargetMode="External"/><Relationship Id="rId3239" Type="http://schemas.openxmlformats.org/officeDocument/2006/relationships/hyperlink" Target="https://techcombank.com/thong-tin/blog/no-chu-y-la-gi" TargetMode="External"/><Relationship Id="rId3230" Type="http://schemas.openxmlformats.org/officeDocument/2006/relationships/hyperlink" Target="https://techcombank.com/thong-tin/blog/vay-tien-mat" TargetMode="External"/><Relationship Id="rId3232" Type="http://schemas.openxmlformats.org/officeDocument/2006/relationships/hyperlink" Target="https://techcombank.com/thong-tin/blog/vay-mua-dien-thoai" TargetMode="External"/><Relationship Id="rId3231" Type="http://schemas.openxmlformats.org/officeDocument/2006/relationships/hyperlink" Target="https://techcombank.com/thong-tin/blog/no-xau-nhom-2" TargetMode="External"/><Relationship Id="rId3234" Type="http://schemas.openxmlformats.org/officeDocument/2006/relationships/hyperlink" Target="https://techcombank.com/thong-tin/blog/no-xau-co-lam-the-visa-duoc-khong" TargetMode="External"/><Relationship Id="rId3233" Type="http://schemas.openxmlformats.org/officeDocument/2006/relationships/hyperlink" Target="https://techcombank.com/thong-tin/blog/vay-ngan-han" TargetMode="External"/><Relationship Id="rId3236" Type="http://schemas.openxmlformats.org/officeDocument/2006/relationships/hyperlink" Target="https://techcombank.com/thong-tin/blog/vay-tin-chap-no-xau" TargetMode="External"/><Relationship Id="rId3235" Type="http://schemas.openxmlformats.org/officeDocument/2006/relationships/hyperlink" Target="https://techcombank.com/thong-tin/blog/no-xau-mo-the-tin-dung-duoc-khong" TargetMode="External"/><Relationship Id="rId3227" Type="http://schemas.openxmlformats.org/officeDocument/2006/relationships/hyperlink" Target="https://techcombank.com/thong-tin/blog/cac-hinh-thuc-cho-vay-tieu-dung" TargetMode="External"/><Relationship Id="rId3226" Type="http://schemas.openxmlformats.org/officeDocument/2006/relationships/hyperlink" Target="https://techcombank.com/thong-tin/blog/vay-tin-chap-theo-luong" TargetMode="External"/><Relationship Id="rId3229" Type="http://schemas.openxmlformats.org/officeDocument/2006/relationships/hyperlink" Target="https://techcombank.com/thong-tin/blog/vay-mua-nha-tra-gop" TargetMode="External"/><Relationship Id="rId3228" Type="http://schemas.openxmlformats.org/officeDocument/2006/relationships/hyperlink" Target="https://techcombank.com/thong-tin/blog/kinh-nghiem-vay-tien-mua-nha" TargetMode="External"/><Relationship Id="rId699" Type="http://schemas.openxmlformats.org/officeDocument/2006/relationships/hyperlink" Target="https://techcombank.com/thong-tin/blog/rut-tien-bang-ma-qr-khac-ngan-hang-duoc-khong" TargetMode="External"/><Relationship Id="rId698" Type="http://schemas.openxmlformats.org/officeDocument/2006/relationships/hyperlink" Target="https://techcombank.com/thong-tin/blog/lam-the-atm-co-mat-phi-khong" TargetMode="External"/><Relationship Id="rId693" Type="http://schemas.openxmlformats.org/officeDocument/2006/relationships/hyperlink" Target="https://techcombank.com/thong-tin/blog/tai-khoan-ngan-hang-con-0-dong-co-sao-khong" TargetMode="External"/><Relationship Id="rId692" Type="http://schemas.openxmlformats.org/officeDocument/2006/relationships/hyperlink" Target="https://techcombank.com/thong-tin/blog/cach-nap-tien-vao-the-ghi-no" TargetMode="External"/><Relationship Id="rId691" Type="http://schemas.openxmlformats.org/officeDocument/2006/relationships/hyperlink" Target="https://techcombank.com/thong-tin/blog/cdm" TargetMode="External"/><Relationship Id="rId3221" Type="http://schemas.openxmlformats.org/officeDocument/2006/relationships/hyperlink" Target="https://techcombank.com/thong-tin/blog/vay-mua-xe-tra-gop-ngan-hang-nao-tot-nhat" TargetMode="External"/><Relationship Id="rId690" Type="http://schemas.openxmlformats.org/officeDocument/2006/relationships/hyperlink" Target="https://techcombank.com/thong-tin/blog/nap-tien-vao-tai-khoan-ngan-hang" TargetMode="External"/><Relationship Id="rId3220" Type="http://schemas.openxmlformats.org/officeDocument/2006/relationships/hyperlink" Target="https://techcombank.com/thong-tin/blog/lai-suat-vay-the-chap" TargetMode="External"/><Relationship Id="rId697" Type="http://schemas.openxmlformats.org/officeDocument/2006/relationships/hyperlink" Target="https://techcombank.com/thong-tin/blog/cach-su-dung-tai-khoan-cong-ty" TargetMode="External"/><Relationship Id="rId3223" Type="http://schemas.openxmlformats.org/officeDocument/2006/relationships/hyperlink" Target="https://techcombank.com/thong-tin/blog/vay-the-chap-hop-dong-mua-ban-can-ho" TargetMode="External"/><Relationship Id="rId696" Type="http://schemas.openxmlformats.org/officeDocument/2006/relationships/hyperlink" Target="https://techcombank.com/thong-tin/blog/mm-yy-la-gi" TargetMode="External"/><Relationship Id="rId3222" Type="http://schemas.openxmlformats.org/officeDocument/2006/relationships/hyperlink" Target="https://techcombank.com/thong-tin/blog/vay-100-trieu" TargetMode="External"/><Relationship Id="rId695" Type="http://schemas.openxmlformats.org/officeDocument/2006/relationships/hyperlink" Target="https://techcombank.com/thong-tin/blog/cay-atm-gan-day" TargetMode="External"/><Relationship Id="rId3225" Type="http://schemas.openxmlformats.org/officeDocument/2006/relationships/hyperlink" Target="https://techcombank.com/thong-tin/blog/kinh-nghiem-vay-tien-ngan-hang-xay-nha" TargetMode="External"/><Relationship Id="rId694" Type="http://schemas.openxmlformats.org/officeDocument/2006/relationships/hyperlink" Target="https://techcombank.com/thong-tin/blog/nop-tien-mat-vao-tai-khoan-cong-ty" TargetMode="External"/><Relationship Id="rId3224" Type="http://schemas.openxmlformats.org/officeDocument/2006/relationships/hyperlink" Target="https://techcombank.com/thong-tin/blog/giai-ngan-vay-the-chap" TargetMode="External"/><Relationship Id="rId3259" Type="http://schemas.openxmlformats.org/officeDocument/2006/relationships/hyperlink" Target="https://techcombank.com/thong-tin/blog/lam-ho-so-tra-gop-dien-thoai" TargetMode="External"/><Relationship Id="rId3250" Type="http://schemas.openxmlformats.org/officeDocument/2006/relationships/hyperlink" Target="https://techcombank.com/thong-tin/blog/han-muc-thau-chi-la-gi" TargetMode="External"/><Relationship Id="rId3252" Type="http://schemas.openxmlformats.org/officeDocument/2006/relationships/hyperlink" Target="https://techcombank.com/thong-tin/blog/du-no-tin-dung-la-gi" TargetMode="External"/><Relationship Id="rId3251" Type="http://schemas.openxmlformats.org/officeDocument/2006/relationships/hyperlink" Target="https://techcombank.com/thong-tin/blog/vay-tin-chap-theo-luong" TargetMode="External"/><Relationship Id="rId3254" Type="http://schemas.openxmlformats.org/officeDocument/2006/relationships/hyperlink" Target="https://techcombank.com/thong-tin/blog/nen-mua-xe-tra-gop-hay-tra-thang" TargetMode="External"/><Relationship Id="rId3253" Type="http://schemas.openxmlformats.org/officeDocument/2006/relationships/hyperlink" Target="https://techcombank.com/thong-tin/blog/han-muc-vay-the-chap-so-do" TargetMode="External"/><Relationship Id="rId3256" Type="http://schemas.openxmlformats.org/officeDocument/2006/relationships/hyperlink" Target="https://techcombank.com/thong-tin/blog/thanh-toan-khoan-vay" TargetMode="External"/><Relationship Id="rId3255" Type="http://schemas.openxmlformats.org/officeDocument/2006/relationships/hyperlink" Target="https://techcombank.com/thong-tin/blog/han-muc-tra-gop-the-tin-dung" TargetMode="External"/><Relationship Id="rId3258" Type="http://schemas.openxmlformats.org/officeDocument/2006/relationships/hyperlink" Target="https://techcombank.com/thong-tin/blog/tra-gop-lazada" TargetMode="External"/><Relationship Id="rId3257" Type="http://schemas.openxmlformats.org/officeDocument/2006/relationships/hyperlink" Target="https://techcombank.com/thong-tin/blog/dieu-kien-vay-the-chap" TargetMode="External"/><Relationship Id="rId3249" Type="http://schemas.openxmlformats.org/officeDocument/2006/relationships/hyperlink" Target="https://techcombank.com/thong-tin/blog/lich-su-tin-dung" TargetMode="External"/><Relationship Id="rId3248" Type="http://schemas.openxmlformats.org/officeDocument/2006/relationships/hyperlink" Target="https://techcombank.com/thong-tin/blog/no-the-tin-dung-qua-han" TargetMode="External"/><Relationship Id="rId3241" Type="http://schemas.openxmlformats.org/officeDocument/2006/relationships/hyperlink" Target="https://techcombank.com/thong-tin/blog/no-xau" TargetMode="External"/><Relationship Id="rId3240" Type="http://schemas.openxmlformats.org/officeDocument/2006/relationships/hyperlink" Target="https://techcombank.com/thong-tin/blog/diem-tin-dung" TargetMode="External"/><Relationship Id="rId3243" Type="http://schemas.openxmlformats.org/officeDocument/2006/relationships/hyperlink" Target="https://techcombank.com/thong-tin/blog/thanh-toan-toi-thieu-the-tin-dung" TargetMode="External"/><Relationship Id="rId3242" Type="http://schemas.openxmlformats.org/officeDocument/2006/relationships/hyperlink" Target="https://techcombank.com/thong-tin/blog/no-xau-la-gi" TargetMode="External"/><Relationship Id="rId3245" Type="http://schemas.openxmlformats.org/officeDocument/2006/relationships/hyperlink" Target="https://techcombank.com/thong-tin/blog/no-nhom-3" TargetMode="External"/><Relationship Id="rId3244" Type="http://schemas.openxmlformats.org/officeDocument/2006/relationships/hyperlink" Target="https://techcombank.com/thong-tin/blog/spaylater" TargetMode="External"/><Relationship Id="rId3247" Type="http://schemas.openxmlformats.org/officeDocument/2006/relationships/hyperlink" Target="https://techcombank.com/thong-tin/blog/the-tin-dung-bi-khoa" TargetMode="External"/><Relationship Id="rId3246" Type="http://schemas.openxmlformats.org/officeDocument/2006/relationships/hyperlink" Target="https://techcombank.com/thong-tin/blog/cic-la-gi" TargetMode="External"/><Relationship Id="rId1499" Type="http://schemas.openxmlformats.org/officeDocument/2006/relationships/hyperlink" Target="https://techcombank.com/thong-tin/blog/gui-tien-du-hoc" TargetMode="External"/><Relationship Id="rId668" Type="http://schemas.openxmlformats.org/officeDocument/2006/relationships/hyperlink" Target="https://techcombank.com/thong-tin/blog/cho-vay-kinh-doanh-ho-gia-dinh" TargetMode="External"/><Relationship Id="rId667" Type="http://schemas.openxmlformats.org/officeDocument/2006/relationships/hyperlink" Target="https://techcombank.com/thong-tin/blog/the-he-ke-can" TargetMode="External"/><Relationship Id="rId666" Type="http://schemas.openxmlformats.org/officeDocument/2006/relationships/hyperlink" Target="https://techcombank.com/thong-tin/blog/tap-doan-thanh-quang-khoi-sac-kinh-doanh-nho-nguon-von-vay-tin-dung-techcombank-tren-nen-tang-misa-lending" TargetMode="External"/><Relationship Id="rId665" Type="http://schemas.openxmlformats.org/officeDocument/2006/relationships/hyperlink" Target="https://techcombank.com/thong-tin/blog/dao-tao-the-he-ke-can" TargetMode="External"/><Relationship Id="rId669" Type="http://schemas.openxmlformats.org/officeDocument/2006/relationships/hyperlink" Target="https://techcombank.com/thong-tin/blog/cach-tiet-kiem-tien-hieu-qua-cho-gia-dinh" TargetMode="External"/><Relationship Id="rId1490" Type="http://schemas.openxmlformats.org/officeDocument/2006/relationships/hyperlink" Target="https://techcombank.com/thong-tin/blog/ty-gia-la-gi" TargetMode="External"/><Relationship Id="rId660" Type="http://schemas.openxmlformats.org/officeDocument/2006/relationships/hyperlink" Target="https://techcombank.com/thong-tin/blog/tai-khoan-ngan-hang-con-0-dong-co-sao-khong" TargetMode="External"/><Relationship Id="rId1491" Type="http://schemas.openxmlformats.org/officeDocument/2006/relationships/hyperlink" Target="https://techcombank.com/thong-tin/blog/1-dong-do-la-my-bang-bao-nhieu-tien-viet-nam" TargetMode="External"/><Relationship Id="rId1492" Type="http://schemas.openxmlformats.org/officeDocument/2006/relationships/hyperlink" Target="https://techcombank.com/thong-tin/blog/doi-tien-do-o-dau" TargetMode="External"/><Relationship Id="rId1493" Type="http://schemas.openxmlformats.org/officeDocument/2006/relationships/hyperlink" Target="https://techcombank.com/thong-tin/blog/tien-singapore" TargetMode="External"/><Relationship Id="rId1494" Type="http://schemas.openxmlformats.org/officeDocument/2006/relationships/hyperlink" Target="https://techcombank.com/thong-tin/blog/1000-yen-bang-bao-nhieu-tien-viet" TargetMode="External"/><Relationship Id="rId664" Type="http://schemas.openxmlformats.org/officeDocument/2006/relationships/hyperlink" Target="https://techcombank.com/thong-tin/blog/quy-gia-dinh" TargetMode="External"/><Relationship Id="rId1495" Type="http://schemas.openxmlformats.org/officeDocument/2006/relationships/hyperlink" Target="https://techcombank.com/thong-tin/blog/100-riel-bang-bao-nhieu-tien-viet-nam" TargetMode="External"/><Relationship Id="rId663" Type="http://schemas.openxmlformats.org/officeDocument/2006/relationships/hyperlink" Target="https://techcombank.com/thong-tin/blog/mo-tai-khoan-ngan-hang-bang-so-dien-thoai" TargetMode="External"/><Relationship Id="rId1496" Type="http://schemas.openxmlformats.org/officeDocument/2006/relationships/hyperlink" Target="https://techcombank.com/thong-tin/blog/tien-indonesia" TargetMode="External"/><Relationship Id="rId662" Type="http://schemas.openxmlformats.org/officeDocument/2006/relationships/hyperlink" Target="https://techcombank.com/thong-tin/blog/mo-tai-khoan-tiet-kiem-cho-con" TargetMode="External"/><Relationship Id="rId1497" Type="http://schemas.openxmlformats.org/officeDocument/2006/relationships/hyperlink" Target="https://techcombank.com/thong-tin/blog/1-won-bang-bao-nhieu-tien-viet" TargetMode="External"/><Relationship Id="rId661" Type="http://schemas.openxmlformats.org/officeDocument/2006/relationships/hyperlink" Target="https://techcombank.com/thong-tin/blog/the-debit-cho-con" TargetMode="External"/><Relationship Id="rId1498" Type="http://schemas.openxmlformats.org/officeDocument/2006/relationships/hyperlink" Target="https://techcombank.com/thong-tin/blog/1-do-uc-bang-bao-nhieu-tien-viet" TargetMode="External"/><Relationship Id="rId1488" Type="http://schemas.openxmlformats.org/officeDocument/2006/relationships/hyperlink" Target="https://techcombank.com/thong-tin/blog/tien-dai-loan" TargetMode="External"/><Relationship Id="rId1489" Type="http://schemas.openxmlformats.org/officeDocument/2006/relationships/hyperlink" Target="https://techcombank.com/thong-tin/blog/ty-gia-cac-ngan-hang" TargetMode="External"/><Relationship Id="rId657" Type="http://schemas.openxmlformats.org/officeDocument/2006/relationships/hyperlink" Target="https://techcombank.com/thong-tin/blog/dieu-kien-vay-the-chap" TargetMode="External"/><Relationship Id="rId656" Type="http://schemas.openxmlformats.org/officeDocument/2006/relationships/hyperlink" Target="https://techcombank.com/thong-tin/blog/lam-the-thanh-toan-quoc-te" TargetMode="External"/><Relationship Id="rId655" Type="http://schemas.openxmlformats.org/officeDocument/2006/relationships/hyperlink" Target="https://techcombank.com/thong-tin/blog/the-debit-cho-con" TargetMode="External"/><Relationship Id="rId654" Type="http://schemas.openxmlformats.org/officeDocument/2006/relationships/hyperlink" Target="https://techcombank.com/thong-tin/blog/lam-the-tin-dung-co-mat-phi-khong" TargetMode="External"/><Relationship Id="rId659" Type="http://schemas.openxmlformats.org/officeDocument/2006/relationships/hyperlink" Target="https://techcombank.com/thong-tin/blog/cach-chuyen-tien" TargetMode="External"/><Relationship Id="rId658" Type="http://schemas.openxmlformats.org/officeDocument/2006/relationships/hyperlink" Target="https://techcombank.com/thong-tin/blog/thanh-toan-hoc-phi-online" TargetMode="External"/><Relationship Id="rId1480" Type="http://schemas.openxmlformats.org/officeDocument/2006/relationships/hyperlink" Target="https://techcombank.com/thong-tin/blog/di-du-lich-nuoc-ngoai-can-chuan-bi-gi" TargetMode="External"/><Relationship Id="rId1481" Type="http://schemas.openxmlformats.org/officeDocument/2006/relationships/hyperlink" Target="https://techcombank.com/thong-tin/blog/quy-dinh-ve-mua-ban-ngoai-te-cua-doanh-nghiep" TargetMode="External"/><Relationship Id="rId1482" Type="http://schemas.openxmlformats.org/officeDocument/2006/relationships/hyperlink" Target="https://techcombank.com/thong-tin/blog/chuyen-tien-tu-duc-ve-viet-nam" TargetMode="External"/><Relationship Id="rId1483" Type="http://schemas.openxmlformats.org/officeDocument/2006/relationships/hyperlink" Target="https://techcombank.com/thong-tin/blog/cach-nhan-tien-tu-nuoc-ngoai-ve-viet-nam" TargetMode="External"/><Relationship Id="rId653" Type="http://schemas.openxmlformats.org/officeDocument/2006/relationships/hyperlink" Target="https://techcombank.com/thong-tin/blog/lam-the-visa-online" TargetMode="External"/><Relationship Id="rId1484" Type="http://schemas.openxmlformats.org/officeDocument/2006/relationships/hyperlink" Target="https://techcombank.com/thong-tin/blog/ngoai-hoi-la-gi" TargetMode="External"/><Relationship Id="rId652" Type="http://schemas.openxmlformats.org/officeDocument/2006/relationships/hyperlink" Target="https://techcombank.com/thong-tin/blog/the-mastercard-la-gi" TargetMode="External"/><Relationship Id="rId1485" Type="http://schemas.openxmlformats.org/officeDocument/2006/relationships/hyperlink" Target="https://techcombank.com/thong-tin/blog/phi-chuyen-doi-ngoai-te" TargetMode="External"/><Relationship Id="rId651" Type="http://schemas.openxmlformats.org/officeDocument/2006/relationships/hyperlink" Target="https://techcombank.com/thong-tin/blog/vay-sinh-vien" TargetMode="External"/><Relationship Id="rId1486" Type="http://schemas.openxmlformats.org/officeDocument/2006/relationships/hyperlink" Target="https://techcombank.com/thong-tin/blog/chuyen-tien-tu-nhat-ve-viet-nam" TargetMode="External"/><Relationship Id="rId650" Type="http://schemas.openxmlformats.org/officeDocument/2006/relationships/hyperlink" Target="https://techcombank.com/thong-tin/blog/shopeepay-la-gi" TargetMode="External"/><Relationship Id="rId1487" Type="http://schemas.openxmlformats.org/officeDocument/2006/relationships/hyperlink" Target="https://techcombank.com/thong-tin/blog/1000-won-bang-bao-nhieu-tien-viet" TargetMode="External"/><Relationship Id="rId3216" Type="http://schemas.openxmlformats.org/officeDocument/2006/relationships/hyperlink" Target="https://techcombank.com/thong-tin/blog/nen-vay-tin-chap-o-dau" TargetMode="External"/><Relationship Id="rId3215" Type="http://schemas.openxmlformats.org/officeDocument/2006/relationships/hyperlink" Target="https://techcombank.com/thong-tin/blog/vay-300-trieu" TargetMode="External"/><Relationship Id="rId3218" Type="http://schemas.openxmlformats.org/officeDocument/2006/relationships/hyperlink" Target="https://techcombank.com/thong-tin/blog/quy-trinh-tat-toan-khoan-vay-the-chap" TargetMode="External"/><Relationship Id="rId3217" Type="http://schemas.openxmlformats.org/officeDocument/2006/relationships/hyperlink" Target="https://techcombank.com/thong-tin/blog/kiem-tra-no-xau" TargetMode="External"/><Relationship Id="rId3219" Type="http://schemas.openxmlformats.org/officeDocument/2006/relationships/hyperlink" Target="https://techcombank.com/thong-tin/blog/thu-tuc-mua-xe-tra-gop" TargetMode="External"/><Relationship Id="rId689" Type="http://schemas.openxmlformats.org/officeDocument/2006/relationships/hyperlink" Target="https://techcombank.com/thong-tin/blog/cach-chuyen-tien-qua-ma-qr-techcombank" TargetMode="External"/><Relationship Id="rId688" Type="http://schemas.openxmlformats.org/officeDocument/2006/relationships/hyperlink" Target="https://techcombank.com/thong-tin/blog/ngan-hang-thu-huong-la-gi" TargetMode="External"/><Relationship Id="rId687" Type="http://schemas.openxmlformats.org/officeDocument/2006/relationships/hyperlink" Target="https://techcombank.com/thong-tin/blog/mobile-banking-la-gi" TargetMode="External"/><Relationship Id="rId682" Type="http://schemas.openxmlformats.org/officeDocument/2006/relationships/hyperlink" Target="https://techcombank.com/thong-tin/blog/so-tai-khoan-dep" TargetMode="External"/><Relationship Id="rId681" Type="http://schemas.openxmlformats.org/officeDocument/2006/relationships/hyperlink" Target="https://techcombank.com/thong-tin/blog/tai-khoan-ngan-hang-con-0-dong-co-sao-khong" TargetMode="External"/><Relationship Id="rId680" Type="http://schemas.openxmlformats.org/officeDocument/2006/relationships/hyperlink" Target="https://techcombank.com/thong-tin/blog/8868" TargetMode="External"/><Relationship Id="rId3210" Type="http://schemas.openxmlformats.org/officeDocument/2006/relationships/hyperlink" Target="https://techcombank.com/thong-tin/blog/mua-nha-tra-gop-dua-truoc-100-trieu" TargetMode="External"/><Relationship Id="rId686" Type="http://schemas.openxmlformats.org/officeDocument/2006/relationships/hyperlink" Target="https://techcombank.com/thong-tin/blog/vay-sinh-vien" TargetMode="External"/><Relationship Id="rId3212" Type="http://schemas.openxmlformats.org/officeDocument/2006/relationships/hyperlink" Target="https://techcombank.com/thong-tin/blog/vay-30-trieu" TargetMode="External"/><Relationship Id="rId685" Type="http://schemas.openxmlformats.org/officeDocument/2006/relationships/hyperlink" Target="https://techcombank.com/thong-tin/blog/shopeepay-la-gi" TargetMode="External"/><Relationship Id="rId3211" Type="http://schemas.openxmlformats.org/officeDocument/2006/relationships/hyperlink" Target="https://techcombank.com/thong-tin/blog/vay-tra-gop" TargetMode="External"/><Relationship Id="rId684" Type="http://schemas.openxmlformats.org/officeDocument/2006/relationships/hyperlink" Target="https://techcombank.com/thong-tin/blog/cach-chuyen-khoan-bang-dien-thoai" TargetMode="External"/><Relationship Id="rId3214" Type="http://schemas.openxmlformats.org/officeDocument/2006/relationships/hyperlink" Target="https://techcombank.com/thong-tin/blog/bao-hiem-vat-chat-xe-o-to" TargetMode="External"/><Relationship Id="rId683" Type="http://schemas.openxmlformats.org/officeDocument/2006/relationships/hyperlink" Target="https://techcombank.com/thong-tin/blog/the-ghi-no-co-chuyen-khoan-duoc-khong" TargetMode="External"/><Relationship Id="rId3213" Type="http://schemas.openxmlformats.org/officeDocument/2006/relationships/hyperlink" Target="https://techcombank.com/thong-tin/blog/vay-200-trieu" TargetMode="External"/><Relationship Id="rId3205" Type="http://schemas.openxmlformats.org/officeDocument/2006/relationships/hyperlink" Target="https://techcombank.com/thong-tin/blog/han-muc-vay-the-chap-so-do" TargetMode="External"/><Relationship Id="rId3204" Type="http://schemas.openxmlformats.org/officeDocument/2006/relationships/hyperlink" Target="https://techcombank.com/thong-tin/blog/vay-von-doanh-nghiep-nho" TargetMode="External"/><Relationship Id="rId3207" Type="http://schemas.openxmlformats.org/officeDocument/2006/relationships/hyperlink" Target="https://techcombank.com/thong-tin/blog/lai-suat-vay-tin-chap" TargetMode="External"/><Relationship Id="rId3206" Type="http://schemas.openxmlformats.org/officeDocument/2006/relationships/hyperlink" Target="https://techcombank.com/thong-tin/blog/vay-sinh-vien" TargetMode="External"/><Relationship Id="rId3209" Type="http://schemas.openxmlformats.org/officeDocument/2006/relationships/hyperlink" Target="https://techcombank.com/thong-tin/blog/co-100-trieu-co-mua-nen-mua-tra-gop" TargetMode="External"/><Relationship Id="rId3208" Type="http://schemas.openxmlformats.org/officeDocument/2006/relationships/hyperlink" Target="https://techcombank.com/thong-tin/blog/vay-tin-chap-va-vay-the-chap" TargetMode="External"/><Relationship Id="rId679" Type="http://schemas.openxmlformats.org/officeDocument/2006/relationships/hyperlink" Target="https://techcombank.com/thong-tin/blog/bao-nhieu-tuoi-duoc-mo-tai-khoan-ngan-hang" TargetMode="External"/><Relationship Id="rId678" Type="http://schemas.openxmlformats.org/officeDocument/2006/relationships/hyperlink" Target="https://techcombank.com/thong-tin/blog/cach-chuyen-tien" TargetMode="External"/><Relationship Id="rId677" Type="http://schemas.openxmlformats.org/officeDocument/2006/relationships/hyperlink" Target="https://techcombank.com/thong-tin/blog/sai-lam-ve-tai-chinh-ca-nhan" TargetMode="External"/><Relationship Id="rId676" Type="http://schemas.openxmlformats.org/officeDocument/2006/relationships/hyperlink" Target="https://techcombank.com/thong-tin/blog/cach-chon-so-tai-khoan-dep" TargetMode="External"/><Relationship Id="rId671" Type="http://schemas.openxmlformats.org/officeDocument/2006/relationships/hyperlink" Target="https://techcombank.com/thong-tin/blog/mo-tai-khoan-ngan-hang-cho-tre-em" TargetMode="External"/><Relationship Id="rId670" Type="http://schemas.openxmlformats.org/officeDocument/2006/relationships/hyperlink" Target="https://techcombank.com/thong-tin/blog/bao-hiem-suc-khoe-la-gi" TargetMode="External"/><Relationship Id="rId675" Type="http://schemas.openxmlformats.org/officeDocument/2006/relationships/hyperlink" Target="https://techcombank.com/thong-tin/blog/thanh-toan-hoc-phi-online" TargetMode="External"/><Relationship Id="rId3201" Type="http://schemas.openxmlformats.org/officeDocument/2006/relationships/hyperlink" Target="https://techcombank.com/thong-tin/blog/vay-tin-chap-toi-da-duoc-bao-nhieu" TargetMode="External"/><Relationship Id="rId674" Type="http://schemas.openxmlformats.org/officeDocument/2006/relationships/hyperlink" Target="https://techcombank.com/thong-tin/blog/cac-loai-hinh-bao-hiem-nhan-tho" TargetMode="External"/><Relationship Id="rId3200" Type="http://schemas.openxmlformats.org/officeDocument/2006/relationships/hyperlink" Target="https://techcombank.com/thong-tin/blog/vay-the-chap-toi-da-duoc-bao-nhieu" TargetMode="External"/><Relationship Id="rId673" Type="http://schemas.openxmlformats.org/officeDocument/2006/relationships/hyperlink" Target="https://techcombank.com/thong-tin/blog/hoc-sinh-sinh-vien-nen-lam-the-ngan-hang-nao" TargetMode="External"/><Relationship Id="rId3203" Type="http://schemas.openxmlformats.org/officeDocument/2006/relationships/hyperlink" Target="https://techcombank.com/thong-tin/blog/cho-vay-kinh-doanh-ho-gia-dinh" TargetMode="External"/><Relationship Id="rId672" Type="http://schemas.openxmlformats.org/officeDocument/2006/relationships/hyperlink" Target="https://techcombank.com/thong-tin/blog/bao-hiem-nhan-tho-la-gi" TargetMode="External"/><Relationship Id="rId3202" Type="http://schemas.openxmlformats.org/officeDocument/2006/relationships/hyperlink" Target="https://techcombank.com/thong-tin/blog/lai-suat-vay-mua-o-to" TargetMode="External"/><Relationship Id="rId190" Type="http://schemas.openxmlformats.org/officeDocument/2006/relationships/hyperlink" Target="https://techcombank.com/thong-tin/blog/thue-doanh-nghiep" TargetMode="External"/><Relationship Id="rId194" Type="http://schemas.openxmlformats.org/officeDocument/2006/relationships/hyperlink" Target="https://techcombank.com/thong-tin/blog/tra-cuu-no-thue-doanh-nghiep" TargetMode="External"/><Relationship Id="rId193" Type="http://schemas.openxmlformats.org/officeDocument/2006/relationships/hyperlink" Target="https://techcombank.com/thong-tin/blog/ke-khai-thue-doanh-nghiep" TargetMode="External"/><Relationship Id="rId192" Type="http://schemas.openxmlformats.org/officeDocument/2006/relationships/hyperlink" Target="https://techcombank.com/thong-tin/blog/thi-truong-trai-phieu-am-tro-lai-nha-dau-tu-san-sang-cho-nhung-co-hoi-sinh-loi-moi" TargetMode="External"/><Relationship Id="rId191" Type="http://schemas.openxmlformats.org/officeDocument/2006/relationships/hyperlink" Target="https://techcombank.com/thong-tin/blog/tim-hieu-ve-chinh-sach-thue-moi" TargetMode="External"/><Relationship Id="rId187" Type="http://schemas.openxmlformats.org/officeDocument/2006/relationships/hyperlink" Target="https://techcombank.com/thong-tin/blog/giai-dap-ve-thue-doanh-nghiep" TargetMode="External"/><Relationship Id="rId186" Type="http://schemas.openxmlformats.org/officeDocument/2006/relationships/hyperlink" Target="https://techcombank.com/thong-tin/blog/cach-tinh-thue-thu-nhap-doanh-nghiep" TargetMode="External"/><Relationship Id="rId185" Type="http://schemas.openxmlformats.org/officeDocument/2006/relationships/hyperlink" Target="https://techcombank.com/thong-tin/blog/hoan-thue-doanh-nghiep" TargetMode="External"/><Relationship Id="rId184" Type="http://schemas.openxmlformats.org/officeDocument/2006/relationships/hyperlink" Target="https://techcombank.com/thong-tin/blog/loi-nhuan" TargetMode="External"/><Relationship Id="rId189" Type="http://schemas.openxmlformats.org/officeDocument/2006/relationships/hyperlink" Target="https://techcombank.com/thong-tin/blog/kiem-tra-ma-so-thue-doanh-nghiep" TargetMode="External"/><Relationship Id="rId188" Type="http://schemas.openxmlformats.org/officeDocument/2006/relationships/hyperlink" Target="https://techcombank.com/thong-tin/blog/loi-nhuan-rong" TargetMode="External"/><Relationship Id="rId183" Type="http://schemas.openxmlformats.org/officeDocument/2006/relationships/hyperlink" Target="https://techcombank.com/thong-tin/blog/doanh-nghiep-moi-thanh-lap-duoc-uu-dai-gi" TargetMode="External"/><Relationship Id="rId182" Type="http://schemas.openxmlformats.org/officeDocument/2006/relationships/hyperlink" Target="https://techcombank.com/thong-tin/blog/quyet-toan-thue-doanh-nghiep" TargetMode="External"/><Relationship Id="rId181" Type="http://schemas.openxmlformats.org/officeDocument/2006/relationships/hyperlink" Target="https://techcombank.com/thong-tin/blog/nhung-chi-phi-khong-duoc-tru-khi-tinh-thue-tndn" TargetMode="External"/><Relationship Id="rId180" Type="http://schemas.openxmlformats.org/officeDocument/2006/relationships/hyperlink" Target="https://techcombank.com/thong-tin/blog/khoi-nghiep-truoc-chinh-sach-thue-moi" TargetMode="External"/><Relationship Id="rId176" Type="http://schemas.openxmlformats.org/officeDocument/2006/relationships/hyperlink" Target="https://techcombank.com/thong-tin/blog/phat-cham-dang-ky-thue-ho-kinh-doanh" TargetMode="External"/><Relationship Id="rId175" Type="http://schemas.openxmlformats.org/officeDocument/2006/relationships/hyperlink" Target="https://techcombank.com/thong-tin/blog/doanh-nghiep-moi-thanh-lap-duoc-uu-dai-gi" TargetMode="External"/><Relationship Id="rId174" Type="http://schemas.openxmlformats.org/officeDocument/2006/relationships/hyperlink" Target="https://techcombank.com/thong-tin/blog/thue-khoan-ho-kinh-doanh-la-gi" TargetMode="External"/><Relationship Id="rId173" Type="http://schemas.openxmlformats.org/officeDocument/2006/relationships/hyperlink" Target="https://techcombank.com/thong-tin/blog/ho-so-dang-ky-thanh-lap-doanh-nghiep" TargetMode="External"/><Relationship Id="rId179" Type="http://schemas.openxmlformats.org/officeDocument/2006/relationships/hyperlink" Target="https://techcombank.com/thong-tin/blog/thue-doanh-nghiep-2025" TargetMode="External"/><Relationship Id="rId178" Type="http://schemas.openxmlformats.org/officeDocument/2006/relationships/hyperlink" Target="https://techcombank.com/thong-tin/blog/chi-phi-mo-tai-khoan-ngan-hang-cho-cong-ty" TargetMode="External"/><Relationship Id="rId177" Type="http://schemas.openxmlformats.org/officeDocument/2006/relationships/hyperlink" Target="https://techcombank.com/thong-tin/blog/thu-tuc-thanh-lap-doanh-nghiep" TargetMode="External"/><Relationship Id="rId198" Type="http://schemas.openxmlformats.org/officeDocument/2006/relationships/hyperlink" Target="https://techcombank.com/thong-tin/blog/gia-chung-chi-quy-la-gi" TargetMode="External"/><Relationship Id="rId197" Type="http://schemas.openxmlformats.org/officeDocument/2006/relationships/hyperlink" Target="https://techcombank.com/thong-tin/blog/nha-dau-tu-giao-dich-trai-phieu-truc-tuyen-tang-manh-tro-lai" TargetMode="External"/><Relationship Id="rId196" Type="http://schemas.openxmlformats.org/officeDocument/2006/relationships/hyperlink" Target="https://techcombank.com/thong-tin/blog/quan-ly-tai-chinh-doanh-nghiep-la-gi" TargetMode="External"/><Relationship Id="rId195" Type="http://schemas.openxmlformats.org/officeDocument/2006/relationships/hyperlink" Target="https://techcombank.com/thong-tin/blog/kinh-nghiem-mua-vang-tich-tru" TargetMode="External"/><Relationship Id="rId199" Type="http://schemas.openxmlformats.org/officeDocument/2006/relationships/hyperlink" Target="https://techcombank.com/thong-tin/blog/lai-suat-tiet-kiem" TargetMode="External"/><Relationship Id="rId150" Type="http://schemas.openxmlformats.org/officeDocument/2006/relationships/hyperlink" Target="https://techcombank.com/thong-tin/blog/thue-thu-nhap-ca-nhan" TargetMode="External"/><Relationship Id="rId149" Type="http://schemas.openxmlformats.org/officeDocument/2006/relationships/hyperlink" Target="https://techcombank.com/thong-tin/blog/cach-tinh-thue-thu-nhap-ca-nhan-2025" TargetMode="External"/><Relationship Id="rId148" Type="http://schemas.openxmlformats.org/officeDocument/2006/relationships/hyperlink" Target="https://techcombank.com/thong-tin/blog/tien-chuyen-vao-tai-khoan-co-bi-tinh-thue-khong" TargetMode="External"/><Relationship Id="rId3270" Type="http://schemas.openxmlformats.org/officeDocument/2006/relationships/hyperlink" Target="https://techcombank.com/thong-tin/blog/vay-tin-chap-cho-doanh-nghiep-moi-thanh-lap" TargetMode="External"/><Relationship Id="rId3272" Type="http://schemas.openxmlformats.org/officeDocument/2006/relationships/hyperlink" Target="https://techcombank.com/thong-tin/blog/cac-hinh-thuc-vay-von-ngan-hang" TargetMode="External"/><Relationship Id="rId3271" Type="http://schemas.openxmlformats.org/officeDocument/2006/relationships/hyperlink" Target="https://techcombank.com/thong-tin/blog/thu-tuc-vay-von-kinh-doanh-nho" TargetMode="External"/><Relationship Id="rId143" Type="http://schemas.openxmlformats.org/officeDocument/2006/relationships/hyperlink" Target="https://techcombank.com/thong-tin/blog/ho-kinh-doanh-dong-thue-nhu-nao" TargetMode="External"/><Relationship Id="rId3274" Type="http://schemas.openxmlformats.org/officeDocument/2006/relationships/hyperlink" Target="https://techcombank.com/thong-tin/blog/tin-chap-doanh-nghiep" TargetMode="External"/><Relationship Id="rId142" Type="http://schemas.openxmlformats.org/officeDocument/2006/relationships/hyperlink" Target="https://techcombank.com/thong-tin/blog/thue-thuong-mai-dien-tu" TargetMode="External"/><Relationship Id="rId3273" Type="http://schemas.openxmlformats.org/officeDocument/2006/relationships/hyperlink" Target="https://techcombank.com/thong-tin/blog/vay-san-xuat-kinh-doanh" TargetMode="External"/><Relationship Id="rId141" Type="http://schemas.openxmlformats.org/officeDocument/2006/relationships/hyperlink" Target="https://techcombank.com/thong-tin/blog/tra-cuu-no-thue-ca-nhan" TargetMode="External"/><Relationship Id="rId3276" Type="http://schemas.openxmlformats.org/officeDocument/2006/relationships/hyperlink" Target="https://techcombank.com/thong-tin/blog/vay-the-chap-qua-luong" TargetMode="External"/><Relationship Id="rId140" Type="http://schemas.openxmlformats.org/officeDocument/2006/relationships/hyperlink" Target="https://techcombank.com/thong-tin/blog/kiem-tra-thue-ho-kinh-doanh" TargetMode="External"/><Relationship Id="rId3275" Type="http://schemas.openxmlformats.org/officeDocument/2006/relationships/hyperlink" Target="https://techcombank.com/thong-tin/blog/cho-vay-tieu-dung-la-gi" TargetMode="External"/><Relationship Id="rId147" Type="http://schemas.openxmlformats.org/officeDocument/2006/relationships/hyperlink" Target="https://techcombank.com/thong-tin/blog/tra-cuu-no-thue-doanh-nghiep" TargetMode="External"/><Relationship Id="rId3278" Type="http://schemas.openxmlformats.org/officeDocument/2006/relationships/hyperlink" Target="https://techcombank.com/thong-tin/blog/nhu-cau-vay-tieu-dung-cua-nguoi-viet-du-kien-tang-manh-trong-thoi-gian-toi" TargetMode="External"/><Relationship Id="rId146" Type="http://schemas.openxmlformats.org/officeDocument/2006/relationships/hyperlink" Target="https://techcombank.com/thong-tin/blog/ke-khai-thue-doanh-nghiep" TargetMode="External"/><Relationship Id="rId3277" Type="http://schemas.openxmlformats.org/officeDocument/2006/relationships/hyperlink" Target="https://techcombank.com/thong-tin/blog/vay-ngan-hang-chi-can-cccd" TargetMode="External"/><Relationship Id="rId145" Type="http://schemas.openxmlformats.org/officeDocument/2006/relationships/hyperlink" Target="https://techcombank.com/thong-tin/blog/quyet-toan-thue-doanh-nghiep" TargetMode="External"/><Relationship Id="rId144" Type="http://schemas.openxmlformats.org/officeDocument/2006/relationships/hyperlink" Target="https://techcombank.com/thong-tin/blog/thue-thu-nhap-doanh-nghiep" TargetMode="External"/><Relationship Id="rId3279" Type="http://schemas.openxmlformats.org/officeDocument/2006/relationships/hyperlink" Target="https://techcombank.com/thong-tin/blog/lai-suat-vay-tieu-dung" TargetMode="External"/><Relationship Id="rId139" Type="http://schemas.openxmlformats.org/officeDocument/2006/relationships/hyperlink" Target="https://techcombank.com/thong-tin/blog/truy-thu-thue-ho-kinh-doanh" TargetMode="External"/><Relationship Id="rId138" Type="http://schemas.openxmlformats.org/officeDocument/2006/relationships/hyperlink" Target="https://techcombank.com/thong-tin/blog/tra-cuu-no-thue-ho-kinh-doanh" TargetMode="External"/><Relationship Id="rId137" Type="http://schemas.openxmlformats.org/officeDocument/2006/relationships/hyperlink" Target="https://techcombank.com/thong-tin/blog/tra-cuu-no-thue-hai-quan" TargetMode="External"/><Relationship Id="rId3261" Type="http://schemas.openxmlformats.org/officeDocument/2006/relationships/hyperlink" Target="https://techcombank.com/thong-tin/blog/vay-the-chap-khong-tra-duoc" TargetMode="External"/><Relationship Id="rId3260" Type="http://schemas.openxmlformats.org/officeDocument/2006/relationships/hyperlink" Target="https://techcombank.com/thong-tin/blog/lai-suat-vay-mua-o-to" TargetMode="External"/><Relationship Id="rId132" Type="http://schemas.openxmlformats.org/officeDocument/2006/relationships/hyperlink" Target="https://techcombank.com/thong-tin/blog/quyet-toan-thue-thu-nhap-ca-nhan" TargetMode="External"/><Relationship Id="rId3263" Type="http://schemas.openxmlformats.org/officeDocument/2006/relationships/hyperlink" Target="https://techcombank.com/thong-tin/blog/tin-chap-doanh-nghiep" TargetMode="External"/><Relationship Id="rId131" Type="http://schemas.openxmlformats.org/officeDocument/2006/relationships/hyperlink" Target="https://techcombank.com/thong-tin/blog/lien-ket-tai-khoan-ngan-hang-voi-etax-mobile" TargetMode="External"/><Relationship Id="rId3262" Type="http://schemas.openxmlformats.org/officeDocument/2006/relationships/hyperlink" Target="https://techcombank.com/thong-tin/blog/cach-tinh-lai-vay-ngan-hang" TargetMode="External"/><Relationship Id="rId130" Type="http://schemas.openxmlformats.org/officeDocument/2006/relationships/hyperlink" Target="https://techcombank.com/thong-tin/blog/bao-lanh-thuc-hien-hop-dong" TargetMode="External"/><Relationship Id="rId3265" Type="http://schemas.openxmlformats.org/officeDocument/2006/relationships/hyperlink" Target="https://techcombank.com/thong-tin/blog/ho-so-vay-tin-chap" TargetMode="External"/><Relationship Id="rId3264" Type="http://schemas.openxmlformats.org/officeDocument/2006/relationships/hyperlink" Target="https://techcombank.com/thong-tin/blog/vay-tin-chap-la-gi" TargetMode="External"/><Relationship Id="rId136" Type="http://schemas.openxmlformats.org/officeDocument/2006/relationships/hyperlink" Target="https://techcombank.com/thong-tin/blog/hoan-thue-doanh-nghiep" TargetMode="External"/><Relationship Id="rId3267" Type="http://schemas.openxmlformats.org/officeDocument/2006/relationships/hyperlink" Target="https://techcombank.com/thong-tin/blog/vay-tin-chap-va-vay-the-chap" TargetMode="External"/><Relationship Id="rId135" Type="http://schemas.openxmlformats.org/officeDocument/2006/relationships/hyperlink" Target="https://techcombank.com/thong-tin/blog/nop-thue-hai-quan" TargetMode="External"/><Relationship Id="rId3266" Type="http://schemas.openxmlformats.org/officeDocument/2006/relationships/hyperlink" Target="https://techcombank.com/thong-tin/blog/vay-tin-chap-toi-da-duoc-bao-nhieu" TargetMode="External"/><Relationship Id="rId134" Type="http://schemas.openxmlformats.org/officeDocument/2006/relationships/hyperlink" Target="https://techcombank.com/thong-tin/blog/hoan-thue-thu-nhap-ca-nhan" TargetMode="External"/><Relationship Id="rId3269" Type="http://schemas.openxmlformats.org/officeDocument/2006/relationships/hyperlink" Target="https://techcombank.com/thong-tin/blog/vay-tin-chap-ho-kinh-doanh" TargetMode="External"/><Relationship Id="rId133" Type="http://schemas.openxmlformats.org/officeDocument/2006/relationships/hyperlink" Target="https://techcombank.com/thong-tin/blog/ke-khai-thue-ho-kinh-doanh-ca-the-online" TargetMode="External"/><Relationship Id="rId3268" Type="http://schemas.openxmlformats.org/officeDocument/2006/relationships/hyperlink" Target="https://techcombank.com/thong-tin/blog/lai-suat-vay-tin-chap" TargetMode="External"/><Relationship Id="rId172" Type="http://schemas.openxmlformats.org/officeDocument/2006/relationships/hyperlink" Target="https://techcombank.com/thong-tin/blog/luat-thuong-mai-dien-tu" TargetMode="External"/><Relationship Id="rId171" Type="http://schemas.openxmlformats.org/officeDocument/2006/relationships/hyperlink" Target="https://techcombank.com/thong-tin/blog/dang-ky-thue-ho-kinh-doanh-ca-the-online" TargetMode="External"/><Relationship Id="rId170" Type="http://schemas.openxmlformats.org/officeDocument/2006/relationships/hyperlink" Target="https://techcombank.com/thong-tin/blog/dieu-kien-thanh-lap-doanh-nghiep" TargetMode="External"/><Relationship Id="rId3290" Type="http://schemas.openxmlformats.org/officeDocument/2006/relationships/hyperlink" Target="https://techcombank.com/thong-tin/blog/quy-trinh-cho-vay-tieu-dung" TargetMode="External"/><Relationship Id="rId3292" Type="http://schemas.openxmlformats.org/officeDocument/2006/relationships/hyperlink" Target="https://techcombank.com/thong-tin/blog/kinh-nghiem-vay-tien-mua-nha" TargetMode="External"/><Relationship Id="rId3291" Type="http://schemas.openxmlformats.org/officeDocument/2006/relationships/hyperlink" Target="https://techcombank.com/thong-tin/blog/vay-20-trieu" TargetMode="External"/><Relationship Id="rId3294" Type="http://schemas.openxmlformats.org/officeDocument/2006/relationships/hyperlink" Target="https://techcombank.com/thong-tin/blog/no-chu-y-la-gi" TargetMode="External"/><Relationship Id="rId3293" Type="http://schemas.openxmlformats.org/officeDocument/2006/relationships/hyperlink" Target="https://techcombank.com/thong-tin/blog/vay-tin-chap-khong-tra-duoc-co-sao-khong" TargetMode="External"/><Relationship Id="rId165" Type="http://schemas.openxmlformats.org/officeDocument/2006/relationships/hyperlink" Target="https://techcombank.com/thong-tin/blog/kiem-tra-ma-so-thue-doanh-nghiep" TargetMode="External"/><Relationship Id="rId3296" Type="http://schemas.openxmlformats.org/officeDocument/2006/relationships/hyperlink" Target="https://techcombank.com/thong-tin/blog/du-no-tin-dung-la-gi" TargetMode="External"/><Relationship Id="rId164" Type="http://schemas.openxmlformats.org/officeDocument/2006/relationships/hyperlink" Target="https://techcombank.com/thong-tin/blog/cach-dang-ky-ma-so-thue-ho-kinh-doanh-online" TargetMode="External"/><Relationship Id="rId3295" Type="http://schemas.openxmlformats.org/officeDocument/2006/relationships/hyperlink" Target="https://techcombank.com/thong-tin/blog/no-nhom-3" TargetMode="External"/><Relationship Id="rId163" Type="http://schemas.openxmlformats.org/officeDocument/2006/relationships/hyperlink" Target="https://techcombank.com/thong-tin/blog/cac-sai-lam-pho-bien-khi-chuyen-doi-ho-kinh-doanh-len-sme" TargetMode="External"/><Relationship Id="rId3298" Type="http://schemas.openxmlformats.org/officeDocument/2006/relationships/hyperlink" Target="https://techcombank.com/thong-tin/blog/no-xau" TargetMode="External"/><Relationship Id="rId162" Type="http://schemas.openxmlformats.org/officeDocument/2006/relationships/hyperlink" Target="https://techcombank.com/thong-tin/blog/one-stop-shop" TargetMode="External"/><Relationship Id="rId3297" Type="http://schemas.openxmlformats.org/officeDocument/2006/relationships/hyperlink" Target="https://techcombank.com/thong-tin/blog/no-the-tin-dung-qua-han" TargetMode="External"/><Relationship Id="rId169" Type="http://schemas.openxmlformats.org/officeDocument/2006/relationships/hyperlink" Target="https://techcombank.com/thong-tin/blog/top-phan-mem-ban-hang" TargetMode="External"/><Relationship Id="rId168" Type="http://schemas.openxmlformats.org/officeDocument/2006/relationships/hyperlink" Target="https://techcombank.com/thong-tin/blog/kinh-nghiem-chuyen-doi-tu-ho-kinh-doanh-len-doanh-nghiep" TargetMode="External"/><Relationship Id="rId3299" Type="http://schemas.openxmlformats.org/officeDocument/2006/relationships/hyperlink" Target="https://techcombank.com/thong-tin/blog/du-no-la-gi" TargetMode="External"/><Relationship Id="rId167" Type="http://schemas.openxmlformats.org/officeDocument/2006/relationships/hyperlink" Target="https://techcombank.com/thong-tin/blog/cong-ty-su-dung-tai-khoan-ca-nhan" TargetMode="External"/><Relationship Id="rId166" Type="http://schemas.openxmlformats.org/officeDocument/2006/relationships/hyperlink" Target="https://techcombank.com/thong-tin/blog/tra-cuu-ma-so-thue-ho-kinh-doanh" TargetMode="External"/><Relationship Id="rId161" Type="http://schemas.openxmlformats.org/officeDocument/2006/relationships/hyperlink" Target="https://techcombank.com/thong-tin/blog/hoa-don-dien-tu" TargetMode="External"/><Relationship Id="rId160" Type="http://schemas.openxmlformats.org/officeDocument/2006/relationships/hyperlink" Target="https://techcombank.com/thong-tin/blog/nhung-chi-phi-khong-duoc-tru-khi-tinh-thue-tndn" TargetMode="External"/><Relationship Id="rId159" Type="http://schemas.openxmlformats.org/officeDocument/2006/relationships/hyperlink" Target="https://techcombank.com/thong-tin/blog/ho-kinh-doanh-ca-the" TargetMode="External"/><Relationship Id="rId3281" Type="http://schemas.openxmlformats.org/officeDocument/2006/relationships/hyperlink" Target="https://techcombank.com/thong-tin/blog/vay-200-trieu" TargetMode="External"/><Relationship Id="rId3280" Type="http://schemas.openxmlformats.org/officeDocument/2006/relationships/hyperlink" Target="https://techcombank.com/thong-tin/blog/vay-tien-mat" TargetMode="External"/><Relationship Id="rId3283" Type="http://schemas.openxmlformats.org/officeDocument/2006/relationships/hyperlink" Target="https://techcombank.com/thong-tin/blog/vay-tien-online" TargetMode="External"/><Relationship Id="rId3282" Type="http://schemas.openxmlformats.org/officeDocument/2006/relationships/hyperlink" Target="https://techcombank.com/thong-tin/blog/kinh-nghiem-vay-tien-ngan-hang-xay-nha" TargetMode="External"/><Relationship Id="rId154" Type="http://schemas.openxmlformats.org/officeDocument/2006/relationships/hyperlink" Target="https://techcombank.com/thong-tin/blog/chuyen-doi-ho-kinh-doanh-len-doanh-nghiep" TargetMode="External"/><Relationship Id="rId3285" Type="http://schemas.openxmlformats.org/officeDocument/2006/relationships/hyperlink" Target="https://techcombank.com/thong-tin/blog/lai-suat-vay-ngan-hang" TargetMode="External"/><Relationship Id="rId153" Type="http://schemas.openxmlformats.org/officeDocument/2006/relationships/hyperlink" Target="https://techcombank.com/thong-tin/blog/tim-hieu-ve-chinh-sach-thue-moi" TargetMode="External"/><Relationship Id="rId3284" Type="http://schemas.openxmlformats.org/officeDocument/2006/relationships/hyperlink" Target="https://techcombank.com/thong-tin/blog/vay-tin-chap-no-xau" TargetMode="External"/><Relationship Id="rId152" Type="http://schemas.openxmlformats.org/officeDocument/2006/relationships/hyperlink" Target="https://techcombank.com/thong-tin/blog/nop-thue-dat-qua-ngan-hang" TargetMode="External"/><Relationship Id="rId3287" Type="http://schemas.openxmlformats.org/officeDocument/2006/relationships/hyperlink" Target="https://techcombank.com/thong-tin/blog/dang-vay-tra-gop-co-vay-them-duoc-khong" TargetMode="External"/><Relationship Id="rId151" Type="http://schemas.openxmlformats.org/officeDocument/2006/relationships/hyperlink" Target="https://techcombank.com/thong-tin/blog/kiem-tra-thue-thu-nhap-ca-nhan" TargetMode="External"/><Relationship Id="rId3286" Type="http://schemas.openxmlformats.org/officeDocument/2006/relationships/hyperlink" Target="https://techcombank.com/thong-tin/blog/cac-hinh-thuc-cho-vay-tieu-dung" TargetMode="External"/><Relationship Id="rId158" Type="http://schemas.openxmlformats.org/officeDocument/2006/relationships/hyperlink" Target="https://techcombank.com/thong-tin/blog/thue-phi-co-dinh-khi-chuyen-doi-tu-ho-kinh-doanh-len-doanh-nghiep" TargetMode="External"/><Relationship Id="rId3289" Type="http://schemas.openxmlformats.org/officeDocument/2006/relationships/hyperlink" Target="https://techcombank.com/thong-tin/blog/vay-tra-gop" TargetMode="External"/><Relationship Id="rId157" Type="http://schemas.openxmlformats.org/officeDocument/2006/relationships/hyperlink" Target="https://techcombank.com/thong-tin/blog/dong-ma-so-thue-ho-kinh-doanh" TargetMode="External"/><Relationship Id="rId3288" Type="http://schemas.openxmlformats.org/officeDocument/2006/relationships/hyperlink" Target="https://techcombank.com/thong-tin/blog/app-vay-tien-nhanh" TargetMode="External"/><Relationship Id="rId156" Type="http://schemas.openxmlformats.org/officeDocument/2006/relationships/hyperlink" Target="https://techcombank.com/thong-tin/blog/giai-dap-ve-thue-doanh-nghiep" TargetMode="External"/><Relationship Id="rId155" Type="http://schemas.openxmlformats.org/officeDocument/2006/relationships/hyperlink" Target="https://techcombank.com/thong-tin/blog/nen-thanh-lap-ho-kinh-doanh-ke-khai-hay-doanh-nghiep" TargetMode="External"/><Relationship Id="rId2820" Type="http://schemas.openxmlformats.org/officeDocument/2006/relationships/hyperlink" Target="https://techcombank.com/thong-tin/blog/lai-suat-vay-the-chap-so-do" TargetMode="External"/><Relationship Id="rId2821" Type="http://schemas.openxmlformats.org/officeDocument/2006/relationships/hyperlink" Target="https://techcombank.com/thong-tin/blog/gui-tiet-kiem-lay-lai-hang-thang" TargetMode="External"/><Relationship Id="rId2822" Type="http://schemas.openxmlformats.org/officeDocument/2006/relationships/hyperlink" Target="https://techcombank.com/thong-tin/blog/rui-ro-khi-gui-tiet-kiem-online" TargetMode="External"/><Relationship Id="rId2823" Type="http://schemas.openxmlformats.org/officeDocument/2006/relationships/hyperlink" Target="https://techcombank.com/thong-tin/blog/tich-luy-tai-san" TargetMode="External"/><Relationship Id="rId2824" Type="http://schemas.openxmlformats.org/officeDocument/2006/relationships/hyperlink" Target="https://techcombank.com/thong-tin/blog/cach-tinh-lai-suat-tien-gui-tiet-kiem" TargetMode="External"/><Relationship Id="rId2825" Type="http://schemas.openxmlformats.org/officeDocument/2006/relationships/hyperlink" Target="https://techcombank.com/thong-tin/blog/lai-suat-tha-noi" TargetMode="External"/><Relationship Id="rId2826" Type="http://schemas.openxmlformats.org/officeDocument/2006/relationships/hyperlink" Target="https://techcombank.com/thong-tin/blog/lai-suat-vay-tieu-dung" TargetMode="External"/><Relationship Id="rId2827" Type="http://schemas.openxmlformats.org/officeDocument/2006/relationships/hyperlink" Target="https://techcombank.com/thong-tin/blog/chon-kenh-dau-tu-an-toan-trong-boi-canh-thi-truong-bien-dong" TargetMode="External"/><Relationship Id="rId2828" Type="http://schemas.openxmlformats.org/officeDocument/2006/relationships/hyperlink" Target="https://techcombank.com/thong-tin/blog/gui-tiet-kiem-ngoai-te" TargetMode="External"/><Relationship Id="rId2829" Type="http://schemas.openxmlformats.org/officeDocument/2006/relationships/hyperlink" Target="https://techcombank.com/thong-tin/blog/lai-suat-ngan-hang-cho-vay-xay-nha" TargetMode="External"/><Relationship Id="rId2810" Type="http://schemas.openxmlformats.org/officeDocument/2006/relationships/hyperlink" Target="https://techcombank.com/thong-tin/blog/lai-suat-tiet-kiem" TargetMode="External"/><Relationship Id="rId2811" Type="http://schemas.openxmlformats.org/officeDocument/2006/relationships/hyperlink" Target="https://techcombank.com/thong-tin/blog/co-nen-gui-tiet-kiem-online" TargetMode="External"/><Relationship Id="rId2812" Type="http://schemas.openxmlformats.org/officeDocument/2006/relationships/hyperlink" Target="https://techcombank.com/thong-tin/blog/gui-tiet-kiem-ngan-hang-van-la-lua-chon-an-toan-trong-thoi-ky-kinh-te-con-nhieu-bien-dong" TargetMode="External"/><Relationship Id="rId2813" Type="http://schemas.openxmlformats.org/officeDocument/2006/relationships/hyperlink" Target="https://techcombank.com/thong-tin/blog/cach-gui-tiet-kiem-online" TargetMode="External"/><Relationship Id="rId2814" Type="http://schemas.openxmlformats.org/officeDocument/2006/relationships/hyperlink" Target="https://techcombank.com/thong-tin/blog/gui-tien-ngan-hang-co-an-toan-khong" TargetMode="External"/><Relationship Id="rId2815" Type="http://schemas.openxmlformats.org/officeDocument/2006/relationships/hyperlink" Target="https://techcombank.com/thong-tin/blog/dau-tu-trai-phieu-doanh-nghiep-dung-ham-lai-suat-cao" TargetMode="External"/><Relationship Id="rId2816" Type="http://schemas.openxmlformats.org/officeDocument/2006/relationships/hyperlink" Target="https://techcombank.com/thong-tin/blog/nen-gui-tiet-kiem-6-thang-hay-1-nam" TargetMode="External"/><Relationship Id="rId2817" Type="http://schemas.openxmlformats.org/officeDocument/2006/relationships/hyperlink" Target="https://techcombank.com/thong-tin/blog/mo-tai-khoan-tiet-kiem-cho-con" TargetMode="External"/><Relationship Id="rId2818" Type="http://schemas.openxmlformats.org/officeDocument/2006/relationships/hyperlink" Target="https://techcombank.com/thong-tin/blog/lai-suat-the-tin-dung" TargetMode="External"/><Relationship Id="rId2819" Type="http://schemas.openxmlformats.org/officeDocument/2006/relationships/hyperlink" Target="https://techcombank.com/thong-tin/blog/quy-gia-dinh" TargetMode="External"/><Relationship Id="rId1510" Type="http://schemas.openxmlformats.org/officeDocument/2006/relationships/hyperlink" Target="https://techcombank.com/thong-tin/blog/doi-tien-do-o-dau" TargetMode="External"/><Relationship Id="rId2841" Type="http://schemas.openxmlformats.org/officeDocument/2006/relationships/hyperlink" Target="https://techcombank.com/thong-tin/blog/gui-tiet-kiem-online-quay-vong-ca-goc-va-lai" TargetMode="External"/><Relationship Id="rId1511" Type="http://schemas.openxmlformats.org/officeDocument/2006/relationships/hyperlink" Target="https://techcombank.com/thong-tin/blog/chuyen-tien-di-uc" TargetMode="External"/><Relationship Id="rId2842" Type="http://schemas.openxmlformats.org/officeDocument/2006/relationships/hyperlink" Target="https://techcombank.com/thong-tin/blog/chung-chi-tien-gui-khac-gi-so-tiet-kiem" TargetMode="External"/><Relationship Id="rId1512" Type="http://schemas.openxmlformats.org/officeDocument/2006/relationships/hyperlink" Target="https://techcombank.com/thong-tin/blog/1-trieu-do-bang-bao-nhieu-tien-viet" TargetMode="External"/><Relationship Id="rId2843" Type="http://schemas.openxmlformats.org/officeDocument/2006/relationships/hyperlink" Target="https://techcombank.com/thong-tin/blog/tich-diem-doi-qua" TargetMode="External"/><Relationship Id="rId1513" Type="http://schemas.openxmlformats.org/officeDocument/2006/relationships/hyperlink" Target="https://techcombank.com/thong-tin/blog/tien-singapore" TargetMode="External"/><Relationship Id="rId2844" Type="http://schemas.openxmlformats.org/officeDocument/2006/relationships/hyperlink" Target="https://techcombank.com/thong-tin/blog/so-sanh-gui-tiet-kiem-online-va-tai-quay" TargetMode="External"/><Relationship Id="rId1514" Type="http://schemas.openxmlformats.org/officeDocument/2006/relationships/hyperlink" Target="https://techcombank.com/thong-tin/blog/1-do-uc-bang-bao-nhieu-tien-viet" TargetMode="External"/><Relationship Id="rId2845" Type="http://schemas.openxmlformats.org/officeDocument/2006/relationships/hyperlink" Target="https://techcombank.com/thong-tin/blog/lai-suat-vay-tin-chap" TargetMode="External"/><Relationship Id="rId1515" Type="http://schemas.openxmlformats.org/officeDocument/2006/relationships/hyperlink" Target="https://techcombank.com/thong-tin/blog/1-te-bang-bao-nhieu-tien-viet-nam" TargetMode="External"/><Relationship Id="rId2846" Type="http://schemas.openxmlformats.org/officeDocument/2006/relationships/hyperlink" Target="https://techcombank.com/thong-tin/blog/cach-tiet-kiem-tien-sinh-loi" TargetMode="External"/><Relationship Id="rId1516" Type="http://schemas.openxmlformats.org/officeDocument/2006/relationships/hyperlink" Target="https://techcombank.com/thong-tin/blog/tien-trung-quoc" TargetMode="External"/><Relationship Id="rId2847" Type="http://schemas.openxmlformats.org/officeDocument/2006/relationships/hyperlink" Target="https://techcombank.com/thong-tin/blog/vay-20-trieu" TargetMode="External"/><Relationship Id="rId1517" Type="http://schemas.openxmlformats.org/officeDocument/2006/relationships/hyperlink" Target="https://techcombank.com/thong-tin/blog/1000-won-bang-bao-nhieu-tien-viet" TargetMode="External"/><Relationship Id="rId2848" Type="http://schemas.openxmlformats.org/officeDocument/2006/relationships/hyperlink" Target="https://techcombank.com/thong-tin/blog/vay-tin-chap-la-gi" TargetMode="External"/><Relationship Id="rId1518" Type="http://schemas.openxmlformats.org/officeDocument/2006/relationships/hyperlink" Target="https://techcombank.com/thong-tin/blog/di-du-lich-nuoc-ngoai-can-chuan-bi-gi" TargetMode="External"/><Relationship Id="rId2849" Type="http://schemas.openxmlformats.org/officeDocument/2006/relationships/hyperlink" Target="https://techcombank.com/thong-tin/blog/tien-nhan-roi-nen-lam-gi" TargetMode="External"/><Relationship Id="rId1519" Type="http://schemas.openxmlformats.org/officeDocument/2006/relationships/hyperlink" Target="https://techcombank.com/thong-tin/blog/1000-yen-bang-bao-nhieu-tien-viet" TargetMode="External"/><Relationship Id="rId2840" Type="http://schemas.openxmlformats.org/officeDocument/2006/relationships/hyperlink" Target="https://techcombank.com/thong-tin/blog/gui-tiet-kiem-online-co-rut-truoc-han-duoc-khong" TargetMode="External"/><Relationship Id="rId2830" Type="http://schemas.openxmlformats.org/officeDocument/2006/relationships/hyperlink" Target="https://techcombank.com/thong-tin/blog/rui-ro-khi-gui-tiet-kiem-ngan-hang" TargetMode="External"/><Relationship Id="rId1500" Type="http://schemas.openxmlformats.org/officeDocument/2006/relationships/hyperlink" Target="https://techcombank.com/thong-tin/blog/1-cent-bang-bao-nhieu-tien-viet" TargetMode="External"/><Relationship Id="rId2831" Type="http://schemas.openxmlformats.org/officeDocument/2006/relationships/hyperlink" Target="https://techcombank.com/thong-tin/blog/gui-tiet-kiem-hang-thang" TargetMode="External"/><Relationship Id="rId1501" Type="http://schemas.openxmlformats.org/officeDocument/2006/relationships/hyperlink" Target="https://techcombank.com/thong-tin/blog/xu-huong-ty-gia-usd" TargetMode="External"/><Relationship Id="rId2832" Type="http://schemas.openxmlformats.org/officeDocument/2006/relationships/hyperlink" Target="https://techcombank.com/thong-tin/blog/cach-tiet-kiem-tien" TargetMode="External"/><Relationship Id="rId1502" Type="http://schemas.openxmlformats.org/officeDocument/2006/relationships/hyperlink" Target="https://techcombank.com/thong-tin/blog/dieu-kien-mua-usd-tu-ngan-hang" TargetMode="External"/><Relationship Id="rId2833" Type="http://schemas.openxmlformats.org/officeDocument/2006/relationships/hyperlink" Target="https://techcombank.com/thong-tin/blog/tra-no-vay-thau-chi-nhu-the-nao" TargetMode="External"/><Relationship Id="rId1503" Type="http://schemas.openxmlformats.org/officeDocument/2006/relationships/hyperlink" Target="https://techcombank.com/thong-tin/blog/1-cent-bang-bao-nhieu-tien-viet" TargetMode="External"/><Relationship Id="rId2834" Type="http://schemas.openxmlformats.org/officeDocument/2006/relationships/hyperlink" Target="https://techcombank.com/thong-tin/blog/rut-tien-bao-hiem-nhan-tho-khi-het-han" TargetMode="External"/><Relationship Id="rId1504" Type="http://schemas.openxmlformats.org/officeDocument/2006/relationships/hyperlink" Target="https://techcombank.com/thong-tin/blog/lai-suat-gui-tiet-kiem-usd" TargetMode="External"/><Relationship Id="rId2835" Type="http://schemas.openxmlformats.org/officeDocument/2006/relationships/hyperlink" Target="https://techcombank.com/thong-tin/blog/cach-tinh-lai-vay-ngan-hang" TargetMode="External"/><Relationship Id="rId1505" Type="http://schemas.openxmlformats.org/officeDocument/2006/relationships/hyperlink" Target="https://techcombank.com/thong-tin/blog/chuyen-tien-tu-my-ve-viet-nam" TargetMode="External"/><Relationship Id="rId2836" Type="http://schemas.openxmlformats.org/officeDocument/2006/relationships/hyperlink" Target="https://techcombank.com/thong-tin/blog/gui-tiet-kiem-online-bi-mat-tien" TargetMode="External"/><Relationship Id="rId1506" Type="http://schemas.openxmlformats.org/officeDocument/2006/relationships/hyperlink" Target="https://techcombank.com/thong-tin/blog/vang-my-ky" TargetMode="External"/><Relationship Id="rId2837" Type="http://schemas.openxmlformats.org/officeDocument/2006/relationships/hyperlink" Target="https://techcombank.com/thong-tin/blog/kinh-nghiem-gui-tiet-kiem-online" TargetMode="External"/><Relationship Id="rId1507" Type="http://schemas.openxmlformats.org/officeDocument/2006/relationships/hyperlink" Target="https://techcombank.com/thong-tin/blog/han-muc-mua-ngoai-te-khi-di-du-lich" TargetMode="External"/><Relationship Id="rId2838" Type="http://schemas.openxmlformats.org/officeDocument/2006/relationships/hyperlink" Target="https://techcombank.com/thong-tin/blog/vay-thau-chi-bang-so-tiet-kiem" TargetMode="External"/><Relationship Id="rId1508" Type="http://schemas.openxmlformats.org/officeDocument/2006/relationships/hyperlink" Target="https://techcombank.com/thong-tin/blog/cam-nang-dinh-cu-my" TargetMode="External"/><Relationship Id="rId2839" Type="http://schemas.openxmlformats.org/officeDocument/2006/relationships/hyperlink" Target="https://techcombank.com/thong-tin/blog/lai-suat-vay-ngan-hang" TargetMode="External"/><Relationship Id="rId1509" Type="http://schemas.openxmlformats.org/officeDocument/2006/relationships/hyperlink" Target="https://techcombank.com/thong-tin/blog/gui-tiet-kiem-usd" TargetMode="External"/><Relationship Id="rId2800" Type="http://schemas.openxmlformats.org/officeDocument/2006/relationships/hyperlink" Target="https://techcombank.com/thong-tin/blog/gui-tiet-kiem-theo-ngay" TargetMode="External"/><Relationship Id="rId2801" Type="http://schemas.openxmlformats.org/officeDocument/2006/relationships/hyperlink" Target="https://techcombank.com/thong-tin/blog/gui-tiet-kiem-vang" TargetMode="External"/><Relationship Id="rId2802" Type="http://schemas.openxmlformats.org/officeDocument/2006/relationships/hyperlink" Target="https://techcombank.com/thong-tin/blog/nen-gui-tiet-kiem-thong-thuong-hay-tich-luy" TargetMode="External"/><Relationship Id="rId2803" Type="http://schemas.openxmlformats.org/officeDocument/2006/relationships/hyperlink" Target="https://techcombank.com/thong-tin/blog/tai-sao-gui-tiet-kiem-online-lai-suat-cao-hon" TargetMode="External"/><Relationship Id="rId2804" Type="http://schemas.openxmlformats.org/officeDocument/2006/relationships/hyperlink" Target="https://techcombank.com/thong-tin/blog/rui-ro-khi-vay-the-chap-ngan-hang" TargetMode="External"/><Relationship Id="rId2805" Type="http://schemas.openxmlformats.org/officeDocument/2006/relationships/hyperlink" Target="https://techcombank.com/thong-tin/blog/lai-kep-ngan-hang" TargetMode="External"/><Relationship Id="rId2806" Type="http://schemas.openxmlformats.org/officeDocument/2006/relationships/hyperlink" Target="https://techcombank.com/thong-tin/blog/lai-suat-vay-thau-chi" TargetMode="External"/><Relationship Id="rId2807" Type="http://schemas.openxmlformats.org/officeDocument/2006/relationships/hyperlink" Target="https://techcombank.com/thong-tin/blog/tien-gui-khong-ky-han" TargetMode="External"/><Relationship Id="rId2808" Type="http://schemas.openxmlformats.org/officeDocument/2006/relationships/hyperlink" Target="https://techcombank.com/thong-tin/blog/qua-han-thanh-toan-the-tin-dung-1-ngay" TargetMode="External"/><Relationship Id="rId2809" Type="http://schemas.openxmlformats.org/officeDocument/2006/relationships/hyperlink" Target="https://techcombank.com/thong-tin/blog/co-nen-gui-tiet-kiem-ngan-hang" TargetMode="External"/><Relationship Id="rId1576" Type="http://schemas.openxmlformats.org/officeDocument/2006/relationships/hyperlink" Target="https://techcombank.com/thong-tin/blog/1000-te-bang-bao-nhieu-tien-viet" TargetMode="External"/><Relationship Id="rId1577" Type="http://schemas.openxmlformats.org/officeDocument/2006/relationships/hyperlink" Target="https://techcombank.com/thong-tin/blog/100-riel-bang-bao-nhieu-tien-viet-nam" TargetMode="External"/><Relationship Id="rId1578" Type="http://schemas.openxmlformats.org/officeDocument/2006/relationships/hyperlink" Target="https://techcombank.com/thong-tin/blog/tien-indonesia" TargetMode="External"/><Relationship Id="rId1579" Type="http://schemas.openxmlformats.org/officeDocument/2006/relationships/hyperlink" Target="https://techcombank.com/thong-tin/blog/dieu-kien-mua-usd-tu-ngan-hang" TargetMode="External"/><Relationship Id="rId987" Type="http://schemas.openxmlformats.org/officeDocument/2006/relationships/hyperlink" Target="https://techcombank.com/thong-tin/blog/han-muc-the-tin-dung" TargetMode="External"/><Relationship Id="rId986" Type="http://schemas.openxmlformats.org/officeDocument/2006/relationships/hyperlink" Target="https://techcombank.com/thong-tin/blog/rut-tien-mat-tu-the-tin-dung" TargetMode="External"/><Relationship Id="rId985" Type="http://schemas.openxmlformats.org/officeDocument/2006/relationships/hyperlink" Target="https://techcombank.com/thong-tin/blog/the-tin-dung-phu-la-gi" TargetMode="External"/><Relationship Id="rId984" Type="http://schemas.openxmlformats.org/officeDocument/2006/relationships/hyperlink" Target="https://techcombank.com/thong-tin/blog/sao-ke-the-tin-dung-la-gi" TargetMode="External"/><Relationship Id="rId989" Type="http://schemas.openxmlformats.org/officeDocument/2006/relationships/hyperlink" Target="https://techcombank.com/thong-tin/blog/the-tin-dung-noi-dia" TargetMode="External"/><Relationship Id="rId988" Type="http://schemas.openxmlformats.org/officeDocument/2006/relationships/hyperlink" Target="https://techcombank.com/thong-tin/blog/mo-the-tin-dung-han-muc-cao" TargetMode="External"/><Relationship Id="rId1570" Type="http://schemas.openxmlformats.org/officeDocument/2006/relationships/hyperlink" Target="https://techcombank.com/thong-tin/blog/tien-trung-quoc" TargetMode="External"/><Relationship Id="rId1571" Type="http://schemas.openxmlformats.org/officeDocument/2006/relationships/hyperlink" Target="https://techcombank.com/thong-tin/blog/doi-tien-do-o-dau" TargetMode="External"/><Relationship Id="rId983" Type="http://schemas.openxmlformats.org/officeDocument/2006/relationships/hyperlink" Target="https://techcombank.com/thong-tin/blog/han-muc-tra-gop-the-tin-dung" TargetMode="External"/><Relationship Id="rId1572" Type="http://schemas.openxmlformats.org/officeDocument/2006/relationships/hyperlink" Target="https://techcombank.com/thong-tin/blog/tien-singapore" TargetMode="External"/><Relationship Id="rId982" Type="http://schemas.openxmlformats.org/officeDocument/2006/relationships/hyperlink" Target="https://techcombank.com/thong-tin/blog/dieu-kien-vay-the-chap" TargetMode="External"/><Relationship Id="rId1573" Type="http://schemas.openxmlformats.org/officeDocument/2006/relationships/hyperlink" Target="https://techcombank.com/thong-tin/blog/1000-won-bang-bao-nhieu-tien-viet" TargetMode="External"/><Relationship Id="rId981" Type="http://schemas.openxmlformats.org/officeDocument/2006/relationships/hyperlink" Target="https://techcombank.com/thong-tin/blog/vay-tin-chap-no-xau" TargetMode="External"/><Relationship Id="rId1574" Type="http://schemas.openxmlformats.org/officeDocument/2006/relationships/hyperlink" Target="https://techcombank.com/thong-tin/blog/di-du-lich-nuoc-ngoai-can-chuan-bi-gi" TargetMode="External"/><Relationship Id="rId980" Type="http://schemas.openxmlformats.org/officeDocument/2006/relationships/hyperlink" Target="https://techcombank.com/thong-tin/blog/han-muc-vay-the-chap-so-do" TargetMode="External"/><Relationship Id="rId1575" Type="http://schemas.openxmlformats.org/officeDocument/2006/relationships/hyperlink" Target="https://techcombank.com/thong-tin/blog/1-van-te-bang-bao-nhieu-tien-viet" TargetMode="External"/><Relationship Id="rId1565" Type="http://schemas.openxmlformats.org/officeDocument/2006/relationships/hyperlink" Target="https://techcombank.com/thong-tin/blog/chixmax" TargetMode="External"/><Relationship Id="rId2896" Type="http://schemas.openxmlformats.org/officeDocument/2006/relationships/hyperlink" Target="https://techcombank.com/thong-tin/blog/vay-kinh-doanh-online" TargetMode="External"/><Relationship Id="rId1566" Type="http://schemas.openxmlformats.org/officeDocument/2006/relationships/hyperlink" Target="https://techcombank.com/thong-tin/blog/han-muc-mua-ngoai-te-khi-di-du-lich" TargetMode="External"/><Relationship Id="rId2897" Type="http://schemas.openxmlformats.org/officeDocument/2006/relationships/hyperlink" Target="https://techcombank.com/thong-tin/blog/vay-the-chap-qua-luong" TargetMode="External"/><Relationship Id="rId1567" Type="http://schemas.openxmlformats.org/officeDocument/2006/relationships/hyperlink" Target="https://techcombank.com/thong-tin/blog/thanh-toan-khi-du-lich-nhat-ban" TargetMode="External"/><Relationship Id="rId2898" Type="http://schemas.openxmlformats.org/officeDocument/2006/relationships/hyperlink" Target="https://techcombank.com/thong-tin/blog/vay-tien-mat" TargetMode="External"/><Relationship Id="rId1568" Type="http://schemas.openxmlformats.org/officeDocument/2006/relationships/hyperlink" Target="https://techcombank.com/thong-tin/blog/1-dong-do-la-my-bang-bao-nhieu-tien-viet-nam" TargetMode="External"/><Relationship Id="rId2899" Type="http://schemas.openxmlformats.org/officeDocument/2006/relationships/hyperlink" Target="https://techcombank.com/thong-tin/blog/vay-tin-chap-toi-da-duoc-bao-nhieu" TargetMode="External"/><Relationship Id="rId1569" Type="http://schemas.openxmlformats.org/officeDocument/2006/relationships/hyperlink" Target="https://techcombank.com/thong-tin/blog/1-te-bang-bao-nhieu-tien-viet-nam" TargetMode="External"/><Relationship Id="rId976" Type="http://schemas.openxmlformats.org/officeDocument/2006/relationships/hyperlink" Target="https://techcombank.com/thong-tin/blog/no-xau-mo-the-tin-dung-duoc-khong" TargetMode="External"/><Relationship Id="rId975" Type="http://schemas.openxmlformats.org/officeDocument/2006/relationships/hyperlink" Target="https://techcombank.com/thong-tin/blog/the-tin-dung-bi-khoa" TargetMode="External"/><Relationship Id="rId974" Type="http://schemas.openxmlformats.org/officeDocument/2006/relationships/hyperlink" Target="https://techcombank.com/thong-tin/blog/spaylater" TargetMode="External"/><Relationship Id="rId973" Type="http://schemas.openxmlformats.org/officeDocument/2006/relationships/hyperlink" Target="https://techcombank.com/thong-tin/blog/thanh-toan-toi-thieu-the-tin-dung" TargetMode="External"/><Relationship Id="rId979" Type="http://schemas.openxmlformats.org/officeDocument/2006/relationships/hyperlink" Target="https://techcombank.com/thong-tin/blog/no-xau-co-vay-the-chap-duoc-khong" TargetMode="External"/><Relationship Id="rId978" Type="http://schemas.openxmlformats.org/officeDocument/2006/relationships/hyperlink" Target="https://techcombank.com/thong-tin/blog/luu-y-khi-su-dung-the-tin-dung" TargetMode="External"/><Relationship Id="rId977" Type="http://schemas.openxmlformats.org/officeDocument/2006/relationships/hyperlink" Target="https://techcombank.com/thong-tin/blog/no-the-tin-dung-qua-han" TargetMode="External"/><Relationship Id="rId2890" Type="http://schemas.openxmlformats.org/officeDocument/2006/relationships/hyperlink" Target="https://techcombank.com/thong-tin/blog/cho-vay-tieu-dung-la-gi" TargetMode="External"/><Relationship Id="rId1560" Type="http://schemas.openxmlformats.org/officeDocument/2006/relationships/hyperlink" Target="https://techcombank.com/thong-tin/blog/cach-nhan-tien-tu-nuoc-ngoai-ve-viet-nam" TargetMode="External"/><Relationship Id="rId2891" Type="http://schemas.openxmlformats.org/officeDocument/2006/relationships/hyperlink" Target="https://techcombank.com/thong-tin/blog/vay-tien-online" TargetMode="External"/><Relationship Id="rId972" Type="http://schemas.openxmlformats.org/officeDocument/2006/relationships/hyperlink" Target="https://techcombank.com/thong-tin/blog/no-xau-co-lam-the-visa-duoc-khong" TargetMode="External"/><Relationship Id="rId1561" Type="http://schemas.openxmlformats.org/officeDocument/2006/relationships/hyperlink" Target="https://techcombank.com/thong-tin/blog/1000-yen-bang-bao-nhieu-tien-viet" TargetMode="External"/><Relationship Id="rId2892" Type="http://schemas.openxmlformats.org/officeDocument/2006/relationships/hyperlink" Target="https://techcombank.com/thong-tin/blog/vay-ngan-hang-chi-can-cccd" TargetMode="External"/><Relationship Id="rId971" Type="http://schemas.openxmlformats.org/officeDocument/2006/relationships/hyperlink" Target="https://techcombank.com/thong-tin/blog/qua-han-thanh-toan-the-tin-dung-1-ngay" TargetMode="External"/><Relationship Id="rId1562" Type="http://schemas.openxmlformats.org/officeDocument/2006/relationships/hyperlink" Target="https://techcombank.com/thong-tin/blog/tien-nhat" TargetMode="External"/><Relationship Id="rId2893" Type="http://schemas.openxmlformats.org/officeDocument/2006/relationships/hyperlink" Target="https://techcombank.com/thong-tin/blog/vay-30-trieu" TargetMode="External"/><Relationship Id="rId970" Type="http://schemas.openxmlformats.org/officeDocument/2006/relationships/hyperlink" Target="https://techcombank.com/thong-tin/blog/han-muc-thau-chi-la-gi" TargetMode="External"/><Relationship Id="rId1563" Type="http://schemas.openxmlformats.org/officeDocument/2006/relationships/hyperlink" Target="https://techcombank.com/thong-tin/blog/1-man-bang-bao-nhieu-tien-viet" TargetMode="External"/><Relationship Id="rId2894" Type="http://schemas.openxmlformats.org/officeDocument/2006/relationships/hyperlink" Target="https://techcombank.com/thong-tin/blog/vay-50-trieu" TargetMode="External"/><Relationship Id="rId1564" Type="http://schemas.openxmlformats.org/officeDocument/2006/relationships/hyperlink" Target="https://techcombank.com/thong-tin/blog/chuyen-tien-tu-nhat-ve-viet-nam" TargetMode="External"/><Relationship Id="rId2895" Type="http://schemas.openxmlformats.org/officeDocument/2006/relationships/hyperlink" Target="https://techcombank.com/thong-tin/blog/vay-sieu-toc" TargetMode="External"/><Relationship Id="rId1598" Type="http://schemas.openxmlformats.org/officeDocument/2006/relationships/hyperlink" Target="https://techcombank.com/thong-tin/blog/tien-trung-quoc" TargetMode="External"/><Relationship Id="rId1599" Type="http://schemas.openxmlformats.org/officeDocument/2006/relationships/hyperlink" Target="https://techcombank.com/thong-tin/blog/doi-tien-do-o-dau" TargetMode="External"/><Relationship Id="rId1590" Type="http://schemas.openxmlformats.org/officeDocument/2006/relationships/hyperlink" Target="https://techcombank.com/thong-tin/blog/vnd-to-myr" TargetMode="External"/><Relationship Id="rId1591" Type="http://schemas.openxmlformats.org/officeDocument/2006/relationships/hyperlink" Target="https://techcombank.com/thong-tin/blog/1-trieu-won-bang-bao-nhieu-tien-viet" TargetMode="External"/><Relationship Id="rId1592" Type="http://schemas.openxmlformats.org/officeDocument/2006/relationships/hyperlink" Target="https://techcombank.com/thong-tin/blog/1000-won-bang-bao-nhieu-tien-viet" TargetMode="External"/><Relationship Id="rId1593" Type="http://schemas.openxmlformats.org/officeDocument/2006/relationships/hyperlink" Target="https://techcombank.com/thong-tin/blog/thanh-toan-khi-du-lich-han-quoc" TargetMode="External"/><Relationship Id="rId1594" Type="http://schemas.openxmlformats.org/officeDocument/2006/relationships/hyperlink" Target="https://techcombank.com/thong-tin/blog/chuyen-tien-tu-han-sang-viet-nam" TargetMode="External"/><Relationship Id="rId1595" Type="http://schemas.openxmlformats.org/officeDocument/2006/relationships/hyperlink" Target="https://techcombank.com/thong-tin/blog/ty-gia-cac-ngan-hang" TargetMode="External"/><Relationship Id="rId1596" Type="http://schemas.openxmlformats.org/officeDocument/2006/relationships/hyperlink" Target="https://techcombank.com/thong-tin/blog/1-dong-do-la-my-bang-bao-nhieu-tien-viet-nam" TargetMode="External"/><Relationship Id="rId1597" Type="http://schemas.openxmlformats.org/officeDocument/2006/relationships/hyperlink" Target="https://techcombank.com/thong-tin/blog/1-te-bang-bao-nhieu-tien-viet-nam" TargetMode="External"/><Relationship Id="rId1587" Type="http://schemas.openxmlformats.org/officeDocument/2006/relationships/hyperlink" Target="https://techcombank.com/thong-tin/blog/tien-thai-lan" TargetMode="External"/><Relationship Id="rId1588" Type="http://schemas.openxmlformats.org/officeDocument/2006/relationships/hyperlink" Target="https://techcombank.com/thong-tin/blog/tien-lao" TargetMode="External"/><Relationship Id="rId1589" Type="http://schemas.openxmlformats.org/officeDocument/2006/relationships/hyperlink" Target="https://techcombank.com/thong-tin/blog/tien-malaysia" TargetMode="External"/><Relationship Id="rId998" Type="http://schemas.openxmlformats.org/officeDocument/2006/relationships/hyperlink" Target="https://techcombank.com/thong-tin/blog/cach-su-dung-the-tin-dung" TargetMode="External"/><Relationship Id="rId997" Type="http://schemas.openxmlformats.org/officeDocument/2006/relationships/hyperlink" Target="https://techcombank.com/thong-tin/blog/thanh-toan-tra-gop-qua-the-tin-dung" TargetMode="External"/><Relationship Id="rId996" Type="http://schemas.openxmlformats.org/officeDocument/2006/relationships/hyperlink" Target="https://techcombank.com/thong-tin/blog/tra-gop-shopee" TargetMode="External"/><Relationship Id="rId995" Type="http://schemas.openxmlformats.org/officeDocument/2006/relationships/hyperlink" Target="https://techcombank.com/thong-tin/blog/lam-ho-so-tra-gop-dien-thoai" TargetMode="External"/><Relationship Id="rId999" Type="http://schemas.openxmlformats.org/officeDocument/2006/relationships/hyperlink" Target="https://techcombank.com/thong-tin/blog/du-no-tin-dung-la-gi" TargetMode="External"/><Relationship Id="rId990" Type="http://schemas.openxmlformats.org/officeDocument/2006/relationships/hyperlink" Target="https://techcombank.com/thong-tin/blog/nang-han-muc-tin-dung" TargetMode="External"/><Relationship Id="rId1580" Type="http://schemas.openxmlformats.org/officeDocument/2006/relationships/hyperlink" Target="https://techcombank.com/thong-tin/blog/chuyen-tien-di-uc" TargetMode="External"/><Relationship Id="rId1581" Type="http://schemas.openxmlformats.org/officeDocument/2006/relationships/hyperlink" Target="https://techcombank.com/thong-tin/blog/tien-dai-loan" TargetMode="External"/><Relationship Id="rId1582" Type="http://schemas.openxmlformats.org/officeDocument/2006/relationships/hyperlink" Target="https://techcombank.com/thong-tin/blog/1-cent-bang-bao-nhieu-tien-viet" TargetMode="External"/><Relationship Id="rId994" Type="http://schemas.openxmlformats.org/officeDocument/2006/relationships/hyperlink" Target="https://techcombank.com/thong-tin/blog/tra-gop-lazada" TargetMode="External"/><Relationship Id="rId1583" Type="http://schemas.openxmlformats.org/officeDocument/2006/relationships/hyperlink" Target="https://techcombank.com/thong-tin/blog/1-won-bang-bao-nhieu-tien-viet" TargetMode="External"/><Relationship Id="rId993" Type="http://schemas.openxmlformats.org/officeDocument/2006/relationships/hyperlink" Target="https://techcombank.com/thong-tin/blog/the-ghi-no-visa-la-gi" TargetMode="External"/><Relationship Id="rId1584" Type="http://schemas.openxmlformats.org/officeDocument/2006/relationships/hyperlink" Target="https://techcombank.com/thong-tin/blog/1-do-uc-bang-bao-nhieu-tien-viet" TargetMode="External"/><Relationship Id="rId992" Type="http://schemas.openxmlformats.org/officeDocument/2006/relationships/hyperlink" Target="https://techcombank.com/thong-tin/blog/tra-gop-qua-the-tin-dung" TargetMode="External"/><Relationship Id="rId1585" Type="http://schemas.openxmlformats.org/officeDocument/2006/relationships/hyperlink" Target="https://techcombank.com/thong-tin/blog/gui-tien-du-hoc" TargetMode="External"/><Relationship Id="rId991" Type="http://schemas.openxmlformats.org/officeDocument/2006/relationships/hyperlink" Target="https://techcombank.com/thong-tin/blog/vay-tin-chap-theo-luong" TargetMode="External"/><Relationship Id="rId1586" Type="http://schemas.openxmlformats.org/officeDocument/2006/relationships/hyperlink" Target="https://techcombank.com/thong-tin/blog/chuyen-tien-dinh-cu" TargetMode="External"/><Relationship Id="rId1532" Type="http://schemas.openxmlformats.org/officeDocument/2006/relationships/hyperlink" Target="https://techcombank.com/thong-tin/blog/chuyen-tien-tu-nhat-ve-viet-nam" TargetMode="External"/><Relationship Id="rId2863" Type="http://schemas.openxmlformats.org/officeDocument/2006/relationships/hyperlink" Target="https://techcombank.com/thong-tin/blog/nghich-ly-nha-dau-tu-che-trai-phieu-lai-suat-cao-ua-ma-an-toan-du-lai-suat-thap-hon-05-1" TargetMode="External"/><Relationship Id="rId1533" Type="http://schemas.openxmlformats.org/officeDocument/2006/relationships/hyperlink" Target="https://techcombank.com/thong-tin/blog/1-yen-bang-bao-nhieu-tien-viet-nam" TargetMode="External"/><Relationship Id="rId2864" Type="http://schemas.openxmlformats.org/officeDocument/2006/relationships/hyperlink" Target="https://techcombank.com/thong-tin/blog/thi-truong-trai-phieu-co-hoi-dau-tu-trai-phieu-vang-du-lai-suat-thap" TargetMode="External"/><Relationship Id="rId1534" Type="http://schemas.openxmlformats.org/officeDocument/2006/relationships/hyperlink" Target="https://techcombank.com/thong-tin/blog/1-man-bang-bao-nhieu-tien-viet" TargetMode="External"/><Relationship Id="rId2865" Type="http://schemas.openxmlformats.org/officeDocument/2006/relationships/hyperlink" Target="https://techcombank.com/thong-tin/blog/techcombank-sinh-loi-tu-dong" TargetMode="External"/><Relationship Id="rId1535" Type="http://schemas.openxmlformats.org/officeDocument/2006/relationships/hyperlink" Target="https://techcombank.com/thong-tin/blog/cach-tiet-kiem-tien-cua-nguoi-nhat" TargetMode="External"/><Relationship Id="rId2866" Type="http://schemas.openxmlformats.org/officeDocument/2006/relationships/hyperlink" Target="https://techcombank.com/thong-tin/blog/mo-so-tiet-kiem-can-bao-nhieu-tien" TargetMode="External"/><Relationship Id="rId1536" Type="http://schemas.openxmlformats.org/officeDocument/2006/relationships/hyperlink" Target="https://techcombank.com/thong-tin/blog/chixmax" TargetMode="External"/><Relationship Id="rId2867" Type="http://schemas.openxmlformats.org/officeDocument/2006/relationships/hyperlink" Target="https://techcombank.com/thong-tin/blog/lai-suat-chung-chi-quy" TargetMode="External"/><Relationship Id="rId1537" Type="http://schemas.openxmlformats.org/officeDocument/2006/relationships/hyperlink" Target="https://techcombank.com/thong-tin/blog/han-muc-mua-ngoai-te-khi-di-du-lich" TargetMode="External"/><Relationship Id="rId2868" Type="http://schemas.openxmlformats.org/officeDocument/2006/relationships/hyperlink" Target="https://techcombank.com/thong-tin/blog/lai-suat-cho-vay-doanh-nghiep" TargetMode="External"/><Relationship Id="rId1538" Type="http://schemas.openxmlformats.org/officeDocument/2006/relationships/hyperlink" Target="https://techcombank.com/thong-tin/blog/1000-yen-bang-bao-nhieu-tien-viet" TargetMode="External"/><Relationship Id="rId2869" Type="http://schemas.openxmlformats.org/officeDocument/2006/relationships/hyperlink" Target="https://techcombank.com/thong-tin/blog/vay-100-trieu" TargetMode="External"/><Relationship Id="rId1539" Type="http://schemas.openxmlformats.org/officeDocument/2006/relationships/hyperlink" Target="https://techcombank.com/thong-tin/blog/1-dong-do-la-my-bang-bao-nhieu-tien-viet-nam" TargetMode="External"/><Relationship Id="rId949" Type="http://schemas.openxmlformats.org/officeDocument/2006/relationships/hyperlink" Target="https://techcombank.com/thong-tin/blog/xu-huong-tieu-dung" TargetMode="External"/><Relationship Id="rId948" Type="http://schemas.openxmlformats.org/officeDocument/2006/relationships/hyperlink" Target="https://techcombank.com/thong-tin/blog/phan-bo-tai-san" TargetMode="External"/><Relationship Id="rId943" Type="http://schemas.openxmlformats.org/officeDocument/2006/relationships/hyperlink" Target="https://techcombank.com/thong-tin/blog/dat-xe-xanh-sm" TargetMode="External"/><Relationship Id="rId942" Type="http://schemas.openxmlformats.org/officeDocument/2006/relationships/hyperlink" Target="https://techcombank.com/thong-tin/blog/mr-eco" TargetMode="External"/><Relationship Id="rId941" Type="http://schemas.openxmlformats.org/officeDocument/2006/relationships/hyperlink" Target="https://techcombank.com/thong-tin/blog/chinh-sach-thue-moi" TargetMode="External"/><Relationship Id="rId940" Type="http://schemas.openxmlformats.org/officeDocument/2006/relationships/hyperlink" Target="https://techcombank.com/thong-tin/blog/cach-quan-ly-tai-san" TargetMode="External"/><Relationship Id="rId947" Type="http://schemas.openxmlformats.org/officeDocument/2006/relationships/hyperlink" Target="https://techcombank.com/thong-tin/blog/bao-hiem-pin-xe-dien" TargetMode="External"/><Relationship Id="rId946" Type="http://schemas.openxmlformats.org/officeDocument/2006/relationships/hyperlink" Target="https://techcombank.com/thong-tin/blog/voucher-xanh-sm" TargetMode="External"/><Relationship Id="rId945" Type="http://schemas.openxmlformats.org/officeDocument/2006/relationships/hyperlink" Target="https://techcombank.com/thong-tin/blog/ngan-hang-so-cho-doanh-nghiep" TargetMode="External"/><Relationship Id="rId944" Type="http://schemas.openxmlformats.org/officeDocument/2006/relationships/hyperlink" Target="https://techcombank.com/thong-tin/blog/thuc-day-thi-truong-the-noi-dia-va-xu-huong-thanh-toan-tuong-lai" TargetMode="External"/><Relationship Id="rId2860" Type="http://schemas.openxmlformats.org/officeDocument/2006/relationships/hyperlink" Target="https://techcombank.com/thong-tin/blog/ngan-hang-so" TargetMode="External"/><Relationship Id="rId1530" Type="http://schemas.openxmlformats.org/officeDocument/2006/relationships/hyperlink" Target="https://techcombank.com/thong-tin/blog/tien-malaysia" TargetMode="External"/><Relationship Id="rId2861" Type="http://schemas.openxmlformats.org/officeDocument/2006/relationships/hyperlink" Target="https://techcombank.com/thong-tin/blog/lap-ke-hoach-chi-tieu-ca-nhan" TargetMode="External"/><Relationship Id="rId1531" Type="http://schemas.openxmlformats.org/officeDocument/2006/relationships/hyperlink" Target="https://techcombank.com/thong-tin/blog/thanh-toan-khi-du-lich-nhat-ban" TargetMode="External"/><Relationship Id="rId2862" Type="http://schemas.openxmlformats.org/officeDocument/2006/relationships/hyperlink" Target="https://techcombank.com/thong-tin/blog/ke-hoach-tai-chinh" TargetMode="External"/><Relationship Id="rId1521" Type="http://schemas.openxmlformats.org/officeDocument/2006/relationships/hyperlink" Target="https://techcombank.com/thong-tin/blog/1-van-te-bang-bao-nhieu-tien-viet" TargetMode="External"/><Relationship Id="rId2852" Type="http://schemas.openxmlformats.org/officeDocument/2006/relationships/hyperlink" Target="https://techcombank.com/thong-tin/blog/gui-tiet-kiem-usd" TargetMode="External"/><Relationship Id="rId1522" Type="http://schemas.openxmlformats.org/officeDocument/2006/relationships/hyperlink" Target="https://techcombank.com/thong-tin/blog/1000-te-bang-bao-nhieu-tien-viet" TargetMode="External"/><Relationship Id="rId2853" Type="http://schemas.openxmlformats.org/officeDocument/2006/relationships/hyperlink" Target="https://techcombank.com/thong-tin/blog/so-tiet-kiem-ngan-hang" TargetMode="External"/><Relationship Id="rId1523" Type="http://schemas.openxmlformats.org/officeDocument/2006/relationships/hyperlink" Target="https://techcombank.com/thong-tin/blog/100-riel-bang-bao-nhieu-tien-viet-nam" TargetMode="External"/><Relationship Id="rId2854" Type="http://schemas.openxmlformats.org/officeDocument/2006/relationships/hyperlink" Target="https://techcombank.com/thong-tin/blog/lai-suat-chung-chi-tien-gui-cac-ngan-hang" TargetMode="External"/><Relationship Id="rId1524" Type="http://schemas.openxmlformats.org/officeDocument/2006/relationships/hyperlink" Target="https://techcombank.com/thong-tin/blog/tien-indonesia" TargetMode="External"/><Relationship Id="rId2855" Type="http://schemas.openxmlformats.org/officeDocument/2006/relationships/hyperlink" Target="https://techcombank.com/thong-tin/blog/app-gui-tien-tiet-kiem" TargetMode="External"/><Relationship Id="rId1525" Type="http://schemas.openxmlformats.org/officeDocument/2006/relationships/hyperlink" Target="https://techcombank.com/thong-tin/blog/tien-dai-loan" TargetMode="External"/><Relationship Id="rId2856" Type="http://schemas.openxmlformats.org/officeDocument/2006/relationships/hyperlink" Target="https://techcombank.com/thong-tin/blog/bi-quyet-tiet-kiem-tien-mua-nha" TargetMode="External"/><Relationship Id="rId1526" Type="http://schemas.openxmlformats.org/officeDocument/2006/relationships/hyperlink" Target="https://techcombank.com/thong-tin/blog/1-won-bang-bao-nhieu-tien-viet" TargetMode="External"/><Relationship Id="rId2857" Type="http://schemas.openxmlformats.org/officeDocument/2006/relationships/hyperlink" Target="https://techcombank.com/thong-tin/blog/tat-toan-so-tiet-kiem" TargetMode="External"/><Relationship Id="rId1527" Type="http://schemas.openxmlformats.org/officeDocument/2006/relationships/hyperlink" Target="https://techcombank.com/thong-tin/blog/gui-tien-du-hoc" TargetMode="External"/><Relationship Id="rId2858" Type="http://schemas.openxmlformats.org/officeDocument/2006/relationships/hyperlink" Target="https://techcombank.com/thong-tin/blog/tra-gop-shopee" TargetMode="External"/><Relationship Id="rId1528" Type="http://schemas.openxmlformats.org/officeDocument/2006/relationships/hyperlink" Target="https://techcombank.com/thong-tin/blog/tien-nhat" TargetMode="External"/><Relationship Id="rId2859" Type="http://schemas.openxmlformats.org/officeDocument/2006/relationships/hyperlink" Target="https://techcombank.com/thong-tin/blog/chung-chi-tien-gui-la-gi" TargetMode="External"/><Relationship Id="rId1529" Type="http://schemas.openxmlformats.org/officeDocument/2006/relationships/hyperlink" Target="https://techcombank.com/thong-tin/blog/chuyen-tien-dinh-cu" TargetMode="External"/><Relationship Id="rId939" Type="http://schemas.openxmlformats.org/officeDocument/2006/relationships/hyperlink" Target="https://techcombank.com/thong-tin/blog/luu-y-khi-chuyen-doi-tu-ho-kinh-doanh-len-doanh-nghiep" TargetMode="External"/><Relationship Id="rId938" Type="http://schemas.openxmlformats.org/officeDocument/2006/relationships/hyperlink" Target="https://techcombank.com/thong-tin/blog/loi-nhuan-rong" TargetMode="External"/><Relationship Id="rId937" Type="http://schemas.openxmlformats.org/officeDocument/2006/relationships/hyperlink" Target="https://techcombank.com/thong-tin/blog/tai-khoan-doanh-nghiep-co-the-khong" TargetMode="External"/><Relationship Id="rId932" Type="http://schemas.openxmlformats.org/officeDocument/2006/relationships/hyperlink" Target="https://techcombank.com/thong-tin/blog/san-pham-xanh" TargetMode="External"/><Relationship Id="rId931" Type="http://schemas.openxmlformats.org/officeDocument/2006/relationships/hyperlink" Target="https://techcombank.com/thong-tin/blog/dau-chan-carbon" TargetMode="External"/><Relationship Id="rId930" Type="http://schemas.openxmlformats.org/officeDocument/2006/relationships/hyperlink" Target="https://techcombank.com/thong-tin/blog/tao-ma-qr-thanh-toan-cho-cua-hang" TargetMode="External"/><Relationship Id="rId936" Type="http://schemas.openxmlformats.org/officeDocument/2006/relationships/hyperlink" Target="https://techcombank.com/thong-tin/blog/tap-doan-thanh-quang-khoi-sac-kinh-doanh-nho-nguon-von-vay-tin-dung-techcombank-tren-nen-tang-misa-lending" TargetMode="External"/><Relationship Id="rId935" Type="http://schemas.openxmlformats.org/officeDocument/2006/relationships/hyperlink" Target="https://techcombank.com/thong-tin/blog/tieu-dung-xanh" TargetMode="External"/><Relationship Id="rId934" Type="http://schemas.openxmlformats.org/officeDocument/2006/relationships/hyperlink" Target="https://techcombank.com/thong-tin/blog/the-ghi-no-visa-la-gi" TargetMode="External"/><Relationship Id="rId933" Type="http://schemas.openxmlformats.org/officeDocument/2006/relationships/hyperlink" Target="https://techcombank.com/thong-tin/blog/xu-huong-song-xanh" TargetMode="External"/><Relationship Id="rId2850" Type="http://schemas.openxmlformats.org/officeDocument/2006/relationships/hyperlink" Target="https://techcombank.com/thong-tin/blog/tien-gui-co-ky-han" TargetMode="External"/><Relationship Id="rId1520" Type="http://schemas.openxmlformats.org/officeDocument/2006/relationships/hyperlink" Target="https://techcombank.com/thong-tin/blog/chuyen-tien-tu-nhat-ve-viet-nam" TargetMode="External"/><Relationship Id="rId2851" Type="http://schemas.openxmlformats.org/officeDocument/2006/relationships/hyperlink" Target="https://techcombank.com/thong-tin/blog/lai-suat-gui-tiet-kiem-usd" TargetMode="External"/><Relationship Id="rId1554" Type="http://schemas.openxmlformats.org/officeDocument/2006/relationships/hyperlink" Target="https://techcombank.com/thong-tin/blog/1-won-bang-bao-nhieu-tien-viet" TargetMode="External"/><Relationship Id="rId2885" Type="http://schemas.openxmlformats.org/officeDocument/2006/relationships/hyperlink" Target="https://techcombank.com/thong-tin/blog/vay-50-trieu" TargetMode="External"/><Relationship Id="rId1555" Type="http://schemas.openxmlformats.org/officeDocument/2006/relationships/hyperlink" Target="https://techcombank.com/thong-tin/blog/1-do-uc-bang-bao-nhieu-tien-viet" TargetMode="External"/><Relationship Id="rId2886" Type="http://schemas.openxmlformats.org/officeDocument/2006/relationships/hyperlink" Target="https://techcombank.com/thong-tin/blog/lai-suat-qua-han" TargetMode="External"/><Relationship Id="rId1556" Type="http://schemas.openxmlformats.org/officeDocument/2006/relationships/hyperlink" Target="https://techcombank.com/thong-tin/blog/gui-tien-du-hoc" TargetMode="External"/><Relationship Id="rId2887" Type="http://schemas.openxmlformats.org/officeDocument/2006/relationships/hyperlink" Target="https://techcombank.com/thong-tin/blog/nen-vay-tin-chap-o-dau" TargetMode="External"/><Relationship Id="rId1557" Type="http://schemas.openxmlformats.org/officeDocument/2006/relationships/hyperlink" Target="https://techcombank.com/thong-tin/blog/chuyen-tien-dinh-cu" TargetMode="External"/><Relationship Id="rId2888" Type="http://schemas.openxmlformats.org/officeDocument/2006/relationships/hyperlink" Target="https://techcombank.com/thong-tin/blog/diem-tin-dung" TargetMode="External"/><Relationship Id="rId1558" Type="http://schemas.openxmlformats.org/officeDocument/2006/relationships/hyperlink" Target="https://techcombank.com/thong-tin/blog/vnd-to-myr" TargetMode="External"/><Relationship Id="rId2889" Type="http://schemas.openxmlformats.org/officeDocument/2006/relationships/hyperlink" Target="https://techcombank.com/thong-tin/blog/kinh-nghiem-vay-the-chap-ngan-hang" TargetMode="External"/><Relationship Id="rId1559" Type="http://schemas.openxmlformats.org/officeDocument/2006/relationships/hyperlink" Target="https://techcombank.com/thong-tin/blog/thu-tuc-chuyen-tien-ra-nuoc-ngoai" TargetMode="External"/><Relationship Id="rId965" Type="http://schemas.openxmlformats.org/officeDocument/2006/relationships/hyperlink" Target="https://techcombank.com/thong-tin/blog/no-xau-nhom-2" TargetMode="External"/><Relationship Id="rId964" Type="http://schemas.openxmlformats.org/officeDocument/2006/relationships/hyperlink" Target="https://techcombank.com/thong-tin/blog/no-chu-y-la-gi" TargetMode="External"/><Relationship Id="rId963" Type="http://schemas.openxmlformats.org/officeDocument/2006/relationships/hyperlink" Target="https://techcombank.com/thong-tin/blog/no-nhom-3" TargetMode="External"/><Relationship Id="rId962" Type="http://schemas.openxmlformats.org/officeDocument/2006/relationships/hyperlink" Target="https://techcombank.com/thong-tin/blog/lich-su-tin-dung" TargetMode="External"/><Relationship Id="rId969" Type="http://schemas.openxmlformats.org/officeDocument/2006/relationships/hyperlink" Target="https://techcombank.com/thong-tin/blog/no-xau-la-gi" TargetMode="External"/><Relationship Id="rId968" Type="http://schemas.openxmlformats.org/officeDocument/2006/relationships/hyperlink" Target="https://techcombank.com/thong-tin/blog/no-xau" TargetMode="External"/><Relationship Id="rId967" Type="http://schemas.openxmlformats.org/officeDocument/2006/relationships/hyperlink" Target="https://techcombank.com/thong-tin/blog/kiem-tra-no-xau" TargetMode="External"/><Relationship Id="rId966" Type="http://schemas.openxmlformats.org/officeDocument/2006/relationships/hyperlink" Target="https://techcombank.com/thong-tin/blog/vay-the-chap-khong-tra-duoc" TargetMode="External"/><Relationship Id="rId2880" Type="http://schemas.openxmlformats.org/officeDocument/2006/relationships/hyperlink" Target="https://techcombank.com/thong-tin/blog/vay-ngan-han" TargetMode="External"/><Relationship Id="rId961" Type="http://schemas.openxmlformats.org/officeDocument/2006/relationships/hyperlink" Target="https://techcombank.com/thong-tin/blog/diem-tin-dung" TargetMode="External"/><Relationship Id="rId1550" Type="http://schemas.openxmlformats.org/officeDocument/2006/relationships/hyperlink" Target="https://techcombank.com/thong-tin/blog/dieu-kien-mua-usd-tu-ngan-hang" TargetMode="External"/><Relationship Id="rId2881" Type="http://schemas.openxmlformats.org/officeDocument/2006/relationships/hyperlink" Target="https://techcombank.com/thong-tin/blog/cho-vay-kinh-doanh-ho-gia-dinh" TargetMode="External"/><Relationship Id="rId960" Type="http://schemas.openxmlformats.org/officeDocument/2006/relationships/hyperlink" Target="https://techcombank.com/thong-tin/blog/giao-thong-xanh" TargetMode="External"/><Relationship Id="rId1551" Type="http://schemas.openxmlformats.org/officeDocument/2006/relationships/hyperlink" Target="https://techcombank.com/thong-tin/blog/chuyen-tien-di-uc" TargetMode="External"/><Relationship Id="rId2882" Type="http://schemas.openxmlformats.org/officeDocument/2006/relationships/hyperlink" Target="https://techcombank.com/thong-tin/blog/vay-von-doanh-nghiep-nho" TargetMode="External"/><Relationship Id="rId1552" Type="http://schemas.openxmlformats.org/officeDocument/2006/relationships/hyperlink" Target="https://techcombank.com/thong-tin/blog/tien-dai-loan" TargetMode="External"/><Relationship Id="rId2883" Type="http://schemas.openxmlformats.org/officeDocument/2006/relationships/hyperlink" Target="https://techcombank.com/thong-tin/blog/vay-mua-chung-cu" TargetMode="External"/><Relationship Id="rId1553" Type="http://schemas.openxmlformats.org/officeDocument/2006/relationships/hyperlink" Target="https://techcombank.com/thong-tin/blog/1-cent-bang-bao-nhieu-tien-viet" TargetMode="External"/><Relationship Id="rId2884" Type="http://schemas.openxmlformats.org/officeDocument/2006/relationships/hyperlink" Target="https://techcombank.com/thong-tin/blog/vay-15-trieu" TargetMode="External"/><Relationship Id="rId1543" Type="http://schemas.openxmlformats.org/officeDocument/2006/relationships/hyperlink" Target="https://techcombank.com/thong-tin/blog/tien-singapore" TargetMode="External"/><Relationship Id="rId2874" Type="http://schemas.openxmlformats.org/officeDocument/2006/relationships/hyperlink" Target="https://techcombank.com/thong-tin/blog/vi-sao-lai-suat-trai-phieu-tai-tcbs-lai-thap-hon-so-voi-cac-to-chuc-phat-hanh-khac" TargetMode="External"/><Relationship Id="rId1544" Type="http://schemas.openxmlformats.org/officeDocument/2006/relationships/hyperlink" Target="https://techcombank.com/thong-tin/blog/1000-won-bang-bao-nhieu-tien-viet" TargetMode="External"/><Relationship Id="rId2875" Type="http://schemas.openxmlformats.org/officeDocument/2006/relationships/hyperlink" Target="https://techcombank.com/thong-tin/blog/cach-dau-tu" TargetMode="External"/><Relationship Id="rId1545" Type="http://schemas.openxmlformats.org/officeDocument/2006/relationships/hyperlink" Target="https://techcombank.com/thong-tin/blog/di-du-lich-nuoc-ngoai-can-chuan-bi-gi" TargetMode="External"/><Relationship Id="rId2876" Type="http://schemas.openxmlformats.org/officeDocument/2006/relationships/hyperlink" Target="https://techcombank.com/thong-tin/blog/tra-gop-hoc-phi" TargetMode="External"/><Relationship Id="rId1546" Type="http://schemas.openxmlformats.org/officeDocument/2006/relationships/hyperlink" Target="https://techcombank.com/thong-tin/blog/1-van-te-bang-bao-nhieu-tien-viet" TargetMode="External"/><Relationship Id="rId2877" Type="http://schemas.openxmlformats.org/officeDocument/2006/relationships/hyperlink" Target="https://techcombank.com/thong-tin/blog/chung-chi-tien-gui-co-an-toan-khong" TargetMode="External"/><Relationship Id="rId1547" Type="http://schemas.openxmlformats.org/officeDocument/2006/relationships/hyperlink" Target="https://techcombank.com/thong-tin/blog/1000-te-bang-bao-nhieu-tien-viet" TargetMode="External"/><Relationship Id="rId2878" Type="http://schemas.openxmlformats.org/officeDocument/2006/relationships/hyperlink" Target="https://techcombank.com/thong-tin/blog/vay-mua-dien-thoai" TargetMode="External"/><Relationship Id="rId1548" Type="http://schemas.openxmlformats.org/officeDocument/2006/relationships/hyperlink" Target="https://techcombank.com/thong-tin/blog/100-riel-bang-bao-nhieu-tien-viet-nam" TargetMode="External"/><Relationship Id="rId2879" Type="http://schemas.openxmlformats.org/officeDocument/2006/relationships/hyperlink" Target="https://techcombank.com/thong-tin/blog/vay-bo-sung-von-luu-dong" TargetMode="External"/><Relationship Id="rId1549" Type="http://schemas.openxmlformats.org/officeDocument/2006/relationships/hyperlink" Target="https://techcombank.com/thong-tin/blog/tien-indonesia" TargetMode="External"/><Relationship Id="rId959" Type="http://schemas.openxmlformats.org/officeDocument/2006/relationships/hyperlink" Target="https://techcombank.com/thong-tin/blog/cach-nap-tien-vao-the-ghi-no" TargetMode="External"/><Relationship Id="rId954" Type="http://schemas.openxmlformats.org/officeDocument/2006/relationships/hyperlink" Target="https://techcombank.com/thong-tin/blog/gia-tri-tai-san-rong" TargetMode="External"/><Relationship Id="rId953" Type="http://schemas.openxmlformats.org/officeDocument/2006/relationships/hyperlink" Target="https://techcombank.com/thong-tin/blog/khau-vi-nha-dau-tu-tpdn-thay-doi-the-nao-sau-nhung-bien-dong-vua-qua" TargetMode="External"/><Relationship Id="rId952" Type="http://schemas.openxmlformats.org/officeDocument/2006/relationships/hyperlink" Target="https://techcombank.com/thong-tin/blog/the-ghi-no-va-the-tin-dung" TargetMode="External"/><Relationship Id="rId951" Type="http://schemas.openxmlformats.org/officeDocument/2006/relationships/hyperlink" Target="https://techcombank.com/thong-tin/blog/cach-tiet-kiem-tien-hieu-qua-cho-gia-dinh" TargetMode="External"/><Relationship Id="rId958" Type="http://schemas.openxmlformats.org/officeDocument/2006/relationships/hyperlink" Target="https://techcombank.com/thong-tin/blog/the-ghi-no-noi-dia" TargetMode="External"/><Relationship Id="rId957" Type="http://schemas.openxmlformats.org/officeDocument/2006/relationships/hyperlink" Target="https://techcombank.com/thong-tin/blog/the-tin-dung-techcombank-visa-eco" TargetMode="External"/><Relationship Id="rId956" Type="http://schemas.openxmlformats.org/officeDocument/2006/relationships/hyperlink" Target="https://techcombank.com/thong-tin/blog/mo-the-ghi-no" TargetMode="External"/><Relationship Id="rId955" Type="http://schemas.openxmlformats.org/officeDocument/2006/relationships/hyperlink" Target="https://techcombank.com/thong-tin/blog/the-ghi-no-la-gi" TargetMode="External"/><Relationship Id="rId950" Type="http://schemas.openxmlformats.org/officeDocument/2006/relationships/hyperlink" Target="https://techcombank.com/thong-tin/blog/cach-lam-the-ngan-hang-chay-quang-cao-facebook" TargetMode="External"/><Relationship Id="rId2870" Type="http://schemas.openxmlformats.org/officeDocument/2006/relationships/hyperlink" Target="https://techcombank.com/thong-tin/blog/quy-du-phong-tai-chinh-la-gi" TargetMode="External"/><Relationship Id="rId1540" Type="http://schemas.openxmlformats.org/officeDocument/2006/relationships/hyperlink" Target="https://techcombank.com/thong-tin/blog/1-te-bang-bao-nhieu-tien-viet-nam" TargetMode="External"/><Relationship Id="rId2871" Type="http://schemas.openxmlformats.org/officeDocument/2006/relationships/hyperlink" Target="https://techcombank.com/thong-tin/blog/loi-ich-cua-ngan-hang-so-voi-sme" TargetMode="External"/><Relationship Id="rId1541" Type="http://schemas.openxmlformats.org/officeDocument/2006/relationships/hyperlink" Target="https://techcombank.com/thong-tin/blog/tien-trung-quoc" TargetMode="External"/><Relationship Id="rId2872" Type="http://schemas.openxmlformats.org/officeDocument/2006/relationships/hyperlink" Target="https://techcombank.com/thong-tin/blog/rut-tien-tiet-kiem-truoc-thoi-han" TargetMode="External"/><Relationship Id="rId1542" Type="http://schemas.openxmlformats.org/officeDocument/2006/relationships/hyperlink" Target="https://techcombank.com/thong-tin/blog/doi-tien-do-o-dau" TargetMode="External"/><Relationship Id="rId2873" Type="http://schemas.openxmlformats.org/officeDocument/2006/relationships/hyperlink" Target="https://techcombank.com/thong-tin/blog/lai-suat-la-gi" TargetMode="External"/><Relationship Id="rId2027" Type="http://schemas.openxmlformats.org/officeDocument/2006/relationships/hyperlink" Target="https://techcombank.com/thong-tin/blog/nhung-ho-kinh-doanh-duoc-mien-thue" TargetMode="External"/><Relationship Id="rId3359" Type="http://schemas.openxmlformats.org/officeDocument/2006/relationships/hyperlink" Target="https://techcombank.com/thong-tin/blog/wacc-la-gi" TargetMode="External"/><Relationship Id="rId2028" Type="http://schemas.openxmlformats.org/officeDocument/2006/relationships/hyperlink" Target="https://techcombank.com/thong-tin/blog/luu-y-khi-chuyen-doi-tu-ho-kinh-doanh-len-doanh-nghiep" TargetMode="External"/><Relationship Id="rId3358" Type="http://schemas.openxmlformats.org/officeDocument/2006/relationships/hyperlink" Target="https://techcombank.com/thong-tin/blog/chung-chi-quy-va-co-phieu" TargetMode="External"/><Relationship Id="rId2029" Type="http://schemas.openxmlformats.org/officeDocument/2006/relationships/hyperlink" Target="https://techcombank.com/thong-tin/blog/barcode-la-gi" TargetMode="External"/><Relationship Id="rId107" Type="http://schemas.openxmlformats.org/officeDocument/2006/relationships/hyperlink" Target="https://techcombank.com/thong-tin/blog/chuan-bi-cho-doanh-nghiep-khoi-nghiep-truoc-nhung-thay-doi-ve-thue" TargetMode="External"/><Relationship Id="rId106" Type="http://schemas.openxmlformats.org/officeDocument/2006/relationships/hyperlink" Target="https://techcombank.com/thong-tin/blog/thay-doi-dia-chi-ho-kinh-doanh" TargetMode="External"/><Relationship Id="rId105" Type="http://schemas.openxmlformats.org/officeDocument/2006/relationships/hyperlink" Target="https://techcombank.com/thong-tin/blog/dang-ky-kinh-doanh-la-gi" TargetMode="External"/><Relationship Id="rId104" Type="http://schemas.openxmlformats.org/officeDocument/2006/relationships/hyperlink" Target="https://techcombank.com/thong-tin/blog/giay-phep-kinh-doanh" TargetMode="External"/><Relationship Id="rId109" Type="http://schemas.openxmlformats.org/officeDocument/2006/relationships/hyperlink" Target="https://techcombank.com/thong-tin/blog/cach-tinh-thue-thu-nhap-doanh-nghiep" TargetMode="External"/><Relationship Id="rId108" Type="http://schemas.openxmlformats.org/officeDocument/2006/relationships/hyperlink" Target="https://techcombank.com/thong-tin/blog/dieu-kien-vay-von-ngan-hang" TargetMode="External"/><Relationship Id="rId3351" Type="http://schemas.openxmlformats.org/officeDocument/2006/relationships/hyperlink" Target="https://techcombank.com/thong-tin/blog/no-xau-co-vay-the-chap-duoc-khong" TargetMode="External"/><Relationship Id="rId2020" Type="http://schemas.openxmlformats.org/officeDocument/2006/relationships/hyperlink" Target="https://techcombank.com/thong-tin/blog/truy-thu-thue-ho-kinh-doanh" TargetMode="External"/><Relationship Id="rId3350" Type="http://schemas.openxmlformats.org/officeDocument/2006/relationships/hyperlink" Target="https://techcombank.com/thong-tin/blog/no-xau-mo-the-tin-dung-duoc-khong" TargetMode="External"/><Relationship Id="rId2021" Type="http://schemas.openxmlformats.org/officeDocument/2006/relationships/hyperlink" Target="https://techcombank.com/thong-tin/blog/kiem-tra-thue-ho-kinh-doanh" TargetMode="External"/><Relationship Id="rId3353" Type="http://schemas.openxmlformats.org/officeDocument/2006/relationships/hyperlink" Target="https://techcombank.com/thong-tin/blog/cac-hinh-thuc-cho-vay-tieu-dung" TargetMode="External"/><Relationship Id="rId2022" Type="http://schemas.openxmlformats.org/officeDocument/2006/relationships/hyperlink" Target="https://techcombank.com/thong-tin/blog/cac-sai-lam-pho-bien-khi-chuyen-doi-ho-kinh-doanh-len-sme" TargetMode="External"/><Relationship Id="rId3352" Type="http://schemas.openxmlformats.org/officeDocument/2006/relationships/hyperlink" Target="https://techcombank.com/thong-tin/blog/vay-tin-chap-no-xau" TargetMode="External"/><Relationship Id="rId103" Type="http://schemas.openxmlformats.org/officeDocument/2006/relationships/hyperlink" Target="https://techcombank.com/thong-tin/blog/due-diligence" TargetMode="External"/><Relationship Id="rId2023" Type="http://schemas.openxmlformats.org/officeDocument/2006/relationships/hyperlink" Target="https://techcombank.com/thong-tin/blog/giay-phep-kinh-doanh" TargetMode="External"/><Relationship Id="rId3355" Type="http://schemas.openxmlformats.org/officeDocument/2006/relationships/hyperlink" Target="https://techcombank.com/thong-tin/blog/mua-chung-chi-quy" TargetMode="External"/><Relationship Id="rId102" Type="http://schemas.openxmlformats.org/officeDocument/2006/relationships/hyperlink" Target="https://techcombank.com/thong-tin/blog/cach-tra-cuu-hoa-don-dien-tu" TargetMode="External"/><Relationship Id="rId2024" Type="http://schemas.openxmlformats.org/officeDocument/2006/relationships/hyperlink" Target="https://techcombank.com/thong-tin/blog/chuyen-doi-hoa-don-dien-tu" TargetMode="External"/><Relationship Id="rId3354" Type="http://schemas.openxmlformats.org/officeDocument/2006/relationships/hyperlink" Target="https://techcombank.com/thong-tin/blog/chung-chi-quy" TargetMode="External"/><Relationship Id="rId101" Type="http://schemas.openxmlformats.org/officeDocument/2006/relationships/hyperlink" Target="https://techcombank.com/thong-tin/blog/tiem-nang-chuyen-doi-tu-ho-kinh-doanh-len-doanh-nghiep-sme" TargetMode="External"/><Relationship Id="rId2025" Type="http://schemas.openxmlformats.org/officeDocument/2006/relationships/hyperlink" Target="https://techcombank.com/thong-tin/blog/dang-ky-kinh-doanh-la-gi" TargetMode="External"/><Relationship Id="rId3357" Type="http://schemas.openxmlformats.org/officeDocument/2006/relationships/hyperlink" Target="https://techcombank.com/thong-tin/blog/app-theo-doi-chung-chi-quy" TargetMode="External"/><Relationship Id="rId100" Type="http://schemas.openxmlformats.org/officeDocument/2006/relationships/hyperlink" Target="https://techcombank.com/thong-tin/blog/loi-ich-khi-ho-kinh-doanh-chuyen-len-doanh-nghiep" TargetMode="External"/><Relationship Id="rId2026" Type="http://schemas.openxmlformats.org/officeDocument/2006/relationships/hyperlink" Target="https://techcombank.com/thong-tin/blog/thay-doi-dia-chi-ho-kinh-doanh" TargetMode="External"/><Relationship Id="rId3356" Type="http://schemas.openxmlformats.org/officeDocument/2006/relationships/hyperlink" Target="https://techcombank.com/thong-tin/blog/dau-tu-quy-mo" TargetMode="External"/><Relationship Id="rId2016" Type="http://schemas.openxmlformats.org/officeDocument/2006/relationships/hyperlink" Target="https://techcombank.com/thong-tin/blog/vay-tin-chap-ho-kinh-doanh" TargetMode="External"/><Relationship Id="rId3348" Type="http://schemas.openxmlformats.org/officeDocument/2006/relationships/hyperlink" Target="https://techcombank.com/thong-tin/blog/vay-200-trieu" TargetMode="External"/><Relationship Id="rId2017" Type="http://schemas.openxmlformats.org/officeDocument/2006/relationships/hyperlink" Target="https://techcombank.com/thong-tin/blog/tra-cuu-no-thue-ho-kinh-doanh" TargetMode="External"/><Relationship Id="rId3347" Type="http://schemas.openxmlformats.org/officeDocument/2006/relationships/hyperlink" Target="https://techcombank.com/thong-tin/blog/vay-tin-chap-toi-da-duoc-bao-nhieu" TargetMode="External"/><Relationship Id="rId2018" Type="http://schemas.openxmlformats.org/officeDocument/2006/relationships/hyperlink" Target="https://techcombank.com/thong-tin/blog/lien-ket-tai-khoan-ngan-hang-voi-etax-mobile" TargetMode="External"/><Relationship Id="rId2019" Type="http://schemas.openxmlformats.org/officeDocument/2006/relationships/hyperlink" Target="https://techcombank.com/thong-tin/blog/thu-tuc-vay-von-kinh-doanh-nho" TargetMode="External"/><Relationship Id="rId3349" Type="http://schemas.openxmlformats.org/officeDocument/2006/relationships/hyperlink" Target="https://techcombank.com/thong-tin/blog/the-tin-dung-bi-khoa" TargetMode="External"/><Relationship Id="rId3340" Type="http://schemas.openxmlformats.org/officeDocument/2006/relationships/hyperlink" Target="https://techcombank.com/thong-tin/blog/vay-tin-chap-va-vay-the-chap" TargetMode="External"/><Relationship Id="rId2010" Type="http://schemas.openxmlformats.org/officeDocument/2006/relationships/hyperlink" Target="https://techcombank.com/thong-tin/blog/loi-ich-khi-ho-kinh-doanh-chuyen-len-doanh-nghiep" TargetMode="External"/><Relationship Id="rId3342" Type="http://schemas.openxmlformats.org/officeDocument/2006/relationships/hyperlink" Target="https://techcombank.com/thong-tin/blog/qua-han-thanh-toan-the-tin-dung-1-ngay" TargetMode="External"/><Relationship Id="rId2011" Type="http://schemas.openxmlformats.org/officeDocument/2006/relationships/hyperlink" Target="https://techcombank.com/thong-tin/blog/tiem-nang-chuyen-doi-tu-ho-kinh-doanh-len-doanh-nghiep-sme" TargetMode="External"/><Relationship Id="rId3341" Type="http://schemas.openxmlformats.org/officeDocument/2006/relationships/hyperlink" Target="https://techcombank.com/thong-tin/blog/no-xau-la-gi" TargetMode="External"/><Relationship Id="rId2012" Type="http://schemas.openxmlformats.org/officeDocument/2006/relationships/hyperlink" Target="https://techcombank.com/thong-tin/blog/lai-suat-vay-kinh-doanh" TargetMode="External"/><Relationship Id="rId3344" Type="http://schemas.openxmlformats.org/officeDocument/2006/relationships/hyperlink" Target="https://techcombank.com/thong-tin/blog/ho-so-vay-tin-chap" TargetMode="External"/><Relationship Id="rId2013" Type="http://schemas.openxmlformats.org/officeDocument/2006/relationships/hyperlink" Target="https://techcombank.com/thong-tin/blog/chuyen-doi-ho-kinh-doanh-len-doanh-nghiep" TargetMode="External"/><Relationship Id="rId3343" Type="http://schemas.openxmlformats.org/officeDocument/2006/relationships/hyperlink" Target="https://techcombank.com/thong-tin/blog/no-xau-co-lam-the-visa-duoc-khong" TargetMode="External"/><Relationship Id="rId2014" Type="http://schemas.openxmlformats.org/officeDocument/2006/relationships/hyperlink" Target="https://techcombank.com/thong-tin/blog/thanh-toan-khong-dung-tien-mat" TargetMode="External"/><Relationship Id="rId3346" Type="http://schemas.openxmlformats.org/officeDocument/2006/relationships/hyperlink" Target="https://techcombank.com/thong-tin/blog/no-nhom-3" TargetMode="External"/><Relationship Id="rId2015" Type="http://schemas.openxmlformats.org/officeDocument/2006/relationships/hyperlink" Target="https://techcombank.com/thong-tin/blog/nen-thanh-lap-ho-kinh-doanh-ke-khai-hay-doanh-nghiep" TargetMode="External"/><Relationship Id="rId3345" Type="http://schemas.openxmlformats.org/officeDocument/2006/relationships/hyperlink" Target="https://techcombank.com/thong-tin/blog/thanh-toan-toi-thieu-the-tin-dung" TargetMode="External"/><Relationship Id="rId2049" Type="http://schemas.openxmlformats.org/officeDocument/2006/relationships/hyperlink" Target="https://techcombank.com/thong-tin/blog/lien-ket-tai-khoan-ngan-hang-voi-etax-mobile" TargetMode="External"/><Relationship Id="rId129" Type="http://schemas.openxmlformats.org/officeDocument/2006/relationships/hyperlink" Target="https://techcombank.com/thong-tin/blog/von-luu-dong-la-gi" TargetMode="External"/><Relationship Id="rId128" Type="http://schemas.openxmlformats.org/officeDocument/2006/relationships/hyperlink" Target="https://techcombank.com/thong-tin/blog/vay-von-doanh-nghiep-nho" TargetMode="External"/><Relationship Id="rId127" Type="http://schemas.openxmlformats.org/officeDocument/2006/relationships/hyperlink" Target="https://techcombank.com/thong-tin/blog/ebitda-la-gi" TargetMode="External"/><Relationship Id="rId126" Type="http://schemas.openxmlformats.org/officeDocument/2006/relationships/hyperlink" Target="https://techcombank.com/thong-tin/blog/roa" TargetMode="External"/><Relationship Id="rId3371" Type="http://schemas.openxmlformats.org/officeDocument/2006/relationships/hyperlink" Target="https://techcombank.com/thong-tin/blog/chien-luoc-dau-tu" TargetMode="External"/><Relationship Id="rId2040" Type="http://schemas.openxmlformats.org/officeDocument/2006/relationships/hyperlink" Target="https://techcombank.com/thong-tin/blog/loi-ich-khi-ho-kinh-doanh-chuyen-len-doanh-nghiep" TargetMode="External"/><Relationship Id="rId3370" Type="http://schemas.openxmlformats.org/officeDocument/2006/relationships/hyperlink" Target="https://techcombank.com/thong-tin/blog/vang-24k" TargetMode="External"/><Relationship Id="rId121" Type="http://schemas.openxmlformats.org/officeDocument/2006/relationships/hyperlink" Target="https://techcombank.com/thong-tin/blog/lai-suat-vay-kinh-doanh" TargetMode="External"/><Relationship Id="rId2041" Type="http://schemas.openxmlformats.org/officeDocument/2006/relationships/hyperlink" Target="https://techcombank.com/thong-tin/blog/tiem-nang-chuyen-doi-tu-ho-kinh-doanh-len-doanh-nghiep-sme" TargetMode="External"/><Relationship Id="rId3373" Type="http://schemas.openxmlformats.org/officeDocument/2006/relationships/hyperlink" Target="https://techcombank.com/thong-tin/blog/thoi-gian-khop-lech-chung-chi-quy" TargetMode="External"/><Relationship Id="rId120" Type="http://schemas.openxmlformats.org/officeDocument/2006/relationships/hyperlink" Target="https://techcombank.com/thong-tin/blog/nhung-ho-kinh-doanh-duoc-mien-thue" TargetMode="External"/><Relationship Id="rId2042" Type="http://schemas.openxmlformats.org/officeDocument/2006/relationships/hyperlink" Target="https://techcombank.com/thong-tin/blog/lai-suat-vay-kinh-doanh" TargetMode="External"/><Relationship Id="rId3372" Type="http://schemas.openxmlformats.org/officeDocument/2006/relationships/hyperlink" Target="https://techcombank.com/thong-tin/blog/khau-vi-nha-dau-tu-tpdn-thay-doi-the-nao-sau-nhung-bien-dong-vua-qua" TargetMode="External"/><Relationship Id="rId2043" Type="http://schemas.openxmlformats.org/officeDocument/2006/relationships/hyperlink" Target="https://techcombank.com/thong-tin/blog/chuyen-doi-ho-kinh-doanh-len-doanh-nghiep" TargetMode="External"/><Relationship Id="rId3375" Type="http://schemas.openxmlformats.org/officeDocument/2006/relationships/hyperlink" Target="https://techcombank.com/thong-tin/blog/techcom-securities-nhung-buoc-tien-phong-tren-san-thu-cap" TargetMode="External"/><Relationship Id="rId2044" Type="http://schemas.openxmlformats.org/officeDocument/2006/relationships/hyperlink" Target="https://techcombank.com/thong-tin/blog/thanh-toan-khong-dung-tien-mat" TargetMode="External"/><Relationship Id="rId3374" Type="http://schemas.openxmlformats.org/officeDocument/2006/relationships/hyperlink" Target="https://techcombank.com/thong-tin/blog/nha-dau-tu-giao-dich-trai-phieu-truc-tuyen-tang-manh-tro-lai" TargetMode="External"/><Relationship Id="rId125" Type="http://schemas.openxmlformats.org/officeDocument/2006/relationships/hyperlink" Target="https://techcombank.com/thong-tin/blog/vay-bo-sung-von-luu-dong" TargetMode="External"/><Relationship Id="rId2045" Type="http://schemas.openxmlformats.org/officeDocument/2006/relationships/hyperlink" Target="https://techcombank.com/thong-tin/blog/mo-tai-khoan-ho-kinh-doanh" TargetMode="External"/><Relationship Id="rId3377" Type="http://schemas.openxmlformats.org/officeDocument/2006/relationships/hyperlink" Target="https://techcombank.com/thong-tin/blog/lap-ke-hoach-tai-chinh-ca-nhan" TargetMode="External"/><Relationship Id="rId124" Type="http://schemas.openxmlformats.org/officeDocument/2006/relationships/hyperlink" Target="https://techcombank.com/thong-tin/blog/tin-dung-doanh-nghiep" TargetMode="External"/><Relationship Id="rId2046" Type="http://schemas.openxmlformats.org/officeDocument/2006/relationships/hyperlink" Target="https://techcombank.com/thong-tin/blog/nen-thanh-lap-ho-kinh-doanh-ke-khai-hay-doanh-nghiep" TargetMode="External"/><Relationship Id="rId3376" Type="http://schemas.openxmlformats.org/officeDocument/2006/relationships/hyperlink" Target="https://techcombank.com/thong-tin/blog/gia-chung-chi-quy-la-gi" TargetMode="External"/><Relationship Id="rId123" Type="http://schemas.openxmlformats.org/officeDocument/2006/relationships/hyperlink" Target="https://techcombank.com/thong-tin/blog/bao-lanh-ngan-hang-infographic" TargetMode="External"/><Relationship Id="rId2047" Type="http://schemas.openxmlformats.org/officeDocument/2006/relationships/hyperlink" Target="https://techcombank.com/thong-tin/blog/vay-tin-chap-ho-kinh-doanh" TargetMode="External"/><Relationship Id="rId3379" Type="http://schemas.openxmlformats.org/officeDocument/2006/relationships/hyperlink" Target="https://techcombank.com/thong-tin/blog/lai-suat-chung-chi-quy" TargetMode="External"/><Relationship Id="rId122" Type="http://schemas.openxmlformats.org/officeDocument/2006/relationships/hyperlink" Target="https://techcombank.com/thong-tin/blog/bao-lanh-bao-hanh" TargetMode="External"/><Relationship Id="rId2048" Type="http://schemas.openxmlformats.org/officeDocument/2006/relationships/hyperlink" Target="https://techcombank.com/thong-tin/blog/tra-cuu-no-thue-ho-kinh-doanh" TargetMode="External"/><Relationship Id="rId3378" Type="http://schemas.openxmlformats.org/officeDocument/2006/relationships/hyperlink" Target="https://techcombank.com/thong-tin/blog/chung-chi-quy-va-chung-khoan" TargetMode="External"/><Relationship Id="rId2038" Type="http://schemas.openxmlformats.org/officeDocument/2006/relationships/hyperlink" Target="https://techcombank.com/thong-tin/blog/thue-ho-kinh-doanh-2025" TargetMode="External"/><Relationship Id="rId2039" Type="http://schemas.openxmlformats.org/officeDocument/2006/relationships/hyperlink" Target="https://techcombank.com/thong-tin/blog/cach-tao-ma-qr" TargetMode="External"/><Relationship Id="rId3369" Type="http://schemas.openxmlformats.org/officeDocument/2006/relationships/hyperlink" Target="https://techcombank.com/thong-tin/blog/npv-la-gi" TargetMode="External"/><Relationship Id="rId118" Type="http://schemas.openxmlformats.org/officeDocument/2006/relationships/hyperlink" Target="https://techcombank.com/thong-tin/blog/cach-su-dung-tai-khoan-cong-ty" TargetMode="External"/><Relationship Id="rId117" Type="http://schemas.openxmlformats.org/officeDocument/2006/relationships/hyperlink" Target="https://techcombank.com/thong-tin/blog/vay-the-chap-kinh-doanh" TargetMode="External"/><Relationship Id="rId116" Type="http://schemas.openxmlformats.org/officeDocument/2006/relationships/hyperlink" Target="https://techcombank.com/thong-tin/blog/chinh-sach-thue-moi" TargetMode="External"/><Relationship Id="rId115" Type="http://schemas.openxmlformats.org/officeDocument/2006/relationships/hyperlink" Target="https://techcombank.com/thong-tin/blog/chuyen-doi-hoa-don-dien-tu" TargetMode="External"/><Relationship Id="rId3360" Type="http://schemas.openxmlformats.org/officeDocument/2006/relationships/hyperlink" Target="https://techcombank.com/thong-tin/blog/thi-truong-trai-phieu-co-hoi-dau-tu-trai-phieu-vang-du-lai-suat-thap" TargetMode="External"/><Relationship Id="rId119" Type="http://schemas.openxmlformats.org/officeDocument/2006/relationships/hyperlink" Target="https://techcombank.com/thong-tin/blog/cach-tinh-thue-ho-kinh-doanh-nho-le" TargetMode="External"/><Relationship Id="rId110" Type="http://schemas.openxmlformats.org/officeDocument/2006/relationships/hyperlink" Target="https://techcombank.com/thong-tin/blog/luu-y-khi-chuyen-doi-tu-ho-kinh-doanh-len-doanh-nghiep" TargetMode="External"/><Relationship Id="rId2030" Type="http://schemas.openxmlformats.org/officeDocument/2006/relationships/hyperlink" Target="https://techcombank.com/thong-tin/blog/tra-cuu-ma-so-thue-ho-kinh-doanh" TargetMode="External"/><Relationship Id="rId3362" Type="http://schemas.openxmlformats.org/officeDocument/2006/relationships/hyperlink" Target="https://techcombank.com/thong-tin/blog/softpos" TargetMode="External"/><Relationship Id="rId2031" Type="http://schemas.openxmlformats.org/officeDocument/2006/relationships/hyperlink" Target="https://techcombank.com/thong-tin/blog/ke-khai-thue-ho-kinh-doanh-ca-the-online" TargetMode="External"/><Relationship Id="rId3361" Type="http://schemas.openxmlformats.org/officeDocument/2006/relationships/hyperlink" Target="https://techcombank.com/thong-tin/blog/y-concert" TargetMode="External"/><Relationship Id="rId2032" Type="http://schemas.openxmlformats.org/officeDocument/2006/relationships/hyperlink" Target="https://techcombank.com/thong-tin/blog/kiem-tra-thue-ho-kinh-doanh" TargetMode="External"/><Relationship Id="rId3364" Type="http://schemas.openxmlformats.org/officeDocument/2006/relationships/hyperlink" Target="https://techcombank.com/thong-tin/blog/cach-quan-ly-tai-san" TargetMode="External"/><Relationship Id="rId2033" Type="http://schemas.openxmlformats.org/officeDocument/2006/relationships/hyperlink" Target="https://techcombank.com/thong-tin/blog/thue-thuong-mai-dien-tu" TargetMode="External"/><Relationship Id="rId3363" Type="http://schemas.openxmlformats.org/officeDocument/2006/relationships/hyperlink" Target="https://techcombank.com/thong-tin/blog/due-diligence" TargetMode="External"/><Relationship Id="rId114" Type="http://schemas.openxmlformats.org/officeDocument/2006/relationships/hyperlink" Target="https://techcombank.com/thong-tin/blog/cach-tao-ma-qr" TargetMode="External"/><Relationship Id="rId2034" Type="http://schemas.openxmlformats.org/officeDocument/2006/relationships/hyperlink" Target="https://techcombank.com/thong-tin/blog/chinh-sach-thue-moi" TargetMode="External"/><Relationship Id="rId3366" Type="http://schemas.openxmlformats.org/officeDocument/2006/relationships/hyperlink" Target="https://techcombank.com/thong-tin/blog/thi-truong-trai-phieu-am-tro-lai-nha-dau-tu-san-sang-cho-nhung-co-hoi-sinh-loi-moi" TargetMode="External"/><Relationship Id="rId113" Type="http://schemas.openxmlformats.org/officeDocument/2006/relationships/hyperlink" Target="https://techcombank.com/thong-tin/blog/dang-ky-ma-so-thue-ca-nhan" TargetMode="External"/><Relationship Id="rId2035" Type="http://schemas.openxmlformats.org/officeDocument/2006/relationships/hyperlink" Target="https://techcombank.com/thong-tin/blog/ho-kinh-doanh-ca-the" TargetMode="External"/><Relationship Id="rId3365" Type="http://schemas.openxmlformats.org/officeDocument/2006/relationships/hyperlink" Target="https://techcombank.com/thong-tin/blog/5-trieu-mua-duoc-bao-nhieu-vang" TargetMode="External"/><Relationship Id="rId112" Type="http://schemas.openxmlformats.org/officeDocument/2006/relationships/hyperlink" Target="https://techcombank.com/thong-tin/blog/thue-doanh-nghiep" TargetMode="External"/><Relationship Id="rId2036" Type="http://schemas.openxmlformats.org/officeDocument/2006/relationships/hyperlink" Target="https://techcombank.com/thong-tin/blog/ho-kinh-doanh-la-gi" TargetMode="External"/><Relationship Id="rId3368" Type="http://schemas.openxmlformats.org/officeDocument/2006/relationships/hyperlink" Target="https://techcombank.com/thong-tin/blog/kinh-nghiem-mua-vang-tich-tru" TargetMode="External"/><Relationship Id="rId111" Type="http://schemas.openxmlformats.org/officeDocument/2006/relationships/hyperlink" Target="https://techcombank.com/thong-tin/blog/cach-kiem-tra-tai-khoan-ngan-hang-cua-cong-ty" TargetMode="External"/><Relationship Id="rId2037" Type="http://schemas.openxmlformats.org/officeDocument/2006/relationships/hyperlink" Target="https://techcombank.com/thong-tin/blog/thanh-lap-ho-kinh-doanh-ca-the" TargetMode="External"/><Relationship Id="rId3367" Type="http://schemas.openxmlformats.org/officeDocument/2006/relationships/hyperlink" Target="https://techcombank.com/thong-tin/blog/tinh-thanh-khoan-la-gi" TargetMode="External"/><Relationship Id="rId3315" Type="http://schemas.openxmlformats.org/officeDocument/2006/relationships/hyperlink" Target="https://techcombank.com/thong-tin/blog/han-muc-vay-the-chap-so-do" TargetMode="External"/><Relationship Id="rId3314" Type="http://schemas.openxmlformats.org/officeDocument/2006/relationships/hyperlink" Target="https://techcombank.com/thong-tin/blog/vay-tin-chap-theo-luong" TargetMode="External"/><Relationship Id="rId3317" Type="http://schemas.openxmlformats.org/officeDocument/2006/relationships/hyperlink" Target="https://techcombank.com/thong-tin/blog/han-muc-tra-gop-the-tin-dung" TargetMode="External"/><Relationship Id="rId3316" Type="http://schemas.openxmlformats.org/officeDocument/2006/relationships/hyperlink" Target="https://techcombank.com/thong-tin/blog/nen-mua-xe-tra-gop-hay-tra-thang" TargetMode="External"/><Relationship Id="rId3319" Type="http://schemas.openxmlformats.org/officeDocument/2006/relationships/hyperlink" Target="https://techcombank.com/thong-tin/blog/dieu-kien-vay-the-chap" TargetMode="External"/><Relationship Id="rId3318" Type="http://schemas.openxmlformats.org/officeDocument/2006/relationships/hyperlink" Target="https://techcombank.com/thong-tin/blog/thanh-toan-khoan-vay" TargetMode="External"/><Relationship Id="rId3311" Type="http://schemas.openxmlformats.org/officeDocument/2006/relationships/hyperlink" Target="https://techcombank.com/thong-tin/blog/cic-la-gi" TargetMode="External"/><Relationship Id="rId3310" Type="http://schemas.openxmlformats.org/officeDocument/2006/relationships/hyperlink" Target="https://techcombank.com/thong-tin/blog/diem-tin-dung" TargetMode="External"/><Relationship Id="rId3313" Type="http://schemas.openxmlformats.org/officeDocument/2006/relationships/hyperlink" Target="https://techcombank.com/thong-tin/blog/han-muc-thau-chi-la-gi" TargetMode="External"/><Relationship Id="rId3312" Type="http://schemas.openxmlformats.org/officeDocument/2006/relationships/hyperlink" Target="https://techcombank.com/thong-tin/blog/lich-su-tin-dung" TargetMode="External"/><Relationship Id="rId3304" Type="http://schemas.openxmlformats.org/officeDocument/2006/relationships/hyperlink" Target="https://techcombank.com/thong-tin/blog/the-tin-dung-bi-khoa" TargetMode="External"/><Relationship Id="rId3303" Type="http://schemas.openxmlformats.org/officeDocument/2006/relationships/hyperlink" Target="https://techcombank.com/thong-tin/blog/thanh-toan-toi-thieu-the-tin-dung" TargetMode="External"/><Relationship Id="rId3306" Type="http://schemas.openxmlformats.org/officeDocument/2006/relationships/hyperlink" Target="https://techcombank.com/thong-tin/blog/no-xau-co-vay-the-chap-duoc-khong" TargetMode="External"/><Relationship Id="rId3305" Type="http://schemas.openxmlformats.org/officeDocument/2006/relationships/hyperlink" Target="https://techcombank.com/thong-tin/blog/no-xau-mo-the-tin-dung-duoc-khong" TargetMode="External"/><Relationship Id="rId3308" Type="http://schemas.openxmlformats.org/officeDocument/2006/relationships/hyperlink" Target="https://techcombank.com/thong-tin/blog/lai-suat-qua-han" TargetMode="External"/><Relationship Id="rId3307" Type="http://schemas.openxmlformats.org/officeDocument/2006/relationships/hyperlink" Target="https://techcombank.com/thong-tin/blog/vay-tin-chap-no-xau" TargetMode="External"/><Relationship Id="rId3309" Type="http://schemas.openxmlformats.org/officeDocument/2006/relationships/hyperlink" Target="https://techcombank.com/thong-tin/blog/no-xau-nhom-2" TargetMode="External"/><Relationship Id="rId3300" Type="http://schemas.openxmlformats.org/officeDocument/2006/relationships/hyperlink" Target="https://techcombank.com/thong-tin/blog/kiem-tra-no-xau" TargetMode="External"/><Relationship Id="rId3302" Type="http://schemas.openxmlformats.org/officeDocument/2006/relationships/hyperlink" Target="https://techcombank.com/thong-tin/blog/no-xau-co-lam-the-visa-duoc-khong" TargetMode="External"/><Relationship Id="rId3301" Type="http://schemas.openxmlformats.org/officeDocument/2006/relationships/hyperlink" Target="https://techcombank.com/thong-tin/blog/qua-han-thanh-toan-the-tin-dung-1-ngay" TargetMode="External"/><Relationship Id="rId2005" Type="http://schemas.openxmlformats.org/officeDocument/2006/relationships/hyperlink" Target="https://techcombank.com/thong-tin/blog/cach-dang-ky-ma-so-thue-ho-kinh-doanh-online" TargetMode="External"/><Relationship Id="rId3337" Type="http://schemas.openxmlformats.org/officeDocument/2006/relationships/hyperlink" Target="https://techcombank.com/thong-tin/blog/no-chu-y-la-gi" TargetMode="External"/><Relationship Id="rId2006" Type="http://schemas.openxmlformats.org/officeDocument/2006/relationships/hyperlink" Target="https://techcombank.com/thong-tin/blog/ho-kinh-doanh-la-gi" TargetMode="External"/><Relationship Id="rId3336" Type="http://schemas.openxmlformats.org/officeDocument/2006/relationships/hyperlink" Target="https://techcombank.com/thong-tin/blog/nen-vay-tin-chap-o-dau" TargetMode="External"/><Relationship Id="rId2007" Type="http://schemas.openxmlformats.org/officeDocument/2006/relationships/hyperlink" Target="https://techcombank.com/thong-tin/blog/thue-ho-kinh-doanh-2025" TargetMode="External"/><Relationship Id="rId3339" Type="http://schemas.openxmlformats.org/officeDocument/2006/relationships/hyperlink" Target="https://techcombank.com/thong-tin/blog/no-xau" TargetMode="External"/><Relationship Id="rId2008" Type="http://schemas.openxmlformats.org/officeDocument/2006/relationships/hyperlink" Target="https://techcombank.com/thong-tin/blog/cach-tao-ma-qr" TargetMode="External"/><Relationship Id="rId3338" Type="http://schemas.openxmlformats.org/officeDocument/2006/relationships/hyperlink" Target="https://techcombank.com/thong-tin/blog/kiem-tra-no-xau" TargetMode="External"/><Relationship Id="rId2009" Type="http://schemas.openxmlformats.org/officeDocument/2006/relationships/hyperlink" Target="https://techcombank.com/thong-tin/blog/cach-tinh-thue-ho-kinh-doanh-nho-le" TargetMode="External"/><Relationship Id="rId3331" Type="http://schemas.openxmlformats.org/officeDocument/2006/relationships/hyperlink" Target="https://techcombank.com/thong-tin/blog/vay-tin-chap-cho-doanh-nghiep-moi-thanh-lap" TargetMode="External"/><Relationship Id="rId2000" Type="http://schemas.openxmlformats.org/officeDocument/2006/relationships/hyperlink" Target="https://techcombank.com/thong-tin/blog/loa-ting-ting" TargetMode="External"/><Relationship Id="rId3330" Type="http://schemas.openxmlformats.org/officeDocument/2006/relationships/hyperlink" Target="https://techcombank.com/thong-tin/blog/vay-tin-chap-ho-kinh-doanh" TargetMode="External"/><Relationship Id="rId2001" Type="http://schemas.openxmlformats.org/officeDocument/2006/relationships/hyperlink" Target="https://techcombank.com/thong-tin/blog/ho-kinh-doanh-can-gi-o-tai-khoan-ngan-hang" TargetMode="External"/><Relationship Id="rId3333" Type="http://schemas.openxmlformats.org/officeDocument/2006/relationships/hyperlink" Target="https://techcombank.com/thong-tin/blog/cac-hinh-thuc-vay-von-ngan-hang" TargetMode="External"/><Relationship Id="rId2002" Type="http://schemas.openxmlformats.org/officeDocument/2006/relationships/hyperlink" Target="https://techcombank.com/thong-tin/blog/thanh-lap-ho-kinh-doanh-ca-the" TargetMode="External"/><Relationship Id="rId3332" Type="http://schemas.openxmlformats.org/officeDocument/2006/relationships/hyperlink" Target="https://techcombank.com/thong-tin/blog/thu-tuc-vay-von-kinh-doanh-nho" TargetMode="External"/><Relationship Id="rId2003" Type="http://schemas.openxmlformats.org/officeDocument/2006/relationships/hyperlink" Target="https://techcombank.com/thong-tin/blog/khai-bao-tai-khoan-ngan-hang-voi-co-quan-thue" TargetMode="External"/><Relationship Id="rId3335" Type="http://schemas.openxmlformats.org/officeDocument/2006/relationships/hyperlink" Target="https://techcombank.com/thong-tin/blog/tin-chap-doanh-nghiep" TargetMode="External"/><Relationship Id="rId2004" Type="http://schemas.openxmlformats.org/officeDocument/2006/relationships/hyperlink" Target="https://techcombank.com/thong-tin/blog/ho-kinh-doanh-ca-the" TargetMode="External"/><Relationship Id="rId3334" Type="http://schemas.openxmlformats.org/officeDocument/2006/relationships/hyperlink" Target="https://techcombank.com/thong-tin/blog/vay-san-xuat-kinh-doanh" TargetMode="External"/><Relationship Id="rId3326" Type="http://schemas.openxmlformats.org/officeDocument/2006/relationships/hyperlink" Target="https://techcombank.com/thong-tin/blog/no-the-tin-dung-qua-han" TargetMode="External"/><Relationship Id="rId3325" Type="http://schemas.openxmlformats.org/officeDocument/2006/relationships/hyperlink" Target="https://techcombank.com/thong-tin/blog/lai-suat-qua-han" TargetMode="External"/><Relationship Id="rId3328" Type="http://schemas.openxmlformats.org/officeDocument/2006/relationships/hyperlink" Target="https://techcombank.com/thong-tin/blog/tat-toan" TargetMode="External"/><Relationship Id="rId3327" Type="http://schemas.openxmlformats.org/officeDocument/2006/relationships/hyperlink" Target="https://techcombank.com/thong-tin/blog/vay-tin-chap-la-gi" TargetMode="External"/><Relationship Id="rId3329" Type="http://schemas.openxmlformats.org/officeDocument/2006/relationships/hyperlink" Target="https://techcombank.com/thong-tin/blog/du-no-la-gi" TargetMode="External"/><Relationship Id="rId3320" Type="http://schemas.openxmlformats.org/officeDocument/2006/relationships/hyperlink" Target="https://techcombank.com/thong-tin/blog/tra-gop-lazada" TargetMode="External"/><Relationship Id="rId3322" Type="http://schemas.openxmlformats.org/officeDocument/2006/relationships/hyperlink" Target="https://techcombank.com/thong-tin/blog/lai-suat-vay-mua-o-to" TargetMode="External"/><Relationship Id="rId3321" Type="http://schemas.openxmlformats.org/officeDocument/2006/relationships/hyperlink" Target="https://techcombank.com/thong-tin/blog/lam-ho-so-tra-gop-dien-thoai" TargetMode="External"/><Relationship Id="rId3324" Type="http://schemas.openxmlformats.org/officeDocument/2006/relationships/hyperlink" Target="https://techcombank.com/thong-tin/blog/vay-the-chap-khong-tra-duoc" TargetMode="External"/><Relationship Id="rId3323" Type="http://schemas.openxmlformats.org/officeDocument/2006/relationships/hyperlink" Target="https://techcombank.com/thong-tin/blog/vay-the-chap-khong-tra-duoc" TargetMode="External"/><Relationship Id="rId2090" Type="http://schemas.openxmlformats.org/officeDocument/2006/relationships/hyperlink" Target="https://techcombank.com/thong-tin/blog/tra-gop-hoc-phi" TargetMode="External"/><Relationship Id="rId2091" Type="http://schemas.openxmlformats.org/officeDocument/2006/relationships/hyperlink" Target="https://techcombank.com/thong-tin/blog/thanh-toan-tra-gop-qua-the-tin-dung" TargetMode="External"/><Relationship Id="rId2092" Type="http://schemas.openxmlformats.org/officeDocument/2006/relationships/hyperlink" Target="https://techcombank.com/thong-tin/blog/tra-gop-lazada" TargetMode="External"/><Relationship Id="rId2093" Type="http://schemas.openxmlformats.org/officeDocument/2006/relationships/hyperlink" Target="https://techcombank.com/thong-tin/blog/lai-suat-vay-the-chap-so-do" TargetMode="External"/><Relationship Id="rId2094" Type="http://schemas.openxmlformats.org/officeDocument/2006/relationships/hyperlink" Target="https://techcombank.com/thong-tin/blog/nen-mua-xe-tra-gop-hay-tra-thang" TargetMode="External"/><Relationship Id="rId2095" Type="http://schemas.openxmlformats.org/officeDocument/2006/relationships/hyperlink" Target="https://techcombank.com/thong-tin/blog/vay-15-trieu" TargetMode="External"/><Relationship Id="rId2096" Type="http://schemas.openxmlformats.org/officeDocument/2006/relationships/hyperlink" Target="https://techcombank.com/thong-tin/blog/sao-ke-the-tin-dung-la-gi" TargetMode="External"/><Relationship Id="rId2097" Type="http://schemas.openxmlformats.org/officeDocument/2006/relationships/hyperlink" Target="https://techcombank.com/thong-tin/blog/lai-suat-vay-tieu-dung" TargetMode="External"/><Relationship Id="rId2098" Type="http://schemas.openxmlformats.org/officeDocument/2006/relationships/hyperlink" Target="https://techcombank.com/thong-tin/blog/lam-ho-so-tra-gop-dien-thoai" TargetMode="External"/><Relationship Id="rId2099" Type="http://schemas.openxmlformats.org/officeDocument/2006/relationships/hyperlink" Target="https://techcombank.com/thong-tin/blog/vay-30-trieu" TargetMode="External"/><Relationship Id="rId2060" Type="http://schemas.openxmlformats.org/officeDocument/2006/relationships/hyperlink" Target="https://techcombank.com/thong-tin/blog/barcode-la-gi" TargetMode="External"/><Relationship Id="rId2061" Type="http://schemas.openxmlformats.org/officeDocument/2006/relationships/hyperlink" Target="https://techcombank.com/thong-tin/blog/du-no-la-gi" TargetMode="External"/><Relationship Id="rId2062" Type="http://schemas.openxmlformats.org/officeDocument/2006/relationships/hyperlink" Target="https://techcombank.com/thong-tin/blog/an-han-no-goc-la-gi" TargetMode="External"/><Relationship Id="rId2063" Type="http://schemas.openxmlformats.org/officeDocument/2006/relationships/hyperlink" Target="https://techcombank.com/thong-tin/blog/lai-suat-tha-noi" TargetMode="External"/><Relationship Id="rId2064" Type="http://schemas.openxmlformats.org/officeDocument/2006/relationships/hyperlink" Target="https://techcombank.com/thong-tin/blog/cong-thuc-tinh-lai-suat-thuc" TargetMode="External"/><Relationship Id="rId2065" Type="http://schemas.openxmlformats.org/officeDocument/2006/relationships/hyperlink" Target="https://techcombank.com/thong-tin/blog/vay-tra-gop" TargetMode="External"/><Relationship Id="rId2066" Type="http://schemas.openxmlformats.org/officeDocument/2006/relationships/hyperlink" Target="https://techcombank.com/thong-tin/blog/lai-suat-vay-kinh-doanh" TargetMode="External"/><Relationship Id="rId2067" Type="http://schemas.openxmlformats.org/officeDocument/2006/relationships/hyperlink" Target="https://techcombank.com/thong-tin/blog/cac-hinh-thuc-vay-von-ngan-hang" TargetMode="External"/><Relationship Id="rId2068" Type="http://schemas.openxmlformats.org/officeDocument/2006/relationships/hyperlink" Target="https://techcombank.com/thong-tin/blog/loi-nhuan" TargetMode="External"/><Relationship Id="rId2069" Type="http://schemas.openxmlformats.org/officeDocument/2006/relationships/hyperlink" Target="https://techcombank.com/thong-tin/blog/co-nen-mua-o-to-tra-gop" TargetMode="External"/><Relationship Id="rId3380" Type="http://schemas.openxmlformats.org/officeDocument/2006/relationships/hyperlink" Target="https://techcombank.com/thong-tin/blog/gui-tiet-kiem-ngan-hang-van-la-lua-chon-an-toan-trong-thoi-ky-kinh-te-con-nhieu-bien-dong" TargetMode="External"/><Relationship Id="rId2050" Type="http://schemas.openxmlformats.org/officeDocument/2006/relationships/hyperlink" Target="https://techcombank.com/thong-tin/blog/thu-tuc-vay-von-kinh-doanh-nho" TargetMode="External"/><Relationship Id="rId3382" Type="http://schemas.openxmlformats.org/officeDocument/2006/relationships/hyperlink" Target="https://techcombank.com/thong-tin/blog/dau-tu-trai-phieu-doanh-nghiep-dung-ham-lai-suat-cao" TargetMode="External"/><Relationship Id="rId2051" Type="http://schemas.openxmlformats.org/officeDocument/2006/relationships/hyperlink" Target="https://techcombank.com/thong-tin/blog/truy-thu-thue-ho-kinh-doanh" TargetMode="External"/><Relationship Id="rId3381" Type="http://schemas.openxmlformats.org/officeDocument/2006/relationships/hyperlink" Target="https://techcombank.com/thong-tin/blog/co-nen-gui-chung-chi-tien-gui" TargetMode="External"/><Relationship Id="rId2052" Type="http://schemas.openxmlformats.org/officeDocument/2006/relationships/hyperlink" Target="https://techcombank.com/thong-tin/blog/cac-sai-lam-pho-bien-khi-chuyen-doi-ho-kinh-doanh-len-sme" TargetMode="External"/><Relationship Id="rId3384" Type="http://schemas.openxmlformats.org/officeDocument/2006/relationships/drawing" Target="../drawings/drawing2.xml"/><Relationship Id="rId2053" Type="http://schemas.openxmlformats.org/officeDocument/2006/relationships/hyperlink" Target="https://techcombank.com/thong-tin/blog/giay-phep-kinh-doanh" TargetMode="External"/><Relationship Id="rId3383" Type="http://schemas.openxmlformats.org/officeDocument/2006/relationships/hyperlink" Target="https://techcombank.com/thong-tin/blog/phan-mem-lap-ke-hoach-tai-chinh-ca-nhan" TargetMode="External"/><Relationship Id="rId2054" Type="http://schemas.openxmlformats.org/officeDocument/2006/relationships/hyperlink" Target="https://techcombank.com/thong-tin/blog/chuyen-doi-hoa-don-dien-tu" TargetMode="External"/><Relationship Id="rId2055" Type="http://schemas.openxmlformats.org/officeDocument/2006/relationships/hyperlink" Target="https://techcombank.com/thong-tin/blog/dang-ky-kinh-doanh-la-gi" TargetMode="External"/><Relationship Id="rId2056" Type="http://schemas.openxmlformats.org/officeDocument/2006/relationships/hyperlink" Target="https://techcombank.com/thong-tin/blog/thay-doi-dia-chi-ho-kinh-doanh" TargetMode="External"/><Relationship Id="rId2057" Type="http://schemas.openxmlformats.org/officeDocument/2006/relationships/hyperlink" Target="https://techcombank.com/thong-tin/blog/cach-dang-ky-ma-so-thue-ho-kinh-doanh-online" TargetMode="External"/><Relationship Id="rId2058" Type="http://schemas.openxmlformats.org/officeDocument/2006/relationships/hyperlink" Target="https://techcombank.com/thong-tin/blog/nhung-ho-kinh-doanh-duoc-mien-thue" TargetMode="External"/><Relationship Id="rId2059" Type="http://schemas.openxmlformats.org/officeDocument/2006/relationships/hyperlink" Target="https://techcombank.com/thong-tin/blog/luu-y-khi-chuyen-doi-tu-ho-kinh-doanh-len-doanh-nghiep" TargetMode="External"/><Relationship Id="rId2080" Type="http://schemas.openxmlformats.org/officeDocument/2006/relationships/hyperlink" Target="https://techcombank.com/thong-tin/blog/vay-mua-xe-tra-gop-ngan-hang-nao-tot-nhat" TargetMode="External"/><Relationship Id="rId2081" Type="http://schemas.openxmlformats.org/officeDocument/2006/relationships/hyperlink" Target="https://techcombank.com/thong-tin/blog/lai-suat-vay-thau-chi" TargetMode="External"/><Relationship Id="rId2082" Type="http://schemas.openxmlformats.org/officeDocument/2006/relationships/hyperlink" Target="https://techcombank.com/thong-tin/blog/vay-mua-nha-tra-gop" TargetMode="External"/><Relationship Id="rId2083" Type="http://schemas.openxmlformats.org/officeDocument/2006/relationships/hyperlink" Target="https://techcombank.com/thong-tin/blog/cach-thanh-toan-the-tin-dung" TargetMode="External"/><Relationship Id="rId2084" Type="http://schemas.openxmlformats.org/officeDocument/2006/relationships/hyperlink" Target="https://techcombank.com/thong-tin/blog/quy-trinh-tat-toan-khoan-vay-the-chap" TargetMode="External"/><Relationship Id="rId2085" Type="http://schemas.openxmlformats.org/officeDocument/2006/relationships/hyperlink" Target="https://techcombank.com/thong-tin/blog/vay-40-trieu" TargetMode="External"/><Relationship Id="rId2086" Type="http://schemas.openxmlformats.org/officeDocument/2006/relationships/hyperlink" Target="https://techcombank.com/thong-tin/blog/thu-tuc-mua-xe-tra-gop" TargetMode="External"/><Relationship Id="rId2087" Type="http://schemas.openxmlformats.org/officeDocument/2006/relationships/hyperlink" Target="https://techcombank.com/thong-tin/blog/vay-100-trieu" TargetMode="External"/><Relationship Id="rId2088" Type="http://schemas.openxmlformats.org/officeDocument/2006/relationships/hyperlink" Target="https://techcombank.com/thong-tin/blog/vay-ngan-hang-chi-can-cccd" TargetMode="External"/><Relationship Id="rId2089" Type="http://schemas.openxmlformats.org/officeDocument/2006/relationships/hyperlink" Target="https://techcombank.com/thong-tin/blog/tra-gop-shopee" TargetMode="External"/><Relationship Id="rId2070" Type="http://schemas.openxmlformats.org/officeDocument/2006/relationships/hyperlink" Target="https://techcombank.com/thong-tin/blog/thanh-toan-khoan-vay" TargetMode="External"/><Relationship Id="rId2071" Type="http://schemas.openxmlformats.org/officeDocument/2006/relationships/hyperlink" Target="https://techcombank.com/thong-tin/blog/vay-300-trieu" TargetMode="External"/><Relationship Id="rId2072" Type="http://schemas.openxmlformats.org/officeDocument/2006/relationships/hyperlink" Target="https://techcombank.com/thong-tin/blog/kiem-tra-no-xau" TargetMode="External"/><Relationship Id="rId2073" Type="http://schemas.openxmlformats.org/officeDocument/2006/relationships/hyperlink" Target="https://techcombank.com/thong-tin/blog/mua-truoc-tra-sau" TargetMode="External"/><Relationship Id="rId2074" Type="http://schemas.openxmlformats.org/officeDocument/2006/relationships/hyperlink" Target="https://techcombank.com/thong-tin/blog/the-visa-de-lam-gi" TargetMode="External"/><Relationship Id="rId2075" Type="http://schemas.openxmlformats.org/officeDocument/2006/relationships/hyperlink" Target="https://techcombank.com/thong-tin/blog/rui-ro-khi-vay-the-chap-ngan-hang" TargetMode="External"/><Relationship Id="rId2076" Type="http://schemas.openxmlformats.org/officeDocument/2006/relationships/hyperlink" Target="https://techcombank.com/thong-tin/blog/vay-tin-chap-va-vay-the-chap" TargetMode="External"/><Relationship Id="rId2077" Type="http://schemas.openxmlformats.org/officeDocument/2006/relationships/hyperlink" Target="https://techcombank.com/thong-tin/blog/lai-suat-vay-the-chap" TargetMode="External"/><Relationship Id="rId2078" Type="http://schemas.openxmlformats.org/officeDocument/2006/relationships/hyperlink" Target="https://techcombank.com/thong-tin/blog/tat-toan" TargetMode="External"/><Relationship Id="rId2079" Type="http://schemas.openxmlformats.org/officeDocument/2006/relationships/hyperlink" Target="https://techcombank.com/thong-tin/blog/dao-han-la-gi" TargetMode="External"/><Relationship Id="rId2940" Type="http://schemas.openxmlformats.org/officeDocument/2006/relationships/hyperlink" Target="https://techcombank.com/thong-tin/blog/han-muc-thau-chi-la-gi" TargetMode="External"/><Relationship Id="rId1610" Type="http://schemas.openxmlformats.org/officeDocument/2006/relationships/hyperlink" Target="https://techcombank.com/thong-tin/blog/chuyen-tien-di-uc" TargetMode="External"/><Relationship Id="rId2941" Type="http://schemas.openxmlformats.org/officeDocument/2006/relationships/hyperlink" Target="https://techcombank.com/thong-tin/blog/vay-mua-nha-tra-gop" TargetMode="External"/><Relationship Id="rId1611" Type="http://schemas.openxmlformats.org/officeDocument/2006/relationships/hyperlink" Target="https://techcombank.com/thong-tin/blog/tien-dai-loan" TargetMode="External"/><Relationship Id="rId2942" Type="http://schemas.openxmlformats.org/officeDocument/2006/relationships/hyperlink" Target="https://techcombank.com/thong-tin/blog/no-xau-nhom-2" TargetMode="External"/><Relationship Id="rId1612" Type="http://schemas.openxmlformats.org/officeDocument/2006/relationships/hyperlink" Target="https://techcombank.com/thong-tin/blog/1-cent-bang-bao-nhieu-tien-viet" TargetMode="External"/><Relationship Id="rId2943" Type="http://schemas.openxmlformats.org/officeDocument/2006/relationships/hyperlink" Target="https://techcombank.com/thong-tin/blog/vay-mua-dien-thoai" TargetMode="External"/><Relationship Id="rId1613" Type="http://schemas.openxmlformats.org/officeDocument/2006/relationships/hyperlink" Target="https://techcombank.com/thong-tin/blog/1-do-uc-bang-bao-nhieu-tien-viet" TargetMode="External"/><Relationship Id="rId2944" Type="http://schemas.openxmlformats.org/officeDocument/2006/relationships/hyperlink" Target="https://techcombank.com/thong-tin/blog/vay-ngan-han" TargetMode="External"/><Relationship Id="rId1614" Type="http://schemas.openxmlformats.org/officeDocument/2006/relationships/hyperlink" Target="https://techcombank.com/thong-tin/blog/gui-tien-du-hoc" TargetMode="External"/><Relationship Id="rId2945" Type="http://schemas.openxmlformats.org/officeDocument/2006/relationships/hyperlink" Target="https://techcombank.com/thong-tin/blog/cho-vay-kinh-doanh-ho-gia-dinh" TargetMode="External"/><Relationship Id="rId1615" Type="http://schemas.openxmlformats.org/officeDocument/2006/relationships/hyperlink" Target="https://techcombank.com/thong-tin/blog/chuyen-tien-dinh-cu" TargetMode="External"/><Relationship Id="rId2946" Type="http://schemas.openxmlformats.org/officeDocument/2006/relationships/hyperlink" Target="https://techcombank.com/thong-tin/blog/vay-von-doanh-nghiep-nho" TargetMode="External"/><Relationship Id="rId1616" Type="http://schemas.openxmlformats.org/officeDocument/2006/relationships/hyperlink" Target="https://techcombank.com/thong-tin/blog/han-muc-mua-ngoai-te-khi-di-du-lich" TargetMode="External"/><Relationship Id="rId2947" Type="http://schemas.openxmlformats.org/officeDocument/2006/relationships/hyperlink" Target="https://techcombank.com/thong-tin/blog/no-nhom-3" TargetMode="External"/><Relationship Id="rId907" Type="http://schemas.openxmlformats.org/officeDocument/2006/relationships/hyperlink" Target="https://techcombank.com/thong-tin/blog/dang-ky-ma-so-thue-ca-nhan" TargetMode="External"/><Relationship Id="rId1617" Type="http://schemas.openxmlformats.org/officeDocument/2006/relationships/hyperlink" Target="https://techcombank.com/thong-tin/blog/1-van-tien-dai-loan-bang-bao-nhieu-tien-viet" TargetMode="External"/><Relationship Id="rId2948" Type="http://schemas.openxmlformats.org/officeDocument/2006/relationships/hyperlink" Target="https://techcombank.com/thong-tin/blog/vay-15-trieu" TargetMode="External"/><Relationship Id="rId906" Type="http://schemas.openxmlformats.org/officeDocument/2006/relationships/hyperlink" Target="https://techcombank.com/thong-tin/blog/tra-cuu-ma-so-thue-ho-kinh-doanh" TargetMode="External"/><Relationship Id="rId1618" Type="http://schemas.openxmlformats.org/officeDocument/2006/relationships/hyperlink" Target="https://techcombank.com/thong-tin/blog/the-visa-co-thanh-toan-quoc-te-duoc-khong" TargetMode="External"/><Relationship Id="rId2949" Type="http://schemas.openxmlformats.org/officeDocument/2006/relationships/hyperlink" Target="https://techcombank.com/thong-tin/blog/han-muc-vay-the-chap-so-do" TargetMode="External"/><Relationship Id="rId905" Type="http://schemas.openxmlformats.org/officeDocument/2006/relationships/hyperlink" Target="https://techcombank.com/thong-tin/blog/mo-tai-khoan-ngan-hang-bang-so-dien-thoai" TargetMode="External"/><Relationship Id="rId1619" Type="http://schemas.openxmlformats.org/officeDocument/2006/relationships/hyperlink" Target="https://techcombank.com/thong-tin/blog/thanh-toan-bang-the-quoc-te" TargetMode="External"/><Relationship Id="rId904" Type="http://schemas.openxmlformats.org/officeDocument/2006/relationships/hyperlink" Target="https://techcombank.com/thong-tin/blog/cach-dang-ky-dinh-danh-muc-2" TargetMode="External"/><Relationship Id="rId909" Type="http://schemas.openxmlformats.org/officeDocument/2006/relationships/hyperlink" Target="https://techcombank.com/thong-tin/blog/no-xau-la-gi" TargetMode="External"/><Relationship Id="rId908" Type="http://schemas.openxmlformats.org/officeDocument/2006/relationships/hyperlink" Target="https://techcombank.com/thong-tin/blog/kiem-tra-no-xau" TargetMode="External"/><Relationship Id="rId903" Type="http://schemas.openxmlformats.org/officeDocument/2006/relationships/hyperlink" Target="https://techcombank.com/thong-tin/blog/ekyc-la-gi" TargetMode="External"/><Relationship Id="rId902" Type="http://schemas.openxmlformats.org/officeDocument/2006/relationships/hyperlink" Target="https://techcombank.com/thong-tin/blog/cach-lien-ket-tai-khoan-ngan-hang-voi-vneid" TargetMode="External"/><Relationship Id="rId901" Type="http://schemas.openxmlformats.org/officeDocument/2006/relationships/hyperlink" Target="https://techcombank.com/thong-tin/blog/xac-thuc-sinh-trac-hoc-khi-chuyen-tien" TargetMode="External"/><Relationship Id="rId900" Type="http://schemas.openxmlformats.org/officeDocument/2006/relationships/hyperlink" Target="https://techcombank.com/thong-tin/blog/tra-cuu-han-muc-the-tin-dung" TargetMode="External"/><Relationship Id="rId2930" Type="http://schemas.openxmlformats.org/officeDocument/2006/relationships/hyperlink" Target="https://techcombank.com/thong-tin/blog/lai-suat-vay-thau-chi" TargetMode="External"/><Relationship Id="rId1600" Type="http://schemas.openxmlformats.org/officeDocument/2006/relationships/hyperlink" Target="https://techcombank.com/thong-tin/blog/1000-yen-bang-bao-nhieu-tien-viet" TargetMode="External"/><Relationship Id="rId2931" Type="http://schemas.openxmlformats.org/officeDocument/2006/relationships/hyperlink" Target="https://techcombank.com/thong-tin/blog/vay-100-trieu" TargetMode="External"/><Relationship Id="rId1601" Type="http://schemas.openxmlformats.org/officeDocument/2006/relationships/hyperlink" Target="https://techcombank.com/thong-tin/blog/chuyen-tien-tu-nhat-ve-viet-nam" TargetMode="External"/><Relationship Id="rId2932" Type="http://schemas.openxmlformats.org/officeDocument/2006/relationships/hyperlink" Target="https://techcombank.com/thong-tin/blog/vay-thau-chi-bang-so-tiet-kiem" TargetMode="External"/><Relationship Id="rId1602" Type="http://schemas.openxmlformats.org/officeDocument/2006/relationships/hyperlink" Target="https://techcombank.com/thong-tin/blog/tien-singapore" TargetMode="External"/><Relationship Id="rId2933" Type="http://schemas.openxmlformats.org/officeDocument/2006/relationships/hyperlink" Target="https://techcombank.com/thong-tin/blog/lai-suat-vay-the-chap" TargetMode="External"/><Relationship Id="rId1603" Type="http://schemas.openxmlformats.org/officeDocument/2006/relationships/hyperlink" Target="https://techcombank.com/thong-tin/blog/di-du-lich-nuoc-ngoai-can-chuan-bi-gi" TargetMode="External"/><Relationship Id="rId2934" Type="http://schemas.openxmlformats.org/officeDocument/2006/relationships/hyperlink" Target="https://techcombank.com/thong-tin/blog/vay-the-chap-kinh-doanh" TargetMode="External"/><Relationship Id="rId1604" Type="http://schemas.openxmlformats.org/officeDocument/2006/relationships/hyperlink" Target="https://techcombank.com/thong-tin/blog/tien-nhat" TargetMode="External"/><Relationship Id="rId2935" Type="http://schemas.openxmlformats.org/officeDocument/2006/relationships/hyperlink" Target="https://techcombank.com/thong-tin/blog/giai-ngan-vay-the-chap" TargetMode="External"/><Relationship Id="rId1605" Type="http://schemas.openxmlformats.org/officeDocument/2006/relationships/hyperlink" Target="https://techcombank.com/thong-tin/blog/1-van-te-bang-bao-nhieu-tien-viet" TargetMode="External"/><Relationship Id="rId2936" Type="http://schemas.openxmlformats.org/officeDocument/2006/relationships/hyperlink" Target="https://techcombank.com/thong-tin/blog/vay-the-chap-toi-da-duoc-bao-nhieu" TargetMode="External"/><Relationship Id="rId1606" Type="http://schemas.openxmlformats.org/officeDocument/2006/relationships/hyperlink" Target="https://techcombank.com/thong-tin/blog/1000-te-bang-bao-nhieu-tien-viet" TargetMode="External"/><Relationship Id="rId2937" Type="http://schemas.openxmlformats.org/officeDocument/2006/relationships/hyperlink" Target="https://techcombank.com/thong-tin/blog/vay-han-muc-la-gi" TargetMode="External"/><Relationship Id="rId1607" Type="http://schemas.openxmlformats.org/officeDocument/2006/relationships/hyperlink" Target="https://techcombank.com/thong-tin/blog/100-riel-bang-bao-nhieu-tien-viet-nam" TargetMode="External"/><Relationship Id="rId2938" Type="http://schemas.openxmlformats.org/officeDocument/2006/relationships/hyperlink" Target="https://techcombank.com/thong-tin/blog/vay-tin-chap-theo-luong" TargetMode="External"/><Relationship Id="rId1608" Type="http://schemas.openxmlformats.org/officeDocument/2006/relationships/hyperlink" Target="https://techcombank.com/thong-tin/blog/tien-indonesia" TargetMode="External"/><Relationship Id="rId2939" Type="http://schemas.openxmlformats.org/officeDocument/2006/relationships/hyperlink" Target="https://techcombank.com/thong-tin/blog/cac-hinh-thuc-cho-vay-tieu-dung" TargetMode="External"/><Relationship Id="rId1609" Type="http://schemas.openxmlformats.org/officeDocument/2006/relationships/hyperlink" Target="https://techcombank.com/thong-tin/blog/dieu-kien-mua-usd-tu-ngan-hang" TargetMode="External"/><Relationship Id="rId1631" Type="http://schemas.openxmlformats.org/officeDocument/2006/relationships/hyperlink" Target="https://techcombank.com/thong-tin/blog/1000-yen-bang-bao-nhieu-tien-viet" TargetMode="External"/><Relationship Id="rId2962" Type="http://schemas.openxmlformats.org/officeDocument/2006/relationships/hyperlink" Target="https://techcombank.com/thong-tin/blog/no-xau-co-vay-the-chap-duoc-khong" TargetMode="External"/><Relationship Id="rId1632" Type="http://schemas.openxmlformats.org/officeDocument/2006/relationships/hyperlink" Target="https://techcombank.com/thong-tin/blog/chuyen-tien-tu-nhat-ve-viet-nam" TargetMode="External"/><Relationship Id="rId2963" Type="http://schemas.openxmlformats.org/officeDocument/2006/relationships/hyperlink" Target="https://techcombank.com/thong-tin/blog/thu-tuc-vay-von-kinh-doanh-nho" TargetMode="External"/><Relationship Id="rId1633" Type="http://schemas.openxmlformats.org/officeDocument/2006/relationships/hyperlink" Target="https://techcombank.com/thong-tin/blog/tien-singapore" TargetMode="External"/><Relationship Id="rId2964" Type="http://schemas.openxmlformats.org/officeDocument/2006/relationships/hyperlink" Target="https://techcombank.com/thong-tin/blog/rui-ro-khi-vay-the-chap-ngan-hang" TargetMode="External"/><Relationship Id="rId1634" Type="http://schemas.openxmlformats.org/officeDocument/2006/relationships/hyperlink" Target="https://techcombank.com/thong-tin/blog/di-du-lich-nuoc-ngoai-can-chuan-bi-gi" TargetMode="External"/><Relationship Id="rId2965" Type="http://schemas.openxmlformats.org/officeDocument/2006/relationships/hyperlink" Target="https://techcombank.com/thong-tin/blog/lai-suat-vay-kinh-doanh" TargetMode="External"/><Relationship Id="rId1635" Type="http://schemas.openxmlformats.org/officeDocument/2006/relationships/hyperlink" Target="https://techcombank.com/thong-tin/blog/tien-nhat" TargetMode="External"/><Relationship Id="rId2966" Type="http://schemas.openxmlformats.org/officeDocument/2006/relationships/hyperlink" Target="https://techcombank.com/thong-tin/blog/vay-thau-chi-la-gi" TargetMode="External"/><Relationship Id="rId1636" Type="http://schemas.openxmlformats.org/officeDocument/2006/relationships/hyperlink" Target="https://techcombank.com/thong-tin/blog/1-van-te-bang-bao-nhieu-tien-viet" TargetMode="External"/><Relationship Id="rId2967" Type="http://schemas.openxmlformats.org/officeDocument/2006/relationships/hyperlink" Target="https://techcombank.com/thong-tin/blog/vay-tin-chap-khong-tra-duoc-co-sao-khong" TargetMode="External"/><Relationship Id="rId1637" Type="http://schemas.openxmlformats.org/officeDocument/2006/relationships/hyperlink" Target="https://techcombank.com/thong-tin/blog/1000-te-bang-bao-nhieu-tien-viet" TargetMode="External"/><Relationship Id="rId2968" Type="http://schemas.openxmlformats.org/officeDocument/2006/relationships/hyperlink" Target="https://techcombank.com/thong-tin/blog/vay-von-doanh-nghiep-khong-the-chap" TargetMode="External"/><Relationship Id="rId1638" Type="http://schemas.openxmlformats.org/officeDocument/2006/relationships/hyperlink" Target="https://techcombank.com/thong-tin/blog/100-riel-bang-bao-nhieu-tien-viet-nam" TargetMode="External"/><Relationship Id="rId2969" Type="http://schemas.openxmlformats.org/officeDocument/2006/relationships/hyperlink" Target="https://techcombank.com/thong-tin/blog/vay-tin-chap-cho-doanh-nghiep-moi-thanh-lap" TargetMode="External"/><Relationship Id="rId929" Type="http://schemas.openxmlformats.org/officeDocument/2006/relationships/hyperlink" Target="https://techcombank.com/thong-tin/blog/gui-ma-qr-ngan-hang" TargetMode="External"/><Relationship Id="rId1639" Type="http://schemas.openxmlformats.org/officeDocument/2006/relationships/hyperlink" Target="https://techcombank.com/thong-tin/blog/tien-indonesia" TargetMode="External"/><Relationship Id="rId928" Type="http://schemas.openxmlformats.org/officeDocument/2006/relationships/hyperlink" Target="https://techcombank.com/thong-tin/blog/so-tai-khoan-ngan-hang" TargetMode="External"/><Relationship Id="rId927" Type="http://schemas.openxmlformats.org/officeDocument/2006/relationships/hyperlink" Target="https://techcombank.com/thong-tin/blog/thanh-toan-tra-sau-viettel-bang-tai-khoan-ngan-hang" TargetMode="External"/><Relationship Id="rId926" Type="http://schemas.openxmlformats.org/officeDocument/2006/relationships/hyperlink" Target="https://techcombank.com/thong-tin/blog/cach-kiem-tra-tai-khoan-ngan-hang" TargetMode="External"/><Relationship Id="rId921" Type="http://schemas.openxmlformats.org/officeDocument/2006/relationships/hyperlink" Target="https://techcombank.com/thong-tin/blog/nap-tien-vao-tai-khoan-ngan-hang" TargetMode="External"/><Relationship Id="rId920" Type="http://schemas.openxmlformats.org/officeDocument/2006/relationships/hyperlink" Target="https://techcombank.com/thong-tin/blog/cach-chuyen-tien-qua-ma-qr-techcombank" TargetMode="External"/><Relationship Id="rId925" Type="http://schemas.openxmlformats.org/officeDocument/2006/relationships/hyperlink" Target="https://techcombank.com/thong-tin/blog/chuyen-khoan-lien-ngan-hang" TargetMode="External"/><Relationship Id="rId924" Type="http://schemas.openxmlformats.org/officeDocument/2006/relationships/hyperlink" Target="https://techcombank.com/thong-tin/blog/99999-co-y-nghia-gi" TargetMode="External"/><Relationship Id="rId923" Type="http://schemas.openxmlformats.org/officeDocument/2006/relationships/hyperlink" Target="https://techcombank.com/thong-tin/blog/uu-dai-mua-iphone-18" TargetMode="External"/><Relationship Id="rId922" Type="http://schemas.openxmlformats.org/officeDocument/2006/relationships/hyperlink" Target="https://techcombank.com/thong-tin/blog/cach-chon-so-tai-khoan-dep" TargetMode="External"/><Relationship Id="rId2960" Type="http://schemas.openxmlformats.org/officeDocument/2006/relationships/hyperlink" Target="https://techcombank.com/thong-tin/blog/tat-toan" TargetMode="External"/><Relationship Id="rId1630" Type="http://schemas.openxmlformats.org/officeDocument/2006/relationships/hyperlink" Target="https://techcombank.com/thong-tin/blog/1000-won-bang-bao-nhieu-tien-viet" TargetMode="External"/><Relationship Id="rId2961" Type="http://schemas.openxmlformats.org/officeDocument/2006/relationships/hyperlink" Target="https://techcombank.com/thong-tin/blog/lai-suat-vay-tieu-dung" TargetMode="External"/><Relationship Id="rId1620" Type="http://schemas.openxmlformats.org/officeDocument/2006/relationships/hyperlink" Target="https://techcombank.com/thong-tin/blog/vay-du-hoc" TargetMode="External"/><Relationship Id="rId2951" Type="http://schemas.openxmlformats.org/officeDocument/2006/relationships/hyperlink" Target="https://techcombank.com/thong-tin/blog/vay-20-trieu" TargetMode="External"/><Relationship Id="rId1621" Type="http://schemas.openxmlformats.org/officeDocument/2006/relationships/hyperlink" Target="https://techcombank.com/thong-tin/blog/1-van-tien-dai-loan-bang-bao-nhieu-tien-viet" TargetMode="External"/><Relationship Id="rId2952" Type="http://schemas.openxmlformats.org/officeDocument/2006/relationships/hyperlink" Target="https://techcombank.com/thong-tin/blog/diem-tin-dung" TargetMode="External"/><Relationship Id="rId1622" Type="http://schemas.openxmlformats.org/officeDocument/2006/relationships/hyperlink" Target="https://techcombank.com/thong-tin/blog/ngoai-te-la-gi" TargetMode="External"/><Relationship Id="rId2953" Type="http://schemas.openxmlformats.org/officeDocument/2006/relationships/hyperlink" Target="https://techcombank.com/thong-tin/blog/kinh-nghiem-vay-the-chap-ngan-hang" TargetMode="External"/><Relationship Id="rId1623" Type="http://schemas.openxmlformats.org/officeDocument/2006/relationships/hyperlink" Target="https://techcombank.com/thong-tin/blog/ty-gia-cac-ngan-hang" TargetMode="External"/><Relationship Id="rId2954" Type="http://schemas.openxmlformats.org/officeDocument/2006/relationships/hyperlink" Target="https://techcombank.com/thong-tin/blog/bi-quyet-tiet-kiem-tien-mua-nha" TargetMode="External"/><Relationship Id="rId1624" Type="http://schemas.openxmlformats.org/officeDocument/2006/relationships/hyperlink" Target="https://techcombank.com/thong-tin/blog/han-muc-mua-ngoai-te-khi-di-du-lich" TargetMode="External"/><Relationship Id="rId2955" Type="http://schemas.openxmlformats.org/officeDocument/2006/relationships/hyperlink" Target="https://techcombank.com/thong-tin/blog/vay-sinh-vien" TargetMode="External"/><Relationship Id="rId1625" Type="http://schemas.openxmlformats.org/officeDocument/2006/relationships/hyperlink" Target="https://techcombank.com/thong-tin/blog/shang-chi" TargetMode="External"/><Relationship Id="rId2956" Type="http://schemas.openxmlformats.org/officeDocument/2006/relationships/hyperlink" Target="https://techcombank.com/thong-tin/blog/lai-suat-ngan-hang-cho-vay-xay-nha" TargetMode="External"/><Relationship Id="rId1626" Type="http://schemas.openxmlformats.org/officeDocument/2006/relationships/hyperlink" Target="https://techcombank.com/thong-tin/blog/1-dong-do-la-my-bang-bao-nhieu-tien-viet-nam" TargetMode="External"/><Relationship Id="rId2957" Type="http://schemas.openxmlformats.org/officeDocument/2006/relationships/hyperlink" Target="https://techcombank.com/thong-tin/blog/vay-tin-chap-no-xau" TargetMode="External"/><Relationship Id="rId1627" Type="http://schemas.openxmlformats.org/officeDocument/2006/relationships/hyperlink" Target="https://techcombank.com/thong-tin/blog/1-te-bang-bao-nhieu-tien-viet-nam" TargetMode="External"/><Relationship Id="rId2958" Type="http://schemas.openxmlformats.org/officeDocument/2006/relationships/hyperlink" Target="https://techcombank.com/thong-tin/blog/vay-tin-chap-la-gi" TargetMode="External"/><Relationship Id="rId918" Type="http://schemas.openxmlformats.org/officeDocument/2006/relationships/hyperlink" Target="https://techcombank.com/thong-tin/blog/mobile-banking-la-gi" TargetMode="External"/><Relationship Id="rId1628" Type="http://schemas.openxmlformats.org/officeDocument/2006/relationships/hyperlink" Target="https://techcombank.com/thong-tin/blog/tien-trung-quoc" TargetMode="External"/><Relationship Id="rId2959" Type="http://schemas.openxmlformats.org/officeDocument/2006/relationships/hyperlink" Target="https://techcombank.com/thong-tin/blog/lai-suat-cho-vay-doanh-nghiep" TargetMode="External"/><Relationship Id="rId917" Type="http://schemas.openxmlformats.org/officeDocument/2006/relationships/hyperlink" Target="https://techcombank.com/thong-tin/blog/cach-chuyen-khoan-bang-dien-thoai" TargetMode="External"/><Relationship Id="rId1629" Type="http://schemas.openxmlformats.org/officeDocument/2006/relationships/hyperlink" Target="https://techcombank.com/thong-tin/blog/doi-tien-do-o-dau" TargetMode="External"/><Relationship Id="rId916" Type="http://schemas.openxmlformats.org/officeDocument/2006/relationships/hyperlink" Target="https://techcombank.com/thong-tin/blog/the-ghi-no-co-chuyen-khoan-duoc-khong" TargetMode="External"/><Relationship Id="rId915" Type="http://schemas.openxmlformats.org/officeDocument/2006/relationships/hyperlink" Target="https://techcombank.com/thong-tin/blog/cach-chuyen-tien" TargetMode="External"/><Relationship Id="rId919" Type="http://schemas.openxmlformats.org/officeDocument/2006/relationships/hyperlink" Target="https://techcombank.com/thong-tin/blog/ngan-hang-thu-huong-la-gi" TargetMode="External"/><Relationship Id="rId910" Type="http://schemas.openxmlformats.org/officeDocument/2006/relationships/hyperlink" Target="https://techcombank.com/thong-tin/blog/vay-ngan-hang-chi-can-cccd" TargetMode="External"/><Relationship Id="rId914" Type="http://schemas.openxmlformats.org/officeDocument/2006/relationships/hyperlink" Target="https://techcombank.com/thong-tin/blog/app-vay-tien-nhanh" TargetMode="External"/><Relationship Id="rId913" Type="http://schemas.openxmlformats.org/officeDocument/2006/relationships/hyperlink" Target="https://techcombank.com/thong-tin/blog/1-cmnd-dang-ky-duoc-may-tai-khoan-ngan-hang" TargetMode="External"/><Relationship Id="rId912" Type="http://schemas.openxmlformats.org/officeDocument/2006/relationships/hyperlink" Target="https://techcombank.com/thong-tin/blog/vay-50-trieu" TargetMode="External"/><Relationship Id="rId911" Type="http://schemas.openxmlformats.org/officeDocument/2006/relationships/hyperlink" Target="https://techcombank.com/thong-tin/blog/mo-the-tin-dung-chi-can-cccd" TargetMode="External"/><Relationship Id="rId2950" Type="http://schemas.openxmlformats.org/officeDocument/2006/relationships/hyperlink" Target="https://techcombank.com/thong-tin/blog/du-no-tin-dung-la-gi" TargetMode="External"/><Relationship Id="rId2900" Type="http://schemas.openxmlformats.org/officeDocument/2006/relationships/hyperlink" Target="https://techcombank.com/thong-tin/blog/kinh-nghiem-vay-tien-ngan-hang-xay-nha" TargetMode="External"/><Relationship Id="rId2901" Type="http://schemas.openxmlformats.org/officeDocument/2006/relationships/hyperlink" Target="https://techcombank.com/thong-tin/blog/lai-suat-vay-ngan-hang" TargetMode="External"/><Relationship Id="rId2902" Type="http://schemas.openxmlformats.org/officeDocument/2006/relationships/hyperlink" Target="https://techcombank.com/thong-tin/blog/dang-vay-tra-gop-co-vay-them-duoc-khong" TargetMode="External"/><Relationship Id="rId2903" Type="http://schemas.openxmlformats.org/officeDocument/2006/relationships/hyperlink" Target="https://techcombank.com/thong-tin/blog/vay-tra-gop" TargetMode="External"/><Relationship Id="rId2904" Type="http://schemas.openxmlformats.org/officeDocument/2006/relationships/hyperlink" Target="https://techcombank.com/thong-tin/blog/quy-trinh-cho-vay-tieu-dung" TargetMode="External"/><Relationship Id="rId2905" Type="http://schemas.openxmlformats.org/officeDocument/2006/relationships/hyperlink" Target="https://techcombank.com/thong-tin/blog/kinh-nghiem-vay-tien-mua-nha" TargetMode="External"/><Relationship Id="rId2906" Type="http://schemas.openxmlformats.org/officeDocument/2006/relationships/hyperlink" Target="https://techcombank.com/thong-tin/blog/vay-the-chap-hop-dong-mua-ban-can-ho" TargetMode="External"/><Relationship Id="rId2907" Type="http://schemas.openxmlformats.org/officeDocument/2006/relationships/hyperlink" Target="https://techcombank.com/thong-tin/blog/vay-du-hoc" TargetMode="External"/><Relationship Id="rId2908" Type="http://schemas.openxmlformats.org/officeDocument/2006/relationships/hyperlink" Target="https://techcombank.com/thong-tin/blog/nen-mua-xe-tra-gop-hay-tra-thang" TargetMode="External"/><Relationship Id="rId2909" Type="http://schemas.openxmlformats.org/officeDocument/2006/relationships/hyperlink" Target="https://techcombank.com/thong-tin/blog/lai-suat-vay-mua-o-to" TargetMode="External"/><Relationship Id="rId2920" Type="http://schemas.openxmlformats.org/officeDocument/2006/relationships/hyperlink" Target="https://techcombank.com/thong-tin/blog/mua-nha-tra-gop-dua-truoc-100-trieu" TargetMode="External"/><Relationship Id="rId2921" Type="http://schemas.openxmlformats.org/officeDocument/2006/relationships/hyperlink" Target="https://techcombank.com/thong-tin/blog/vay-200-trieu" TargetMode="External"/><Relationship Id="rId2922" Type="http://schemas.openxmlformats.org/officeDocument/2006/relationships/hyperlink" Target="https://techcombank.com/thong-tin/blog/bao-hiem-vat-chat-xe-o-to" TargetMode="External"/><Relationship Id="rId2923" Type="http://schemas.openxmlformats.org/officeDocument/2006/relationships/hyperlink" Target="https://techcombank.com/thong-tin/blog/vay-300-trieu" TargetMode="External"/><Relationship Id="rId2924" Type="http://schemas.openxmlformats.org/officeDocument/2006/relationships/hyperlink" Target="https://techcombank.com/thong-tin/blog/nen-vay-tin-chap-o-dau" TargetMode="External"/><Relationship Id="rId2925" Type="http://schemas.openxmlformats.org/officeDocument/2006/relationships/hyperlink" Target="https://techcombank.com/thong-tin/blog/kiem-tra-no-xau" TargetMode="External"/><Relationship Id="rId2926" Type="http://schemas.openxmlformats.org/officeDocument/2006/relationships/hyperlink" Target="https://techcombank.com/thong-tin/blog/quy-trinh-tat-toan-khoan-vay-the-chap" TargetMode="External"/><Relationship Id="rId2927" Type="http://schemas.openxmlformats.org/officeDocument/2006/relationships/hyperlink" Target="https://techcombank.com/thong-tin/blog/thu-tuc-mua-xe-tra-gop" TargetMode="External"/><Relationship Id="rId2928" Type="http://schemas.openxmlformats.org/officeDocument/2006/relationships/hyperlink" Target="https://techcombank.com/thong-tin/blog/vay-the-chap-so-hong" TargetMode="External"/><Relationship Id="rId2929" Type="http://schemas.openxmlformats.org/officeDocument/2006/relationships/hyperlink" Target="https://techcombank.com/thong-tin/blog/vay-mua-xe-tra-gop-ngan-hang-nao-tot-nhat" TargetMode="External"/><Relationship Id="rId2910" Type="http://schemas.openxmlformats.org/officeDocument/2006/relationships/hyperlink" Target="https://techcombank.com/thong-tin/blog/tin-chap-doanh-nghiep" TargetMode="External"/><Relationship Id="rId2911" Type="http://schemas.openxmlformats.org/officeDocument/2006/relationships/hyperlink" Target="https://techcombank.com/thong-tin/blog/vay-mua-nha-o-xa-hoi" TargetMode="External"/><Relationship Id="rId2912" Type="http://schemas.openxmlformats.org/officeDocument/2006/relationships/hyperlink" Target="https://techcombank.com/thong-tin/blog/vay-the-chap-xe-o-to-cu" TargetMode="External"/><Relationship Id="rId2913" Type="http://schemas.openxmlformats.org/officeDocument/2006/relationships/hyperlink" Target="https://techcombank.com/thong-tin/blog/cach-tinh-lai-vay-ngan-hang" TargetMode="External"/><Relationship Id="rId2914" Type="http://schemas.openxmlformats.org/officeDocument/2006/relationships/hyperlink" Target="https://techcombank.com/thong-tin/blog/vay-san-xuat-kinh-doanh" TargetMode="External"/><Relationship Id="rId2915" Type="http://schemas.openxmlformats.org/officeDocument/2006/relationships/hyperlink" Target="https://techcombank.com/thong-tin/blog/lai-suat-vay-tin-chap" TargetMode="External"/><Relationship Id="rId2916" Type="http://schemas.openxmlformats.org/officeDocument/2006/relationships/hyperlink" Target="https://techcombank.com/thong-tin/blog/cac-hinh-thuc-vay-von-ngan-hang" TargetMode="External"/><Relationship Id="rId2917" Type="http://schemas.openxmlformats.org/officeDocument/2006/relationships/hyperlink" Target="https://techcombank.com/thong-tin/blog/vay-tin-chap-va-vay-the-chap" TargetMode="External"/><Relationship Id="rId2918" Type="http://schemas.openxmlformats.org/officeDocument/2006/relationships/hyperlink" Target="https://techcombank.com/thong-tin/blog/lai-suat-vay-the-chap-so-do" TargetMode="External"/><Relationship Id="rId2919" Type="http://schemas.openxmlformats.org/officeDocument/2006/relationships/hyperlink" Target="https://techcombank.com/thong-tin/blog/co-100-trieu-co-mua-nen-mua-tra-gop" TargetMode="External"/><Relationship Id="rId1697" Type="http://schemas.openxmlformats.org/officeDocument/2006/relationships/hyperlink" Target="https://techcombank.com/thong-tin/blog/1000-te-bang-bao-nhieu-tien-viet" TargetMode="External"/><Relationship Id="rId1698" Type="http://schemas.openxmlformats.org/officeDocument/2006/relationships/hyperlink" Target="https://techcombank.com/thong-tin/blog/100-riel-bang-bao-nhieu-tien-viet-nam" TargetMode="External"/><Relationship Id="rId1699" Type="http://schemas.openxmlformats.org/officeDocument/2006/relationships/hyperlink" Target="https://techcombank.com/thong-tin/blog/tien-indonesia" TargetMode="External"/><Relationship Id="rId866" Type="http://schemas.openxmlformats.org/officeDocument/2006/relationships/hyperlink" Target="https://techcombank.com/thong-tin/blog/ke-khai-thue-ho-kinh-doanh-ca-the-online" TargetMode="External"/><Relationship Id="rId865" Type="http://schemas.openxmlformats.org/officeDocument/2006/relationships/hyperlink" Target="https://techcombank.com/thong-tin/blog/tra-cuu-no-thue-doanh-nghiep" TargetMode="External"/><Relationship Id="rId864" Type="http://schemas.openxmlformats.org/officeDocument/2006/relationships/hyperlink" Target="https://techcombank.com/thong-tin/blog/thue-thuong-mai-dien-tu" TargetMode="External"/><Relationship Id="rId863" Type="http://schemas.openxmlformats.org/officeDocument/2006/relationships/hyperlink" Target="https://techcombank.com/thong-tin/blog/tra-luong-tien-mat" TargetMode="External"/><Relationship Id="rId869" Type="http://schemas.openxmlformats.org/officeDocument/2006/relationships/hyperlink" Target="https://techcombank.com/thong-tin/blog/chuyen-doi-ho-kinh-doanh-len-doanh-nghiep" TargetMode="External"/><Relationship Id="rId868" Type="http://schemas.openxmlformats.org/officeDocument/2006/relationships/hyperlink" Target="https://techcombank.com/thong-tin/blog/kiem-tra-thue-ho-kinh-doanh" TargetMode="External"/><Relationship Id="rId867" Type="http://schemas.openxmlformats.org/officeDocument/2006/relationships/hyperlink" Target="https://techcombank.com/thong-tin/blog/giai-dap-ve-thue-doanh-nghiep" TargetMode="External"/><Relationship Id="rId1690" Type="http://schemas.openxmlformats.org/officeDocument/2006/relationships/hyperlink" Target="https://techcombank.com/thong-tin/blog/doi-tien-do-o-dau" TargetMode="External"/><Relationship Id="rId1691" Type="http://schemas.openxmlformats.org/officeDocument/2006/relationships/hyperlink" Target="https://techcombank.com/thong-tin/blog/chuyen-tien-tu-nhat-ve-viet-nam" TargetMode="External"/><Relationship Id="rId1692" Type="http://schemas.openxmlformats.org/officeDocument/2006/relationships/hyperlink" Target="https://techcombank.com/thong-tin/blog/1000-won-bang-bao-nhieu-tien-viet" TargetMode="External"/><Relationship Id="rId862" Type="http://schemas.openxmlformats.org/officeDocument/2006/relationships/hyperlink" Target="https://techcombank.com/thong-tin/blog/tim-hieu-ve-chinh-sach-thue-moi" TargetMode="External"/><Relationship Id="rId1693" Type="http://schemas.openxmlformats.org/officeDocument/2006/relationships/hyperlink" Target="https://techcombank.com/thong-tin/blog/tien-singapore" TargetMode="External"/><Relationship Id="rId861" Type="http://schemas.openxmlformats.org/officeDocument/2006/relationships/hyperlink" Target="https://techcombank.com/thong-tin/blog/ke-khai-thue-doanh-nghiep" TargetMode="External"/><Relationship Id="rId1694" Type="http://schemas.openxmlformats.org/officeDocument/2006/relationships/hyperlink" Target="https://techcombank.com/thong-tin/blog/tien-nhat" TargetMode="External"/><Relationship Id="rId860" Type="http://schemas.openxmlformats.org/officeDocument/2006/relationships/hyperlink" Target="https://techcombank.com/thong-tin/blog/cach-nop-thue-dien-tu" TargetMode="External"/><Relationship Id="rId1695" Type="http://schemas.openxmlformats.org/officeDocument/2006/relationships/hyperlink" Target="https://techcombank.com/thong-tin/blog/tien-dai-loan" TargetMode="External"/><Relationship Id="rId1696" Type="http://schemas.openxmlformats.org/officeDocument/2006/relationships/hyperlink" Target="https://techcombank.com/thong-tin/blog/1-van-te-bang-bao-nhieu-tien-viet" TargetMode="External"/><Relationship Id="rId1686" Type="http://schemas.openxmlformats.org/officeDocument/2006/relationships/hyperlink" Target="https://techcombank.com/thong-tin/blog/1-dong-do-la-my-bang-bao-nhieu-tien-viet-nam" TargetMode="External"/><Relationship Id="rId1687" Type="http://schemas.openxmlformats.org/officeDocument/2006/relationships/hyperlink" Target="https://techcombank.com/thong-tin/blog/1-te-bang-bao-nhieu-tien-viet-nam" TargetMode="External"/><Relationship Id="rId1688" Type="http://schemas.openxmlformats.org/officeDocument/2006/relationships/hyperlink" Target="https://techcombank.com/thong-tin/blog/tien-trung-quoc" TargetMode="External"/><Relationship Id="rId1689" Type="http://schemas.openxmlformats.org/officeDocument/2006/relationships/hyperlink" Target="https://techcombank.com/thong-tin/blog/1000-yen-bang-bao-nhieu-tien-viet" TargetMode="External"/><Relationship Id="rId855" Type="http://schemas.openxmlformats.org/officeDocument/2006/relationships/hyperlink" Target="https://techcombank.com/thong-tin/blog/kiem-tra-thue-thu-nhap-ca-nhan" TargetMode="External"/><Relationship Id="rId854" Type="http://schemas.openxmlformats.org/officeDocument/2006/relationships/hyperlink" Target="https://techcombank.com/thong-tin/blog/vay-the-chap-qua-luong" TargetMode="External"/><Relationship Id="rId853" Type="http://schemas.openxmlformats.org/officeDocument/2006/relationships/hyperlink" Target="https://techcombank.com/thong-tin/blog/cach-tinh-thue-thu-nhap-ca-nhan-2025" TargetMode="External"/><Relationship Id="rId852" Type="http://schemas.openxmlformats.org/officeDocument/2006/relationships/hyperlink" Target="https://techcombank.com/thong-tin/blog/dang-ky-ma-so-thue-ca-nhan" TargetMode="External"/><Relationship Id="rId859" Type="http://schemas.openxmlformats.org/officeDocument/2006/relationships/hyperlink" Target="https://techcombank.com/thong-tin/blog/cach-tinh-thue-thu-nhap-doanh-nghiep" TargetMode="External"/><Relationship Id="rId858" Type="http://schemas.openxmlformats.org/officeDocument/2006/relationships/hyperlink" Target="https://techcombank.com/thong-tin/blog/thue-thu-nhap-doanh-nghiep" TargetMode="External"/><Relationship Id="rId857" Type="http://schemas.openxmlformats.org/officeDocument/2006/relationships/hyperlink" Target="https://techcombank.com/thong-tin/blog/hoc-cach-tiet-kiem-tien-luong" TargetMode="External"/><Relationship Id="rId856" Type="http://schemas.openxmlformats.org/officeDocument/2006/relationships/hyperlink" Target="https://techcombank.com/thong-tin/blog/chi-tra-luong-huu" TargetMode="External"/><Relationship Id="rId1680" Type="http://schemas.openxmlformats.org/officeDocument/2006/relationships/hyperlink" Target="https://techcombank.com/thong-tin/blog/xu-huong-ty-gia-usd" TargetMode="External"/><Relationship Id="rId1681" Type="http://schemas.openxmlformats.org/officeDocument/2006/relationships/hyperlink" Target="https://techcombank.com/thong-tin/blog/thanh-toan-khi-du-lich-thai-lan" TargetMode="External"/><Relationship Id="rId851" Type="http://schemas.openxmlformats.org/officeDocument/2006/relationships/hyperlink" Target="https://techcombank.com/thong-tin/blog/chinh-sach-tang-luong-huu" TargetMode="External"/><Relationship Id="rId1682" Type="http://schemas.openxmlformats.org/officeDocument/2006/relationships/hyperlink" Target="https://techcombank.com/thong-tin/blog/thanh-toan-qr-thai-lan" TargetMode="External"/><Relationship Id="rId850" Type="http://schemas.openxmlformats.org/officeDocument/2006/relationships/hyperlink" Target="https://techcombank.com/thong-tin/blog/ho-kinh-doanh-dong-thue-nhu-nao" TargetMode="External"/><Relationship Id="rId1683" Type="http://schemas.openxmlformats.org/officeDocument/2006/relationships/hyperlink" Target="https://techcombank.com/thong-tin/blog/han-muc-mua-ngoai-te-khi-di-du-lich" TargetMode="External"/><Relationship Id="rId1684" Type="http://schemas.openxmlformats.org/officeDocument/2006/relationships/hyperlink" Target="https://techcombank.com/thong-tin/blog/di-du-lich-nuoc-ngoai-can-chuan-bi-gi" TargetMode="External"/><Relationship Id="rId1685" Type="http://schemas.openxmlformats.org/officeDocument/2006/relationships/hyperlink" Target="https://techcombank.com/thong-tin/blog/thanh-toan-bang-the-quoc-te" TargetMode="External"/><Relationship Id="rId888" Type="http://schemas.openxmlformats.org/officeDocument/2006/relationships/hyperlink" Target="https://techcombank.com/thong-tin/blog/ma-qr-techcombank" TargetMode="External"/><Relationship Id="rId887" Type="http://schemas.openxmlformats.org/officeDocument/2006/relationships/hyperlink" Target="https://techcombank.com/thong-tin/blog/ma-qr-lam-gia-duoc-khong" TargetMode="External"/><Relationship Id="rId886" Type="http://schemas.openxmlformats.org/officeDocument/2006/relationships/hyperlink" Target="https://techcombank.com/thong-tin/blog/cdm" TargetMode="External"/><Relationship Id="rId885" Type="http://schemas.openxmlformats.org/officeDocument/2006/relationships/hyperlink" Target="https://techcombank.com/thong-tin/blog/mm-yy-la-gi" TargetMode="External"/><Relationship Id="rId889" Type="http://schemas.openxmlformats.org/officeDocument/2006/relationships/hyperlink" Target="https://techcombank.com/thong-tin/blog/so-sanh-ma-qr-va-ma-vach" TargetMode="External"/><Relationship Id="rId880" Type="http://schemas.openxmlformats.org/officeDocument/2006/relationships/hyperlink" Target="https://techcombank.com/thong-tin/blog/pos" TargetMode="External"/><Relationship Id="rId884" Type="http://schemas.openxmlformats.org/officeDocument/2006/relationships/hyperlink" Target="https://techcombank.com/thong-tin/blog/in-ma-qr-ngan-hang" TargetMode="External"/><Relationship Id="rId883" Type="http://schemas.openxmlformats.org/officeDocument/2006/relationships/hyperlink" Target="https://techcombank.com/thong-tin/blog/rut-tien-mat-tu-tai-khoan-doanh-nghiep" TargetMode="External"/><Relationship Id="rId882" Type="http://schemas.openxmlformats.org/officeDocument/2006/relationships/hyperlink" Target="https://techcombank.com/thong-tin/blog/ma-qr-ngan-hang-khong-hop-le" TargetMode="External"/><Relationship Id="rId881" Type="http://schemas.openxmlformats.org/officeDocument/2006/relationships/hyperlink" Target="https://techcombank.com/thong-tin/blog/softpos" TargetMode="External"/><Relationship Id="rId877" Type="http://schemas.openxmlformats.org/officeDocument/2006/relationships/hyperlink" Target="https://techcombank.com/thong-tin/blog/gui-ma-qr-ngan-hang" TargetMode="External"/><Relationship Id="rId876" Type="http://schemas.openxmlformats.org/officeDocument/2006/relationships/hyperlink" Target="https://techcombank.com/thong-tin/blog/quet-ma-qr-techcombank" TargetMode="External"/><Relationship Id="rId875" Type="http://schemas.openxmlformats.org/officeDocument/2006/relationships/hyperlink" Target="https://techcombank.com/thong-tin/blog/cay-atm-gan-day" TargetMode="External"/><Relationship Id="rId874" Type="http://schemas.openxmlformats.org/officeDocument/2006/relationships/hyperlink" Target="https://techcombank.com/thong-tin/blog/bi-nuot-the-atm-phai-lam-sao" TargetMode="External"/><Relationship Id="rId879" Type="http://schemas.openxmlformats.org/officeDocument/2006/relationships/hyperlink" Target="https://techcombank.com/thong-tin/blog/tao-ma-qr-thanh-toan-cho-cua-hang" TargetMode="External"/><Relationship Id="rId878" Type="http://schemas.openxmlformats.org/officeDocument/2006/relationships/hyperlink" Target="https://techcombank.com/thong-tin/blog/cach-tao-ma-qr" TargetMode="External"/><Relationship Id="rId873" Type="http://schemas.openxmlformats.org/officeDocument/2006/relationships/hyperlink" Target="https://techcombank.com/thong-tin/blog/the-atm-khong-rut-duoc-tien" TargetMode="External"/><Relationship Id="rId872" Type="http://schemas.openxmlformats.org/officeDocument/2006/relationships/hyperlink" Target="https://techcombank.com/thong-tin/blog/cach-rut-tien-atm" TargetMode="External"/><Relationship Id="rId871" Type="http://schemas.openxmlformats.org/officeDocument/2006/relationships/hyperlink" Target="https://techcombank.com/thong-tin/blog/rut-tien-bang-ma-qr-khac-ngan-hang-duoc-khong" TargetMode="External"/><Relationship Id="rId870" Type="http://schemas.openxmlformats.org/officeDocument/2006/relationships/hyperlink" Target="https://techcombank.com/thong-tin/blog/nen-thanh-lap-ho-kinh-doanh-ke-khai-hay-doanh-nghiep" TargetMode="External"/><Relationship Id="rId1653" Type="http://schemas.openxmlformats.org/officeDocument/2006/relationships/hyperlink" Target="https://techcombank.com/thong-tin/blog/1000-yen-bang-bao-nhieu-tien-viet" TargetMode="External"/><Relationship Id="rId2984" Type="http://schemas.openxmlformats.org/officeDocument/2006/relationships/hyperlink" Target="https://techcombank.com/thong-tin/blog/lai-suat-tha-noi" TargetMode="External"/><Relationship Id="rId1654" Type="http://schemas.openxmlformats.org/officeDocument/2006/relationships/hyperlink" Target="https://techcombank.com/thong-tin/blog/chuyen-tien-tu-nhat-ve-viet-nam" TargetMode="External"/><Relationship Id="rId2985" Type="http://schemas.openxmlformats.org/officeDocument/2006/relationships/hyperlink" Target="https://techcombank.com/thong-tin/blog/tra-no-vay-thau-chi-nhu-the-nao" TargetMode="External"/><Relationship Id="rId1655" Type="http://schemas.openxmlformats.org/officeDocument/2006/relationships/hyperlink" Target="https://techcombank.com/thong-tin/blog/thanh-toan-khi-du-lich-nhat-ban" TargetMode="External"/><Relationship Id="rId2986" Type="http://schemas.openxmlformats.org/officeDocument/2006/relationships/hyperlink" Target="https://techcombank.com/thong-tin/blog/vay-bo-sung-von-luu-dong" TargetMode="External"/><Relationship Id="rId1656" Type="http://schemas.openxmlformats.org/officeDocument/2006/relationships/hyperlink" Target="https://techcombank.com/thong-tin/blog/chixmax" TargetMode="External"/><Relationship Id="rId2987" Type="http://schemas.openxmlformats.org/officeDocument/2006/relationships/hyperlink" Target="https://techcombank.com/thong-tin/blog/vay-tin-chap-ho-kinh-doanh" TargetMode="External"/><Relationship Id="rId1657" Type="http://schemas.openxmlformats.org/officeDocument/2006/relationships/hyperlink" Target="https://techcombank.com/thong-tin/blog/han-muc-mua-ngoai-te-khi-di-du-lich" TargetMode="External"/><Relationship Id="rId2988" Type="http://schemas.openxmlformats.org/officeDocument/2006/relationships/hyperlink" Target="https://techcombank.com/thong-tin/blog/no-chu-y-la-gi" TargetMode="External"/><Relationship Id="rId1658" Type="http://schemas.openxmlformats.org/officeDocument/2006/relationships/hyperlink" Target="https://techcombank.com/thong-tin/blog/1-dong-do-la-my-bang-bao-nhieu-tien-viet-nam" TargetMode="External"/><Relationship Id="rId2989" Type="http://schemas.openxmlformats.org/officeDocument/2006/relationships/hyperlink" Target="https://techcombank.com/thong-tin/blog/no-xau-la-gi" TargetMode="External"/><Relationship Id="rId1659" Type="http://schemas.openxmlformats.org/officeDocument/2006/relationships/hyperlink" Target="https://techcombank.com/thong-tin/blog/1-te-bang-bao-nhieu-tien-viet-nam" TargetMode="External"/><Relationship Id="rId829" Type="http://schemas.openxmlformats.org/officeDocument/2006/relationships/hyperlink" Target="https://techcombank.com/thong-tin/blog/cach-nap-tien-vao-the-ghi-no" TargetMode="External"/><Relationship Id="rId828" Type="http://schemas.openxmlformats.org/officeDocument/2006/relationships/hyperlink" Target="https://techcombank.com/thong-tin/blog/cach-gui-tiet-kiem-online" TargetMode="External"/><Relationship Id="rId827" Type="http://schemas.openxmlformats.org/officeDocument/2006/relationships/hyperlink" Target="https://techcombank.com/thong-tin/blog/cach-thanh-toan-the-tin-dung" TargetMode="External"/><Relationship Id="rId822" Type="http://schemas.openxmlformats.org/officeDocument/2006/relationships/hyperlink" Target="https://techcombank.com/thong-tin/blog/lo-so-tai-khoan-ngan-hang-co-sao-khong" TargetMode="External"/><Relationship Id="rId821" Type="http://schemas.openxmlformats.org/officeDocument/2006/relationships/hyperlink" Target="https://techcombank.com/thong-tin/blog/the-visa-co-can-mat-khau-khong" TargetMode="External"/><Relationship Id="rId820" Type="http://schemas.openxmlformats.org/officeDocument/2006/relationships/hyperlink" Target="https://techcombank.com/thong-tin/blog/cach-lam-the-atm" TargetMode="External"/><Relationship Id="rId826" Type="http://schemas.openxmlformats.org/officeDocument/2006/relationships/hyperlink" Target="https://techcombank.com/thong-tin/blog/vay-ngan-hang-1-ty-moi-thang-tra-bao-nhieu" TargetMode="External"/><Relationship Id="rId825" Type="http://schemas.openxmlformats.org/officeDocument/2006/relationships/hyperlink" Target="https://techcombank.com/thong-tin/blog/ngan-hang-thu-huong-la-gi" TargetMode="External"/><Relationship Id="rId824" Type="http://schemas.openxmlformats.org/officeDocument/2006/relationships/hyperlink" Target="https://techcombank.com/thong-tin/blog/ma-otp-la-gi" TargetMode="External"/><Relationship Id="rId823" Type="http://schemas.openxmlformats.org/officeDocument/2006/relationships/hyperlink" Target="https://techcombank.com/thong-tin/blog/lo-ma-qr-ngan-hang-co-sao-khong" TargetMode="External"/><Relationship Id="rId2980" Type="http://schemas.openxmlformats.org/officeDocument/2006/relationships/hyperlink" Target="https://techcombank.com/thong-tin/blog/vay-40-trieu" TargetMode="External"/><Relationship Id="rId1650" Type="http://schemas.openxmlformats.org/officeDocument/2006/relationships/hyperlink" Target="https://techcombank.com/thong-tin/blog/cach-nhan-tien-tu-nuoc-ngoai-ve-viet-nam" TargetMode="External"/><Relationship Id="rId2981" Type="http://schemas.openxmlformats.org/officeDocument/2006/relationships/hyperlink" Target="https://techcombank.com/thong-tin/blog/co-nen-mua-o-to-tra-gop" TargetMode="External"/><Relationship Id="rId1651" Type="http://schemas.openxmlformats.org/officeDocument/2006/relationships/hyperlink" Target="https://techcombank.com/thong-tin/blog/tien-nhat" TargetMode="External"/><Relationship Id="rId2982" Type="http://schemas.openxmlformats.org/officeDocument/2006/relationships/hyperlink" Target="https://techcombank.com/thong-tin/blog/vay-the-chap-so-bao-hiem-xa-hoi" TargetMode="External"/><Relationship Id="rId1652" Type="http://schemas.openxmlformats.org/officeDocument/2006/relationships/hyperlink" Target="https://techcombank.com/thong-tin/blog/1-yen-bang-bao-nhieu-tien-viet-nam" TargetMode="External"/><Relationship Id="rId2983" Type="http://schemas.openxmlformats.org/officeDocument/2006/relationships/hyperlink" Target="https://techcombank.com/thong-tin/blog/nen-vay-the-chap-ngan-hang-nao" TargetMode="External"/><Relationship Id="rId1642" Type="http://schemas.openxmlformats.org/officeDocument/2006/relationships/hyperlink" Target="https://techcombank.com/thong-tin/blog/chuyen-tien-di-uc" TargetMode="External"/><Relationship Id="rId2973" Type="http://schemas.openxmlformats.org/officeDocument/2006/relationships/hyperlink" Target="https://techcombank.com/thong-tin/blog/thu-tuc-vay-ngan-hang-mua-nha" TargetMode="External"/><Relationship Id="rId1643" Type="http://schemas.openxmlformats.org/officeDocument/2006/relationships/hyperlink" Target="https://techcombank.com/thong-tin/blog/1-cent-bang-bao-nhieu-tien-viet" TargetMode="External"/><Relationship Id="rId2974" Type="http://schemas.openxmlformats.org/officeDocument/2006/relationships/hyperlink" Target="https://techcombank.com/thong-tin/blog/thoi-han-vay-thau-chi" TargetMode="External"/><Relationship Id="rId1644" Type="http://schemas.openxmlformats.org/officeDocument/2006/relationships/hyperlink" Target="https://techcombank.com/thong-tin/blog/1-do-uc-bang-bao-nhieu-tien-viet" TargetMode="External"/><Relationship Id="rId2975" Type="http://schemas.openxmlformats.org/officeDocument/2006/relationships/hyperlink" Target="https://techcombank.com/thong-tin/blog/thu-tuc-vay-von-ngan-hang-de-xay-nha" TargetMode="External"/><Relationship Id="rId1645" Type="http://schemas.openxmlformats.org/officeDocument/2006/relationships/hyperlink" Target="https://techcombank.com/thong-tin/blog/gui-tien-du-hoc" TargetMode="External"/><Relationship Id="rId2976" Type="http://schemas.openxmlformats.org/officeDocument/2006/relationships/hyperlink" Target="https://techcombank.com/thong-tin/blog/phi-vay-the-chap" TargetMode="External"/><Relationship Id="rId1646" Type="http://schemas.openxmlformats.org/officeDocument/2006/relationships/hyperlink" Target="https://techcombank.com/thong-tin/blog/chuyen-tien-dinh-cu" TargetMode="External"/><Relationship Id="rId2977" Type="http://schemas.openxmlformats.org/officeDocument/2006/relationships/hyperlink" Target="https://techcombank.com/thong-tin/blog/the-chap-la-gi" TargetMode="External"/><Relationship Id="rId1647" Type="http://schemas.openxmlformats.org/officeDocument/2006/relationships/hyperlink" Target="https://techcombank.com/thong-tin/blog/thu-tuc-chuyen-tien-ra-nuoc-ngoai" TargetMode="External"/><Relationship Id="rId2978" Type="http://schemas.openxmlformats.org/officeDocument/2006/relationships/hyperlink" Target="https://techcombank.com/thong-tin/blog/vay-the-chap-khong-chung-minh-thu-nhap" TargetMode="External"/><Relationship Id="rId1648" Type="http://schemas.openxmlformats.org/officeDocument/2006/relationships/hyperlink" Target="https://techcombank.com/thong-tin/blog/gui-tien-sang-nuoc-ngoai" TargetMode="External"/><Relationship Id="rId2979" Type="http://schemas.openxmlformats.org/officeDocument/2006/relationships/hyperlink" Target="https://techcombank.com/thong-tin/blog/vay-the-chap-la-gi" TargetMode="External"/><Relationship Id="rId1649" Type="http://schemas.openxmlformats.org/officeDocument/2006/relationships/hyperlink" Target="https://techcombank.com/thong-tin/blog/chuyen-tien-tu-duc-ve-viet-nam" TargetMode="External"/><Relationship Id="rId819" Type="http://schemas.openxmlformats.org/officeDocument/2006/relationships/hyperlink" Target="https://techcombank.com/thong-tin/blog/thanh-toan-ve-may-bay-online" TargetMode="External"/><Relationship Id="rId818" Type="http://schemas.openxmlformats.org/officeDocument/2006/relationships/hyperlink" Target="https://techcombank.com/thong-tin/blog/cach-kiem-tra-tai-khoan-ngan-hang-cua-cong-ty" TargetMode="External"/><Relationship Id="rId817" Type="http://schemas.openxmlformats.org/officeDocument/2006/relationships/hyperlink" Target="https://techcombank.com/thong-tin/blog/so-du-kha-dung" TargetMode="External"/><Relationship Id="rId816" Type="http://schemas.openxmlformats.org/officeDocument/2006/relationships/hyperlink" Target="https://techcombank.com/thong-tin/blog/gui-ma-qr-ngan-hang" TargetMode="External"/><Relationship Id="rId811" Type="http://schemas.openxmlformats.org/officeDocument/2006/relationships/hyperlink" Target="https://techcombank.com/thong-tin/blog/cach-doi-mat-khau-tai-khoan-ngan-hang" TargetMode="External"/><Relationship Id="rId810" Type="http://schemas.openxmlformats.org/officeDocument/2006/relationships/hyperlink" Target="https://techcombank.com/thong-tin/blog/bao-hiem-nhan-tho-bao-nhieu-tien" TargetMode="External"/><Relationship Id="rId815" Type="http://schemas.openxmlformats.org/officeDocument/2006/relationships/hyperlink" Target="https://techcombank.com/thong-tin/blog/mat-so-dien-thoai-dang-ky-tai-khoan-ngan-hang" TargetMode="External"/><Relationship Id="rId814" Type="http://schemas.openxmlformats.org/officeDocument/2006/relationships/hyperlink" Target="https://techcombank.com/thong-tin/blog/smart-otp-la-gi" TargetMode="External"/><Relationship Id="rId813" Type="http://schemas.openxmlformats.org/officeDocument/2006/relationships/hyperlink" Target="https://techcombank.com/thong-tin/blog/cach-bao-ve-tai-khoan" TargetMode="External"/><Relationship Id="rId812" Type="http://schemas.openxmlformats.org/officeDocument/2006/relationships/hyperlink" Target="https://techcombank.com/thong-tin/blog/internet-banking" TargetMode="External"/><Relationship Id="rId2970" Type="http://schemas.openxmlformats.org/officeDocument/2006/relationships/hyperlink" Target="https://techcombank.com/thong-tin/blog/thanh-toan-khoan-vay" TargetMode="External"/><Relationship Id="rId1640" Type="http://schemas.openxmlformats.org/officeDocument/2006/relationships/hyperlink" Target="https://techcombank.com/thong-tin/blog/1-won-bang-bao-nhieu-tien-viet" TargetMode="External"/><Relationship Id="rId2971" Type="http://schemas.openxmlformats.org/officeDocument/2006/relationships/hyperlink" Target="https://techcombank.com/thong-tin/blog/co-nen-vay-ngan-hang-mua-nha" TargetMode="External"/><Relationship Id="rId1641" Type="http://schemas.openxmlformats.org/officeDocument/2006/relationships/hyperlink" Target="https://techcombank.com/thong-tin/blog/dieu-kien-mua-usd-tu-ngan-hang" TargetMode="External"/><Relationship Id="rId2972" Type="http://schemas.openxmlformats.org/officeDocument/2006/relationships/hyperlink" Target="https://techcombank.com/thong-tin/blog/ho-so-vay-tin-chap" TargetMode="External"/><Relationship Id="rId1675" Type="http://schemas.openxmlformats.org/officeDocument/2006/relationships/hyperlink" Target="https://techcombank.com/thong-tin/blog/gui-tien-du-hoc" TargetMode="External"/><Relationship Id="rId1676" Type="http://schemas.openxmlformats.org/officeDocument/2006/relationships/hyperlink" Target="https://techcombank.com/thong-tin/blog/chuyen-tien-dinh-cu" TargetMode="External"/><Relationship Id="rId1677" Type="http://schemas.openxmlformats.org/officeDocument/2006/relationships/hyperlink" Target="https://techcombank.com/thong-tin/blog/tien-thai-lan" TargetMode="External"/><Relationship Id="rId1678" Type="http://schemas.openxmlformats.org/officeDocument/2006/relationships/hyperlink" Target="https://techcombank.com/thong-tin/blog/tien-lao" TargetMode="External"/><Relationship Id="rId1679" Type="http://schemas.openxmlformats.org/officeDocument/2006/relationships/hyperlink" Target="https://techcombank.com/thong-tin/blog/tien-malaysia" TargetMode="External"/><Relationship Id="rId849" Type="http://schemas.openxmlformats.org/officeDocument/2006/relationships/hyperlink" Target="https://techcombank.com/thong-tin/blog/app-tra-luong" TargetMode="External"/><Relationship Id="rId844" Type="http://schemas.openxmlformats.org/officeDocument/2006/relationships/hyperlink" Target="https://techcombank.com/thong-tin/blog/sao-ke-luong" TargetMode="External"/><Relationship Id="rId843" Type="http://schemas.openxmlformats.org/officeDocument/2006/relationships/hyperlink" Target="https://techcombank.com/thong-tin/blog/luong-huu" TargetMode="External"/><Relationship Id="rId842" Type="http://schemas.openxmlformats.org/officeDocument/2006/relationships/hyperlink" Target="https://techcombank.com/thong-tin/blog/tra-cuu-no-thue-ca-nhan" TargetMode="External"/><Relationship Id="rId841" Type="http://schemas.openxmlformats.org/officeDocument/2006/relationships/hyperlink" Target="https://techcombank.com/thong-tin/blog/tien-chuyen-vao-tai-khoan-co-bi-tinh-thue-khong" TargetMode="External"/><Relationship Id="rId848" Type="http://schemas.openxmlformats.org/officeDocument/2006/relationships/hyperlink" Target="https://techcombank.com/thong-tin/blog/nhung-ho-kinh-doanh-duoc-mien-thue" TargetMode="External"/><Relationship Id="rId847" Type="http://schemas.openxmlformats.org/officeDocument/2006/relationships/hyperlink" Target="https://techcombank.com/thong-tin/blog/hoan-thue-thu-nhap-ca-nhan" TargetMode="External"/><Relationship Id="rId846" Type="http://schemas.openxmlformats.org/officeDocument/2006/relationships/hyperlink" Target="https://techcombank.com/thong-tin/blog/quyet-toan-thue-thu-nhap-ca-nhan" TargetMode="External"/><Relationship Id="rId845" Type="http://schemas.openxmlformats.org/officeDocument/2006/relationships/hyperlink" Target="https://techcombank.com/thong-tin/blog/cach-tinh-thue-ho-kinh-doanh-nho-le" TargetMode="External"/><Relationship Id="rId1670" Type="http://schemas.openxmlformats.org/officeDocument/2006/relationships/hyperlink" Target="https://techcombank.com/thong-tin/blog/1-won-bang-bao-nhieu-tien-viet" TargetMode="External"/><Relationship Id="rId840" Type="http://schemas.openxmlformats.org/officeDocument/2006/relationships/hyperlink" Target="https://techcombank.com/thong-tin/blog/thanh-toan-hoa-don-tieu-dung" TargetMode="External"/><Relationship Id="rId1671" Type="http://schemas.openxmlformats.org/officeDocument/2006/relationships/hyperlink" Target="https://techcombank.com/thong-tin/blog/dieu-kien-mua-usd-tu-ngan-hang" TargetMode="External"/><Relationship Id="rId1672" Type="http://schemas.openxmlformats.org/officeDocument/2006/relationships/hyperlink" Target="https://techcombank.com/thong-tin/blog/chuyen-tien-di-uc" TargetMode="External"/><Relationship Id="rId1673" Type="http://schemas.openxmlformats.org/officeDocument/2006/relationships/hyperlink" Target="https://techcombank.com/thong-tin/blog/1-cent-bang-bao-nhieu-tien-viet" TargetMode="External"/><Relationship Id="rId1674" Type="http://schemas.openxmlformats.org/officeDocument/2006/relationships/hyperlink" Target="https://techcombank.com/thong-tin/blog/1-do-uc-bang-bao-nhieu-tien-viet" TargetMode="External"/><Relationship Id="rId1664" Type="http://schemas.openxmlformats.org/officeDocument/2006/relationships/hyperlink" Target="https://techcombank.com/thong-tin/blog/di-du-lich-nuoc-ngoai-can-chuan-bi-gi" TargetMode="External"/><Relationship Id="rId2995" Type="http://schemas.openxmlformats.org/officeDocument/2006/relationships/hyperlink" Target="https://techcombank.com/thong-tin/blog/vay-the-chap-khong-tra-duoc" TargetMode="External"/><Relationship Id="rId1665" Type="http://schemas.openxmlformats.org/officeDocument/2006/relationships/hyperlink" Target="https://techcombank.com/thong-tin/blog/tien-dai-loan" TargetMode="External"/><Relationship Id="rId2996" Type="http://schemas.openxmlformats.org/officeDocument/2006/relationships/hyperlink" Target="https://techcombank.com/thong-tin/blog/bao-lanh-vay-von" TargetMode="External"/><Relationship Id="rId1666" Type="http://schemas.openxmlformats.org/officeDocument/2006/relationships/hyperlink" Target="https://techcombank.com/thong-tin/blog/1-van-te-bang-bao-nhieu-tien-viet" TargetMode="External"/><Relationship Id="rId2997" Type="http://schemas.openxmlformats.org/officeDocument/2006/relationships/hyperlink" Target="https://techcombank.com/thong-tin/blog/thu-tuc-vay-von-doanh-nghiep" TargetMode="External"/><Relationship Id="rId1667" Type="http://schemas.openxmlformats.org/officeDocument/2006/relationships/hyperlink" Target="https://techcombank.com/thong-tin/blog/1000-te-bang-bao-nhieu-tien-viet" TargetMode="External"/><Relationship Id="rId2998" Type="http://schemas.openxmlformats.org/officeDocument/2006/relationships/hyperlink" Target="https://techcombank.com/thong-tin/blog/ho-so-vay-von-cua-doanh-nghiep-gom-nhung-gi" TargetMode="External"/><Relationship Id="rId1668" Type="http://schemas.openxmlformats.org/officeDocument/2006/relationships/hyperlink" Target="https://techcombank.com/thong-tin/blog/100-riel-bang-bao-nhieu-tien-viet-nam" TargetMode="External"/><Relationship Id="rId2999" Type="http://schemas.openxmlformats.org/officeDocument/2006/relationships/hyperlink" Target="https://techcombank.com/thong-tin/blog/cho-vay-tung-lan" TargetMode="External"/><Relationship Id="rId1669" Type="http://schemas.openxmlformats.org/officeDocument/2006/relationships/hyperlink" Target="https://techcombank.com/thong-tin/blog/tien-indonesia" TargetMode="External"/><Relationship Id="rId839" Type="http://schemas.openxmlformats.org/officeDocument/2006/relationships/hyperlink" Target="https://techcombank.com/thong-tin/blog/thanh-toan-tra-sau-viettel-bang-tai-khoan-ngan-hang" TargetMode="External"/><Relationship Id="rId838" Type="http://schemas.openxmlformats.org/officeDocument/2006/relationships/hyperlink" Target="https://techcombank.com/thong-tin/blog/cach-kich-hoat-the-atm" TargetMode="External"/><Relationship Id="rId833" Type="http://schemas.openxmlformats.org/officeDocument/2006/relationships/hyperlink" Target="https://techcombank.com/thong-tin/blog/tai-khoan-ngan-hang-bi-khoa" TargetMode="External"/><Relationship Id="rId832" Type="http://schemas.openxmlformats.org/officeDocument/2006/relationships/hyperlink" Target="https://techcombank.com/thong-tin/blog/thanh-toan-tra-gop-qua-the-tin-dung" TargetMode="External"/><Relationship Id="rId831" Type="http://schemas.openxmlformats.org/officeDocument/2006/relationships/hyperlink" Target="https://techcombank.com/thong-tin/blog/thanh-toan-tien-dien-bang-the-tin-dung" TargetMode="External"/><Relationship Id="rId830" Type="http://schemas.openxmlformats.org/officeDocument/2006/relationships/hyperlink" Target="https://techcombank.com/thong-tin/blog/cach-khoa-the-ngan-hang" TargetMode="External"/><Relationship Id="rId837" Type="http://schemas.openxmlformats.org/officeDocument/2006/relationships/hyperlink" Target="https://techcombank.com/thong-tin/blog/rui-ro-khi-gui-tiet-kiem-ngan-hang" TargetMode="External"/><Relationship Id="rId836" Type="http://schemas.openxmlformats.org/officeDocument/2006/relationships/hyperlink" Target="https://techcombank.com/thong-tin/blog/mobile-banking-la-gi" TargetMode="External"/><Relationship Id="rId835" Type="http://schemas.openxmlformats.org/officeDocument/2006/relationships/hyperlink" Target="https://techcombank.com/thong-tin/blog/thanh-toan-tien-nuoc-online" TargetMode="External"/><Relationship Id="rId834" Type="http://schemas.openxmlformats.org/officeDocument/2006/relationships/hyperlink" Target="https://techcombank.com/thong-tin/blog/cic-la-gi" TargetMode="External"/><Relationship Id="rId2990" Type="http://schemas.openxmlformats.org/officeDocument/2006/relationships/hyperlink" Target="https://techcombank.com/thong-tin/blog/vay-mua-chung-cu" TargetMode="External"/><Relationship Id="rId1660" Type="http://schemas.openxmlformats.org/officeDocument/2006/relationships/hyperlink" Target="https://techcombank.com/thong-tin/blog/tien-trung-quoc" TargetMode="External"/><Relationship Id="rId2991" Type="http://schemas.openxmlformats.org/officeDocument/2006/relationships/hyperlink" Target="https://techcombank.com/thong-tin/blog/cic-la-gi" TargetMode="External"/><Relationship Id="rId1661" Type="http://schemas.openxmlformats.org/officeDocument/2006/relationships/hyperlink" Target="https://techcombank.com/thong-tin/blog/doi-tien-do-o-dau" TargetMode="External"/><Relationship Id="rId2992" Type="http://schemas.openxmlformats.org/officeDocument/2006/relationships/hyperlink" Target="https://techcombank.com/thong-tin/blog/dieu-kien-vay-the-chap" TargetMode="External"/><Relationship Id="rId1662" Type="http://schemas.openxmlformats.org/officeDocument/2006/relationships/hyperlink" Target="https://techcombank.com/thong-tin/blog/1000-won-bang-bao-nhieu-tien-viet" TargetMode="External"/><Relationship Id="rId2993" Type="http://schemas.openxmlformats.org/officeDocument/2006/relationships/hyperlink" Target="https://techcombank.com/thong-tin/blog/dao-han-la-gi" TargetMode="External"/><Relationship Id="rId1663" Type="http://schemas.openxmlformats.org/officeDocument/2006/relationships/hyperlink" Target="https://techcombank.com/thong-tin/blog/tien-singapore" TargetMode="External"/><Relationship Id="rId2994" Type="http://schemas.openxmlformats.org/officeDocument/2006/relationships/hyperlink" Target="https://techcombank.com/thong-tin/blog/cho-vay-tieu-dung-la-gi" TargetMode="External"/><Relationship Id="rId2148" Type="http://schemas.openxmlformats.org/officeDocument/2006/relationships/hyperlink" Target="https://techcombank.com/thong-tin/blog/thu-tuc-vay-von-kinh-doanh-nho" TargetMode="External"/><Relationship Id="rId2149" Type="http://schemas.openxmlformats.org/officeDocument/2006/relationships/hyperlink" Target="https://techcombank.com/thong-tin/blog/cac-hinh-thuc-vay-von-ngan-hang" TargetMode="External"/><Relationship Id="rId2140" Type="http://schemas.openxmlformats.org/officeDocument/2006/relationships/hyperlink" Target="https://techcombank.com/thong-tin/blog/vay-the-chap-khong-chung-minh-thu-nhap" TargetMode="External"/><Relationship Id="rId2141" Type="http://schemas.openxmlformats.org/officeDocument/2006/relationships/hyperlink" Target="https://techcombank.com/thong-tin/blog/quy-trinh-tat-toan-khoan-vay-the-chap" TargetMode="External"/><Relationship Id="rId2142" Type="http://schemas.openxmlformats.org/officeDocument/2006/relationships/hyperlink" Target="https://techcombank.com/thong-tin/blog/tat-toan" TargetMode="External"/><Relationship Id="rId2143" Type="http://schemas.openxmlformats.org/officeDocument/2006/relationships/hyperlink" Target="https://techcombank.com/thong-tin/blog/the-chap-la-gi" TargetMode="External"/><Relationship Id="rId2144" Type="http://schemas.openxmlformats.org/officeDocument/2006/relationships/hyperlink" Target="https://techcombank.com/thong-tin/blog/vay-the-chap-khong-tra-duoc" TargetMode="External"/><Relationship Id="rId2145" Type="http://schemas.openxmlformats.org/officeDocument/2006/relationships/hyperlink" Target="https://techcombank.com/thong-tin/blog/giai-ngan-vay-the-chap" TargetMode="External"/><Relationship Id="rId2146" Type="http://schemas.openxmlformats.org/officeDocument/2006/relationships/hyperlink" Target="https://techcombank.com/thong-tin/blog/vay-von-doanh-nghiep-khong-the-chap" TargetMode="External"/><Relationship Id="rId2147" Type="http://schemas.openxmlformats.org/officeDocument/2006/relationships/hyperlink" Target="https://techcombank.com/thong-tin/blog/vay-ngan-han" TargetMode="External"/><Relationship Id="rId2137" Type="http://schemas.openxmlformats.org/officeDocument/2006/relationships/hyperlink" Target="https://techcombank.com/thong-tin/blog/dieu-kien-vay-the-chap" TargetMode="External"/><Relationship Id="rId2138" Type="http://schemas.openxmlformats.org/officeDocument/2006/relationships/hyperlink" Target="https://techcombank.com/thong-tin/blog/lai-suat-vay-mua-o-to" TargetMode="External"/><Relationship Id="rId2139" Type="http://schemas.openxmlformats.org/officeDocument/2006/relationships/hyperlink" Target="https://techcombank.com/thong-tin/blog/the-chap-la-gi" TargetMode="External"/><Relationship Id="rId2130" Type="http://schemas.openxmlformats.org/officeDocument/2006/relationships/hyperlink" Target="https://techcombank.com/thong-tin/blog/ho-so-thu-tuc-xoa-the-chap" TargetMode="External"/><Relationship Id="rId2131" Type="http://schemas.openxmlformats.org/officeDocument/2006/relationships/hyperlink" Target="https://techcombank.com/thong-tin/blog/nen-mua-xe-tra-gop-hay-tra-thang" TargetMode="External"/><Relationship Id="rId2132" Type="http://schemas.openxmlformats.org/officeDocument/2006/relationships/hyperlink" Target="https://techcombank.com/thong-tin/blog/giai-ngan-vay-the-chap" TargetMode="External"/><Relationship Id="rId2133" Type="http://schemas.openxmlformats.org/officeDocument/2006/relationships/hyperlink" Target="https://techcombank.com/thong-tin/blog/no-xau-co-vay-the-chap-duoc-khong" TargetMode="External"/><Relationship Id="rId2134" Type="http://schemas.openxmlformats.org/officeDocument/2006/relationships/hyperlink" Target="https://techcombank.com/thong-tin/blog/phi-vay-the-chap" TargetMode="External"/><Relationship Id="rId2135" Type="http://schemas.openxmlformats.org/officeDocument/2006/relationships/hyperlink" Target="https://techcombank.com/thong-tin/blog/cac-hinh-thuc-cho-vay-tieu-dung" TargetMode="External"/><Relationship Id="rId2136" Type="http://schemas.openxmlformats.org/officeDocument/2006/relationships/hyperlink" Target="https://techcombank.com/thong-tin/blog/vay-the-chap-toi-da-duoc-bao-nhieu" TargetMode="External"/><Relationship Id="rId2160" Type="http://schemas.openxmlformats.org/officeDocument/2006/relationships/hyperlink" Target="https://techcombank.com/thong-tin/blog/vay-the-chap-xe-o-to-cu" TargetMode="External"/><Relationship Id="rId2161" Type="http://schemas.openxmlformats.org/officeDocument/2006/relationships/hyperlink" Target="https://techcombank.com/thong-tin/blog/vay-the-chap-qua-luong" TargetMode="External"/><Relationship Id="rId2162" Type="http://schemas.openxmlformats.org/officeDocument/2006/relationships/hyperlink" Target="https://techcombank.com/thong-tin/blog/lai-suat-vay-the-chap-so-do" TargetMode="External"/><Relationship Id="rId2163" Type="http://schemas.openxmlformats.org/officeDocument/2006/relationships/hyperlink" Target="https://techcombank.com/thong-tin/blog/tat-toan-chung-chi-tien-gui" TargetMode="External"/><Relationship Id="rId2164" Type="http://schemas.openxmlformats.org/officeDocument/2006/relationships/hyperlink" Target="https://techcombank.com/thong-tin/blog/nen-mua-xe-tra-gop-hay-tra-thang" TargetMode="External"/><Relationship Id="rId2165" Type="http://schemas.openxmlformats.org/officeDocument/2006/relationships/hyperlink" Target="https://techcombank.com/thong-tin/blog/vay-the-chap-so-hong" TargetMode="External"/><Relationship Id="rId2166" Type="http://schemas.openxmlformats.org/officeDocument/2006/relationships/hyperlink" Target="https://techcombank.com/thong-tin/blog/no-xau-mo-the-tin-dung-duoc-khong" TargetMode="External"/><Relationship Id="rId2167" Type="http://schemas.openxmlformats.org/officeDocument/2006/relationships/hyperlink" Target="https://techcombank.com/thong-tin/blog/no-xau-co-vay-the-chap-duoc-khong" TargetMode="External"/><Relationship Id="rId2168" Type="http://schemas.openxmlformats.org/officeDocument/2006/relationships/hyperlink" Target="https://techcombank.com/thong-tin/blog/han-muc-vay-the-chap-so-do" TargetMode="External"/><Relationship Id="rId2169" Type="http://schemas.openxmlformats.org/officeDocument/2006/relationships/hyperlink" Target="https://techcombank.com/thong-tin/blog/gui-tiet-kiem-online-co-rut-truoc-han-duoc-khong" TargetMode="External"/><Relationship Id="rId2159" Type="http://schemas.openxmlformats.org/officeDocument/2006/relationships/hyperlink" Target="https://techcombank.com/thong-tin/blog/kinh-nghiem-vay-the-chap-ngan-hang" TargetMode="External"/><Relationship Id="rId2150" Type="http://schemas.openxmlformats.org/officeDocument/2006/relationships/hyperlink" Target="https://techcombank.com/thong-tin/blog/vay-san-xuat-kinh-doanh" TargetMode="External"/><Relationship Id="rId2151" Type="http://schemas.openxmlformats.org/officeDocument/2006/relationships/hyperlink" Target="https://techcombank.com/thong-tin/blog/vay-the-chap-kinh-doanh" TargetMode="External"/><Relationship Id="rId2152" Type="http://schemas.openxmlformats.org/officeDocument/2006/relationships/hyperlink" Target="https://techcombank.com/thong-tin/blog/vay-the-chap-so-bao-hiem-xa-hoi" TargetMode="External"/><Relationship Id="rId2153" Type="http://schemas.openxmlformats.org/officeDocument/2006/relationships/hyperlink" Target="https://techcombank.com/thong-tin/blog/nen-vay-the-chap-ngan-hang-nao" TargetMode="External"/><Relationship Id="rId2154" Type="http://schemas.openxmlformats.org/officeDocument/2006/relationships/hyperlink" Target="https://techcombank.com/thong-tin/blog/vay-the-chap-la-gi" TargetMode="External"/><Relationship Id="rId2155" Type="http://schemas.openxmlformats.org/officeDocument/2006/relationships/hyperlink" Target="https://techcombank.com/thong-tin/blog/tat-toan-so-tiet-kiem" TargetMode="External"/><Relationship Id="rId2156" Type="http://schemas.openxmlformats.org/officeDocument/2006/relationships/hyperlink" Target="https://techcombank.com/thong-tin/blog/rui-ro-khi-vay-the-chap-ngan-hang" TargetMode="External"/><Relationship Id="rId2157" Type="http://schemas.openxmlformats.org/officeDocument/2006/relationships/hyperlink" Target="https://techcombank.com/thong-tin/blog/vay-tin-chap-va-vay-the-chap" TargetMode="External"/><Relationship Id="rId2158" Type="http://schemas.openxmlformats.org/officeDocument/2006/relationships/hyperlink" Target="https://techcombank.com/thong-tin/blog/lai-suat-vay-the-chap" TargetMode="External"/><Relationship Id="rId2104" Type="http://schemas.openxmlformats.org/officeDocument/2006/relationships/hyperlink" Target="https://techcombank.com/thong-tin/blog/vay-200-trieu" TargetMode="External"/><Relationship Id="rId2105" Type="http://schemas.openxmlformats.org/officeDocument/2006/relationships/hyperlink" Target="https://techcombank.com/thong-tin/blog/kinh-nghiem-vay-tien-ngan-hang-xay-nha" TargetMode="External"/><Relationship Id="rId2106" Type="http://schemas.openxmlformats.org/officeDocument/2006/relationships/hyperlink" Target="https://techcombank.com/thong-tin/blog/vay-tin-chap-theo-luong" TargetMode="External"/><Relationship Id="rId2107" Type="http://schemas.openxmlformats.org/officeDocument/2006/relationships/hyperlink" Target="https://techcombank.com/thong-tin/blog/tra-gop-qua-the-tin-dung" TargetMode="External"/><Relationship Id="rId2108" Type="http://schemas.openxmlformats.org/officeDocument/2006/relationships/hyperlink" Target="https://techcombank.com/thong-tin/blog/cach-su-dung-the-visa-techcombank" TargetMode="External"/><Relationship Id="rId2109" Type="http://schemas.openxmlformats.org/officeDocument/2006/relationships/hyperlink" Target="https://techcombank.com/thong-tin/blog/lai-suat-vay-ngan-hang" TargetMode="External"/><Relationship Id="rId2100" Type="http://schemas.openxmlformats.org/officeDocument/2006/relationships/hyperlink" Target="https://techcombank.com/thong-tin/blog/thu-tuc-vay-von-ngan-hang-de-xay-nha" TargetMode="External"/><Relationship Id="rId2101" Type="http://schemas.openxmlformats.org/officeDocument/2006/relationships/hyperlink" Target="https://techcombank.com/thong-tin/blog/lai-suat-ngan-hang-cho-vay-xay-nha" TargetMode="External"/><Relationship Id="rId2102" Type="http://schemas.openxmlformats.org/officeDocument/2006/relationships/hyperlink" Target="https://techcombank.com/thong-tin/blog/cach-su-dung-the-tin-dung" TargetMode="External"/><Relationship Id="rId2103" Type="http://schemas.openxmlformats.org/officeDocument/2006/relationships/hyperlink" Target="https://techcombank.com/thong-tin/blog/vay-mua-nha-o-xa-hoi" TargetMode="External"/><Relationship Id="rId899" Type="http://schemas.openxmlformats.org/officeDocument/2006/relationships/hyperlink" Target="https://techcombank.com/thong-tin/blog/cach-lam-the-atm" TargetMode="External"/><Relationship Id="rId898" Type="http://schemas.openxmlformats.org/officeDocument/2006/relationships/hyperlink" Target="https://techcombank.com/thong-tin/blog/thanh-toan-ma-qr-tro-thanh-phuong-thuc-duoc-ua-chuong-va-trien-khai-manh-me" TargetMode="External"/><Relationship Id="rId897" Type="http://schemas.openxmlformats.org/officeDocument/2006/relationships/hyperlink" Target="https://techcombank.com/thong-tin/blog/nap-tien-vao-tai-khoan-ngan-hang" TargetMode="External"/><Relationship Id="rId896" Type="http://schemas.openxmlformats.org/officeDocument/2006/relationships/hyperlink" Target="https://techcombank.com/thong-tin/blog/lam-the-atm-co-mat-phi-khong" TargetMode="External"/><Relationship Id="rId891" Type="http://schemas.openxmlformats.org/officeDocument/2006/relationships/hyperlink" Target="https://techcombank.com/thong-tin/blog/qr-code-doanh-nghiep" TargetMode="External"/><Relationship Id="rId890" Type="http://schemas.openxmlformats.org/officeDocument/2006/relationships/hyperlink" Target="https://techcombank.com/thong-tin/blog/cach-su-dung-tai-khoan-cong-ty" TargetMode="External"/><Relationship Id="rId895" Type="http://schemas.openxmlformats.org/officeDocument/2006/relationships/hyperlink" Target="https://techcombank.com/thong-tin/blog/qr-dong" TargetMode="External"/><Relationship Id="rId894" Type="http://schemas.openxmlformats.org/officeDocument/2006/relationships/hyperlink" Target="https://techcombank.com/thong-tin/blog/cach-tao-ma-qr-code-mien-phi" TargetMode="External"/><Relationship Id="rId893" Type="http://schemas.openxmlformats.org/officeDocument/2006/relationships/hyperlink" Target="https://techcombank.com/thong-tin/blog/lam-ma-qr-ngan-hang-co-mat-phi-khong" TargetMode="External"/><Relationship Id="rId892" Type="http://schemas.openxmlformats.org/officeDocument/2006/relationships/hyperlink" Target="https://techcombank.com/thong-tin/blog/thanh-toan-bang-ma-qr" TargetMode="External"/><Relationship Id="rId2126" Type="http://schemas.openxmlformats.org/officeDocument/2006/relationships/hyperlink" Target="https://techcombank.com/thong-tin/blog/lai-suat-vay-the-chap" TargetMode="External"/><Relationship Id="rId2127" Type="http://schemas.openxmlformats.org/officeDocument/2006/relationships/hyperlink" Target="https://techcombank.com/thong-tin/blog/quy-trinh-tat-toan-khoan-vay-the-chap" TargetMode="External"/><Relationship Id="rId2128" Type="http://schemas.openxmlformats.org/officeDocument/2006/relationships/hyperlink" Target="https://techcombank.com/thong-tin/blog/vay-the-chap-xe-o-to-cu" TargetMode="External"/><Relationship Id="rId2129" Type="http://schemas.openxmlformats.org/officeDocument/2006/relationships/hyperlink" Target="https://techcombank.com/thong-tin/blog/vay-the-chap-qua-luong" TargetMode="External"/><Relationship Id="rId2120" Type="http://schemas.openxmlformats.org/officeDocument/2006/relationships/hyperlink" Target="https://techcombank.com/thong-tin/blog/vay-san-xuat-kinh-doanh" TargetMode="External"/><Relationship Id="rId2121" Type="http://schemas.openxmlformats.org/officeDocument/2006/relationships/hyperlink" Target="https://techcombank.com/thong-tin/blog/vay-the-chap-kinh-doanh" TargetMode="External"/><Relationship Id="rId2122" Type="http://schemas.openxmlformats.org/officeDocument/2006/relationships/hyperlink" Target="https://techcombank.com/thong-tin/blog/vay-the-chap-khong-tra-duoc" TargetMode="External"/><Relationship Id="rId2123" Type="http://schemas.openxmlformats.org/officeDocument/2006/relationships/hyperlink" Target="https://techcombank.com/thong-tin/blog/vay-the-chap-so-bao-hiem-xa-hoi" TargetMode="External"/><Relationship Id="rId2124" Type="http://schemas.openxmlformats.org/officeDocument/2006/relationships/hyperlink" Target="https://techcombank.com/thong-tin/blog/rui-ro-khi-vay-the-chap-ngan-hang" TargetMode="External"/><Relationship Id="rId2125" Type="http://schemas.openxmlformats.org/officeDocument/2006/relationships/hyperlink" Target="https://techcombank.com/thong-tin/blog/vay-tin-chap-va-vay-the-chap" TargetMode="External"/><Relationship Id="rId2115" Type="http://schemas.openxmlformats.org/officeDocument/2006/relationships/hyperlink" Target="https://techcombank.com/thong-tin/blog/vay-the-chap-la-gi" TargetMode="External"/><Relationship Id="rId2116" Type="http://schemas.openxmlformats.org/officeDocument/2006/relationships/hyperlink" Target="https://techcombank.com/thong-tin/blog/vay-von-doanh-nghiep-khong-the-chap" TargetMode="External"/><Relationship Id="rId2117" Type="http://schemas.openxmlformats.org/officeDocument/2006/relationships/hyperlink" Target="https://techcombank.com/thong-tin/blog/vay-ngan-han" TargetMode="External"/><Relationship Id="rId2118" Type="http://schemas.openxmlformats.org/officeDocument/2006/relationships/hyperlink" Target="https://techcombank.com/thong-tin/blog/thu-tuc-vay-von-kinh-doanh-nho" TargetMode="External"/><Relationship Id="rId2119" Type="http://schemas.openxmlformats.org/officeDocument/2006/relationships/hyperlink" Target="https://techcombank.com/thong-tin/blog/cac-hinh-thuc-vay-von-ngan-hang" TargetMode="External"/><Relationship Id="rId2110" Type="http://schemas.openxmlformats.org/officeDocument/2006/relationships/hyperlink" Target="https://techcombank.com/thong-tin/blog/du-no-tin-dung-la-gi" TargetMode="External"/><Relationship Id="rId2111" Type="http://schemas.openxmlformats.org/officeDocument/2006/relationships/hyperlink" Target="https://techcombank.com/thong-tin/blog/han-muc-vay-the-chap-so-do" TargetMode="External"/><Relationship Id="rId2112" Type="http://schemas.openxmlformats.org/officeDocument/2006/relationships/hyperlink" Target="https://techcombank.com/thong-tin/blog/vay-the-chap-so-hong" TargetMode="External"/><Relationship Id="rId2113" Type="http://schemas.openxmlformats.org/officeDocument/2006/relationships/hyperlink" Target="https://techcombank.com/thong-tin/blog/kinh-nghiem-vay-the-chap-ngan-hang" TargetMode="External"/><Relationship Id="rId2114" Type="http://schemas.openxmlformats.org/officeDocument/2006/relationships/hyperlink" Target="https://techcombank.com/thong-tin/blog/nen-vay-the-chap-ngan-hang-nao" TargetMode="Externa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techcombank.com/thong-tin/blog/so-du-tien-gui-la-gi" TargetMode="External"/><Relationship Id="rId391" Type="http://schemas.openxmlformats.org/officeDocument/2006/relationships/hyperlink" Target="https://techcombank.com/thong-tin/blog/chuyen-doi-the-atm" TargetMode="External"/><Relationship Id="rId390" Type="http://schemas.openxmlformats.org/officeDocument/2006/relationships/hyperlink" Target="https://techcombank.com/thong-tin/blog/1-cmnd-dang-ky-duoc-may-tai-khoan-ngan-hang" TargetMode="External"/><Relationship Id="rId385" Type="http://schemas.openxmlformats.org/officeDocument/2006/relationships/hyperlink" Target="https://techcombank.com/thong-tin/blog/ma-pin-the-atm" TargetMode="External"/><Relationship Id="rId384" Type="http://schemas.openxmlformats.org/officeDocument/2006/relationships/hyperlink" Target="https://techcombank.com/thong-tin/blog/bi-nuot-the-atm-phai-lam-sao" TargetMode="External"/><Relationship Id="rId383" Type="http://schemas.openxmlformats.org/officeDocument/2006/relationships/hyperlink" Target="https://techcombank.com/thong-tin/blog/rut-tien-bang-ma-qr-la-gi-cach-thuc-hien-nhu-the-nao" TargetMode="External"/><Relationship Id="rId382" Type="http://schemas.openxmlformats.org/officeDocument/2006/relationships/hyperlink" Target="https://techcombank.com/thong-tin/blog/the-atm-gan-chip" TargetMode="External"/><Relationship Id="rId389" Type="http://schemas.openxmlformats.org/officeDocument/2006/relationships/hyperlink" Target="https://techcombank.com/thong-tin/blog/atm-la-gi" TargetMode="External"/><Relationship Id="rId388" Type="http://schemas.openxmlformats.org/officeDocument/2006/relationships/hyperlink" Target="https://techcombank.com/thong-tin/blog/cach-kich-hoat-the-atm" TargetMode="External"/><Relationship Id="rId387" Type="http://schemas.openxmlformats.org/officeDocument/2006/relationships/hyperlink" Target="https://techcombank.com/thong-tin/blog/cach-rut-tien-atm" TargetMode="External"/><Relationship Id="rId386" Type="http://schemas.openxmlformats.org/officeDocument/2006/relationships/hyperlink" Target="https://techcombank.com/thong-tin/blog/1-nguoi-co-the-lam-duoc-bao-nhieu-the-atm" TargetMode="External"/><Relationship Id="rId381" Type="http://schemas.openxmlformats.org/officeDocument/2006/relationships/hyperlink" Target="https://techcombank.com/thong-tin/blog/nap-tien-dien-thoai-online" TargetMode="External"/><Relationship Id="rId380" Type="http://schemas.openxmlformats.org/officeDocument/2006/relationships/hyperlink" Target="https://techcombank.com/thong-tin/blog/cach-thanh-toan-the-tin-dung" TargetMode="External"/><Relationship Id="rId379" Type="http://schemas.openxmlformats.org/officeDocument/2006/relationships/hyperlink" Target="https://techcombank.com/thong-tin/blog/cach-nap-the" TargetMode="External"/><Relationship Id="rId374" Type="http://schemas.openxmlformats.org/officeDocument/2006/relationships/hyperlink" Target="https://techcombank.com/thong-tin/blog/cach-lam-the-atm" TargetMode="External"/><Relationship Id="rId373" Type="http://schemas.openxmlformats.org/officeDocument/2006/relationships/hyperlink" Target="https://techcombank.com/thong-tin/blog/rut-tien-bang-ma-qr-khac-ngan-hang-duoc-khong" TargetMode="External"/><Relationship Id="rId372" Type="http://schemas.openxmlformats.org/officeDocument/2006/relationships/hyperlink" Target="https://techcombank.com/thong-tin/blog/lam-the-atm-co-mat-phi-khong" TargetMode="External"/><Relationship Id="rId371" Type="http://schemas.openxmlformats.org/officeDocument/2006/relationships/hyperlink" Target="https://techcombank.com/thong-tin/blog/cach-su-dung-tai-khoan-cong-ty" TargetMode="External"/><Relationship Id="rId378" Type="http://schemas.openxmlformats.org/officeDocument/2006/relationships/hyperlink" Target="https://techcombank.com/thong-tin/blog/lam-the-atm-bao-lau-co" TargetMode="External"/><Relationship Id="rId377" Type="http://schemas.openxmlformats.org/officeDocument/2006/relationships/hyperlink" Target="https://techcombank.com/thong-tin/blog/the-atm-khong-rut-duoc-tien" TargetMode="External"/><Relationship Id="rId376" Type="http://schemas.openxmlformats.org/officeDocument/2006/relationships/hyperlink" Target="https://techcombank.com/thong-tin/blog/the-visa-de-lam-gi" TargetMode="External"/><Relationship Id="rId375" Type="http://schemas.openxmlformats.org/officeDocument/2006/relationships/hyperlink" Target="https://techcombank.com/thong-tin/blog/tra-cuu-han-muc-the-tin-dung" TargetMode="External"/><Relationship Id="rId396" Type="http://schemas.openxmlformats.org/officeDocument/2006/relationships/hyperlink" Target="https://techcombank.com/thong-tin/blog/sao-ke-tai-khoan-doanh-nghiep" TargetMode="External"/><Relationship Id="rId395" Type="http://schemas.openxmlformats.org/officeDocument/2006/relationships/hyperlink" Target="https://techcombank.com/thong-tin/blog/sao-ke-luong" TargetMode="External"/><Relationship Id="rId394" Type="http://schemas.openxmlformats.org/officeDocument/2006/relationships/hyperlink" Target="https://techcombank.com/thong-tin/blog/the-atm-tu" TargetMode="External"/><Relationship Id="rId393" Type="http://schemas.openxmlformats.org/officeDocument/2006/relationships/hyperlink" Target="https://techcombank.com/thong-tin/blog/the-visa-ao-la-gi" TargetMode="External"/><Relationship Id="rId399" Type="http://schemas.openxmlformats.org/officeDocument/2006/relationships/hyperlink" Target="https://techcombank.com/thong-tin/blog/ghi-chep-chi-tieu" TargetMode="External"/><Relationship Id="rId398" Type="http://schemas.openxmlformats.org/officeDocument/2006/relationships/hyperlink" Target="https://techcombank.com/thong-tin/blog/tien-chuyen-vao-tai-khoan-co-bi-tinh-thue-khong" TargetMode="External"/><Relationship Id="rId397" Type="http://schemas.openxmlformats.org/officeDocument/2006/relationships/hyperlink" Target="https://techcombank.com/thong-tin/blog/vay-the-chap-qua-luong" TargetMode="External"/><Relationship Id="rId1730" Type="http://schemas.openxmlformats.org/officeDocument/2006/relationships/hyperlink" Target="https://techcombank.com/thong-tin/blog/the-tin-dung-bi-khoa" TargetMode="External"/><Relationship Id="rId1731" Type="http://schemas.openxmlformats.org/officeDocument/2006/relationships/hyperlink" Target="https://techcombank.com/thong-tin/blog/no-the-tin-dung-qua-han" TargetMode="External"/><Relationship Id="rId1732" Type="http://schemas.openxmlformats.org/officeDocument/2006/relationships/hyperlink" Target="https://techcombank.com/thong-tin/blog/lich-su-tin-dung" TargetMode="External"/><Relationship Id="rId1733" Type="http://schemas.openxmlformats.org/officeDocument/2006/relationships/hyperlink" Target="https://techcombank.com/thong-tin/blog/vay-tin-chap-la-gi" TargetMode="External"/><Relationship Id="rId1734" Type="http://schemas.openxmlformats.org/officeDocument/2006/relationships/hyperlink" Target="https://techcombank.com/thong-tin/blog/ho-so-vay-tin-chap" TargetMode="External"/><Relationship Id="rId1735" Type="http://schemas.openxmlformats.org/officeDocument/2006/relationships/hyperlink" Target="https://techcombank.com/thong-tin/blog/vay-tin-chap-toi-da-duoc-bao-nhieu" TargetMode="External"/><Relationship Id="rId1736" Type="http://schemas.openxmlformats.org/officeDocument/2006/relationships/hyperlink" Target="https://techcombank.com/thong-tin/blog/vay-tin-chap-va-vay-the-chap" TargetMode="External"/><Relationship Id="rId1737" Type="http://schemas.openxmlformats.org/officeDocument/2006/relationships/hyperlink" Target="https://techcombank.com/thong-tin/blog/lai-suat-vay-tin-chap" TargetMode="External"/><Relationship Id="rId1738" Type="http://schemas.openxmlformats.org/officeDocument/2006/relationships/hyperlink" Target="https://techcombank.com/thong-tin/blog/vay-tin-chap-ho-kinh-doanh" TargetMode="External"/><Relationship Id="rId1739" Type="http://schemas.openxmlformats.org/officeDocument/2006/relationships/hyperlink" Target="https://techcombank.com/thong-tin/blog/vay-tin-chap-cho-doanh-nghiep-moi-thanh-lap" TargetMode="External"/><Relationship Id="rId1720" Type="http://schemas.openxmlformats.org/officeDocument/2006/relationships/hyperlink" Target="https://techcombank.com/thong-tin/blog/no-xau-co-vay-the-chap-duoc-khong" TargetMode="External"/><Relationship Id="rId1721" Type="http://schemas.openxmlformats.org/officeDocument/2006/relationships/hyperlink" Target="https://techcombank.com/thong-tin/blog/no-xau-nhom-2" TargetMode="External"/><Relationship Id="rId1722" Type="http://schemas.openxmlformats.org/officeDocument/2006/relationships/hyperlink" Target="https://techcombank.com/thong-tin/blog/no-chu-y-la-gi" TargetMode="External"/><Relationship Id="rId1723" Type="http://schemas.openxmlformats.org/officeDocument/2006/relationships/hyperlink" Target="https://techcombank.com/thong-tin/blog/diem-tin-dung" TargetMode="External"/><Relationship Id="rId1724" Type="http://schemas.openxmlformats.org/officeDocument/2006/relationships/hyperlink" Target="https://techcombank.com/thong-tin/blog/no-xau" TargetMode="External"/><Relationship Id="rId1725" Type="http://schemas.openxmlformats.org/officeDocument/2006/relationships/hyperlink" Target="https://techcombank.com/thong-tin/blog/no-xau-la-gi" TargetMode="External"/><Relationship Id="rId1726" Type="http://schemas.openxmlformats.org/officeDocument/2006/relationships/hyperlink" Target="https://techcombank.com/thong-tin/blog/thanh-toan-toi-thieu-the-tin-dung" TargetMode="External"/><Relationship Id="rId1727" Type="http://schemas.openxmlformats.org/officeDocument/2006/relationships/hyperlink" Target="https://techcombank.com/thong-tin/blog/spaylater" TargetMode="External"/><Relationship Id="rId1728" Type="http://schemas.openxmlformats.org/officeDocument/2006/relationships/hyperlink" Target="https://techcombank.com/thong-tin/blog/no-nhom-3" TargetMode="External"/><Relationship Id="rId1729" Type="http://schemas.openxmlformats.org/officeDocument/2006/relationships/hyperlink" Target="https://techcombank.com/thong-tin/blog/cic-la-gi" TargetMode="External"/><Relationship Id="rId1752" Type="http://schemas.openxmlformats.org/officeDocument/2006/relationships/hyperlink" Target="https://techcombank.com/thong-tin/blog/vay-tien-online" TargetMode="External"/><Relationship Id="rId1753" Type="http://schemas.openxmlformats.org/officeDocument/2006/relationships/hyperlink" Target="https://techcombank.com/thong-tin/blog/vay-tin-chap-no-xau" TargetMode="External"/><Relationship Id="rId1754" Type="http://schemas.openxmlformats.org/officeDocument/2006/relationships/hyperlink" Target="https://techcombank.com/thong-tin/blog/lai-suat-vay-ngan-hang" TargetMode="External"/><Relationship Id="rId1755" Type="http://schemas.openxmlformats.org/officeDocument/2006/relationships/hyperlink" Target="https://techcombank.com/thong-tin/blog/cac-hinh-thuc-cho-vay-tieu-dung" TargetMode="External"/><Relationship Id="rId1756" Type="http://schemas.openxmlformats.org/officeDocument/2006/relationships/hyperlink" Target="https://techcombank.com/thong-tin/blog/dang-vay-tra-gop-co-vay-them-duoc-khong" TargetMode="External"/><Relationship Id="rId1757" Type="http://schemas.openxmlformats.org/officeDocument/2006/relationships/hyperlink" Target="https://techcombank.com/thong-tin/blog/app-vay-tien-nhanh" TargetMode="External"/><Relationship Id="rId1758" Type="http://schemas.openxmlformats.org/officeDocument/2006/relationships/hyperlink" Target="https://techcombank.com/thong-tin/blog/vay-tra-gop" TargetMode="External"/><Relationship Id="rId1759" Type="http://schemas.openxmlformats.org/officeDocument/2006/relationships/hyperlink" Target="https://techcombank.com/thong-tin/blog/quy-trinh-cho-vay-tieu-dung" TargetMode="External"/><Relationship Id="rId1750" Type="http://schemas.openxmlformats.org/officeDocument/2006/relationships/hyperlink" Target="https://techcombank.com/thong-tin/blog/vay-200-trieu" TargetMode="External"/><Relationship Id="rId1751" Type="http://schemas.openxmlformats.org/officeDocument/2006/relationships/hyperlink" Target="https://techcombank.com/thong-tin/blog/kinh-nghiem-vay-tien-ngan-hang-xay-nha" TargetMode="External"/><Relationship Id="rId1741" Type="http://schemas.openxmlformats.org/officeDocument/2006/relationships/hyperlink" Target="https://techcombank.com/thong-tin/blog/cac-hinh-thuc-vay-von-ngan-hang" TargetMode="External"/><Relationship Id="rId1742" Type="http://schemas.openxmlformats.org/officeDocument/2006/relationships/hyperlink" Target="https://techcombank.com/thong-tin/blog/vay-san-xuat-kinh-doanh" TargetMode="External"/><Relationship Id="rId1743" Type="http://schemas.openxmlformats.org/officeDocument/2006/relationships/hyperlink" Target="https://techcombank.com/thong-tin/blog/tin-chap-doanh-nghiep" TargetMode="External"/><Relationship Id="rId1744" Type="http://schemas.openxmlformats.org/officeDocument/2006/relationships/hyperlink" Target="https://techcombank.com/thong-tin/blog/cho-vay-tieu-dung-la-gi" TargetMode="External"/><Relationship Id="rId1745" Type="http://schemas.openxmlformats.org/officeDocument/2006/relationships/hyperlink" Target="https://techcombank.com/thong-tin/blog/vay-the-chap-qua-luong" TargetMode="External"/><Relationship Id="rId1746" Type="http://schemas.openxmlformats.org/officeDocument/2006/relationships/hyperlink" Target="https://techcombank.com/thong-tin/blog/vay-ngan-hang-chi-can-cccd" TargetMode="External"/><Relationship Id="rId1747" Type="http://schemas.openxmlformats.org/officeDocument/2006/relationships/hyperlink" Target="https://techcombank.com/thong-tin/blog/nhu-cau-vay-tieu-dung-cua-nguoi-viet-du-kien-tang-manh-trong-thoi-gian-toi" TargetMode="External"/><Relationship Id="rId1748" Type="http://schemas.openxmlformats.org/officeDocument/2006/relationships/hyperlink" Target="https://techcombank.com/thong-tin/blog/lai-suat-vay-tieu-dung" TargetMode="External"/><Relationship Id="rId1749" Type="http://schemas.openxmlformats.org/officeDocument/2006/relationships/hyperlink" Target="https://techcombank.com/thong-tin/blog/vay-tien-mat" TargetMode="External"/><Relationship Id="rId1740" Type="http://schemas.openxmlformats.org/officeDocument/2006/relationships/hyperlink" Target="https://techcombank.com/thong-tin/blog/thu-tuc-vay-von-kinh-doanh-nho" TargetMode="External"/><Relationship Id="rId1710" Type="http://schemas.openxmlformats.org/officeDocument/2006/relationships/hyperlink" Target="https://techcombank.com/thong-tin/blog/thoi-han-vay-thau-chi" TargetMode="External"/><Relationship Id="rId1711" Type="http://schemas.openxmlformats.org/officeDocument/2006/relationships/hyperlink" Target="https://techcombank.com/thong-tin/blog/tra-no-vay-thau-chi-nhu-the-nao" TargetMode="External"/><Relationship Id="rId1712" Type="http://schemas.openxmlformats.org/officeDocument/2006/relationships/hyperlink" Target="https://techcombank.com/thong-tin/blog/vay-han-muc-la-gi" TargetMode="External"/><Relationship Id="rId1713" Type="http://schemas.openxmlformats.org/officeDocument/2006/relationships/hyperlink" Target="https://techcombank.com/thong-tin/blog/cac-hinh-thuc-vay-von-ngan-hang" TargetMode="External"/><Relationship Id="rId1714" Type="http://schemas.openxmlformats.org/officeDocument/2006/relationships/hyperlink" Target="https://techcombank.com/thong-tin/blog/vay-san-xuat-kinh-doanh" TargetMode="External"/><Relationship Id="rId1715" Type="http://schemas.openxmlformats.org/officeDocument/2006/relationships/hyperlink" Target="https://techcombank.com/thong-tin/blog/cach-tinh-lai-vay-ngan-hang" TargetMode="External"/><Relationship Id="rId1716" Type="http://schemas.openxmlformats.org/officeDocument/2006/relationships/hyperlink" Target="https://techcombank.com/thong-tin/blog/vay-thau-chi-bang-so-tiet-kiem" TargetMode="External"/><Relationship Id="rId1717" Type="http://schemas.openxmlformats.org/officeDocument/2006/relationships/hyperlink" Target="https://techcombank.com/thong-tin/blog/no-xau-co-lam-the-visa-duoc-khong" TargetMode="External"/><Relationship Id="rId1718" Type="http://schemas.openxmlformats.org/officeDocument/2006/relationships/hyperlink" Target="https://techcombank.com/thong-tin/blog/no-xau-mo-the-tin-dung-duoc-khong" TargetMode="External"/><Relationship Id="rId1719" Type="http://schemas.openxmlformats.org/officeDocument/2006/relationships/hyperlink" Target="https://techcombank.com/thong-tin/blog/vay-tin-chap-no-xau" TargetMode="External"/><Relationship Id="rId1700" Type="http://schemas.openxmlformats.org/officeDocument/2006/relationships/hyperlink" Target="https://techcombank.com/thong-tin/blog/lai-suat-vay-the-chap" TargetMode="External"/><Relationship Id="rId1701" Type="http://schemas.openxmlformats.org/officeDocument/2006/relationships/hyperlink" Target="https://techcombank.com/thong-tin/blog/lai-suat-vay-thau-chi" TargetMode="External"/><Relationship Id="rId1702" Type="http://schemas.openxmlformats.org/officeDocument/2006/relationships/hyperlink" Target="https://techcombank.com/thong-tin/blog/lai-suat-vay-the-chap-so-do" TargetMode="External"/><Relationship Id="rId1703" Type="http://schemas.openxmlformats.org/officeDocument/2006/relationships/hyperlink" Target="https://techcombank.com/thong-tin/blog/lai-suat-ngan-hang-cho-vay-xay-nha" TargetMode="External"/><Relationship Id="rId1704" Type="http://schemas.openxmlformats.org/officeDocument/2006/relationships/hyperlink" Target="https://techcombank.com/thong-tin/blog/cach-tinh-lai-vay-ngan-hang" TargetMode="External"/><Relationship Id="rId1705" Type="http://schemas.openxmlformats.org/officeDocument/2006/relationships/hyperlink" Target="https://techcombank.com/thong-tin/blog/lai-suat-vay-mua-o-to" TargetMode="External"/><Relationship Id="rId1706" Type="http://schemas.openxmlformats.org/officeDocument/2006/relationships/hyperlink" Target="https://techcombank.com/thong-tin/blog/vay-tin-chap-la-gi" TargetMode="External"/><Relationship Id="rId1707" Type="http://schemas.openxmlformats.org/officeDocument/2006/relationships/hyperlink" Target="https://techcombank.com/thong-tin/blog/lai-suat-cho-vay-doanh-nghiep" TargetMode="External"/><Relationship Id="rId1708" Type="http://schemas.openxmlformats.org/officeDocument/2006/relationships/hyperlink" Target="https://techcombank.com/thong-tin/blog/han-muc-thau-chi-la-gi" TargetMode="External"/><Relationship Id="rId1709" Type="http://schemas.openxmlformats.org/officeDocument/2006/relationships/hyperlink" Target="https://techcombank.com/thong-tin/blog/lai-suat-vay-thau-chi" TargetMode="External"/><Relationship Id="rId40" Type="http://schemas.openxmlformats.org/officeDocument/2006/relationships/hyperlink" Target="https://techcombank.com/thong-tin/blog/thue-thuong-mai-dien-tu" TargetMode="External"/><Relationship Id="rId42" Type="http://schemas.openxmlformats.org/officeDocument/2006/relationships/hyperlink" Target="https://techcombank.com/thong-tin/blog/thue-thu-nhap-doanh-nghiep" TargetMode="External"/><Relationship Id="rId41" Type="http://schemas.openxmlformats.org/officeDocument/2006/relationships/hyperlink" Target="https://techcombank.com/thong-tin/blog/ho-kinh-doanh-dong-thue-nhu-nao" TargetMode="External"/><Relationship Id="rId44" Type="http://schemas.openxmlformats.org/officeDocument/2006/relationships/hyperlink" Target="https://techcombank.com/thong-tin/blog/ke-khai-thue-doanh-nghiep" TargetMode="External"/><Relationship Id="rId43" Type="http://schemas.openxmlformats.org/officeDocument/2006/relationships/hyperlink" Target="https://techcombank.com/thong-tin/blog/quyet-toan-thue-doanh-nghiep" TargetMode="External"/><Relationship Id="rId46" Type="http://schemas.openxmlformats.org/officeDocument/2006/relationships/hyperlink" Target="https://techcombank.com/thong-tin/blog/tien-chuyen-vao-tai-khoan-co-bi-tinh-thue-khong" TargetMode="External"/><Relationship Id="rId45" Type="http://schemas.openxmlformats.org/officeDocument/2006/relationships/hyperlink" Target="https://techcombank.com/thong-tin/blog/tra-cuu-no-thue-doanh-nghiep" TargetMode="External"/><Relationship Id="rId48" Type="http://schemas.openxmlformats.org/officeDocument/2006/relationships/hyperlink" Target="https://techcombank.com/thong-tin/blog/thue-thu-nhap-ca-nhan" TargetMode="External"/><Relationship Id="rId47" Type="http://schemas.openxmlformats.org/officeDocument/2006/relationships/hyperlink" Target="https://techcombank.com/thong-tin/blog/cach-tinh-thue-thu-nhap-ca-nhan-2025" TargetMode="External"/><Relationship Id="rId49" Type="http://schemas.openxmlformats.org/officeDocument/2006/relationships/hyperlink" Target="https://techcombank.com/thong-tin/blog/kiem-tra-thue-thu-nhap-ca-nhan" TargetMode="External"/><Relationship Id="rId31" Type="http://schemas.openxmlformats.org/officeDocument/2006/relationships/hyperlink" Target="https://techcombank.com/thong-tin/blog/ke-khai-thue-ho-kinh-doanh-ca-the-online" TargetMode="External"/><Relationship Id="rId30" Type="http://schemas.openxmlformats.org/officeDocument/2006/relationships/hyperlink" Target="https://techcombank.com/thong-tin/blog/quyet-toan-thue-thu-nhap-ca-nhan" TargetMode="External"/><Relationship Id="rId33" Type="http://schemas.openxmlformats.org/officeDocument/2006/relationships/hyperlink" Target="https://techcombank.com/thong-tin/blog/nop-thue-hai-quan" TargetMode="External"/><Relationship Id="rId32" Type="http://schemas.openxmlformats.org/officeDocument/2006/relationships/hyperlink" Target="https://techcombank.com/thong-tin/blog/hoan-thue-thu-nhap-ca-nhan" TargetMode="External"/><Relationship Id="rId35" Type="http://schemas.openxmlformats.org/officeDocument/2006/relationships/hyperlink" Target="https://techcombank.com/thong-tin/blog/tra-cuu-no-thue-hai-quan" TargetMode="External"/><Relationship Id="rId34" Type="http://schemas.openxmlformats.org/officeDocument/2006/relationships/hyperlink" Target="https://techcombank.com/thong-tin/blog/hoan-thue-doanh-nghiep" TargetMode="External"/><Relationship Id="rId37" Type="http://schemas.openxmlformats.org/officeDocument/2006/relationships/hyperlink" Target="https://techcombank.com/thong-tin/blog/truy-thu-thue-ho-kinh-doanh" TargetMode="External"/><Relationship Id="rId36" Type="http://schemas.openxmlformats.org/officeDocument/2006/relationships/hyperlink" Target="https://techcombank.com/thong-tin/blog/tra-cuu-no-thue-ho-kinh-doanh" TargetMode="External"/><Relationship Id="rId39" Type="http://schemas.openxmlformats.org/officeDocument/2006/relationships/hyperlink" Target="https://techcombank.com/thong-tin/blog/tra-cuu-no-thue-ca-nhan" TargetMode="External"/><Relationship Id="rId38" Type="http://schemas.openxmlformats.org/officeDocument/2006/relationships/hyperlink" Target="https://techcombank.com/thong-tin/blog/kiem-tra-thue-ho-kinh-doanh" TargetMode="External"/><Relationship Id="rId20" Type="http://schemas.openxmlformats.org/officeDocument/2006/relationships/hyperlink" Target="https://techcombank.com/thong-tin/blog/thue-thu-nhap-doanh-nghiep" TargetMode="External"/><Relationship Id="rId22" Type="http://schemas.openxmlformats.org/officeDocument/2006/relationships/hyperlink" Target="https://techcombank.com/thong-tin/blog/tra-cuu-no-thue-doanh-nghiep" TargetMode="External"/><Relationship Id="rId21" Type="http://schemas.openxmlformats.org/officeDocument/2006/relationships/hyperlink" Target="https://techcombank.com/thong-tin/blog/ke-khai-thue-doanh-nghiep" TargetMode="External"/><Relationship Id="rId24" Type="http://schemas.openxmlformats.org/officeDocument/2006/relationships/hyperlink" Target="https://techcombank.com/thong-tin/blog/tien-chuyen-vao-tai-khoan-co-bi-tinh-thue-khong" TargetMode="External"/><Relationship Id="rId23" Type="http://schemas.openxmlformats.org/officeDocument/2006/relationships/hyperlink" Target="https://techcombank.com/thong-tin/blog/nop-thue-hai-quan" TargetMode="External"/><Relationship Id="rId26" Type="http://schemas.openxmlformats.org/officeDocument/2006/relationships/hyperlink" Target="https://techcombank.com/thong-tin/blog/kiem-tra-thue-thu-nhap-ca-nhan" TargetMode="External"/><Relationship Id="rId25" Type="http://schemas.openxmlformats.org/officeDocument/2006/relationships/hyperlink" Target="https://techcombank.com/thong-tin/blog/cach-tinh-thue-thu-nhap-ca-nhan-2025" TargetMode="External"/><Relationship Id="rId28" Type="http://schemas.openxmlformats.org/officeDocument/2006/relationships/hyperlink" Target="https://techcombank.com/thong-tin/blog/han-muc-vay-the-chap-so-do" TargetMode="External"/><Relationship Id="rId27" Type="http://schemas.openxmlformats.org/officeDocument/2006/relationships/hyperlink" Target="https://techcombank.com/thong-tin/blog/lai-suat-vay-the-chap-so-do" TargetMode="External"/><Relationship Id="rId29" Type="http://schemas.openxmlformats.org/officeDocument/2006/relationships/hyperlink" Target="https://techcombank.com/thong-tin/blog/lien-ket-tai-khoan-ngan-hang-voi-etax-mobile" TargetMode="External"/><Relationship Id="rId11" Type="http://schemas.openxmlformats.org/officeDocument/2006/relationships/hyperlink" Target="https://techcombank.com/thong-tin/blog/quyet-toan-thue-thu-nhap-ca-nhan" TargetMode="External"/><Relationship Id="rId10" Type="http://schemas.openxmlformats.org/officeDocument/2006/relationships/hyperlink" Target="https://techcombank.com/thong-tin/blog/ho-so-thu-tuc-xoa-the-chap" TargetMode="External"/><Relationship Id="rId13" Type="http://schemas.openxmlformats.org/officeDocument/2006/relationships/hyperlink" Target="https://techcombank.com/thong-tin/blog/tra-cuu-no-thue-ho-kinh-doanh" TargetMode="External"/><Relationship Id="rId12" Type="http://schemas.openxmlformats.org/officeDocument/2006/relationships/hyperlink" Target="https://techcombank.com/thong-tin/blog/tra-cuu-no-thue-hai-quan" TargetMode="External"/><Relationship Id="rId15" Type="http://schemas.openxmlformats.org/officeDocument/2006/relationships/hyperlink" Target="https://techcombank.com/thong-tin/blog/kiem-tra-thue-ho-kinh-doanh" TargetMode="External"/><Relationship Id="rId14" Type="http://schemas.openxmlformats.org/officeDocument/2006/relationships/hyperlink" Target="https://techcombank.com/thong-tin/blog/truy-thu-thue-ho-kinh-doanh" TargetMode="External"/><Relationship Id="rId17" Type="http://schemas.openxmlformats.org/officeDocument/2006/relationships/hyperlink" Target="https://techcombank.com/thong-tin/blog/hoan-thue-thu-nhap-ca-nhan" TargetMode="External"/><Relationship Id="rId16" Type="http://schemas.openxmlformats.org/officeDocument/2006/relationships/hyperlink" Target="https://techcombank.com/thong-tin/blog/tra-cuu-no-thue-ca-nhan" TargetMode="External"/><Relationship Id="rId19" Type="http://schemas.openxmlformats.org/officeDocument/2006/relationships/hyperlink" Target="https://techcombank.com/thong-tin/blog/thue-thuong-mai-dien-tu" TargetMode="External"/><Relationship Id="rId18" Type="http://schemas.openxmlformats.org/officeDocument/2006/relationships/hyperlink" Target="https://techcombank.com/thong-tin/blog/ke-khai-thue-ho-kinh-doanh-ca-the-online" TargetMode="External"/><Relationship Id="rId84" Type="http://schemas.openxmlformats.org/officeDocument/2006/relationships/hyperlink" Target="https://techcombank.com/thong-tin/blog/cach-tinh-thue-ho-kinh-doanh-nho-le" TargetMode="External"/><Relationship Id="rId1774" Type="http://schemas.openxmlformats.org/officeDocument/2006/relationships/hyperlink" Target="https://techcombank.com/thong-tin/blog/no-xau-mo-the-tin-dung-duoc-khong" TargetMode="External"/><Relationship Id="rId83" Type="http://schemas.openxmlformats.org/officeDocument/2006/relationships/hyperlink" Target="https://techcombank.com/thong-tin/blog/cach-tra-cuu-hoa-don-dien-tu" TargetMode="External"/><Relationship Id="rId1775" Type="http://schemas.openxmlformats.org/officeDocument/2006/relationships/hyperlink" Target="https://techcombank.com/thong-tin/blog/no-xau-co-vay-the-chap-duoc-khong" TargetMode="External"/><Relationship Id="rId86" Type="http://schemas.openxmlformats.org/officeDocument/2006/relationships/hyperlink" Target="https://techcombank.com/thong-tin/blog/hoa-don-dien-tu" TargetMode="External"/><Relationship Id="rId1776" Type="http://schemas.openxmlformats.org/officeDocument/2006/relationships/hyperlink" Target="https://techcombank.com/thong-tin/blog/vay-tin-chap-no-xau" TargetMode="External"/><Relationship Id="rId85" Type="http://schemas.openxmlformats.org/officeDocument/2006/relationships/hyperlink" Target="https://techcombank.com/thong-tin/blog/nhung-ho-kinh-doanh-duoc-mien-thue" TargetMode="External"/><Relationship Id="rId1777" Type="http://schemas.openxmlformats.org/officeDocument/2006/relationships/hyperlink" Target="https://techcombank.com/thong-tin/blog/lai-suat-qua-han" TargetMode="External"/><Relationship Id="rId88" Type="http://schemas.openxmlformats.org/officeDocument/2006/relationships/hyperlink" Target="https://techcombank.com/thong-tin/blog/hoa-don-dien-tu-ho-kinh-doanh" TargetMode="External"/><Relationship Id="rId1778" Type="http://schemas.openxmlformats.org/officeDocument/2006/relationships/hyperlink" Target="https://techcombank.com/thong-tin/blog/no-xau-nhom-2" TargetMode="External"/><Relationship Id="rId87" Type="http://schemas.openxmlformats.org/officeDocument/2006/relationships/hyperlink" Target="https://techcombank.com/thong-tin/blog/voucher-phuc-long" TargetMode="External"/><Relationship Id="rId1779" Type="http://schemas.openxmlformats.org/officeDocument/2006/relationships/hyperlink" Target="https://techcombank.com/thong-tin/blog/vay-the-chap-khong-tra-duoc" TargetMode="External"/><Relationship Id="rId89" Type="http://schemas.openxmlformats.org/officeDocument/2006/relationships/hyperlink" Target="https://techcombank.com/thong-tin/blog/ho-kinh-doanh-dong-thue-nhu-nao" TargetMode="External"/><Relationship Id="rId80" Type="http://schemas.openxmlformats.org/officeDocument/2006/relationships/hyperlink" Target="https://techcombank.com/thong-tin/blog/hoan-thue-doanh-nghiep" TargetMode="External"/><Relationship Id="rId82" Type="http://schemas.openxmlformats.org/officeDocument/2006/relationships/hyperlink" Target="https://techcombank.com/thong-tin/blog/thue-thuong-mai-dien-tu" TargetMode="External"/><Relationship Id="rId81" Type="http://schemas.openxmlformats.org/officeDocument/2006/relationships/hyperlink" Target="https://techcombank.com/thong-tin/blog/chuyen-doi-hoa-don-dien-tu" TargetMode="External"/><Relationship Id="rId1770" Type="http://schemas.openxmlformats.org/officeDocument/2006/relationships/hyperlink" Target="https://techcombank.com/thong-tin/blog/qua-han-thanh-toan-the-tin-dung-1-ngay" TargetMode="External"/><Relationship Id="rId1771" Type="http://schemas.openxmlformats.org/officeDocument/2006/relationships/hyperlink" Target="https://techcombank.com/thong-tin/blog/no-xau-co-lam-the-visa-duoc-khong" TargetMode="External"/><Relationship Id="rId1772" Type="http://schemas.openxmlformats.org/officeDocument/2006/relationships/hyperlink" Target="https://techcombank.com/thong-tin/blog/thanh-toan-toi-thieu-the-tin-dung" TargetMode="External"/><Relationship Id="rId1773" Type="http://schemas.openxmlformats.org/officeDocument/2006/relationships/hyperlink" Target="https://techcombank.com/thong-tin/blog/the-tin-dung-bi-khoa" TargetMode="External"/><Relationship Id="rId73" Type="http://schemas.openxmlformats.org/officeDocument/2006/relationships/hyperlink" Target="https://techcombank.com/thong-tin/blog/mua-chung-chi-quy" TargetMode="External"/><Relationship Id="rId1763" Type="http://schemas.openxmlformats.org/officeDocument/2006/relationships/hyperlink" Target="https://techcombank.com/thong-tin/blog/no-chu-y-la-gi" TargetMode="External"/><Relationship Id="rId72" Type="http://schemas.openxmlformats.org/officeDocument/2006/relationships/hyperlink" Target="https://techcombank.com/thong-tin/blog/danh-muc-dau-tu" TargetMode="External"/><Relationship Id="rId1764" Type="http://schemas.openxmlformats.org/officeDocument/2006/relationships/hyperlink" Target="https://techcombank.com/thong-tin/blog/no-nhom-3" TargetMode="External"/><Relationship Id="rId75" Type="http://schemas.openxmlformats.org/officeDocument/2006/relationships/hyperlink" Target="https://techcombank.com/thong-tin/blog/dau-co-va-dau-tu" TargetMode="External"/><Relationship Id="rId1765" Type="http://schemas.openxmlformats.org/officeDocument/2006/relationships/hyperlink" Target="https://techcombank.com/thong-tin/blog/du-no-tin-dung-la-gi" TargetMode="External"/><Relationship Id="rId74" Type="http://schemas.openxmlformats.org/officeDocument/2006/relationships/hyperlink" Target="https://techcombank.com/thong-tin/blog/cach-tinh-loi-nhuan-chung-chi-tien-gui" TargetMode="External"/><Relationship Id="rId1766" Type="http://schemas.openxmlformats.org/officeDocument/2006/relationships/hyperlink" Target="https://techcombank.com/thong-tin/blog/no-the-tin-dung-qua-han" TargetMode="External"/><Relationship Id="rId77" Type="http://schemas.openxmlformats.org/officeDocument/2006/relationships/hyperlink" Target="https://techcombank.com/thong-tin/blog/toi-uu-hoa-chi-phi-trong-doanh-nghiep" TargetMode="External"/><Relationship Id="rId1767" Type="http://schemas.openxmlformats.org/officeDocument/2006/relationships/hyperlink" Target="https://techcombank.com/thong-tin/blog/no-xau" TargetMode="External"/><Relationship Id="rId76" Type="http://schemas.openxmlformats.org/officeDocument/2006/relationships/hyperlink" Target="https://techcombank.com/thong-tin/blog/co-50-trieu-nen-mua-vang-hay-gui-tiet-kiem" TargetMode="External"/><Relationship Id="rId1768" Type="http://schemas.openxmlformats.org/officeDocument/2006/relationships/hyperlink" Target="https://techcombank.com/thong-tin/blog/du-no-la-gi" TargetMode="External"/><Relationship Id="rId79" Type="http://schemas.openxmlformats.org/officeDocument/2006/relationships/hyperlink" Target="https://techcombank.com/thong-tin/blog/ke-khai-thue-doanh-nghiep" TargetMode="External"/><Relationship Id="rId1769" Type="http://schemas.openxmlformats.org/officeDocument/2006/relationships/hyperlink" Target="https://techcombank.com/thong-tin/blog/kiem-tra-no-xau" TargetMode="External"/><Relationship Id="rId78" Type="http://schemas.openxmlformats.org/officeDocument/2006/relationships/hyperlink" Target="https://techcombank.com/thong-tin/blog/ngoai-hoi-la-gi" TargetMode="External"/><Relationship Id="rId71" Type="http://schemas.openxmlformats.org/officeDocument/2006/relationships/hyperlink" Target="https://techcombank.com/thong-tin/blog/ho-kinh-doanh-can-gi-o-tai-khoan-ngan-hang" TargetMode="External"/><Relationship Id="rId70" Type="http://schemas.openxmlformats.org/officeDocument/2006/relationships/hyperlink" Target="https://techcombank.com/thong-tin/blog/lai-suat-chung-chi-quy" TargetMode="External"/><Relationship Id="rId1760" Type="http://schemas.openxmlformats.org/officeDocument/2006/relationships/hyperlink" Target="https://techcombank.com/thong-tin/blog/vay-20-trieu" TargetMode="External"/><Relationship Id="rId1761" Type="http://schemas.openxmlformats.org/officeDocument/2006/relationships/hyperlink" Target="https://techcombank.com/thong-tin/blog/kinh-nghiem-vay-tien-mua-nha" TargetMode="External"/><Relationship Id="rId1762" Type="http://schemas.openxmlformats.org/officeDocument/2006/relationships/hyperlink" Target="https://techcombank.com/thong-tin/blog/vay-tin-chap-khong-tra-duoc-co-sao-khong" TargetMode="External"/><Relationship Id="rId62" Type="http://schemas.openxmlformats.org/officeDocument/2006/relationships/hyperlink" Target="https://techcombank.com/thong-tin/blog/thi-truong-trai-phieu-am-tro-lai-nha-dau-tu-san-sang-cho-nhung-co-hoi-sinh-loi-moi" TargetMode="External"/><Relationship Id="rId1796" Type="http://schemas.openxmlformats.org/officeDocument/2006/relationships/hyperlink" Target="https://techcombank.com/thong-tin/blog/no-xau-la-gi" TargetMode="External"/><Relationship Id="rId61" Type="http://schemas.openxmlformats.org/officeDocument/2006/relationships/hyperlink" Target="https://techcombank.com/thong-tin/blog/tim-hieu-ve-chinh-sach-thue-moi" TargetMode="External"/><Relationship Id="rId1797" Type="http://schemas.openxmlformats.org/officeDocument/2006/relationships/hyperlink" Target="https://techcombank.com/thong-tin/blog/qua-han-thanh-toan-the-tin-dung-1-ngay" TargetMode="External"/><Relationship Id="rId64" Type="http://schemas.openxmlformats.org/officeDocument/2006/relationships/hyperlink" Target="https://techcombank.com/thong-tin/blog/tra-cuu-no-thue-doanh-nghiep" TargetMode="External"/><Relationship Id="rId1798" Type="http://schemas.openxmlformats.org/officeDocument/2006/relationships/hyperlink" Target="https://techcombank.com/thong-tin/blog/no-xau-co-lam-the-visa-duoc-khong" TargetMode="External"/><Relationship Id="rId63" Type="http://schemas.openxmlformats.org/officeDocument/2006/relationships/hyperlink" Target="https://techcombank.com/thong-tin/blog/ke-khai-thue-doanh-nghiep" TargetMode="External"/><Relationship Id="rId1799" Type="http://schemas.openxmlformats.org/officeDocument/2006/relationships/hyperlink" Target="https://techcombank.com/thong-tin/blog/ho-so-vay-tin-chap" TargetMode="External"/><Relationship Id="rId66" Type="http://schemas.openxmlformats.org/officeDocument/2006/relationships/hyperlink" Target="https://techcombank.com/thong-tin/blog/quan-ly-tai-chinh-doanh-nghiep-la-gi" TargetMode="External"/><Relationship Id="rId65" Type="http://schemas.openxmlformats.org/officeDocument/2006/relationships/hyperlink" Target="https://techcombank.com/thong-tin/blog/kinh-nghiem-mua-vang-tich-tru" TargetMode="External"/><Relationship Id="rId68" Type="http://schemas.openxmlformats.org/officeDocument/2006/relationships/hyperlink" Target="https://techcombank.com/thong-tin/blog/gia-chung-chi-quy-la-gi" TargetMode="External"/><Relationship Id="rId67" Type="http://schemas.openxmlformats.org/officeDocument/2006/relationships/hyperlink" Target="https://techcombank.com/thong-tin/blog/nha-dau-tu-giao-dich-trai-phieu-truc-tuyen-tang-manh-tro-lai" TargetMode="External"/><Relationship Id="rId60" Type="http://schemas.openxmlformats.org/officeDocument/2006/relationships/hyperlink" Target="https://techcombank.com/thong-tin/blog/thue-doanh-nghiep" TargetMode="External"/><Relationship Id="rId69" Type="http://schemas.openxmlformats.org/officeDocument/2006/relationships/hyperlink" Target="https://techcombank.com/thong-tin/blog/lai-suat-tiet-kiem" TargetMode="External"/><Relationship Id="rId1790" Type="http://schemas.openxmlformats.org/officeDocument/2006/relationships/hyperlink" Target="https://techcombank.com/thong-tin/blog/tin-chap-doanh-nghiep" TargetMode="External"/><Relationship Id="rId1791" Type="http://schemas.openxmlformats.org/officeDocument/2006/relationships/hyperlink" Target="https://techcombank.com/thong-tin/blog/nen-vay-tin-chap-o-dau" TargetMode="External"/><Relationship Id="rId1792" Type="http://schemas.openxmlformats.org/officeDocument/2006/relationships/hyperlink" Target="https://techcombank.com/thong-tin/blog/no-chu-y-la-gi" TargetMode="External"/><Relationship Id="rId1793" Type="http://schemas.openxmlformats.org/officeDocument/2006/relationships/hyperlink" Target="https://techcombank.com/thong-tin/blog/kiem-tra-no-xau" TargetMode="External"/><Relationship Id="rId1794" Type="http://schemas.openxmlformats.org/officeDocument/2006/relationships/hyperlink" Target="https://techcombank.com/thong-tin/blog/no-xau" TargetMode="External"/><Relationship Id="rId1795" Type="http://schemas.openxmlformats.org/officeDocument/2006/relationships/hyperlink" Target="https://techcombank.com/thong-tin/blog/vay-tin-chap-va-vay-the-chap" TargetMode="External"/><Relationship Id="rId51" Type="http://schemas.openxmlformats.org/officeDocument/2006/relationships/hyperlink" Target="https://techcombank.com/thong-tin/blog/nhung-chi-phi-khong-duoc-tru-khi-tinh-thue-tndn" TargetMode="External"/><Relationship Id="rId1785" Type="http://schemas.openxmlformats.org/officeDocument/2006/relationships/hyperlink" Target="https://techcombank.com/thong-tin/blog/vay-tin-chap-ho-kinh-doanh" TargetMode="External"/><Relationship Id="rId50" Type="http://schemas.openxmlformats.org/officeDocument/2006/relationships/hyperlink" Target="https://techcombank.com/thong-tin/blog/nop-thue-dat-qua-ngan-hang" TargetMode="External"/><Relationship Id="rId1786" Type="http://schemas.openxmlformats.org/officeDocument/2006/relationships/hyperlink" Target="https://techcombank.com/thong-tin/blog/vay-tin-chap-cho-doanh-nghiep-moi-thanh-lap" TargetMode="External"/><Relationship Id="rId53" Type="http://schemas.openxmlformats.org/officeDocument/2006/relationships/hyperlink" Target="https://techcombank.com/thong-tin/blog/doanh-nghiep-moi-thanh-lap-duoc-uu-dai-gi" TargetMode="External"/><Relationship Id="rId1787" Type="http://schemas.openxmlformats.org/officeDocument/2006/relationships/hyperlink" Target="https://techcombank.com/thong-tin/blog/thu-tuc-vay-von-kinh-doanh-nho" TargetMode="External"/><Relationship Id="rId52" Type="http://schemas.openxmlformats.org/officeDocument/2006/relationships/hyperlink" Target="https://techcombank.com/thong-tin/blog/quyet-toan-thue-doanh-nghiep" TargetMode="External"/><Relationship Id="rId1788" Type="http://schemas.openxmlformats.org/officeDocument/2006/relationships/hyperlink" Target="https://techcombank.com/thong-tin/blog/cac-hinh-thuc-vay-von-ngan-hang" TargetMode="External"/><Relationship Id="rId55" Type="http://schemas.openxmlformats.org/officeDocument/2006/relationships/hyperlink" Target="https://techcombank.com/thong-tin/blog/hoan-thue-doanh-nghiep" TargetMode="External"/><Relationship Id="rId1789" Type="http://schemas.openxmlformats.org/officeDocument/2006/relationships/hyperlink" Target="https://techcombank.com/thong-tin/blog/vay-san-xuat-kinh-doanh" TargetMode="External"/><Relationship Id="rId54" Type="http://schemas.openxmlformats.org/officeDocument/2006/relationships/hyperlink" Target="https://techcombank.com/thong-tin/blog/loi-nhuan" TargetMode="External"/><Relationship Id="rId57" Type="http://schemas.openxmlformats.org/officeDocument/2006/relationships/hyperlink" Target="https://techcombank.com/thong-tin/blog/giai-dap-ve-thue-doanh-nghiep" TargetMode="External"/><Relationship Id="rId56" Type="http://schemas.openxmlformats.org/officeDocument/2006/relationships/hyperlink" Target="https://techcombank.com/thong-tin/blog/cach-tinh-thue-thu-nhap-doanh-nghiep" TargetMode="External"/><Relationship Id="rId59" Type="http://schemas.openxmlformats.org/officeDocument/2006/relationships/hyperlink" Target="https://techcombank.com/thong-tin/blog/kiem-tra-ma-so-thue-doanh-nghiep" TargetMode="External"/><Relationship Id="rId58" Type="http://schemas.openxmlformats.org/officeDocument/2006/relationships/hyperlink" Target="https://techcombank.com/thong-tin/blog/loi-nhuan-rong" TargetMode="External"/><Relationship Id="rId1780" Type="http://schemas.openxmlformats.org/officeDocument/2006/relationships/hyperlink" Target="https://techcombank.com/thong-tin/blog/lai-suat-qua-han" TargetMode="External"/><Relationship Id="rId1781" Type="http://schemas.openxmlformats.org/officeDocument/2006/relationships/hyperlink" Target="https://techcombank.com/thong-tin/blog/no-the-tin-dung-qua-han" TargetMode="External"/><Relationship Id="rId1782" Type="http://schemas.openxmlformats.org/officeDocument/2006/relationships/hyperlink" Target="https://techcombank.com/thong-tin/blog/vay-tin-chap-la-gi" TargetMode="External"/><Relationship Id="rId1783" Type="http://schemas.openxmlformats.org/officeDocument/2006/relationships/hyperlink" Target="https://techcombank.com/thong-tin/blog/tat-toan" TargetMode="External"/><Relationship Id="rId1784" Type="http://schemas.openxmlformats.org/officeDocument/2006/relationships/hyperlink" Target="https://techcombank.com/thong-tin/blog/du-no-la-gi" TargetMode="External"/><Relationship Id="rId349" Type="http://schemas.openxmlformats.org/officeDocument/2006/relationships/hyperlink" Target="https://techcombank.com/thong-tin/blog/thanh-toan-hoc-phi-online" TargetMode="External"/><Relationship Id="rId348" Type="http://schemas.openxmlformats.org/officeDocument/2006/relationships/hyperlink" Target="https://techcombank.com/thong-tin/blog/dieu-kien-vay-the-chap" TargetMode="External"/><Relationship Id="rId347" Type="http://schemas.openxmlformats.org/officeDocument/2006/relationships/hyperlink" Target="https://techcombank.com/thong-tin/blog/lam-the-thanh-toan-quoc-te" TargetMode="External"/><Relationship Id="rId346" Type="http://schemas.openxmlformats.org/officeDocument/2006/relationships/hyperlink" Target="https://techcombank.com/thong-tin/blog/the-debit-cho-con" TargetMode="External"/><Relationship Id="rId341" Type="http://schemas.openxmlformats.org/officeDocument/2006/relationships/hyperlink" Target="https://techcombank.com/thong-tin/blog/shopeepay-la-gi" TargetMode="External"/><Relationship Id="rId340" Type="http://schemas.openxmlformats.org/officeDocument/2006/relationships/hyperlink" Target="https://techcombank.com/thong-tin/blog/lam-the-tin-dung" TargetMode="External"/><Relationship Id="rId345" Type="http://schemas.openxmlformats.org/officeDocument/2006/relationships/hyperlink" Target="https://techcombank.com/thong-tin/blog/lam-the-tin-dung-co-mat-phi-khong" TargetMode="External"/><Relationship Id="rId344" Type="http://schemas.openxmlformats.org/officeDocument/2006/relationships/hyperlink" Target="https://techcombank.com/thong-tin/blog/lam-the-visa-online" TargetMode="External"/><Relationship Id="rId343" Type="http://schemas.openxmlformats.org/officeDocument/2006/relationships/hyperlink" Target="https://techcombank.com/thong-tin/blog/the-mastercard-la-gi" TargetMode="External"/><Relationship Id="rId342" Type="http://schemas.openxmlformats.org/officeDocument/2006/relationships/hyperlink" Target="https://techcombank.com/thong-tin/blog/vay-sinh-vien" TargetMode="External"/><Relationship Id="rId338" Type="http://schemas.openxmlformats.org/officeDocument/2006/relationships/hyperlink" Target="https://techcombank.com/thong-tin/blog/mo-tai-khoan-tiet-kiem-cho-con" TargetMode="External"/><Relationship Id="rId337" Type="http://schemas.openxmlformats.org/officeDocument/2006/relationships/hyperlink" Target="https://techcombank.com/thong-tin/blog/no-xau-co-lam-the-visa-duoc-khong" TargetMode="External"/><Relationship Id="rId336" Type="http://schemas.openxmlformats.org/officeDocument/2006/relationships/hyperlink" Target="https://techcombank.com/thong-tin/blog/mo-tai-khoan-ngan-hang-duoi-18-tuoi" TargetMode="External"/><Relationship Id="rId335" Type="http://schemas.openxmlformats.org/officeDocument/2006/relationships/hyperlink" Target="https://techcombank.com/thong-tin/blog/lam-the-visa-o-dau" TargetMode="External"/><Relationship Id="rId339" Type="http://schemas.openxmlformats.org/officeDocument/2006/relationships/hyperlink" Target="https://techcombank.com/thong-tin/blog/lam-the-visa-mat-bao-lau" TargetMode="External"/><Relationship Id="rId330" Type="http://schemas.openxmlformats.org/officeDocument/2006/relationships/hyperlink" Target="https://techcombank.com/thong-tin/blog/lam-the-atm-co-mat-phi-khong" TargetMode="External"/><Relationship Id="rId334" Type="http://schemas.openxmlformats.org/officeDocument/2006/relationships/hyperlink" Target="https://techcombank.com/thong-tin/blog/co-nen-dung-the-tin-dung-khong" TargetMode="External"/><Relationship Id="rId333" Type="http://schemas.openxmlformats.org/officeDocument/2006/relationships/hyperlink" Target="https://techcombank.com/thong-tin/blog/cach-chon-so-tai-khoan-dep" TargetMode="External"/><Relationship Id="rId332" Type="http://schemas.openxmlformats.org/officeDocument/2006/relationships/hyperlink" Target="https://techcombank.com/thong-tin/blog/the-visa-de-lam-gi" TargetMode="External"/><Relationship Id="rId331" Type="http://schemas.openxmlformats.org/officeDocument/2006/relationships/hyperlink" Target="https://techcombank.com/thong-tin/blog/sai-lam-ve-tai-chinh-ca-nhan" TargetMode="External"/><Relationship Id="rId370" Type="http://schemas.openxmlformats.org/officeDocument/2006/relationships/hyperlink" Target="https://techcombank.com/thong-tin/blog/mm-yy-la-gi" TargetMode="External"/><Relationship Id="rId369" Type="http://schemas.openxmlformats.org/officeDocument/2006/relationships/hyperlink" Target="https://techcombank.com/thong-tin/blog/cay-atm-gan-day" TargetMode="External"/><Relationship Id="rId368" Type="http://schemas.openxmlformats.org/officeDocument/2006/relationships/hyperlink" Target="https://techcombank.com/thong-tin/blog/nop-tien-mat-vao-tai-khoan-cong-ty" TargetMode="External"/><Relationship Id="rId363" Type="http://schemas.openxmlformats.org/officeDocument/2006/relationships/hyperlink" Target="https://techcombank.com/thong-tin/blog/cac-loai-hinh-bao-hiem-nhan-tho" TargetMode="External"/><Relationship Id="rId362" Type="http://schemas.openxmlformats.org/officeDocument/2006/relationships/hyperlink" Target="https://techcombank.com/thong-tin/blog/hoc-sinh-sinh-vien-nen-lam-the-ngan-hang-nao" TargetMode="External"/><Relationship Id="rId361" Type="http://schemas.openxmlformats.org/officeDocument/2006/relationships/hyperlink" Target="https://techcombank.com/thong-tin/blog/bao-hiem-nhan-tho-la-gi" TargetMode="External"/><Relationship Id="rId360" Type="http://schemas.openxmlformats.org/officeDocument/2006/relationships/hyperlink" Target="https://techcombank.com/thong-tin/blog/mo-tai-khoan-ngan-hang-cho-tre-em" TargetMode="External"/><Relationship Id="rId367" Type="http://schemas.openxmlformats.org/officeDocument/2006/relationships/hyperlink" Target="https://techcombank.com/thong-tin/blog/tai-khoan-ngan-hang-con-0-dong-co-sao-khong" TargetMode="External"/><Relationship Id="rId366" Type="http://schemas.openxmlformats.org/officeDocument/2006/relationships/hyperlink" Target="https://techcombank.com/thong-tin/blog/cach-nap-tien-vao-the-ghi-no" TargetMode="External"/><Relationship Id="rId365" Type="http://schemas.openxmlformats.org/officeDocument/2006/relationships/hyperlink" Target="https://techcombank.com/thong-tin/blog/cdm" TargetMode="External"/><Relationship Id="rId364" Type="http://schemas.openxmlformats.org/officeDocument/2006/relationships/hyperlink" Target="https://techcombank.com/thong-tin/blog/thanh-toan-hoc-phi-online" TargetMode="External"/><Relationship Id="rId95" Type="http://schemas.openxmlformats.org/officeDocument/2006/relationships/hyperlink" Target="https://techcombank.com/thong-tin/blog/the-tin-dung-co-chuyen-khoan-duoc-khong" TargetMode="External"/><Relationship Id="rId94" Type="http://schemas.openxmlformats.org/officeDocument/2006/relationships/hyperlink" Target="https://techcombank.com/thong-tin/blog/phan-mem-xuat-hoa-don-dien-tu" TargetMode="External"/><Relationship Id="rId97" Type="http://schemas.openxmlformats.org/officeDocument/2006/relationships/hyperlink" Target="https://techcombank.com/thong-tin/blog/tra-cuu-hoa-don-nuoc" TargetMode="External"/><Relationship Id="rId96" Type="http://schemas.openxmlformats.org/officeDocument/2006/relationships/hyperlink" Target="https://techcombank.com/thong-tin/blog/app-dong-tien-dien-online" TargetMode="External"/><Relationship Id="rId99" Type="http://schemas.openxmlformats.org/officeDocument/2006/relationships/hyperlink" Target="https://techcombank.com/thong-tin/blog/thanh-toan-hoa-don-tieu-dung" TargetMode="External"/><Relationship Id="rId98" Type="http://schemas.openxmlformats.org/officeDocument/2006/relationships/hyperlink" Target="https://techcombank.com/thong-tin/blog/tra-cuu-hoa-don-tien-dien" TargetMode="External"/><Relationship Id="rId91" Type="http://schemas.openxmlformats.org/officeDocument/2006/relationships/hyperlink" Target="https://techcombank.com/thong-tin/blog/one-stop-shop" TargetMode="External"/><Relationship Id="rId90" Type="http://schemas.openxmlformats.org/officeDocument/2006/relationships/hyperlink" Target="https://techcombank.com/thong-tin/blog/thue-doanh-nghiep" TargetMode="External"/><Relationship Id="rId93" Type="http://schemas.openxmlformats.org/officeDocument/2006/relationships/hyperlink" Target="https://techcombank.com/thong-tin/blog/may-tinh-tien" TargetMode="External"/><Relationship Id="rId92" Type="http://schemas.openxmlformats.org/officeDocument/2006/relationships/hyperlink" Target="https://techcombank.com/thong-tin/blog/tim-hieu-ve-chinh-sach-thue-moi" TargetMode="External"/><Relationship Id="rId359" Type="http://schemas.openxmlformats.org/officeDocument/2006/relationships/hyperlink" Target="https://techcombank.com/thong-tin/blog/bao-hiem-suc-khoe-la-gi" TargetMode="External"/><Relationship Id="rId358" Type="http://schemas.openxmlformats.org/officeDocument/2006/relationships/hyperlink" Target="https://techcombank.com/thong-tin/blog/cach-tiet-kiem-tien-hieu-qua-cho-gia-dinh" TargetMode="External"/><Relationship Id="rId357" Type="http://schemas.openxmlformats.org/officeDocument/2006/relationships/hyperlink" Target="https://techcombank.com/thong-tin/blog/cho-vay-kinh-doanh-ho-gia-dinh" TargetMode="External"/><Relationship Id="rId352" Type="http://schemas.openxmlformats.org/officeDocument/2006/relationships/hyperlink" Target="https://techcombank.com/thong-tin/blog/mo-tai-khoan-ngan-hang-bang-so-dien-thoai" TargetMode="External"/><Relationship Id="rId351" Type="http://schemas.openxmlformats.org/officeDocument/2006/relationships/hyperlink" Target="https://techcombank.com/thong-tin/blog/mo-tai-khoan-tiet-kiem-cho-con" TargetMode="External"/><Relationship Id="rId350" Type="http://schemas.openxmlformats.org/officeDocument/2006/relationships/hyperlink" Target="https://techcombank.com/thong-tin/blog/the-debit-cho-con" TargetMode="External"/><Relationship Id="rId356" Type="http://schemas.openxmlformats.org/officeDocument/2006/relationships/hyperlink" Target="https://techcombank.com/thong-tin/blog/the-he-ke-can" TargetMode="External"/><Relationship Id="rId355" Type="http://schemas.openxmlformats.org/officeDocument/2006/relationships/hyperlink" Target="https://techcombank.com/thong-tin/blog/tap-doan-thanh-quang-khoi-sac-kinh-doanh-nho-nguon-von-vay-tin-dung-techcombank-tren-nen-tang-misa-lending" TargetMode="External"/><Relationship Id="rId354" Type="http://schemas.openxmlformats.org/officeDocument/2006/relationships/hyperlink" Target="https://techcombank.com/thong-tin/blog/dao-tao-the-he-ke-can" TargetMode="External"/><Relationship Id="rId353" Type="http://schemas.openxmlformats.org/officeDocument/2006/relationships/hyperlink" Target="https://techcombank.com/thong-tin/blog/quy-gia-dinh" TargetMode="External"/><Relationship Id="rId305" Type="http://schemas.openxmlformats.org/officeDocument/2006/relationships/hyperlink" Target="https://techcombank.com/thong-tin/blog/cach-lay-lai-tien-da-chuyen-khoan-khi-bi-lua" TargetMode="External"/><Relationship Id="rId304" Type="http://schemas.openxmlformats.org/officeDocument/2006/relationships/hyperlink" Target="https://techcombank.com/thong-tin/blog/loa-ting-ting" TargetMode="External"/><Relationship Id="rId303" Type="http://schemas.openxmlformats.org/officeDocument/2006/relationships/hyperlink" Target="https://techcombank.com/thong-tin/blog/cach-tao-ma-qr-code-mien-phi" TargetMode="External"/><Relationship Id="rId302" Type="http://schemas.openxmlformats.org/officeDocument/2006/relationships/hyperlink" Target="https://techcombank.com/thong-tin/blog/cach-su-dung-tai-khoan-cong-ty" TargetMode="External"/><Relationship Id="rId309" Type="http://schemas.openxmlformats.org/officeDocument/2006/relationships/hyperlink" Target="https://techcombank.com/thong-tin/blog/nguoi-duoc-bao-hiem-la-gi" TargetMode="External"/><Relationship Id="rId308" Type="http://schemas.openxmlformats.org/officeDocument/2006/relationships/hyperlink" Target="https://techcombank.com/thong-tin/blog/iban-la-gi" TargetMode="External"/><Relationship Id="rId307" Type="http://schemas.openxmlformats.org/officeDocument/2006/relationships/hyperlink" Target="https://techcombank.com/thong-tin/blog/the-tin-dung-co-chuyen-khoan-duoc-khong" TargetMode="External"/><Relationship Id="rId306" Type="http://schemas.openxmlformats.org/officeDocument/2006/relationships/hyperlink" Target="https://techcombank.com/thong-tin/blog/uu-diem-cua-blockchain" TargetMode="External"/><Relationship Id="rId301" Type="http://schemas.openxmlformats.org/officeDocument/2006/relationships/hyperlink" Target="https://techcombank.com/thong-tin/blog/cdm" TargetMode="External"/><Relationship Id="rId300" Type="http://schemas.openxmlformats.org/officeDocument/2006/relationships/hyperlink" Target="https://techcombank.com/thong-tin/blog/remittance-la-gi" TargetMode="External"/><Relationship Id="rId327" Type="http://schemas.openxmlformats.org/officeDocument/2006/relationships/hyperlink" Target="https://techcombank.com/thong-tin/blog/tap-doan-thanh-quang-khoi-sac-kinh-doanh-nho-nguon-von-vay-tin-dung-techcombank-tren-nen-tang-misa-lending" TargetMode="External"/><Relationship Id="rId326" Type="http://schemas.openxmlformats.org/officeDocument/2006/relationships/hyperlink" Target="https://techcombank.com/thong-tin/blog/lam-the-atm-bao-lau-co" TargetMode="External"/><Relationship Id="rId325" Type="http://schemas.openxmlformats.org/officeDocument/2006/relationships/hyperlink" Target="https://techcombank.com/thong-tin/blog/1-nguoi-co-the-lam-duoc-bao-nhieu-the-atm" TargetMode="External"/><Relationship Id="rId324" Type="http://schemas.openxmlformats.org/officeDocument/2006/relationships/hyperlink" Target="https://techcombank.com/thong-tin/blog/cach-lam-the-atm" TargetMode="External"/><Relationship Id="rId329" Type="http://schemas.openxmlformats.org/officeDocument/2006/relationships/hyperlink" Target="https://techcombank.com/thong-tin/blog/li-xi-so-dep" TargetMode="External"/><Relationship Id="rId328" Type="http://schemas.openxmlformats.org/officeDocument/2006/relationships/hyperlink" Target="https://techcombank.com/thong-tin/blog/the-he-ke-can" TargetMode="External"/><Relationship Id="rId323" Type="http://schemas.openxmlformats.org/officeDocument/2006/relationships/hyperlink" Target="https://techcombank.com/thong-tin/blog/hoc-sinh-sinh-vien-nen-lam-the-ngan-hang-nao" TargetMode="External"/><Relationship Id="rId322" Type="http://schemas.openxmlformats.org/officeDocument/2006/relationships/hyperlink" Target="https://techcombank.com/thong-tin/blog/mo-tai-khoan-ngan-hang-cho-tre-em" TargetMode="External"/><Relationship Id="rId321" Type="http://schemas.openxmlformats.org/officeDocument/2006/relationships/hyperlink" Target="https://techcombank.com/thong-tin/blog/cam-nang-dinh-cu-my" TargetMode="External"/><Relationship Id="rId320" Type="http://schemas.openxmlformats.org/officeDocument/2006/relationships/hyperlink" Target="https://techcombank.com/thong-tin/blog/dinh-cu-chau-au" TargetMode="External"/><Relationship Id="rId316" Type="http://schemas.openxmlformats.org/officeDocument/2006/relationships/hyperlink" Target="https://techcombank.com/thong-tin/blog/app-vay-tien-nhanh" TargetMode="External"/><Relationship Id="rId315" Type="http://schemas.openxmlformats.org/officeDocument/2006/relationships/hyperlink" Target="https://techcombank.com/thong-tin/blog/xac-thuc-sinh-trac-hoc-khi-chuyen-tien" TargetMode="External"/><Relationship Id="rId314" Type="http://schemas.openxmlformats.org/officeDocument/2006/relationships/hyperlink" Target="https://techcombank.com/thong-tin/blog/mo-tai-khoan-ngan-hang-co-mat-phi-khong" TargetMode="External"/><Relationship Id="rId313" Type="http://schemas.openxmlformats.org/officeDocument/2006/relationships/hyperlink" Target="https://techcombank.com/thong-tin/blog/vi-dien-tu-la-gi" TargetMode="External"/><Relationship Id="rId319" Type="http://schemas.openxmlformats.org/officeDocument/2006/relationships/hyperlink" Target="https://techcombank.com/thong-tin/blog/chuyen-tien-dinh-cu" TargetMode="External"/><Relationship Id="rId318" Type="http://schemas.openxmlformats.org/officeDocument/2006/relationships/hyperlink" Target="https://techcombank.com/thong-tin/blog/the-ghi-no-co-chuyen-khoan-duoc-khong" TargetMode="External"/><Relationship Id="rId317" Type="http://schemas.openxmlformats.org/officeDocument/2006/relationships/hyperlink" Target="https://techcombank.com/thong-tin/blog/cach-chuyen-tien-qua-ma-qr-techcombank" TargetMode="External"/><Relationship Id="rId312" Type="http://schemas.openxmlformats.org/officeDocument/2006/relationships/hyperlink" Target="https://techcombank.com/thong-tin/blog/ma-swift-ngan-hang" TargetMode="External"/><Relationship Id="rId311" Type="http://schemas.openxmlformats.org/officeDocument/2006/relationships/hyperlink" Target="https://techcombank.com/thong-tin/blog/cach-su-dung-the-visa-techcombank" TargetMode="External"/><Relationship Id="rId310" Type="http://schemas.openxmlformats.org/officeDocument/2006/relationships/hyperlink" Target="https://techcombank.com/thong-tin/blog/cach-chuyen-khoan-bang-dien-thoai" TargetMode="External"/><Relationship Id="rId297" Type="http://schemas.openxmlformats.org/officeDocument/2006/relationships/hyperlink" Target="https://techcombank.com/thong-tin/blog/loa-thong-bao-chuyen-khoan" TargetMode="External"/><Relationship Id="rId296" Type="http://schemas.openxmlformats.org/officeDocument/2006/relationships/hyperlink" Target="https://techcombank.com/thong-tin/blog/ngan-hang-thu-huong-la-gi" TargetMode="External"/><Relationship Id="rId295" Type="http://schemas.openxmlformats.org/officeDocument/2006/relationships/hyperlink" Target="https://techcombank.com/thong-tin/blog/chuyen-nham-tien-co-lay-lai-duoc-khong" TargetMode="External"/><Relationship Id="rId294" Type="http://schemas.openxmlformats.org/officeDocument/2006/relationships/hyperlink" Target="https://techcombank.com/thong-tin/blog/ma-giao-dich-la-gi" TargetMode="External"/><Relationship Id="rId299" Type="http://schemas.openxmlformats.org/officeDocument/2006/relationships/hyperlink" Target="https://techcombank.com/thong-tin/blog/luu-y-khi-chuyen-tien-vao-tai-khoan-cong-ty" TargetMode="External"/><Relationship Id="rId298" Type="http://schemas.openxmlformats.org/officeDocument/2006/relationships/hyperlink" Target="https://techcombank.com/thong-tin/blog/ma-qr-ngan-hang-khong-hop-le" TargetMode="External"/><Relationship Id="rId271" Type="http://schemas.openxmlformats.org/officeDocument/2006/relationships/hyperlink" Target="https://techcombank.com/thong-tin/blog/vay-mua-xe-tra-gop-ngan-hang-nao-tot-nhat" TargetMode="External"/><Relationship Id="rId270" Type="http://schemas.openxmlformats.org/officeDocument/2006/relationships/hyperlink" Target="https://techcombank.com/thong-tin/blog/su-hop-tac-cua-ngan-hang-va-fintech-tren-hanh-trinh-chuyen-doi-so" TargetMode="External"/><Relationship Id="rId269" Type="http://schemas.openxmlformats.org/officeDocument/2006/relationships/hyperlink" Target="https://techcombank.com/thong-tin/blog/nen-vay-the-chap-ngan-hang-nao" TargetMode="External"/><Relationship Id="rId264" Type="http://schemas.openxmlformats.org/officeDocument/2006/relationships/hyperlink" Target="https://techcombank.com/thong-tin/blog/nen-mo-tai-khoan-ngan-hang-nao-cho-doanh-nghiep" TargetMode="External"/><Relationship Id="rId263" Type="http://schemas.openxmlformats.org/officeDocument/2006/relationships/hyperlink" Target="https://techcombank.com/thong-tin/blog/gui-tien-ngan-hang-co-an-toan-khong" TargetMode="External"/><Relationship Id="rId262" Type="http://schemas.openxmlformats.org/officeDocument/2006/relationships/hyperlink" Target="https://techcombank.com/thong-tin/blog/app-ngan-hang-uy-tin" TargetMode="External"/><Relationship Id="rId261" Type="http://schemas.openxmlformats.org/officeDocument/2006/relationships/hyperlink" Target="https://techcombank.com/thong-tin/blog/mo-tai-khoan-tiet-kiem-cho-con" TargetMode="External"/><Relationship Id="rId268" Type="http://schemas.openxmlformats.org/officeDocument/2006/relationships/hyperlink" Target="https://techcombank.com/thong-tin/blog/nen-vay-tin-chap-o-dau" TargetMode="External"/><Relationship Id="rId267" Type="http://schemas.openxmlformats.org/officeDocument/2006/relationships/hyperlink" Target="https://techcombank.com/thong-tin/blog/dieu-kien-vay-von-ngan-hang" TargetMode="External"/><Relationship Id="rId266" Type="http://schemas.openxmlformats.org/officeDocument/2006/relationships/hyperlink" Target="https://techcombank.com/thong-tin/blog/gia-tri-thuong-hieu" TargetMode="External"/><Relationship Id="rId265" Type="http://schemas.openxmlformats.org/officeDocument/2006/relationships/hyperlink" Target="https://techcombank.com/thong-tin/blog/gio-lam-viec-ngan-hang" TargetMode="External"/><Relationship Id="rId260" Type="http://schemas.openxmlformats.org/officeDocument/2006/relationships/hyperlink" Target="https://techcombank.com/thong-tin/blog/mat-so-dien-thoai-dang-ky-tai-khoan-ngan-hang" TargetMode="External"/><Relationship Id="rId259" Type="http://schemas.openxmlformats.org/officeDocument/2006/relationships/hyperlink" Target="https://techcombank.com/thong-tin/blog/mo-tai-khoan-ngan-hang-duoi-18-tuoi" TargetMode="External"/><Relationship Id="rId258" Type="http://schemas.openxmlformats.org/officeDocument/2006/relationships/hyperlink" Target="https://techcombank.com/thong-tin/blog/mau-mo-tai-khoan-doanh-nghiep-techcombank" TargetMode="External"/><Relationship Id="rId253" Type="http://schemas.openxmlformats.org/officeDocument/2006/relationships/hyperlink" Target="https://techcombank.com/thong-tin/blog/88-la-gi" TargetMode="External"/><Relationship Id="rId252" Type="http://schemas.openxmlformats.org/officeDocument/2006/relationships/hyperlink" Target="https://techcombank.com/thong-tin/blog/tai-khoan-ngan-hang-chua-toi-da-bao-nhieu-tien" TargetMode="External"/><Relationship Id="rId251" Type="http://schemas.openxmlformats.org/officeDocument/2006/relationships/hyperlink" Target="https://techcombank.com/thong-tin/blog/lo-so-tai-khoan-ngan-hang-co-sao-khong" TargetMode="External"/><Relationship Id="rId250" Type="http://schemas.openxmlformats.org/officeDocument/2006/relationships/hyperlink" Target="https://techcombank.com/thong-tin/blog/cach-lien-ket-tai-khoan-ngan-hang-voi-vneid" TargetMode="External"/><Relationship Id="rId257" Type="http://schemas.openxmlformats.org/officeDocument/2006/relationships/hyperlink" Target="https://techcombank.com/thong-tin/blog/cach-dong-tien-dien-qua-tai-khoan-ngan-hang" TargetMode="External"/><Relationship Id="rId256" Type="http://schemas.openxmlformats.org/officeDocument/2006/relationships/hyperlink" Target="https://techcombank.com/thong-tin/blog/cach-chon-so-tai-khoan-dep" TargetMode="External"/><Relationship Id="rId255" Type="http://schemas.openxmlformats.org/officeDocument/2006/relationships/hyperlink" Target="https://techcombank.com/thong-tin/blog/thue-thu-nhap-ca-nhan" TargetMode="External"/><Relationship Id="rId254" Type="http://schemas.openxmlformats.org/officeDocument/2006/relationships/hyperlink" Target="https://techcombank.com/thong-tin/blog/dang-ky-nhieu-tai-khoan-ngan-hang-co-sao-khong" TargetMode="External"/><Relationship Id="rId293" Type="http://schemas.openxmlformats.org/officeDocument/2006/relationships/hyperlink" Target="https://techcombank.com/thong-tin/blog/chuyen-khoan-lien-ngan-hang" TargetMode="External"/><Relationship Id="rId292" Type="http://schemas.openxmlformats.org/officeDocument/2006/relationships/hyperlink" Target="https://techcombank.com/thong-tin/blog/cach-chuyen-tien" TargetMode="External"/><Relationship Id="rId291" Type="http://schemas.openxmlformats.org/officeDocument/2006/relationships/hyperlink" Target="https://techcombank.com/thong-tin/blog/ty-gia-la-gi" TargetMode="External"/><Relationship Id="rId290" Type="http://schemas.openxmlformats.org/officeDocument/2006/relationships/hyperlink" Target="https://techcombank.com/thong-tin/blog/ty-gia-cac-ngan-hang" TargetMode="External"/><Relationship Id="rId286" Type="http://schemas.openxmlformats.org/officeDocument/2006/relationships/hyperlink" Target="https://techcombank.com/thong-tin/blog/lai-suat-vay-tin-chap" TargetMode="External"/><Relationship Id="rId285" Type="http://schemas.openxmlformats.org/officeDocument/2006/relationships/hyperlink" Target="https://techcombank.com/thong-tin/blog/lai-suat-vay-mua-o-to" TargetMode="External"/><Relationship Id="rId284" Type="http://schemas.openxmlformats.org/officeDocument/2006/relationships/hyperlink" Target="https://techcombank.com/thong-tin/blog/lai-suat-chung-chi-tien-gui-cac-ngan-hang" TargetMode="External"/><Relationship Id="rId283" Type="http://schemas.openxmlformats.org/officeDocument/2006/relationships/hyperlink" Target="https://techcombank.com/thong-tin/blog/mat-the-tin-dung-co-lam-lai-duoc-khong" TargetMode="External"/><Relationship Id="rId289" Type="http://schemas.openxmlformats.org/officeDocument/2006/relationships/hyperlink" Target="https://techcombank.com/thong-tin/blog/viet-kieu-co-mo-duoc-tai-khoan-ngan-hang-khong" TargetMode="External"/><Relationship Id="rId288" Type="http://schemas.openxmlformats.org/officeDocument/2006/relationships/hyperlink" Target="https://techcombank.com/thong-tin/blog/vip-ngan-hang" TargetMode="External"/><Relationship Id="rId287" Type="http://schemas.openxmlformats.org/officeDocument/2006/relationships/hyperlink" Target="https://techcombank.com/thong-tin/blog/bao-hiem-vat-chat-xe-o-to" TargetMode="External"/><Relationship Id="rId282" Type="http://schemas.openxmlformats.org/officeDocument/2006/relationships/hyperlink" Target="https://techcombank.com/thong-tin/blog/lai-suat-vay-ngan-hang" TargetMode="External"/><Relationship Id="rId281" Type="http://schemas.openxmlformats.org/officeDocument/2006/relationships/hyperlink" Target="https://techcombank.com/thong-tin/blog/the-tin-dung-mien-lai-55-ngay" TargetMode="External"/><Relationship Id="rId280" Type="http://schemas.openxmlformats.org/officeDocument/2006/relationships/hyperlink" Target="https://techcombank.com/thong-tin/blog/gui-tiet-kiem-ngoai-te" TargetMode="External"/><Relationship Id="rId275" Type="http://schemas.openxmlformats.org/officeDocument/2006/relationships/hyperlink" Target="https://techcombank.com/thong-tin/blog/app-ngan-hang" TargetMode="External"/><Relationship Id="rId274" Type="http://schemas.openxmlformats.org/officeDocument/2006/relationships/hyperlink" Target="https://techcombank.com/thong-tin/blog/uu-dai-mo-the-tin-dung" TargetMode="External"/><Relationship Id="rId273" Type="http://schemas.openxmlformats.org/officeDocument/2006/relationships/hyperlink" Target="https://techcombank.com/thong-tin/blog/lai-suat-tiet-kiem" TargetMode="External"/><Relationship Id="rId272" Type="http://schemas.openxmlformats.org/officeDocument/2006/relationships/hyperlink" Target="https://techcombank.com/thong-tin/blog/lam-the-visa-o-dau" TargetMode="External"/><Relationship Id="rId279" Type="http://schemas.openxmlformats.org/officeDocument/2006/relationships/hyperlink" Target="https://techcombank.com/thong-tin/blog/hoc-sinh-sinh-vien-nen-lam-the-ngan-hang-nao" TargetMode="External"/><Relationship Id="rId278" Type="http://schemas.openxmlformats.org/officeDocument/2006/relationships/hyperlink" Target="https://techcombank.com/thong-tin/blog/lai-suat-vay-tieu-dung" TargetMode="External"/><Relationship Id="rId277" Type="http://schemas.openxmlformats.org/officeDocument/2006/relationships/hyperlink" Target="https://techcombank.com/thong-tin/blog/vay-sinh-vien" TargetMode="External"/><Relationship Id="rId276" Type="http://schemas.openxmlformats.org/officeDocument/2006/relationships/hyperlink" Target="https://techcombank.com/thong-tin/blog/cach-tinh-lai-suat-tien-gui-tiet-kiem" TargetMode="External"/><Relationship Id="rId1810" Type="http://schemas.openxmlformats.org/officeDocument/2006/relationships/hyperlink" Target="https://techcombank.com/thong-tin/blog/mua-chung-chi-quy" TargetMode="External"/><Relationship Id="rId1811" Type="http://schemas.openxmlformats.org/officeDocument/2006/relationships/hyperlink" Target="https://techcombank.com/thong-tin/blog/dau-tu-quy-mo" TargetMode="External"/><Relationship Id="rId1812" Type="http://schemas.openxmlformats.org/officeDocument/2006/relationships/hyperlink" Target="https://techcombank.com/thong-tin/blog/app-theo-doi-chung-chi-quy" TargetMode="External"/><Relationship Id="rId1813" Type="http://schemas.openxmlformats.org/officeDocument/2006/relationships/hyperlink" Target="https://techcombank.com/thong-tin/blog/chung-chi-quy-va-co-phieu" TargetMode="External"/><Relationship Id="rId1814" Type="http://schemas.openxmlformats.org/officeDocument/2006/relationships/hyperlink" Target="https://techcombank.com/thong-tin/blog/wacc-la-gi" TargetMode="External"/><Relationship Id="rId1815" Type="http://schemas.openxmlformats.org/officeDocument/2006/relationships/hyperlink" Target="https://techcombank.com/thong-tin/blog/thi-truong-trai-phieu-co-hoi-dau-tu-trai-phieu-vang-du-lai-suat-thap" TargetMode="External"/><Relationship Id="rId1816" Type="http://schemas.openxmlformats.org/officeDocument/2006/relationships/hyperlink" Target="https://techcombank.com/thong-tin/blog/y-concert" TargetMode="External"/><Relationship Id="rId1817" Type="http://schemas.openxmlformats.org/officeDocument/2006/relationships/hyperlink" Target="https://techcombank.com/thong-tin/blog/softpos" TargetMode="External"/><Relationship Id="rId1818" Type="http://schemas.openxmlformats.org/officeDocument/2006/relationships/hyperlink" Target="https://techcombank.com/thong-tin/blog/due-diligence" TargetMode="External"/><Relationship Id="rId1819" Type="http://schemas.openxmlformats.org/officeDocument/2006/relationships/hyperlink" Target="https://techcombank.com/thong-tin/blog/cach-quan-ly-tai-san" TargetMode="External"/><Relationship Id="rId1800" Type="http://schemas.openxmlformats.org/officeDocument/2006/relationships/hyperlink" Target="https://techcombank.com/thong-tin/blog/thanh-toan-toi-thieu-the-tin-dung" TargetMode="External"/><Relationship Id="rId1801" Type="http://schemas.openxmlformats.org/officeDocument/2006/relationships/hyperlink" Target="https://techcombank.com/thong-tin/blog/no-nhom-3" TargetMode="External"/><Relationship Id="rId1802" Type="http://schemas.openxmlformats.org/officeDocument/2006/relationships/hyperlink" Target="https://techcombank.com/thong-tin/blog/vay-tin-chap-toi-da-duoc-bao-nhieu" TargetMode="External"/><Relationship Id="rId1803" Type="http://schemas.openxmlformats.org/officeDocument/2006/relationships/hyperlink" Target="https://techcombank.com/thong-tin/blog/vay-200-trieu" TargetMode="External"/><Relationship Id="rId1804" Type="http://schemas.openxmlformats.org/officeDocument/2006/relationships/hyperlink" Target="https://techcombank.com/thong-tin/blog/the-tin-dung-bi-khoa" TargetMode="External"/><Relationship Id="rId1805" Type="http://schemas.openxmlformats.org/officeDocument/2006/relationships/hyperlink" Target="https://techcombank.com/thong-tin/blog/no-xau-mo-the-tin-dung-duoc-khong" TargetMode="External"/><Relationship Id="rId1806" Type="http://schemas.openxmlformats.org/officeDocument/2006/relationships/hyperlink" Target="https://techcombank.com/thong-tin/blog/no-xau-co-vay-the-chap-duoc-khong" TargetMode="External"/><Relationship Id="rId1807" Type="http://schemas.openxmlformats.org/officeDocument/2006/relationships/hyperlink" Target="https://techcombank.com/thong-tin/blog/vay-tin-chap-no-xau" TargetMode="External"/><Relationship Id="rId1808" Type="http://schemas.openxmlformats.org/officeDocument/2006/relationships/hyperlink" Target="https://techcombank.com/thong-tin/blog/cac-hinh-thuc-cho-vay-tieu-dung" TargetMode="External"/><Relationship Id="rId1809" Type="http://schemas.openxmlformats.org/officeDocument/2006/relationships/hyperlink" Target="https://techcombank.com/thong-tin/blog/chung-chi-quy" TargetMode="External"/><Relationship Id="rId1830" Type="http://schemas.openxmlformats.org/officeDocument/2006/relationships/hyperlink" Target="https://techcombank.com/thong-tin/blog/techcom-securities-nhung-buoc-tien-phong-tren-san-thu-cap" TargetMode="External"/><Relationship Id="rId1831" Type="http://schemas.openxmlformats.org/officeDocument/2006/relationships/hyperlink" Target="https://techcombank.com/thong-tin/blog/gia-chung-chi-quy-la-gi" TargetMode="External"/><Relationship Id="rId1832" Type="http://schemas.openxmlformats.org/officeDocument/2006/relationships/hyperlink" Target="https://techcombank.com/thong-tin/blog/lap-ke-hoach-tai-chinh-ca-nhan" TargetMode="External"/><Relationship Id="rId1833" Type="http://schemas.openxmlformats.org/officeDocument/2006/relationships/hyperlink" Target="https://techcombank.com/thong-tin/blog/chung-chi-quy-va-chung-khoan" TargetMode="External"/><Relationship Id="rId1834" Type="http://schemas.openxmlformats.org/officeDocument/2006/relationships/hyperlink" Target="https://techcombank.com/thong-tin/blog/lai-suat-chung-chi-quy" TargetMode="External"/><Relationship Id="rId1835" Type="http://schemas.openxmlformats.org/officeDocument/2006/relationships/hyperlink" Target="https://techcombank.com/thong-tin/blog/gui-tiet-kiem-ngan-hang-van-la-lua-chon-an-toan-trong-thoi-ky-kinh-te-con-nhieu-bien-dong" TargetMode="External"/><Relationship Id="rId1836" Type="http://schemas.openxmlformats.org/officeDocument/2006/relationships/hyperlink" Target="https://techcombank.com/thong-tin/blog/co-nen-gui-chung-chi-tien-gui" TargetMode="External"/><Relationship Id="rId1837" Type="http://schemas.openxmlformats.org/officeDocument/2006/relationships/hyperlink" Target="https://techcombank.com/thong-tin/blog/dau-tu-trai-phieu-doanh-nghiep-dung-ham-lai-suat-cao" TargetMode="External"/><Relationship Id="rId1838" Type="http://schemas.openxmlformats.org/officeDocument/2006/relationships/hyperlink" Target="https://techcombank.com/thong-tin/blog/phan-mem-lap-ke-hoach-tai-chinh-ca-nhan" TargetMode="External"/><Relationship Id="rId1839" Type="http://schemas.openxmlformats.org/officeDocument/2006/relationships/drawing" Target="../drawings/drawing3.xml"/><Relationship Id="rId1820" Type="http://schemas.openxmlformats.org/officeDocument/2006/relationships/hyperlink" Target="https://techcombank.com/thong-tin/blog/5-trieu-mua-duoc-bao-nhieu-vang" TargetMode="External"/><Relationship Id="rId1821" Type="http://schemas.openxmlformats.org/officeDocument/2006/relationships/hyperlink" Target="https://techcombank.com/thong-tin/blog/thi-truong-trai-phieu-am-tro-lai-nha-dau-tu-san-sang-cho-nhung-co-hoi-sinh-loi-moi" TargetMode="External"/><Relationship Id="rId1822" Type="http://schemas.openxmlformats.org/officeDocument/2006/relationships/hyperlink" Target="https://techcombank.com/thong-tin/blog/tinh-thanh-khoan-la-gi" TargetMode="External"/><Relationship Id="rId1823" Type="http://schemas.openxmlformats.org/officeDocument/2006/relationships/hyperlink" Target="https://techcombank.com/thong-tin/blog/kinh-nghiem-mua-vang-tich-tru" TargetMode="External"/><Relationship Id="rId1824" Type="http://schemas.openxmlformats.org/officeDocument/2006/relationships/hyperlink" Target="https://techcombank.com/thong-tin/blog/npv-la-gi" TargetMode="External"/><Relationship Id="rId1825" Type="http://schemas.openxmlformats.org/officeDocument/2006/relationships/hyperlink" Target="https://techcombank.com/thong-tin/blog/vang-24k" TargetMode="External"/><Relationship Id="rId1826" Type="http://schemas.openxmlformats.org/officeDocument/2006/relationships/hyperlink" Target="https://techcombank.com/thong-tin/blog/chien-luoc-dau-tu" TargetMode="External"/><Relationship Id="rId1827" Type="http://schemas.openxmlformats.org/officeDocument/2006/relationships/hyperlink" Target="https://techcombank.com/thong-tin/blog/khau-vi-nha-dau-tu-tpdn-thay-doi-the-nao-sau-nhung-bien-dong-vua-qua" TargetMode="External"/><Relationship Id="rId1828" Type="http://schemas.openxmlformats.org/officeDocument/2006/relationships/hyperlink" Target="https://techcombank.com/thong-tin/blog/thoi-gian-khop-lech-chung-chi-quy" TargetMode="External"/><Relationship Id="rId1829" Type="http://schemas.openxmlformats.org/officeDocument/2006/relationships/hyperlink" Target="https://techcombank.com/thong-tin/blog/nha-dau-tu-giao-dich-trai-phieu-truc-tuyen-tang-manh-tro-lai" TargetMode="External"/><Relationship Id="rId1059" Type="http://schemas.openxmlformats.org/officeDocument/2006/relationships/hyperlink" Target="https://techcombank.com/thong-tin/blog/giam-gia-be" TargetMode="External"/><Relationship Id="rId228" Type="http://schemas.openxmlformats.org/officeDocument/2006/relationships/hyperlink" Target="https://techcombank.com/thong-tin/blog/so-6868" TargetMode="External"/><Relationship Id="rId227" Type="http://schemas.openxmlformats.org/officeDocument/2006/relationships/hyperlink" Target="https://techcombank.com/thong-tin/blog/so-du-tien-gui-la-gi" TargetMode="External"/><Relationship Id="rId226" Type="http://schemas.openxmlformats.org/officeDocument/2006/relationships/hyperlink" Target="https://techcombank.com/thong-tin/blog/so-du-tai-khoan-thanh-toan" TargetMode="External"/><Relationship Id="rId225" Type="http://schemas.openxmlformats.org/officeDocument/2006/relationships/hyperlink" Target="https://techcombank.com/thong-tin/blog/99999-co-y-nghia-gi" TargetMode="External"/><Relationship Id="rId229" Type="http://schemas.openxmlformats.org/officeDocument/2006/relationships/hyperlink" Target="https://techcombank.com/thong-tin/blog/y-nghia-so-68" TargetMode="External"/><Relationship Id="rId1050" Type="http://schemas.openxmlformats.org/officeDocument/2006/relationships/hyperlink" Target="https://techcombank.com/thong-tin/blog/vay-the-chap-qua-luong" TargetMode="External"/><Relationship Id="rId220" Type="http://schemas.openxmlformats.org/officeDocument/2006/relationships/hyperlink" Target="https://techcombank.com/thong-tin/blog/day-so-phat-tai-phat-loc" TargetMode="External"/><Relationship Id="rId1051" Type="http://schemas.openxmlformats.org/officeDocument/2006/relationships/hyperlink" Target="https://techcombank.com/thong-tin/blog/thu-tuc-mua-xe-tra-gop" TargetMode="External"/><Relationship Id="rId1052" Type="http://schemas.openxmlformats.org/officeDocument/2006/relationships/hyperlink" Target="https://techcombank.com/thong-tin/blog/vay-100-trieu" TargetMode="External"/><Relationship Id="rId1053" Type="http://schemas.openxmlformats.org/officeDocument/2006/relationships/hyperlink" Target="https://techcombank.com/thong-tin/blog/tra-gop-shopee" TargetMode="External"/><Relationship Id="rId1054" Type="http://schemas.openxmlformats.org/officeDocument/2006/relationships/hyperlink" Target="https://techcombank.com/thong-tin/blog/dat-ve-may-bay" TargetMode="External"/><Relationship Id="rId224" Type="http://schemas.openxmlformats.org/officeDocument/2006/relationships/hyperlink" Target="https://techcombank.com/thong-tin/blog/so-tai-khoan-dep" TargetMode="External"/><Relationship Id="rId1055" Type="http://schemas.openxmlformats.org/officeDocument/2006/relationships/hyperlink" Target="https://techcombank.com/thong-tin/blog/mua-ve-may-bay-gia-re" TargetMode="External"/><Relationship Id="rId223" Type="http://schemas.openxmlformats.org/officeDocument/2006/relationships/hyperlink" Target="https://techcombank.com/thong-tin/blog/so-the-ngan-hang" TargetMode="External"/><Relationship Id="rId1056" Type="http://schemas.openxmlformats.org/officeDocument/2006/relationships/hyperlink" Target="https://techcombank.com/thong-tin/blog/techcombank-oneu" TargetMode="External"/><Relationship Id="rId222" Type="http://schemas.openxmlformats.org/officeDocument/2006/relationships/hyperlink" Target="https://techcombank.com/thong-tin/blog/so-8386" TargetMode="External"/><Relationship Id="rId1057" Type="http://schemas.openxmlformats.org/officeDocument/2006/relationships/hyperlink" Target="https://techcombank.com/thong-tin/blog/tich-diem-doi-qua" TargetMode="External"/><Relationship Id="rId221" Type="http://schemas.openxmlformats.org/officeDocument/2006/relationships/hyperlink" Target="https://techcombank.com/thong-tin/blog/66666-co-y-nghia-gi" TargetMode="External"/><Relationship Id="rId1058" Type="http://schemas.openxmlformats.org/officeDocument/2006/relationships/hyperlink" Target="https://techcombank.com/thong-tin/blog/tiet-kiem-khi-di-du-lich" TargetMode="External"/><Relationship Id="rId1048" Type="http://schemas.openxmlformats.org/officeDocument/2006/relationships/hyperlink" Target="https://techcombank.com/thong-tin/blog/vay-the-chap-xe-o-to-cu" TargetMode="External"/><Relationship Id="rId1049" Type="http://schemas.openxmlformats.org/officeDocument/2006/relationships/hyperlink" Target="https://techcombank.com/thong-tin/blog/vay-40-trieu" TargetMode="External"/><Relationship Id="rId217" Type="http://schemas.openxmlformats.org/officeDocument/2006/relationships/hyperlink" Target="https://techcombank.com/thong-tin/blog/lo-so-tai-khoan-ngan-hang-co-sao-khong" TargetMode="External"/><Relationship Id="rId216" Type="http://schemas.openxmlformats.org/officeDocument/2006/relationships/hyperlink" Target="https://techcombank.com/thong-tin/blog/cdm" TargetMode="External"/><Relationship Id="rId215" Type="http://schemas.openxmlformats.org/officeDocument/2006/relationships/hyperlink" Target="https://techcombank.com/thong-tin/blog/co-nen-mua-so-tai-khoan-ngan-hang-dep" TargetMode="External"/><Relationship Id="rId214" Type="http://schemas.openxmlformats.org/officeDocument/2006/relationships/hyperlink" Target="https://techcombank.com/thong-tin/blog/cach-kiem-tra-tai-khoan-ngan-hang-cua-cong-ty" TargetMode="External"/><Relationship Id="rId219" Type="http://schemas.openxmlformats.org/officeDocument/2006/relationships/hyperlink" Target="https://techcombank.com/thong-tin/blog/8868" TargetMode="External"/><Relationship Id="rId218" Type="http://schemas.openxmlformats.org/officeDocument/2006/relationships/hyperlink" Target="https://techcombank.com/thong-tin/blog/cach-chon-so-tai-khoan-dep" TargetMode="External"/><Relationship Id="rId1040" Type="http://schemas.openxmlformats.org/officeDocument/2006/relationships/hyperlink" Target="https://techcombank.com/thong-tin/blog/the-visa-de-lam-gi" TargetMode="External"/><Relationship Id="rId1041" Type="http://schemas.openxmlformats.org/officeDocument/2006/relationships/hyperlink" Target="https://techcombank.com/thong-tin/blog/rui-ro-khi-vay-the-chap-ngan-hang" TargetMode="External"/><Relationship Id="rId1042" Type="http://schemas.openxmlformats.org/officeDocument/2006/relationships/hyperlink" Target="https://techcombank.com/thong-tin/blog/vay-tin-chap-va-vay-the-chap" TargetMode="External"/><Relationship Id="rId1043" Type="http://schemas.openxmlformats.org/officeDocument/2006/relationships/hyperlink" Target="https://techcombank.com/thong-tin/blog/kinh-nghiem-vay-the-chap-ngan-hang" TargetMode="External"/><Relationship Id="rId213" Type="http://schemas.openxmlformats.org/officeDocument/2006/relationships/hyperlink" Target="https://techcombank.com/thong-tin/blog/sms-banking" TargetMode="External"/><Relationship Id="rId1044" Type="http://schemas.openxmlformats.org/officeDocument/2006/relationships/hyperlink" Target="https://techcombank.com/thong-tin/blog/vay-mua-xe-tra-gop-ngan-hang-nao-tot-nhat" TargetMode="External"/><Relationship Id="rId212" Type="http://schemas.openxmlformats.org/officeDocument/2006/relationships/hyperlink" Target="https://techcombank.com/thong-tin/blog/ma-giao-dich-la-gi" TargetMode="External"/><Relationship Id="rId1045" Type="http://schemas.openxmlformats.org/officeDocument/2006/relationships/hyperlink" Target="https://techcombank.com/thong-tin/blog/chuyen-gia-du-doan-gia-bat-dong-san-2025-va-cac-no-luc-tu-ngan-hang" TargetMode="External"/><Relationship Id="rId211" Type="http://schemas.openxmlformats.org/officeDocument/2006/relationships/hyperlink" Target="https://techcombank.com/thong-tin/blog/so-du-kha-dung" TargetMode="External"/><Relationship Id="rId1046" Type="http://schemas.openxmlformats.org/officeDocument/2006/relationships/hyperlink" Target="https://techcombank.com/thong-tin/blog/vay-mua-nha-tra-gop" TargetMode="External"/><Relationship Id="rId210" Type="http://schemas.openxmlformats.org/officeDocument/2006/relationships/hyperlink" Target="https://techcombank.com/thong-tin/blog/so-tai-khoan-ngan-hang" TargetMode="External"/><Relationship Id="rId1047" Type="http://schemas.openxmlformats.org/officeDocument/2006/relationships/hyperlink" Target="https://techcombank.com/thong-tin/blog/quy-trinh-tat-toan-khoan-vay-the-chap" TargetMode="External"/><Relationship Id="rId249" Type="http://schemas.openxmlformats.org/officeDocument/2006/relationships/hyperlink" Target="https://techcombank.com/thong-tin/blog/cach-doi-mat-khau-tai-khoan-ngan-hang" TargetMode="External"/><Relationship Id="rId248" Type="http://schemas.openxmlformats.org/officeDocument/2006/relationships/hyperlink" Target="https://techcombank.com/thong-tin/blog/nap-tien-vao-tai-khoan-ngan-hang" TargetMode="External"/><Relationship Id="rId247" Type="http://schemas.openxmlformats.org/officeDocument/2006/relationships/hyperlink" Target="https://techcombank.com/thong-tin/blog/techcombank-sinh-loi-tu-dong" TargetMode="External"/><Relationship Id="rId1070" Type="http://schemas.openxmlformats.org/officeDocument/2006/relationships/hyperlink" Target="https://techcombank.com/thong-tin/blog/voucher-highland" TargetMode="External"/><Relationship Id="rId1071" Type="http://schemas.openxmlformats.org/officeDocument/2006/relationships/hyperlink" Target="https://techcombank.com/thong-tin/blog/ma-giam-xanh-sm" TargetMode="External"/><Relationship Id="rId1072" Type="http://schemas.openxmlformats.org/officeDocument/2006/relationships/hyperlink" Target="https://techcombank.com/thong-tin/blog/voucher-kfc" TargetMode="External"/><Relationship Id="rId242" Type="http://schemas.openxmlformats.org/officeDocument/2006/relationships/hyperlink" Target="https://techcombank.com/thong-tin/blog/cach-lien-ket-epass-voi-tai-khoan-ngan-hang" TargetMode="External"/><Relationship Id="rId1073" Type="http://schemas.openxmlformats.org/officeDocument/2006/relationships/hyperlink" Target="https://techcombank.com/thong-tin/blog/mr-eco" TargetMode="External"/><Relationship Id="rId241" Type="http://schemas.openxmlformats.org/officeDocument/2006/relationships/hyperlink" Target="https://techcombank.com/thong-tin/blog/cach-kiem-tra-tai-khoan-ngan-hang-cua-cong-ty" TargetMode="External"/><Relationship Id="rId1074" Type="http://schemas.openxmlformats.org/officeDocument/2006/relationships/hyperlink" Target="https://techcombank.com/thong-tin/blog/voucher-phuc-long" TargetMode="External"/><Relationship Id="rId240" Type="http://schemas.openxmlformats.org/officeDocument/2006/relationships/hyperlink" Target="https://techcombank.com/thong-tin/blog/lien-ket-tai-khoan-ngan-hang-voi-etax-mobile" TargetMode="External"/><Relationship Id="rId1075" Type="http://schemas.openxmlformats.org/officeDocument/2006/relationships/hyperlink" Target="https://techcombank.com/thong-tin/blog/voucher-grab" TargetMode="External"/><Relationship Id="rId1076" Type="http://schemas.openxmlformats.org/officeDocument/2006/relationships/hyperlink" Target="https://techcombank.com/thong-tin/blog/dat-xe-xanh-sm" TargetMode="External"/><Relationship Id="rId246" Type="http://schemas.openxmlformats.org/officeDocument/2006/relationships/hyperlink" Target="https://techcombank.com/thong-tin/blog/mo-them-tai-khoan-ngan-hang-cho-cong-ty" TargetMode="External"/><Relationship Id="rId1077" Type="http://schemas.openxmlformats.org/officeDocument/2006/relationships/hyperlink" Target="https://techcombank.com/thong-tin/blog/shang-chi" TargetMode="External"/><Relationship Id="rId245" Type="http://schemas.openxmlformats.org/officeDocument/2006/relationships/hyperlink" Target="https://techcombank.com/thong-tin/blog/nen-mo-tai-khoan-ngan-hang-nao-cho-doanh-nghiep" TargetMode="External"/><Relationship Id="rId1078" Type="http://schemas.openxmlformats.org/officeDocument/2006/relationships/hyperlink" Target="https://techcombank.com/thong-tin/blog/tous-les-jours" TargetMode="External"/><Relationship Id="rId244" Type="http://schemas.openxmlformats.org/officeDocument/2006/relationships/hyperlink" Target="https://techcombank.com/thong-tin/blog/khai-bao-tai-khoan-ngan-hang-voi-co-quan-thue" TargetMode="External"/><Relationship Id="rId1079" Type="http://schemas.openxmlformats.org/officeDocument/2006/relationships/hyperlink" Target="https://techcombank.com/thong-tin/blog/woomaster" TargetMode="External"/><Relationship Id="rId243" Type="http://schemas.openxmlformats.org/officeDocument/2006/relationships/hyperlink" Target="https://techcombank.com/thong-tin/blog/co-nen-mua-so-tai-khoan-ngan-hang-dep" TargetMode="External"/><Relationship Id="rId239" Type="http://schemas.openxmlformats.org/officeDocument/2006/relationships/hyperlink" Target="https://techcombank.com/thong-tin/blog/mo-tai-khoan-ho-kinh-doanh" TargetMode="External"/><Relationship Id="rId238" Type="http://schemas.openxmlformats.org/officeDocument/2006/relationships/hyperlink" Target="https://techcombank.com/thong-tin/blog/dong-tai-khoan-ngan-hang-cong-ty" TargetMode="External"/><Relationship Id="rId237" Type="http://schemas.openxmlformats.org/officeDocument/2006/relationships/hyperlink" Target="https://techcombank.com/thong-tin/blog/mo-tai-khoan-doanh-nghiep" TargetMode="External"/><Relationship Id="rId236" Type="http://schemas.openxmlformats.org/officeDocument/2006/relationships/hyperlink" Target="https://techcombank.com/thong-tin/blog/1-cmnd-dang-ky-duoc-may-tai-khoan-ngan-hang" TargetMode="External"/><Relationship Id="rId1060" Type="http://schemas.openxmlformats.org/officeDocument/2006/relationships/hyperlink" Target="https://techcombank.com/thong-tin/blog/4p-pizza" TargetMode="External"/><Relationship Id="rId1061" Type="http://schemas.openxmlformats.org/officeDocument/2006/relationships/hyperlink" Target="https://techcombank.com/thong-tin/blog/doi-dam-bay" TargetMode="External"/><Relationship Id="rId231" Type="http://schemas.openxmlformats.org/officeDocument/2006/relationships/hyperlink" Target="https://techcombank.com/thong-tin/blog/vip-ngan-hang" TargetMode="External"/><Relationship Id="rId1062" Type="http://schemas.openxmlformats.org/officeDocument/2006/relationships/hyperlink" Target="https://techcombank.com/thong-tin/blog/voucher-the-coffee-house" TargetMode="External"/><Relationship Id="rId230" Type="http://schemas.openxmlformats.org/officeDocument/2006/relationships/hyperlink" Target="https://techcombank.com/thong-tin/blog/cach-chuyen-tien" TargetMode="External"/><Relationship Id="rId1063" Type="http://schemas.openxmlformats.org/officeDocument/2006/relationships/hyperlink" Target="https://techcombank.com/thong-tin/blog/yakimono" TargetMode="External"/><Relationship Id="rId1064" Type="http://schemas.openxmlformats.org/officeDocument/2006/relationships/hyperlink" Target="https://techcombank.com/thong-tin/blog/chixmax" TargetMode="External"/><Relationship Id="rId1065" Type="http://schemas.openxmlformats.org/officeDocument/2006/relationships/hyperlink" Target="https://techcombank.com/thong-tin/blog/kichi-kichi" TargetMode="External"/><Relationship Id="rId235" Type="http://schemas.openxmlformats.org/officeDocument/2006/relationships/hyperlink" Target="https://techcombank.com/thong-tin/blog/mo-tai-khoan-ngan-hang-co-mat-phi-khong" TargetMode="External"/><Relationship Id="rId1066" Type="http://schemas.openxmlformats.org/officeDocument/2006/relationships/hyperlink" Target="https://techcombank.com/thong-tin/blog/ma-giam-gia-shopee" TargetMode="External"/><Relationship Id="rId234" Type="http://schemas.openxmlformats.org/officeDocument/2006/relationships/hyperlink" Target="https://techcombank.com/thong-tin/blog/mo-tai-khoan-ngan-hang-online-co-an-toan-khong" TargetMode="External"/><Relationship Id="rId1067" Type="http://schemas.openxmlformats.org/officeDocument/2006/relationships/hyperlink" Target="https://techcombank.com/thong-tin/blog/voucher-starbucks" TargetMode="External"/><Relationship Id="rId233" Type="http://schemas.openxmlformats.org/officeDocument/2006/relationships/hyperlink" Target="https://techcombank.com/thong-tin/blog/tai-khoan-thanh-toan-la-gi" TargetMode="External"/><Relationship Id="rId1068" Type="http://schemas.openxmlformats.org/officeDocument/2006/relationships/hyperlink" Target="https://techcombank.com/thong-tin/blog/voucher-cgv" TargetMode="External"/><Relationship Id="rId232" Type="http://schemas.openxmlformats.org/officeDocument/2006/relationships/hyperlink" Target="https://techcombank.com/thong-tin/blog/tai-khoan-ngan-hang-la-gi" TargetMode="External"/><Relationship Id="rId1069" Type="http://schemas.openxmlformats.org/officeDocument/2006/relationships/hyperlink" Target="https://techcombank.com/thong-tin/blog/cua-hang-tien-loi" TargetMode="External"/><Relationship Id="rId1015" Type="http://schemas.openxmlformats.org/officeDocument/2006/relationships/hyperlink" Target="https://techcombank.com/thong-tin/blog/tien-singapore" TargetMode="External"/><Relationship Id="rId1016" Type="http://schemas.openxmlformats.org/officeDocument/2006/relationships/hyperlink" Target="https://techcombank.com/thong-tin/blog/tien-thai-lan" TargetMode="External"/><Relationship Id="rId1017" Type="http://schemas.openxmlformats.org/officeDocument/2006/relationships/hyperlink" Target="https://techcombank.com/thong-tin/blog/tien-nhat" TargetMode="External"/><Relationship Id="rId1018" Type="http://schemas.openxmlformats.org/officeDocument/2006/relationships/hyperlink" Target="https://techcombank.com/thong-tin/blog/1-man-bang-bao-nhieu-tien-viet" TargetMode="External"/><Relationship Id="rId1019" Type="http://schemas.openxmlformats.org/officeDocument/2006/relationships/hyperlink" Target="https://techcombank.com/thong-tin/blog/chuyen-tien-di-uc" TargetMode="External"/><Relationship Id="rId1010" Type="http://schemas.openxmlformats.org/officeDocument/2006/relationships/hyperlink" Target="https://techcombank.com/thong-tin/blog/ngoai-hoi-la-gi" TargetMode="External"/><Relationship Id="rId1011" Type="http://schemas.openxmlformats.org/officeDocument/2006/relationships/hyperlink" Target="https://techcombank.com/thong-tin/blog/dinar-kuwait" TargetMode="External"/><Relationship Id="rId1012" Type="http://schemas.openxmlformats.org/officeDocument/2006/relationships/hyperlink" Target="https://techcombank.com/thong-tin/blog/phi-chuyen-doi-ngoai-te" TargetMode="External"/><Relationship Id="rId1013" Type="http://schemas.openxmlformats.org/officeDocument/2006/relationships/hyperlink" Target="https://techcombank.com/thong-tin/blog/chuyen-tien-tu-han-sang-viet-nam" TargetMode="External"/><Relationship Id="rId1014" Type="http://schemas.openxmlformats.org/officeDocument/2006/relationships/hyperlink" Target="https://techcombank.com/thong-tin/blog/chuyen-tien-tu-nhat-ve-viet-nam" TargetMode="External"/><Relationship Id="rId1004" Type="http://schemas.openxmlformats.org/officeDocument/2006/relationships/hyperlink" Target="https://techcombank.com/thong-tin/blog/gui-tiet-kiem-usd" TargetMode="External"/><Relationship Id="rId1005" Type="http://schemas.openxmlformats.org/officeDocument/2006/relationships/hyperlink" Target="https://techcombank.com/thong-tin/blog/gui-tien-sang-nuoc-ngoai" TargetMode="External"/><Relationship Id="rId1006" Type="http://schemas.openxmlformats.org/officeDocument/2006/relationships/hyperlink" Target="https://techcombank.com/thong-tin/blog/quy-dinh-ve-mua-ban-ngoai-te-cua-doanh-nghiep" TargetMode="External"/><Relationship Id="rId1007" Type="http://schemas.openxmlformats.org/officeDocument/2006/relationships/hyperlink" Target="https://techcombank.com/thong-tin/blog/gia-ca-phe-hom-nay" TargetMode="External"/><Relationship Id="rId1008" Type="http://schemas.openxmlformats.org/officeDocument/2006/relationships/hyperlink" Target="https://techcombank.com/thong-tin/blog/chuyen-tien-tu-duc-ve-viet-nam" TargetMode="External"/><Relationship Id="rId1009" Type="http://schemas.openxmlformats.org/officeDocument/2006/relationships/hyperlink" Target="https://techcombank.com/thong-tin/blog/gui-tien-du-hoc" TargetMode="External"/><Relationship Id="rId1000" Type="http://schemas.openxmlformats.org/officeDocument/2006/relationships/hyperlink" Target="https://techcombank.com/thong-tin/blog/chuyen-tien-dinh-cu" TargetMode="External"/><Relationship Id="rId1001" Type="http://schemas.openxmlformats.org/officeDocument/2006/relationships/hyperlink" Target="https://techcombank.com/thong-tin/blog/ngoai-te-la-gi" TargetMode="External"/><Relationship Id="rId1002" Type="http://schemas.openxmlformats.org/officeDocument/2006/relationships/hyperlink" Target="https://techcombank.com/thong-tin/blog/tai-khoan-ngan-hang-la-gi" TargetMode="External"/><Relationship Id="rId1003" Type="http://schemas.openxmlformats.org/officeDocument/2006/relationships/hyperlink" Target="https://techcombank.com/thong-tin/blog/lai-suat-gui-tiet-kiem-usd" TargetMode="External"/><Relationship Id="rId1037" Type="http://schemas.openxmlformats.org/officeDocument/2006/relationships/hyperlink" Target="https://techcombank.com/thong-tin/blog/nen-vay-the-chap-ngan-hang-nao" TargetMode="External"/><Relationship Id="rId1038" Type="http://schemas.openxmlformats.org/officeDocument/2006/relationships/hyperlink" Target="https://techcombank.com/thong-tin/blog/mua-truoc-tra-sau" TargetMode="External"/><Relationship Id="rId1039" Type="http://schemas.openxmlformats.org/officeDocument/2006/relationships/hyperlink" Target="https://techcombank.com/thong-tin/blog/vay-the-chap-la-gi" TargetMode="External"/><Relationship Id="rId206" Type="http://schemas.openxmlformats.org/officeDocument/2006/relationships/hyperlink" Target="https://techcombank.com/thong-tin/blog/vay-the-chap-qua-luong" TargetMode="External"/><Relationship Id="rId205" Type="http://schemas.openxmlformats.org/officeDocument/2006/relationships/hyperlink" Target="https://techcombank.com/thong-tin/blog/chinh-sach-tang-luong-huu" TargetMode="External"/><Relationship Id="rId204" Type="http://schemas.openxmlformats.org/officeDocument/2006/relationships/hyperlink" Target="https://techcombank.com/thong-tin/blog/ho-kinh-doanh-dong-thue-nhu-nao" TargetMode="External"/><Relationship Id="rId203" Type="http://schemas.openxmlformats.org/officeDocument/2006/relationships/hyperlink" Target="https://techcombank.com/thong-tin/blog/app-tra-luong" TargetMode="External"/><Relationship Id="rId209" Type="http://schemas.openxmlformats.org/officeDocument/2006/relationships/hyperlink" Target="https://techcombank.com/thong-tin/blog/hoc-cach-tiet-kiem-tien-luong" TargetMode="External"/><Relationship Id="rId208" Type="http://schemas.openxmlformats.org/officeDocument/2006/relationships/hyperlink" Target="https://techcombank.com/thong-tin/blog/chi-tra-luong-huu" TargetMode="External"/><Relationship Id="rId207" Type="http://schemas.openxmlformats.org/officeDocument/2006/relationships/hyperlink" Target="https://techcombank.com/thong-tin/blog/kiem-tra-thue-thu-nhap-ca-nhan" TargetMode="External"/><Relationship Id="rId1030" Type="http://schemas.openxmlformats.org/officeDocument/2006/relationships/hyperlink" Target="https://techcombank.com/thong-tin/blog/cac-hinh-thuc-vay-von-ngan-hang" TargetMode="External"/><Relationship Id="rId1031" Type="http://schemas.openxmlformats.org/officeDocument/2006/relationships/hyperlink" Target="https://techcombank.com/thong-tin/blog/vay-the-chap-kinh-doanh" TargetMode="External"/><Relationship Id="rId1032" Type="http://schemas.openxmlformats.org/officeDocument/2006/relationships/hyperlink" Target="https://techcombank.com/thong-tin/blog/co-nen-mua-o-to-tra-gop" TargetMode="External"/><Relationship Id="rId202" Type="http://schemas.openxmlformats.org/officeDocument/2006/relationships/hyperlink" Target="https://techcombank.com/thong-tin/blog/nhung-ho-kinh-doanh-duoc-mien-thue" TargetMode="External"/><Relationship Id="rId1033" Type="http://schemas.openxmlformats.org/officeDocument/2006/relationships/hyperlink" Target="https://techcombank.com/thong-tin/blog/vay-the-chap-khong-tra-duoc" TargetMode="External"/><Relationship Id="rId201" Type="http://schemas.openxmlformats.org/officeDocument/2006/relationships/hyperlink" Target="https://techcombank.com/thong-tin/blog/tra-cuu-no-thue-ca-nhan" TargetMode="External"/><Relationship Id="rId1034" Type="http://schemas.openxmlformats.org/officeDocument/2006/relationships/hyperlink" Target="https://techcombank.com/thong-tin/blog/vay-the-chap-so-bao-hiem-xa-hoi" TargetMode="External"/><Relationship Id="rId200" Type="http://schemas.openxmlformats.org/officeDocument/2006/relationships/hyperlink" Target="https://techcombank.com/thong-tin/blog/tra-luong-tien-mat" TargetMode="External"/><Relationship Id="rId1035" Type="http://schemas.openxmlformats.org/officeDocument/2006/relationships/hyperlink" Target="https://techcombank.com/thong-tin/blog/vay-300-trieu" TargetMode="External"/><Relationship Id="rId1036" Type="http://schemas.openxmlformats.org/officeDocument/2006/relationships/hyperlink" Target="https://techcombank.com/thong-tin/blog/thanh-toan-phi-quan-ly-chung-cu" TargetMode="External"/><Relationship Id="rId1026" Type="http://schemas.openxmlformats.org/officeDocument/2006/relationships/hyperlink" Target="https://techcombank.com/thong-tin/blog/kinh-nghiem-vay-tien-mua-nha" TargetMode="External"/><Relationship Id="rId1027" Type="http://schemas.openxmlformats.org/officeDocument/2006/relationships/hyperlink" Target="https://techcombank.com/thong-tin/blog/vay-mua-chung-cu" TargetMode="External"/><Relationship Id="rId1028" Type="http://schemas.openxmlformats.org/officeDocument/2006/relationships/hyperlink" Target="https://techcombank.com/thong-tin/blog/lai-suat-vay-the-chap" TargetMode="External"/><Relationship Id="rId1029" Type="http://schemas.openxmlformats.org/officeDocument/2006/relationships/hyperlink" Target="https://techcombank.com/thong-tin/blog/thu-tuc-vay-von-kinh-doanh-nho" TargetMode="External"/><Relationship Id="rId1020" Type="http://schemas.openxmlformats.org/officeDocument/2006/relationships/hyperlink" Target="https://techcombank.com/thong-tin/blog/tien-lao" TargetMode="External"/><Relationship Id="rId1021" Type="http://schemas.openxmlformats.org/officeDocument/2006/relationships/hyperlink" Target="https://techcombank.com/thong-tin/blog/chuyen-tien-tu-my-ve-viet-nam" TargetMode="External"/><Relationship Id="rId1022" Type="http://schemas.openxmlformats.org/officeDocument/2006/relationships/hyperlink" Target="https://techcombank.com/thong-tin/blog/1000-won-bang-bao-nhieu-tien-viet" TargetMode="External"/><Relationship Id="rId1023" Type="http://schemas.openxmlformats.org/officeDocument/2006/relationships/hyperlink" Target="https://techcombank.com/thong-tin/blog/tien-dai-loan" TargetMode="External"/><Relationship Id="rId1024" Type="http://schemas.openxmlformats.org/officeDocument/2006/relationships/hyperlink" Target="https://techcombank.com/thong-tin/blog/co-nen-vay-ngan-hang-mua-nha" TargetMode="External"/><Relationship Id="rId1025" Type="http://schemas.openxmlformats.org/officeDocument/2006/relationships/hyperlink" Target="https://techcombank.com/thong-tin/blog/thu-tuc-vay-ngan-hang-mua-nha" TargetMode="External"/><Relationship Id="rId1090" Type="http://schemas.openxmlformats.org/officeDocument/2006/relationships/hyperlink" Target="https://techcombank.com/thong-tin/blog/thanh-lap-ho-kinh-doanh-ca-the" TargetMode="External"/><Relationship Id="rId1091" Type="http://schemas.openxmlformats.org/officeDocument/2006/relationships/hyperlink" Target="https://techcombank.com/thong-tin/blog/thue-doanh-nghiep-2025" TargetMode="External"/><Relationship Id="rId1092" Type="http://schemas.openxmlformats.org/officeDocument/2006/relationships/hyperlink" Target="https://techcombank.com/thong-tin/blog/cach-tao-ma-qr" TargetMode="External"/><Relationship Id="rId1093" Type="http://schemas.openxmlformats.org/officeDocument/2006/relationships/hyperlink" Target="https://techcombank.com/thong-tin/blog/cach-tinh-thue-ho-kinh-doanh-nho-le" TargetMode="External"/><Relationship Id="rId1094" Type="http://schemas.openxmlformats.org/officeDocument/2006/relationships/hyperlink" Target="https://techcombank.com/thong-tin/blog/loi-ich-khi-ho-kinh-doanh-chuyen-len-doanh-nghiep" TargetMode="External"/><Relationship Id="rId1095" Type="http://schemas.openxmlformats.org/officeDocument/2006/relationships/hyperlink" Target="https://techcombank.com/thong-tin/blog/tiem-nang-chuyen-doi-tu-ho-kinh-doanh-len-doanh-nghiep-sme" TargetMode="External"/><Relationship Id="rId1096" Type="http://schemas.openxmlformats.org/officeDocument/2006/relationships/hyperlink" Target="https://techcombank.com/thong-tin/blog/quyet-toan-thue-thu-nhap-ca-nhan" TargetMode="External"/><Relationship Id="rId1097" Type="http://schemas.openxmlformats.org/officeDocument/2006/relationships/hyperlink" Target="https://techcombank.com/thong-tin/blog/cach-tinh-thue-thu-nhap-doanh-nghiep" TargetMode="External"/><Relationship Id="rId1098" Type="http://schemas.openxmlformats.org/officeDocument/2006/relationships/hyperlink" Target="https://techcombank.com/thong-tin/blog/lai-suat-vay-kinh-doanh" TargetMode="External"/><Relationship Id="rId1099" Type="http://schemas.openxmlformats.org/officeDocument/2006/relationships/hyperlink" Target="https://techcombank.com/thong-tin/blog/khoi-nghiep-truoc-chinh-sach-thue-moi" TargetMode="External"/><Relationship Id="rId1080" Type="http://schemas.openxmlformats.org/officeDocument/2006/relationships/hyperlink" Target="https://techcombank.com/thong-tin/blog/voucher-xanh-sm" TargetMode="External"/><Relationship Id="rId1081" Type="http://schemas.openxmlformats.org/officeDocument/2006/relationships/hyperlink" Target="https://techcombank.com/thong-tin/blog/diem-loyalty-la-gi" TargetMode="External"/><Relationship Id="rId1082" Type="http://schemas.openxmlformats.org/officeDocument/2006/relationships/hyperlink" Target="https://techcombank.com/thong-tin/blog/thanh-toan-ve-may-bay-online" TargetMode="External"/><Relationship Id="rId1083" Type="http://schemas.openxmlformats.org/officeDocument/2006/relationships/hyperlink" Target="https://techcombank.com/thong-tin/blog/uu-dai-mua-ve-may-bay-bang-the-tin-dung" TargetMode="External"/><Relationship Id="rId1084" Type="http://schemas.openxmlformats.org/officeDocument/2006/relationships/hyperlink" Target="https://techcombank.com/thong-tin/blog/ho-kinh-doanh-la-gi" TargetMode="External"/><Relationship Id="rId1085" Type="http://schemas.openxmlformats.org/officeDocument/2006/relationships/hyperlink" Target="https://techcombank.com/thong-tin/blog/thue-khoan-ho-kinh-doanh-la-gi" TargetMode="External"/><Relationship Id="rId1086" Type="http://schemas.openxmlformats.org/officeDocument/2006/relationships/hyperlink" Target="https://techcombank.com/thong-tin/blog/nhung-ho-kinh-doanh-duoc-mien-thue" TargetMode="External"/><Relationship Id="rId1087" Type="http://schemas.openxmlformats.org/officeDocument/2006/relationships/hyperlink" Target="https://techcombank.com/thong-tin/blog/truy-thu-thue-ho-kinh-doanh" TargetMode="External"/><Relationship Id="rId1088" Type="http://schemas.openxmlformats.org/officeDocument/2006/relationships/hyperlink" Target="https://techcombank.com/thong-tin/blog/thue-ho-kinh-doanh-2025" TargetMode="External"/><Relationship Id="rId1089" Type="http://schemas.openxmlformats.org/officeDocument/2006/relationships/hyperlink" Target="https://techcombank.com/thong-tin/blog/hoan-thue-doanh-nghiep" TargetMode="External"/><Relationship Id="rId509" Type="http://schemas.openxmlformats.org/officeDocument/2006/relationships/hyperlink" Target="https://techcombank.com/thong-tin/blog/cach-tao-ma-qr" TargetMode="External"/><Relationship Id="rId508" Type="http://schemas.openxmlformats.org/officeDocument/2006/relationships/hyperlink" Target="https://techcombank.com/thong-tin/blog/gui-ma-qr-ngan-hang" TargetMode="External"/><Relationship Id="rId503" Type="http://schemas.openxmlformats.org/officeDocument/2006/relationships/hyperlink" Target="https://techcombank.com/thong-tin/blog/cach-rut-tien-atm" TargetMode="External"/><Relationship Id="rId502" Type="http://schemas.openxmlformats.org/officeDocument/2006/relationships/hyperlink" Target="https://techcombank.com/thong-tin/blog/rut-tien-bang-ma-qr-khac-ngan-hang-duoc-khong" TargetMode="External"/><Relationship Id="rId501" Type="http://schemas.openxmlformats.org/officeDocument/2006/relationships/hyperlink" Target="https://techcombank.com/thong-tin/blog/hoc-cach-tiet-kiem-tien-luong" TargetMode="External"/><Relationship Id="rId500" Type="http://schemas.openxmlformats.org/officeDocument/2006/relationships/hyperlink" Target="https://techcombank.com/thong-tin/blog/chi-tra-luong-huu" TargetMode="External"/><Relationship Id="rId507" Type="http://schemas.openxmlformats.org/officeDocument/2006/relationships/hyperlink" Target="https://techcombank.com/thong-tin/blog/quet-ma-qr-techcombank" TargetMode="External"/><Relationship Id="rId506" Type="http://schemas.openxmlformats.org/officeDocument/2006/relationships/hyperlink" Target="https://techcombank.com/thong-tin/blog/cay-atm-gan-day" TargetMode="External"/><Relationship Id="rId505" Type="http://schemas.openxmlformats.org/officeDocument/2006/relationships/hyperlink" Target="https://techcombank.com/thong-tin/blog/bi-nuot-the-atm-phai-lam-sao" TargetMode="External"/><Relationship Id="rId504" Type="http://schemas.openxmlformats.org/officeDocument/2006/relationships/hyperlink" Target="https://techcombank.com/thong-tin/blog/the-atm-khong-rut-duoc-tien" TargetMode="External"/><Relationship Id="rId1114" Type="http://schemas.openxmlformats.org/officeDocument/2006/relationships/hyperlink" Target="https://techcombank.com/thong-tin/blog/cac-sai-lam-pho-bien-khi-chuyen-doi-ho-kinh-doanh-len-sme" TargetMode="External"/><Relationship Id="rId1115" Type="http://schemas.openxmlformats.org/officeDocument/2006/relationships/hyperlink" Target="https://techcombank.com/thong-tin/blog/giay-phep-kinh-doanh" TargetMode="External"/><Relationship Id="rId1116" Type="http://schemas.openxmlformats.org/officeDocument/2006/relationships/hyperlink" Target="https://techcombank.com/thong-tin/blog/tra-cuu-no-thue-ca-nhan" TargetMode="External"/><Relationship Id="rId1117" Type="http://schemas.openxmlformats.org/officeDocument/2006/relationships/hyperlink" Target="https://techcombank.com/thong-tin/blog/chuyen-doi-hoa-don-dien-tu" TargetMode="External"/><Relationship Id="rId1118" Type="http://schemas.openxmlformats.org/officeDocument/2006/relationships/hyperlink" Target="https://techcombank.com/thong-tin/blog/hoan-thue-thu-nhap-ca-nhan" TargetMode="External"/><Relationship Id="rId1119" Type="http://schemas.openxmlformats.org/officeDocument/2006/relationships/hyperlink" Target="https://techcombank.com/thong-tin/blog/dang-ky-kinh-doanh-la-gi" TargetMode="External"/><Relationship Id="rId525" Type="http://schemas.openxmlformats.org/officeDocument/2006/relationships/hyperlink" Target="https://techcombank.com/thong-tin/blog/cach-tao-ma-qr-code-mien-phi" TargetMode="External"/><Relationship Id="rId524" Type="http://schemas.openxmlformats.org/officeDocument/2006/relationships/hyperlink" Target="https://techcombank.com/thong-tin/blog/lam-ma-qr-ngan-hang-co-mat-phi-khong" TargetMode="External"/><Relationship Id="rId523" Type="http://schemas.openxmlformats.org/officeDocument/2006/relationships/hyperlink" Target="https://techcombank.com/thong-tin/blog/thanh-toan-bang-ma-qr" TargetMode="External"/><Relationship Id="rId522" Type="http://schemas.openxmlformats.org/officeDocument/2006/relationships/hyperlink" Target="https://techcombank.com/thong-tin/blog/qr-code-doanh-nghiep" TargetMode="External"/><Relationship Id="rId529" Type="http://schemas.openxmlformats.org/officeDocument/2006/relationships/hyperlink" Target="https://techcombank.com/thong-tin/blog/thanh-toan-ma-qr-tro-thanh-phuong-thuc-duoc-ua-chuong-va-trien-khai-manh-me" TargetMode="External"/><Relationship Id="rId528" Type="http://schemas.openxmlformats.org/officeDocument/2006/relationships/hyperlink" Target="https://techcombank.com/thong-tin/blog/nap-tien-vao-tai-khoan-ngan-hang" TargetMode="External"/><Relationship Id="rId527" Type="http://schemas.openxmlformats.org/officeDocument/2006/relationships/hyperlink" Target="https://techcombank.com/thong-tin/blog/lam-the-atm-co-mat-phi-khong" TargetMode="External"/><Relationship Id="rId526" Type="http://schemas.openxmlformats.org/officeDocument/2006/relationships/hyperlink" Target="https://techcombank.com/thong-tin/blog/qr-dong" TargetMode="External"/><Relationship Id="rId521" Type="http://schemas.openxmlformats.org/officeDocument/2006/relationships/hyperlink" Target="https://techcombank.com/thong-tin/blog/cach-su-dung-tai-khoan-cong-ty" TargetMode="External"/><Relationship Id="rId1110" Type="http://schemas.openxmlformats.org/officeDocument/2006/relationships/hyperlink" Target="https://techcombank.com/thong-tin/blog/tra-cuu-no-thue-ho-kinh-doanh" TargetMode="External"/><Relationship Id="rId520" Type="http://schemas.openxmlformats.org/officeDocument/2006/relationships/hyperlink" Target="https://techcombank.com/thong-tin/blog/so-sanh-ma-qr-va-ma-vach" TargetMode="External"/><Relationship Id="rId1111" Type="http://schemas.openxmlformats.org/officeDocument/2006/relationships/hyperlink" Target="https://techcombank.com/thong-tin/blog/lien-ket-tai-khoan-ngan-hang-voi-etax-mobile" TargetMode="External"/><Relationship Id="rId1112" Type="http://schemas.openxmlformats.org/officeDocument/2006/relationships/hyperlink" Target="https://techcombank.com/thong-tin/blog/thu-tuc-vay-von-kinh-doanh-nho" TargetMode="External"/><Relationship Id="rId1113" Type="http://schemas.openxmlformats.org/officeDocument/2006/relationships/hyperlink" Target="https://techcombank.com/thong-tin/blog/kiem-tra-thue-ho-kinh-doanh" TargetMode="External"/><Relationship Id="rId1103" Type="http://schemas.openxmlformats.org/officeDocument/2006/relationships/hyperlink" Target="https://techcombank.com/thong-tin/blog/thanh-toan-khong-dung-tien-mat" TargetMode="External"/><Relationship Id="rId1104" Type="http://schemas.openxmlformats.org/officeDocument/2006/relationships/hyperlink" Target="https://techcombank.com/thong-tin/blog/mo-tai-khoan-ho-kinh-doanh" TargetMode="External"/><Relationship Id="rId1105" Type="http://schemas.openxmlformats.org/officeDocument/2006/relationships/hyperlink" Target="https://techcombank.com/thong-tin/blog/nhung-chi-phi-khong-duoc-tru-khi-tinh-thue-tndn" TargetMode="External"/><Relationship Id="rId1106" Type="http://schemas.openxmlformats.org/officeDocument/2006/relationships/hyperlink" Target="https://techcombank.com/thong-tin/blog/giai-dap-ve-thue-doanh-nghiep" TargetMode="External"/><Relationship Id="rId1107" Type="http://schemas.openxmlformats.org/officeDocument/2006/relationships/hyperlink" Target="https://techcombank.com/thong-tin/blog/nen-thanh-lap-ho-kinh-doanh-ke-khai-hay-doanh-nghiep" TargetMode="External"/><Relationship Id="rId1108" Type="http://schemas.openxmlformats.org/officeDocument/2006/relationships/hyperlink" Target="https://techcombank.com/thong-tin/blog/due-diligence" TargetMode="External"/><Relationship Id="rId1109" Type="http://schemas.openxmlformats.org/officeDocument/2006/relationships/hyperlink" Target="https://techcombank.com/thong-tin/blog/vay-tin-chap-ho-kinh-doanh" TargetMode="External"/><Relationship Id="rId519" Type="http://schemas.openxmlformats.org/officeDocument/2006/relationships/hyperlink" Target="https://techcombank.com/thong-tin/blog/ma-qr-techcombank" TargetMode="External"/><Relationship Id="rId514" Type="http://schemas.openxmlformats.org/officeDocument/2006/relationships/hyperlink" Target="https://techcombank.com/thong-tin/blog/rut-tien-mat-tu-tai-khoan-doanh-nghiep" TargetMode="External"/><Relationship Id="rId513" Type="http://schemas.openxmlformats.org/officeDocument/2006/relationships/hyperlink" Target="https://techcombank.com/thong-tin/blog/ma-qr-ngan-hang-khong-hop-le" TargetMode="External"/><Relationship Id="rId512" Type="http://schemas.openxmlformats.org/officeDocument/2006/relationships/hyperlink" Target="https://techcombank.com/thong-tin/blog/softpos" TargetMode="External"/><Relationship Id="rId511" Type="http://schemas.openxmlformats.org/officeDocument/2006/relationships/hyperlink" Target="https://techcombank.com/thong-tin/blog/pos" TargetMode="External"/><Relationship Id="rId518" Type="http://schemas.openxmlformats.org/officeDocument/2006/relationships/hyperlink" Target="https://techcombank.com/thong-tin/blog/ma-qr-lam-gia-duoc-khong" TargetMode="External"/><Relationship Id="rId517" Type="http://schemas.openxmlformats.org/officeDocument/2006/relationships/hyperlink" Target="https://techcombank.com/thong-tin/blog/cdm" TargetMode="External"/><Relationship Id="rId516" Type="http://schemas.openxmlformats.org/officeDocument/2006/relationships/hyperlink" Target="https://techcombank.com/thong-tin/blog/mm-yy-la-gi" TargetMode="External"/><Relationship Id="rId515" Type="http://schemas.openxmlformats.org/officeDocument/2006/relationships/hyperlink" Target="https://techcombank.com/thong-tin/blog/in-ma-qr-ngan-hang" TargetMode="External"/><Relationship Id="rId510" Type="http://schemas.openxmlformats.org/officeDocument/2006/relationships/hyperlink" Target="https://techcombank.com/thong-tin/blog/tao-ma-qr-thanh-toan-cho-cua-hang" TargetMode="External"/><Relationship Id="rId1100" Type="http://schemas.openxmlformats.org/officeDocument/2006/relationships/hyperlink" Target="https://techcombank.com/thong-tin/blog/cach-tra-cuu-hoa-don-dien-tu" TargetMode="External"/><Relationship Id="rId1101" Type="http://schemas.openxmlformats.org/officeDocument/2006/relationships/hyperlink" Target="https://techcombank.com/thong-tin/blog/tra-cuu-no-thue-hai-quan" TargetMode="External"/><Relationship Id="rId1102" Type="http://schemas.openxmlformats.org/officeDocument/2006/relationships/hyperlink" Target="https://techcombank.com/thong-tin/blog/chuyen-doi-ho-kinh-doanh-len-doanh-nghiep" TargetMode="External"/><Relationship Id="rId590" Type="http://schemas.openxmlformats.org/officeDocument/2006/relationships/hyperlink" Target="https://techcombank.com/thong-tin/blog/the-tin-dung-bi-khoa" TargetMode="External"/><Relationship Id="rId589" Type="http://schemas.openxmlformats.org/officeDocument/2006/relationships/hyperlink" Target="https://techcombank.com/thong-tin/blog/spaylater" TargetMode="External"/><Relationship Id="rId588" Type="http://schemas.openxmlformats.org/officeDocument/2006/relationships/hyperlink" Target="https://techcombank.com/thong-tin/blog/thanh-toan-toi-thieu-the-tin-dung" TargetMode="External"/><Relationship Id="rId1170" Type="http://schemas.openxmlformats.org/officeDocument/2006/relationships/hyperlink" Target="https://techcombank.com/thong-tin/blog/rut-tien-bang-ma-qr-khac-ngan-hang-duoc-khong" TargetMode="External"/><Relationship Id="rId1171" Type="http://schemas.openxmlformats.org/officeDocument/2006/relationships/hyperlink" Target="https://techcombank.com/thong-tin/blog/thanh-toan-ma-qr-tro-thanh-phuong-thuc-duoc-ua-chuong-va-trien-khai-manh-me" TargetMode="External"/><Relationship Id="rId583" Type="http://schemas.openxmlformats.org/officeDocument/2006/relationships/hyperlink" Target="https://techcombank.com/thong-tin/blog/no-xau" TargetMode="External"/><Relationship Id="rId1172" Type="http://schemas.openxmlformats.org/officeDocument/2006/relationships/hyperlink" Target="https://techcombank.com/thong-tin/blog/qr-code-phuong-thuc-thanh-toan-toi-uu-trong-ky-nguyen-so" TargetMode="External"/><Relationship Id="rId582" Type="http://schemas.openxmlformats.org/officeDocument/2006/relationships/hyperlink" Target="https://techcombank.com/thong-tin/blog/kiem-tra-no-xau" TargetMode="External"/><Relationship Id="rId1173" Type="http://schemas.openxmlformats.org/officeDocument/2006/relationships/hyperlink" Target="https://techcombank.com/thong-tin/blog/rut-tien-bang-ma-qr-la-gi-cach-thuc-hien-nhu-the-nao" TargetMode="External"/><Relationship Id="rId581" Type="http://schemas.openxmlformats.org/officeDocument/2006/relationships/hyperlink" Target="https://techcombank.com/thong-tin/blog/vay-the-chap-khong-tra-duoc" TargetMode="External"/><Relationship Id="rId1174" Type="http://schemas.openxmlformats.org/officeDocument/2006/relationships/hyperlink" Target="https://techcombank.com/thong-tin/blog/cach-chuyen-khoan-bang-dien-thoai" TargetMode="External"/><Relationship Id="rId580" Type="http://schemas.openxmlformats.org/officeDocument/2006/relationships/hyperlink" Target="https://techcombank.com/thong-tin/blog/no-xau-nhom-2" TargetMode="External"/><Relationship Id="rId1175" Type="http://schemas.openxmlformats.org/officeDocument/2006/relationships/hyperlink" Target="https://techcombank.com/thong-tin/blog/cach-rut-tien-atm" TargetMode="External"/><Relationship Id="rId587" Type="http://schemas.openxmlformats.org/officeDocument/2006/relationships/hyperlink" Target="https://techcombank.com/thong-tin/blog/no-xau-co-lam-the-visa-duoc-khong" TargetMode="External"/><Relationship Id="rId1176" Type="http://schemas.openxmlformats.org/officeDocument/2006/relationships/hyperlink" Target="https://techcombank.com/thong-tin/blog/cach-chuyen-tien" TargetMode="External"/><Relationship Id="rId586" Type="http://schemas.openxmlformats.org/officeDocument/2006/relationships/hyperlink" Target="https://techcombank.com/thong-tin/blog/qua-han-thanh-toan-the-tin-dung-1-ngay" TargetMode="External"/><Relationship Id="rId1177" Type="http://schemas.openxmlformats.org/officeDocument/2006/relationships/hyperlink" Target="https://techcombank.com/thong-tin/blog/cach-chuyen-tien-qua-ma-qr-techcombank" TargetMode="External"/><Relationship Id="rId585" Type="http://schemas.openxmlformats.org/officeDocument/2006/relationships/hyperlink" Target="https://techcombank.com/thong-tin/blog/han-muc-thau-chi-la-gi" TargetMode="External"/><Relationship Id="rId1178" Type="http://schemas.openxmlformats.org/officeDocument/2006/relationships/hyperlink" Target="https://techcombank.com/thong-tin/blog/thanh-toan-qr-thai-lan" TargetMode="External"/><Relationship Id="rId584" Type="http://schemas.openxmlformats.org/officeDocument/2006/relationships/hyperlink" Target="https://techcombank.com/thong-tin/blog/no-xau-la-gi" TargetMode="External"/><Relationship Id="rId1179" Type="http://schemas.openxmlformats.org/officeDocument/2006/relationships/hyperlink" Target="https://techcombank.com/thong-tin/blog/ho-kinh-doanh-can-gi-o-tai-khoan-ngan-hang" TargetMode="External"/><Relationship Id="rId1169" Type="http://schemas.openxmlformats.org/officeDocument/2006/relationships/hyperlink" Target="https://techcombank.com/thong-tin/blog/qr-dong" TargetMode="External"/><Relationship Id="rId579" Type="http://schemas.openxmlformats.org/officeDocument/2006/relationships/hyperlink" Target="https://techcombank.com/thong-tin/blog/no-chu-y-la-gi" TargetMode="External"/><Relationship Id="rId578" Type="http://schemas.openxmlformats.org/officeDocument/2006/relationships/hyperlink" Target="https://techcombank.com/thong-tin/blog/no-nhom-3" TargetMode="External"/><Relationship Id="rId577" Type="http://schemas.openxmlformats.org/officeDocument/2006/relationships/hyperlink" Target="https://techcombank.com/thong-tin/blog/lich-su-tin-dung" TargetMode="External"/><Relationship Id="rId1160" Type="http://schemas.openxmlformats.org/officeDocument/2006/relationships/hyperlink" Target="https://techcombank.com/thong-tin/blog/pos" TargetMode="External"/><Relationship Id="rId572" Type="http://schemas.openxmlformats.org/officeDocument/2006/relationships/hyperlink" Target="https://techcombank.com/thong-tin/blog/the-tin-dung-techcombank-visa-eco" TargetMode="External"/><Relationship Id="rId1161" Type="http://schemas.openxmlformats.org/officeDocument/2006/relationships/hyperlink" Target="https://techcombank.com/thong-tin/blog/softpos" TargetMode="External"/><Relationship Id="rId571" Type="http://schemas.openxmlformats.org/officeDocument/2006/relationships/hyperlink" Target="https://techcombank.com/thong-tin/blog/mo-the-ghi-no" TargetMode="External"/><Relationship Id="rId1162" Type="http://schemas.openxmlformats.org/officeDocument/2006/relationships/hyperlink" Target="https://techcombank.com/thong-tin/blog/merchant-la-gi" TargetMode="External"/><Relationship Id="rId570" Type="http://schemas.openxmlformats.org/officeDocument/2006/relationships/hyperlink" Target="https://techcombank.com/thong-tin/blog/the-ghi-no-la-gi" TargetMode="External"/><Relationship Id="rId1163" Type="http://schemas.openxmlformats.org/officeDocument/2006/relationships/hyperlink" Target="https://techcombank.com/thong-tin/blog/ma-qr-lam-gia-duoc-khong" TargetMode="External"/><Relationship Id="rId1164" Type="http://schemas.openxmlformats.org/officeDocument/2006/relationships/hyperlink" Target="https://techcombank.com/thong-tin/blog/ma-qr-techcombank" TargetMode="External"/><Relationship Id="rId576" Type="http://schemas.openxmlformats.org/officeDocument/2006/relationships/hyperlink" Target="https://techcombank.com/thong-tin/blog/diem-tin-dung" TargetMode="External"/><Relationship Id="rId1165" Type="http://schemas.openxmlformats.org/officeDocument/2006/relationships/hyperlink" Target="https://techcombank.com/thong-tin/blog/so-sanh-ma-qr-va-ma-vach" TargetMode="External"/><Relationship Id="rId575" Type="http://schemas.openxmlformats.org/officeDocument/2006/relationships/hyperlink" Target="https://techcombank.com/thong-tin/blog/giao-thong-xanh" TargetMode="External"/><Relationship Id="rId1166" Type="http://schemas.openxmlformats.org/officeDocument/2006/relationships/hyperlink" Target="https://techcombank.com/thong-tin/blog/qr-code-doanh-nghiep" TargetMode="External"/><Relationship Id="rId574" Type="http://schemas.openxmlformats.org/officeDocument/2006/relationships/hyperlink" Target="https://techcombank.com/thong-tin/blog/cach-nap-tien-vao-the-ghi-no" TargetMode="External"/><Relationship Id="rId1167" Type="http://schemas.openxmlformats.org/officeDocument/2006/relationships/hyperlink" Target="https://techcombank.com/thong-tin/blog/thanh-toan-bang-ma-qr" TargetMode="External"/><Relationship Id="rId573" Type="http://schemas.openxmlformats.org/officeDocument/2006/relationships/hyperlink" Target="https://techcombank.com/thong-tin/blog/the-ghi-no-noi-dia" TargetMode="External"/><Relationship Id="rId1168" Type="http://schemas.openxmlformats.org/officeDocument/2006/relationships/hyperlink" Target="https://techcombank.com/thong-tin/blog/cach-tao-ma-qr-code-mien-phi" TargetMode="External"/><Relationship Id="rId1190" Type="http://schemas.openxmlformats.org/officeDocument/2006/relationships/hyperlink" Target="https://techcombank.com/thong-tin/blog/lai-suat-vay-kinh-doanh" TargetMode="External"/><Relationship Id="rId1191" Type="http://schemas.openxmlformats.org/officeDocument/2006/relationships/hyperlink" Target="https://techcombank.com/thong-tin/blog/chuyen-doi-ho-kinh-doanh-len-doanh-nghiep" TargetMode="External"/><Relationship Id="rId1192" Type="http://schemas.openxmlformats.org/officeDocument/2006/relationships/hyperlink" Target="https://techcombank.com/thong-tin/blog/thanh-toan-khong-dung-tien-mat" TargetMode="External"/><Relationship Id="rId1193" Type="http://schemas.openxmlformats.org/officeDocument/2006/relationships/hyperlink" Target="https://techcombank.com/thong-tin/blog/nen-thanh-lap-ho-kinh-doanh-ke-khai-hay-doanh-nghiep" TargetMode="External"/><Relationship Id="rId1194" Type="http://schemas.openxmlformats.org/officeDocument/2006/relationships/hyperlink" Target="https://techcombank.com/thong-tin/blog/vay-tin-chap-ho-kinh-doanh" TargetMode="External"/><Relationship Id="rId1195" Type="http://schemas.openxmlformats.org/officeDocument/2006/relationships/hyperlink" Target="https://techcombank.com/thong-tin/blog/tra-cuu-no-thue-ho-kinh-doanh" TargetMode="External"/><Relationship Id="rId1196" Type="http://schemas.openxmlformats.org/officeDocument/2006/relationships/hyperlink" Target="https://techcombank.com/thong-tin/blog/lien-ket-tai-khoan-ngan-hang-voi-etax-mobile" TargetMode="External"/><Relationship Id="rId1197" Type="http://schemas.openxmlformats.org/officeDocument/2006/relationships/hyperlink" Target="https://techcombank.com/thong-tin/blog/thu-tuc-vay-von-kinh-doanh-nho" TargetMode="External"/><Relationship Id="rId1198" Type="http://schemas.openxmlformats.org/officeDocument/2006/relationships/hyperlink" Target="https://techcombank.com/thong-tin/blog/truy-thu-thue-ho-kinh-doanh" TargetMode="External"/><Relationship Id="rId1199" Type="http://schemas.openxmlformats.org/officeDocument/2006/relationships/hyperlink" Target="https://techcombank.com/thong-tin/blog/kiem-tra-thue-ho-kinh-doanh" TargetMode="External"/><Relationship Id="rId599" Type="http://schemas.openxmlformats.org/officeDocument/2006/relationships/hyperlink" Target="https://techcombank.com/thong-tin/blog/the-visa-co-rut-tien-duoc-khong" TargetMode="External"/><Relationship Id="rId1180" Type="http://schemas.openxmlformats.org/officeDocument/2006/relationships/hyperlink" Target="https://techcombank.com/thong-tin/blog/thanh-lap-ho-kinh-doanh-ca-the" TargetMode="External"/><Relationship Id="rId1181" Type="http://schemas.openxmlformats.org/officeDocument/2006/relationships/hyperlink" Target="https://techcombank.com/thong-tin/blog/khai-bao-tai-khoan-ngan-hang-voi-co-quan-thue" TargetMode="External"/><Relationship Id="rId1182" Type="http://schemas.openxmlformats.org/officeDocument/2006/relationships/hyperlink" Target="https://techcombank.com/thong-tin/blog/ho-kinh-doanh-ca-the" TargetMode="External"/><Relationship Id="rId594" Type="http://schemas.openxmlformats.org/officeDocument/2006/relationships/hyperlink" Target="https://techcombank.com/thong-tin/blog/no-xau-co-vay-the-chap-duoc-khong" TargetMode="External"/><Relationship Id="rId1183" Type="http://schemas.openxmlformats.org/officeDocument/2006/relationships/hyperlink" Target="https://techcombank.com/thong-tin/blog/cach-dang-ky-ma-so-thue-ho-kinh-doanh-online" TargetMode="External"/><Relationship Id="rId593" Type="http://schemas.openxmlformats.org/officeDocument/2006/relationships/hyperlink" Target="https://techcombank.com/thong-tin/blog/luu-y-khi-su-dung-the-tin-dung" TargetMode="External"/><Relationship Id="rId1184" Type="http://schemas.openxmlformats.org/officeDocument/2006/relationships/hyperlink" Target="https://techcombank.com/thong-tin/blog/ho-kinh-doanh-la-gi" TargetMode="External"/><Relationship Id="rId592" Type="http://schemas.openxmlformats.org/officeDocument/2006/relationships/hyperlink" Target="https://techcombank.com/thong-tin/blog/no-the-tin-dung-qua-han" TargetMode="External"/><Relationship Id="rId1185" Type="http://schemas.openxmlformats.org/officeDocument/2006/relationships/hyperlink" Target="https://techcombank.com/thong-tin/blog/thue-ho-kinh-doanh-2025" TargetMode="External"/><Relationship Id="rId591" Type="http://schemas.openxmlformats.org/officeDocument/2006/relationships/hyperlink" Target="https://techcombank.com/thong-tin/blog/no-xau-mo-the-tin-dung-duoc-khong" TargetMode="External"/><Relationship Id="rId1186" Type="http://schemas.openxmlformats.org/officeDocument/2006/relationships/hyperlink" Target="https://techcombank.com/thong-tin/blog/cach-tao-ma-qr" TargetMode="External"/><Relationship Id="rId598" Type="http://schemas.openxmlformats.org/officeDocument/2006/relationships/hyperlink" Target="https://techcombank.com/thong-tin/blog/phi-rut-tien-mat-the-tin-dung" TargetMode="External"/><Relationship Id="rId1187" Type="http://schemas.openxmlformats.org/officeDocument/2006/relationships/hyperlink" Target="https://techcombank.com/thong-tin/blog/cach-tinh-thue-ho-kinh-doanh-nho-le" TargetMode="External"/><Relationship Id="rId597" Type="http://schemas.openxmlformats.org/officeDocument/2006/relationships/hyperlink" Target="https://techcombank.com/thong-tin/blog/dieu-kien-vay-the-chap" TargetMode="External"/><Relationship Id="rId1188" Type="http://schemas.openxmlformats.org/officeDocument/2006/relationships/hyperlink" Target="https://techcombank.com/thong-tin/blog/loi-ich-khi-ho-kinh-doanh-chuyen-len-doanh-nghiep" TargetMode="External"/><Relationship Id="rId596" Type="http://schemas.openxmlformats.org/officeDocument/2006/relationships/hyperlink" Target="https://techcombank.com/thong-tin/blog/vay-tin-chap-no-xau" TargetMode="External"/><Relationship Id="rId1189" Type="http://schemas.openxmlformats.org/officeDocument/2006/relationships/hyperlink" Target="https://techcombank.com/thong-tin/blog/tiem-nang-chuyen-doi-tu-ho-kinh-doanh-len-doanh-nghiep-sme" TargetMode="External"/><Relationship Id="rId595" Type="http://schemas.openxmlformats.org/officeDocument/2006/relationships/hyperlink" Target="https://techcombank.com/thong-tin/blog/han-muc-vay-the-chap-so-do" TargetMode="External"/><Relationship Id="rId1136" Type="http://schemas.openxmlformats.org/officeDocument/2006/relationships/hyperlink" Target="https://techcombank.com/thong-tin/blog/one-stop-shop" TargetMode="External"/><Relationship Id="rId1137" Type="http://schemas.openxmlformats.org/officeDocument/2006/relationships/hyperlink" Target="https://techcombank.com/thong-tin/blog/cac-loai-hinh-doanh-nghiep" TargetMode="External"/><Relationship Id="rId1138" Type="http://schemas.openxmlformats.org/officeDocument/2006/relationships/hyperlink" Target="https://techcombank.com/thong-tin/blog/merchant-la-gi" TargetMode="External"/><Relationship Id="rId1139" Type="http://schemas.openxmlformats.org/officeDocument/2006/relationships/hyperlink" Target="https://techcombank.com/thong-tin/blog/huong-dan-dang-ky-thanh-lap-doanh-nghiep" TargetMode="External"/><Relationship Id="rId547" Type="http://schemas.openxmlformats.org/officeDocument/2006/relationships/hyperlink" Target="https://techcombank.com/thong-tin/blog/san-pham-xanh" TargetMode="External"/><Relationship Id="rId546" Type="http://schemas.openxmlformats.org/officeDocument/2006/relationships/hyperlink" Target="https://techcombank.com/thong-tin/blog/dau-chan-carbon" TargetMode="External"/><Relationship Id="rId545" Type="http://schemas.openxmlformats.org/officeDocument/2006/relationships/hyperlink" Target="https://techcombank.com/thong-tin/blog/app-vay-tien-nhanh" TargetMode="External"/><Relationship Id="rId544" Type="http://schemas.openxmlformats.org/officeDocument/2006/relationships/hyperlink" Target="https://techcombank.com/thong-tin/blog/1-cmnd-dang-ky-duoc-may-tai-khoan-ngan-hang" TargetMode="External"/><Relationship Id="rId549" Type="http://schemas.openxmlformats.org/officeDocument/2006/relationships/hyperlink" Target="https://techcombank.com/thong-tin/blog/the-ghi-no-visa-la-gi" TargetMode="External"/><Relationship Id="rId548" Type="http://schemas.openxmlformats.org/officeDocument/2006/relationships/hyperlink" Target="https://techcombank.com/thong-tin/blog/xu-huong-song-xanh" TargetMode="External"/><Relationship Id="rId1130" Type="http://schemas.openxmlformats.org/officeDocument/2006/relationships/hyperlink" Target="https://techcombank.com/thong-tin/blog/hoa-don-dien-tu" TargetMode="External"/><Relationship Id="rId1131" Type="http://schemas.openxmlformats.org/officeDocument/2006/relationships/hyperlink" Target="https://techcombank.com/thong-tin/blog/luat-thuong-mai-dien-tu" TargetMode="External"/><Relationship Id="rId543" Type="http://schemas.openxmlformats.org/officeDocument/2006/relationships/hyperlink" Target="https://techcombank.com/thong-tin/blog/vay-50-trieu" TargetMode="External"/><Relationship Id="rId1132" Type="http://schemas.openxmlformats.org/officeDocument/2006/relationships/hyperlink" Target="https://techcombank.com/thong-tin/blog/ke-khai-thue-ho-kinh-doanh-ca-the-online" TargetMode="External"/><Relationship Id="rId542" Type="http://schemas.openxmlformats.org/officeDocument/2006/relationships/hyperlink" Target="https://techcombank.com/thong-tin/blog/mo-the-tin-dung-chi-can-cccd" TargetMode="External"/><Relationship Id="rId1133" Type="http://schemas.openxmlformats.org/officeDocument/2006/relationships/hyperlink" Target="https://techcombank.com/thong-tin/blog/vay-the-chap-kinh-doanh" TargetMode="External"/><Relationship Id="rId541" Type="http://schemas.openxmlformats.org/officeDocument/2006/relationships/hyperlink" Target="https://techcombank.com/thong-tin/blog/vay-ngan-hang-chi-can-cccd" TargetMode="External"/><Relationship Id="rId1134" Type="http://schemas.openxmlformats.org/officeDocument/2006/relationships/hyperlink" Target="https://techcombank.com/thong-tin/blog/nhuong-quyen-la-gi" TargetMode="External"/><Relationship Id="rId540" Type="http://schemas.openxmlformats.org/officeDocument/2006/relationships/hyperlink" Target="https://techcombank.com/thong-tin/blog/no-xau-la-gi" TargetMode="External"/><Relationship Id="rId1135" Type="http://schemas.openxmlformats.org/officeDocument/2006/relationships/hyperlink" Target="https://techcombank.com/thong-tin/blog/kinh-doanh-online" TargetMode="External"/><Relationship Id="rId1125" Type="http://schemas.openxmlformats.org/officeDocument/2006/relationships/hyperlink" Target="https://techcombank.com/thong-tin/blog/barcode-la-gi" TargetMode="External"/><Relationship Id="rId1126" Type="http://schemas.openxmlformats.org/officeDocument/2006/relationships/hyperlink" Target="https://techcombank.com/thong-tin/blog/tra-cuu-ma-so-thue-ho-kinh-doanh" TargetMode="External"/><Relationship Id="rId1127" Type="http://schemas.openxmlformats.org/officeDocument/2006/relationships/hyperlink" Target="https://techcombank.com/thong-tin/blog/dang-ky-thue-ho-kinh-doanh-ca-the-online" TargetMode="External"/><Relationship Id="rId1128" Type="http://schemas.openxmlformats.org/officeDocument/2006/relationships/hyperlink" Target="https://techcombank.com/thong-tin/blog/chuyen-doi-so-ho-kinh-doanh" TargetMode="External"/><Relationship Id="rId1129" Type="http://schemas.openxmlformats.org/officeDocument/2006/relationships/hyperlink" Target="https://techcombank.com/thong-tin/blog/chinh-sach-thue-moi" TargetMode="External"/><Relationship Id="rId536" Type="http://schemas.openxmlformats.org/officeDocument/2006/relationships/hyperlink" Target="https://techcombank.com/thong-tin/blog/mo-tai-khoan-ngan-hang-bang-so-dien-thoai" TargetMode="External"/><Relationship Id="rId535" Type="http://schemas.openxmlformats.org/officeDocument/2006/relationships/hyperlink" Target="https://techcombank.com/thong-tin/blog/cach-dang-ky-dinh-danh-muc-2" TargetMode="External"/><Relationship Id="rId534" Type="http://schemas.openxmlformats.org/officeDocument/2006/relationships/hyperlink" Target="https://techcombank.com/thong-tin/blog/ekyc-la-gi" TargetMode="External"/><Relationship Id="rId533" Type="http://schemas.openxmlformats.org/officeDocument/2006/relationships/hyperlink" Target="https://techcombank.com/thong-tin/blog/cach-lien-ket-tai-khoan-ngan-hang-voi-vneid" TargetMode="External"/><Relationship Id="rId539" Type="http://schemas.openxmlformats.org/officeDocument/2006/relationships/hyperlink" Target="https://techcombank.com/thong-tin/blog/kiem-tra-no-xau" TargetMode="External"/><Relationship Id="rId538" Type="http://schemas.openxmlformats.org/officeDocument/2006/relationships/hyperlink" Target="https://techcombank.com/thong-tin/blog/dang-ky-ma-so-thue-ca-nhan" TargetMode="External"/><Relationship Id="rId537" Type="http://schemas.openxmlformats.org/officeDocument/2006/relationships/hyperlink" Target="https://techcombank.com/thong-tin/blog/tra-cuu-ma-so-thue-ho-kinh-doanh" TargetMode="External"/><Relationship Id="rId1120" Type="http://schemas.openxmlformats.org/officeDocument/2006/relationships/hyperlink" Target="https://techcombank.com/thong-tin/blog/thay-doi-dia-chi-ho-kinh-doanh" TargetMode="External"/><Relationship Id="rId532" Type="http://schemas.openxmlformats.org/officeDocument/2006/relationships/hyperlink" Target="https://techcombank.com/thong-tin/blog/xac-thuc-sinh-trac-hoc-khi-chuyen-tien" TargetMode="External"/><Relationship Id="rId1121" Type="http://schemas.openxmlformats.org/officeDocument/2006/relationships/hyperlink" Target="https://techcombank.com/thong-tin/blog/cach-dang-ky-ma-so-thue-ho-kinh-doanh-online" TargetMode="External"/><Relationship Id="rId531" Type="http://schemas.openxmlformats.org/officeDocument/2006/relationships/hyperlink" Target="https://techcombank.com/thong-tin/blog/tra-cuu-han-muc-the-tin-dung" TargetMode="External"/><Relationship Id="rId1122" Type="http://schemas.openxmlformats.org/officeDocument/2006/relationships/hyperlink" Target="https://techcombank.com/thong-tin/blog/luu-y-khi-chuyen-doi-tu-ho-kinh-doanh-len-doanh-nghiep" TargetMode="External"/><Relationship Id="rId530" Type="http://schemas.openxmlformats.org/officeDocument/2006/relationships/hyperlink" Target="https://techcombank.com/thong-tin/blog/cach-lam-the-atm" TargetMode="External"/><Relationship Id="rId1123" Type="http://schemas.openxmlformats.org/officeDocument/2006/relationships/hyperlink" Target="https://techcombank.com/thong-tin/blog/cach-kiem-tra-tai-khoan-ngan-hang-cua-cong-ty" TargetMode="External"/><Relationship Id="rId1124" Type="http://schemas.openxmlformats.org/officeDocument/2006/relationships/hyperlink" Target="https://techcombank.com/thong-tin/blog/kiem-tra-ma-so-thue-doanh-nghiep" TargetMode="External"/><Relationship Id="rId1158" Type="http://schemas.openxmlformats.org/officeDocument/2006/relationships/hyperlink" Target="https://techcombank.com/thong-tin/blog/quet-ma-qr-techcombank" TargetMode="External"/><Relationship Id="rId1159" Type="http://schemas.openxmlformats.org/officeDocument/2006/relationships/hyperlink" Target="https://techcombank.com/thong-tin/blog/tao-ma-qr-thanh-toan-cho-cua-hang" TargetMode="External"/><Relationship Id="rId569" Type="http://schemas.openxmlformats.org/officeDocument/2006/relationships/hyperlink" Target="https://techcombank.com/thong-tin/blog/gia-tri-tai-san-rong" TargetMode="External"/><Relationship Id="rId568" Type="http://schemas.openxmlformats.org/officeDocument/2006/relationships/hyperlink" Target="https://techcombank.com/thong-tin/blog/khau-vi-nha-dau-tu-tpdn-thay-doi-the-nao-sau-nhung-bien-dong-vua-qua" TargetMode="External"/><Relationship Id="rId567" Type="http://schemas.openxmlformats.org/officeDocument/2006/relationships/hyperlink" Target="https://techcombank.com/thong-tin/blog/the-ghi-no-va-the-tin-dung" TargetMode="External"/><Relationship Id="rId566" Type="http://schemas.openxmlformats.org/officeDocument/2006/relationships/hyperlink" Target="https://techcombank.com/thong-tin/blog/cach-tiet-kiem-tien-hieu-qua-cho-gia-dinh" TargetMode="External"/><Relationship Id="rId561" Type="http://schemas.openxmlformats.org/officeDocument/2006/relationships/hyperlink" Target="https://techcombank.com/thong-tin/blog/voucher-xanh-sm" TargetMode="External"/><Relationship Id="rId1150" Type="http://schemas.openxmlformats.org/officeDocument/2006/relationships/hyperlink" Target="https://techcombank.com/thong-tin/blog/chuan-bi-cho-doanh-nghiep-khoi-nghiep-truoc-nhung-thay-doi-ve-thue" TargetMode="External"/><Relationship Id="rId560" Type="http://schemas.openxmlformats.org/officeDocument/2006/relationships/hyperlink" Target="https://techcombank.com/thong-tin/blog/ngan-hang-so-cho-doanh-nghiep" TargetMode="External"/><Relationship Id="rId1151" Type="http://schemas.openxmlformats.org/officeDocument/2006/relationships/hyperlink" Target="https://techcombank.com/thong-tin/blog/quan-ly-chi-phi-doanh-nghiep" TargetMode="External"/><Relationship Id="rId1152" Type="http://schemas.openxmlformats.org/officeDocument/2006/relationships/hyperlink" Target="https://techcombank.com/thong-tin/blog/tieu-dung-ben-vung" TargetMode="External"/><Relationship Id="rId1153" Type="http://schemas.openxmlformats.org/officeDocument/2006/relationships/hyperlink" Target="https://techcombank.com/thong-tin/blog/cach-tao-ma-qr" TargetMode="External"/><Relationship Id="rId565" Type="http://schemas.openxmlformats.org/officeDocument/2006/relationships/hyperlink" Target="https://techcombank.com/thong-tin/blog/cach-lam-the-ngan-hang-chay-quang-cao-facebook" TargetMode="External"/><Relationship Id="rId1154" Type="http://schemas.openxmlformats.org/officeDocument/2006/relationships/hyperlink" Target="https://techcombank.com/thong-tin/blog/in-ma-qr-ngan-hang" TargetMode="External"/><Relationship Id="rId564" Type="http://schemas.openxmlformats.org/officeDocument/2006/relationships/hyperlink" Target="https://techcombank.com/thong-tin/blog/xu-huong-tieu-dung" TargetMode="External"/><Relationship Id="rId1155" Type="http://schemas.openxmlformats.org/officeDocument/2006/relationships/hyperlink" Target="https://techcombank.com/thong-tin/blog/lo-ma-qr-ngan-hang-co-sao-khong" TargetMode="External"/><Relationship Id="rId563" Type="http://schemas.openxmlformats.org/officeDocument/2006/relationships/hyperlink" Target="https://techcombank.com/thong-tin/blog/phan-bo-tai-san" TargetMode="External"/><Relationship Id="rId1156" Type="http://schemas.openxmlformats.org/officeDocument/2006/relationships/hyperlink" Target="https://techcombank.com/thong-tin/blog/lam-ma-qr-ngan-hang-co-mat-phi-khong" TargetMode="External"/><Relationship Id="rId562" Type="http://schemas.openxmlformats.org/officeDocument/2006/relationships/hyperlink" Target="https://techcombank.com/thong-tin/blog/bao-hiem-pin-xe-dien" TargetMode="External"/><Relationship Id="rId1157" Type="http://schemas.openxmlformats.org/officeDocument/2006/relationships/hyperlink" Target="https://techcombank.com/thong-tin/blog/ma-qr-ngan-hang-khong-hop-le" TargetMode="External"/><Relationship Id="rId1147" Type="http://schemas.openxmlformats.org/officeDocument/2006/relationships/hyperlink" Target="https://techcombank.com/thong-tin/blog/cua-hang-tien-loi" TargetMode="External"/><Relationship Id="rId1148" Type="http://schemas.openxmlformats.org/officeDocument/2006/relationships/hyperlink" Target="https://techcombank.com/thong-tin/blog/hieu-hiet-ve-tuan-thu-thue-cho-cac-doanh-nghiep-khoi-nghiep" TargetMode="External"/><Relationship Id="rId1149" Type="http://schemas.openxmlformats.org/officeDocument/2006/relationships/hyperlink" Target="https://techcombank.com/thong-tin/blog/vay-kinh-doanh-online" TargetMode="External"/><Relationship Id="rId558" Type="http://schemas.openxmlformats.org/officeDocument/2006/relationships/hyperlink" Target="https://techcombank.com/thong-tin/blog/dat-xe-xanh-sm" TargetMode="External"/><Relationship Id="rId557" Type="http://schemas.openxmlformats.org/officeDocument/2006/relationships/hyperlink" Target="https://techcombank.com/thong-tin/blog/mr-eco" TargetMode="External"/><Relationship Id="rId556" Type="http://schemas.openxmlformats.org/officeDocument/2006/relationships/hyperlink" Target="https://techcombank.com/thong-tin/blog/chinh-sach-thue-moi" TargetMode="External"/><Relationship Id="rId555" Type="http://schemas.openxmlformats.org/officeDocument/2006/relationships/hyperlink" Target="https://techcombank.com/thong-tin/blog/cach-quan-ly-tai-san" TargetMode="External"/><Relationship Id="rId559" Type="http://schemas.openxmlformats.org/officeDocument/2006/relationships/hyperlink" Target="https://techcombank.com/thong-tin/blog/thuc-day-thi-truong-the-noi-dia-va-xu-huong-thanh-toan-tuong-lai" TargetMode="External"/><Relationship Id="rId550" Type="http://schemas.openxmlformats.org/officeDocument/2006/relationships/hyperlink" Target="https://techcombank.com/thong-tin/blog/tieu-dung-xanh" TargetMode="External"/><Relationship Id="rId1140" Type="http://schemas.openxmlformats.org/officeDocument/2006/relationships/hyperlink" Target="https://techcombank.com/thong-tin/blog/khoi-nghiep-truoc-chinh-sach-thue-moi" TargetMode="External"/><Relationship Id="rId1141" Type="http://schemas.openxmlformats.org/officeDocument/2006/relationships/hyperlink" Target="https://techcombank.com/thong-tin/blog/mo-tai-khoan-ho-kinh-doanh" TargetMode="External"/><Relationship Id="rId1142" Type="http://schemas.openxmlformats.org/officeDocument/2006/relationships/hyperlink" Target="https://techcombank.com/thong-tin/blog/quan-ly-chuoi-cua-hang" TargetMode="External"/><Relationship Id="rId554" Type="http://schemas.openxmlformats.org/officeDocument/2006/relationships/hyperlink" Target="https://techcombank.com/thong-tin/blog/luu-y-khi-chuyen-doi-tu-ho-kinh-doanh-len-doanh-nghiep" TargetMode="External"/><Relationship Id="rId1143" Type="http://schemas.openxmlformats.org/officeDocument/2006/relationships/hyperlink" Target="https://techcombank.com/thong-tin/blog/kiem-tra-thue-ho-kinh-doanh" TargetMode="External"/><Relationship Id="rId553" Type="http://schemas.openxmlformats.org/officeDocument/2006/relationships/hyperlink" Target="https://techcombank.com/thong-tin/blog/loi-nhuan-rong" TargetMode="External"/><Relationship Id="rId1144" Type="http://schemas.openxmlformats.org/officeDocument/2006/relationships/hyperlink" Target="https://techcombank.com/thong-tin/blog/giai-phap-quan-ly-chuoi-cua-hang" TargetMode="External"/><Relationship Id="rId552" Type="http://schemas.openxmlformats.org/officeDocument/2006/relationships/hyperlink" Target="https://techcombank.com/thong-tin/blog/tai-khoan-doanh-nghiep-co-the-khong" TargetMode="External"/><Relationship Id="rId1145" Type="http://schemas.openxmlformats.org/officeDocument/2006/relationships/hyperlink" Target="https://techcombank.com/thong-tin/blog/cach-dang-ky-ma-so-thue-ho-kinh-doanh-online" TargetMode="External"/><Relationship Id="rId551" Type="http://schemas.openxmlformats.org/officeDocument/2006/relationships/hyperlink" Target="https://techcombank.com/thong-tin/blog/tap-doan-thanh-quang-khoi-sac-kinh-doanh-nho-nguon-von-vay-tin-dung-techcombank-tren-nen-tang-misa-lending" TargetMode="External"/><Relationship Id="rId1146" Type="http://schemas.openxmlformats.org/officeDocument/2006/relationships/hyperlink" Target="https://techcombank.com/thong-tin/blog/tra-cuu-ma-so-thue-ho-kinh-doanh" TargetMode="External"/><Relationship Id="rId495" Type="http://schemas.openxmlformats.org/officeDocument/2006/relationships/hyperlink" Target="https://techcombank.com/thong-tin/blog/chinh-sach-tang-luong-huu" TargetMode="External"/><Relationship Id="rId494" Type="http://schemas.openxmlformats.org/officeDocument/2006/relationships/hyperlink" Target="https://techcombank.com/thong-tin/blog/ho-kinh-doanh-dong-thue-nhu-nao" TargetMode="External"/><Relationship Id="rId493" Type="http://schemas.openxmlformats.org/officeDocument/2006/relationships/hyperlink" Target="https://techcombank.com/thong-tin/blog/app-tra-luong" TargetMode="External"/><Relationship Id="rId492" Type="http://schemas.openxmlformats.org/officeDocument/2006/relationships/hyperlink" Target="https://techcombank.com/thong-tin/blog/nhung-ho-kinh-doanh-duoc-mien-thue" TargetMode="External"/><Relationship Id="rId499" Type="http://schemas.openxmlformats.org/officeDocument/2006/relationships/hyperlink" Target="https://techcombank.com/thong-tin/blog/kiem-tra-thue-thu-nhap-ca-nhan" TargetMode="External"/><Relationship Id="rId498" Type="http://schemas.openxmlformats.org/officeDocument/2006/relationships/hyperlink" Target="https://techcombank.com/thong-tin/blog/vay-the-chap-qua-luong" TargetMode="External"/><Relationship Id="rId497" Type="http://schemas.openxmlformats.org/officeDocument/2006/relationships/hyperlink" Target="https://techcombank.com/thong-tin/blog/cach-tinh-thue-thu-nhap-ca-nhan-2025" TargetMode="External"/><Relationship Id="rId496" Type="http://schemas.openxmlformats.org/officeDocument/2006/relationships/hyperlink" Target="https://techcombank.com/thong-tin/blog/dang-ky-ma-so-thue-ca-nhan" TargetMode="External"/><Relationship Id="rId1213" Type="http://schemas.openxmlformats.org/officeDocument/2006/relationships/hyperlink" Target="https://techcombank.com/thong-tin/blog/ho-kinh-doanh-ca-the" TargetMode="External"/><Relationship Id="rId1214" Type="http://schemas.openxmlformats.org/officeDocument/2006/relationships/hyperlink" Target="https://techcombank.com/thong-tin/blog/ho-kinh-doanh-la-gi" TargetMode="External"/><Relationship Id="rId1215" Type="http://schemas.openxmlformats.org/officeDocument/2006/relationships/hyperlink" Target="https://techcombank.com/thong-tin/blog/thanh-lap-ho-kinh-doanh-ca-the" TargetMode="External"/><Relationship Id="rId1216" Type="http://schemas.openxmlformats.org/officeDocument/2006/relationships/hyperlink" Target="https://techcombank.com/thong-tin/blog/thue-ho-kinh-doanh-2025" TargetMode="External"/><Relationship Id="rId1217" Type="http://schemas.openxmlformats.org/officeDocument/2006/relationships/hyperlink" Target="https://techcombank.com/thong-tin/blog/cach-tao-ma-qr" TargetMode="External"/><Relationship Id="rId1218" Type="http://schemas.openxmlformats.org/officeDocument/2006/relationships/hyperlink" Target="https://techcombank.com/thong-tin/blog/loi-ich-khi-ho-kinh-doanh-chuyen-len-doanh-nghiep" TargetMode="External"/><Relationship Id="rId1219" Type="http://schemas.openxmlformats.org/officeDocument/2006/relationships/hyperlink" Target="https://techcombank.com/thong-tin/blog/tiem-nang-chuyen-doi-tu-ho-kinh-doanh-len-doanh-nghiep-sme" TargetMode="External"/><Relationship Id="rId1210" Type="http://schemas.openxmlformats.org/officeDocument/2006/relationships/hyperlink" Target="https://techcombank.com/thong-tin/blog/kiem-tra-thue-ho-kinh-doanh" TargetMode="External"/><Relationship Id="rId1211" Type="http://schemas.openxmlformats.org/officeDocument/2006/relationships/hyperlink" Target="https://techcombank.com/thong-tin/blog/thue-thuong-mai-dien-tu" TargetMode="External"/><Relationship Id="rId1212" Type="http://schemas.openxmlformats.org/officeDocument/2006/relationships/hyperlink" Target="https://techcombank.com/thong-tin/blog/chinh-sach-thue-moi" TargetMode="External"/><Relationship Id="rId1202" Type="http://schemas.openxmlformats.org/officeDocument/2006/relationships/hyperlink" Target="https://techcombank.com/thong-tin/blog/chuyen-doi-hoa-don-dien-tu" TargetMode="External"/><Relationship Id="rId1203" Type="http://schemas.openxmlformats.org/officeDocument/2006/relationships/hyperlink" Target="https://techcombank.com/thong-tin/blog/dang-ky-kinh-doanh-la-gi" TargetMode="External"/><Relationship Id="rId1204" Type="http://schemas.openxmlformats.org/officeDocument/2006/relationships/hyperlink" Target="https://techcombank.com/thong-tin/blog/thay-doi-dia-chi-ho-kinh-doanh" TargetMode="External"/><Relationship Id="rId1205" Type="http://schemas.openxmlformats.org/officeDocument/2006/relationships/hyperlink" Target="https://techcombank.com/thong-tin/blog/nhung-ho-kinh-doanh-duoc-mien-thue" TargetMode="External"/><Relationship Id="rId1206" Type="http://schemas.openxmlformats.org/officeDocument/2006/relationships/hyperlink" Target="https://techcombank.com/thong-tin/blog/luu-y-khi-chuyen-doi-tu-ho-kinh-doanh-len-doanh-nghiep" TargetMode="External"/><Relationship Id="rId1207" Type="http://schemas.openxmlformats.org/officeDocument/2006/relationships/hyperlink" Target="https://techcombank.com/thong-tin/blog/barcode-la-gi" TargetMode="External"/><Relationship Id="rId1208" Type="http://schemas.openxmlformats.org/officeDocument/2006/relationships/hyperlink" Target="https://techcombank.com/thong-tin/blog/tra-cuu-ma-so-thue-ho-kinh-doanh" TargetMode="External"/><Relationship Id="rId1209" Type="http://schemas.openxmlformats.org/officeDocument/2006/relationships/hyperlink" Target="https://techcombank.com/thong-tin/blog/ke-khai-thue-ho-kinh-doanh-ca-the-online" TargetMode="External"/><Relationship Id="rId1200" Type="http://schemas.openxmlformats.org/officeDocument/2006/relationships/hyperlink" Target="https://techcombank.com/thong-tin/blog/cac-sai-lam-pho-bien-khi-chuyen-doi-ho-kinh-doanh-len-sme" TargetMode="External"/><Relationship Id="rId1201" Type="http://schemas.openxmlformats.org/officeDocument/2006/relationships/hyperlink" Target="https://techcombank.com/thong-tin/blog/giay-phep-kinh-doanh" TargetMode="External"/><Relationship Id="rId1235" Type="http://schemas.openxmlformats.org/officeDocument/2006/relationships/hyperlink" Target="https://techcombank.com/thong-tin/blog/cach-dang-ky-ma-so-thue-ho-kinh-doanh-online" TargetMode="External"/><Relationship Id="rId1236" Type="http://schemas.openxmlformats.org/officeDocument/2006/relationships/hyperlink" Target="https://techcombank.com/thong-tin/blog/nhung-ho-kinh-doanh-duoc-mien-thue" TargetMode="External"/><Relationship Id="rId1237" Type="http://schemas.openxmlformats.org/officeDocument/2006/relationships/hyperlink" Target="https://techcombank.com/thong-tin/blog/luu-y-khi-chuyen-doi-tu-ho-kinh-doanh-len-doanh-nghiep" TargetMode="External"/><Relationship Id="rId1238" Type="http://schemas.openxmlformats.org/officeDocument/2006/relationships/hyperlink" Target="https://techcombank.com/thong-tin/blog/barcode-la-gi" TargetMode="External"/><Relationship Id="rId1239" Type="http://schemas.openxmlformats.org/officeDocument/2006/relationships/hyperlink" Target="https://techcombank.com/thong-tin/blog/du-no-la-gi" TargetMode="External"/><Relationship Id="rId409" Type="http://schemas.openxmlformats.org/officeDocument/2006/relationships/hyperlink" Target="https://techcombank.com/thong-tin/blog/phan-mem-lap-ke-hoach-tai-chinh-ca-nhan" TargetMode="External"/><Relationship Id="rId404" Type="http://schemas.openxmlformats.org/officeDocument/2006/relationships/hyperlink" Target="https://techcombank.com/thong-tin/blog/cach-tiet-kiem-tien-hieu-qua-cho-gia-dinh" TargetMode="External"/><Relationship Id="rId403" Type="http://schemas.openxmlformats.org/officeDocument/2006/relationships/hyperlink" Target="https://techcombank.com/thong-tin/blog/loi-ich-cua-viec-tiet-kiem-tien" TargetMode="External"/><Relationship Id="rId402" Type="http://schemas.openxmlformats.org/officeDocument/2006/relationships/hyperlink" Target="https://techcombank.com/thong-tin/blog/uu-dai-the-tin-dung-techcombank-signature" TargetMode="External"/><Relationship Id="rId401" Type="http://schemas.openxmlformats.org/officeDocument/2006/relationships/hyperlink" Target="https://techcombank.com/thong-tin/blog/vi-tra-sau" TargetMode="External"/><Relationship Id="rId408" Type="http://schemas.openxmlformats.org/officeDocument/2006/relationships/hyperlink" Target="https://techcombank.com/thong-tin/blog/cho-vay-tieu-dung-la-gi" TargetMode="External"/><Relationship Id="rId407" Type="http://schemas.openxmlformats.org/officeDocument/2006/relationships/hyperlink" Target="https://techcombank.com/thong-tin/blog/tiet-kiem-khi-di-du-lich" TargetMode="External"/><Relationship Id="rId406" Type="http://schemas.openxmlformats.org/officeDocument/2006/relationships/hyperlink" Target="https://techcombank.com/thong-tin/blog/app-mua-truoc-tra-sau" TargetMode="External"/><Relationship Id="rId405" Type="http://schemas.openxmlformats.org/officeDocument/2006/relationships/hyperlink" Target="https://techcombank.com/thong-tin/blog/dau-chan-carbon" TargetMode="External"/><Relationship Id="rId1230" Type="http://schemas.openxmlformats.org/officeDocument/2006/relationships/hyperlink" Target="https://techcombank.com/thong-tin/blog/cac-sai-lam-pho-bien-khi-chuyen-doi-ho-kinh-doanh-len-sme" TargetMode="External"/><Relationship Id="rId400" Type="http://schemas.openxmlformats.org/officeDocument/2006/relationships/hyperlink" Target="https://techcombank.com/thong-tin/blog/ma-mcc" TargetMode="External"/><Relationship Id="rId1231" Type="http://schemas.openxmlformats.org/officeDocument/2006/relationships/hyperlink" Target="https://techcombank.com/thong-tin/blog/giay-phep-kinh-doanh" TargetMode="External"/><Relationship Id="rId1232" Type="http://schemas.openxmlformats.org/officeDocument/2006/relationships/hyperlink" Target="https://techcombank.com/thong-tin/blog/chuyen-doi-hoa-don-dien-tu" TargetMode="External"/><Relationship Id="rId1233" Type="http://schemas.openxmlformats.org/officeDocument/2006/relationships/hyperlink" Target="https://techcombank.com/thong-tin/blog/dang-ky-kinh-doanh-la-gi" TargetMode="External"/><Relationship Id="rId1234" Type="http://schemas.openxmlformats.org/officeDocument/2006/relationships/hyperlink" Target="https://techcombank.com/thong-tin/blog/thay-doi-dia-chi-ho-kinh-doanh" TargetMode="External"/><Relationship Id="rId1224" Type="http://schemas.openxmlformats.org/officeDocument/2006/relationships/hyperlink" Target="https://techcombank.com/thong-tin/blog/nen-thanh-lap-ho-kinh-doanh-ke-khai-hay-doanh-nghiep" TargetMode="External"/><Relationship Id="rId1225" Type="http://schemas.openxmlformats.org/officeDocument/2006/relationships/hyperlink" Target="https://techcombank.com/thong-tin/blog/vay-tin-chap-ho-kinh-doanh" TargetMode="External"/><Relationship Id="rId1226" Type="http://schemas.openxmlformats.org/officeDocument/2006/relationships/hyperlink" Target="https://techcombank.com/thong-tin/blog/tra-cuu-no-thue-ho-kinh-doanh" TargetMode="External"/><Relationship Id="rId1227" Type="http://schemas.openxmlformats.org/officeDocument/2006/relationships/hyperlink" Target="https://techcombank.com/thong-tin/blog/lien-ket-tai-khoan-ngan-hang-voi-etax-mobile" TargetMode="External"/><Relationship Id="rId1228" Type="http://schemas.openxmlformats.org/officeDocument/2006/relationships/hyperlink" Target="https://techcombank.com/thong-tin/blog/thu-tuc-vay-von-kinh-doanh-nho" TargetMode="External"/><Relationship Id="rId1229" Type="http://schemas.openxmlformats.org/officeDocument/2006/relationships/hyperlink" Target="https://techcombank.com/thong-tin/blog/truy-thu-thue-ho-kinh-doanh" TargetMode="External"/><Relationship Id="rId1220" Type="http://schemas.openxmlformats.org/officeDocument/2006/relationships/hyperlink" Target="https://techcombank.com/thong-tin/blog/lai-suat-vay-kinh-doanh" TargetMode="External"/><Relationship Id="rId1221" Type="http://schemas.openxmlformats.org/officeDocument/2006/relationships/hyperlink" Target="https://techcombank.com/thong-tin/blog/chuyen-doi-ho-kinh-doanh-len-doanh-nghiep" TargetMode="External"/><Relationship Id="rId1222" Type="http://schemas.openxmlformats.org/officeDocument/2006/relationships/hyperlink" Target="https://techcombank.com/thong-tin/blog/thanh-toan-khong-dung-tien-mat" TargetMode="External"/><Relationship Id="rId1223" Type="http://schemas.openxmlformats.org/officeDocument/2006/relationships/hyperlink" Target="https://techcombank.com/thong-tin/blog/mo-tai-khoan-ho-kinh-doanh" TargetMode="External"/><Relationship Id="rId469" Type="http://schemas.openxmlformats.org/officeDocument/2006/relationships/hyperlink" Target="https://techcombank.com/thong-tin/blog/ngan-hang-thu-huong-la-gi" TargetMode="External"/><Relationship Id="rId468" Type="http://schemas.openxmlformats.org/officeDocument/2006/relationships/hyperlink" Target="https://techcombank.com/thong-tin/blog/ma-otp-la-gi" TargetMode="External"/><Relationship Id="rId467" Type="http://schemas.openxmlformats.org/officeDocument/2006/relationships/hyperlink" Target="https://techcombank.com/thong-tin/blog/lo-ma-qr-ngan-hang-co-sao-khong" TargetMode="External"/><Relationship Id="rId1290" Type="http://schemas.openxmlformats.org/officeDocument/2006/relationships/hyperlink" Target="https://techcombank.com/thong-tin/blog/vay-the-chap-so-hong" TargetMode="External"/><Relationship Id="rId1291" Type="http://schemas.openxmlformats.org/officeDocument/2006/relationships/hyperlink" Target="https://techcombank.com/thong-tin/blog/kinh-nghiem-vay-the-chap-ngan-hang" TargetMode="External"/><Relationship Id="rId1292" Type="http://schemas.openxmlformats.org/officeDocument/2006/relationships/hyperlink" Target="https://techcombank.com/thong-tin/blog/nen-vay-the-chap-ngan-hang-nao" TargetMode="External"/><Relationship Id="rId462" Type="http://schemas.openxmlformats.org/officeDocument/2006/relationships/hyperlink" Target="https://techcombank.com/thong-tin/blog/cach-kiem-tra-tai-khoan-ngan-hang-cua-cong-ty" TargetMode="External"/><Relationship Id="rId1293" Type="http://schemas.openxmlformats.org/officeDocument/2006/relationships/hyperlink" Target="https://techcombank.com/thong-tin/blog/vay-the-chap-la-gi" TargetMode="External"/><Relationship Id="rId461" Type="http://schemas.openxmlformats.org/officeDocument/2006/relationships/hyperlink" Target="https://techcombank.com/thong-tin/blog/so-du-kha-dung" TargetMode="External"/><Relationship Id="rId1294" Type="http://schemas.openxmlformats.org/officeDocument/2006/relationships/hyperlink" Target="https://techcombank.com/thong-tin/blog/vay-von-doanh-nghiep-khong-the-chap" TargetMode="External"/><Relationship Id="rId460" Type="http://schemas.openxmlformats.org/officeDocument/2006/relationships/hyperlink" Target="https://techcombank.com/thong-tin/blog/gui-ma-qr-ngan-hang" TargetMode="External"/><Relationship Id="rId1295" Type="http://schemas.openxmlformats.org/officeDocument/2006/relationships/hyperlink" Target="https://techcombank.com/thong-tin/blog/vay-ngan-han" TargetMode="External"/><Relationship Id="rId1296" Type="http://schemas.openxmlformats.org/officeDocument/2006/relationships/hyperlink" Target="https://techcombank.com/thong-tin/blog/thu-tuc-vay-von-kinh-doanh-nho" TargetMode="External"/><Relationship Id="rId466" Type="http://schemas.openxmlformats.org/officeDocument/2006/relationships/hyperlink" Target="https://techcombank.com/thong-tin/blog/lo-so-tai-khoan-ngan-hang-co-sao-khong" TargetMode="External"/><Relationship Id="rId1297" Type="http://schemas.openxmlformats.org/officeDocument/2006/relationships/hyperlink" Target="https://techcombank.com/thong-tin/blog/cac-hinh-thuc-vay-von-ngan-hang" TargetMode="External"/><Relationship Id="rId465" Type="http://schemas.openxmlformats.org/officeDocument/2006/relationships/hyperlink" Target="https://techcombank.com/thong-tin/blog/the-visa-co-can-mat-khau-khong" TargetMode="External"/><Relationship Id="rId1298" Type="http://schemas.openxmlformats.org/officeDocument/2006/relationships/hyperlink" Target="https://techcombank.com/thong-tin/blog/vay-san-xuat-kinh-doanh" TargetMode="External"/><Relationship Id="rId464" Type="http://schemas.openxmlformats.org/officeDocument/2006/relationships/hyperlink" Target="https://techcombank.com/thong-tin/blog/cach-lam-the-atm" TargetMode="External"/><Relationship Id="rId1299" Type="http://schemas.openxmlformats.org/officeDocument/2006/relationships/hyperlink" Target="https://techcombank.com/thong-tin/blog/vay-the-chap-kinh-doanh" TargetMode="External"/><Relationship Id="rId463" Type="http://schemas.openxmlformats.org/officeDocument/2006/relationships/hyperlink" Target="https://techcombank.com/thong-tin/blog/thanh-toan-ve-may-bay-online" TargetMode="External"/><Relationship Id="rId459" Type="http://schemas.openxmlformats.org/officeDocument/2006/relationships/hyperlink" Target="https://techcombank.com/thong-tin/blog/mat-so-dien-thoai-dang-ky-tai-khoan-ngan-hang" TargetMode="External"/><Relationship Id="rId458" Type="http://schemas.openxmlformats.org/officeDocument/2006/relationships/hyperlink" Target="https://techcombank.com/thong-tin/blog/smart-otp-la-gi" TargetMode="External"/><Relationship Id="rId457" Type="http://schemas.openxmlformats.org/officeDocument/2006/relationships/hyperlink" Target="https://techcombank.com/thong-tin/blog/cach-bao-ve-tai-khoan" TargetMode="External"/><Relationship Id="rId456" Type="http://schemas.openxmlformats.org/officeDocument/2006/relationships/hyperlink" Target="https://techcombank.com/thong-tin/blog/internet-banking" TargetMode="External"/><Relationship Id="rId1280" Type="http://schemas.openxmlformats.org/officeDocument/2006/relationships/hyperlink" Target="https://techcombank.com/thong-tin/blog/cach-su-dung-the-tin-dung" TargetMode="External"/><Relationship Id="rId1281" Type="http://schemas.openxmlformats.org/officeDocument/2006/relationships/hyperlink" Target="https://techcombank.com/thong-tin/blog/vay-mua-nha-o-xa-hoi" TargetMode="External"/><Relationship Id="rId451" Type="http://schemas.openxmlformats.org/officeDocument/2006/relationships/hyperlink" Target="https://techcombank.com/thong-tin/blog/cach-tinh-thue-thu-nhap-ca-nhan-2025" TargetMode="External"/><Relationship Id="rId1282" Type="http://schemas.openxmlformats.org/officeDocument/2006/relationships/hyperlink" Target="https://techcombank.com/thong-tin/blog/vay-200-trieu" TargetMode="External"/><Relationship Id="rId450" Type="http://schemas.openxmlformats.org/officeDocument/2006/relationships/hyperlink" Target="https://techcombank.com/thong-tin/blog/tien-chuyen-vao-tai-khoan-co-bi-tinh-thue-khong" TargetMode="External"/><Relationship Id="rId1283" Type="http://schemas.openxmlformats.org/officeDocument/2006/relationships/hyperlink" Target="https://techcombank.com/thong-tin/blog/kinh-nghiem-vay-tien-ngan-hang-xay-nha" TargetMode="External"/><Relationship Id="rId1284" Type="http://schemas.openxmlformats.org/officeDocument/2006/relationships/hyperlink" Target="https://techcombank.com/thong-tin/blog/vay-tin-chap-theo-luong" TargetMode="External"/><Relationship Id="rId1285" Type="http://schemas.openxmlformats.org/officeDocument/2006/relationships/hyperlink" Target="https://techcombank.com/thong-tin/blog/tra-gop-qua-the-tin-dung" TargetMode="External"/><Relationship Id="rId455" Type="http://schemas.openxmlformats.org/officeDocument/2006/relationships/hyperlink" Target="https://techcombank.com/thong-tin/blog/cach-doi-mat-khau-tai-khoan-ngan-hang" TargetMode="External"/><Relationship Id="rId1286" Type="http://schemas.openxmlformats.org/officeDocument/2006/relationships/hyperlink" Target="https://techcombank.com/thong-tin/blog/cach-su-dung-the-visa-techcombank" TargetMode="External"/><Relationship Id="rId454" Type="http://schemas.openxmlformats.org/officeDocument/2006/relationships/hyperlink" Target="https://techcombank.com/thong-tin/blog/cach-nop-thue-dien-tu" TargetMode="External"/><Relationship Id="rId1287" Type="http://schemas.openxmlformats.org/officeDocument/2006/relationships/hyperlink" Target="https://techcombank.com/thong-tin/blog/lai-suat-vay-ngan-hang" TargetMode="External"/><Relationship Id="rId453" Type="http://schemas.openxmlformats.org/officeDocument/2006/relationships/hyperlink" Target="https://techcombank.com/thong-tin/blog/nop-thue-dat-qua-ngan-hang" TargetMode="External"/><Relationship Id="rId1288" Type="http://schemas.openxmlformats.org/officeDocument/2006/relationships/hyperlink" Target="https://techcombank.com/thong-tin/blog/du-no-tin-dung-la-gi" TargetMode="External"/><Relationship Id="rId452" Type="http://schemas.openxmlformats.org/officeDocument/2006/relationships/hyperlink" Target="https://techcombank.com/thong-tin/blog/thue-thu-nhap-ca-nhan" TargetMode="External"/><Relationship Id="rId1289" Type="http://schemas.openxmlformats.org/officeDocument/2006/relationships/hyperlink" Target="https://techcombank.com/thong-tin/blog/han-muc-vay-the-chap-so-do" TargetMode="External"/><Relationship Id="rId491" Type="http://schemas.openxmlformats.org/officeDocument/2006/relationships/hyperlink" Target="https://techcombank.com/thong-tin/blog/hoan-thue-thu-nhap-ca-nhan" TargetMode="External"/><Relationship Id="rId490" Type="http://schemas.openxmlformats.org/officeDocument/2006/relationships/hyperlink" Target="https://techcombank.com/thong-tin/blog/quyet-toan-thue-thu-nhap-ca-nhan" TargetMode="External"/><Relationship Id="rId489" Type="http://schemas.openxmlformats.org/officeDocument/2006/relationships/hyperlink" Target="https://techcombank.com/thong-tin/blog/cach-tinh-thue-ho-kinh-doanh-nho-le" TargetMode="External"/><Relationship Id="rId484" Type="http://schemas.openxmlformats.org/officeDocument/2006/relationships/hyperlink" Target="https://techcombank.com/thong-tin/blog/thanh-toan-hoa-don-tieu-dung" TargetMode="External"/><Relationship Id="rId483" Type="http://schemas.openxmlformats.org/officeDocument/2006/relationships/hyperlink" Target="https://techcombank.com/thong-tin/blog/thanh-toan-tra-sau-viettel-bang-tai-khoan-ngan-hang" TargetMode="External"/><Relationship Id="rId482" Type="http://schemas.openxmlformats.org/officeDocument/2006/relationships/hyperlink" Target="https://techcombank.com/thong-tin/blog/cach-kich-hoat-the-atm" TargetMode="External"/><Relationship Id="rId481" Type="http://schemas.openxmlformats.org/officeDocument/2006/relationships/hyperlink" Target="https://techcombank.com/thong-tin/blog/rui-ro-khi-gui-tiet-kiem-ngan-hang" TargetMode="External"/><Relationship Id="rId488" Type="http://schemas.openxmlformats.org/officeDocument/2006/relationships/hyperlink" Target="https://techcombank.com/thong-tin/blog/sao-ke-luong" TargetMode="External"/><Relationship Id="rId487" Type="http://schemas.openxmlformats.org/officeDocument/2006/relationships/hyperlink" Target="https://techcombank.com/thong-tin/blog/luong-huu" TargetMode="External"/><Relationship Id="rId486" Type="http://schemas.openxmlformats.org/officeDocument/2006/relationships/hyperlink" Target="https://techcombank.com/thong-tin/blog/tra-cuu-no-thue-ca-nhan" TargetMode="External"/><Relationship Id="rId485" Type="http://schemas.openxmlformats.org/officeDocument/2006/relationships/hyperlink" Target="https://techcombank.com/thong-tin/blog/tien-chuyen-vao-tai-khoan-co-bi-tinh-thue-khong" TargetMode="External"/><Relationship Id="rId480" Type="http://schemas.openxmlformats.org/officeDocument/2006/relationships/hyperlink" Target="https://techcombank.com/thong-tin/blog/mobile-banking-la-gi" TargetMode="External"/><Relationship Id="rId479" Type="http://schemas.openxmlformats.org/officeDocument/2006/relationships/hyperlink" Target="https://techcombank.com/thong-tin/blog/thanh-toan-tien-nuoc-online" TargetMode="External"/><Relationship Id="rId478" Type="http://schemas.openxmlformats.org/officeDocument/2006/relationships/hyperlink" Target="https://techcombank.com/thong-tin/blog/cic-la-gi" TargetMode="External"/><Relationship Id="rId473" Type="http://schemas.openxmlformats.org/officeDocument/2006/relationships/hyperlink" Target="https://techcombank.com/thong-tin/blog/cach-nap-tien-vao-the-ghi-no" TargetMode="External"/><Relationship Id="rId472" Type="http://schemas.openxmlformats.org/officeDocument/2006/relationships/hyperlink" Target="https://techcombank.com/thong-tin/blog/cach-gui-tiet-kiem-online" TargetMode="External"/><Relationship Id="rId471" Type="http://schemas.openxmlformats.org/officeDocument/2006/relationships/hyperlink" Target="https://techcombank.com/thong-tin/blog/cach-thanh-toan-the-tin-dung" TargetMode="External"/><Relationship Id="rId470" Type="http://schemas.openxmlformats.org/officeDocument/2006/relationships/hyperlink" Target="https://techcombank.com/thong-tin/blog/vay-ngan-hang-1-ty-moi-thang-tra-bao-nhieu" TargetMode="External"/><Relationship Id="rId477" Type="http://schemas.openxmlformats.org/officeDocument/2006/relationships/hyperlink" Target="https://techcombank.com/thong-tin/blog/tai-khoan-ngan-hang-bi-khoa" TargetMode="External"/><Relationship Id="rId476" Type="http://schemas.openxmlformats.org/officeDocument/2006/relationships/hyperlink" Target="https://techcombank.com/thong-tin/blog/thanh-toan-tra-gop-qua-the-tin-dung" TargetMode="External"/><Relationship Id="rId475" Type="http://schemas.openxmlformats.org/officeDocument/2006/relationships/hyperlink" Target="https://techcombank.com/thong-tin/blog/thanh-toan-tien-dien-bang-the-tin-dung" TargetMode="External"/><Relationship Id="rId474" Type="http://schemas.openxmlformats.org/officeDocument/2006/relationships/hyperlink" Target="https://techcombank.com/thong-tin/blog/cach-khoa-the-ngan-hang" TargetMode="External"/><Relationship Id="rId1257" Type="http://schemas.openxmlformats.org/officeDocument/2006/relationships/hyperlink" Target="https://techcombank.com/thong-tin/blog/dao-han-la-gi" TargetMode="External"/><Relationship Id="rId1258" Type="http://schemas.openxmlformats.org/officeDocument/2006/relationships/hyperlink" Target="https://techcombank.com/thong-tin/blog/vay-mua-xe-tra-gop-ngan-hang-nao-tot-nhat" TargetMode="External"/><Relationship Id="rId1259" Type="http://schemas.openxmlformats.org/officeDocument/2006/relationships/hyperlink" Target="https://techcombank.com/thong-tin/blog/lai-suat-vay-thau-chi" TargetMode="External"/><Relationship Id="rId426" Type="http://schemas.openxmlformats.org/officeDocument/2006/relationships/hyperlink" Target="https://techcombank.com/thong-tin/blog/so-6868" TargetMode="External"/><Relationship Id="rId425" Type="http://schemas.openxmlformats.org/officeDocument/2006/relationships/hyperlink" Target="https://techcombank.com/thong-tin/blog/88-la-gi" TargetMode="External"/><Relationship Id="rId424" Type="http://schemas.openxmlformats.org/officeDocument/2006/relationships/hyperlink" Target="https://techcombank.com/thong-tin/blog/6-chiec-lo-tai-chinh-ca-nhan" TargetMode="External"/><Relationship Id="rId423" Type="http://schemas.openxmlformats.org/officeDocument/2006/relationships/hyperlink" Target="https://techcombank.com/thong-tin/blog/mo-the-tin-dung-khong-can-chung-minh-thu-nhap" TargetMode="External"/><Relationship Id="rId429" Type="http://schemas.openxmlformats.org/officeDocument/2006/relationships/hyperlink" Target="https://techcombank.com/thong-tin/blog/li-xi-so-dep" TargetMode="External"/><Relationship Id="rId428" Type="http://schemas.openxmlformats.org/officeDocument/2006/relationships/hyperlink" Target="https://techcombank.com/thong-tin/blog/cach-chon-so-tai-khoan-dep" TargetMode="External"/><Relationship Id="rId427" Type="http://schemas.openxmlformats.org/officeDocument/2006/relationships/hyperlink" Target="https://techcombank.com/thong-tin/blog/so-tai-khoan-dep" TargetMode="External"/><Relationship Id="rId1250" Type="http://schemas.openxmlformats.org/officeDocument/2006/relationships/hyperlink" Target="https://techcombank.com/thong-tin/blog/kiem-tra-no-xau" TargetMode="External"/><Relationship Id="rId1251" Type="http://schemas.openxmlformats.org/officeDocument/2006/relationships/hyperlink" Target="https://techcombank.com/thong-tin/blog/mua-truoc-tra-sau" TargetMode="External"/><Relationship Id="rId1252" Type="http://schemas.openxmlformats.org/officeDocument/2006/relationships/hyperlink" Target="https://techcombank.com/thong-tin/blog/the-visa-de-lam-gi" TargetMode="External"/><Relationship Id="rId422" Type="http://schemas.openxmlformats.org/officeDocument/2006/relationships/hyperlink" Target="https://techcombank.com/thong-tin/blog/the-visa-co-may-loai" TargetMode="External"/><Relationship Id="rId1253" Type="http://schemas.openxmlformats.org/officeDocument/2006/relationships/hyperlink" Target="https://techcombank.com/thong-tin/blog/rui-ro-khi-vay-the-chap-ngan-hang" TargetMode="External"/><Relationship Id="rId421" Type="http://schemas.openxmlformats.org/officeDocument/2006/relationships/hyperlink" Target="https://techcombank.com/thong-tin/blog/vay-tien-online" TargetMode="External"/><Relationship Id="rId1254" Type="http://schemas.openxmlformats.org/officeDocument/2006/relationships/hyperlink" Target="https://techcombank.com/thong-tin/blog/vay-tin-chap-va-vay-the-chap" TargetMode="External"/><Relationship Id="rId420" Type="http://schemas.openxmlformats.org/officeDocument/2006/relationships/hyperlink" Target="https://techcombank.com/thong-tin/blog/ung-dung-cong-nghe" TargetMode="External"/><Relationship Id="rId1255" Type="http://schemas.openxmlformats.org/officeDocument/2006/relationships/hyperlink" Target="https://techcombank.com/thong-tin/blog/lai-suat-vay-the-chap" TargetMode="External"/><Relationship Id="rId1256" Type="http://schemas.openxmlformats.org/officeDocument/2006/relationships/hyperlink" Target="https://techcombank.com/thong-tin/blog/tat-toan" TargetMode="External"/><Relationship Id="rId1246" Type="http://schemas.openxmlformats.org/officeDocument/2006/relationships/hyperlink" Target="https://techcombank.com/thong-tin/blog/loi-nhuan" TargetMode="External"/><Relationship Id="rId1247" Type="http://schemas.openxmlformats.org/officeDocument/2006/relationships/hyperlink" Target="https://techcombank.com/thong-tin/blog/co-nen-mua-o-to-tra-gop" TargetMode="External"/><Relationship Id="rId1248" Type="http://schemas.openxmlformats.org/officeDocument/2006/relationships/hyperlink" Target="https://techcombank.com/thong-tin/blog/thanh-toan-khoan-vay" TargetMode="External"/><Relationship Id="rId1249" Type="http://schemas.openxmlformats.org/officeDocument/2006/relationships/hyperlink" Target="https://techcombank.com/thong-tin/blog/vay-300-trieu" TargetMode="External"/><Relationship Id="rId415" Type="http://schemas.openxmlformats.org/officeDocument/2006/relationships/hyperlink" Target="https://techcombank.com/thong-tin/blog/nang-han-muc-tin-dung" TargetMode="External"/><Relationship Id="rId414" Type="http://schemas.openxmlformats.org/officeDocument/2006/relationships/hyperlink" Target="https://techcombank.com/thong-tin/blog/cashback-the-thanh-toan" TargetMode="External"/><Relationship Id="rId413" Type="http://schemas.openxmlformats.org/officeDocument/2006/relationships/hyperlink" Target="https://techcombank.com/thong-tin/blog/sao-ke-the-tin-dung-la-gi" TargetMode="External"/><Relationship Id="rId412" Type="http://schemas.openxmlformats.org/officeDocument/2006/relationships/hyperlink" Target="https://techcombank.com/thong-tin/blog/app-quan-ly-chi-tieu" TargetMode="External"/><Relationship Id="rId419" Type="http://schemas.openxmlformats.org/officeDocument/2006/relationships/hyperlink" Target="https://techcombank.com/thong-tin/blog/thoi-gian-hoan-tien-the-tin-dung" TargetMode="External"/><Relationship Id="rId418" Type="http://schemas.openxmlformats.org/officeDocument/2006/relationships/hyperlink" Target="https://techcombank.com/thong-tin/blog/the-debit-cho-con" TargetMode="External"/><Relationship Id="rId417" Type="http://schemas.openxmlformats.org/officeDocument/2006/relationships/hyperlink" Target="https://techcombank.com/thong-tin/blog/mo-the-tin-dung-chi-can-cccd" TargetMode="External"/><Relationship Id="rId416" Type="http://schemas.openxmlformats.org/officeDocument/2006/relationships/hyperlink" Target="https://techcombank.com/thong-tin/blog/cach-tiet-kiem-tien" TargetMode="External"/><Relationship Id="rId1240" Type="http://schemas.openxmlformats.org/officeDocument/2006/relationships/hyperlink" Target="https://techcombank.com/thong-tin/blog/an-han-no-goc-la-gi" TargetMode="External"/><Relationship Id="rId1241" Type="http://schemas.openxmlformats.org/officeDocument/2006/relationships/hyperlink" Target="https://techcombank.com/thong-tin/blog/lai-suat-tha-noi" TargetMode="External"/><Relationship Id="rId411" Type="http://schemas.openxmlformats.org/officeDocument/2006/relationships/hyperlink" Target="https://techcombank.com/thong-tin/blog/uu-dai-the-tin-dung" TargetMode="External"/><Relationship Id="rId1242" Type="http://schemas.openxmlformats.org/officeDocument/2006/relationships/hyperlink" Target="https://techcombank.com/thong-tin/blog/cong-thuc-tinh-lai-suat-thuc" TargetMode="External"/><Relationship Id="rId410" Type="http://schemas.openxmlformats.org/officeDocument/2006/relationships/hyperlink" Target="https://techcombank.com/thong-tin/blog/mo-the-tin-dung-han-muc-cao" TargetMode="External"/><Relationship Id="rId1243" Type="http://schemas.openxmlformats.org/officeDocument/2006/relationships/hyperlink" Target="https://techcombank.com/thong-tin/blog/vay-tra-gop" TargetMode="External"/><Relationship Id="rId1244" Type="http://schemas.openxmlformats.org/officeDocument/2006/relationships/hyperlink" Target="https://techcombank.com/thong-tin/blog/lai-suat-vay-kinh-doanh" TargetMode="External"/><Relationship Id="rId1245" Type="http://schemas.openxmlformats.org/officeDocument/2006/relationships/hyperlink" Target="https://techcombank.com/thong-tin/blog/cac-hinh-thuc-vay-von-ngan-hang" TargetMode="External"/><Relationship Id="rId1279" Type="http://schemas.openxmlformats.org/officeDocument/2006/relationships/hyperlink" Target="https://techcombank.com/thong-tin/blog/lai-suat-ngan-hang-cho-vay-xay-nha" TargetMode="External"/><Relationship Id="rId448" Type="http://schemas.openxmlformats.org/officeDocument/2006/relationships/hyperlink" Target="https://techcombank.com/thong-tin/blog/ho-kinh-doanh-dong-thue-nhu-nao" TargetMode="External"/><Relationship Id="rId447" Type="http://schemas.openxmlformats.org/officeDocument/2006/relationships/hyperlink" Target="https://techcombank.com/thong-tin/blog/ke-khai-thue-ho-kinh-doanh-ca-the-online" TargetMode="External"/><Relationship Id="rId446" Type="http://schemas.openxmlformats.org/officeDocument/2006/relationships/hyperlink" Target="https://techcombank.com/thong-tin/blog/nhung-ho-kinh-doanh-duoc-mien-thue" TargetMode="External"/><Relationship Id="rId445" Type="http://schemas.openxmlformats.org/officeDocument/2006/relationships/hyperlink" Target="https://techcombank.com/thong-tin/blog/kiem-tra-thue-ho-kinh-doanh" TargetMode="External"/><Relationship Id="rId449" Type="http://schemas.openxmlformats.org/officeDocument/2006/relationships/hyperlink" Target="https://techcombank.com/thong-tin/blog/tra-cuu-no-thue-doanh-nghiep" TargetMode="External"/><Relationship Id="rId1270" Type="http://schemas.openxmlformats.org/officeDocument/2006/relationships/hyperlink" Target="https://techcombank.com/thong-tin/blog/tra-gop-lazada" TargetMode="External"/><Relationship Id="rId440" Type="http://schemas.openxmlformats.org/officeDocument/2006/relationships/hyperlink" Target="https://techcombank.com/thong-tin/blog/hoan-thue-thu-nhap-ca-nhan" TargetMode="External"/><Relationship Id="rId1271" Type="http://schemas.openxmlformats.org/officeDocument/2006/relationships/hyperlink" Target="https://techcombank.com/thong-tin/blog/lai-suat-vay-the-chap-so-do" TargetMode="External"/><Relationship Id="rId1272" Type="http://schemas.openxmlformats.org/officeDocument/2006/relationships/hyperlink" Target="https://techcombank.com/thong-tin/blog/nen-mua-xe-tra-gop-hay-tra-thang" TargetMode="External"/><Relationship Id="rId1273" Type="http://schemas.openxmlformats.org/officeDocument/2006/relationships/hyperlink" Target="https://techcombank.com/thong-tin/blog/vay-15-trieu" TargetMode="External"/><Relationship Id="rId1274" Type="http://schemas.openxmlformats.org/officeDocument/2006/relationships/hyperlink" Target="https://techcombank.com/thong-tin/blog/sao-ke-the-tin-dung-la-gi" TargetMode="External"/><Relationship Id="rId444" Type="http://schemas.openxmlformats.org/officeDocument/2006/relationships/hyperlink" Target="https://techcombank.com/thong-tin/blog/tra-cuu-no-thue-ho-kinh-doanh" TargetMode="External"/><Relationship Id="rId1275" Type="http://schemas.openxmlformats.org/officeDocument/2006/relationships/hyperlink" Target="https://techcombank.com/thong-tin/blog/lai-suat-vay-tieu-dung" TargetMode="External"/><Relationship Id="rId443" Type="http://schemas.openxmlformats.org/officeDocument/2006/relationships/hyperlink" Target="https://techcombank.com/thong-tin/blog/tra-cuu-no-thue-hai-quan" TargetMode="External"/><Relationship Id="rId1276" Type="http://schemas.openxmlformats.org/officeDocument/2006/relationships/hyperlink" Target="https://techcombank.com/thong-tin/blog/lam-ho-so-tra-gop-dien-thoai" TargetMode="External"/><Relationship Id="rId442" Type="http://schemas.openxmlformats.org/officeDocument/2006/relationships/hyperlink" Target="https://techcombank.com/thong-tin/blog/cach-tinh-thue-ho-kinh-doanh-nho-le" TargetMode="External"/><Relationship Id="rId1277" Type="http://schemas.openxmlformats.org/officeDocument/2006/relationships/hyperlink" Target="https://techcombank.com/thong-tin/blog/vay-30-trieu" TargetMode="External"/><Relationship Id="rId441" Type="http://schemas.openxmlformats.org/officeDocument/2006/relationships/hyperlink" Target="https://techcombank.com/thong-tin/blog/quyet-toan-thue-thu-nhap-ca-nhan" TargetMode="External"/><Relationship Id="rId1278" Type="http://schemas.openxmlformats.org/officeDocument/2006/relationships/hyperlink" Target="https://techcombank.com/thong-tin/blog/thu-tuc-vay-von-ngan-hang-de-xay-nha" TargetMode="External"/><Relationship Id="rId1268" Type="http://schemas.openxmlformats.org/officeDocument/2006/relationships/hyperlink" Target="https://techcombank.com/thong-tin/blog/tra-gop-hoc-phi" TargetMode="External"/><Relationship Id="rId1269" Type="http://schemas.openxmlformats.org/officeDocument/2006/relationships/hyperlink" Target="https://techcombank.com/thong-tin/blog/thanh-toan-tra-gop-qua-the-tin-dung" TargetMode="External"/><Relationship Id="rId437" Type="http://schemas.openxmlformats.org/officeDocument/2006/relationships/hyperlink" Target="https://techcombank.com/thong-tin/blog/tra-cuu-no-thue-ca-nhan" TargetMode="External"/><Relationship Id="rId436" Type="http://schemas.openxmlformats.org/officeDocument/2006/relationships/hyperlink" Target="https://techcombank.com/thong-tin/blog/y-nghia-so-68" TargetMode="External"/><Relationship Id="rId435" Type="http://schemas.openxmlformats.org/officeDocument/2006/relationships/hyperlink" Target="https://techcombank.com/thong-tin/blog/so-8386" TargetMode="External"/><Relationship Id="rId434" Type="http://schemas.openxmlformats.org/officeDocument/2006/relationships/hyperlink" Target="https://techcombank.com/thong-tin/blog/66666-co-y-nghia-gi" TargetMode="External"/><Relationship Id="rId439" Type="http://schemas.openxmlformats.org/officeDocument/2006/relationships/hyperlink" Target="https://techcombank.com/thong-tin/blog/lien-ket-tai-khoan-ngan-hang-voi-etax-mobile" TargetMode="External"/><Relationship Id="rId438" Type="http://schemas.openxmlformats.org/officeDocument/2006/relationships/hyperlink" Target="https://techcombank.com/thong-tin/blog/dang-ky-ma-so-thue-ca-nhan" TargetMode="External"/><Relationship Id="rId1260" Type="http://schemas.openxmlformats.org/officeDocument/2006/relationships/hyperlink" Target="https://techcombank.com/thong-tin/blog/vay-mua-nha-tra-gop" TargetMode="External"/><Relationship Id="rId1261" Type="http://schemas.openxmlformats.org/officeDocument/2006/relationships/hyperlink" Target="https://techcombank.com/thong-tin/blog/cach-thanh-toan-the-tin-dung" TargetMode="External"/><Relationship Id="rId1262" Type="http://schemas.openxmlformats.org/officeDocument/2006/relationships/hyperlink" Target="https://techcombank.com/thong-tin/blog/quy-trinh-tat-toan-khoan-vay-the-chap" TargetMode="External"/><Relationship Id="rId1263" Type="http://schemas.openxmlformats.org/officeDocument/2006/relationships/hyperlink" Target="https://techcombank.com/thong-tin/blog/vay-40-trieu" TargetMode="External"/><Relationship Id="rId433" Type="http://schemas.openxmlformats.org/officeDocument/2006/relationships/hyperlink" Target="https://techcombank.com/thong-tin/blog/8868" TargetMode="External"/><Relationship Id="rId1264" Type="http://schemas.openxmlformats.org/officeDocument/2006/relationships/hyperlink" Target="https://techcombank.com/thong-tin/blog/thu-tuc-mua-xe-tra-gop" TargetMode="External"/><Relationship Id="rId432" Type="http://schemas.openxmlformats.org/officeDocument/2006/relationships/hyperlink" Target="https://techcombank.com/thong-tin/blog/sinh-loi-rinh-loc" TargetMode="External"/><Relationship Id="rId1265" Type="http://schemas.openxmlformats.org/officeDocument/2006/relationships/hyperlink" Target="https://techcombank.com/thong-tin/blog/vay-100-trieu" TargetMode="External"/><Relationship Id="rId431" Type="http://schemas.openxmlformats.org/officeDocument/2006/relationships/hyperlink" Target="https://techcombank.com/thong-tin/blog/li-xi-tet" TargetMode="External"/><Relationship Id="rId1266" Type="http://schemas.openxmlformats.org/officeDocument/2006/relationships/hyperlink" Target="https://techcombank.com/thong-tin/blog/vay-ngan-hang-chi-can-cccd" TargetMode="External"/><Relationship Id="rId430" Type="http://schemas.openxmlformats.org/officeDocument/2006/relationships/hyperlink" Target="https://techcombank.com/thong-tin/blog/co-nen-mua-so-tai-khoan-ngan-hang-dep" TargetMode="External"/><Relationship Id="rId1267" Type="http://schemas.openxmlformats.org/officeDocument/2006/relationships/hyperlink" Target="https://techcombank.com/thong-tin/blog/tra-gop-shopee" TargetMode="External"/><Relationship Id="rId1" Type="http://schemas.openxmlformats.org/officeDocument/2006/relationships/hyperlink" Target="https://techcombank.com/thong-tin/blog/vay-mua-xe-tra-gop-ngan-hang-nao-tot-nhat" TargetMode="External"/><Relationship Id="rId2" Type="http://schemas.openxmlformats.org/officeDocument/2006/relationships/hyperlink" Target="https://techcombank.com/thong-tin/blog/co-nen-mua-o-to-tra-gop" TargetMode="External"/><Relationship Id="rId3" Type="http://schemas.openxmlformats.org/officeDocument/2006/relationships/hyperlink" Target="https://techcombank.com/thong-tin/blog/thu-tuc-mua-xe-tra-gop" TargetMode="External"/><Relationship Id="rId4" Type="http://schemas.openxmlformats.org/officeDocument/2006/relationships/hyperlink" Target="https://techcombank.com/thong-tin/blog/nen-mua-xe-tra-gop-hay-tra-thang" TargetMode="External"/><Relationship Id="rId9" Type="http://schemas.openxmlformats.org/officeDocument/2006/relationships/hyperlink" Target="https://techcombank.com/thong-tin/blog/cach-nop-thue-dien-tu" TargetMode="External"/><Relationship Id="rId5" Type="http://schemas.openxmlformats.org/officeDocument/2006/relationships/hyperlink" Target="https://techcombank.com/thong-tin/blog/vay-the-chap-xe-o-to-cu" TargetMode="External"/><Relationship Id="rId6" Type="http://schemas.openxmlformats.org/officeDocument/2006/relationships/hyperlink" Target="https://techcombank.com/thong-tin/blog/mua-bao-hiem-o-to-dien" TargetMode="External"/><Relationship Id="rId7" Type="http://schemas.openxmlformats.org/officeDocument/2006/relationships/hyperlink" Target="https://techcombank.com/thong-tin/blog/mua-bao-hiem-o-to" TargetMode="External"/><Relationship Id="rId8" Type="http://schemas.openxmlformats.org/officeDocument/2006/relationships/hyperlink" Target="https://techcombank.com/thong-tin/blog/lien-ket-tai-khoan-ngan-hang-voi-etax-mobile" TargetMode="External"/><Relationship Id="rId808" Type="http://schemas.openxmlformats.org/officeDocument/2006/relationships/hyperlink" Target="https://techcombank.com/thong-tin/blog/the-tin-dung-mien-lai-55-ngay" TargetMode="External"/><Relationship Id="rId807" Type="http://schemas.openxmlformats.org/officeDocument/2006/relationships/hyperlink" Target="https://techcombank.com/thong-tin/blog/no-the-tin-dung-qua-han" TargetMode="External"/><Relationship Id="rId806" Type="http://schemas.openxmlformats.org/officeDocument/2006/relationships/hyperlink" Target="https://techcombank.com/thong-tin/blog/sao-ke-the-tin-dung-la-gi" TargetMode="External"/><Relationship Id="rId805" Type="http://schemas.openxmlformats.org/officeDocument/2006/relationships/hyperlink" Target="https://techcombank.com/thong-tin/blog/qua-han-thanh-toan-the-tin-dung-1-ngay" TargetMode="External"/><Relationship Id="rId809" Type="http://schemas.openxmlformats.org/officeDocument/2006/relationships/hyperlink" Target="https://techcombank.com/thong-tin/blog/du-no-la-gi" TargetMode="External"/><Relationship Id="rId800" Type="http://schemas.openxmlformats.org/officeDocument/2006/relationships/hyperlink" Target="https://techcombank.com/thong-tin/blog/han-muc-vay-the-chap-so-do" TargetMode="External"/><Relationship Id="rId804" Type="http://schemas.openxmlformats.org/officeDocument/2006/relationships/hyperlink" Target="https://techcombank.com/thong-tin/blog/thanh-toan-toi-thieu-the-tin-dung" TargetMode="External"/><Relationship Id="rId803" Type="http://schemas.openxmlformats.org/officeDocument/2006/relationships/hyperlink" Target="https://techcombank.com/thong-tin/blog/dieu-kien-vay-the-chap" TargetMode="External"/><Relationship Id="rId802" Type="http://schemas.openxmlformats.org/officeDocument/2006/relationships/hyperlink" Target="https://techcombank.com/thong-tin/blog/mua-nha-tra-gop-dua-truoc-100-trieu" TargetMode="External"/><Relationship Id="rId801" Type="http://schemas.openxmlformats.org/officeDocument/2006/relationships/hyperlink" Target="https://techcombank.com/thong-tin/blog/vay-tin-chap-no-xau" TargetMode="External"/><Relationship Id="rId1334" Type="http://schemas.openxmlformats.org/officeDocument/2006/relationships/hyperlink" Target="https://techcombank.com/thong-tin/blog/rui-ro-khi-vay-the-chap-ngan-hang" TargetMode="External"/><Relationship Id="rId1335" Type="http://schemas.openxmlformats.org/officeDocument/2006/relationships/hyperlink" Target="https://techcombank.com/thong-tin/blog/vay-tin-chap-va-vay-the-chap" TargetMode="External"/><Relationship Id="rId1336" Type="http://schemas.openxmlformats.org/officeDocument/2006/relationships/hyperlink" Target="https://techcombank.com/thong-tin/blog/lai-suat-vay-the-chap" TargetMode="External"/><Relationship Id="rId1337" Type="http://schemas.openxmlformats.org/officeDocument/2006/relationships/hyperlink" Target="https://techcombank.com/thong-tin/blog/kinh-nghiem-vay-the-chap-ngan-hang" TargetMode="External"/><Relationship Id="rId1338" Type="http://schemas.openxmlformats.org/officeDocument/2006/relationships/hyperlink" Target="https://techcombank.com/thong-tin/blog/vay-the-chap-xe-o-to-cu" TargetMode="External"/><Relationship Id="rId1339" Type="http://schemas.openxmlformats.org/officeDocument/2006/relationships/hyperlink" Target="https://techcombank.com/thong-tin/blog/vay-the-chap-qua-luong" TargetMode="External"/><Relationship Id="rId745" Type="http://schemas.openxmlformats.org/officeDocument/2006/relationships/hyperlink" Target="https://techcombank.com/thong-tin/blog/ma-buu-chinh-the-tin-dung" TargetMode="External"/><Relationship Id="rId744" Type="http://schemas.openxmlformats.org/officeDocument/2006/relationships/hyperlink" Target="https://techcombank.com/thong-tin/blog/co-nen-dung-the-tin-dung-khong" TargetMode="External"/><Relationship Id="rId743" Type="http://schemas.openxmlformats.org/officeDocument/2006/relationships/hyperlink" Target="https://techcombank.com/thong-tin/blog/the-ghi-no-va-the-tin-dung" TargetMode="External"/><Relationship Id="rId742" Type="http://schemas.openxmlformats.org/officeDocument/2006/relationships/hyperlink" Target="https://techcombank.com/thong-tin/blog/tra-cuu-han-muc-the-tin-dung" TargetMode="External"/><Relationship Id="rId749" Type="http://schemas.openxmlformats.org/officeDocument/2006/relationships/hyperlink" Target="https://techcombank.com/thong-tin/blog/vay-ngan-hang-1-ty-moi-thang-tra-bao-nhieu" TargetMode="External"/><Relationship Id="rId748" Type="http://schemas.openxmlformats.org/officeDocument/2006/relationships/hyperlink" Target="https://techcombank.com/thong-tin/blog/phi-rut-tien-mat-the-tin-dung" TargetMode="External"/><Relationship Id="rId747" Type="http://schemas.openxmlformats.org/officeDocument/2006/relationships/hyperlink" Target="https://techcombank.com/thong-tin/blog/qua-han-thanh-toan-the-tin-dung-1-ngay" TargetMode="External"/><Relationship Id="rId746" Type="http://schemas.openxmlformats.org/officeDocument/2006/relationships/hyperlink" Target="https://techcombank.com/thong-tin/blog/the-tin-dung-quoc-te" TargetMode="External"/><Relationship Id="rId741" Type="http://schemas.openxmlformats.org/officeDocument/2006/relationships/hyperlink" Target="https://techcombank.com/thong-tin/blog/mua-truoc-tra-sau" TargetMode="External"/><Relationship Id="rId1330" Type="http://schemas.openxmlformats.org/officeDocument/2006/relationships/hyperlink" Target="https://techcombank.com/thong-tin/blog/vay-the-chap-so-bao-hiem-xa-hoi" TargetMode="External"/><Relationship Id="rId740" Type="http://schemas.openxmlformats.org/officeDocument/2006/relationships/hyperlink" Target="https://techcombank.com/thong-tin/blog/the-visa-co-can-mat-khau-khong" TargetMode="External"/><Relationship Id="rId1331" Type="http://schemas.openxmlformats.org/officeDocument/2006/relationships/hyperlink" Target="https://techcombank.com/thong-tin/blog/nen-vay-the-chap-ngan-hang-nao" TargetMode="External"/><Relationship Id="rId1332" Type="http://schemas.openxmlformats.org/officeDocument/2006/relationships/hyperlink" Target="https://techcombank.com/thong-tin/blog/vay-the-chap-la-gi" TargetMode="External"/><Relationship Id="rId1333" Type="http://schemas.openxmlformats.org/officeDocument/2006/relationships/hyperlink" Target="https://techcombank.com/thong-tin/blog/tat-toan-so-tiet-kiem" TargetMode="External"/><Relationship Id="rId1323" Type="http://schemas.openxmlformats.org/officeDocument/2006/relationships/hyperlink" Target="https://techcombank.com/thong-tin/blog/giai-ngan-vay-the-chap" TargetMode="External"/><Relationship Id="rId1324" Type="http://schemas.openxmlformats.org/officeDocument/2006/relationships/hyperlink" Target="https://techcombank.com/thong-tin/blog/vay-von-doanh-nghiep-khong-the-chap" TargetMode="External"/><Relationship Id="rId1325" Type="http://schemas.openxmlformats.org/officeDocument/2006/relationships/hyperlink" Target="https://techcombank.com/thong-tin/blog/vay-ngan-han" TargetMode="External"/><Relationship Id="rId1326" Type="http://schemas.openxmlformats.org/officeDocument/2006/relationships/hyperlink" Target="https://techcombank.com/thong-tin/blog/thu-tuc-vay-von-kinh-doanh-nho" TargetMode="External"/><Relationship Id="rId1327" Type="http://schemas.openxmlformats.org/officeDocument/2006/relationships/hyperlink" Target="https://techcombank.com/thong-tin/blog/cac-hinh-thuc-vay-von-ngan-hang" TargetMode="External"/><Relationship Id="rId1328" Type="http://schemas.openxmlformats.org/officeDocument/2006/relationships/hyperlink" Target="https://techcombank.com/thong-tin/blog/vay-san-xuat-kinh-doanh" TargetMode="External"/><Relationship Id="rId1329" Type="http://schemas.openxmlformats.org/officeDocument/2006/relationships/hyperlink" Target="https://techcombank.com/thong-tin/blog/vay-the-chap-kinh-doanh" TargetMode="External"/><Relationship Id="rId739" Type="http://schemas.openxmlformats.org/officeDocument/2006/relationships/hyperlink" Target="https://techcombank.com/thong-tin/blog/mua-iphone-17" TargetMode="External"/><Relationship Id="rId734" Type="http://schemas.openxmlformats.org/officeDocument/2006/relationships/hyperlink" Target="https://techcombank.com/thong-tin/blog/uu-dai-mua-ve-may-bay-bang-the-tin-dung" TargetMode="External"/><Relationship Id="rId733" Type="http://schemas.openxmlformats.org/officeDocument/2006/relationships/hyperlink" Target="https://techcombank.com/thong-tin/blog/the-tin-dung-mien-phi-thuong-nien" TargetMode="External"/><Relationship Id="rId732" Type="http://schemas.openxmlformats.org/officeDocument/2006/relationships/hyperlink" Target="https://techcombank.com/thong-tin/blog/cac-loai-the-tin-dung" TargetMode="External"/><Relationship Id="rId731" Type="http://schemas.openxmlformats.org/officeDocument/2006/relationships/hyperlink" Target="https://techcombank.com/thong-tin/blog/uu-dai-the-tin-dung-techcombank-signature" TargetMode="External"/><Relationship Id="rId738" Type="http://schemas.openxmlformats.org/officeDocument/2006/relationships/hyperlink" Target="https://techcombank.com/thong-tin/blog/cach-lam-the-ngan-hang-chay-quang-cao-facebook" TargetMode="External"/><Relationship Id="rId737" Type="http://schemas.openxmlformats.org/officeDocument/2006/relationships/hyperlink" Target="https://techcombank.com/thong-tin/blog/the-tin-dung-nao-nhieu-uu-dai-nhat" TargetMode="External"/><Relationship Id="rId736" Type="http://schemas.openxmlformats.org/officeDocument/2006/relationships/hyperlink" Target="https://techcombank.com/thong-tin/blog/so-cvv-la-gi" TargetMode="External"/><Relationship Id="rId735" Type="http://schemas.openxmlformats.org/officeDocument/2006/relationships/hyperlink" Target="https://techcombank.com/thong-tin/blog/mat-the-tin-dung-co-bi-mat-tien-khong" TargetMode="External"/><Relationship Id="rId730" Type="http://schemas.openxmlformats.org/officeDocument/2006/relationships/hyperlink" Target="https://techcombank.com/thong-tin/blog/mm-yy-la-gi" TargetMode="External"/><Relationship Id="rId1320" Type="http://schemas.openxmlformats.org/officeDocument/2006/relationships/hyperlink" Target="https://techcombank.com/thong-tin/blog/tat-toan" TargetMode="External"/><Relationship Id="rId1321" Type="http://schemas.openxmlformats.org/officeDocument/2006/relationships/hyperlink" Target="https://techcombank.com/thong-tin/blog/the-chap-la-gi" TargetMode="External"/><Relationship Id="rId1322" Type="http://schemas.openxmlformats.org/officeDocument/2006/relationships/hyperlink" Target="https://techcombank.com/thong-tin/blog/vay-the-chap-khong-tra-duoc" TargetMode="External"/><Relationship Id="rId1356" Type="http://schemas.openxmlformats.org/officeDocument/2006/relationships/hyperlink" Target="https://techcombank.com/thong-tin/blog/gui-tiet-kiem-theo-ngay" TargetMode="External"/><Relationship Id="rId1357" Type="http://schemas.openxmlformats.org/officeDocument/2006/relationships/hyperlink" Target="https://techcombank.com/thong-tin/blog/gui-tiet-kiem-vang" TargetMode="External"/><Relationship Id="rId1358" Type="http://schemas.openxmlformats.org/officeDocument/2006/relationships/hyperlink" Target="https://techcombank.com/thong-tin/blog/gia-cao-su" TargetMode="External"/><Relationship Id="rId1359" Type="http://schemas.openxmlformats.org/officeDocument/2006/relationships/hyperlink" Target="https://techcombank.com/thong-tin/blog/nen-gui-tiet-kiem-thong-thuong-hay-tich-luy" TargetMode="External"/><Relationship Id="rId767" Type="http://schemas.openxmlformats.org/officeDocument/2006/relationships/hyperlink" Target="https://techcombank.com/thong-tin/blog/tra-gop-lazada" TargetMode="External"/><Relationship Id="rId766" Type="http://schemas.openxmlformats.org/officeDocument/2006/relationships/hyperlink" Target="https://techcombank.com/thong-tin/blog/thanh-toan-tra-gop-qua-the-tin-dung" TargetMode="External"/><Relationship Id="rId765" Type="http://schemas.openxmlformats.org/officeDocument/2006/relationships/hyperlink" Target="https://techcombank.com/thong-tin/blog/thanh-toan-tien-dien-bang-the-tin-dung" TargetMode="External"/><Relationship Id="rId764" Type="http://schemas.openxmlformats.org/officeDocument/2006/relationships/hyperlink" Target="https://techcombank.com/thong-tin/blog/tra-gop-shopee" TargetMode="External"/><Relationship Id="rId769" Type="http://schemas.openxmlformats.org/officeDocument/2006/relationships/hyperlink" Target="https://techcombank.com/thong-tin/blog/the-tin-dung-co-ma-pin-khong" TargetMode="External"/><Relationship Id="rId768" Type="http://schemas.openxmlformats.org/officeDocument/2006/relationships/hyperlink" Target="https://techcombank.com/thong-tin/blog/lam-the-tin-dung" TargetMode="External"/><Relationship Id="rId1350" Type="http://schemas.openxmlformats.org/officeDocument/2006/relationships/hyperlink" Target="https://techcombank.com/thong-tin/blog/tai-sao-gui-tiet-kiem-online-lai-suat-cao-hon" TargetMode="External"/><Relationship Id="rId1351" Type="http://schemas.openxmlformats.org/officeDocument/2006/relationships/hyperlink" Target="https://techcombank.com/thong-tin/blog/co-nen-gui-tiet-kiem-ngan-hang" TargetMode="External"/><Relationship Id="rId763" Type="http://schemas.openxmlformats.org/officeDocument/2006/relationships/hyperlink" Target="https://techcombank.com/thong-tin/blog/thanh-toan-toi-thieu-the-tin-dung" TargetMode="External"/><Relationship Id="rId1352" Type="http://schemas.openxmlformats.org/officeDocument/2006/relationships/hyperlink" Target="https://techcombank.com/thong-tin/blog/tien-gui-co-ky-han" TargetMode="External"/><Relationship Id="rId762" Type="http://schemas.openxmlformats.org/officeDocument/2006/relationships/hyperlink" Target="https://techcombank.com/thong-tin/blog/the-tin-dung-ao" TargetMode="External"/><Relationship Id="rId1353" Type="http://schemas.openxmlformats.org/officeDocument/2006/relationships/hyperlink" Target="https://techcombank.com/thong-tin/blog/so-sanh-gui-tiet-kiem-online-va-tai-quay" TargetMode="External"/><Relationship Id="rId761" Type="http://schemas.openxmlformats.org/officeDocument/2006/relationships/hyperlink" Target="https://techcombank.com/thong-tin/blog/mo-the-tin-dung-co-loi-ich-gi" TargetMode="External"/><Relationship Id="rId1354" Type="http://schemas.openxmlformats.org/officeDocument/2006/relationships/hyperlink" Target="https://techcombank.com/thong-tin/blog/so-tiet-kiem-ngan-hang" TargetMode="External"/><Relationship Id="rId760" Type="http://schemas.openxmlformats.org/officeDocument/2006/relationships/hyperlink" Target="https://techcombank.com/thong-tin/blog/lai-suat-the-tin-dung" TargetMode="External"/><Relationship Id="rId1355" Type="http://schemas.openxmlformats.org/officeDocument/2006/relationships/hyperlink" Target="https://techcombank.com/thong-tin/blog/quy-trinh-gui-tien-tiet-kiem" TargetMode="External"/><Relationship Id="rId1345" Type="http://schemas.openxmlformats.org/officeDocument/2006/relationships/hyperlink" Target="https://techcombank.com/thong-tin/blog/no-xau-co-vay-the-chap-duoc-khong" TargetMode="External"/><Relationship Id="rId1346" Type="http://schemas.openxmlformats.org/officeDocument/2006/relationships/hyperlink" Target="https://techcombank.com/thong-tin/blog/han-muc-vay-the-chap-so-do" TargetMode="External"/><Relationship Id="rId1347" Type="http://schemas.openxmlformats.org/officeDocument/2006/relationships/hyperlink" Target="https://techcombank.com/thong-tin/blog/gui-tiet-kiem-online-co-rut-truoc-han-duoc-khong" TargetMode="External"/><Relationship Id="rId1348" Type="http://schemas.openxmlformats.org/officeDocument/2006/relationships/hyperlink" Target="https://techcombank.com/thong-tin/blog/phi-vay-the-chap" TargetMode="External"/><Relationship Id="rId1349" Type="http://schemas.openxmlformats.org/officeDocument/2006/relationships/hyperlink" Target="https://techcombank.com/thong-tin/blog/nen-gui-tiet-kiem-6-thang-hay-1-nam" TargetMode="External"/><Relationship Id="rId756" Type="http://schemas.openxmlformats.org/officeDocument/2006/relationships/hyperlink" Target="https://techcombank.com/thong-tin/blog/the-tin-dung-techcombank-visa-eco" TargetMode="External"/><Relationship Id="rId755" Type="http://schemas.openxmlformats.org/officeDocument/2006/relationships/hyperlink" Target="https://techcombank.com/thong-tin/blog/the-tin-dung-co-chuyen-khoan-duoc-khong" TargetMode="External"/><Relationship Id="rId754" Type="http://schemas.openxmlformats.org/officeDocument/2006/relationships/hyperlink" Target="https://techcombank.com/thong-tin/blog/uu-dai-mo-the-tin-dung" TargetMode="External"/><Relationship Id="rId753" Type="http://schemas.openxmlformats.org/officeDocument/2006/relationships/hyperlink" Target="https://techcombank.com/thong-tin/blog/thanh-toan-online-bang-the-tin-dung" TargetMode="External"/><Relationship Id="rId759" Type="http://schemas.openxmlformats.org/officeDocument/2006/relationships/hyperlink" Target="https://techcombank.com/thong-tin/blog/3d-secure" TargetMode="External"/><Relationship Id="rId758" Type="http://schemas.openxmlformats.org/officeDocument/2006/relationships/hyperlink" Target="https://techcombank.com/thong-tin/blog/uu-dai-the-tin-dung" TargetMode="External"/><Relationship Id="rId757" Type="http://schemas.openxmlformats.org/officeDocument/2006/relationships/hyperlink" Target="https://techcombank.com/thong-tin/blog/mo-the-tin-dung-han-muc-cao" TargetMode="External"/><Relationship Id="rId1340" Type="http://schemas.openxmlformats.org/officeDocument/2006/relationships/hyperlink" Target="https://techcombank.com/thong-tin/blog/lai-suat-vay-the-chap-so-do" TargetMode="External"/><Relationship Id="rId752" Type="http://schemas.openxmlformats.org/officeDocument/2006/relationships/hyperlink" Target="https://techcombank.com/thong-tin/blog/dao-han-the-tin-dung" TargetMode="External"/><Relationship Id="rId1341" Type="http://schemas.openxmlformats.org/officeDocument/2006/relationships/hyperlink" Target="https://techcombank.com/thong-tin/blog/tat-toan-chung-chi-tien-gui" TargetMode="External"/><Relationship Id="rId751" Type="http://schemas.openxmlformats.org/officeDocument/2006/relationships/hyperlink" Target="https://techcombank.com/thong-tin/blog/the-tin-dung-den" TargetMode="External"/><Relationship Id="rId1342" Type="http://schemas.openxmlformats.org/officeDocument/2006/relationships/hyperlink" Target="https://techcombank.com/thong-tin/blog/nen-mua-xe-tra-gop-hay-tra-thang" TargetMode="External"/><Relationship Id="rId750" Type="http://schemas.openxmlformats.org/officeDocument/2006/relationships/hyperlink" Target="https://techcombank.com/thong-tin/blog/cach-thanh-toan-the-tin-dung" TargetMode="External"/><Relationship Id="rId1343" Type="http://schemas.openxmlformats.org/officeDocument/2006/relationships/hyperlink" Target="https://techcombank.com/thong-tin/blog/vay-the-chap-so-hong" TargetMode="External"/><Relationship Id="rId1344" Type="http://schemas.openxmlformats.org/officeDocument/2006/relationships/hyperlink" Target="https://techcombank.com/thong-tin/blog/no-xau-mo-the-tin-dung-duoc-khong" TargetMode="External"/><Relationship Id="rId709" Type="http://schemas.openxmlformats.org/officeDocument/2006/relationships/hyperlink" Target="https://techcombank.com/thong-tin/blog/the-visa-co-can-mat-khau-khong" TargetMode="External"/><Relationship Id="rId708" Type="http://schemas.openxmlformats.org/officeDocument/2006/relationships/hyperlink" Target="https://techcombank.com/thong-tin/blog/mua-iphone-17" TargetMode="External"/><Relationship Id="rId707" Type="http://schemas.openxmlformats.org/officeDocument/2006/relationships/hyperlink" Target="https://techcombank.com/thong-tin/blog/cach-lam-the-ngan-hang-chay-quang-cao-facebook" TargetMode="External"/><Relationship Id="rId706" Type="http://schemas.openxmlformats.org/officeDocument/2006/relationships/hyperlink" Target="https://techcombank.com/thong-tin/blog/the-tin-dung-nao-nhieu-uu-dai-nhat" TargetMode="External"/><Relationship Id="rId701" Type="http://schemas.openxmlformats.org/officeDocument/2006/relationships/hyperlink" Target="https://techcombank.com/thong-tin/blog/uu-dai-the-tin-dung-techcombank-signature" TargetMode="External"/><Relationship Id="rId700" Type="http://schemas.openxmlformats.org/officeDocument/2006/relationships/hyperlink" Target="https://techcombank.com/thong-tin/blog/mm-yy-la-gi" TargetMode="External"/><Relationship Id="rId705" Type="http://schemas.openxmlformats.org/officeDocument/2006/relationships/hyperlink" Target="https://techcombank.com/thong-tin/blog/so-cvv-la-gi" TargetMode="External"/><Relationship Id="rId704" Type="http://schemas.openxmlformats.org/officeDocument/2006/relationships/hyperlink" Target="https://techcombank.com/thong-tin/blog/mat-the-tin-dung-co-bi-mat-tien-khong" TargetMode="External"/><Relationship Id="rId703" Type="http://schemas.openxmlformats.org/officeDocument/2006/relationships/hyperlink" Target="https://techcombank.com/thong-tin/blog/uu-dai-mua-ve-may-bay-bang-the-tin-dung" TargetMode="External"/><Relationship Id="rId702" Type="http://schemas.openxmlformats.org/officeDocument/2006/relationships/hyperlink" Target="https://techcombank.com/thong-tin/blog/cac-loai-the-tin-dung" TargetMode="External"/><Relationship Id="rId1312" Type="http://schemas.openxmlformats.org/officeDocument/2006/relationships/hyperlink" Target="https://techcombank.com/thong-tin/blog/phi-vay-the-chap" TargetMode="External"/><Relationship Id="rId1313" Type="http://schemas.openxmlformats.org/officeDocument/2006/relationships/hyperlink" Target="https://techcombank.com/thong-tin/blog/cac-hinh-thuc-cho-vay-tieu-dung" TargetMode="External"/><Relationship Id="rId1314" Type="http://schemas.openxmlformats.org/officeDocument/2006/relationships/hyperlink" Target="https://techcombank.com/thong-tin/blog/vay-the-chap-toi-da-duoc-bao-nhieu" TargetMode="External"/><Relationship Id="rId1315" Type="http://schemas.openxmlformats.org/officeDocument/2006/relationships/hyperlink" Target="https://techcombank.com/thong-tin/blog/dieu-kien-vay-the-chap" TargetMode="External"/><Relationship Id="rId1316" Type="http://schemas.openxmlformats.org/officeDocument/2006/relationships/hyperlink" Target="https://techcombank.com/thong-tin/blog/lai-suat-vay-mua-o-to" TargetMode="External"/><Relationship Id="rId1317" Type="http://schemas.openxmlformats.org/officeDocument/2006/relationships/hyperlink" Target="https://techcombank.com/thong-tin/blog/the-chap-la-gi" TargetMode="External"/><Relationship Id="rId1318" Type="http://schemas.openxmlformats.org/officeDocument/2006/relationships/hyperlink" Target="https://techcombank.com/thong-tin/blog/vay-the-chap-khong-chung-minh-thu-nhap" TargetMode="External"/><Relationship Id="rId1319" Type="http://schemas.openxmlformats.org/officeDocument/2006/relationships/hyperlink" Target="https://techcombank.com/thong-tin/blog/quy-trinh-tat-toan-khoan-vay-the-chap" TargetMode="External"/><Relationship Id="rId729" Type="http://schemas.openxmlformats.org/officeDocument/2006/relationships/hyperlink" Target="https://techcombank.com/thong-tin/blog/tai-khoan-doanh-nghiep-co-the-khong" TargetMode="External"/><Relationship Id="rId728" Type="http://schemas.openxmlformats.org/officeDocument/2006/relationships/hyperlink" Target="https://techcombank.com/thong-tin/blog/the-tin-dung-het-han" TargetMode="External"/><Relationship Id="rId723" Type="http://schemas.openxmlformats.org/officeDocument/2006/relationships/hyperlink" Target="https://techcombank.com/thong-tin/blog/the-tin-dung-den" TargetMode="External"/><Relationship Id="rId722" Type="http://schemas.openxmlformats.org/officeDocument/2006/relationships/hyperlink" Target="https://techcombank.com/thong-tin/blog/cach-thanh-toan-the-tin-dung" TargetMode="External"/><Relationship Id="rId721" Type="http://schemas.openxmlformats.org/officeDocument/2006/relationships/hyperlink" Target="https://techcombank.com/thong-tin/blog/vay-ngan-hang-1-ty-moi-thang-tra-bao-nhieu" TargetMode="External"/><Relationship Id="rId720" Type="http://schemas.openxmlformats.org/officeDocument/2006/relationships/hyperlink" Target="https://techcombank.com/thong-tin/blog/tiet-kiem-khi-di-du-lich" TargetMode="External"/><Relationship Id="rId727" Type="http://schemas.openxmlformats.org/officeDocument/2006/relationships/hyperlink" Target="https://techcombank.com/thong-tin/blog/the-tin-dung-bi-khoa" TargetMode="External"/><Relationship Id="rId726" Type="http://schemas.openxmlformats.org/officeDocument/2006/relationships/hyperlink" Target="https://techcombank.com/thong-tin/blog/cach-khoa-the-ngan-hang" TargetMode="External"/><Relationship Id="rId725" Type="http://schemas.openxmlformats.org/officeDocument/2006/relationships/hyperlink" Target="https://techcombank.com/thong-tin/blog/khong-su-dung-the-tin-dung-co-mat-phi-khong" TargetMode="External"/><Relationship Id="rId724" Type="http://schemas.openxmlformats.org/officeDocument/2006/relationships/hyperlink" Target="https://techcombank.com/thong-tin/blog/phi-thuong-nien-la-gi" TargetMode="External"/><Relationship Id="rId1310" Type="http://schemas.openxmlformats.org/officeDocument/2006/relationships/hyperlink" Target="https://techcombank.com/thong-tin/blog/giai-ngan-vay-the-chap" TargetMode="External"/><Relationship Id="rId1311" Type="http://schemas.openxmlformats.org/officeDocument/2006/relationships/hyperlink" Target="https://techcombank.com/thong-tin/blog/no-xau-co-vay-the-chap-duoc-khong" TargetMode="External"/><Relationship Id="rId1301" Type="http://schemas.openxmlformats.org/officeDocument/2006/relationships/hyperlink" Target="https://techcombank.com/thong-tin/blog/vay-the-chap-so-bao-hiem-xa-hoi" TargetMode="External"/><Relationship Id="rId1302" Type="http://schemas.openxmlformats.org/officeDocument/2006/relationships/hyperlink" Target="https://techcombank.com/thong-tin/blog/rui-ro-khi-vay-the-chap-ngan-hang" TargetMode="External"/><Relationship Id="rId1303" Type="http://schemas.openxmlformats.org/officeDocument/2006/relationships/hyperlink" Target="https://techcombank.com/thong-tin/blog/vay-tin-chap-va-vay-the-chap" TargetMode="External"/><Relationship Id="rId1304" Type="http://schemas.openxmlformats.org/officeDocument/2006/relationships/hyperlink" Target="https://techcombank.com/thong-tin/blog/lai-suat-vay-the-chap" TargetMode="External"/><Relationship Id="rId1305" Type="http://schemas.openxmlformats.org/officeDocument/2006/relationships/hyperlink" Target="https://techcombank.com/thong-tin/blog/quy-trinh-tat-toan-khoan-vay-the-chap" TargetMode="External"/><Relationship Id="rId1306" Type="http://schemas.openxmlformats.org/officeDocument/2006/relationships/hyperlink" Target="https://techcombank.com/thong-tin/blog/vay-the-chap-xe-o-to-cu" TargetMode="External"/><Relationship Id="rId1307" Type="http://schemas.openxmlformats.org/officeDocument/2006/relationships/hyperlink" Target="https://techcombank.com/thong-tin/blog/vay-the-chap-qua-luong" TargetMode="External"/><Relationship Id="rId1308" Type="http://schemas.openxmlformats.org/officeDocument/2006/relationships/hyperlink" Target="https://techcombank.com/thong-tin/blog/ho-so-thu-tuc-xoa-the-chap" TargetMode="External"/><Relationship Id="rId1309" Type="http://schemas.openxmlformats.org/officeDocument/2006/relationships/hyperlink" Target="https://techcombank.com/thong-tin/blog/nen-mua-xe-tra-gop-hay-tra-thang" TargetMode="External"/><Relationship Id="rId719" Type="http://schemas.openxmlformats.org/officeDocument/2006/relationships/hyperlink" Target="https://techcombank.com/thong-tin/blog/phi-rut-tien-mat-the-tin-dung" TargetMode="External"/><Relationship Id="rId718" Type="http://schemas.openxmlformats.org/officeDocument/2006/relationships/hyperlink" Target="https://techcombank.com/thong-tin/blog/qua-han-thanh-toan-the-tin-dung-1-ngay" TargetMode="External"/><Relationship Id="rId717" Type="http://schemas.openxmlformats.org/officeDocument/2006/relationships/hyperlink" Target="https://techcombank.com/thong-tin/blog/the-tin-dung-quoc-te" TargetMode="External"/><Relationship Id="rId712" Type="http://schemas.openxmlformats.org/officeDocument/2006/relationships/hyperlink" Target="https://techcombank.com/thong-tin/blog/the-ghi-no-va-the-tin-dung" TargetMode="External"/><Relationship Id="rId711" Type="http://schemas.openxmlformats.org/officeDocument/2006/relationships/hyperlink" Target="https://techcombank.com/thong-tin/blog/tra-cuu-han-muc-the-tin-dung" TargetMode="External"/><Relationship Id="rId710" Type="http://schemas.openxmlformats.org/officeDocument/2006/relationships/hyperlink" Target="https://techcombank.com/thong-tin/blog/mua-truoc-tra-sau" TargetMode="External"/><Relationship Id="rId716" Type="http://schemas.openxmlformats.org/officeDocument/2006/relationships/hyperlink" Target="https://techcombank.com/thong-tin/blog/ma-buu-chinh-the-tin-dung" TargetMode="External"/><Relationship Id="rId715" Type="http://schemas.openxmlformats.org/officeDocument/2006/relationships/hyperlink" Target="https://techcombank.com/thong-tin/blog/co-nen-dung-the-tin-dung-khong" TargetMode="External"/><Relationship Id="rId714" Type="http://schemas.openxmlformats.org/officeDocument/2006/relationships/hyperlink" Target="https://techcombank.com/thong-tin/blog/cach-huy-the-tin-dung" TargetMode="External"/><Relationship Id="rId713" Type="http://schemas.openxmlformats.org/officeDocument/2006/relationships/hyperlink" Target="https://techcombank.com/thong-tin/blog/the-tin-dung-het-han" TargetMode="External"/><Relationship Id="rId1300" Type="http://schemas.openxmlformats.org/officeDocument/2006/relationships/hyperlink" Target="https://techcombank.com/thong-tin/blog/vay-the-chap-khong-tra-duoc" TargetMode="External"/><Relationship Id="rId1378" Type="http://schemas.openxmlformats.org/officeDocument/2006/relationships/hyperlink" Target="https://techcombank.com/thong-tin/blog/xu-huong-dau-tu-trai-phieu-ky-han-duoi-mot-nam-lua-chon-an-toan-khi-thi-truong-bien-dong" TargetMode="External"/><Relationship Id="rId1379" Type="http://schemas.openxmlformats.org/officeDocument/2006/relationships/hyperlink" Target="https://techcombank.com/thong-tin/blog/gui-tiet-kiem-online-bi-mat-tien" TargetMode="External"/><Relationship Id="rId789" Type="http://schemas.openxmlformats.org/officeDocument/2006/relationships/hyperlink" Target="https://techcombank.com/thong-tin/blog/no-xau-co-lam-the-visa-duoc-khong" TargetMode="External"/><Relationship Id="rId788" Type="http://schemas.openxmlformats.org/officeDocument/2006/relationships/hyperlink" Target="https://techcombank.com/thong-tin/blog/cho-vay-tieu-dung-la-gi" TargetMode="External"/><Relationship Id="rId787" Type="http://schemas.openxmlformats.org/officeDocument/2006/relationships/hyperlink" Target="https://techcombank.com/thong-tin/blog/qua-han-thanh-toan-the-tin-dung-1-ngay" TargetMode="External"/><Relationship Id="rId786" Type="http://schemas.openxmlformats.org/officeDocument/2006/relationships/hyperlink" Target="https://techcombank.com/thong-tin/blog/han-muc-thau-chi-la-gi" TargetMode="External"/><Relationship Id="rId781" Type="http://schemas.openxmlformats.org/officeDocument/2006/relationships/hyperlink" Target="https://techcombank.com/thong-tin/blog/no-chu-y-la-gi" TargetMode="External"/><Relationship Id="rId1370" Type="http://schemas.openxmlformats.org/officeDocument/2006/relationships/hyperlink" Target="https://techcombank.com/thong-tin/blog/gui-tiet-kiem-lay-lai-hang-thang" TargetMode="External"/><Relationship Id="rId780" Type="http://schemas.openxmlformats.org/officeDocument/2006/relationships/hyperlink" Target="https://techcombank.com/thong-tin/blog/vay-the-chap-khong-tra-duoc" TargetMode="External"/><Relationship Id="rId1371" Type="http://schemas.openxmlformats.org/officeDocument/2006/relationships/hyperlink" Target="https://techcombank.com/thong-tin/blog/rui-ro-khi-gui-tiet-kiem-online" TargetMode="External"/><Relationship Id="rId1372" Type="http://schemas.openxmlformats.org/officeDocument/2006/relationships/hyperlink" Target="https://techcombank.com/thong-tin/blog/cach-tinh-lai-suat-tien-gui-tiet-kiem" TargetMode="External"/><Relationship Id="rId1373" Type="http://schemas.openxmlformats.org/officeDocument/2006/relationships/hyperlink" Target="https://techcombank.com/thong-tin/blog/chon-kenh-dau-tu-an-toan-trong-boi-canh-thi-truong-bien-dong" TargetMode="External"/><Relationship Id="rId785" Type="http://schemas.openxmlformats.org/officeDocument/2006/relationships/hyperlink" Target="https://techcombank.com/thong-tin/blog/no-xau-la-gi" TargetMode="External"/><Relationship Id="rId1374" Type="http://schemas.openxmlformats.org/officeDocument/2006/relationships/hyperlink" Target="https://techcombank.com/thong-tin/blog/mo-so-tiet-kiem-can-bao-nhieu-tien" TargetMode="External"/><Relationship Id="rId784" Type="http://schemas.openxmlformats.org/officeDocument/2006/relationships/hyperlink" Target="https://techcombank.com/thong-tin/blog/no-xau" TargetMode="External"/><Relationship Id="rId1375" Type="http://schemas.openxmlformats.org/officeDocument/2006/relationships/hyperlink" Target="https://techcombank.com/thong-tin/blog/gui-tiet-kiem-ngoai-te" TargetMode="External"/><Relationship Id="rId783" Type="http://schemas.openxmlformats.org/officeDocument/2006/relationships/hyperlink" Target="https://techcombank.com/thong-tin/blog/kiem-tra-no-xau" TargetMode="External"/><Relationship Id="rId1376" Type="http://schemas.openxmlformats.org/officeDocument/2006/relationships/hyperlink" Target="https://techcombank.com/thong-tin/blog/rui-ro-khi-gui-tiet-kiem-ngan-hang" TargetMode="External"/><Relationship Id="rId782" Type="http://schemas.openxmlformats.org/officeDocument/2006/relationships/hyperlink" Target="https://techcombank.com/thong-tin/blog/diem-tin-dung" TargetMode="External"/><Relationship Id="rId1377" Type="http://schemas.openxmlformats.org/officeDocument/2006/relationships/hyperlink" Target="https://techcombank.com/thong-tin/blog/gui-tiet-kiem-hang-thang" TargetMode="External"/><Relationship Id="rId1367" Type="http://schemas.openxmlformats.org/officeDocument/2006/relationships/hyperlink" Target="https://techcombank.com/thong-tin/blog/dau-tu-trai-phieu-doanh-nghiep-dung-ham-lai-suat-cao" TargetMode="External"/><Relationship Id="rId1368" Type="http://schemas.openxmlformats.org/officeDocument/2006/relationships/hyperlink" Target="https://techcombank.com/thong-tin/blog/casa-la-gi" TargetMode="External"/><Relationship Id="rId1369" Type="http://schemas.openxmlformats.org/officeDocument/2006/relationships/hyperlink" Target="https://techcombank.com/thong-tin/blog/gui-tiet-kiem-tich-luy-la-gi" TargetMode="External"/><Relationship Id="rId778" Type="http://schemas.openxmlformats.org/officeDocument/2006/relationships/hyperlink" Target="https://techcombank.com/thong-tin/blog/du-no-tin-dung-la-gi" TargetMode="External"/><Relationship Id="rId777" Type="http://schemas.openxmlformats.org/officeDocument/2006/relationships/hyperlink" Target="https://techcombank.com/thong-tin/blog/tin-dung-la-gi" TargetMode="External"/><Relationship Id="rId776" Type="http://schemas.openxmlformats.org/officeDocument/2006/relationships/hyperlink" Target="https://techcombank.com/thong-tin/blog/no-xau-co-vay-the-chap-duoc-khong" TargetMode="External"/><Relationship Id="rId775" Type="http://schemas.openxmlformats.org/officeDocument/2006/relationships/hyperlink" Target="https://techcombank.com/thong-tin/blog/dieu-kien-vay-von-ngan-hang" TargetMode="External"/><Relationship Id="rId779" Type="http://schemas.openxmlformats.org/officeDocument/2006/relationships/hyperlink" Target="https://techcombank.com/thong-tin/blog/vay-san-xuat-kinh-doanh" TargetMode="External"/><Relationship Id="rId770" Type="http://schemas.openxmlformats.org/officeDocument/2006/relationships/hyperlink" Target="https://techcombank.com/thong-tin/blog/cic-la-gi" TargetMode="External"/><Relationship Id="rId1360" Type="http://schemas.openxmlformats.org/officeDocument/2006/relationships/hyperlink" Target="https://techcombank.com/thong-tin/blog/nen-de-tien-trong-the-hay-gui-tiet-kiem" TargetMode="External"/><Relationship Id="rId1361" Type="http://schemas.openxmlformats.org/officeDocument/2006/relationships/hyperlink" Target="https://techcombank.com/thong-tin/blog/tien-gui-khong-ky-han" TargetMode="External"/><Relationship Id="rId1362" Type="http://schemas.openxmlformats.org/officeDocument/2006/relationships/hyperlink" Target="https://techcombank.com/thong-tin/blog/vay-mua-nha-tra-gop" TargetMode="External"/><Relationship Id="rId774" Type="http://schemas.openxmlformats.org/officeDocument/2006/relationships/hyperlink" Target="https://techcombank.com/thong-tin/blog/lich-su-tin-dung" TargetMode="External"/><Relationship Id="rId1363" Type="http://schemas.openxmlformats.org/officeDocument/2006/relationships/hyperlink" Target="https://techcombank.com/thong-tin/blog/co-nen-gui-tiet-kiem-online" TargetMode="External"/><Relationship Id="rId773" Type="http://schemas.openxmlformats.org/officeDocument/2006/relationships/hyperlink" Target="https://techcombank.com/thong-tin/blog/lam-ho-so-tra-gop-dien-thoai" TargetMode="External"/><Relationship Id="rId1364" Type="http://schemas.openxmlformats.org/officeDocument/2006/relationships/hyperlink" Target="https://techcombank.com/thong-tin/blog/gui-tiet-kiem-ngan-hang-van-la-lua-chon-an-toan-trong-thoi-ky-kinh-te-con-nhieu-bien-dong" TargetMode="External"/><Relationship Id="rId772" Type="http://schemas.openxmlformats.org/officeDocument/2006/relationships/hyperlink" Target="https://techcombank.com/thong-tin/blog/the-tin-dung-noi-dia" TargetMode="External"/><Relationship Id="rId1365" Type="http://schemas.openxmlformats.org/officeDocument/2006/relationships/hyperlink" Target="https://techcombank.com/thong-tin/blog/cach-gui-tiet-kiem-online" TargetMode="External"/><Relationship Id="rId771" Type="http://schemas.openxmlformats.org/officeDocument/2006/relationships/hyperlink" Target="https://techcombank.com/thong-tin/blog/sao-ke-the-tin-dung-la-gi" TargetMode="External"/><Relationship Id="rId1366" Type="http://schemas.openxmlformats.org/officeDocument/2006/relationships/hyperlink" Target="https://techcombank.com/thong-tin/blog/gui-tien-ngan-hang-co-an-toan-khong" TargetMode="External"/><Relationship Id="rId1390" Type="http://schemas.openxmlformats.org/officeDocument/2006/relationships/hyperlink" Target="https://techcombank.com/thong-tin/blog/cach-tinh-ty-gia-ky-han" TargetMode="External"/><Relationship Id="rId1391" Type="http://schemas.openxmlformats.org/officeDocument/2006/relationships/hyperlink" Target="https://techcombank.com/thong-tin/blog/lai-kep-ngan-hang" TargetMode="External"/><Relationship Id="rId1392" Type="http://schemas.openxmlformats.org/officeDocument/2006/relationships/hyperlink" Target="https://techcombank.com/thong-tin/blog/gui-tiet-kiem-lay-lai-hang-thang" TargetMode="External"/><Relationship Id="rId1393" Type="http://schemas.openxmlformats.org/officeDocument/2006/relationships/hyperlink" Target="https://techcombank.com/thong-tin/blog/gui-tiet-kiem-hang-thang" TargetMode="External"/><Relationship Id="rId1394" Type="http://schemas.openxmlformats.org/officeDocument/2006/relationships/hyperlink" Target="https://techcombank.com/thong-tin/blog/tien-gui-khong-ky-han" TargetMode="External"/><Relationship Id="rId1395" Type="http://schemas.openxmlformats.org/officeDocument/2006/relationships/hyperlink" Target="https://techcombank.com/thong-tin/blog/dao-han-la-gi" TargetMode="External"/><Relationship Id="rId1396" Type="http://schemas.openxmlformats.org/officeDocument/2006/relationships/hyperlink" Target="https://techcombank.com/thong-tin/blog/lai-suat-vay-kinh-doanh" TargetMode="External"/><Relationship Id="rId1397" Type="http://schemas.openxmlformats.org/officeDocument/2006/relationships/hyperlink" Target="https://techcombank.com/thong-tin/blog/cong-thuc-tinh-lai-suat-thuc" TargetMode="External"/><Relationship Id="rId1398" Type="http://schemas.openxmlformats.org/officeDocument/2006/relationships/hyperlink" Target="https://techcombank.com/thong-tin/blog/quy-trinh-gui-tien-tiet-kiem" TargetMode="External"/><Relationship Id="rId1399" Type="http://schemas.openxmlformats.org/officeDocument/2006/relationships/hyperlink" Target="https://techcombank.com/thong-tin/blog/gui-tiet-kiem-theo-ngay" TargetMode="External"/><Relationship Id="rId1389" Type="http://schemas.openxmlformats.org/officeDocument/2006/relationships/hyperlink" Target="https://techcombank.com/thong-tin/blog/gui-tiet-kiem-usd" TargetMode="External"/><Relationship Id="rId799" Type="http://schemas.openxmlformats.org/officeDocument/2006/relationships/hyperlink" Target="https://techcombank.com/thong-tin/blog/luu-y-khi-su-dung-the-tin-dung" TargetMode="External"/><Relationship Id="rId798" Type="http://schemas.openxmlformats.org/officeDocument/2006/relationships/hyperlink" Target="https://techcombank.com/thong-tin/blog/no-the-tin-dung-qua-han" TargetMode="External"/><Relationship Id="rId797" Type="http://schemas.openxmlformats.org/officeDocument/2006/relationships/hyperlink" Target="https://techcombank.com/thong-tin/blog/no-xau-mo-the-tin-dung-duoc-khong" TargetMode="External"/><Relationship Id="rId1380" Type="http://schemas.openxmlformats.org/officeDocument/2006/relationships/hyperlink" Target="https://techcombank.com/thong-tin/blog/kinh-nghiem-gui-tiet-kiem-online" TargetMode="External"/><Relationship Id="rId792" Type="http://schemas.openxmlformats.org/officeDocument/2006/relationships/hyperlink" Target="https://techcombank.com/thong-tin/blog/spaylater" TargetMode="External"/><Relationship Id="rId1381" Type="http://schemas.openxmlformats.org/officeDocument/2006/relationships/hyperlink" Target="https://techcombank.com/thong-tin/blog/gui-tiet-kiem-online-co-rut-truoc-han-duoc-khong" TargetMode="External"/><Relationship Id="rId791" Type="http://schemas.openxmlformats.org/officeDocument/2006/relationships/hyperlink" Target="https://techcombank.com/thong-tin/blog/thanh-toan-toi-thieu-the-tin-dung" TargetMode="External"/><Relationship Id="rId1382" Type="http://schemas.openxmlformats.org/officeDocument/2006/relationships/hyperlink" Target="https://techcombank.com/thong-tin/blog/gui-tiet-kiem-online-quay-vong-ca-goc-va-lai" TargetMode="External"/><Relationship Id="rId790" Type="http://schemas.openxmlformats.org/officeDocument/2006/relationships/hyperlink" Target="https://techcombank.com/thong-tin/blog/thu-tuc-vay-ngan-hang-mua-nha" TargetMode="External"/><Relationship Id="rId1383" Type="http://schemas.openxmlformats.org/officeDocument/2006/relationships/hyperlink" Target="https://techcombank.com/thong-tin/blog/chung-chi-tien-gui-khac-gi-so-tiet-kiem" TargetMode="External"/><Relationship Id="rId1384" Type="http://schemas.openxmlformats.org/officeDocument/2006/relationships/hyperlink" Target="https://techcombank.com/thong-tin/blog/chung-chi-tien-gui-co-duoc-rut-truoc-han" TargetMode="External"/><Relationship Id="rId796" Type="http://schemas.openxmlformats.org/officeDocument/2006/relationships/hyperlink" Target="https://techcombank.com/thong-tin/blog/the-tin-dung-bi-khoa" TargetMode="External"/><Relationship Id="rId1385" Type="http://schemas.openxmlformats.org/officeDocument/2006/relationships/hyperlink" Target="https://techcombank.com/thong-tin/blog/cach-tiet-kiem-tien-sinh-loi" TargetMode="External"/><Relationship Id="rId795" Type="http://schemas.openxmlformats.org/officeDocument/2006/relationships/hyperlink" Target="https://techcombank.com/thong-tin/blog/cic-la-gi" TargetMode="External"/><Relationship Id="rId1386" Type="http://schemas.openxmlformats.org/officeDocument/2006/relationships/hyperlink" Target="https://techcombank.com/thong-tin/blog/co-50-trieu-nen-mua-vang-hay-gui-tiet-kiem" TargetMode="External"/><Relationship Id="rId794" Type="http://schemas.openxmlformats.org/officeDocument/2006/relationships/hyperlink" Target="https://techcombank.com/thong-tin/blog/no-nhom-3" TargetMode="External"/><Relationship Id="rId1387" Type="http://schemas.openxmlformats.org/officeDocument/2006/relationships/hyperlink" Target="https://techcombank.com/thong-tin/blog/lai-suat-cho-vay-doanh-nghiep" TargetMode="External"/><Relationship Id="rId793" Type="http://schemas.openxmlformats.org/officeDocument/2006/relationships/hyperlink" Target="https://techcombank.com/thong-tin/blog/lai-suat-vay-the-chap-so-do" TargetMode="External"/><Relationship Id="rId1388" Type="http://schemas.openxmlformats.org/officeDocument/2006/relationships/hyperlink" Target="https://techcombank.com/thong-tin/blog/lai-suat-gui-tiet-kiem-usd" TargetMode="External"/><Relationship Id="rId1455" Type="http://schemas.openxmlformats.org/officeDocument/2006/relationships/hyperlink" Target="https://techcombank.com/thong-tin/blog/chuyen-nhuong-chung-chi-tien-gui" TargetMode="External"/><Relationship Id="rId1456" Type="http://schemas.openxmlformats.org/officeDocument/2006/relationships/hyperlink" Target="https://techcombank.com/thong-tin/blog/no-xau-mo-the-tin-dung-duoc-khong" TargetMode="External"/><Relationship Id="rId1457" Type="http://schemas.openxmlformats.org/officeDocument/2006/relationships/hyperlink" Target="https://techcombank.com/thong-tin/blog/rut-tien-bao-hiem-nhan-tho-khi-het-han" TargetMode="External"/><Relationship Id="rId1458" Type="http://schemas.openxmlformats.org/officeDocument/2006/relationships/hyperlink" Target="https://techcombank.com/thong-tin/blog/mo-the-tin-dung-khong-can-chung-minh-thu-nhap" TargetMode="External"/><Relationship Id="rId1459" Type="http://schemas.openxmlformats.org/officeDocument/2006/relationships/hyperlink" Target="https://techcombank.com/thong-tin/blog/chung-chi-tien-gui-khac-gi-so-tiet-kiem" TargetMode="External"/><Relationship Id="rId629" Type="http://schemas.openxmlformats.org/officeDocument/2006/relationships/hyperlink" Target="https://techcombank.com/thong-tin/blog/cay-atm-gan-day" TargetMode="External"/><Relationship Id="rId624" Type="http://schemas.openxmlformats.org/officeDocument/2006/relationships/hyperlink" Target="https://techcombank.com/thong-tin/blog/cach-rut-tien-atm" TargetMode="External"/><Relationship Id="rId623" Type="http://schemas.openxmlformats.org/officeDocument/2006/relationships/hyperlink" Target="https://techcombank.com/thong-tin/blog/xu-huong-thanh-toan-khong-dung-tien-mat-tai-viet-nam" TargetMode="External"/><Relationship Id="rId622" Type="http://schemas.openxmlformats.org/officeDocument/2006/relationships/hyperlink" Target="https://techcombank.com/thong-tin/blog/nang-han-muc-tin-dung" TargetMode="External"/><Relationship Id="rId621" Type="http://schemas.openxmlformats.org/officeDocument/2006/relationships/hyperlink" Target="https://techcombank.com/thong-tin/blog/cach-su-dung-the-tin-dung" TargetMode="External"/><Relationship Id="rId628" Type="http://schemas.openxmlformats.org/officeDocument/2006/relationships/hyperlink" Target="https://techcombank.com/thong-tin/blog/the-he-tre-day-manh-xu-huong-thanh-toan-khong-dung-tien-mat" TargetMode="External"/><Relationship Id="rId627" Type="http://schemas.openxmlformats.org/officeDocument/2006/relationships/hyperlink" Target="https://techcombank.com/thong-tin/blog/thanh-toan-khong-tien-mat-trong-nganh-giao-duc-co-hoi-va-thach-thuc" TargetMode="External"/><Relationship Id="rId626" Type="http://schemas.openxmlformats.org/officeDocument/2006/relationships/hyperlink" Target="https://techcombank.com/thong-tin/blog/cach-su-dung-the-visa-techcombank" TargetMode="External"/><Relationship Id="rId625" Type="http://schemas.openxmlformats.org/officeDocument/2006/relationships/hyperlink" Target="https://techcombank.com/thong-tin/blog/rut-tien-bao-hiem-nhan-tho-khi-het-han" TargetMode="External"/><Relationship Id="rId1450" Type="http://schemas.openxmlformats.org/officeDocument/2006/relationships/hyperlink" Target="https://techcombank.com/thong-tin/blog/tat-toan" TargetMode="External"/><Relationship Id="rId620" Type="http://schemas.openxmlformats.org/officeDocument/2006/relationships/hyperlink" Target="https://techcombank.com/thong-tin/blog/the-tin-dung-la-gi" TargetMode="External"/><Relationship Id="rId1451" Type="http://schemas.openxmlformats.org/officeDocument/2006/relationships/hyperlink" Target="https://techcombank.com/thong-tin/blog/dao-han-la-gi" TargetMode="External"/><Relationship Id="rId1452" Type="http://schemas.openxmlformats.org/officeDocument/2006/relationships/hyperlink" Target="https://techcombank.com/thong-tin/blog/quy-trinh-tat-toan-khoan-vay-the-chap" TargetMode="External"/><Relationship Id="rId1453" Type="http://schemas.openxmlformats.org/officeDocument/2006/relationships/hyperlink" Target="https://techcombank.com/thong-tin/blog/tat-toan-chung-chi-tien-gui" TargetMode="External"/><Relationship Id="rId1454" Type="http://schemas.openxmlformats.org/officeDocument/2006/relationships/hyperlink" Target="https://techcombank.com/thong-tin/blog/mo-so-tiet-kiem-can-bao-nhieu-tien" TargetMode="External"/><Relationship Id="rId1444" Type="http://schemas.openxmlformats.org/officeDocument/2006/relationships/hyperlink" Target="https://techcombank.com/thong-tin/blog/tat-toan-so-tiet-kiem" TargetMode="External"/><Relationship Id="rId1445" Type="http://schemas.openxmlformats.org/officeDocument/2006/relationships/hyperlink" Target="https://techcombank.com/thong-tin/blog/gui-tiet-kiem-online-co-rut-truoc-han-duoc-khong" TargetMode="External"/><Relationship Id="rId1446" Type="http://schemas.openxmlformats.org/officeDocument/2006/relationships/hyperlink" Target="https://techcombank.com/thong-tin/blog/vay-thau-chi-bang-so-tiet-kiem" TargetMode="External"/><Relationship Id="rId1447" Type="http://schemas.openxmlformats.org/officeDocument/2006/relationships/hyperlink" Target="https://techcombank.com/thong-tin/blog/mat-so-tiet-kiem" TargetMode="External"/><Relationship Id="rId1448" Type="http://schemas.openxmlformats.org/officeDocument/2006/relationships/hyperlink" Target="https://techcombank.com/thong-tin/blog/gui-them-tien-vao-so-tiet-kiem" TargetMode="External"/><Relationship Id="rId1449" Type="http://schemas.openxmlformats.org/officeDocument/2006/relationships/hyperlink" Target="https://techcombank.com/thong-tin/blog/so-tiet-kiem-ngan-hang" TargetMode="External"/><Relationship Id="rId619" Type="http://schemas.openxmlformats.org/officeDocument/2006/relationships/hyperlink" Target="https://techcombank.com/thong-tin/blog/vay-tien-mat" TargetMode="External"/><Relationship Id="rId618" Type="http://schemas.openxmlformats.org/officeDocument/2006/relationships/hyperlink" Target="https://techcombank.com/thong-tin/blog/bi-nuot-the-atm-phai-lam-sao" TargetMode="External"/><Relationship Id="rId613" Type="http://schemas.openxmlformats.org/officeDocument/2006/relationships/hyperlink" Target="https://techcombank.com/thong-tin/blog/the-atm-khong-rut-duoc-tien" TargetMode="External"/><Relationship Id="rId612" Type="http://schemas.openxmlformats.org/officeDocument/2006/relationships/hyperlink" Target="https://techcombank.com/thong-tin/blog/the-visa-de-lam-gi" TargetMode="External"/><Relationship Id="rId611" Type="http://schemas.openxmlformats.org/officeDocument/2006/relationships/hyperlink" Target="https://techcombank.com/thong-tin/blog/tra-cuu-han-muc-the-tin-dung" TargetMode="External"/><Relationship Id="rId610" Type="http://schemas.openxmlformats.org/officeDocument/2006/relationships/hyperlink" Target="https://techcombank.com/thong-tin/blog/rut-tien-bang-ma-qr-khac-ngan-hang-duoc-khong" TargetMode="External"/><Relationship Id="rId617" Type="http://schemas.openxmlformats.org/officeDocument/2006/relationships/hyperlink" Target="https://techcombank.com/thong-tin/blog/thanh-toan-khong-dung-tien-mat-tro-thanh-xu-huong-tang-truong-chong-mat" TargetMode="External"/><Relationship Id="rId616" Type="http://schemas.openxmlformats.org/officeDocument/2006/relationships/hyperlink" Target="https://techcombank.com/thong-tin/blog/ty-le-thanh-toan-khong-dung-tien-mat-trong-linh-vuc-y-te-con-han-che" TargetMode="External"/><Relationship Id="rId615" Type="http://schemas.openxmlformats.org/officeDocument/2006/relationships/hyperlink" Target="https://techcombank.com/thong-tin/blog/rut-tien-bang-ma-qr-la-gi-cach-thuc-hien-nhu-the-nao" TargetMode="External"/><Relationship Id="rId614" Type="http://schemas.openxmlformats.org/officeDocument/2006/relationships/hyperlink" Target="https://techcombank.com/thong-tin/blog/rut-tien-tiet-kiem-truoc-thoi-han" TargetMode="External"/><Relationship Id="rId1440" Type="http://schemas.openxmlformats.org/officeDocument/2006/relationships/hyperlink" Target="https://techcombank.com/thong-tin/blog/vay-tin-chap-la-gi" TargetMode="External"/><Relationship Id="rId1441" Type="http://schemas.openxmlformats.org/officeDocument/2006/relationships/hyperlink" Target="https://techcombank.com/thong-tin/blog/tien-gui-co-ky-han" TargetMode="External"/><Relationship Id="rId1442" Type="http://schemas.openxmlformats.org/officeDocument/2006/relationships/hyperlink" Target="https://techcombank.com/thong-tin/blog/lai-suat-gui-tiet-kiem-usd" TargetMode="External"/><Relationship Id="rId1443" Type="http://schemas.openxmlformats.org/officeDocument/2006/relationships/hyperlink" Target="https://techcombank.com/thong-tin/blog/gui-tiet-kiem-usd" TargetMode="External"/><Relationship Id="rId1477" Type="http://schemas.openxmlformats.org/officeDocument/2006/relationships/hyperlink" Target="https://techcombank.com/thong-tin/blog/co-nen-gui-tiet-kiem-ngan-hang" TargetMode="External"/><Relationship Id="rId1478" Type="http://schemas.openxmlformats.org/officeDocument/2006/relationships/hyperlink" Target="https://techcombank.com/thong-tin/blog/lai-suat-tiet-kiem" TargetMode="External"/><Relationship Id="rId1479" Type="http://schemas.openxmlformats.org/officeDocument/2006/relationships/hyperlink" Target="https://techcombank.com/thong-tin/blog/co-nen-gui-tiet-kiem-online" TargetMode="External"/><Relationship Id="rId646" Type="http://schemas.openxmlformats.org/officeDocument/2006/relationships/hyperlink" Target="https://techcombank.com/thong-tin/blog/so-cvv-la-gi" TargetMode="External"/><Relationship Id="rId645" Type="http://schemas.openxmlformats.org/officeDocument/2006/relationships/hyperlink" Target="https://techcombank.com/thong-tin/blog/mat-the-tin-dung-co-bi-mat-tien-khong" TargetMode="External"/><Relationship Id="rId644" Type="http://schemas.openxmlformats.org/officeDocument/2006/relationships/hyperlink" Target="https://techcombank.com/thong-tin/blog/uu-dai-mua-ve-may-bay-bang-the-tin-dung" TargetMode="External"/><Relationship Id="rId643" Type="http://schemas.openxmlformats.org/officeDocument/2006/relationships/hyperlink" Target="https://techcombank.com/thong-tin/blog/the-tin-dung-mien-phi-thuong-nien" TargetMode="External"/><Relationship Id="rId649" Type="http://schemas.openxmlformats.org/officeDocument/2006/relationships/hyperlink" Target="https://techcombank.com/thong-tin/blog/cach-lam-the-ngan-hang-chay-quang-cao-facebook" TargetMode="External"/><Relationship Id="rId648" Type="http://schemas.openxmlformats.org/officeDocument/2006/relationships/hyperlink" Target="https://techcombank.com/thong-tin/blog/the-tin-dung-nao-nhieu-uu-dai-nhat" TargetMode="External"/><Relationship Id="rId647" Type="http://schemas.openxmlformats.org/officeDocument/2006/relationships/hyperlink" Target="https://techcombank.com/thong-tin/blog/lam-the-atm-co-mat-phi-khong" TargetMode="External"/><Relationship Id="rId1470" Type="http://schemas.openxmlformats.org/officeDocument/2006/relationships/hyperlink" Target="https://techcombank.com/thong-tin/blog/gui-tiet-kiem-vang" TargetMode="External"/><Relationship Id="rId1471" Type="http://schemas.openxmlformats.org/officeDocument/2006/relationships/hyperlink" Target="https://techcombank.com/thong-tin/blog/nen-gui-tiet-kiem-thong-thuong-hay-tich-luy" TargetMode="External"/><Relationship Id="rId1472" Type="http://schemas.openxmlformats.org/officeDocument/2006/relationships/hyperlink" Target="https://techcombank.com/thong-tin/blog/tai-sao-gui-tiet-kiem-online-lai-suat-cao-hon" TargetMode="External"/><Relationship Id="rId642" Type="http://schemas.openxmlformats.org/officeDocument/2006/relationships/hyperlink" Target="https://techcombank.com/thong-tin/blog/cac-loai-the-tin-dung" TargetMode="External"/><Relationship Id="rId1473" Type="http://schemas.openxmlformats.org/officeDocument/2006/relationships/hyperlink" Target="https://techcombank.com/thong-tin/blog/tat-toan-so-tiet-kiem" TargetMode="External"/><Relationship Id="rId641" Type="http://schemas.openxmlformats.org/officeDocument/2006/relationships/hyperlink" Target="https://techcombank.com/thong-tin/blog/uu-dai-the-tin-dung-techcombank-signature" TargetMode="External"/><Relationship Id="rId1474" Type="http://schemas.openxmlformats.org/officeDocument/2006/relationships/hyperlink" Target="https://techcombank.com/thong-tin/blog/tat-toan" TargetMode="External"/><Relationship Id="rId640" Type="http://schemas.openxmlformats.org/officeDocument/2006/relationships/hyperlink" Target="https://techcombank.com/thong-tin/blog/mm-yy-la-gi" TargetMode="External"/><Relationship Id="rId1475" Type="http://schemas.openxmlformats.org/officeDocument/2006/relationships/hyperlink" Target="https://techcombank.com/thong-tin/blog/dao-han-la-gi" TargetMode="External"/><Relationship Id="rId1476" Type="http://schemas.openxmlformats.org/officeDocument/2006/relationships/hyperlink" Target="https://techcombank.com/thong-tin/blog/nen-de-tien-trong-the-hay-gui-tiet-kiem" TargetMode="External"/><Relationship Id="rId1466" Type="http://schemas.openxmlformats.org/officeDocument/2006/relationships/hyperlink" Target="https://techcombank.com/thong-tin/blog/gui-them-tien-vao-so-tiet-kiem" TargetMode="External"/><Relationship Id="rId1467" Type="http://schemas.openxmlformats.org/officeDocument/2006/relationships/hyperlink" Target="https://techcombank.com/thong-tin/blog/quy-trinh-gui-tien-tiet-kiem" TargetMode="External"/><Relationship Id="rId1468" Type="http://schemas.openxmlformats.org/officeDocument/2006/relationships/hyperlink" Target="https://techcombank.com/thong-tin/blog/gui-tiet-kiem-theo-ngay" TargetMode="External"/><Relationship Id="rId1469" Type="http://schemas.openxmlformats.org/officeDocument/2006/relationships/hyperlink" Target="https://techcombank.com/thong-tin/blog/tai-khoan-thanh-toan-la-gi" TargetMode="External"/><Relationship Id="rId635" Type="http://schemas.openxmlformats.org/officeDocument/2006/relationships/hyperlink" Target="https://techcombank.com/thong-tin/blog/mo-the-tin-dung-chi-can-cccd" TargetMode="External"/><Relationship Id="rId634" Type="http://schemas.openxmlformats.org/officeDocument/2006/relationships/hyperlink" Target="https://techcombank.com/thong-tin/blog/the-tin-dung-la-gi" TargetMode="External"/><Relationship Id="rId633" Type="http://schemas.openxmlformats.org/officeDocument/2006/relationships/hyperlink" Target="https://techcombank.com/thong-tin/blog/tien-gui-co-ky-han" TargetMode="External"/><Relationship Id="rId632" Type="http://schemas.openxmlformats.org/officeDocument/2006/relationships/hyperlink" Target="https://techcombank.com/thong-tin/blog/the-ghi-no-co-rut-tien-duoc-khong" TargetMode="External"/><Relationship Id="rId639" Type="http://schemas.openxmlformats.org/officeDocument/2006/relationships/hyperlink" Target="https://techcombank.com/thong-tin/blog/tai-khoan-doanh-nghiep-co-the-khong" TargetMode="External"/><Relationship Id="rId638" Type="http://schemas.openxmlformats.org/officeDocument/2006/relationships/hyperlink" Target="https://techcombank.com/thong-tin/blog/co-nen-dung-the-tin-dung-khong" TargetMode="External"/><Relationship Id="rId637" Type="http://schemas.openxmlformats.org/officeDocument/2006/relationships/hyperlink" Target="https://techcombank.com/thong-tin/blog/mo-the-tin-dung-khong-can-chung-minh-thu-nhap" TargetMode="External"/><Relationship Id="rId636" Type="http://schemas.openxmlformats.org/officeDocument/2006/relationships/hyperlink" Target="https://techcombank.com/thong-tin/blog/lam-the-tin-dung-co-mat-phi-khong" TargetMode="External"/><Relationship Id="rId1460" Type="http://schemas.openxmlformats.org/officeDocument/2006/relationships/hyperlink" Target="https://techcombank.com/thong-tin/blog/chung-chi-tien-gui-co-duoc-rut-truoc-han" TargetMode="External"/><Relationship Id="rId1461" Type="http://schemas.openxmlformats.org/officeDocument/2006/relationships/hyperlink" Target="https://techcombank.com/thong-tin/blog/vay-20-trieu" TargetMode="External"/><Relationship Id="rId631" Type="http://schemas.openxmlformats.org/officeDocument/2006/relationships/hyperlink" Target="https://techcombank.com/thong-tin/blog/cach-su-dung-the-ghi-no" TargetMode="External"/><Relationship Id="rId1462" Type="http://schemas.openxmlformats.org/officeDocument/2006/relationships/hyperlink" Target="https://techcombank.com/thong-tin/blog/tien-gui-co-ky-han" TargetMode="External"/><Relationship Id="rId630" Type="http://schemas.openxmlformats.org/officeDocument/2006/relationships/hyperlink" Target="https://techcombank.com/thong-tin/blog/dang-vay-tra-gop-co-vay-them-duoc-khong" TargetMode="External"/><Relationship Id="rId1463" Type="http://schemas.openxmlformats.org/officeDocument/2006/relationships/hyperlink" Target="https://techcombank.com/thong-tin/blog/mo-so-tiet-kiem-can-bao-nhieu-tien" TargetMode="External"/><Relationship Id="rId1464" Type="http://schemas.openxmlformats.org/officeDocument/2006/relationships/hyperlink" Target="https://techcombank.com/thong-tin/blog/tai-khoan-tiet-kiem" TargetMode="External"/><Relationship Id="rId1465" Type="http://schemas.openxmlformats.org/officeDocument/2006/relationships/hyperlink" Target="https://techcombank.com/thong-tin/blog/mat-so-tiet-kiem" TargetMode="External"/><Relationship Id="rId1411" Type="http://schemas.openxmlformats.org/officeDocument/2006/relationships/hyperlink" Target="https://techcombank.com/thong-tin/blog/cach-gui-tiet-kiem-online" TargetMode="External"/><Relationship Id="rId1412" Type="http://schemas.openxmlformats.org/officeDocument/2006/relationships/hyperlink" Target="https://techcombank.com/thong-tin/blog/gui-tien-ngan-hang-co-an-toan-khong" TargetMode="External"/><Relationship Id="rId1413" Type="http://schemas.openxmlformats.org/officeDocument/2006/relationships/hyperlink" Target="https://techcombank.com/thong-tin/blog/dau-tu-trai-phieu-doanh-nghiep-dung-ham-lai-suat-cao" TargetMode="External"/><Relationship Id="rId1414" Type="http://schemas.openxmlformats.org/officeDocument/2006/relationships/hyperlink" Target="https://techcombank.com/thong-tin/blog/nen-gui-tiet-kiem-6-thang-hay-1-nam" TargetMode="External"/><Relationship Id="rId1415" Type="http://schemas.openxmlformats.org/officeDocument/2006/relationships/hyperlink" Target="https://techcombank.com/thong-tin/blog/lai-suat-the-tin-dung" TargetMode="External"/><Relationship Id="rId1416" Type="http://schemas.openxmlformats.org/officeDocument/2006/relationships/hyperlink" Target="https://techcombank.com/thong-tin/blog/gui-tiet-kiem-tich-luy-la-gi" TargetMode="External"/><Relationship Id="rId1417" Type="http://schemas.openxmlformats.org/officeDocument/2006/relationships/hyperlink" Target="https://techcombank.com/thong-tin/blog/lai-suat-vay-the-chap-so-do" TargetMode="External"/><Relationship Id="rId1418" Type="http://schemas.openxmlformats.org/officeDocument/2006/relationships/hyperlink" Target="https://techcombank.com/thong-tin/blog/rui-ro-khi-gui-tiet-kiem-online" TargetMode="External"/><Relationship Id="rId1419" Type="http://schemas.openxmlformats.org/officeDocument/2006/relationships/hyperlink" Target="https://techcombank.com/thong-tin/blog/lai-suat-tha-noi" TargetMode="External"/><Relationship Id="rId1410" Type="http://schemas.openxmlformats.org/officeDocument/2006/relationships/hyperlink" Target="https://techcombank.com/thong-tin/blog/gui-tiet-kiem-ngan-hang-van-la-lua-chon-an-toan-trong-thoi-ky-kinh-te-con-nhieu-bien-dong" TargetMode="External"/><Relationship Id="rId1400" Type="http://schemas.openxmlformats.org/officeDocument/2006/relationships/hyperlink" Target="https://techcombank.com/thong-tin/blog/gui-tiet-kiem-vang" TargetMode="External"/><Relationship Id="rId1401" Type="http://schemas.openxmlformats.org/officeDocument/2006/relationships/hyperlink" Target="https://techcombank.com/thong-tin/blog/nen-gui-tiet-kiem-thong-thuong-hay-tich-luy" TargetMode="External"/><Relationship Id="rId1402" Type="http://schemas.openxmlformats.org/officeDocument/2006/relationships/hyperlink" Target="https://techcombank.com/thong-tin/blog/tai-sao-gui-tiet-kiem-online-lai-suat-cao-hon" TargetMode="External"/><Relationship Id="rId1403" Type="http://schemas.openxmlformats.org/officeDocument/2006/relationships/hyperlink" Target="https://techcombank.com/thong-tin/blog/rui-ro-khi-vay-the-chap-ngan-hang" TargetMode="External"/><Relationship Id="rId1404" Type="http://schemas.openxmlformats.org/officeDocument/2006/relationships/hyperlink" Target="https://techcombank.com/thong-tin/blog/nen-de-tien-trong-the-hay-gui-tiet-kiem" TargetMode="External"/><Relationship Id="rId1405" Type="http://schemas.openxmlformats.org/officeDocument/2006/relationships/hyperlink" Target="https://techcombank.com/thong-tin/blog/lai-suat-vay-thau-chi" TargetMode="External"/><Relationship Id="rId1406" Type="http://schemas.openxmlformats.org/officeDocument/2006/relationships/hyperlink" Target="https://techcombank.com/thong-tin/blog/qua-han-thanh-toan-the-tin-dung-1-ngay" TargetMode="External"/><Relationship Id="rId1407" Type="http://schemas.openxmlformats.org/officeDocument/2006/relationships/hyperlink" Target="https://techcombank.com/thong-tin/blog/co-nen-gui-tiet-kiem-ngan-hang" TargetMode="External"/><Relationship Id="rId1408" Type="http://schemas.openxmlformats.org/officeDocument/2006/relationships/hyperlink" Target="https://techcombank.com/thong-tin/blog/lai-suat-tiet-kiem" TargetMode="External"/><Relationship Id="rId1409" Type="http://schemas.openxmlformats.org/officeDocument/2006/relationships/hyperlink" Target="https://techcombank.com/thong-tin/blog/co-nen-gui-tiet-kiem-online" TargetMode="External"/><Relationship Id="rId1433" Type="http://schemas.openxmlformats.org/officeDocument/2006/relationships/hyperlink" Target="https://techcombank.com/thong-tin/blog/chung-chi-tien-gui-khac-gi-so-tiet-kiem" TargetMode="External"/><Relationship Id="rId1434" Type="http://schemas.openxmlformats.org/officeDocument/2006/relationships/hyperlink" Target="https://techcombank.com/thong-tin/blog/dau-tu-dai-han" TargetMode="External"/><Relationship Id="rId1435" Type="http://schemas.openxmlformats.org/officeDocument/2006/relationships/hyperlink" Target="https://techcombank.com/thong-tin/blog/so-sanh-gui-tiet-kiem-online-va-tai-quay" TargetMode="External"/><Relationship Id="rId1436" Type="http://schemas.openxmlformats.org/officeDocument/2006/relationships/hyperlink" Target="https://techcombank.com/thong-tin/blog/lai-suat-vay-tin-chap" TargetMode="External"/><Relationship Id="rId1437" Type="http://schemas.openxmlformats.org/officeDocument/2006/relationships/hyperlink" Target="https://techcombank.com/thong-tin/blog/cach-tiet-kiem-tien-sinh-loi" TargetMode="External"/><Relationship Id="rId1438" Type="http://schemas.openxmlformats.org/officeDocument/2006/relationships/hyperlink" Target="https://techcombank.com/thong-tin/blog/co-50-trieu-nen-mua-vang-hay-gui-tiet-kiem" TargetMode="External"/><Relationship Id="rId1439" Type="http://schemas.openxmlformats.org/officeDocument/2006/relationships/hyperlink" Target="https://techcombank.com/thong-tin/blog/vay-20-trieu" TargetMode="External"/><Relationship Id="rId609" Type="http://schemas.openxmlformats.org/officeDocument/2006/relationships/hyperlink" Target="https://techcombank.com/thong-tin/blog/cach-su-dung-tai-khoan-cong-ty" TargetMode="External"/><Relationship Id="rId608" Type="http://schemas.openxmlformats.org/officeDocument/2006/relationships/hyperlink" Target="https://techcombank.com/thong-tin/blog/cdm" TargetMode="External"/><Relationship Id="rId607" Type="http://schemas.openxmlformats.org/officeDocument/2006/relationships/hyperlink" Target="https://techcombank.com/thong-tin/blog/rut-tien-mat-tu-tai-khoan-doanh-nghiep" TargetMode="External"/><Relationship Id="rId602" Type="http://schemas.openxmlformats.org/officeDocument/2006/relationships/hyperlink" Target="https://techcombank.com/thong-tin/blog/lai-suat-the-tin-dung" TargetMode="External"/><Relationship Id="rId601" Type="http://schemas.openxmlformats.org/officeDocument/2006/relationships/hyperlink" Target="https://techcombank.com/thong-tin/blog/han-muc-the-tin-dung" TargetMode="External"/><Relationship Id="rId600" Type="http://schemas.openxmlformats.org/officeDocument/2006/relationships/hyperlink" Target="https://techcombank.com/thong-tin/blog/the-tin-dung-co-chuyen-khoan-duoc-khong" TargetMode="External"/><Relationship Id="rId606" Type="http://schemas.openxmlformats.org/officeDocument/2006/relationships/hyperlink" Target="https://techcombank.com/thong-tin/blog/thanh-toan-khong-dung-tien-mat" TargetMode="External"/><Relationship Id="rId605" Type="http://schemas.openxmlformats.org/officeDocument/2006/relationships/hyperlink" Target="https://techcombank.com/thong-tin/blog/tra-luong-tien-mat" TargetMode="External"/><Relationship Id="rId604" Type="http://schemas.openxmlformats.org/officeDocument/2006/relationships/hyperlink" Target="https://techcombank.com/thong-tin/blog/vi-dien-tu" TargetMode="External"/><Relationship Id="rId603" Type="http://schemas.openxmlformats.org/officeDocument/2006/relationships/hyperlink" Target="https://techcombank.com/thong-tin/blog/nop-tien-mat-vao-tai-khoan-cong-ty" TargetMode="External"/><Relationship Id="rId1430" Type="http://schemas.openxmlformats.org/officeDocument/2006/relationships/hyperlink" Target="https://techcombank.com/thong-tin/blog/lai-suat-vay-ngan-hang" TargetMode="External"/><Relationship Id="rId1431" Type="http://schemas.openxmlformats.org/officeDocument/2006/relationships/hyperlink" Target="https://techcombank.com/thong-tin/blog/gui-tiet-kiem-online-co-rut-truoc-han-duoc-khong" TargetMode="External"/><Relationship Id="rId1432" Type="http://schemas.openxmlformats.org/officeDocument/2006/relationships/hyperlink" Target="https://techcombank.com/thong-tin/blog/gui-tiet-kiem-online-quay-vong-ca-goc-va-lai" TargetMode="External"/><Relationship Id="rId1422" Type="http://schemas.openxmlformats.org/officeDocument/2006/relationships/hyperlink" Target="https://techcombank.com/thong-tin/blog/gui-tiet-kiem-ngoai-te" TargetMode="External"/><Relationship Id="rId1423" Type="http://schemas.openxmlformats.org/officeDocument/2006/relationships/hyperlink" Target="https://techcombank.com/thong-tin/blog/lai-suat-ngan-hang-cho-vay-xay-nha" TargetMode="External"/><Relationship Id="rId1424" Type="http://schemas.openxmlformats.org/officeDocument/2006/relationships/hyperlink" Target="https://techcombank.com/thong-tin/blog/rui-ro-khi-gui-tiet-kiem-ngan-hang" TargetMode="External"/><Relationship Id="rId1425" Type="http://schemas.openxmlformats.org/officeDocument/2006/relationships/hyperlink" Target="https://techcombank.com/thong-tin/blog/tra-no-vay-thau-chi-nhu-the-nao" TargetMode="External"/><Relationship Id="rId1426" Type="http://schemas.openxmlformats.org/officeDocument/2006/relationships/hyperlink" Target="https://techcombank.com/thong-tin/blog/cach-tinh-lai-vay-ngan-hang" TargetMode="External"/><Relationship Id="rId1427" Type="http://schemas.openxmlformats.org/officeDocument/2006/relationships/hyperlink" Target="https://techcombank.com/thong-tin/blog/gui-tiet-kiem-online-bi-mat-tien" TargetMode="External"/><Relationship Id="rId1428" Type="http://schemas.openxmlformats.org/officeDocument/2006/relationships/hyperlink" Target="https://techcombank.com/thong-tin/blog/kinh-nghiem-gui-tiet-kiem-online" TargetMode="External"/><Relationship Id="rId1429" Type="http://schemas.openxmlformats.org/officeDocument/2006/relationships/hyperlink" Target="https://techcombank.com/thong-tin/blog/vay-thau-chi-bang-so-tiet-kiem" TargetMode="External"/><Relationship Id="rId1420" Type="http://schemas.openxmlformats.org/officeDocument/2006/relationships/hyperlink" Target="https://techcombank.com/thong-tin/blog/lai-suat-vay-tieu-dung" TargetMode="External"/><Relationship Id="rId1421" Type="http://schemas.openxmlformats.org/officeDocument/2006/relationships/hyperlink" Target="https://techcombank.com/thong-tin/blog/chon-kenh-dau-tu-an-toan-trong-boi-canh-thi-truong-bien-dong" TargetMode="External"/><Relationship Id="rId699" Type="http://schemas.openxmlformats.org/officeDocument/2006/relationships/hyperlink" Target="https://techcombank.com/thong-tin/blog/tai-khoan-doanh-nghiep-co-the-khong" TargetMode="External"/><Relationship Id="rId698" Type="http://schemas.openxmlformats.org/officeDocument/2006/relationships/hyperlink" Target="https://techcombank.com/thong-tin/blog/cach-su-dung-the-tin-dung" TargetMode="External"/><Relationship Id="rId693" Type="http://schemas.openxmlformats.org/officeDocument/2006/relationships/hyperlink" Target="https://techcombank.com/thong-tin/blog/dao-han-the-tin-dung" TargetMode="External"/><Relationship Id="rId692" Type="http://schemas.openxmlformats.org/officeDocument/2006/relationships/hyperlink" Target="https://techcombank.com/thong-tin/blog/the-tin-dung-den" TargetMode="External"/><Relationship Id="rId691" Type="http://schemas.openxmlformats.org/officeDocument/2006/relationships/hyperlink" Target="https://techcombank.com/thong-tin/blog/cach-thanh-toan-the-tin-dung" TargetMode="External"/><Relationship Id="rId690" Type="http://schemas.openxmlformats.org/officeDocument/2006/relationships/hyperlink" Target="https://techcombank.com/thong-tin/blog/vay-ngan-hang-1-ty-moi-thang-tra-bao-nhieu" TargetMode="External"/><Relationship Id="rId697" Type="http://schemas.openxmlformats.org/officeDocument/2006/relationships/hyperlink" Target="https://techcombank.com/thong-tin/blog/the-tin-dung-mien-phi-thuong-nien" TargetMode="External"/><Relationship Id="rId696" Type="http://schemas.openxmlformats.org/officeDocument/2006/relationships/hyperlink" Target="https://techcombank.com/thong-tin/blog/uu-dai-mo-the-tin-dung" TargetMode="External"/><Relationship Id="rId695" Type="http://schemas.openxmlformats.org/officeDocument/2006/relationships/hyperlink" Target="https://techcombank.com/thong-tin/blog/cashback-the-thanh-toan" TargetMode="External"/><Relationship Id="rId694" Type="http://schemas.openxmlformats.org/officeDocument/2006/relationships/hyperlink" Target="https://techcombank.com/thong-tin/blog/thanh-toan-tien-dien-bang-the-tin-dung" TargetMode="External"/><Relationship Id="rId1499" Type="http://schemas.openxmlformats.org/officeDocument/2006/relationships/hyperlink" Target="https://techcombank.com/thong-tin/blog/vi-dien-tu" TargetMode="External"/><Relationship Id="rId668" Type="http://schemas.openxmlformats.org/officeDocument/2006/relationships/hyperlink" Target="https://techcombank.com/thong-tin/blog/mo-the-tin-dung-co-loi-ich-gi" TargetMode="External"/><Relationship Id="rId667" Type="http://schemas.openxmlformats.org/officeDocument/2006/relationships/hyperlink" Target="https://techcombank.com/thong-tin/blog/cac-loai-the-tin-dung" TargetMode="External"/><Relationship Id="rId666" Type="http://schemas.openxmlformats.org/officeDocument/2006/relationships/hyperlink" Target="https://techcombank.com/thong-tin/blog/uu-dai-the-tin-dung" TargetMode="External"/><Relationship Id="rId665" Type="http://schemas.openxmlformats.org/officeDocument/2006/relationships/hyperlink" Target="https://techcombank.com/thong-tin/blog/thoi-gian-hoan-tien-the-tin-dung" TargetMode="External"/><Relationship Id="rId669" Type="http://schemas.openxmlformats.org/officeDocument/2006/relationships/hyperlink" Target="https://techcombank.com/thong-tin/blog/tai-khoan-doanh-nghiep-co-the-khong" TargetMode="External"/><Relationship Id="rId1490" Type="http://schemas.openxmlformats.org/officeDocument/2006/relationships/hyperlink" Target="https://techcombank.com/thong-tin/blog/rui-ro-khi-gui-tiet-kiem-ngan-hang" TargetMode="External"/><Relationship Id="rId660" Type="http://schemas.openxmlformats.org/officeDocument/2006/relationships/hyperlink" Target="https://techcombank.com/thong-tin/blog/lam-the-atm-bao-lau-co" TargetMode="External"/><Relationship Id="rId1491" Type="http://schemas.openxmlformats.org/officeDocument/2006/relationships/hyperlink" Target="https://techcombank.com/thong-tin/blog/gui-tiet-kiem-hang-thang" TargetMode="External"/><Relationship Id="rId1492" Type="http://schemas.openxmlformats.org/officeDocument/2006/relationships/hyperlink" Target="https://techcombank.com/thong-tin/blog/gui-tiet-kiem-online-bi-mat-tien" TargetMode="External"/><Relationship Id="rId1493" Type="http://schemas.openxmlformats.org/officeDocument/2006/relationships/hyperlink" Target="https://techcombank.com/thong-tin/blog/cach-tiet-kiem-tien-theo-tuan" TargetMode="External"/><Relationship Id="rId1494" Type="http://schemas.openxmlformats.org/officeDocument/2006/relationships/hyperlink" Target="https://techcombank.com/thong-tin/blog/tiet-kiem-tien-moi-ngay" TargetMode="External"/><Relationship Id="rId664" Type="http://schemas.openxmlformats.org/officeDocument/2006/relationships/hyperlink" Target="https://techcombank.com/thong-tin/blog/the-tin-dung-nao-nhieu-uu-dai-nhat" TargetMode="External"/><Relationship Id="rId1495" Type="http://schemas.openxmlformats.org/officeDocument/2006/relationships/hyperlink" Target="https://techcombank.com/thong-tin/blog/hoc-cach-tiet-kiem-tien-luong" TargetMode="External"/><Relationship Id="rId663" Type="http://schemas.openxmlformats.org/officeDocument/2006/relationships/hyperlink" Target="https://techcombank.com/thong-tin/blog/the-tin-dung-quoc-te" TargetMode="External"/><Relationship Id="rId1496" Type="http://schemas.openxmlformats.org/officeDocument/2006/relationships/hyperlink" Target="https://techcombank.com/thong-tin/blog/loi-ich-cua-viec-tiet-kiem-tien" TargetMode="External"/><Relationship Id="rId662" Type="http://schemas.openxmlformats.org/officeDocument/2006/relationships/hyperlink" Target="https://techcombank.com/thong-tin/blog/ma-buu-chinh-the-tin-dung" TargetMode="External"/><Relationship Id="rId1497" Type="http://schemas.openxmlformats.org/officeDocument/2006/relationships/hyperlink" Target="https://techcombank.com/thong-tin/blog/the-nao-la-tiet-kiem" TargetMode="External"/><Relationship Id="rId661" Type="http://schemas.openxmlformats.org/officeDocument/2006/relationships/hyperlink" Target="https://techcombank.com/thong-tin/blog/the-napas-la-gi" TargetMode="External"/><Relationship Id="rId1498" Type="http://schemas.openxmlformats.org/officeDocument/2006/relationships/hyperlink" Target="https://techcombank.com/thong-tin/blog/mo-tai-khoan-doanh-nghiep" TargetMode="External"/><Relationship Id="rId1488" Type="http://schemas.openxmlformats.org/officeDocument/2006/relationships/hyperlink" Target="https://techcombank.com/thong-tin/blog/cach-tinh-lai-suat-tien-gui-tiet-kiem" TargetMode="External"/><Relationship Id="rId1489" Type="http://schemas.openxmlformats.org/officeDocument/2006/relationships/hyperlink" Target="https://techcombank.com/thong-tin/blog/gui-tiet-kiem-ngoai-te" TargetMode="External"/><Relationship Id="rId657" Type="http://schemas.openxmlformats.org/officeDocument/2006/relationships/hyperlink" Target="https://techcombank.com/thong-tin/blog/the-ghi-no-va-the-tin-dung" TargetMode="External"/><Relationship Id="rId656" Type="http://schemas.openxmlformats.org/officeDocument/2006/relationships/hyperlink" Target="https://techcombank.com/thong-tin/blog/the-visa-de-lam-gi" TargetMode="External"/><Relationship Id="rId655" Type="http://schemas.openxmlformats.org/officeDocument/2006/relationships/hyperlink" Target="https://techcombank.com/thong-tin/blog/tra-cuu-han-muc-the-tin-dung" TargetMode="External"/><Relationship Id="rId654" Type="http://schemas.openxmlformats.org/officeDocument/2006/relationships/hyperlink" Target="https://techcombank.com/thong-tin/blog/mua-truoc-tra-sau" TargetMode="External"/><Relationship Id="rId659" Type="http://schemas.openxmlformats.org/officeDocument/2006/relationships/hyperlink" Target="https://techcombank.com/thong-tin/blog/cach-huy-the-tin-dung" TargetMode="External"/><Relationship Id="rId658" Type="http://schemas.openxmlformats.org/officeDocument/2006/relationships/hyperlink" Target="https://techcombank.com/thong-tin/blog/the-tin-dung-het-han" TargetMode="External"/><Relationship Id="rId1480" Type="http://schemas.openxmlformats.org/officeDocument/2006/relationships/hyperlink" Target="https://techcombank.com/thong-tin/blog/gui-tiet-kiem-ngan-hang-van-la-lua-chon-an-toan-trong-thoi-ky-kinh-te-con-nhieu-bien-dong" TargetMode="External"/><Relationship Id="rId1481" Type="http://schemas.openxmlformats.org/officeDocument/2006/relationships/hyperlink" Target="https://techcombank.com/thong-tin/blog/cach-gui-tiet-kiem-online" TargetMode="External"/><Relationship Id="rId1482" Type="http://schemas.openxmlformats.org/officeDocument/2006/relationships/hyperlink" Target="https://techcombank.com/thong-tin/blog/gui-tien-ngan-hang-co-an-toan-khong" TargetMode="External"/><Relationship Id="rId1483" Type="http://schemas.openxmlformats.org/officeDocument/2006/relationships/hyperlink" Target="https://techcombank.com/thong-tin/blog/nen-gui-tiet-kiem-6-thang-hay-1-nam" TargetMode="External"/><Relationship Id="rId653" Type="http://schemas.openxmlformats.org/officeDocument/2006/relationships/hyperlink" Target="https://techcombank.com/thong-tin/blog/the-visa-co-can-mat-khau-khong" TargetMode="External"/><Relationship Id="rId1484" Type="http://schemas.openxmlformats.org/officeDocument/2006/relationships/hyperlink" Target="https://techcombank.com/thong-tin/blog/mo-tai-khoan-tiet-kiem-cho-con" TargetMode="External"/><Relationship Id="rId652" Type="http://schemas.openxmlformats.org/officeDocument/2006/relationships/hyperlink" Target="https://techcombank.com/thong-tin/blog/cach-lam-the-atm" TargetMode="External"/><Relationship Id="rId1485" Type="http://schemas.openxmlformats.org/officeDocument/2006/relationships/hyperlink" Target="https://techcombank.com/thong-tin/blog/gui-tiet-kiem-tich-luy-la-gi" TargetMode="External"/><Relationship Id="rId651" Type="http://schemas.openxmlformats.org/officeDocument/2006/relationships/hyperlink" Target="https://techcombank.com/thong-tin/blog/mua-iphone-17" TargetMode="External"/><Relationship Id="rId1486" Type="http://schemas.openxmlformats.org/officeDocument/2006/relationships/hyperlink" Target="https://techcombank.com/thong-tin/blog/gui-tiet-kiem-lay-lai-hang-thang" TargetMode="External"/><Relationship Id="rId650" Type="http://schemas.openxmlformats.org/officeDocument/2006/relationships/hyperlink" Target="https://techcombank.com/thong-tin/blog/eco-card" TargetMode="External"/><Relationship Id="rId1487" Type="http://schemas.openxmlformats.org/officeDocument/2006/relationships/hyperlink" Target="https://techcombank.com/thong-tin/blog/rui-ro-khi-gui-tiet-kiem-online" TargetMode="External"/><Relationship Id="rId689" Type="http://schemas.openxmlformats.org/officeDocument/2006/relationships/hyperlink" Target="https://techcombank.com/thong-tin/blog/tiet-kiem-khi-di-du-lich" TargetMode="External"/><Relationship Id="rId688" Type="http://schemas.openxmlformats.org/officeDocument/2006/relationships/hyperlink" Target="https://techcombank.com/thong-tin/blog/phi-rut-tien-mat-the-tin-dung" TargetMode="External"/><Relationship Id="rId687" Type="http://schemas.openxmlformats.org/officeDocument/2006/relationships/hyperlink" Target="https://techcombank.com/thong-tin/blog/qua-han-thanh-toan-the-tin-dung-1-ngay" TargetMode="External"/><Relationship Id="rId682" Type="http://schemas.openxmlformats.org/officeDocument/2006/relationships/hyperlink" Target="https://techcombank.com/thong-tin/blog/the-tin-dung-het-han" TargetMode="External"/><Relationship Id="rId681" Type="http://schemas.openxmlformats.org/officeDocument/2006/relationships/hyperlink" Target="https://techcombank.com/thong-tin/blog/the-ghi-no-va-the-tin-dung" TargetMode="External"/><Relationship Id="rId680" Type="http://schemas.openxmlformats.org/officeDocument/2006/relationships/hyperlink" Target="https://techcombank.com/thong-tin/blog/tra-cuu-han-muc-the-tin-dung" TargetMode="External"/><Relationship Id="rId686" Type="http://schemas.openxmlformats.org/officeDocument/2006/relationships/hyperlink" Target="https://techcombank.com/thong-tin/blog/the-tin-dung-quoc-te" TargetMode="External"/><Relationship Id="rId685" Type="http://schemas.openxmlformats.org/officeDocument/2006/relationships/hyperlink" Target="https://techcombank.com/thong-tin/blog/ma-buu-chinh-the-tin-dung" TargetMode="External"/><Relationship Id="rId684" Type="http://schemas.openxmlformats.org/officeDocument/2006/relationships/hyperlink" Target="https://techcombank.com/thong-tin/blog/co-nen-dung-the-tin-dung-khong" TargetMode="External"/><Relationship Id="rId683" Type="http://schemas.openxmlformats.org/officeDocument/2006/relationships/hyperlink" Target="https://techcombank.com/thong-tin/blog/cach-huy-the-tin-dung" TargetMode="External"/><Relationship Id="rId679" Type="http://schemas.openxmlformats.org/officeDocument/2006/relationships/hyperlink" Target="https://techcombank.com/thong-tin/blog/mua-truoc-tra-sau" TargetMode="External"/><Relationship Id="rId678" Type="http://schemas.openxmlformats.org/officeDocument/2006/relationships/hyperlink" Target="https://techcombank.com/thong-tin/blog/the-visa-co-can-mat-khau-khong" TargetMode="External"/><Relationship Id="rId677" Type="http://schemas.openxmlformats.org/officeDocument/2006/relationships/hyperlink" Target="https://techcombank.com/thong-tin/blog/mua-iphone-17" TargetMode="External"/><Relationship Id="rId676" Type="http://schemas.openxmlformats.org/officeDocument/2006/relationships/hyperlink" Target="https://techcombank.com/thong-tin/blog/cach-lam-the-ngan-hang-chay-quang-cao-facebook" TargetMode="External"/><Relationship Id="rId671" Type="http://schemas.openxmlformats.org/officeDocument/2006/relationships/hyperlink" Target="https://techcombank.com/thong-tin/blog/uu-dai-the-tin-dung-techcombank-signature" TargetMode="External"/><Relationship Id="rId670" Type="http://schemas.openxmlformats.org/officeDocument/2006/relationships/hyperlink" Target="https://techcombank.com/thong-tin/blog/mm-yy-la-gi" TargetMode="External"/><Relationship Id="rId675" Type="http://schemas.openxmlformats.org/officeDocument/2006/relationships/hyperlink" Target="https://techcombank.com/thong-tin/blog/so-cvv-la-gi" TargetMode="External"/><Relationship Id="rId674" Type="http://schemas.openxmlformats.org/officeDocument/2006/relationships/hyperlink" Target="https://techcombank.com/thong-tin/blog/mat-the-tin-dung-co-bi-mat-tien-khong" TargetMode="External"/><Relationship Id="rId673" Type="http://schemas.openxmlformats.org/officeDocument/2006/relationships/hyperlink" Target="https://techcombank.com/thong-tin/blog/uu-dai-mua-ve-may-bay-bang-the-tin-dung" TargetMode="External"/><Relationship Id="rId672" Type="http://schemas.openxmlformats.org/officeDocument/2006/relationships/hyperlink" Target="https://techcombank.com/thong-tin/blog/the-tin-dung-mien-phi-thuong-nien" TargetMode="External"/><Relationship Id="rId190" Type="http://schemas.openxmlformats.org/officeDocument/2006/relationships/hyperlink" Target="https://techcombank.com/thong-tin/blog/vay-ngan-hang-1-ty-moi-thang-tra-bao-nhieu" TargetMode="External"/><Relationship Id="rId194" Type="http://schemas.openxmlformats.org/officeDocument/2006/relationships/hyperlink" Target="https://techcombank.com/thong-tin/blog/quyet-toan-thue-thu-nhap-ca-nhan" TargetMode="External"/><Relationship Id="rId193" Type="http://schemas.openxmlformats.org/officeDocument/2006/relationships/hyperlink" Target="https://techcombank.com/thong-tin/blog/cach-huy-thanh-toan-tien-dien" TargetMode="External"/><Relationship Id="rId192" Type="http://schemas.openxmlformats.org/officeDocument/2006/relationships/hyperlink" Target="https://techcombank.com/thong-tin/blog/thanh-toan-hoa-don-tieu-dung" TargetMode="External"/><Relationship Id="rId191" Type="http://schemas.openxmlformats.org/officeDocument/2006/relationships/hyperlink" Target="https://techcombank.com/thong-tin/blog/nap-tien-dien-thoai-online" TargetMode="External"/><Relationship Id="rId187" Type="http://schemas.openxmlformats.org/officeDocument/2006/relationships/hyperlink" Target="https://techcombank.com/thong-tin/blog/tim-hieu-ve-chinh-sach-thue-moi" TargetMode="External"/><Relationship Id="rId186" Type="http://schemas.openxmlformats.org/officeDocument/2006/relationships/hyperlink" Target="https://techcombank.com/thong-tin/blog/one-stop-shop" TargetMode="External"/><Relationship Id="rId185" Type="http://schemas.openxmlformats.org/officeDocument/2006/relationships/hyperlink" Target="https://techcombank.com/thong-tin/blog/hoa-don-dien-tu-ho-kinh-doanh" TargetMode="External"/><Relationship Id="rId184" Type="http://schemas.openxmlformats.org/officeDocument/2006/relationships/hyperlink" Target="https://techcombank.com/thong-tin/blog/hoa-don-dien-tu" TargetMode="External"/><Relationship Id="rId189" Type="http://schemas.openxmlformats.org/officeDocument/2006/relationships/hyperlink" Target="https://techcombank.com/thong-tin/blog/phan-mem-xuat-hoa-don-dien-tu" TargetMode="External"/><Relationship Id="rId188" Type="http://schemas.openxmlformats.org/officeDocument/2006/relationships/hyperlink" Target="https://techcombank.com/thong-tin/blog/may-tinh-tien" TargetMode="External"/><Relationship Id="rId183" Type="http://schemas.openxmlformats.org/officeDocument/2006/relationships/hyperlink" Target="https://techcombank.com/thong-tin/blog/chuyen-doi-hoa-don-dien-tu" TargetMode="External"/><Relationship Id="rId182" Type="http://schemas.openxmlformats.org/officeDocument/2006/relationships/hyperlink" Target="https://techcombank.com/thong-tin/blog/cach-tra-cuu-hoa-don-dien-tu" TargetMode="External"/><Relationship Id="rId181" Type="http://schemas.openxmlformats.org/officeDocument/2006/relationships/hyperlink" Target="https://techcombank.com/thong-tin/blog/thanh-toan-tien-dien-bang-the-tin-dung" TargetMode="External"/><Relationship Id="rId180" Type="http://schemas.openxmlformats.org/officeDocument/2006/relationships/hyperlink" Target="https://techcombank.com/thong-tin/blog/app-dong-tien-dien-online" TargetMode="External"/><Relationship Id="rId176" Type="http://schemas.openxmlformats.org/officeDocument/2006/relationships/hyperlink" Target="https://techcombank.com/thong-tin/blog/app-dong-tien-dien-online" TargetMode="External"/><Relationship Id="rId175" Type="http://schemas.openxmlformats.org/officeDocument/2006/relationships/hyperlink" Target="https://techcombank.com/thong-tin/blog/thanh-toan-tien-internet-online" TargetMode="External"/><Relationship Id="rId174" Type="http://schemas.openxmlformats.org/officeDocument/2006/relationships/hyperlink" Target="https://techcombank.com/thong-tin/blog/mat-so-dien-thoai-dang-ky-tai-khoan-ngan-hang" TargetMode="External"/><Relationship Id="rId173" Type="http://schemas.openxmlformats.org/officeDocument/2006/relationships/hyperlink" Target="https://techcombank.com/thong-tin/blog/cach-nap-the-mobi" TargetMode="External"/><Relationship Id="rId179" Type="http://schemas.openxmlformats.org/officeDocument/2006/relationships/hyperlink" Target="https://techcombank.com/thong-tin/blog/cach-dong-tien-dien-qua-tai-khoan-ngan-hang" TargetMode="External"/><Relationship Id="rId178" Type="http://schemas.openxmlformats.org/officeDocument/2006/relationships/hyperlink" Target="https://techcombank.com/thong-tin/blog/tra-cuu-hoa-don-tien-dien" TargetMode="External"/><Relationship Id="rId177" Type="http://schemas.openxmlformats.org/officeDocument/2006/relationships/hyperlink" Target="https://techcombank.com/thong-tin/blog/gia-dien-sinh-hoat" TargetMode="External"/><Relationship Id="rId198" Type="http://schemas.openxmlformats.org/officeDocument/2006/relationships/hyperlink" Target="https://techcombank.com/thong-tin/blog/luong-huu" TargetMode="External"/><Relationship Id="rId197" Type="http://schemas.openxmlformats.org/officeDocument/2006/relationships/hyperlink" Target="https://techcombank.com/thong-tin/blog/sao-ke-luong" TargetMode="External"/><Relationship Id="rId196" Type="http://schemas.openxmlformats.org/officeDocument/2006/relationships/hyperlink" Target="https://techcombank.com/thong-tin/blog/dang-ky-ma-so-thue-ca-nhan" TargetMode="External"/><Relationship Id="rId195" Type="http://schemas.openxmlformats.org/officeDocument/2006/relationships/hyperlink" Target="https://techcombank.com/thong-tin/blog/hoan-thue-thu-nhap-ca-nhan" TargetMode="External"/><Relationship Id="rId199" Type="http://schemas.openxmlformats.org/officeDocument/2006/relationships/hyperlink" Target="https://techcombank.com/thong-tin/blog/cach-tinh-thue-ho-kinh-doanh-nho-le" TargetMode="External"/><Relationship Id="rId150" Type="http://schemas.openxmlformats.org/officeDocument/2006/relationships/hyperlink" Target="https://techcombank.com/thong-tin/blog/loi-nhuan" TargetMode="External"/><Relationship Id="rId149" Type="http://schemas.openxmlformats.org/officeDocument/2006/relationships/hyperlink" Target="https://techcombank.com/thong-tin/blog/khau-hao-la-gi" TargetMode="External"/><Relationship Id="rId148" Type="http://schemas.openxmlformats.org/officeDocument/2006/relationships/hyperlink" Target="https://techcombank.com/thong-tin/blog/chuan-bi-cho-doanh-nghiep-khoi-nghiep-truoc-nhung-thay-doi-ve-thue" TargetMode="External"/><Relationship Id="rId143" Type="http://schemas.openxmlformats.org/officeDocument/2006/relationships/hyperlink" Target="https://techcombank.com/thong-tin/blog/chi-phi-mo-tai-khoan-ngan-hang-cho-cong-ty" TargetMode="External"/><Relationship Id="rId142" Type="http://schemas.openxmlformats.org/officeDocument/2006/relationships/hyperlink" Target="https://techcombank.com/thong-tin/blog/tai-khoan-cong-ty-co-chuyen-online-duoc-khong" TargetMode="External"/><Relationship Id="rId141" Type="http://schemas.openxmlformats.org/officeDocument/2006/relationships/hyperlink" Target="https://techcombank.com/thong-tin/blog/mau-mo-tai-khoan-doanh-nghiep-techcombank" TargetMode="External"/><Relationship Id="rId140" Type="http://schemas.openxmlformats.org/officeDocument/2006/relationships/hyperlink" Target="https://techcombank.com/thong-tin/blog/sao-ke-tai-khoan-doanh-nghiep" TargetMode="External"/><Relationship Id="rId147" Type="http://schemas.openxmlformats.org/officeDocument/2006/relationships/hyperlink" Target="https://techcombank.com/thong-tin/blog/cach-doc-bao-cao-tai-chinh" TargetMode="External"/><Relationship Id="rId146" Type="http://schemas.openxmlformats.org/officeDocument/2006/relationships/hyperlink" Target="https://techcombank.com/thong-tin/blog/loi-nhuan-rong" TargetMode="External"/><Relationship Id="rId145" Type="http://schemas.openxmlformats.org/officeDocument/2006/relationships/hyperlink" Target="https://techcombank.com/thong-tin/blog/khau-hao" TargetMode="External"/><Relationship Id="rId144" Type="http://schemas.openxmlformats.org/officeDocument/2006/relationships/hyperlink" Target="https://techcombank.com/thong-tin/blog/nhung-chi-phi-khong-duoc-tru-khi-tinh-thue-tndn" TargetMode="External"/><Relationship Id="rId139" Type="http://schemas.openxmlformats.org/officeDocument/2006/relationships/hyperlink" Target="https://techcombank.com/thong-tin/blog/rut-tien-mat-tu-tai-khoan-doanh-nghiep" TargetMode="External"/><Relationship Id="rId138" Type="http://schemas.openxmlformats.org/officeDocument/2006/relationships/hyperlink" Target="https://techcombank.com/thong-tin/blog/tai-khoan-doanh-nghiep-co-the-khong" TargetMode="External"/><Relationship Id="rId137" Type="http://schemas.openxmlformats.org/officeDocument/2006/relationships/hyperlink" Target="https://techcombank.com/thong-tin/blog/dong-tai-khoan-ngan-hang-cong-ty" TargetMode="External"/><Relationship Id="rId132" Type="http://schemas.openxmlformats.org/officeDocument/2006/relationships/hyperlink" Target="https://techcombank.com/thong-tin/blog/luu-y-khi-chuyen-tien-vao-tai-khoan-cong-ty" TargetMode="External"/><Relationship Id="rId131" Type="http://schemas.openxmlformats.org/officeDocument/2006/relationships/hyperlink" Target="https://techcombank.com/thong-tin/blog/mo-tai-khoan-doanh-nghiep" TargetMode="External"/><Relationship Id="rId130" Type="http://schemas.openxmlformats.org/officeDocument/2006/relationships/hyperlink" Target="https://techcombank.com/thong-tin/blog/thu-tuc-thanh-lap-doanh-nghiep" TargetMode="External"/><Relationship Id="rId136" Type="http://schemas.openxmlformats.org/officeDocument/2006/relationships/hyperlink" Target="https://techcombank.com/thong-tin/blog/nop-tien-mat-vao-tai-khoan-cong-ty" TargetMode="External"/><Relationship Id="rId135" Type="http://schemas.openxmlformats.org/officeDocument/2006/relationships/hyperlink" Target="https://techcombank.com/thong-tin/blog/tra-luong-tien-mat" TargetMode="External"/><Relationship Id="rId134" Type="http://schemas.openxmlformats.org/officeDocument/2006/relationships/hyperlink" Target="https://techcombank.com/thong-tin/blog/tien-chuyen-vao-tai-khoan-co-bi-tinh-thue-khong" TargetMode="External"/><Relationship Id="rId133" Type="http://schemas.openxmlformats.org/officeDocument/2006/relationships/hyperlink" Target="https://techcombank.com/thong-tin/blog/cach-su-dung-tai-khoan-cong-ty" TargetMode="External"/><Relationship Id="rId172" Type="http://schemas.openxmlformats.org/officeDocument/2006/relationships/hyperlink" Target="https://techcombank.com/thong-tin/blog/cach-nap-the-vina" TargetMode="External"/><Relationship Id="rId171" Type="http://schemas.openxmlformats.org/officeDocument/2006/relationships/hyperlink" Target="https://techcombank.com/thong-tin/blog/thanh-toan-tra-sau-viettel-bang-tai-khoan-ngan-hang" TargetMode="External"/><Relationship Id="rId170" Type="http://schemas.openxmlformats.org/officeDocument/2006/relationships/hyperlink" Target="https://techcombank.com/thong-tin/blog/nap-tien-dien-thoai-online" TargetMode="External"/><Relationship Id="rId165" Type="http://schemas.openxmlformats.org/officeDocument/2006/relationships/hyperlink" Target="https://techcombank.com/thong-tin/blog/dau-co-va-dau-tu" TargetMode="External"/><Relationship Id="rId164" Type="http://schemas.openxmlformats.org/officeDocument/2006/relationships/hyperlink" Target="https://techcombank.com/thong-tin/blog/cach-tinh-loi-nhuan-chung-chi-tien-gui" TargetMode="External"/><Relationship Id="rId163" Type="http://schemas.openxmlformats.org/officeDocument/2006/relationships/hyperlink" Target="https://techcombank.com/thong-tin/blog/mua-chung-chi-quy" TargetMode="External"/><Relationship Id="rId162" Type="http://schemas.openxmlformats.org/officeDocument/2006/relationships/hyperlink" Target="https://techcombank.com/thong-tin/blog/danh-muc-dau-tu" TargetMode="External"/><Relationship Id="rId169" Type="http://schemas.openxmlformats.org/officeDocument/2006/relationships/hyperlink" Target="https://techcombank.com/thong-tin/blog/cach-nap-the" TargetMode="External"/><Relationship Id="rId168" Type="http://schemas.openxmlformats.org/officeDocument/2006/relationships/hyperlink" Target="https://techcombank.com/thong-tin/blog/ngoai-hoi-la-gi" TargetMode="External"/><Relationship Id="rId167" Type="http://schemas.openxmlformats.org/officeDocument/2006/relationships/hyperlink" Target="https://techcombank.com/thong-tin/blog/toi-uu-hoa-chi-phi-trong-doanh-nghiep" TargetMode="External"/><Relationship Id="rId166" Type="http://schemas.openxmlformats.org/officeDocument/2006/relationships/hyperlink" Target="https://techcombank.com/thong-tin/blog/co-50-trieu-nen-mua-vang-hay-gui-tiet-kiem" TargetMode="External"/><Relationship Id="rId161" Type="http://schemas.openxmlformats.org/officeDocument/2006/relationships/hyperlink" Target="https://techcombank.com/thong-tin/blog/ho-kinh-doanh-can-gi-o-tai-khoan-ngan-hang" TargetMode="External"/><Relationship Id="rId160" Type="http://schemas.openxmlformats.org/officeDocument/2006/relationships/hyperlink" Target="https://techcombank.com/thong-tin/blog/lai-suat-chung-chi-quy" TargetMode="External"/><Relationship Id="rId159" Type="http://schemas.openxmlformats.org/officeDocument/2006/relationships/hyperlink" Target="https://techcombank.com/thong-tin/blog/lai-suat-tiet-kiem" TargetMode="External"/><Relationship Id="rId154" Type="http://schemas.openxmlformats.org/officeDocument/2006/relationships/hyperlink" Target="https://techcombank.com/thong-tin/blog/thi-truong-trai-phieu-am-tro-lai-nha-dau-tu-san-sang-cho-nhung-co-hoi-sinh-loi-moi" TargetMode="External"/><Relationship Id="rId153" Type="http://schemas.openxmlformats.org/officeDocument/2006/relationships/hyperlink" Target="https://techcombank.com/thong-tin/blog/thue-thu-nhap-doanh-nghiep" TargetMode="External"/><Relationship Id="rId152" Type="http://schemas.openxmlformats.org/officeDocument/2006/relationships/hyperlink" Target="https://techcombank.com/thong-tin/blog/tim-hieu-ve-chinh-sach-thue-moi" TargetMode="External"/><Relationship Id="rId151" Type="http://schemas.openxmlformats.org/officeDocument/2006/relationships/hyperlink" Target="https://techcombank.com/thong-tin/blog/thue-doanh-nghiep" TargetMode="External"/><Relationship Id="rId158" Type="http://schemas.openxmlformats.org/officeDocument/2006/relationships/hyperlink" Target="https://techcombank.com/thong-tin/blog/gia-chung-chi-quy-la-gi" TargetMode="External"/><Relationship Id="rId157" Type="http://schemas.openxmlformats.org/officeDocument/2006/relationships/hyperlink" Target="https://techcombank.com/thong-tin/blog/nha-dau-tu-giao-dich-trai-phieu-truc-tuyen-tang-manh-tro-lai" TargetMode="External"/><Relationship Id="rId156" Type="http://schemas.openxmlformats.org/officeDocument/2006/relationships/hyperlink" Target="https://techcombank.com/thong-tin/blog/quan-ly-tai-chinh-doanh-nghiep-la-gi" TargetMode="External"/><Relationship Id="rId155" Type="http://schemas.openxmlformats.org/officeDocument/2006/relationships/hyperlink" Target="https://techcombank.com/thong-tin/blog/kinh-nghiem-mua-vang-tich-tru" TargetMode="External"/><Relationship Id="rId1510" Type="http://schemas.openxmlformats.org/officeDocument/2006/relationships/hyperlink" Target="https://techcombank.com/thong-tin/blog/npv-la-gi" TargetMode="External"/><Relationship Id="rId1511" Type="http://schemas.openxmlformats.org/officeDocument/2006/relationships/hyperlink" Target="https://techcombank.com/thong-tin/blog/quan-ly-tai-chinh-doanh-nghiep-la-gi" TargetMode="External"/><Relationship Id="rId1512" Type="http://schemas.openxmlformats.org/officeDocument/2006/relationships/hyperlink" Target="https://techcombank.com/thong-tin/blog/quan-ly-tai-chinh-doanh-nghiep-nho" TargetMode="External"/><Relationship Id="rId1513" Type="http://schemas.openxmlformats.org/officeDocument/2006/relationships/hyperlink" Target="https://techcombank.com/thong-tin/blog/uu-dai-the-tin-dung-techcombank-signature" TargetMode="External"/><Relationship Id="rId1514" Type="http://schemas.openxmlformats.org/officeDocument/2006/relationships/hyperlink" Target="https://techcombank.com/thong-tin/blog/tai-san-va-tieu-san-la-gi" TargetMode="External"/><Relationship Id="rId1515" Type="http://schemas.openxmlformats.org/officeDocument/2006/relationships/hyperlink" Target="https://techcombank.com/thong-tin/blog/cach-tiet-kiem-tien-cua-nguoi-nhat" TargetMode="External"/><Relationship Id="rId1516" Type="http://schemas.openxmlformats.org/officeDocument/2006/relationships/hyperlink" Target="https://techcombank.com/thong-tin/blog/sai-lam-ve-tai-chinh-ca-nhan" TargetMode="External"/><Relationship Id="rId1517" Type="http://schemas.openxmlformats.org/officeDocument/2006/relationships/hyperlink" Target="https://techcombank.com/thong-tin/blog/lam-phat-la-gi" TargetMode="External"/><Relationship Id="rId1518" Type="http://schemas.openxmlformats.org/officeDocument/2006/relationships/hyperlink" Target="https://techcombank.com/thong-tin/blog/cach-tiet-kiem-tien-hieu-qua-cho-gia-dinh" TargetMode="External"/><Relationship Id="rId1519" Type="http://schemas.openxmlformats.org/officeDocument/2006/relationships/hyperlink" Target="https://techcombank.com/thong-tin/blog/dau-chan-carbon" TargetMode="External"/><Relationship Id="rId1500" Type="http://schemas.openxmlformats.org/officeDocument/2006/relationships/hyperlink" Target="https://techcombank.com/thong-tin/blog/ke-hoach-tai-chinh" TargetMode="External"/><Relationship Id="rId1501" Type="http://schemas.openxmlformats.org/officeDocument/2006/relationships/hyperlink" Target="https://techcombank.com/thong-tin/blog/ma-mcc" TargetMode="External"/><Relationship Id="rId1502" Type="http://schemas.openxmlformats.org/officeDocument/2006/relationships/hyperlink" Target="https://techcombank.com/thong-tin/blog/chinh-sach-thue-moi" TargetMode="External"/><Relationship Id="rId1503" Type="http://schemas.openxmlformats.org/officeDocument/2006/relationships/hyperlink" Target="https://techcombank.com/thong-tin/blog/ghi-chep-chi-tieu" TargetMode="External"/><Relationship Id="rId1504" Type="http://schemas.openxmlformats.org/officeDocument/2006/relationships/hyperlink" Target="https://techcombank.com/thong-tin/blog/vi-tra-sau" TargetMode="External"/><Relationship Id="rId1505" Type="http://schemas.openxmlformats.org/officeDocument/2006/relationships/hyperlink" Target="https://techcombank.com/thong-tin/blog/thue-phi-co-dinh-khi-chuyen-doi-tu-ho-kinh-doanh-len-doanh-nghiep" TargetMode="External"/><Relationship Id="rId1506" Type="http://schemas.openxmlformats.org/officeDocument/2006/relationships/hyperlink" Target="https://techcombank.com/thong-tin/blog/ngan-hang-so-cho-doanh-nghiep" TargetMode="External"/><Relationship Id="rId1507" Type="http://schemas.openxmlformats.org/officeDocument/2006/relationships/hyperlink" Target="https://techcombank.com/thong-tin/blog/chinh-sach-tang-luong-huu" TargetMode="External"/><Relationship Id="rId1508" Type="http://schemas.openxmlformats.org/officeDocument/2006/relationships/hyperlink" Target="https://techcombank.com/thong-tin/blog/tinh-thanh-khoan-la-gi" TargetMode="External"/><Relationship Id="rId1509" Type="http://schemas.openxmlformats.org/officeDocument/2006/relationships/hyperlink" Target="https://techcombank.com/thong-tin/blog/loi-ich-cua-ngan-hang-so-voi-sme" TargetMode="External"/><Relationship Id="rId1576" Type="http://schemas.openxmlformats.org/officeDocument/2006/relationships/hyperlink" Target="https://techcombank.com/thong-tin/blog/thu-tuc-mua-xe-tra-gop" TargetMode="External"/><Relationship Id="rId1577" Type="http://schemas.openxmlformats.org/officeDocument/2006/relationships/hyperlink" Target="https://techcombank.com/thong-tin/blog/vay-ngan-hang-chi-can-cccd" TargetMode="External"/><Relationship Id="rId1578" Type="http://schemas.openxmlformats.org/officeDocument/2006/relationships/hyperlink" Target="https://techcombank.com/thong-tin/blog/tra-gop-shopee" TargetMode="External"/><Relationship Id="rId1579" Type="http://schemas.openxmlformats.org/officeDocument/2006/relationships/hyperlink" Target="https://techcombank.com/thong-tin/blog/tra-gop-hoc-phi" TargetMode="External"/><Relationship Id="rId987" Type="http://schemas.openxmlformats.org/officeDocument/2006/relationships/hyperlink" Target="https://techcombank.com/thong-tin/blog/dinh-cu-chau-au" TargetMode="External"/><Relationship Id="rId986" Type="http://schemas.openxmlformats.org/officeDocument/2006/relationships/hyperlink" Target="https://techcombank.com/thong-tin/blog/nen-lam-the-visa-hay-noi-dia" TargetMode="External"/><Relationship Id="rId985" Type="http://schemas.openxmlformats.org/officeDocument/2006/relationships/hyperlink" Target="https://techcombank.com/thong-tin/blog/ngoai-te-la-gi" TargetMode="External"/><Relationship Id="rId984" Type="http://schemas.openxmlformats.org/officeDocument/2006/relationships/hyperlink" Target="https://techcombank.com/thong-tin/blog/han-muc-mua-ngoai-te-khi-di-du-lich" TargetMode="External"/><Relationship Id="rId989" Type="http://schemas.openxmlformats.org/officeDocument/2006/relationships/hyperlink" Target="https://techcombank.com/thong-tin/blog/di-du-lich-nuoc-ngoai-can-chuan-bi-gi" TargetMode="External"/><Relationship Id="rId988" Type="http://schemas.openxmlformats.org/officeDocument/2006/relationships/hyperlink" Target="https://techcombank.com/thong-tin/blog/vay-du-hoc" TargetMode="External"/><Relationship Id="rId1570" Type="http://schemas.openxmlformats.org/officeDocument/2006/relationships/hyperlink" Target="https://techcombank.com/thong-tin/blog/dao-han-la-gi" TargetMode="External"/><Relationship Id="rId1571" Type="http://schemas.openxmlformats.org/officeDocument/2006/relationships/hyperlink" Target="https://techcombank.com/thong-tin/blog/vay-mua-xe-tra-gop-ngan-hang-nao-tot-nhat" TargetMode="External"/><Relationship Id="rId983" Type="http://schemas.openxmlformats.org/officeDocument/2006/relationships/hyperlink" Target="https://techcombank.com/thong-tin/blog/thanh-toan-bang-the-quoc-te" TargetMode="External"/><Relationship Id="rId1572" Type="http://schemas.openxmlformats.org/officeDocument/2006/relationships/hyperlink" Target="https://techcombank.com/thong-tin/blog/lai-suat-vay-thau-chi" TargetMode="External"/><Relationship Id="rId982" Type="http://schemas.openxmlformats.org/officeDocument/2006/relationships/hyperlink" Target="https://techcombank.com/thong-tin/blog/chuyen-tien-dinh-cu" TargetMode="External"/><Relationship Id="rId1573" Type="http://schemas.openxmlformats.org/officeDocument/2006/relationships/hyperlink" Target="https://techcombank.com/thong-tin/blog/vay-mua-nha-tra-gop" TargetMode="External"/><Relationship Id="rId981" Type="http://schemas.openxmlformats.org/officeDocument/2006/relationships/hyperlink" Target="https://techcombank.com/thong-tin/blog/the-visa-co-thanh-toan-quoc-te-duoc-khong" TargetMode="External"/><Relationship Id="rId1574" Type="http://schemas.openxmlformats.org/officeDocument/2006/relationships/hyperlink" Target="https://techcombank.com/thong-tin/blog/quy-trinh-tat-toan-khoan-vay-the-chap" TargetMode="External"/><Relationship Id="rId980" Type="http://schemas.openxmlformats.org/officeDocument/2006/relationships/hyperlink" Target="https://techcombank.com/thong-tin/blog/the-ghi-no-visa-la-gi" TargetMode="External"/><Relationship Id="rId1575" Type="http://schemas.openxmlformats.org/officeDocument/2006/relationships/hyperlink" Target="https://techcombank.com/thong-tin/blog/vay-40-trieu" TargetMode="External"/><Relationship Id="rId1565" Type="http://schemas.openxmlformats.org/officeDocument/2006/relationships/hyperlink" Target="https://techcombank.com/thong-tin/blog/the-visa-de-lam-gi" TargetMode="External"/><Relationship Id="rId1566" Type="http://schemas.openxmlformats.org/officeDocument/2006/relationships/hyperlink" Target="https://techcombank.com/thong-tin/blog/rui-ro-khi-vay-the-chap-ngan-hang" TargetMode="External"/><Relationship Id="rId1567" Type="http://schemas.openxmlformats.org/officeDocument/2006/relationships/hyperlink" Target="https://techcombank.com/thong-tin/blog/vay-tin-chap-va-vay-the-chap" TargetMode="External"/><Relationship Id="rId1568" Type="http://schemas.openxmlformats.org/officeDocument/2006/relationships/hyperlink" Target="https://techcombank.com/thong-tin/blog/lai-suat-vay-the-chap" TargetMode="External"/><Relationship Id="rId1569" Type="http://schemas.openxmlformats.org/officeDocument/2006/relationships/hyperlink" Target="https://techcombank.com/thong-tin/blog/tat-toan" TargetMode="External"/><Relationship Id="rId976" Type="http://schemas.openxmlformats.org/officeDocument/2006/relationships/hyperlink" Target="https://techcombank.com/thong-tin/blog/the-tin-dung-noi-dia" TargetMode="External"/><Relationship Id="rId975" Type="http://schemas.openxmlformats.org/officeDocument/2006/relationships/hyperlink" Target="https://techcombank.com/thong-tin/blog/iban-la-gi" TargetMode="External"/><Relationship Id="rId974" Type="http://schemas.openxmlformats.org/officeDocument/2006/relationships/hyperlink" Target="https://techcombank.com/thong-tin/blog/the-ghi-no-noi-dia" TargetMode="External"/><Relationship Id="rId973" Type="http://schemas.openxmlformats.org/officeDocument/2006/relationships/hyperlink" Target="https://techcombank.com/thong-tin/blog/bib-techcombank" TargetMode="External"/><Relationship Id="rId979" Type="http://schemas.openxmlformats.org/officeDocument/2006/relationships/hyperlink" Target="https://techcombank.com/thong-tin/blog/lam-the-thanh-toan-quoc-te" TargetMode="External"/><Relationship Id="rId978" Type="http://schemas.openxmlformats.org/officeDocument/2006/relationships/hyperlink" Target="https://techcombank.com/thong-tin/blog/cashback-the-thanh-toan" TargetMode="External"/><Relationship Id="rId977" Type="http://schemas.openxmlformats.org/officeDocument/2006/relationships/hyperlink" Target="https://techcombank.com/thong-tin/blog/app-ngan-hang-co-dung-duoc-o-nuoc-ngoai" TargetMode="External"/><Relationship Id="rId1560" Type="http://schemas.openxmlformats.org/officeDocument/2006/relationships/hyperlink" Target="https://techcombank.com/thong-tin/blog/loi-nhuan" TargetMode="External"/><Relationship Id="rId972" Type="http://schemas.openxmlformats.org/officeDocument/2006/relationships/hyperlink" Target="https://techcombank.com/thong-tin/blog/the-tin-dung-quoc-te" TargetMode="External"/><Relationship Id="rId1561" Type="http://schemas.openxmlformats.org/officeDocument/2006/relationships/hyperlink" Target="https://techcombank.com/thong-tin/blog/co-nen-mua-o-to-tra-gop" TargetMode="External"/><Relationship Id="rId971" Type="http://schemas.openxmlformats.org/officeDocument/2006/relationships/hyperlink" Target="https://techcombank.com/thong-tin/blog/ma-buu-chinh-the-tin-dung" TargetMode="External"/><Relationship Id="rId1562" Type="http://schemas.openxmlformats.org/officeDocument/2006/relationships/hyperlink" Target="https://techcombank.com/thong-tin/blog/thanh-toan-khoan-vay" TargetMode="External"/><Relationship Id="rId970" Type="http://schemas.openxmlformats.org/officeDocument/2006/relationships/hyperlink" Target="https://techcombank.com/thong-tin/blog/bao-hiem-du-lich-quoc-te-nao-tot" TargetMode="External"/><Relationship Id="rId1563" Type="http://schemas.openxmlformats.org/officeDocument/2006/relationships/hyperlink" Target="https://techcombank.com/thong-tin/blog/kiem-tra-no-xau" TargetMode="External"/><Relationship Id="rId1564" Type="http://schemas.openxmlformats.org/officeDocument/2006/relationships/hyperlink" Target="https://techcombank.com/thong-tin/blog/mua-truoc-tra-sau" TargetMode="External"/><Relationship Id="rId1598" Type="http://schemas.openxmlformats.org/officeDocument/2006/relationships/hyperlink" Target="https://techcombank.com/thong-tin/blog/mua-nha-tra-gop-dua-truoc-100-trieu" TargetMode="External"/><Relationship Id="rId1599" Type="http://schemas.openxmlformats.org/officeDocument/2006/relationships/hyperlink" Target="https://techcombank.com/thong-tin/blog/vay-han-muc-la-gi" TargetMode="External"/><Relationship Id="rId1590" Type="http://schemas.openxmlformats.org/officeDocument/2006/relationships/hyperlink" Target="https://techcombank.com/thong-tin/blog/vay-mua-nha-o-xa-hoi" TargetMode="External"/><Relationship Id="rId1591" Type="http://schemas.openxmlformats.org/officeDocument/2006/relationships/hyperlink" Target="https://techcombank.com/thong-tin/blog/kinh-nghiem-vay-tien-ngan-hang-xay-nha" TargetMode="External"/><Relationship Id="rId1592" Type="http://schemas.openxmlformats.org/officeDocument/2006/relationships/hyperlink" Target="https://techcombank.com/thong-tin/blog/vay-tin-chap-theo-luong" TargetMode="External"/><Relationship Id="rId1593" Type="http://schemas.openxmlformats.org/officeDocument/2006/relationships/hyperlink" Target="https://techcombank.com/thong-tin/blog/tra-gop-qua-the-tin-dung" TargetMode="External"/><Relationship Id="rId1594" Type="http://schemas.openxmlformats.org/officeDocument/2006/relationships/hyperlink" Target="https://techcombank.com/thong-tin/blog/cach-tinh-lai-vay-ngan-hang" TargetMode="External"/><Relationship Id="rId1595" Type="http://schemas.openxmlformats.org/officeDocument/2006/relationships/hyperlink" Target="https://techcombank.com/thong-tin/blog/cach-su-dung-the-visa-techcombank" TargetMode="External"/><Relationship Id="rId1596" Type="http://schemas.openxmlformats.org/officeDocument/2006/relationships/hyperlink" Target="https://techcombank.com/thong-tin/blog/lai-suat-vay-ngan-hang" TargetMode="External"/><Relationship Id="rId1597" Type="http://schemas.openxmlformats.org/officeDocument/2006/relationships/hyperlink" Target="https://techcombank.com/thong-tin/blog/du-no-tin-dung-la-gi" TargetMode="External"/><Relationship Id="rId1587" Type="http://schemas.openxmlformats.org/officeDocument/2006/relationships/hyperlink" Target="https://techcombank.com/thong-tin/blog/vay-30-trieu" TargetMode="External"/><Relationship Id="rId1588" Type="http://schemas.openxmlformats.org/officeDocument/2006/relationships/hyperlink" Target="https://techcombank.com/thong-tin/blog/thu-tuc-vay-von-ngan-hang-de-xay-nha" TargetMode="External"/><Relationship Id="rId1589" Type="http://schemas.openxmlformats.org/officeDocument/2006/relationships/hyperlink" Target="https://techcombank.com/thong-tin/blog/cach-su-dung-the-tin-dung" TargetMode="External"/><Relationship Id="rId998" Type="http://schemas.openxmlformats.org/officeDocument/2006/relationships/hyperlink" Target="https://techcombank.com/thong-tin/blog/1-trieu-do-bang-bao-nhieu-tien-viet" TargetMode="External"/><Relationship Id="rId997" Type="http://schemas.openxmlformats.org/officeDocument/2006/relationships/hyperlink" Target="https://techcombank.com/thong-tin/blog/di-du-lich-nuoc-ngoai-can-chuan-bi-gi" TargetMode="External"/><Relationship Id="rId996" Type="http://schemas.openxmlformats.org/officeDocument/2006/relationships/hyperlink" Target="https://techcombank.com/thong-tin/blog/ty-gia-cac-ngan-hang" TargetMode="External"/><Relationship Id="rId995" Type="http://schemas.openxmlformats.org/officeDocument/2006/relationships/hyperlink" Target="https://techcombank.com/thong-tin/blog/han-muc-mua-ngoai-te-khi-di-du-lich" TargetMode="External"/><Relationship Id="rId999" Type="http://schemas.openxmlformats.org/officeDocument/2006/relationships/hyperlink" Target="https://techcombank.com/thong-tin/blog/gui-tiet-kiem-ngoai-te" TargetMode="External"/><Relationship Id="rId990" Type="http://schemas.openxmlformats.org/officeDocument/2006/relationships/hyperlink" Target="https://techcombank.com/thong-tin/blog/thu-tuc-chuyen-tien-ra-nuoc-ngoai" TargetMode="External"/><Relationship Id="rId1580" Type="http://schemas.openxmlformats.org/officeDocument/2006/relationships/hyperlink" Target="https://techcombank.com/thong-tin/blog/thanh-toan-tra-gop-qua-the-tin-dung" TargetMode="External"/><Relationship Id="rId1581" Type="http://schemas.openxmlformats.org/officeDocument/2006/relationships/hyperlink" Target="https://techcombank.com/thong-tin/blog/tra-gop-lazada" TargetMode="External"/><Relationship Id="rId1582" Type="http://schemas.openxmlformats.org/officeDocument/2006/relationships/hyperlink" Target="https://techcombank.com/thong-tin/blog/lai-suat-vay-the-chap-so-do" TargetMode="External"/><Relationship Id="rId994" Type="http://schemas.openxmlformats.org/officeDocument/2006/relationships/hyperlink" Target="https://techcombank.com/thong-tin/blog/dieu-kien-mua-usd-tu-ngan-hang" TargetMode="External"/><Relationship Id="rId1583" Type="http://schemas.openxmlformats.org/officeDocument/2006/relationships/hyperlink" Target="https://techcombank.com/thong-tin/blog/nen-mua-xe-tra-gop-hay-tra-thang" TargetMode="External"/><Relationship Id="rId993" Type="http://schemas.openxmlformats.org/officeDocument/2006/relationships/hyperlink" Target="https://techcombank.com/thong-tin/blog/gui-tien-du-hoc" TargetMode="External"/><Relationship Id="rId1584" Type="http://schemas.openxmlformats.org/officeDocument/2006/relationships/hyperlink" Target="https://techcombank.com/thong-tin/blog/vay-15-trieu" TargetMode="External"/><Relationship Id="rId992" Type="http://schemas.openxmlformats.org/officeDocument/2006/relationships/hyperlink" Target="https://techcombank.com/thong-tin/blog/gia-ca-phe-hom-nay" TargetMode="External"/><Relationship Id="rId1585" Type="http://schemas.openxmlformats.org/officeDocument/2006/relationships/hyperlink" Target="https://techcombank.com/thong-tin/blog/lai-suat-vay-tieu-dung" TargetMode="External"/><Relationship Id="rId991" Type="http://schemas.openxmlformats.org/officeDocument/2006/relationships/hyperlink" Target="https://techcombank.com/thong-tin/blog/gui-tien-sang-nuoc-ngoai" TargetMode="External"/><Relationship Id="rId1586" Type="http://schemas.openxmlformats.org/officeDocument/2006/relationships/hyperlink" Target="https://techcombank.com/thong-tin/blog/lam-ho-so-tra-gop-dien-thoai" TargetMode="External"/><Relationship Id="rId1532" Type="http://schemas.openxmlformats.org/officeDocument/2006/relationships/hyperlink" Target="https://techcombank.com/thong-tin/blog/tinh-thanh-khoan-la-gi" TargetMode="External"/><Relationship Id="rId1533" Type="http://schemas.openxmlformats.org/officeDocument/2006/relationships/hyperlink" Target="https://techcombank.com/thong-tin/blog/phat-cham-dang-ky-thue-ho-kinh-doanh" TargetMode="External"/><Relationship Id="rId1534" Type="http://schemas.openxmlformats.org/officeDocument/2006/relationships/hyperlink" Target="https://techcombank.com/thong-tin/blog/quy-trinh-gui-tien-tiet-kiem" TargetMode="External"/><Relationship Id="rId1535" Type="http://schemas.openxmlformats.org/officeDocument/2006/relationships/hyperlink" Target="https://techcombank.com/thong-tin/blog/vay-the-chap-khong-tra-duoc" TargetMode="External"/><Relationship Id="rId1536" Type="http://schemas.openxmlformats.org/officeDocument/2006/relationships/hyperlink" Target="https://techcombank.com/thong-tin/blog/phan-bo-tai-san" TargetMode="External"/><Relationship Id="rId1537" Type="http://schemas.openxmlformats.org/officeDocument/2006/relationships/hyperlink" Target="https://techcombank.com/thong-tin/blog/vay-the-chap-so-bao-hiem-xa-hoi" TargetMode="External"/><Relationship Id="rId1538" Type="http://schemas.openxmlformats.org/officeDocument/2006/relationships/hyperlink" Target="https://techcombank.com/thong-tin/blog/mat-the-tin-dung-co-bi-mat-tien-khong" TargetMode="External"/><Relationship Id="rId1539" Type="http://schemas.openxmlformats.org/officeDocument/2006/relationships/hyperlink" Target="https://techcombank.com/thong-tin/blog/chung-chi-quy-va-co-phieu" TargetMode="External"/><Relationship Id="rId949" Type="http://schemas.openxmlformats.org/officeDocument/2006/relationships/hyperlink" Target="https://techcombank.com/thong-tin/blog/xu-huong-ty-gia-usd" TargetMode="External"/><Relationship Id="rId948" Type="http://schemas.openxmlformats.org/officeDocument/2006/relationships/hyperlink" Target="https://techcombank.com/thong-tin/blog/high-net-worth-client-va-ultra-high-net-worth-client" TargetMode="External"/><Relationship Id="rId943" Type="http://schemas.openxmlformats.org/officeDocument/2006/relationships/hyperlink" Target="https://techcombank.com/thong-tin/blog/thanh-toan-qr-thai-lan" TargetMode="External"/><Relationship Id="rId942" Type="http://schemas.openxmlformats.org/officeDocument/2006/relationships/hyperlink" Target="https://techcombank.com/thong-tin/blog/thanh-toan-khi-du-lich-thai-lan" TargetMode="External"/><Relationship Id="rId941" Type="http://schemas.openxmlformats.org/officeDocument/2006/relationships/hyperlink" Target="https://techcombank.com/thong-tin/blog/han-muc-mua-ngoai-te-khi-di-du-lich" TargetMode="External"/><Relationship Id="rId940" Type="http://schemas.openxmlformats.org/officeDocument/2006/relationships/hyperlink" Target="https://techcombank.com/thong-tin/blog/chixmax" TargetMode="External"/><Relationship Id="rId947" Type="http://schemas.openxmlformats.org/officeDocument/2006/relationships/hyperlink" Target="https://techcombank.com/thong-tin/blog/1-dong-do-la-my-bang-bao-nhieu-tien-viet-nam" TargetMode="External"/><Relationship Id="rId946" Type="http://schemas.openxmlformats.org/officeDocument/2006/relationships/hyperlink" Target="https://techcombank.com/thong-tin/blog/thanh-toan-bang-the-quoc-te" TargetMode="External"/><Relationship Id="rId945" Type="http://schemas.openxmlformats.org/officeDocument/2006/relationships/hyperlink" Target="https://techcombank.com/thong-tin/blog/di-du-lich-nuoc-ngoai-can-chuan-bi-gi" TargetMode="External"/><Relationship Id="rId944" Type="http://schemas.openxmlformats.org/officeDocument/2006/relationships/hyperlink" Target="https://techcombank.com/thong-tin/blog/han-muc-mua-ngoai-te-khi-di-du-lich" TargetMode="External"/><Relationship Id="rId1530" Type="http://schemas.openxmlformats.org/officeDocument/2006/relationships/hyperlink" Target="https://techcombank.com/thong-tin/blog/cho-vay-hop-von-la-gi" TargetMode="External"/><Relationship Id="rId1531" Type="http://schemas.openxmlformats.org/officeDocument/2006/relationships/hyperlink" Target="https://techcombank.com/thong-tin/blog/cac-sai-lam-pho-bien-khi-chuyen-doi-ho-kinh-doanh-len-sme" TargetMode="External"/><Relationship Id="rId1521" Type="http://schemas.openxmlformats.org/officeDocument/2006/relationships/hyperlink" Target="https://techcombank.com/thong-tin/blog/app-mua-truoc-tra-sau" TargetMode="External"/><Relationship Id="rId1522" Type="http://schemas.openxmlformats.org/officeDocument/2006/relationships/hyperlink" Target="https://techcombank.com/thong-tin/blog/phan-mem-quan-ly-tai-chinh-doanh-nghiep" TargetMode="External"/><Relationship Id="rId1523" Type="http://schemas.openxmlformats.org/officeDocument/2006/relationships/hyperlink" Target="https://techcombank.com/thong-tin/blog/co-nen-gui-tiet-kiem-online" TargetMode="External"/><Relationship Id="rId1524" Type="http://schemas.openxmlformats.org/officeDocument/2006/relationships/hyperlink" Target="https://techcombank.com/thong-tin/blog/gui-tiet-kiem-online-bi-mat-tien" TargetMode="External"/><Relationship Id="rId1525" Type="http://schemas.openxmlformats.org/officeDocument/2006/relationships/hyperlink" Target="https://techcombank.com/thong-tin/blog/kinh-nghiem-gui-tiet-kiem-online" TargetMode="External"/><Relationship Id="rId1526" Type="http://schemas.openxmlformats.org/officeDocument/2006/relationships/hyperlink" Target="https://techcombank.com/thong-tin/blog/cach-gui-tiet-kiem-online" TargetMode="External"/><Relationship Id="rId1527" Type="http://schemas.openxmlformats.org/officeDocument/2006/relationships/hyperlink" Target="https://techcombank.com/thong-tin/blog/rui-ro-khi-gui-tiet-kiem-ngan-hang" TargetMode="External"/><Relationship Id="rId1528" Type="http://schemas.openxmlformats.org/officeDocument/2006/relationships/hyperlink" Target="https://techcombank.com/thong-tin/blog/tra-luong-tien-mat" TargetMode="External"/><Relationship Id="rId1529" Type="http://schemas.openxmlformats.org/officeDocument/2006/relationships/hyperlink" Target="https://techcombank.com/thong-tin/blog/due-diligence" TargetMode="External"/><Relationship Id="rId939" Type="http://schemas.openxmlformats.org/officeDocument/2006/relationships/hyperlink" Target="https://techcombank.com/thong-tin/blog/thanh-toan-khi-du-lich-nhat-ban" TargetMode="External"/><Relationship Id="rId938" Type="http://schemas.openxmlformats.org/officeDocument/2006/relationships/hyperlink" Target="https://techcombank.com/thong-tin/blog/chuyen-tien-tu-nhat-ve-viet-nam" TargetMode="External"/><Relationship Id="rId937" Type="http://schemas.openxmlformats.org/officeDocument/2006/relationships/hyperlink" Target="https://techcombank.com/thong-tin/blog/1000-yen-bang-bao-nhieu-tien-viet" TargetMode="External"/><Relationship Id="rId932" Type="http://schemas.openxmlformats.org/officeDocument/2006/relationships/hyperlink" Target="https://techcombank.com/thong-tin/blog/ty-gia-cac-ngan-hang" TargetMode="External"/><Relationship Id="rId931" Type="http://schemas.openxmlformats.org/officeDocument/2006/relationships/hyperlink" Target="https://techcombank.com/thong-tin/blog/ngoai-te-la-gi" TargetMode="External"/><Relationship Id="rId930" Type="http://schemas.openxmlformats.org/officeDocument/2006/relationships/hyperlink" Target="https://techcombank.com/thong-tin/blog/1-van-tien-dai-loan-bang-bao-nhieu-tien-viet" TargetMode="External"/><Relationship Id="rId936" Type="http://schemas.openxmlformats.org/officeDocument/2006/relationships/hyperlink" Target="https://techcombank.com/thong-tin/blog/1-yen-bang-bao-nhieu-tien-viet-nam" TargetMode="External"/><Relationship Id="rId935" Type="http://schemas.openxmlformats.org/officeDocument/2006/relationships/hyperlink" Target="https://techcombank.com/thong-tin/blog/tien-nhat" TargetMode="External"/><Relationship Id="rId934" Type="http://schemas.openxmlformats.org/officeDocument/2006/relationships/hyperlink" Target="https://techcombank.com/thong-tin/blog/shang-chi" TargetMode="External"/><Relationship Id="rId933" Type="http://schemas.openxmlformats.org/officeDocument/2006/relationships/hyperlink" Target="https://techcombank.com/thong-tin/blog/han-muc-mua-ngoai-te-khi-di-du-lich" TargetMode="External"/><Relationship Id="rId1520" Type="http://schemas.openxmlformats.org/officeDocument/2006/relationships/hyperlink" Target="https://techcombank.com/thong-tin/blog/mo-tai-khoan-ngan-hang-cho-tre-em" TargetMode="External"/><Relationship Id="rId1554" Type="http://schemas.openxmlformats.org/officeDocument/2006/relationships/hyperlink" Target="https://techcombank.com/thong-tin/blog/vay-200-trieu" TargetMode="External"/><Relationship Id="rId1555" Type="http://schemas.openxmlformats.org/officeDocument/2006/relationships/hyperlink" Target="https://techcombank.com/thong-tin/blog/vay-300-trieu" TargetMode="External"/><Relationship Id="rId1556" Type="http://schemas.openxmlformats.org/officeDocument/2006/relationships/hyperlink" Target="https://techcombank.com/thong-tin/blog/vay-tra-gop" TargetMode="External"/><Relationship Id="rId1557" Type="http://schemas.openxmlformats.org/officeDocument/2006/relationships/hyperlink" Target="https://techcombank.com/thong-tin/blog/dang-vay-tra-gop-co-vay-them-duoc-khong" TargetMode="External"/><Relationship Id="rId1558" Type="http://schemas.openxmlformats.org/officeDocument/2006/relationships/hyperlink" Target="https://techcombank.com/thong-tin/blog/lai-suat-vay-kinh-doanh" TargetMode="External"/><Relationship Id="rId1559" Type="http://schemas.openxmlformats.org/officeDocument/2006/relationships/hyperlink" Target="https://techcombank.com/thong-tin/blog/cac-hinh-thuc-vay-von-ngan-hang" TargetMode="External"/><Relationship Id="rId965" Type="http://schemas.openxmlformats.org/officeDocument/2006/relationships/hyperlink" Target="https://techcombank.com/thong-tin/blog/nhan-tien-western-union" TargetMode="External"/><Relationship Id="rId964" Type="http://schemas.openxmlformats.org/officeDocument/2006/relationships/hyperlink" Target="https://techcombank.com/thong-tin/blog/kieu-hoi-la-gi" TargetMode="External"/><Relationship Id="rId963" Type="http://schemas.openxmlformats.org/officeDocument/2006/relationships/hyperlink" Target="https://techcombank.com/thong-tin/blog/chuyen-tien-tu-han-sang-viet-nam" TargetMode="External"/><Relationship Id="rId962" Type="http://schemas.openxmlformats.org/officeDocument/2006/relationships/hyperlink" Target="https://techcombank.com/thong-tin/blog/thanh-toan-khi-du-lich-han-quoc" TargetMode="External"/><Relationship Id="rId969" Type="http://schemas.openxmlformats.org/officeDocument/2006/relationships/hyperlink" Target="https://techcombank.com/thong-tin/blog/thanh-toan-quoc-te" TargetMode="External"/><Relationship Id="rId968" Type="http://schemas.openxmlformats.org/officeDocument/2006/relationships/hyperlink" Target="https://techcombank.com/thong-tin/blog/remittance-la-gi" TargetMode="External"/><Relationship Id="rId967" Type="http://schemas.openxmlformats.org/officeDocument/2006/relationships/hyperlink" Target="https://techcombank.com/thong-tin/blog/chuyen-tien-tu-my-ve-viet-nam" TargetMode="External"/><Relationship Id="rId966" Type="http://schemas.openxmlformats.org/officeDocument/2006/relationships/hyperlink" Target="https://techcombank.com/thong-tin/blog/ma-swift-ngan-hang" TargetMode="External"/><Relationship Id="rId961" Type="http://schemas.openxmlformats.org/officeDocument/2006/relationships/hyperlink" Target="https://techcombank.com/thong-tin/blog/1-trieu-won-bang-bao-nhieu-tien-viet" TargetMode="External"/><Relationship Id="rId1550" Type="http://schemas.openxmlformats.org/officeDocument/2006/relationships/hyperlink" Target="https://techcombank.com/thong-tin/blog/cac-chung-chi-quy-o-viet-nam" TargetMode="External"/><Relationship Id="rId960" Type="http://schemas.openxmlformats.org/officeDocument/2006/relationships/hyperlink" Target="https://techcombank.com/thong-tin/blog/1-won-bang-bao-nhieu-tien-viet" TargetMode="External"/><Relationship Id="rId1551" Type="http://schemas.openxmlformats.org/officeDocument/2006/relationships/hyperlink" Target="https://techcombank.com/thong-tin/blog/mo-tai-khoan-ngan-hang-online-co-an-toan-khong" TargetMode="External"/><Relationship Id="rId1552" Type="http://schemas.openxmlformats.org/officeDocument/2006/relationships/hyperlink" Target="https://techcombank.com/thong-tin/blog/tra-no-vay-thau-chi-nhu-the-nao" TargetMode="External"/><Relationship Id="rId1553" Type="http://schemas.openxmlformats.org/officeDocument/2006/relationships/hyperlink" Target="https://techcombank.com/thong-tin/blog/vay-100-trieu" TargetMode="External"/><Relationship Id="rId1543" Type="http://schemas.openxmlformats.org/officeDocument/2006/relationships/hyperlink" Target="https://techcombank.com/thong-tin/blog/rui-ro-khi-vay-the-chap-ngan-hang" TargetMode="External"/><Relationship Id="rId1544" Type="http://schemas.openxmlformats.org/officeDocument/2006/relationships/hyperlink" Target="https://techcombank.com/thong-tin/blog/the-atm-khong-rut-duoc-tien" TargetMode="External"/><Relationship Id="rId1545" Type="http://schemas.openxmlformats.org/officeDocument/2006/relationships/hyperlink" Target="https://techcombank.com/thong-tin/blog/phuong-phap-dau-tu-chung-chi-quy" TargetMode="External"/><Relationship Id="rId1546" Type="http://schemas.openxmlformats.org/officeDocument/2006/relationships/hyperlink" Target="https://techcombank.com/thong-tin/blog/gia-chung-chi-quy-la-gi" TargetMode="External"/><Relationship Id="rId1547" Type="http://schemas.openxmlformats.org/officeDocument/2006/relationships/hyperlink" Target="https://techcombank.com/thong-tin/blog/chung-chi-quy-va-chung-khoan" TargetMode="External"/><Relationship Id="rId1548" Type="http://schemas.openxmlformats.org/officeDocument/2006/relationships/hyperlink" Target="https://techcombank.com/thong-tin/blog/danh-muc-dau-tu" TargetMode="External"/><Relationship Id="rId1549" Type="http://schemas.openxmlformats.org/officeDocument/2006/relationships/hyperlink" Target="https://techcombank.com/thong-tin/blog/cach-khoa-the-ngan-hang" TargetMode="External"/><Relationship Id="rId959" Type="http://schemas.openxmlformats.org/officeDocument/2006/relationships/hyperlink" Target="https://techcombank.com/thong-tin/blog/1-do-uc-bang-bao-nhieu-tien-viet" TargetMode="External"/><Relationship Id="rId954" Type="http://schemas.openxmlformats.org/officeDocument/2006/relationships/hyperlink" Target="https://techcombank.com/thong-tin/blog/dieu-kien-mua-usd-tu-ngan-hang" TargetMode="External"/><Relationship Id="rId953" Type="http://schemas.openxmlformats.org/officeDocument/2006/relationships/hyperlink" Target="https://techcombank.com/thong-tin/blog/doi-tien-do-o-dau" TargetMode="External"/><Relationship Id="rId952" Type="http://schemas.openxmlformats.org/officeDocument/2006/relationships/hyperlink" Target="https://techcombank.com/thong-tin/blog/gui-tiet-kiem-usd" TargetMode="External"/><Relationship Id="rId951" Type="http://schemas.openxmlformats.org/officeDocument/2006/relationships/hyperlink" Target="https://techcombank.com/thong-tin/blog/lai-suat-gui-tiet-kiem-usd" TargetMode="External"/><Relationship Id="rId958" Type="http://schemas.openxmlformats.org/officeDocument/2006/relationships/hyperlink" Target="https://techcombank.com/thong-tin/blog/1-cent-bang-bao-nhieu-tien-viet" TargetMode="External"/><Relationship Id="rId957" Type="http://schemas.openxmlformats.org/officeDocument/2006/relationships/hyperlink" Target="https://techcombank.com/thong-tin/blog/chuyen-tien-tu-my-ve-viet-nam" TargetMode="External"/><Relationship Id="rId956" Type="http://schemas.openxmlformats.org/officeDocument/2006/relationships/hyperlink" Target="https://techcombank.com/thong-tin/blog/chuyen-tien-di-uc" TargetMode="External"/><Relationship Id="rId955" Type="http://schemas.openxmlformats.org/officeDocument/2006/relationships/hyperlink" Target="https://techcombank.com/thong-tin/blog/tien-singapore" TargetMode="External"/><Relationship Id="rId950" Type="http://schemas.openxmlformats.org/officeDocument/2006/relationships/hyperlink" Target="https://techcombank.com/thong-tin/blog/gia-tri-tai-san-rong" TargetMode="External"/><Relationship Id="rId1540" Type="http://schemas.openxmlformats.org/officeDocument/2006/relationships/hyperlink" Target="https://techcombank.com/thong-tin/blog/gui-tiet-kiem-vang" TargetMode="External"/><Relationship Id="rId1541" Type="http://schemas.openxmlformats.org/officeDocument/2006/relationships/hyperlink" Target="https://techcombank.com/thong-tin/blog/lo-so-tai-khoan-ngan-hang-co-sao-khong" TargetMode="External"/><Relationship Id="rId1542" Type="http://schemas.openxmlformats.org/officeDocument/2006/relationships/hyperlink" Target="https://techcombank.com/thong-tin/blog/tai-sao-gui-tiet-kiem-online-lai-suat-cao-hon" TargetMode="External"/><Relationship Id="rId107" Type="http://schemas.openxmlformats.org/officeDocument/2006/relationships/hyperlink" Target="https://techcombank.com/thong-tin/blog/hoan-thue-doanh-nghiep" TargetMode="External"/><Relationship Id="rId106" Type="http://schemas.openxmlformats.org/officeDocument/2006/relationships/hyperlink" Target="https://techcombank.com/thong-tin/blog/tra-cuu-no-thue-ho-kinh-doanh" TargetMode="External"/><Relationship Id="rId105" Type="http://schemas.openxmlformats.org/officeDocument/2006/relationships/hyperlink" Target="https://techcombank.com/thong-tin/blog/ke-khai-thue-doanh-nghiep" TargetMode="External"/><Relationship Id="rId104" Type="http://schemas.openxmlformats.org/officeDocument/2006/relationships/hyperlink" Target="https://techcombank.com/thong-tin/blog/quyet-toan-thue-doanh-nghiep" TargetMode="External"/><Relationship Id="rId109" Type="http://schemas.openxmlformats.org/officeDocument/2006/relationships/hyperlink" Target="https://techcombank.com/thong-tin/blog/giai-dap-ve-thue-doanh-nghiep" TargetMode="External"/><Relationship Id="rId108" Type="http://schemas.openxmlformats.org/officeDocument/2006/relationships/hyperlink" Target="https://techcombank.com/thong-tin/blog/cach-tinh-thue-thu-nhap-doanh-nghiep" TargetMode="External"/><Relationship Id="rId103" Type="http://schemas.openxmlformats.org/officeDocument/2006/relationships/hyperlink" Target="https://techcombank.com/thong-tin/blog/tra-cuu-no-thue-hai-quan" TargetMode="External"/><Relationship Id="rId102" Type="http://schemas.openxmlformats.org/officeDocument/2006/relationships/hyperlink" Target="https://techcombank.com/thong-tin/blog/kiem-tra-ma-so-thue-doanh-nghiep" TargetMode="External"/><Relationship Id="rId101" Type="http://schemas.openxmlformats.org/officeDocument/2006/relationships/hyperlink" Target="https://techcombank.com/thong-tin/blog/app-chia-tien" TargetMode="External"/><Relationship Id="rId100" Type="http://schemas.openxmlformats.org/officeDocument/2006/relationships/hyperlink" Target="https://techcombank.com/thong-tin/blog/cach-huy-thanh-toan-tien-dien" TargetMode="External"/><Relationship Id="rId129" Type="http://schemas.openxmlformats.org/officeDocument/2006/relationships/hyperlink" Target="https://techcombank.com/thong-tin/blog/tra-cuu-no-thue-doanh-nghiep" TargetMode="External"/><Relationship Id="rId128" Type="http://schemas.openxmlformats.org/officeDocument/2006/relationships/hyperlink" Target="https://techcombank.com/thong-tin/blog/dang-ky-thanh-lap-doanh-nghiep-online" TargetMode="External"/><Relationship Id="rId127" Type="http://schemas.openxmlformats.org/officeDocument/2006/relationships/hyperlink" Target="https://techcombank.com/thong-tin/blog/ke-khai-thue-doanh-nghiep" TargetMode="External"/><Relationship Id="rId126" Type="http://schemas.openxmlformats.org/officeDocument/2006/relationships/hyperlink" Target="https://techcombank.com/thong-tin/blog/quyet-toan-thue-doanh-nghiep" TargetMode="External"/><Relationship Id="rId121" Type="http://schemas.openxmlformats.org/officeDocument/2006/relationships/hyperlink" Target="https://techcombank.com/thong-tin/blog/kiem-tra-ma-so-thue-doanh-nghiep" TargetMode="External"/><Relationship Id="rId120" Type="http://schemas.openxmlformats.org/officeDocument/2006/relationships/hyperlink" Target="https://techcombank.com/thong-tin/blog/cach-tinh-thue-thu-nhap-doanh-nghiep" TargetMode="External"/><Relationship Id="rId125" Type="http://schemas.openxmlformats.org/officeDocument/2006/relationships/hyperlink" Target="https://techcombank.com/thong-tin/blog/tim-hieu-ve-chinh-sach-thue-moi" TargetMode="External"/><Relationship Id="rId124" Type="http://schemas.openxmlformats.org/officeDocument/2006/relationships/hyperlink" Target="https://techcombank.com/thong-tin/blog/chuan-bi-cho-doanh-nghiep-khoi-nghiep-truoc-nhung-thay-doi-ve-thue" TargetMode="External"/><Relationship Id="rId123" Type="http://schemas.openxmlformats.org/officeDocument/2006/relationships/hyperlink" Target="https://techcombank.com/thong-tin/blog/ho-so-dang-ky-thanh-lap-doanh-nghiep" TargetMode="External"/><Relationship Id="rId122" Type="http://schemas.openxmlformats.org/officeDocument/2006/relationships/hyperlink" Target="https://techcombank.com/thong-tin/blog/chinh-sach-thue-moi" TargetMode="External"/><Relationship Id="rId118" Type="http://schemas.openxmlformats.org/officeDocument/2006/relationships/hyperlink" Target="https://techcombank.com/thong-tin/blog/hoan-thue-doanh-nghiep" TargetMode="External"/><Relationship Id="rId117" Type="http://schemas.openxmlformats.org/officeDocument/2006/relationships/hyperlink" Target="https://techcombank.com/thong-tin/blog/huong-dan-dang-ky-thanh-lap-doanh-nghiep" TargetMode="External"/><Relationship Id="rId116" Type="http://schemas.openxmlformats.org/officeDocument/2006/relationships/hyperlink" Target="https://techcombank.com/thong-tin/blog/dieu-kien-thanh-lap-doanh-nghiep" TargetMode="External"/><Relationship Id="rId115" Type="http://schemas.openxmlformats.org/officeDocument/2006/relationships/hyperlink" Target="https://techcombank.com/thong-tin/blog/thue-doanh-nghiep-2025" TargetMode="External"/><Relationship Id="rId119" Type="http://schemas.openxmlformats.org/officeDocument/2006/relationships/hyperlink" Target="https://techcombank.com/thong-tin/blog/dang-ky-thanh-lap-doanh-nghiep" TargetMode="External"/><Relationship Id="rId110" Type="http://schemas.openxmlformats.org/officeDocument/2006/relationships/hyperlink" Target="https://techcombank.com/thong-tin/blog/tra-cuu-no-thue-ca-nhan" TargetMode="External"/><Relationship Id="rId114" Type="http://schemas.openxmlformats.org/officeDocument/2006/relationships/hyperlink" Target="https://techcombank.com/thong-tin/blog/thue-phi-co-dinh-khi-chuyen-doi-tu-ho-kinh-doanh-len-doanh-nghiep" TargetMode="External"/><Relationship Id="rId113" Type="http://schemas.openxmlformats.org/officeDocument/2006/relationships/hyperlink" Target="https://techcombank.com/thong-tin/blog/hieu-hiet-ve-tuan-thu-thue-cho-cac-doanh-nghiep-khoi-nghiep" TargetMode="External"/><Relationship Id="rId112" Type="http://schemas.openxmlformats.org/officeDocument/2006/relationships/hyperlink" Target="https://techcombank.com/thong-tin/blog/giai-dap-ve-thue-doanh-nghiep" TargetMode="External"/><Relationship Id="rId111" Type="http://schemas.openxmlformats.org/officeDocument/2006/relationships/hyperlink" Target="https://techcombank.com/thong-tin/blog/thue-doanh-nghiep" TargetMode="External"/><Relationship Id="rId1610" Type="http://schemas.openxmlformats.org/officeDocument/2006/relationships/hyperlink" Target="https://techcombank.com/thong-tin/blog/vay-mua-dien-thoai" TargetMode="External"/><Relationship Id="rId1611" Type="http://schemas.openxmlformats.org/officeDocument/2006/relationships/hyperlink" Target="https://techcombank.com/thong-tin/blog/vay-the-chap-hop-dong-mua-ban-can-ho" TargetMode="External"/><Relationship Id="rId1612" Type="http://schemas.openxmlformats.org/officeDocument/2006/relationships/hyperlink" Target="https://techcombank.com/thong-tin/blog/lai-suat-cho-vay-doanh-nghiep" TargetMode="External"/><Relationship Id="rId1613" Type="http://schemas.openxmlformats.org/officeDocument/2006/relationships/hyperlink" Target="https://techcombank.com/thong-tin/blog/cach-tiet-kiem-100-trieu-1-nam" TargetMode="External"/><Relationship Id="rId1614" Type="http://schemas.openxmlformats.org/officeDocument/2006/relationships/hyperlink" Target="https://techcombank.com/thong-tin/blog/co-50-trieu-nen-mua-vang-hay-gui-tiet-kiem" TargetMode="External"/><Relationship Id="rId1615" Type="http://schemas.openxmlformats.org/officeDocument/2006/relationships/hyperlink" Target="https://techcombank.com/thong-tin/blog/gui-tiet-kiem-tich-luy-la-gi" TargetMode="External"/><Relationship Id="rId1616" Type="http://schemas.openxmlformats.org/officeDocument/2006/relationships/hyperlink" Target="https://techcombank.com/thong-tin/blog/quy-trinh-gui-tien-tiet-kiem" TargetMode="External"/><Relationship Id="rId907" Type="http://schemas.openxmlformats.org/officeDocument/2006/relationships/hyperlink" Target="https://techcombank.com/thong-tin/blog/doi-tien-do-o-dau" TargetMode="External"/><Relationship Id="rId1617" Type="http://schemas.openxmlformats.org/officeDocument/2006/relationships/hyperlink" Target="https://techcombank.com/thong-tin/blog/nen-de-tien-trong-the-hay-gui-tiet-kiem" TargetMode="External"/><Relationship Id="rId906" Type="http://schemas.openxmlformats.org/officeDocument/2006/relationships/hyperlink" Target="https://techcombank.com/thong-tin/blog/gui-tiet-kiem-usd" TargetMode="External"/><Relationship Id="rId1618" Type="http://schemas.openxmlformats.org/officeDocument/2006/relationships/hyperlink" Target="https://techcombank.com/thong-tin/blog/lai-suat-vay-kinh-doanh" TargetMode="External"/><Relationship Id="rId905" Type="http://schemas.openxmlformats.org/officeDocument/2006/relationships/hyperlink" Target="https://techcombank.com/thong-tin/blog/cam-nang-dinh-cu-my" TargetMode="External"/><Relationship Id="rId1619" Type="http://schemas.openxmlformats.org/officeDocument/2006/relationships/hyperlink" Target="https://techcombank.com/thong-tin/blog/cong-thuc-tinh-lai-suat-thuc" TargetMode="External"/><Relationship Id="rId904" Type="http://schemas.openxmlformats.org/officeDocument/2006/relationships/hyperlink" Target="https://techcombank.com/thong-tin/blog/han-muc-mua-ngoai-te-khi-di-du-lich" TargetMode="External"/><Relationship Id="rId909" Type="http://schemas.openxmlformats.org/officeDocument/2006/relationships/hyperlink" Target="https://techcombank.com/thong-tin/blog/1-trieu-do-bang-bao-nhieu-tien-viet" TargetMode="External"/><Relationship Id="rId908" Type="http://schemas.openxmlformats.org/officeDocument/2006/relationships/hyperlink" Target="https://techcombank.com/thong-tin/blog/chuyen-tien-di-uc" TargetMode="External"/><Relationship Id="rId903" Type="http://schemas.openxmlformats.org/officeDocument/2006/relationships/hyperlink" Target="https://techcombank.com/thong-tin/blog/vang-my-ky" TargetMode="External"/><Relationship Id="rId902" Type="http://schemas.openxmlformats.org/officeDocument/2006/relationships/hyperlink" Target="https://techcombank.com/thong-tin/blog/chuyen-tien-tu-my-ve-viet-nam" TargetMode="External"/><Relationship Id="rId901" Type="http://schemas.openxmlformats.org/officeDocument/2006/relationships/hyperlink" Target="https://techcombank.com/thong-tin/blog/lai-suat-gui-tiet-kiem-usd" TargetMode="External"/><Relationship Id="rId900" Type="http://schemas.openxmlformats.org/officeDocument/2006/relationships/hyperlink" Target="https://techcombank.com/thong-tin/blog/1-cent-bang-bao-nhieu-tien-viet" TargetMode="External"/><Relationship Id="rId1600" Type="http://schemas.openxmlformats.org/officeDocument/2006/relationships/hyperlink" Target="https://techcombank.com/thong-tin/blog/lai-suat-vay-mua-o-to" TargetMode="External"/><Relationship Id="rId1601" Type="http://schemas.openxmlformats.org/officeDocument/2006/relationships/hyperlink" Target="https://techcombank.com/thong-tin/blog/no-xau-nhom-2" TargetMode="External"/><Relationship Id="rId1602" Type="http://schemas.openxmlformats.org/officeDocument/2006/relationships/hyperlink" Target="https://techcombank.com/thong-tin/blog/lai-suat-vay-tin-chap" TargetMode="External"/><Relationship Id="rId1603" Type="http://schemas.openxmlformats.org/officeDocument/2006/relationships/hyperlink" Target="https://techcombank.com/thong-tin/blog/co-100-trieu-co-mua-nen-mua-tra-gop" TargetMode="External"/><Relationship Id="rId1604" Type="http://schemas.openxmlformats.org/officeDocument/2006/relationships/hyperlink" Target="https://techcombank.com/thong-tin/blog/bao-hiem-vat-chat-xe-o-to" TargetMode="External"/><Relationship Id="rId1605" Type="http://schemas.openxmlformats.org/officeDocument/2006/relationships/hyperlink" Target="https://techcombank.com/thong-tin/blog/han-muc-tra-gop-the-tin-dung" TargetMode="External"/><Relationship Id="rId1606" Type="http://schemas.openxmlformats.org/officeDocument/2006/relationships/hyperlink" Target="https://techcombank.com/thong-tin/blog/quy-trinh-cho-vay-tieu-dung" TargetMode="External"/><Relationship Id="rId1607" Type="http://schemas.openxmlformats.org/officeDocument/2006/relationships/hyperlink" Target="https://techcombank.com/thong-tin/blog/vay-20-trieu" TargetMode="External"/><Relationship Id="rId1608" Type="http://schemas.openxmlformats.org/officeDocument/2006/relationships/hyperlink" Target="https://techcombank.com/thong-tin/blog/kinh-nghiem-vay-tien-mua-nha" TargetMode="External"/><Relationship Id="rId1609" Type="http://schemas.openxmlformats.org/officeDocument/2006/relationships/hyperlink" Target="https://techcombank.com/thong-tin/blog/vay-tin-chap-la-gi" TargetMode="External"/><Relationship Id="rId1631" Type="http://schemas.openxmlformats.org/officeDocument/2006/relationships/hyperlink" Target="https://techcombank.com/thong-tin/blog/co-nen-gui-tiet-kiem-ngan-hang" TargetMode="External"/><Relationship Id="rId1632" Type="http://schemas.openxmlformats.org/officeDocument/2006/relationships/hyperlink" Target="https://techcombank.com/thong-tin/blog/lai-suat-tiet-kiem" TargetMode="External"/><Relationship Id="rId1633" Type="http://schemas.openxmlformats.org/officeDocument/2006/relationships/hyperlink" Target="https://techcombank.com/thong-tin/blog/co-nen-gui-tiet-kiem-online" TargetMode="External"/><Relationship Id="rId1634" Type="http://schemas.openxmlformats.org/officeDocument/2006/relationships/hyperlink" Target="https://techcombank.com/thong-tin/blog/gui-tiet-kiem-ngan-hang-van-la-lua-chon-an-toan-trong-thoi-ky-kinh-te-con-nhieu-bien-dong" TargetMode="External"/><Relationship Id="rId1635" Type="http://schemas.openxmlformats.org/officeDocument/2006/relationships/hyperlink" Target="https://techcombank.com/thong-tin/blog/cach-gui-tiet-kiem-online" TargetMode="External"/><Relationship Id="rId1636" Type="http://schemas.openxmlformats.org/officeDocument/2006/relationships/hyperlink" Target="https://techcombank.com/thong-tin/blog/gui-tien-ngan-hang-co-an-toan-khong" TargetMode="External"/><Relationship Id="rId1637" Type="http://schemas.openxmlformats.org/officeDocument/2006/relationships/hyperlink" Target="https://techcombank.com/thong-tin/blog/dau-tu-trai-phieu-doanh-nghiep-dung-ham-lai-suat-cao" TargetMode="External"/><Relationship Id="rId1638" Type="http://schemas.openxmlformats.org/officeDocument/2006/relationships/hyperlink" Target="https://techcombank.com/thong-tin/blog/nen-gui-tiet-kiem-6-thang-hay-1-nam" TargetMode="External"/><Relationship Id="rId929" Type="http://schemas.openxmlformats.org/officeDocument/2006/relationships/hyperlink" Target="https://techcombank.com/thong-tin/blog/ty-gia-cac-ngan-hang" TargetMode="External"/><Relationship Id="rId1639" Type="http://schemas.openxmlformats.org/officeDocument/2006/relationships/hyperlink" Target="https://techcombank.com/thong-tin/blog/mo-tai-khoan-tiet-kiem-cho-con" TargetMode="External"/><Relationship Id="rId928" Type="http://schemas.openxmlformats.org/officeDocument/2006/relationships/hyperlink" Target="https://techcombank.com/thong-tin/blog/chuyen-tien-tu-han-sang-viet-nam" TargetMode="External"/><Relationship Id="rId927" Type="http://schemas.openxmlformats.org/officeDocument/2006/relationships/hyperlink" Target="https://techcombank.com/thong-tin/blog/thanh-toan-khi-du-lich-han-quoc" TargetMode="External"/><Relationship Id="rId926" Type="http://schemas.openxmlformats.org/officeDocument/2006/relationships/hyperlink" Target="https://techcombank.com/thong-tin/blog/1000-won-bang-bao-nhieu-tien-viet" TargetMode="External"/><Relationship Id="rId921" Type="http://schemas.openxmlformats.org/officeDocument/2006/relationships/hyperlink" Target="https://techcombank.com/thong-tin/blog/chuyen-tien-tu-nhat-ve-viet-nam" TargetMode="External"/><Relationship Id="rId920" Type="http://schemas.openxmlformats.org/officeDocument/2006/relationships/hyperlink" Target="https://techcombank.com/thong-tin/blog/1-man-bang-bao-nhieu-tien-viet" TargetMode="External"/><Relationship Id="rId925" Type="http://schemas.openxmlformats.org/officeDocument/2006/relationships/hyperlink" Target="https://techcombank.com/thong-tin/blog/1-trieu-won-bang-bao-nhieu-tien-viet" TargetMode="External"/><Relationship Id="rId924" Type="http://schemas.openxmlformats.org/officeDocument/2006/relationships/hyperlink" Target="https://techcombank.com/thong-tin/blog/thanh-toan-khi-du-lich-nhat-ban" TargetMode="External"/><Relationship Id="rId923" Type="http://schemas.openxmlformats.org/officeDocument/2006/relationships/hyperlink" Target="https://techcombank.com/thong-tin/blog/han-muc-mua-ngoai-te-khi-di-du-lich" TargetMode="External"/><Relationship Id="rId922" Type="http://schemas.openxmlformats.org/officeDocument/2006/relationships/hyperlink" Target="https://techcombank.com/thong-tin/blog/chixmax" TargetMode="External"/><Relationship Id="rId1630" Type="http://schemas.openxmlformats.org/officeDocument/2006/relationships/hyperlink" Target="https://techcombank.com/thong-tin/blog/qua-han-thanh-toan-the-tin-dung-1-ngay" TargetMode="External"/><Relationship Id="rId1620" Type="http://schemas.openxmlformats.org/officeDocument/2006/relationships/hyperlink" Target="https://techcombank.com/thong-tin/blog/diem-loyalty-la-gi" TargetMode="External"/><Relationship Id="rId1621" Type="http://schemas.openxmlformats.org/officeDocument/2006/relationships/hyperlink" Target="https://techcombank.com/thong-tin/blog/techcombank-oneu" TargetMode="External"/><Relationship Id="rId1622" Type="http://schemas.openxmlformats.org/officeDocument/2006/relationships/hyperlink" Target="https://techcombank.com/thong-tin/blog/gui-tiet-kiem-theo-ngay" TargetMode="External"/><Relationship Id="rId1623" Type="http://schemas.openxmlformats.org/officeDocument/2006/relationships/hyperlink" Target="https://techcombank.com/thong-tin/blog/gui-tiet-kiem-vang" TargetMode="External"/><Relationship Id="rId1624" Type="http://schemas.openxmlformats.org/officeDocument/2006/relationships/hyperlink" Target="https://techcombank.com/thong-tin/blog/nen-gui-tiet-kiem-thong-thuong-hay-tich-luy" TargetMode="External"/><Relationship Id="rId1625" Type="http://schemas.openxmlformats.org/officeDocument/2006/relationships/hyperlink" Target="https://techcombank.com/thong-tin/blog/tai-sao-gui-tiet-kiem-online-lai-suat-cao-hon" TargetMode="External"/><Relationship Id="rId1626" Type="http://schemas.openxmlformats.org/officeDocument/2006/relationships/hyperlink" Target="https://techcombank.com/thong-tin/blog/rui-ro-khi-vay-the-chap-ngan-hang" TargetMode="External"/><Relationship Id="rId1627" Type="http://schemas.openxmlformats.org/officeDocument/2006/relationships/hyperlink" Target="https://techcombank.com/thong-tin/blog/lai-kep-ngan-hang" TargetMode="External"/><Relationship Id="rId918" Type="http://schemas.openxmlformats.org/officeDocument/2006/relationships/hyperlink" Target="https://techcombank.com/thong-tin/blog/1000-yen-bang-bao-nhieu-tien-viet" TargetMode="External"/><Relationship Id="rId1628" Type="http://schemas.openxmlformats.org/officeDocument/2006/relationships/hyperlink" Target="https://techcombank.com/thong-tin/blog/lai-suat-vay-thau-chi" TargetMode="External"/><Relationship Id="rId917" Type="http://schemas.openxmlformats.org/officeDocument/2006/relationships/hyperlink" Target="https://techcombank.com/thong-tin/blog/1000-yen-bang-bao-nhieu-tien-viet" TargetMode="External"/><Relationship Id="rId1629" Type="http://schemas.openxmlformats.org/officeDocument/2006/relationships/hyperlink" Target="https://techcombank.com/thong-tin/blog/tien-gui-khong-ky-han" TargetMode="External"/><Relationship Id="rId916" Type="http://schemas.openxmlformats.org/officeDocument/2006/relationships/hyperlink" Target="https://techcombank.com/thong-tin/blog/han-muc-mua-ngoai-te-khi-di-du-lich" TargetMode="External"/><Relationship Id="rId915" Type="http://schemas.openxmlformats.org/officeDocument/2006/relationships/hyperlink" Target="https://techcombank.com/thong-tin/blog/chixmax" TargetMode="External"/><Relationship Id="rId919" Type="http://schemas.openxmlformats.org/officeDocument/2006/relationships/hyperlink" Target="https://techcombank.com/thong-tin/blog/tien-nhat" TargetMode="External"/><Relationship Id="rId910" Type="http://schemas.openxmlformats.org/officeDocument/2006/relationships/hyperlink" Target="https://techcombank.com/thong-tin/blog/thanh-toan-khi-du-lich-nhat-ban" TargetMode="External"/><Relationship Id="rId914" Type="http://schemas.openxmlformats.org/officeDocument/2006/relationships/hyperlink" Target="https://techcombank.com/thong-tin/blog/cach-tiet-kiem-tien-cua-nguoi-nhat" TargetMode="External"/><Relationship Id="rId913" Type="http://schemas.openxmlformats.org/officeDocument/2006/relationships/hyperlink" Target="https://techcombank.com/thong-tin/blog/1-man-bang-bao-nhieu-tien-viet" TargetMode="External"/><Relationship Id="rId912" Type="http://schemas.openxmlformats.org/officeDocument/2006/relationships/hyperlink" Target="https://techcombank.com/thong-tin/blog/1-yen-bang-bao-nhieu-tien-viet-nam" TargetMode="External"/><Relationship Id="rId911" Type="http://schemas.openxmlformats.org/officeDocument/2006/relationships/hyperlink" Target="https://techcombank.com/thong-tin/blog/chuyen-tien-tu-nhat-ve-viet-nam" TargetMode="External"/><Relationship Id="rId1697" Type="http://schemas.openxmlformats.org/officeDocument/2006/relationships/hyperlink" Target="https://techcombank.com/thong-tin/blog/lai-suat-vay-kinh-doanh" TargetMode="External"/><Relationship Id="rId1698" Type="http://schemas.openxmlformats.org/officeDocument/2006/relationships/hyperlink" Target="https://techcombank.com/thong-tin/blog/loi-nhuan" TargetMode="External"/><Relationship Id="rId1699" Type="http://schemas.openxmlformats.org/officeDocument/2006/relationships/hyperlink" Target="https://techcombank.com/thong-tin/blog/vay-tin-chap-va-vay-the-chap" TargetMode="External"/><Relationship Id="rId866" Type="http://schemas.openxmlformats.org/officeDocument/2006/relationships/hyperlink" Target="https://techcombank.com/thong-tin/blog/chung-chi-tien-gui-co-duoc-rut-truoc-han" TargetMode="External"/><Relationship Id="rId865" Type="http://schemas.openxmlformats.org/officeDocument/2006/relationships/hyperlink" Target="https://techcombank.com/thong-tin/blog/tat-toan-chung-chi-tien-gui" TargetMode="External"/><Relationship Id="rId864" Type="http://schemas.openxmlformats.org/officeDocument/2006/relationships/hyperlink" Target="https://techcombank.com/thong-tin/blog/cach-tinh-loi-nhuan-chung-chi-tien-gui" TargetMode="External"/><Relationship Id="rId863" Type="http://schemas.openxmlformats.org/officeDocument/2006/relationships/hyperlink" Target="https://techcombank.com/thong-tin/blog/cach-tinh-lai-suat-tien-gui-tiet-kiem" TargetMode="External"/><Relationship Id="rId869" Type="http://schemas.openxmlformats.org/officeDocument/2006/relationships/hyperlink" Target="https://techcombank.com/thong-tin/blog/chung-chi-tien-gui-la-gi" TargetMode="External"/><Relationship Id="rId868" Type="http://schemas.openxmlformats.org/officeDocument/2006/relationships/hyperlink" Target="https://techcombank.com/thong-tin/blog/chung-chi-tien-gui-co-duoc-bao-hiem-khong" TargetMode="External"/><Relationship Id="rId867" Type="http://schemas.openxmlformats.org/officeDocument/2006/relationships/hyperlink" Target="https://techcombank.com/thong-tin/blog/chuyen-nhuong-chung-chi-tien-gui" TargetMode="External"/><Relationship Id="rId1690" Type="http://schemas.openxmlformats.org/officeDocument/2006/relationships/hyperlink" Target="https://techcombank.com/thong-tin/blog/vay-the-chap-hop-dong-mua-ban-can-ho" TargetMode="External"/><Relationship Id="rId1691" Type="http://schemas.openxmlformats.org/officeDocument/2006/relationships/hyperlink" Target="https://techcombank.com/thong-tin/blog/vay-du-hoc" TargetMode="External"/><Relationship Id="rId1692" Type="http://schemas.openxmlformats.org/officeDocument/2006/relationships/hyperlink" Target="https://techcombank.com/thong-tin/blog/lai-suat-la-gi" TargetMode="External"/><Relationship Id="rId862" Type="http://schemas.openxmlformats.org/officeDocument/2006/relationships/hyperlink" Target="https://techcombank.com/thong-tin/blog/tat-toan-chung-chi-tien-gui" TargetMode="External"/><Relationship Id="rId1693" Type="http://schemas.openxmlformats.org/officeDocument/2006/relationships/hyperlink" Target="https://techcombank.com/thong-tin/blog/lai-suat-vay-tieu-dung" TargetMode="External"/><Relationship Id="rId861" Type="http://schemas.openxmlformats.org/officeDocument/2006/relationships/hyperlink" Target="https://techcombank.com/thong-tin/blog/rui-ro-khi-gui-tiet-kiem-online" TargetMode="External"/><Relationship Id="rId1694" Type="http://schemas.openxmlformats.org/officeDocument/2006/relationships/hyperlink" Target="https://techcombank.com/thong-tin/blog/lai-suat-vay-tin-chap" TargetMode="External"/><Relationship Id="rId860" Type="http://schemas.openxmlformats.org/officeDocument/2006/relationships/hyperlink" Target="https://techcombank.com/thong-tin/blog/gui-tiet-kiem-lay-lai-hang-thang" TargetMode="External"/><Relationship Id="rId1695" Type="http://schemas.openxmlformats.org/officeDocument/2006/relationships/hyperlink" Target="https://techcombank.com/thong-tin/blog/dieu-kien-vay-von-ngan-hang" TargetMode="External"/><Relationship Id="rId1696" Type="http://schemas.openxmlformats.org/officeDocument/2006/relationships/hyperlink" Target="https://techcombank.com/thong-tin/blog/lai-suat-qua-han" TargetMode="External"/><Relationship Id="rId1686" Type="http://schemas.openxmlformats.org/officeDocument/2006/relationships/hyperlink" Target="https://techcombank.com/thong-tin/blog/dang-vay-tra-gop-co-vay-them-duoc-khong" TargetMode="External"/><Relationship Id="rId1687" Type="http://schemas.openxmlformats.org/officeDocument/2006/relationships/hyperlink" Target="https://techcombank.com/thong-tin/blog/vay-tra-gop" TargetMode="External"/><Relationship Id="rId1688" Type="http://schemas.openxmlformats.org/officeDocument/2006/relationships/hyperlink" Target="https://techcombank.com/thong-tin/blog/quy-trinh-cho-vay-tieu-dung" TargetMode="External"/><Relationship Id="rId1689" Type="http://schemas.openxmlformats.org/officeDocument/2006/relationships/hyperlink" Target="https://techcombank.com/thong-tin/blog/kinh-nghiem-vay-tien-mua-nha" TargetMode="External"/><Relationship Id="rId855" Type="http://schemas.openxmlformats.org/officeDocument/2006/relationships/hyperlink" Target="https://techcombank.com/thong-tin/blog/dau-tu-trai-phieu-doanh-nghiep-dung-ham-lai-suat-cao" TargetMode="External"/><Relationship Id="rId854" Type="http://schemas.openxmlformats.org/officeDocument/2006/relationships/hyperlink" Target="https://techcombank.com/thong-tin/blog/gui-tien-ngan-hang-co-an-toan-khong" TargetMode="External"/><Relationship Id="rId853" Type="http://schemas.openxmlformats.org/officeDocument/2006/relationships/hyperlink" Target="https://techcombank.com/thong-tin/blog/cach-gui-tiet-kiem-online" TargetMode="External"/><Relationship Id="rId852" Type="http://schemas.openxmlformats.org/officeDocument/2006/relationships/hyperlink" Target="https://techcombank.com/thong-tin/blog/gui-tiet-kiem-ngan-hang-van-la-lua-chon-an-toan-trong-thoi-ky-kinh-te-con-nhieu-bien-dong" TargetMode="External"/><Relationship Id="rId859" Type="http://schemas.openxmlformats.org/officeDocument/2006/relationships/hyperlink" Target="https://techcombank.com/thong-tin/blog/gui-tiet-kiem-tich-luy-la-gi" TargetMode="External"/><Relationship Id="rId858" Type="http://schemas.openxmlformats.org/officeDocument/2006/relationships/hyperlink" Target="https://techcombank.com/thong-tin/blog/ho-kinh-doanh-can-gi-o-tai-khoan-ngan-hang" TargetMode="External"/><Relationship Id="rId857" Type="http://schemas.openxmlformats.org/officeDocument/2006/relationships/hyperlink" Target="https://techcombank.com/thong-tin/blog/dau-tu-ngan-han" TargetMode="External"/><Relationship Id="rId856" Type="http://schemas.openxmlformats.org/officeDocument/2006/relationships/hyperlink" Target="https://techcombank.com/thong-tin/blog/nen-gui-tiet-kiem-6-thang-hay-1-nam" TargetMode="External"/><Relationship Id="rId1680" Type="http://schemas.openxmlformats.org/officeDocument/2006/relationships/hyperlink" Target="https://techcombank.com/thong-tin/blog/vay-kinh-doanh-online" TargetMode="External"/><Relationship Id="rId1681" Type="http://schemas.openxmlformats.org/officeDocument/2006/relationships/hyperlink" Target="https://techcombank.com/thong-tin/blog/vay-the-chap-qua-luong" TargetMode="External"/><Relationship Id="rId851" Type="http://schemas.openxmlformats.org/officeDocument/2006/relationships/hyperlink" Target="https://techcombank.com/thong-tin/blog/co-nen-gui-tiet-kiem-online" TargetMode="External"/><Relationship Id="rId1682" Type="http://schemas.openxmlformats.org/officeDocument/2006/relationships/hyperlink" Target="https://techcombank.com/thong-tin/blog/vay-tien-mat" TargetMode="External"/><Relationship Id="rId850" Type="http://schemas.openxmlformats.org/officeDocument/2006/relationships/hyperlink" Target="https://techcombank.com/thong-tin/blog/chung-chi-quy-va-chung-khoan" TargetMode="External"/><Relationship Id="rId1683" Type="http://schemas.openxmlformats.org/officeDocument/2006/relationships/hyperlink" Target="https://techcombank.com/thong-tin/blog/vay-tin-chap-toi-da-duoc-bao-nhieu" TargetMode="External"/><Relationship Id="rId1684" Type="http://schemas.openxmlformats.org/officeDocument/2006/relationships/hyperlink" Target="https://techcombank.com/thong-tin/blog/kinh-nghiem-vay-tien-ngan-hang-xay-nha" TargetMode="External"/><Relationship Id="rId1685" Type="http://schemas.openxmlformats.org/officeDocument/2006/relationships/hyperlink" Target="https://techcombank.com/thong-tin/blog/lai-suat-vay-ngan-hang" TargetMode="External"/><Relationship Id="rId888" Type="http://schemas.openxmlformats.org/officeDocument/2006/relationships/hyperlink" Target="https://techcombank.com/thong-tin/blog/quy-dinh-ve-mua-ban-ngoai-te-cua-doanh-nghiep" TargetMode="External"/><Relationship Id="rId887" Type="http://schemas.openxmlformats.org/officeDocument/2006/relationships/hyperlink" Target="https://techcombank.com/thong-tin/blog/di-du-lich-nuoc-ngoai-can-chuan-bi-gi" TargetMode="External"/><Relationship Id="rId886" Type="http://schemas.openxmlformats.org/officeDocument/2006/relationships/hyperlink" Target="https://techcombank.com/thong-tin/blog/tai-khoan-ngan-hang-la-gi" TargetMode="External"/><Relationship Id="rId885" Type="http://schemas.openxmlformats.org/officeDocument/2006/relationships/hyperlink" Target="https://techcombank.com/thong-tin/blog/ngoai-te-la-gi" TargetMode="External"/><Relationship Id="rId889" Type="http://schemas.openxmlformats.org/officeDocument/2006/relationships/hyperlink" Target="https://techcombank.com/thong-tin/blog/chuyen-tien-tu-duc-ve-viet-nam" TargetMode="External"/><Relationship Id="rId880" Type="http://schemas.openxmlformats.org/officeDocument/2006/relationships/hyperlink" Target="https://techcombank.com/thong-tin/blog/1000-te-bang-bao-nhieu-tien-viet" TargetMode="External"/><Relationship Id="rId884" Type="http://schemas.openxmlformats.org/officeDocument/2006/relationships/hyperlink" Target="https://techcombank.com/thong-tin/blog/han-muc-mua-ngoai-te-khi-di-du-lich" TargetMode="External"/><Relationship Id="rId883" Type="http://schemas.openxmlformats.org/officeDocument/2006/relationships/hyperlink" Target="https://techcombank.com/thong-tin/blog/chuyen-tien-dinh-cu" TargetMode="External"/><Relationship Id="rId882" Type="http://schemas.openxmlformats.org/officeDocument/2006/relationships/hyperlink" Target="https://techcombank.com/thong-tin/blog/gui-tiet-kiem-ngoai-te" TargetMode="External"/><Relationship Id="rId881" Type="http://schemas.openxmlformats.org/officeDocument/2006/relationships/hyperlink" Target="https://techcombank.com/thong-tin/blog/thanh-toan-khi-du-lich-trung-quoc" TargetMode="External"/><Relationship Id="rId877" Type="http://schemas.openxmlformats.org/officeDocument/2006/relationships/hyperlink" Target="https://techcombank.com/thong-tin/blog/chung-chi-tien-gui-co-an-toan-khong" TargetMode="External"/><Relationship Id="rId876" Type="http://schemas.openxmlformats.org/officeDocument/2006/relationships/hyperlink" Target="https://techcombank.com/thong-tin/blog/chung-chi-tien-gui-co-phai-la-trai-phieu-khong" TargetMode="External"/><Relationship Id="rId875" Type="http://schemas.openxmlformats.org/officeDocument/2006/relationships/hyperlink" Target="https://techcombank.com/thong-tin/blog/chung-chi-tien-gui-khac-gi-so-tiet-kiem" TargetMode="External"/><Relationship Id="rId874" Type="http://schemas.openxmlformats.org/officeDocument/2006/relationships/hyperlink" Target="https://techcombank.com/thong-tin/blog/chon-kenh-dau-tu-an-toan-trong-boi-canh-thi-truong-bien-dong" TargetMode="External"/><Relationship Id="rId879" Type="http://schemas.openxmlformats.org/officeDocument/2006/relationships/hyperlink" Target="https://techcombank.com/thong-tin/blog/1-van-te-bang-bao-nhieu-tien-viet" TargetMode="External"/><Relationship Id="rId878" Type="http://schemas.openxmlformats.org/officeDocument/2006/relationships/hyperlink" Target="https://techcombank.com/thong-tin/blog/tien-trung-quoc" TargetMode="External"/><Relationship Id="rId873" Type="http://schemas.openxmlformats.org/officeDocument/2006/relationships/hyperlink" Target="https://techcombank.com/thong-tin/blog/cach-tinh-lai-suat-tien-gui-tiet-kiem" TargetMode="External"/><Relationship Id="rId872" Type="http://schemas.openxmlformats.org/officeDocument/2006/relationships/hyperlink" Target="https://techcombank.com/thong-tin/blog/dau-tu-trai-phieu-doanh-nghiep-dung-ham-lai-suat-cao" TargetMode="External"/><Relationship Id="rId871" Type="http://schemas.openxmlformats.org/officeDocument/2006/relationships/hyperlink" Target="https://techcombank.com/thong-tin/blog/co-nen-gui-chung-chi-tien-gui" TargetMode="External"/><Relationship Id="rId870" Type="http://schemas.openxmlformats.org/officeDocument/2006/relationships/hyperlink" Target="https://techcombank.com/thong-tin/blog/lai-suat-tiet-kiem" TargetMode="External"/><Relationship Id="rId1653" Type="http://schemas.openxmlformats.org/officeDocument/2006/relationships/hyperlink" Target="https://techcombank.com/thong-tin/blog/gui-tiet-kiem-hang-thang" TargetMode="External"/><Relationship Id="rId1654" Type="http://schemas.openxmlformats.org/officeDocument/2006/relationships/hyperlink" Target="https://techcombank.com/thong-tin/blog/cach-tiet-kiem-tien" TargetMode="External"/><Relationship Id="rId1655" Type="http://schemas.openxmlformats.org/officeDocument/2006/relationships/hyperlink" Target="https://techcombank.com/thong-tin/blog/tra-no-vay-thau-chi-nhu-the-nao" TargetMode="External"/><Relationship Id="rId1656" Type="http://schemas.openxmlformats.org/officeDocument/2006/relationships/hyperlink" Target="https://techcombank.com/thong-tin/blog/rut-tien-bao-hiem-nhan-tho-khi-het-han" TargetMode="External"/><Relationship Id="rId1657" Type="http://schemas.openxmlformats.org/officeDocument/2006/relationships/hyperlink" Target="https://techcombank.com/thong-tin/blog/cach-tinh-lai-vay-ngan-hang" TargetMode="External"/><Relationship Id="rId1658" Type="http://schemas.openxmlformats.org/officeDocument/2006/relationships/hyperlink" Target="https://techcombank.com/thong-tin/blog/gui-tiet-kiem-online-bi-mat-tien" TargetMode="External"/><Relationship Id="rId1659" Type="http://schemas.openxmlformats.org/officeDocument/2006/relationships/hyperlink" Target="https://techcombank.com/thong-tin/blog/kinh-nghiem-gui-tiet-kiem-online" TargetMode="External"/><Relationship Id="rId829" Type="http://schemas.openxmlformats.org/officeDocument/2006/relationships/hyperlink" Target="https://techcombank.com/thong-tin/blog/ma-buu-chinh-the-tin-dung" TargetMode="External"/><Relationship Id="rId828" Type="http://schemas.openxmlformats.org/officeDocument/2006/relationships/hyperlink" Target="https://techcombank.com/thong-tin/blog/co-nen-dung-the-tin-dung-khong" TargetMode="External"/><Relationship Id="rId827" Type="http://schemas.openxmlformats.org/officeDocument/2006/relationships/hyperlink" Target="https://techcombank.com/thong-tin/blog/cach-huy-the-tin-dung" TargetMode="External"/><Relationship Id="rId822" Type="http://schemas.openxmlformats.org/officeDocument/2006/relationships/hyperlink" Target="https://techcombank.com/thong-tin/blog/the-visa-co-can-mat-khau-khong" TargetMode="External"/><Relationship Id="rId821" Type="http://schemas.openxmlformats.org/officeDocument/2006/relationships/hyperlink" Target="https://techcombank.com/thong-tin/blog/mua-iphone-17" TargetMode="External"/><Relationship Id="rId820" Type="http://schemas.openxmlformats.org/officeDocument/2006/relationships/hyperlink" Target="https://techcombank.com/thong-tin/blog/cach-lam-the-ngan-hang-chay-quang-cao-facebook" TargetMode="External"/><Relationship Id="rId826" Type="http://schemas.openxmlformats.org/officeDocument/2006/relationships/hyperlink" Target="https://techcombank.com/thong-tin/blog/the-tin-dung-het-han" TargetMode="External"/><Relationship Id="rId825" Type="http://schemas.openxmlformats.org/officeDocument/2006/relationships/hyperlink" Target="https://techcombank.com/thong-tin/blog/the-ghi-no-va-the-tin-dung" TargetMode="External"/><Relationship Id="rId824" Type="http://schemas.openxmlformats.org/officeDocument/2006/relationships/hyperlink" Target="https://techcombank.com/thong-tin/blog/tra-cuu-han-muc-the-tin-dung" TargetMode="External"/><Relationship Id="rId823" Type="http://schemas.openxmlformats.org/officeDocument/2006/relationships/hyperlink" Target="https://techcombank.com/thong-tin/blog/mua-truoc-tra-sau" TargetMode="External"/><Relationship Id="rId1650" Type="http://schemas.openxmlformats.org/officeDocument/2006/relationships/hyperlink" Target="https://techcombank.com/thong-tin/blog/gui-tiet-kiem-ngoai-te" TargetMode="External"/><Relationship Id="rId1651" Type="http://schemas.openxmlformats.org/officeDocument/2006/relationships/hyperlink" Target="https://techcombank.com/thong-tin/blog/lai-suat-ngan-hang-cho-vay-xay-nha" TargetMode="External"/><Relationship Id="rId1652" Type="http://schemas.openxmlformats.org/officeDocument/2006/relationships/hyperlink" Target="https://techcombank.com/thong-tin/blog/rui-ro-khi-gui-tiet-kiem-ngan-hang" TargetMode="External"/><Relationship Id="rId1642" Type="http://schemas.openxmlformats.org/officeDocument/2006/relationships/hyperlink" Target="https://techcombank.com/thong-tin/blog/lai-suat-vay-the-chap-so-do" TargetMode="External"/><Relationship Id="rId1643" Type="http://schemas.openxmlformats.org/officeDocument/2006/relationships/hyperlink" Target="https://techcombank.com/thong-tin/blog/gui-tiet-kiem-lay-lai-hang-thang" TargetMode="External"/><Relationship Id="rId1644" Type="http://schemas.openxmlformats.org/officeDocument/2006/relationships/hyperlink" Target="https://techcombank.com/thong-tin/blog/rui-ro-khi-gui-tiet-kiem-online" TargetMode="External"/><Relationship Id="rId1645" Type="http://schemas.openxmlformats.org/officeDocument/2006/relationships/hyperlink" Target="https://techcombank.com/thong-tin/blog/tich-luy-tai-san" TargetMode="External"/><Relationship Id="rId1646" Type="http://schemas.openxmlformats.org/officeDocument/2006/relationships/hyperlink" Target="https://techcombank.com/thong-tin/blog/cach-tinh-lai-suat-tien-gui-tiet-kiem" TargetMode="External"/><Relationship Id="rId1647" Type="http://schemas.openxmlformats.org/officeDocument/2006/relationships/hyperlink" Target="https://techcombank.com/thong-tin/blog/lai-suat-tha-noi" TargetMode="External"/><Relationship Id="rId1648" Type="http://schemas.openxmlformats.org/officeDocument/2006/relationships/hyperlink" Target="https://techcombank.com/thong-tin/blog/lai-suat-vay-tieu-dung" TargetMode="External"/><Relationship Id="rId1649" Type="http://schemas.openxmlformats.org/officeDocument/2006/relationships/hyperlink" Target="https://techcombank.com/thong-tin/blog/chon-kenh-dau-tu-an-toan-trong-boi-canh-thi-truong-bien-dong" TargetMode="External"/><Relationship Id="rId819" Type="http://schemas.openxmlformats.org/officeDocument/2006/relationships/hyperlink" Target="https://techcombank.com/thong-tin/blog/the-tin-dung-nao-nhieu-uu-dai-nhat" TargetMode="External"/><Relationship Id="rId818" Type="http://schemas.openxmlformats.org/officeDocument/2006/relationships/hyperlink" Target="https://techcombank.com/thong-tin/blog/so-cvv-la-gi" TargetMode="External"/><Relationship Id="rId817" Type="http://schemas.openxmlformats.org/officeDocument/2006/relationships/hyperlink" Target="https://techcombank.com/thong-tin/blog/mat-the-tin-dung-co-bi-mat-tien-khong" TargetMode="External"/><Relationship Id="rId816" Type="http://schemas.openxmlformats.org/officeDocument/2006/relationships/hyperlink" Target="https://techcombank.com/thong-tin/blog/uu-dai-mua-ve-may-bay-bang-the-tin-dung" TargetMode="External"/><Relationship Id="rId811" Type="http://schemas.openxmlformats.org/officeDocument/2006/relationships/hyperlink" Target="https://techcombank.com/thong-tin/blog/mm-yy-la-gi" TargetMode="External"/><Relationship Id="rId810" Type="http://schemas.openxmlformats.org/officeDocument/2006/relationships/hyperlink" Target="https://techcombank.com/thong-tin/blog/tai-khoan-doanh-nghiep-co-the-khong" TargetMode="External"/><Relationship Id="rId815" Type="http://schemas.openxmlformats.org/officeDocument/2006/relationships/hyperlink" Target="https://techcombank.com/thong-tin/blog/the-tin-dung-mien-phi-thuong-nien" TargetMode="External"/><Relationship Id="rId814" Type="http://schemas.openxmlformats.org/officeDocument/2006/relationships/hyperlink" Target="https://techcombank.com/thong-tin/blog/cac-loai-the-tin-dung" TargetMode="External"/><Relationship Id="rId813" Type="http://schemas.openxmlformats.org/officeDocument/2006/relationships/hyperlink" Target="https://techcombank.com/thong-tin/blog/uu-dai-the-tin-dung-techcombank-signature" TargetMode="External"/><Relationship Id="rId812" Type="http://schemas.openxmlformats.org/officeDocument/2006/relationships/hyperlink" Target="https://techcombank.com/thong-tin/blog/sao-ke-tai-khoan-doanh-nghiep" TargetMode="External"/><Relationship Id="rId1640" Type="http://schemas.openxmlformats.org/officeDocument/2006/relationships/hyperlink" Target="https://techcombank.com/thong-tin/blog/lai-suat-the-tin-dung" TargetMode="External"/><Relationship Id="rId1641" Type="http://schemas.openxmlformats.org/officeDocument/2006/relationships/hyperlink" Target="https://techcombank.com/thong-tin/blog/quy-gia-dinh" TargetMode="External"/><Relationship Id="rId1675" Type="http://schemas.openxmlformats.org/officeDocument/2006/relationships/hyperlink" Target="https://techcombank.com/thong-tin/blog/vay-tien-online" TargetMode="External"/><Relationship Id="rId1676" Type="http://schemas.openxmlformats.org/officeDocument/2006/relationships/hyperlink" Target="https://techcombank.com/thong-tin/blog/vay-ngan-hang-chi-can-cccd" TargetMode="External"/><Relationship Id="rId1677" Type="http://schemas.openxmlformats.org/officeDocument/2006/relationships/hyperlink" Target="https://techcombank.com/thong-tin/blog/vay-30-trieu" TargetMode="External"/><Relationship Id="rId1678" Type="http://schemas.openxmlformats.org/officeDocument/2006/relationships/hyperlink" Target="https://techcombank.com/thong-tin/blog/vay-50-trieu" TargetMode="External"/><Relationship Id="rId1679" Type="http://schemas.openxmlformats.org/officeDocument/2006/relationships/hyperlink" Target="https://techcombank.com/thong-tin/blog/vay-sieu-toc" TargetMode="External"/><Relationship Id="rId849" Type="http://schemas.openxmlformats.org/officeDocument/2006/relationships/hyperlink" Target="https://techcombank.com/thong-tin/blog/lai-suat-tiet-kiem" TargetMode="External"/><Relationship Id="rId844" Type="http://schemas.openxmlformats.org/officeDocument/2006/relationships/hyperlink" Target="https://techcombank.com/thong-tin/blog/tai-sao-gui-tiet-kiem-online-lai-suat-cao-hon" TargetMode="External"/><Relationship Id="rId843" Type="http://schemas.openxmlformats.org/officeDocument/2006/relationships/hyperlink" Target="https://techcombank.com/thong-tin/blog/nen-gui-tiet-kiem-thong-thuong-hay-tich-luy" TargetMode="External"/><Relationship Id="rId842" Type="http://schemas.openxmlformats.org/officeDocument/2006/relationships/hyperlink" Target="https://techcombank.com/thong-tin/blog/gui-tiet-kiem-vang" TargetMode="External"/><Relationship Id="rId841" Type="http://schemas.openxmlformats.org/officeDocument/2006/relationships/hyperlink" Target="https://techcombank.com/thong-tin/blog/gui-tiet-kiem-theo-ngay" TargetMode="External"/><Relationship Id="rId848" Type="http://schemas.openxmlformats.org/officeDocument/2006/relationships/hyperlink" Target="https://techcombank.com/thong-tin/blog/co-nen-gui-tiet-kiem-ngan-hang" TargetMode="External"/><Relationship Id="rId847" Type="http://schemas.openxmlformats.org/officeDocument/2006/relationships/hyperlink" Target="https://techcombank.com/thong-tin/blog/quan-ly-tai-chinh-cho-dan-van-phong" TargetMode="External"/><Relationship Id="rId846" Type="http://schemas.openxmlformats.org/officeDocument/2006/relationships/hyperlink" Target="https://techcombank.com/thong-tin/blog/nen-de-tien-trong-the-hay-gui-tiet-kiem" TargetMode="External"/><Relationship Id="rId845" Type="http://schemas.openxmlformats.org/officeDocument/2006/relationships/hyperlink" Target="https://techcombank.com/thong-tin/blog/chung-chi-tien-gui-co-duoc-bao-hiem-khong" TargetMode="External"/><Relationship Id="rId1670" Type="http://schemas.openxmlformats.org/officeDocument/2006/relationships/hyperlink" Target="https://techcombank.com/thong-tin/blog/vay-tin-chap-la-gi" TargetMode="External"/><Relationship Id="rId840" Type="http://schemas.openxmlformats.org/officeDocument/2006/relationships/hyperlink" Target="https://techcombank.com/thong-tin/blog/quy-trinh-gui-tien-tiet-kiem" TargetMode="External"/><Relationship Id="rId1671" Type="http://schemas.openxmlformats.org/officeDocument/2006/relationships/hyperlink" Target="https://techcombank.com/thong-tin/blog/tien-nhan-roi-nen-lam-gi" TargetMode="External"/><Relationship Id="rId1672" Type="http://schemas.openxmlformats.org/officeDocument/2006/relationships/hyperlink" Target="https://techcombank.com/thong-tin/blog/tien-gui-co-ky-han" TargetMode="External"/><Relationship Id="rId1673" Type="http://schemas.openxmlformats.org/officeDocument/2006/relationships/hyperlink" Target="https://techcombank.com/thong-tin/blog/lai-suat-gui-tiet-kiem-usd" TargetMode="External"/><Relationship Id="rId1674" Type="http://schemas.openxmlformats.org/officeDocument/2006/relationships/hyperlink" Target="https://techcombank.com/thong-tin/blog/gui-tiet-kiem-usd" TargetMode="External"/><Relationship Id="rId1664" Type="http://schemas.openxmlformats.org/officeDocument/2006/relationships/hyperlink" Target="https://techcombank.com/thong-tin/blog/chung-chi-tien-gui-khac-gi-so-tiet-kiem" TargetMode="External"/><Relationship Id="rId1665" Type="http://schemas.openxmlformats.org/officeDocument/2006/relationships/hyperlink" Target="https://techcombank.com/thong-tin/blog/tich-diem-doi-qua" TargetMode="External"/><Relationship Id="rId1666" Type="http://schemas.openxmlformats.org/officeDocument/2006/relationships/hyperlink" Target="https://techcombank.com/thong-tin/blog/so-sanh-gui-tiet-kiem-online-va-tai-quay" TargetMode="External"/><Relationship Id="rId1667" Type="http://schemas.openxmlformats.org/officeDocument/2006/relationships/hyperlink" Target="https://techcombank.com/thong-tin/blog/lai-suat-vay-tin-chap" TargetMode="External"/><Relationship Id="rId1668" Type="http://schemas.openxmlformats.org/officeDocument/2006/relationships/hyperlink" Target="https://techcombank.com/thong-tin/blog/cach-tiet-kiem-tien-sinh-loi" TargetMode="External"/><Relationship Id="rId1669" Type="http://schemas.openxmlformats.org/officeDocument/2006/relationships/hyperlink" Target="https://techcombank.com/thong-tin/blog/vay-20-trieu" TargetMode="External"/><Relationship Id="rId839" Type="http://schemas.openxmlformats.org/officeDocument/2006/relationships/hyperlink" Target="https://techcombank.com/thong-tin/blog/chuyen-doi-so-ho-kinh-doanh" TargetMode="External"/><Relationship Id="rId838" Type="http://schemas.openxmlformats.org/officeDocument/2006/relationships/hyperlink" Target="https://techcombank.com/thong-tin/blog/tien-nhan-roi-nen-lam-gi" TargetMode="External"/><Relationship Id="rId833" Type="http://schemas.openxmlformats.org/officeDocument/2006/relationships/hyperlink" Target="https://techcombank.com/thong-tin/blog/the-tin-dung-den" TargetMode="External"/><Relationship Id="rId832" Type="http://schemas.openxmlformats.org/officeDocument/2006/relationships/hyperlink" Target="https://techcombank.com/thong-tin/blog/vay-ngan-hang-1-ty-moi-thang-tra-bao-nhieu" TargetMode="External"/><Relationship Id="rId831" Type="http://schemas.openxmlformats.org/officeDocument/2006/relationships/hyperlink" Target="https://techcombank.com/thong-tin/blog/phi-rut-tien-mat-the-tin-dung" TargetMode="External"/><Relationship Id="rId830" Type="http://schemas.openxmlformats.org/officeDocument/2006/relationships/hyperlink" Target="https://techcombank.com/thong-tin/blog/the-tin-dung-quoc-te" TargetMode="External"/><Relationship Id="rId837" Type="http://schemas.openxmlformats.org/officeDocument/2006/relationships/hyperlink" Target="https://techcombank.com/thong-tin/blog/chung-chi-tien-gui-co-an-toan-khong" TargetMode="External"/><Relationship Id="rId836" Type="http://schemas.openxmlformats.org/officeDocument/2006/relationships/hyperlink" Target="https://techcombank.com/thong-tin/blog/co-nen-gui-chung-chi-tien-gui" TargetMode="External"/><Relationship Id="rId835" Type="http://schemas.openxmlformats.org/officeDocument/2006/relationships/hyperlink" Target="https://techcombank.com/thong-tin/blog/chung-chi-tien-gui-co-phai-la-trai-phieu-khong" TargetMode="External"/><Relationship Id="rId834" Type="http://schemas.openxmlformats.org/officeDocument/2006/relationships/hyperlink" Target="https://techcombank.com/thong-tin/blog/chung-chi-tien-gui-khac-gi-so-tiet-kiem" TargetMode="External"/><Relationship Id="rId1660" Type="http://schemas.openxmlformats.org/officeDocument/2006/relationships/hyperlink" Target="https://techcombank.com/thong-tin/blog/vay-thau-chi-bang-so-tiet-kiem" TargetMode="External"/><Relationship Id="rId1661" Type="http://schemas.openxmlformats.org/officeDocument/2006/relationships/hyperlink" Target="https://techcombank.com/thong-tin/blog/lai-suat-vay-ngan-hang" TargetMode="External"/><Relationship Id="rId1662" Type="http://schemas.openxmlformats.org/officeDocument/2006/relationships/hyperlink" Target="https://techcombank.com/thong-tin/blog/gui-tiet-kiem-online-co-rut-truoc-han-duoc-khong" TargetMode="External"/><Relationship Id="rId1663" Type="http://schemas.openxmlformats.org/officeDocument/2006/relationships/hyperlink" Target="https://techcombank.com/thong-tin/blog/gui-tiet-kiem-online-quay-vong-ca-goc-va-lai" TargetMode="External"/><Relationship Id="rId899" Type="http://schemas.openxmlformats.org/officeDocument/2006/relationships/hyperlink" Target="https://techcombank.com/thong-tin/blog/dieu-kien-mua-usd-tu-ngan-hang" TargetMode="External"/><Relationship Id="rId898" Type="http://schemas.openxmlformats.org/officeDocument/2006/relationships/hyperlink" Target="https://techcombank.com/thong-tin/blog/xu-huong-ty-gia-usd" TargetMode="External"/><Relationship Id="rId897" Type="http://schemas.openxmlformats.org/officeDocument/2006/relationships/hyperlink" Target="https://techcombank.com/thong-tin/blog/ty-gia-la-gi" TargetMode="External"/><Relationship Id="rId896" Type="http://schemas.openxmlformats.org/officeDocument/2006/relationships/hyperlink" Target="https://techcombank.com/thong-tin/blog/ty-gia-cac-ngan-hang" TargetMode="External"/><Relationship Id="rId891" Type="http://schemas.openxmlformats.org/officeDocument/2006/relationships/hyperlink" Target="https://techcombank.com/thong-tin/blog/ngoai-hoi-la-gi" TargetMode="External"/><Relationship Id="rId890" Type="http://schemas.openxmlformats.org/officeDocument/2006/relationships/hyperlink" Target="https://techcombank.com/thong-tin/blog/cach-nhan-tien-tu-nuoc-ngoai-ve-viet-nam" TargetMode="External"/><Relationship Id="rId895" Type="http://schemas.openxmlformats.org/officeDocument/2006/relationships/hyperlink" Target="https://techcombank.com/thong-tin/blog/tien-dai-loan" TargetMode="External"/><Relationship Id="rId894" Type="http://schemas.openxmlformats.org/officeDocument/2006/relationships/hyperlink" Target="https://techcombank.com/thong-tin/blog/1000-won-bang-bao-nhieu-tien-viet" TargetMode="External"/><Relationship Id="rId893" Type="http://schemas.openxmlformats.org/officeDocument/2006/relationships/hyperlink" Target="https://techcombank.com/thong-tin/blog/chuyen-tien-tu-nhat-ve-viet-nam" TargetMode="External"/><Relationship Id="rId892" Type="http://schemas.openxmlformats.org/officeDocument/2006/relationships/hyperlink" Target="https://techcombank.com/thong-tin/blog/phi-chuyen-doi-ngoai-te" TargetMode="External"/></Relationships>
</file>

<file path=xl/worksheets/_rels/sheet4.xml.rels><?xml version="1.0" encoding="UTF-8" standalone="yes"?><Relationships xmlns="http://schemas.openxmlformats.org/package/2006/relationships"><Relationship Id="rId392" Type="http://schemas.openxmlformats.org/officeDocument/2006/relationships/hyperlink" Target="https://techcombank.com/thong-tin/blog/the-atm-khong-rut-duoc-tien" TargetMode="External"/><Relationship Id="rId391" Type="http://schemas.openxmlformats.org/officeDocument/2006/relationships/hyperlink" Target="https://techcombank.com/thong-tin/blog/thay-doi-dia-chi-ho-kinh-doanh" TargetMode="External"/><Relationship Id="rId390" Type="http://schemas.openxmlformats.org/officeDocument/2006/relationships/hyperlink" Target="https://techcombank.com/thong-tin/blog/thanh-toan-tra-sau-viettel-bang-tai-khoan-ngan-hang" TargetMode="External"/><Relationship Id="rId385" Type="http://schemas.openxmlformats.org/officeDocument/2006/relationships/hyperlink" Target="https://techcombank.com/thong-tin/blog/thanh-toan-hoc-phi-online" TargetMode="External"/><Relationship Id="rId384" Type="http://schemas.openxmlformats.org/officeDocument/2006/relationships/hyperlink" Target="https://techcombank.com/thong-tin/blog/thanh-toan-bang-the-quoc-te" TargetMode="External"/><Relationship Id="rId383" Type="http://schemas.openxmlformats.org/officeDocument/2006/relationships/hyperlink" Target="https://techcombank.com/thong-tin/blog/thanh-lap-ho-kinh-doanh-ca-the" TargetMode="External"/><Relationship Id="rId382" Type="http://schemas.openxmlformats.org/officeDocument/2006/relationships/hyperlink" Target="https://techcombank.com/thong-tin/blog/tai-khoan-thanh-toan-la-gi" TargetMode="External"/><Relationship Id="rId389" Type="http://schemas.openxmlformats.org/officeDocument/2006/relationships/hyperlink" Target="https://techcombank.com/thong-tin/blog/thanh-toan-tien-nuoc-online" TargetMode="External"/><Relationship Id="rId388" Type="http://schemas.openxmlformats.org/officeDocument/2006/relationships/hyperlink" Target="https://techcombank.com/thong-tin/blog/thanh-toan-khong-dung-tien-mat" TargetMode="External"/><Relationship Id="rId387" Type="http://schemas.openxmlformats.org/officeDocument/2006/relationships/hyperlink" Target="https://techcombank.com/thong-tin/blog/thanh-toan-khi-du-lich-nhat-ban" TargetMode="External"/><Relationship Id="rId386" Type="http://schemas.openxmlformats.org/officeDocument/2006/relationships/hyperlink" Target="https://techcombank.com/thong-tin/blog/thanh-toan-khi-du-lich-han-quoc" TargetMode="External"/><Relationship Id="rId381" Type="http://schemas.openxmlformats.org/officeDocument/2006/relationships/hyperlink" Target="https://techcombank.com/thong-tin/blog/tai-khoan-ngan-hang-chua-toi-da-bao-nhieu-tien" TargetMode="External"/><Relationship Id="rId380" Type="http://schemas.openxmlformats.org/officeDocument/2006/relationships/hyperlink" Target="https://techcombank.com/thong-tin/blog/spaylater" TargetMode="External"/><Relationship Id="rId379" Type="http://schemas.openxmlformats.org/officeDocument/2006/relationships/hyperlink" Target="https://techcombank.com/thong-tin/blog/softpos" TargetMode="External"/><Relationship Id="rId374" Type="http://schemas.openxmlformats.org/officeDocument/2006/relationships/hyperlink" Target="https://techcombank.com/thong-tin/blog/rut-tien-bao-hiem-nhan-tho-khi-het-han" TargetMode="External"/><Relationship Id="rId373" Type="http://schemas.openxmlformats.org/officeDocument/2006/relationships/hyperlink" Target="https://techcombank.com/thong-tin/blog/phan-mem-xuat-hoa-don-dien-tu" TargetMode="External"/><Relationship Id="rId372" Type="http://schemas.openxmlformats.org/officeDocument/2006/relationships/hyperlink" Target="https://techcombank.com/thong-tin/blog/phan-mem-lap-ke-hoach-tai-chinh-ca-nhan" TargetMode="External"/><Relationship Id="rId371" Type="http://schemas.openxmlformats.org/officeDocument/2006/relationships/hyperlink" Target="https://techcombank.com/thong-tin/blog/nhu-cau-vay-tieu-dung-cua-nguoi-viet-du-kien-tang-manh-trong-thoi-gian-toi" TargetMode="External"/><Relationship Id="rId378" Type="http://schemas.openxmlformats.org/officeDocument/2006/relationships/hyperlink" Target="https://techcombank.com/thong-tin/blog/so-the-ngan-hang" TargetMode="External"/><Relationship Id="rId377" Type="http://schemas.openxmlformats.org/officeDocument/2006/relationships/hyperlink" Target="https://techcombank.com/thong-tin/blog/so-tai-khoan-ngan-hang" TargetMode="External"/><Relationship Id="rId376" Type="http://schemas.openxmlformats.org/officeDocument/2006/relationships/hyperlink" Target="https://techcombank.com/thong-tin/blog/rut-tien-tiet-kiem-truoc-thoi-han" TargetMode="External"/><Relationship Id="rId375" Type="http://schemas.openxmlformats.org/officeDocument/2006/relationships/hyperlink" Target="https://techcombank.com/thong-tin/blog/rut-tien-mat-tu-tai-khoan-doanh-nghiep" TargetMode="External"/><Relationship Id="rId396" Type="http://schemas.openxmlformats.org/officeDocument/2006/relationships/hyperlink" Target="https://techcombank.com/thong-tin/blog/thi-truong-trai-phieu-am-tro-lai-nha-dau-tu-san-sang-cho-nhung-co-hoi-sinh-loi-moi" TargetMode="External"/><Relationship Id="rId395" Type="http://schemas.openxmlformats.org/officeDocument/2006/relationships/hyperlink" Target="https://techcombank.com/thong-tin/blog/the-visa-co-thanh-toan-quoc-te-duoc-khong" TargetMode="External"/><Relationship Id="rId394" Type="http://schemas.openxmlformats.org/officeDocument/2006/relationships/hyperlink" Target="https://techcombank.com/thong-tin/blog/the-tin-dung-la-gi" TargetMode="External"/><Relationship Id="rId393" Type="http://schemas.openxmlformats.org/officeDocument/2006/relationships/hyperlink" Target="https://techcombank.com/thong-tin/blog/the-ghi-no-visa-la-gi" TargetMode="External"/><Relationship Id="rId399" Type="http://schemas.openxmlformats.org/officeDocument/2006/relationships/hyperlink" Target="https://techcombank.com/thong-tin/blog/tien-nhan-roi-nen-lam-gi" TargetMode="External"/><Relationship Id="rId398" Type="http://schemas.openxmlformats.org/officeDocument/2006/relationships/hyperlink" Target="https://techcombank.com/thong-tin/blog/thue-ho-kinh-doanh-2025" TargetMode="External"/><Relationship Id="rId397" Type="http://schemas.openxmlformats.org/officeDocument/2006/relationships/hyperlink" Target="https://techcombank.com/thong-tin/blog/thu-tuc-chuyen-tien-ra-nuoc-ngoai" TargetMode="External"/><Relationship Id="rId40" Type="http://schemas.openxmlformats.org/officeDocument/2006/relationships/hyperlink" Target="https://techcombank.com/thong-tin/blog/diem-tin-dung" TargetMode="External"/><Relationship Id="rId42" Type="http://schemas.openxmlformats.org/officeDocument/2006/relationships/hyperlink" Target="https://techcombank.com/thong-tin/blog/doi-tien-do-o-dau" TargetMode="External"/><Relationship Id="rId41" Type="http://schemas.openxmlformats.org/officeDocument/2006/relationships/hyperlink" Target="https://techcombank.com/thong-tin/blog/dieu-kien-mua-usd-tu-ngan-hang" TargetMode="External"/><Relationship Id="rId44" Type="http://schemas.openxmlformats.org/officeDocument/2006/relationships/hyperlink" Target="https://techcombank.com/thong-tin/blog/ke-khai-thue-ho-kinh-doanh-ca-the-online" TargetMode="External"/><Relationship Id="rId43" Type="http://schemas.openxmlformats.org/officeDocument/2006/relationships/hyperlink" Target="https://techcombank.com/thong-tin/blog/ke-khai-thue-doanh-nghiep" TargetMode="External"/><Relationship Id="rId46" Type="http://schemas.openxmlformats.org/officeDocument/2006/relationships/hyperlink" Target="https://techcombank.com/thong-tin/blog/lai-suat-vay-mua-o-to" TargetMode="External"/><Relationship Id="rId45" Type="http://schemas.openxmlformats.org/officeDocument/2006/relationships/hyperlink" Target="https://techcombank.com/thong-tin/blog/kiem-tra-no-xau" TargetMode="External"/><Relationship Id="rId48" Type="http://schemas.openxmlformats.org/officeDocument/2006/relationships/hyperlink" Target="https://techcombank.com/thong-tin/blog/mua-truoc-tra-sau" TargetMode="External"/><Relationship Id="rId47" Type="http://schemas.openxmlformats.org/officeDocument/2006/relationships/hyperlink" Target="https://techcombank.com/thong-tin/blog/lam-ho-so-tra-gop-dien-thoai" TargetMode="External"/><Relationship Id="rId49" Type="http://schemas.openxmlformats.org/officeDocument/2006/relationships/hyperlink" Target="https://techcombank.com/thong-tin/blog/nen-vay-tin-chap-o-dau" TargetMode="External"/><Relationship Id="rId31" Type="http://schemas.openxmlformats.org/officeDocument/2006/relationships/hyperlink" Target="https://techcombank.com/thong-tin/blog/vay-the-chap-xe-o-to-cu" TargetMode="External"/><Relationship Id="rId30" Type="http://schemas.openxmlformats.org/officeDocument/2006/relationships/hyperlink" Target="https://techcombank.com/thong-tin/blog/vay-the-chap-khong-tra-duoc" TargetMode="External"/><Relationship Id="rId33" Type="http://schemas.openxmlformats.org/officeDocument/2006/relationships/hyperlink" Target="https://techcombank.com/thong-tin/blog/1-do-uc-bang-bao-nhieu-tien-viet" TargetMode="External"/><Relationship Id="rId32" Type="http://schemas.openxmlformats.org/officeDocument/2006/relationships/hyperlink" Target="https://techcombank.com/thong-tin/blog/1-cent-bang-bao-nhieu-tien-viet" TargetMode="External"/><Relationship Id="rId35" Type="http://schemas.openxmlformats.org/officeDocument/2006/relationships/hyperlink" Target="https://techcombank.com/thong-tin/blog/100-riel-bang-bao-nhieu-tien-viet-nam" TargetMode="External"/><Relationship Id="rId34" Type="http://schemas.openxmlformats.org/officeDocument/2006/relationships/hyperlink" Target="https://techcombank.com/thong-tin/blog/1-van-te-bang-bao-nhieu-tien-viet" TargetMode="External"/><Relationship Id="rId37" Type="http://schemas.openxmlformats.org/officeDocument/2006/relationships/hyperlink" Target="https://techcombank.com/thong-tin/blog/1000-won-bang-bao-nhieu-tien-viet" TargetMode="External"/><Relationship Id="rId36" Type="http://schemas.openxmlformats.org/officeDocument/2006/relationships/hyperlink" Target="https://techcombank.com/thong-tin/blog/1000-te-bang-bao-nhieu-tien-viet" TargetMode="External"/><Relationship Id="rId39" Type="http://schemas.openxmlformats.org/officeDocument/2006/relationships/hyperlink" Target="https://techcombank.com/thong-tin/blog/cach-tinh-lai-vay-ngan-hang" TargetMode="External"/><Relationship Id="rId38" Type="http://schemas.openxmlformats.org/officeDocument/2006/relationships/hyperlink" Target="https://techcombank.com/thong-tin/blog/1000-yen-bang-bao-nhieu-tien-viet" TargetMode="External"/><Relationship Id="rId20" Type="http://schemas.openxmlformats.org/officeDocument/2006/relationships/hyperlink" Target="https://techcombank.com/thong-tin/blog/qua-han-thanh-toan-the-tin-dung-1-ngay" TargetMode="External"/><Relationship Id="rId22" Type="http://schemas.openxmlformats.org/officeDocument/2006/relationships/hyperlink" Target="https://techcombank.com/thong-tin/blog/the-ghi-no-va-the-tin-dung" TargetMode="External"/><Relationship Id="rId21" Type="http://schemas.openxmlformats.org/officeDocument/2006/relationships/hyperlink" Target="https://techcombank.com/thong-tin/blog/rui-ro-khi-vay-the-chap-ngan-hang" TargetMode="External"/><Relationship Id="rId24" Type="http://schemas.openxmlformats.org/officeDocument/2006/relationships/hyperlink" Target="https://techcombank.com/thong-tin/blog/tien-singapore" TargetMode="External"/><Relationship Id="rId23" Type="http://schemas.openxmlformats.org/officeDocument/2006/relationships/hyperlink" Target="https://techcombank.com/thong-tin/blog/thu-tuc-vay-von-kinh-doanh-nho" TargetMode="External"/><Relationship Id="rId26" Type="http://schemas.openxmlformats.org/officeDocument/2006/relationships/hyperlink" Target="https://techcombank.com/thong-tin/blog/uu-dai-the-tin-dung-techcombank-signature" TargetMode="External"/><Relationship Id="rId25" Type="http://schemas.openxmlformats.org/officeDocument/2006/relationships/hyperlink" Target="https://techcombank.com/thong-tin/blog/tin-chap-doanh-nghiep" TargetMode="External"/><Relationship Id="rId28" Type="http://schemas.openxmlformats.org/officeDocument/2006/relationships/hyperlink" Target="https://techcombank.com/thong-tin/blog/vay-mua-xe-tra-gop-ngan-hang-nao-tot-nhat" TargetMode="External"/><Relationship Id="rId27" Type="http://schemas.openxmlformats.org/officeDocument/2006/relationships/hyperlink" Target="https://techcombank.com/thong-tin/blog/vay-100-trieu" TargetMode="External"/><Relationship Id="rId29" Type="http://schemas.openxmlformats.org/officeDocument/2006/relationships/hyperlink" Target="https://techcombank.com/thong-tin/blog/vay-san-xuat-kinh-doanh" TargetMode="External"/><Relationship Id="rId11" Type="http://schemas.openxmlformats.org/officeDocument/2006/relationships/hyperlink" Target="https://techcombank.com/thong-tin/blog/chuyen-tien-tu-nhat-ve-viet-nam" TargetMode="External"/><Relationship Id="rId10" Type="http://schemas.openxmlformats.org/officeDocument/2006/relationships/hyperlink" Target="https://techcombank.com/thong-tin/blog/cac-hinh-thuc-vay-von-ngan-hang" TargetMode="External"/><Relationship Id="rId13" Type="http://schemas.openxmlformats.org/officeDocument/2006/relationships/hyperlink" Target="https://techcombank.com/thong-tin/blog/chuyen-tien-di-uc" TargetMode="External"/><Relationship Id="rId12" Type="http://schemas.openxmlformats.org/officeDocument/2006/relationships/hyperlink" Target="https://techcombank.com/thong-tin/blog/di-du-lich-nuoc-ngoai-can-chuan-bi-gi" TargetMode="External"/><Relationship Id="rId15" Type="http://schemas.openxmlformats.org/officeDocument/2006/relationships/hyperlink" Target="https://techcombank.com/thong-tin/blog/han-muc-vay-the-chap-so-do" TargetMode="External"/><Relationship Id="rId14" Type="http://schemas.openxmlformats.org/officeDocument/2006/relationships/hyperlink" Target="https://techcombank.com/thong-tin/blog/giai-dap-ve-thue-doanh-nghiep" TargetMode="External"/><Relationship Id="rId17" Type="http://schemas.openxmlformats.org/officeDocument/2006/relationships/hyperlink" Target="https://techcombank.com/thong-tin/blog/lai-suat-vay-kinh-doanh" TargetMode="External"/><Relationship Id="rId16" Type="http://schemas.openxmlformats.org/officeDocument/2006/relationships/hyperlink" Target="https://techcombank.com/thong-tin/blog/kiem-tra-thue-ho-kinh-doanh" TargetMode="External"/><Relationship Id="rId19" Type="http://schemas.openxmlformats.org/officeDocument/2006/relationships/hyperlink" Target="https://techcombank.com/thong-tin/blog/lai-suat-vay-tin-chap" TargetMode="External"/><Relationship Id="rId18" Type="http://schemas.openxmlformats.org/officeDocument/2006/relationships/hyperlink" Target="https://techcombank.com/thong-tin/blog/lai-suat-vay-the-chap" TargetMode="External"/><Relationship Id="rId84" Type="http://schemas.openxmlformats.org/officeDocument/2006/relationships/hyperlink" Target="https://techcombank.com/thong-tin/blog/lai-suat-vay-tieu-dung" TargetMode="External"/><Relationship Id="rId83" Type="http://schemas.openxmlformats.org/officeDocument/2006/relationships/hyperlink" Target="https://techcombank.com/thong-tin/blog/lai-suat-vay-thau-chi" TargetMode="External"/><Relationship Id="rId86" Type="http://schemas.openxmlformats.org/officeDocument/2006/relationships/hyperlink" Target="https://techcombank.com/thong-tin/blog/tat-toan-so-tiet-kiem" TargetMode="External"/><Relationship Id="rId85" Type="http://schemas.openxmlformats.org/officeDocument/2006/relationships/hyperlink" Target="https://techcombank.com/thong-tin/blog/quyet-toan-thue-thu-nhap-ca-nhan" TargetMode="External"/><Relationship Id="rId88" Type="http://schemas.openxmlformats.org/officeDocument/2006/relationships/hyperlink" Target="https://techcombank.com/thong-tin/blog/thue-thuong-mai-dien-tu" TargetMode="External"/><Relationship Id="rId87" Type="http://schemas.openxmlformats.org/officeDocument/2006/relationships/hyperlink" Target="https://techcombank.com/thong-tin/blog/the-visa-de-lam-gi" TargetMode="External"/><Relationship Id="rId89" Type="http://schemas.openxmlformats.org/officeDocument/2006/relationships/hyperlink" Target="https://techcombank.com/thong-tin/blog/tien-nhat" TargetMode="External"/><Relationship Id="rId80" Type="http://schemas.openxmlformats.org/officeDocument/2006/relationships/hyperlink" Target="https://techcombank.com/thong-tin/blog/han-muc-thau-chi-la-gi" TargetMode="External"/><Relationship Id="rId82" Type="http://schemas.openxmlformats.org/officeDocument/2006/relationships/hyperlink" Target="https://techcombank.com/thong-tin/blog/lai-suat-tiet-kiem" TargetMode="External"/><Relationship Id="rId81" Type="http://schemas.openxmlformats.org/officeDocument/2006/relationships/hyperlink" Target="https://techcombank.com/thong-tin/blog/kinh-nghiem-vay-the-chap-ngan-hang" TargetMode="External"/><Relationship Id="rId73" Type="http://schemas.openxmlformats.org/officeDocument/2006/relationships/hyperlink" Target="https://techcombank.com/thong-tin/blog/cach-chuyen-tien" TargetMode="External"/><Relationship Id="rId72" Type="http://schemas.openxmlformats.org/officeDocument/2006/relationships/hyperlink" Target="https://techcombank.com/thong-tin/blog/cach-chuyen-khoan-bang-dien-thoai" TargetMode="External"/><Relationship Id="rId75" Type="http://schemas.openxmlformats.org/officeDocument/2006/relationships/hyperlink" Target="https://techcombank.com/thong-tin/blog/cach-su-dung-the-tin-dung" TargetMode="External"/><Relationship Id="rId74" Type="http://schemas.openxmlformats.org/officeDocument/2006/relationships/hyperlink" Target="https://techcombank.com/thong-tin/blog/cach-nop-thue-dien-tu" TargetMode="External"/><Relationship Id="rId77" Type="http://schemas.openxmlformats.org/officeDocument/2006/relationships/hyperlink" Target="https://techcombank.com/thong-tin/blog/cho-vay-tieu-dung-la-gi" TargetMode="External"/><Relationship Id="rId76" Type="http://schemas.openxmlformats.org/officeDocument/2006/relationships/hyperlink" Target="https://techcombank.com/thong-tin/blog/cho-vay-kinh-doanh-ho-gia-dinh" TargetMode="External"/><Relationship Id="rId79" Type="http://schemas.openxmlformats.org/officeDocument/2006/relationships/hyperlink" Target="https://techcombank.com/thong-tin/blog/du-no-tin-dung-la-gi" TargetMode="External"/><Relationship Id="rId78" Type="http://schemas.openxmlformats.org/officeDocument/2006/relationships/hyperlink" Target="https://techcombank.com/thong-tin/blog/dieu-kien-vay-the-chap" TargetMode="External"/><Relationship Id="rId71" Type="http://schemas.openxmlformats.org/officeDocument/2006/relationships/hyperlink" Target="https://techcombank.com/thong-tin/blog/cac-sai-lam-pho-bien-khi-chuyen-doi-ho-kinh-doanh-len-sme" TargetMode="External"/><Relationship Id="rId70" Type="http://schemas.openxmlformats.org/officeDocument/2006/relationships/hyperlink" Target="https://techcombank.com/thong-tin/blog/bi-quyet-tiet-kiem-tien-mua-nha" TargetMode="External"/><Relationship Id="rId62" Type="http://schemas.openxmlformats.org/officeDocument/2006/relationships/hyperlink" Target="https://techcombank.com/thong-tin/blog/vay-mua-nha-o-xa-hoi" TargetMode="External"/><Relationship Id="rId61" Type="http://schemas.openxmlformats.org/officeDocument/2006/relationships/hyperlink" Target="https://techcombank.com/thong-tin/blog/vay-300-trieu" TargetMode="External"/><Relationship Id="rId64" Type="http://schemas.openxmlformats.org/officeDocument/2006/relationships/hyperlink" Target="https://techcombank.com/thong-tin/blog/vay-thau-chi-bang-so-tiet-kiem" TargetMode="External"/><Relationship Id="rId63" Type="http://schemas.openxmlformats.org/officeDocument/2006/relationships/hyperlink" Target="https://techcombank.com/thong-tin/blog/vay-sinh-vien" TargetMode="External"/><Relationship Id="rId66" Type="http://schemas.openxmlformats.org/officeDocument/2006/relationships/hyperlink" Target="https://techcombank.com/thong-tin/blog/1-dong-do-la-my-bang-bao-nhieu-tien-viet-nam" TargetMode="External"/><Relationship Id="rId65" Type="http://schemas.openxmlformats.org/officeDocument/2006/relationships/hyperlink" Target="https://techcombank.com/thong-tin/blog/vay-the-chap-so-hong" TargetMode="External"/><Relationship Id="rId68" Type="http://schemas.openxmlformats.org/officeDocument/2006/relationships/hyperlink" Target="https://techcombank.com/thong-tin/blog/1-won-bang-bao-nhieu-tien-viet" TargetMode="External"/><Relationship Id="rId67" Type="http://schemas.openxmlformats.org/officeDocument/2006/relationships/hyperlink" Target="https://techcombank.com/thong-tin/blog/1-te-bang-bao-nhieu-tien-viet-nam" TargetMode="External"/><Relationship Id="rId60" Type="http://schemas.openxmlformats.org/officeDocument/2006/relationships/hyperlink" Target="https://techcombank.com/thong-tin/blog/tra-gop-shopee" TargetMode="External"/><Relationship Id="rId69" Type="http://schemas.openxmlformats.org/officeDocument/2006/relationships/hyperlink" Target="https://techcombank.com/thong-tin/blog/bao-hiem-vat-chat-xe-o-to" TargetMode="External"/><Relationship Id="rId51" Type="http://schemas.openxmlformats.org/officeDocument/2006/relationships/hyperlink" Target="https://techcombank.com/thong-tin/blog/no-xau-mo-the-tin-dung-duoc-khong" TargetMode="External"/><Relationship Id="rId50" Type="http://schemas.openxmlformats.org/officeDocument/2006/relationships/hyperlink" Target="https://techcombank.com/thong-tin/blog/no-xau-co-vay-the-chap-duoc-khong" TargetMode="External"/><Relationship Id="rId53" Type="http://schemas.openxmlformats.org/officeDocument/2006/relationships/hyperlink" Target="https://techcombank.com/thong-tin/blog/tat-toan" TargetMode="External"/><Relationship Id="rId52" Type="http://schemas.openxmlformats.org/officeDocument/2006/relationships/hyperlink" Target="https://techcombank.com/thong-tin/blog/quy-trinh-tat-toan-khoan-vay-the-chap" TargetMode="External"/><Relationship Id="rId55" Type="http://schemas.openxmlformats.org/officeDocument/2006/relationships/hyperlink" Target="https://techcombank.com/thong-tin/blog/tien-dai-loan" TargetMode="External"/><Relationship Id="rId54" Type="http://schemas.openxmlformats.org/officeDocument/2006/relationships/hyperlink" Target="https://techcombank.com/thong-tin/blog/thu-tuc-mua-xe-tra-gop" TargetMode="External"/><Relationship Id="rId57" Type="http://schemas.openxmlformats.org/officeDocument/2006/relationships/hyperlink" Target="https://techcombank.com/thong-tin/blog/tien-trung-quoc" TargetMode="External"/><Relationship Id="rId56" Type="http://schemas.openxmlformats.org/officeDocument/2006/relationships/hyperlink" Target="https://techcombank.com/thong-tin/blog/tien-indonesia" TargetMode="External"/><Relationship Id="rId59" Type="http://schemas.openxmlformats.org/officeDocument/2006/relationships/hyperlink" Target="https://techcombank.com/thong-tin/blog/tra-gop-lazada" TargetMode="External"/><Relationship Id="rId58" Type="http://schemas.openxmlformats.org/officeDocument/2006/relationships/hyperlink" Target="https://techcombank.com/thong-tin/blog/tra-cuu-han-muc-the-tin-dung" TargetMode="External"/><Relationship Id="rId349" Type="http://schemas.openxmlformats.org/officeDocument/2006/relationships/hyperlink" Target="https://techcombank.com/thong-tin/blog/ke-hoach-tai-chinh" TargetMode="External"/><Relationship Id="rId348" Type="http://schemas.openxmlformats.org/officeDocument/2006/relationships/hyperlink" Target="https://techcombank.com/thong-tin/blog/hoc-cach-tiet-kiem-tien-luong" TargetMode="External"/><Relationship Id="rId347" Type="http://schemas.openxmlformats.org/officeDocument/2006/relationships/hyperlink" Target="https://techcombank.com/thong-tin/blog/ho-so-thu-tuc-xoa-the-chap" TargetMode="External"/><Relationship Id="rId346" Type="http://schemas.openxmlformats.org/officeDocument/2006/relationships/hyperlink" Target="https://techcombank.com/thong-tin/blog/ho-kinh-doanh-la-gi" TargetMode="External"/><Relationship Id="rId341" Type="http://schemas.openxmlformats.org/officeDocument/2006/relationships/hyperlink" Target="https://techcombank.com/thong-tin/blog/dong-tai-khoan-ngan-hang-cong-ty" TargetMode="External"/><Relationship Id="rId340" Type="http://schemas.openxmlformats.org/officeDocument/2006/relationships/hyperlink" Target="https://techcombank.com/thong-tin/blog/dong-ma-so-thue-ho-kinh-doanh" TargetMode="External"/><Relationship Id="rId345" Type="http://schemas.openxmlformats.org/officeDocument/2006/relationships/hyperlink" Target="https://techcombank.com/thong-tin/blog/gui-tien-sang-nuoc-ngoai" TargetMode="External"/><Relationship Id="rId344" Type="http://schemas.openxmlformats.org/officeDocument/2006/relationships/hyperlink" Target="https://techcombank.com/thong-tin/blog/gui-them-tien-vao-so-tiet-kiem" TargetMode="External"/><Relationship Id="rId343" Type="http://schemas.openxmlformats.org/officeDocument/2006/relationships/hyperlink" Target="https://techcombank.com/thong-tin/blog/gia-chung-chi-quy-la-gi" TargetMode="External"/><Relationship Id="rId342" Type="http://schemas.openxmlformats.org/officeDocument/2006/relationships/hyperlink" Target="https://techcombank.com/thong-tin/blog/due-diligence" TargetMode="External"/><Relationship Id="rId338" Type="http://schemas.openxmlformats.org/officeDocument/2006/relationships/hyperlink" Target="https://techcombank.com/thong-tin/blog/danh-muc-dau-tu" TargetMode="External"/><Relationship Id="rId337" Type="http://schemas.openxmlformats.org/officeDocument/2006/relationships/hyperlink" Target="https://techcombank.com/thong-tin/blog/cong-ty-su-dung-tai-khoan-ca-nhan" TargetMode="External"/><Relationship Id="rId336" Type="http://schemas.openxmlformats.org/officeDocument/2006/relationships/hyperlink" Target="https://techcombank.com/thong-tin/blog/co-nen-mua-so-tai-khoan-ngan-hang-dep" TargetMode="External"/><Relationship Id="rId335" Type="http://schemas.openxmlformats.org/officeDocument/2006/relationships/hyperlink" Target="https://techcombank.com/thong-tin/blog/co-nen-gui-chung-chi-tien-gui" TargetMode="External"/><Relationship Id="rId339" Type="http://schemas.openxmlformats.org/officeDocument/2006/relationships/hyperlink" Target="https://techcombank.com/thong-tin/blog/dat-xe-xanh-sm" TargetMode="External"/><Relationship Id="rId330" Type="http://schemas.openxmlformats.org/officeDocument/2006/relationships/hyperlink" Target="https://techcombank.com/thong-tin/blog/chuan-bi-cho-doanh-nghiep-khoi-nghiep-truoc-nhung-thay-doi-ve-thue" TargetMode="External"/><Relationship Id="rId334" Type="http://schemas.openxmlformats.org/officeDocument/2006/relationships/hyperlink" Target="https://techcombank.com/thong-tin/blog/chuyen-tien-tu-my-ve-viet-nam" TargetMode="External"/><Relationship Id="rId333" Type="http://schemas.openxmlformats.org/officeDocument/2006/relationships/hyperlink" Target="https://techcombank.com/thong-tin/blog/chuyen-tien-tu-han-sang-viet-nam" TargetMode="External"/><Relationship Id="rId332" Type="http://schemas.openxmlformats.org/officeDocument/2006/relationships/hyperlink" Target="https://techcombank.com/thong-tin/blog/chuyen-khoan-lien-ngan-hang" TargetMode="External"/><Relationship Id="rId331" Type="http://schemas.openxmlformats.org/officeDocument/2006/relationships/hyperlink" Target="https://techcombank.com/thong-tin/blog/chuyen-gia-du-doan-gia-bat-dong-san-2025-va-cac-no-luc-tu-ngan-hang" TargetMode="External"/><Relationship Id="rId370" Type="http://schemas.openxmlformats.org/officeDocument/2006/relationships/hyperlink" Target="https://techcombank.com/thong-tin/blog/ngoai-te-la-gi" TargetMode="External"/><Relationship Id="rId369" Type="http://schemas.openxmlformats.org/officeDocument/2006/relationships/hyperlink" Target="https://techcombank.com/thong-tin/blog/ngoai-hoi-la-gi" TargetMode="External"/><Relationship Id="rId368" Type="http://schemas.openxmlformats.org/officeDocument/2006/relationships/hyperlink" Target="https://techcombank.com/thong-tin/blog/nap-tien-dien-thoai-online" TargetMode="External"/><Relationship Id="rId363" Type="http://schemas.openxmlformats.org/officeDocument/2006/relationships/hyperlink" Target="https://techcombank.com/thong-tin/blog/mo-tai-khoan-ngan-hang-cho-tre-em" TargetMode="External"/><Relationship Id="rId362" Type="http://schemas.openxmlformats.org/officeDocument/2006/relationships/hyperlink" Target="https://techcombank.com/thong-tin/blog/mo-tai-khoan-ho-kinh-doanh" TargetMode="External"/><Relationship Id="rId361" Type="http://schemas.openxmlformats.org/officeDocument/2006/relationships/hyperlink" Target="https://techcombank.com/thong-tin/blog/mat-so-tiet-kiem" TargetMode="External"/><Relationship Id="rId360" Type="http://schemas.openxmlformats.org/officeDocument/2006/relationships/hyperlink" Target="https://techcombank.com/thong-tin/blog/ma-qr-ngan-hang-khong-hop-le" TargetMode="External"/><Relationship Id="rId367" Type="http://schemas.openxmlformats.org/officeDocument/2006/relationships/hyperlink" Target="https://techcombank.com/thong-tin/blog/nang-han-muc-tin-dung" TargetMode="External"/><Relationship Id="rId366" Type="http://schemas.openxmlformats.org/officeDocument/2006/relationships/hyperlink" Target="https://techcombank.com/thong-tin/blog/mo-the-ghi-no" TargetMode="External"/><Relationship Id="rId365" Type="http://schemas.openxmlformats.org/officeDocument/2006/relationships/hyperlink" Target="https://techcombank.com/thong-tin/blog/mo-tai-khoan-ngan-hang-online-co-an-toan-khong" TargetMode="External"/><Relationship Id="rId364" Type="http://schemas.openxmlformats.org/officeDocument/2006/relationships/hyperlink" Target="https://techcombank.com/thong-tin/blog/mo-tai-khoan-ngan-hang-co-mat-phi-khong" TargetMode="External"/><Relationship Id="rId95" Type="http://schemas.openxmlformats.org/officeDocument/2006/relationships/hyperlink" Target="https://techcombank.com/thong-tin/blog/vay-the-chap-qua-luong" TargetMode="External"/><Relationship Id="rId94" Type="http://schemas.openxmlformats.org/officeDocument/2006/relationships/hyperlink" Target="https://techcombank.com/thong-tin/blog/vay-ngan-hang-1-ty-moi-thang-tra-bao-nhieu" TargetMode="External"/><Relationship Id="rId97" Type="http://schemas.openxmlformats.org/officeDocument/2006/relationships/hyperlink" Target="https://techcombank.com/thong-tin/blog/vay-tin-chap-theo-luong" TargetMode="External"/><Relationship Id="rId96" Type="http://schemas.openxmlformats.org/officeDocument/2006/relationships/hyperlink" Target="https://techcombank.com/thong-tin/blog/vay-tin-chap-no-xau" TargetMode="External"/><Relationship Id="rId99" Type="http://schemas.openxmlformats.org/officeDocument/2006/relationships/hyperlink" Target="https://techcombank.com/thong-tin/blog/cach-chon-so-tai-khoan-dep" TargetMode="External"/><Relationship Id="rId98" Type="http://schemas.openxmlformats.org/officeDocument/2006/relationships/hyperlink" Target="https://techcombank.com/thong-tin/blog/vay-von-doanh-nghiep-nho" TargetMode="External"/><Relationship Id="rId91" Type="http://schemas.openxmlformats.org/officeDocument/2006/relationships/hyperlink" Target="https://techcombank.com/thong-tin/blog/vay-200-trieu" TargetMode="External"/><Relationship Id="rId90" Type="http://schemas.openxmlformats.org/officeDocument/2006/relationships/hyperlink" Target="https://techcombank.com/thong-tin/blog/tra-cuu-no-thue-doanh-nghiep" TargetMode="External"/><Relationship Id="rId93" Type="http://schemas.openxmlformats.org/officeDocument/2006/relationships/hyperlink" Target="https://techcombank.com/thong-tin/blog/vay-ngan-han" TargetMode="External"/><Relationship Id="rId92" Type="http://schemas.openxmlformats.org/officeDocument/2006/relationships/hyperlink" Target="https://techcombank.com/thong-tin/blog/vay-30-trieu" TargetMode="External"/><Relationship Id="rId359" Type="http://schemas.openxmlformats.org/officeDocument/2006/relationships/hyperlink" Target="https://techcombank.com/thong-tin/blog/luu-y-khi-chuyen-tien-vao-tai-khoan-cong-ty" TargetMode="External"/><Relationship Id="rId358" Type="http://schemas.openxmlformats.org/officeDocument/2006/relationships/hyperlink" Target="https://techcombank.com/thong-tin/blog/luat-thuong-mai-dien-tu" TargetMode="External"/><Relationship Id="rId357" Type="http://schemas.openxmlformats.org/officeDocument/2006/relationships/hyperlink" Target="https://techcombank.com/thong-tin/blog/loi-ich-cua-viec-tiet-kiem-tien" TargetMode="External"/><Relationship Id="rId352" Type="http://schemas.openxmlformats.org/officeDocument/2006/relationships/hyperlink" Target="https://techcombank.com/thong-tin/blog/lam-the-atm-co-mat-phi-khong" TargetMode="External"/><Relationship Id="rId351" Type="http://schemas.openxmlformats.org/officeDocument/2006/relationships/hyperlink" Target="https://techcombank.com/thong-tin/blog/kinh-nghiem-mua-vang-tich-tru" TargetMode="External"/><Relationship Id="rId350" Type="http://schemas.openxmlformats.org/officeDocument/2006/relationships/hyperlink" Target="https://techcombank.com/thong-tin/blog/kinh-nghiem-chuyen-doi-tu-ho-kinh-doanh-len-doanh-nghiep" TargetMode="External"/><Relationship Id="rId356" Type="http://schemas.openxmlformats.org/officeDocument/2006/relationships/hyperlink" Target="https://techcombank.com/thong-tin/blog/loi-ich-cua-ngan-hang-so-voi-sme" TargetMode="External"/><Relationship Id="rId355" Type="http://schemas.openxmlformats.org/officeDocument/2006/relationships/hyperlink" Target="https://techcombank.com/thong-tin/blog/loa-thong-bao-chuyen-khoan" TargetMode="External"/><Relationship Id="rId354" Type="http://schemas.openxmlformats.org/officeDocument/2006/relationships/hyperlink" Target="https://techcombank.com/thong-tin/blog/lo-so-tai-khoan-ngan-hang-co-sao-khong" TargetMode="External"/><Relationship Id="rId353" Type="http://schemas.openxmlformats.org/officeDocument/2006/relationships/hyperlink" Target="https://techcombank.com/thong-tin/blog/lo-ma-qr-ngan-hang-co-sao-khong" TargetMode="External"/><Relationship Id="rId305" Type="http://schemas.openxmlformats.org/officeDocument/2006/relationships/hyperlink" Target="https://techcombank.com/thong-tin/blog/vay-the-chap-hop-dong-mua-ban-can-ho" TargetMode="External"/><Relationship Id="rId304" Type="http://schemas.openxmlformats.org/officeDocument/2006/relationships/hyperlink" Target="https://techcombank.com/thong-tin/blog/vay-han-muc-la-gi" TargetMode="External"/><Relationship Id="rId303" Type="http://schemas.openxmlformats.org/officeDocument/2006/relationships/hyperlink" Target="https://techcombank.com/thong-tin/blog/vay-du-hoc" TargetMode="External"/><Relationship Id="rId302" Type="http://schemas.openxmlformats.org/officeDocument/2006/relationships/hyperlink" Target="https://techcombank.com/thong-tin/blog/uu-dai-the-tin-dung" TargetMode="External"/><Relationship Id="rId309" Type="http://schemas.openxmlformats.org/officeDocument/2006/relationships/hyperlink" Target="https://techcombank.com/thong-tin/blog/vay-von-doanh-nghiep-khong-the-chap" TargetMode="External"/><Relationship Id="rId308" Type="http://schemas.openxmlformats.org/officeDocument/2006/relationships/hyperlink" Target="https://techcombank.com/thong-tin/blog/vay-tin-chap-cho-doanh-nghiep-moi-thanh-lap" TargetMode="External"/><Relationship Id="rId307" Type="http://schemas.openxmlformats.org/officeDocument/2006/relationships/hyperlink" Target="https://techcombank.com/thong-tin/blog/vay-tien-online" TargetMode="External"/><Relationship Id="rId306" Type="http://schemas.openxmlformats.org/officeDocument/2006/relationships/hyperlink" Target="https://techcombank.com/thong-tin/blog/vay-the-chap-khong-chung-minh-thu-nhap" TargetMode="External"/><Relationship Id="rId301" Type="http://schemas.openxmlformats.org/officeDocument/2006/relationships/hyperlink" Target="https://techcombank.com/thong-tin/blog/ty-gia-cac-ngan-hang" TargetMode="External"/><Relationship Id="rId300" Type="http://schemas.openxmlformats.org/officeDocument/2006/relationships/hyperlink" Target="https://techcombank.com/thong-tin/blog/tra-gop-qua-the-tin-dung" TargetMode="External"/><Relationship Id="rId327" Type="http://schemas.openxmlformats.org/officeDocument/2006/relationships/hyperlink" Target="https://techcombank.com/thong-tin/blog/chi-phi-mo-tai-khoan-ngan-hang-cho-cong-ty" TargetMode="External"/><Relationship Id="rId326" Type="http://schemas.openxmlformats.org/officeDocument/2006/relationships/hyperlink" Target="https://techcombank.com/thong-tin/blog/cay-atm-gan-day" TargetMode="External"/><Relationship Id="rId325" Type="http://schemas.openxmlformats.org/officeDocument/2006/relationships/hyperlink" Target="https://techcombank.com/thong-tin/blog/cashback-the-thanh-toan" TargetMode="External"/><Relationship Id="rId324" Type="http://schemas.openxmlformats.org/officeDocument/2006/relationships/hyperlink" Target="https://techcombank.com/thong-tin/blog/cach-tinh-thue-thu-nhap-ca-nhan-2025" TargetMode="External"/><Relationship Id="rId329" Type="http://schemas.openxmlformats.org/officeDocument/2006/relationships/hyperlink" Target="https://techcombank.com/thong-tin/blog/cho-vay-hop-von-la-gi" TargetMode="External"/><Relationship Id="rId328" Type="http://schemas.openxmlformats.org/officeDocument/2006/relationships/hyperlink" Target="https://techcombank.com/thong-tin/blog/chixmax" TargetMode="External"/><Relationship Id="rId323" Type="http://schemas.openxmlformats.org/officeDocument/2006/relationships/hyperlink" Target="https://techcombank.com/thong-tin/blog/cach-tinh-loi-nhuan-chung-chi-tien-gui" TargetMode="External"/><Relationship Id="rId322" Type="http://schemas.openxmlformats.org/officeDocument/2006/relationships/hyperlink" Target="https://techcombank.com/thong-tin/blog/cach-tiet-kiem-tien-cua-nguoi-nhat" TargetMode="External"/><Relationship Id="rId321" Type="http://schemas.openxmlformats.org/officeDocument/2006/relationships/hyperlink" Target="https://techcombank.com/thong-tin/blog/cach-tao-ma-qr-code-mien-phi" TargetMode="External"/><Relationship Id="rId320" Type="http://schemas.openxmlformats.org/officeDocument/2006/relationships/hyperlink" Target="https://techcombank.com/thong-tin/blog/cach-rut-tien-atm" TargetMode="External"/><Relationship Id="rId316" Type="http://schemas.openxmlformats.org/officeDocument/2006/relationships/hyperlink" Target="https://techcombank.com/thong-tin/blog/cach-dau-tu" TargetMode="External"/><Relationship Id="rId315" Type="http://schemas.openxmlformats.org/officeDocument/2006/relationships/hyperlink" Target="https://techcombank.com/thong-tin/blog/bao-lanh-bao-hanh" TargetMode="External"/><Relationship Id="rId314" Type="http://schemas.openxmlformats.org/officeDocument/2006/relationships/hyperlink" Target="https://techcombank.com/thong-tin/blog/app-ngan-hang-uy-tin" TargetMode="External"/><Relationship Id="rId313" Type="http://schemas.openxmlformats.org/officeDocument/2006/relationships/hyperlink" Target="https://techcombank.com/thong-tin/blog/app-ngan-hang" TargetMode="External"/><Relationship Id="rId319" Type="http://schemas.openxmlformats.org/officeDocument/2006/relationships/hyperlink" Target="https://techcombank.com/thong-tin/blog/cach-lay-lai-tien-da-chuyen-khoan-khi-bi-lua" TargetMode="External"/><Relationship Id="rId318" Type="http://schemas.openxmlformats.org/officeDocument/2006/relationships/hyperlink" Target="https://techcombank.com/thong-tin/blog/cach-kiem-tra-tai-khoan-ngan-hang" TargetMode="External"/><Relationship Id="rId317" Type="http://schemas.openxmlformats.org/officeDocument/2006/relationships/hyperlink" Target="https://techcombank.com/thong-tin/blog/cach-doi-mat-khau-tai-khoan-ngan-hang" TargetMode="External"/><Relationship Id="rId312" Type="http://schemas.openxmlformats.org/officeDocument/2006/relationships/hyperlink" Target="https://techcombank.com/thong-tin/blog/app-mua-truoc-tra-sau" TargetMode="External"/><Relationship Id="rId311" Type="http://schemas.openxmlformats.org/officeDocument/2006/relationships/hyperlink" Target="https://techcombank.com/thong-tin/blog/99999-co-y-nghia-gi" TargetMode="External"/><Relationship Id="rId310" Type="http://schemas.openxmlformats.org/officeDocument/2006/relationships/hyperlink" Target="https://techcombank.com/thong-tin/blog/vi-sao-lai-suat-trai-phieu-tai-tcbs-lai-thap-hon-so-voi-cac-to-chuc-phat-hanh-khac" TargetMode="External"/><Relationship Id="rId297" Type="http://schemas.openxmlformats.org/officeDocument/2006/relationships/hyperlink" Target="https://techcombank.com/thong-tin/blog/tiem-nang-chuyen-doi-tu-ho-kinh-doanh-len-doanh-nghiep-sme" TargetMode="External"/><Relationship Id="rId296" Type="http://schemas.openxmlformats.org/officeDocument/2006/relationships/hyperlink" Target="https://techcombank.com/thong-tin/blog/thue-thu-nhap-ca-nhan" TargetMode="External"/><Relationship Id="rId295" Type="http://schemas.openxmlformats.org/officeDocument/2006/relationships/hyperlink" Target="https://techcombank.com/thong-tin/blog/thue-doanh-nghiep-2025" TargetMode="External"/><Relationship Id="rId294" Type="http://schemas.openxmlformats.org/officeDocument/2006/relationships/hyperlink" Target="https://techcombank.com/thong-tin/blog/thue-doanh-nghiep" TargetMode="External"/><Relationship Id="rId299" Type="http://schemas.openxmlformats.org/officeDocument/2006/relationships/hyperlink" Target="https://techcombank.com/thong-tin/blog/top-phan-mem-ban-hang" TargetMode="External"/><Relationship Id="rId298" Type="http://schemas.openxmlformats.org/officeDocument/2006/relationships/hyperlink" Target="https://techcombank.com/thong-tin/blog/tiet-kiem-khi-di-du-lich" TargetMode="External"/><Relationship Id="rId271" Type="http://schemas.openxmlformats.org/officeDocument/2006/relationships/hyperlink" Target="https://techcombank.com/thong-tin/blog/luu-y-khi-chuyen-doi-tu-ho-kinh-doanh-len-doanh-nghiep" TargetMode="External"/><Relationship Id="rId270" Type="http://schemas.openxmlformats.org/officeDocument/2006/relationships/hyperlink" Target="https://techcombank.com/thong-tin/blog/loi-ich-khi-ho-kinh-doanh-chuyen-len-doanh-nghiep" TargetMode="External"/><Relationship Id="rId269" Type="http://schemas.openxmlformats.org/officeDocument/2006/relationships/hyperlink" Target="https://techcombank.com/thong-tin/blog/lich-su-tin-dung" TargetMode="External"/><Relationship Id="rId264" Type="http://schemas.openxmlformats.org/officeDocument/2006/relationships/hyperlink" Target="https://techcombank.com/thong-tin/blog/ho-so-vay-tin-chap" TargetMode="External"/><Relationship Id="rId263" Type="http://schemas.openxmlformats.org/officeDocument/2006/relationships/hyperlink" Target="https://techcombank.com/thong-tin/blog/ho-so-dang-ky-thanh-lap-doanh-nghiep" TargetMode="External"/><Relationship Id="rId262" Type="http://schemas.openxmlformats.org/officeDocument/2006/relationships/hyperlink" Target="https://techcombank.com/thong-tin/blog/ho-kinh-doanh-can-gi-o-tai-khoan-ngan-hang" TargetMode="External"/><Relationship Id="rId261" Type="http://schemas.openxmlformats.org/officeDocument/2006/relationships/hyperlink" Target="https://techcombank.com/thong-tin/blog/hieu-hiet-ve-tuan-thu-thue-cho-cac-doanh-nghiep-khoi-nghiep" TargetMode="External"/><Relationship Id="rId268" Type="http://schemas.openxmlformats.org/officeDocument/2006/relationships/hyperlink" Target="https://techcombank.com/thong-tin/blog/lai-suat-la-gi" TargetMode="External"/><Relationship Id="rId267" Type="http://schemas.openxmlformats.org/officeDocument/2006/relationships/hyperlink" Target="https://techcombank.com/thong-tin/blog/kinh-nghiem-gui-tiet-kiem-online" TargetMode="External"/><Relationship Id="rId266" Type="http://schemas.openxmlformats.org/officeDocument/2006/relationships/hyperlink" Target="https://techcombank.com/thong-tin/blog/kiem-tra-thue-thu-nhap-ca-nhan" TargetMode="External"/><Relationship Id="rId265" Type="http://schemas.openxmlformats.org/officeDocument/2006/relationships/hyperlink" Target="https://techcombank.com/thong-tin/blog/khoi-nghiep-truoc-chinh-sach-thue-moi" TargetMode="External"/><Relationship Id="rId260" Type="http://schemas.openxmlformats.org/officeDocument/2006/relationships/hyperlink" Target="https://techcombank.com/thong-tin/blog/gui-tiet-kiem-tich-luy-la-gi" TargetMode="External"/><Relationship Id="rId259" Type="http://schemas.openxmlformats.org/officeDocument/2006/relationships/hyperlink" Target="https://techcombank.com/thong-tin/blog/gui-tiet-kiem-online-bi-mat-tien" TargetMode="External"/><Relationship Id="rId258" Type="http://schemas.openxmlformats.org/officeDocument/2006/relationships/hyperlink" Target="https://techcombank.com/thong-tin/blog/gui-tiet-kiem-lay-lai-hang-thang" TargetMode="External"/><Relationship Id="rId253" Type="http://schemas.openxmlformats.org/officeDocument/2006/relationships/hyperlink" Target="https://techcombank.com/thong-tin/blog/dang-ky-kinh-doanh-la-gi" TargetMode="External"/><Relationship Id="rId252" Type="http://schemas.openxmlformats.org/officeDocument/2006/relationships/hyperlink" Target="https://techcombank.com/thong-tin/blog/co-nen-vay-ngan-hang-mua-nha" TargetMode="External"/><Relationship Id="rId251" Type="http://schemas.openxmlformats.org/officeDocument/2006/relationships/hyperlink" Target="https://techcombank.com/thong-tin/blog/co-nen-gui-tiet-kiem-ngan-hang" TargetMode="External"/><Relationship Id="rId250" Type="http://schemas.openxmlformats.org/officeDocument/2006/relationships/hyperlink" Target="https://techcombank.com/thong-tin/blog/co-50-trieu-nen-mua-vang-hay-gui-tiet-kiem" TargetMode="External"/><Relationship Id="rId257" Type="http://schemas.openxmlformats.org/officeDocument/2006/relationships/hyperlink" Target="https://techcombank.com/thong-tin/blog/gui-ma-qr-ngan-hang" TargetMode="External"/><Relationship Id="rId256" Type="http://schemas.openxmlformats.org/officeDocument/2006/relationships/hyperlink" Target="https://techcombank.com/thong-tin/blog/giay-phep-kinh-doanh" TargetMode="External"/><Relationship Id="rId255" Type="http://schemas.openxmlformats.org/officeDocument/2006/relationships/hyperlink" Target="https://techcombank.com/thong-tin/blog/doanh-nghiep-moi-thanh-lap-duoc-uu-dai-gi" TargetMode="External"/><Relationship Id="rId254" Type="http://schemas.openxmlformats.org/officeDocument/2006/relationships/hyperlink" Target="https://techcombank.com/thong-tin/blog/dieu-kien-thanh-lap-doanh-nghiep" TargetMode="External"/><Relationship Id="rId293" Type="http://schemas.openxmlformats.org/officeDocument/2006/relationships/hyperlink" Target="https://techcombank.com/thong-tin/blog/thu-tuc-vay-von-ngan-hang-de-xay-nha" TargetMode="External"/><Relationship Id="rId292" Type="http://schemas.openxmlformats.org/officeDocument/2006/relationships/hyperlink" Target="https://techcombank.com/thong-tin/blog/thu-tuc-vay-ngan-hang-mua-nha" TargetMode="External"/><Relationship Id="rId291" Type="http://schemas.openxmlformats.org/officeDocument/2006/relationships/hyperlink" Target="https://techcombank.com/thong-tin/blog/thu-tuc-thanh-lap-doanh-nghiep" TargetMode="External"/><Relationship Id="rId290" Type="http://schemas.openxmlformats.org/officeDocument/2006/relationships/hyperlink" Target="https://techcombank.com/thong-tin/blog/thoi-han-vay-thau-chi" TargetMode="External"/><Relationship Id="rId286" Type="http://schemas.openxmlformats.org/officeDocument/2006/relationships/hyperlink" Target="https://techcombank.com/thong-tin/blog/thanh-toan-tien-dien-bang-the-tin-dung" TargetMode="External"/><Relationship Id="rId285" Type="http://schemas.openxmlformats.org/officeDocument/2006/relationships/hyperlink" Target="https://techcombank.com/thong-tin/blog/tao-ma-qr-thanh-toan-cho-cua-hang" TargetMode="External"/><Relationship Id="rId284" Type="http://schemas.openxmlformats.org/officeDocument/2006/relationships/hyperlink" Target="https://techcombank.com/thong-tin/blog/tai-khoan-ngan-hang-la-gi" TargetMode="External"/><Relationship Id="rId283" Type="http://schemas.openxmlformats.org/officeDocument/2006/relationships/hyperlink" Target="https://techcombank.com/thong-tin/blog/rut-tien-bang-ma-qr-khac-ngan-hang-duoc-khong" TargetMode="External"/><Relationship Id="rId289" Type="http://schemas.openxmlformats.org/officeDocument/2006/relationships/hyperlink" Target="https://techcombank.com/thong-tin/blog/the-tin-dung-noi-dia" TargetMode="External"/><Relationship Id="rId288" Type="http://schemas.openxmlformats.org/officeDocument/2006/relationships/hyperlink" Target="https://techcombank.com/thong-tin/blog/the-tin-dung-den" TargetMode="External"/><Relationship Id="rId287" Type="http://schemas.openxmlformats.org/officeDocument/2006/relationships/hyperlink" Target="https://techcombank.com/thong-tin/blog/the-chap-la-gi" TargetMode="External"/><Relationship Id="rId282" Type="http://schemas.openxmlformats.org/officeDocument/2006/relationships/hyperlink" Target="https://techcombank.com/thong-tin/blog/rui-ro-khi-gui-tiet-kiem-online" TargetMode="External"/><Relationship Id="rId281" Type="http://schemas.openxmlformats.org/officeDocument/2006/relationships/hyperlink" Target="https://techcombank.com/thong-tin/blog/quy-trinh-cho-vay-tieu-dung" TargetMode="External"/><Relationship Id="rId280" Type="http://schemas.openxmlformats.org/officeDocument/2006/relationships/hyperlink" Target="https://techcombank.com/thong-tin/blog/phi-vay-the-chap" TargetMode="External"/><Relationship Id="rId275" Type="http://schemas.openxmlformats.org/officeDocument/2006/relationships/hyperlink" Target="https://techcombank.com/thong-tin/blog/mo-the-tin-dung-han-muc-cao" TargetMode="External"/><Relationship Id="rId274" Type="http://schemas.openxmlformats.org/officeDocument/2006/relationships/hyperlink" Target="https://techcombank.com/thong-tin/blog/mo-the-tin-dung-chi-can-cccd" TargetMode="External"/><Relationship Id="rId273" Type="http://schemas.openxmlformats.org/officeDocument/2006/relationships/hyperlink" Target="https://techcombank.com/thong-tin/blog/mo-tai-khoan-doanh-nghiep" TargetMode="External"/><Relationship Id="rId272" Type="http://schemas.openxmlformats.org/officeDocument/2006/relationships/hyperlink" Target="https://techcombank.com/thong-tin/blog/mo-so-tiet-kiem-can-bao-nhieu-tien" TargetMode="External"/><Relationship Id="rId279" Type="http://schemas.openxmlformats.org/officeDocument/2006/relationships/hyperlink" Target="https://techcombank.com/thong-tin/blog/nop-tien-mat-vao-tai-khoan-cong-ty" TargetMode="External"/><Relationship Id="rId278" Type="http://schemas.openxmlformats.org/officeDocument/2006/relationships/hyperlink" Target="https://techcombank.com/thong-tin/blog/nghich-ly-nha-dau-tu-che-trai-phieu-lai-suat-cao-ua-ma-an-toan-du-lai-suat-thap-hon-05-1" TargetMode="External"/><Relationship Id="rId277" Type="http://schemas.openxmlformats.org/officeDocument/2006/relationships/hyperlink" Target="https://techcombank.com/thong-tin/blog/nen-gui-tiet-kiem-thong-thuong-hay-tich-luy" TargetMode="External"/><Relationship Id="rId276" Type="http://schemas.openxmlformats.org/officeDocument/2006/relationships/hyperlink" Target="https://techcombank.com/thong-tin/blog/nen-de-tien-trong-the-hay-gui-tiet-kiem" TargetMode="External"/><Relationship Id="rId228" Type="http://schemas.openxmlformats.org/officeDocument/2006/relationships/hyperlink" Target="https://techcombank.com/thong-tin/blog/the-ghi-no-co-chuyen-khoan-duoc-khong" TargetMode="External"/><Relationship Id="rId227" Type="http://schemas.openxmlformats.org/officeDocument/2006/relationships/hyperlink" Target="https://techcombank.com/thong-tin/blog/thanh-toan-tra-gop-qua-the-tin-dung" TargetMode="External"/><Relationship Id="rId226" Type="http://schemas.openxmlformats.org/officeDocument/2006/relationships/hyperlink" Target="https://techcombank.com/thong-tin/blog/techcombank-sinh-loi-tu-dong" TargetMode="External"/><Relationship Id="rId225" Type="http://schemas.openxmlformats.org/officeDocument/2006/relationships/hyperlink" Target="https://techcombank.com/thong-tin/blog/tat-toan-chung-chi-tien-gui" TargetMode="External"/><Relationship Id="rId229" Type="http://schemas.openxmlformats.org/officeDocument/2006/relationships/hyperlink" Target="https://techcombank.com/thong-tin/blog/the-tin-dung-co-chuyen-khoan-duoc-khong" TargetMode="External"/><Relationship Id="rId220" Type="http://schemas.openxmlformats.org/officeDocument/2006/relationships/hyperlink" Target="https://techcombank.com/thong-tin/blog/rui-ro-khi-gui-tiet-kiem-ngan-hang" TargetMode="External"/><Relationship Id="rId224" Type="http://schemas.openxmlformats.org/officeDocument/2006/relationships/hyperlink" Target="https://techcombank.com/thong-tin/blog/tap-doan-thanh-quang-khoi-sac-kinh-doanh-nho-nguon-von-vay-tin-dung-techcombank-tren-nen-tang-misa-lending" TargetMode="External"/><Relationship Id="rId223" Type="http://schemas.openxmlformats.org/officeDocument/2006/relationships/hyperlink" Target="https://techcombank.com/thong-tin/blog/so-tiet-kiem-ngan-hang" TargetMode="External"/><Relationship Id="rId222" Type="http://schemas.openxmlformats.org/officeDocument/2006/relationships/hyperlink" Target="https://techcombank.com/thong-tin/blog/so-sanh-gui-tiet-kiem-online-va-tai-quay" TargetMode="External"/><Relationship Id="rId221" Type="http://schemas.openxmlformats.org/officeDocument/2006/relationships/hyperlink" Target="https://techcombank.com/thong-tin/blog/so-cvv-la-gi" TargetMode="External"/><Relationship Id="rId217" Type="http://schemas.openxmlformats.org/officeDocument/2006/relationships/hyperlink" Target="https://techcombank.com/thong-tin/blog/phi-rut-tien-mat-the-tin-dung" TargetMode="External"/><Relationship Id="rId216" Type="http://schemas.openxmlformats.org/officeDocument/2006/relationships/hyperlink" Target="https://techcombank.com/thong-tin/blog/no-xau" TargetMode="External"/><Relationship Id="rId215" Type="http://schemas.openxmlformats.org/officeDocument/2006/relationships/hyperlink" Target="https://techcombank.com/thong-tin/blog/mua-iphone-17" TargetMode="External"/><Relationship Id="rId214" Type="http://schemas.openxmlformats.org/officeDocument/2006/relationships/hyperlink" Target="https://techcombank.com/thong-tin/blog/mobile-banking-la-gi" TargetMode="External"/><Relationship Id="rId219" Type="http://schemas.openxmlformats.org/officeDocument/2006/relationships/hyperlink" Target="https://techcombank.com/thong-tin/blog/quyet-toan-thue-doanh-nghiep" TargetMode="External"/><Relationship Id="rId218" Type="http://schemas.openxmlformats.org/officeDocument/2006/relationships/hyperlink" Target="https://techcombank.com/thong-tin/blog/quy-trinh-gui-tien-tiet-kiem" TargetMode="External"/><Relationship Id="rId213" Type="http://schemas.openxmlformats.org/officeDocument/2006/relationships/hyperlink" Target="https://techcombank.com/thong-tin/blog/mo-the-tin-dung-khong-can-chung-minh-thu-nhap" TargetMode="External"/><Relationship Id="rId212" Type="http://schemas.openxmlformats.org/officeDocument/2006/relationships/hyperlink" Target="https://techcombank.com/thong-tin/blog/loi-nhuan" TargetMode="External"/><Relationship Id="rId211" Type="http://schemas.openxmlformats.org/officeDocument/2006/relationships/hyperlink" Target="https://techcombank.com/thong-tin/blog/lai-suat-chung-chi-tien-gui-cac-ngan-hang" TargetMode="External"/><Relationship Id="rId210" Type="http://schemas.openxmlformats.org/officeDocument/2006/relationships/hyperlink" Target="https://techcombank.com/thong-tin/blog/lai-kep-ngan-hang" TargetMode="External"/><Relationship Id="rId249" Type="http://schemas.openxmlformats.org/officeDocument/2006/relationships/hyperlink" Target="https://techcombank.com/thong-tin/blog/chung-chi-tien-gui-la-gi" TargetMode="External"/><Relationship Id="rId248" Type="http://schemas.openxmlformats.org/officeDocument/2006/relationships/hyperlink" Target="https://techcombank.com/thong-tin/blog/chung-chi-tien-gui-co-duoc-rut-truoc-han" TargetMode="External"/><Relationship Id="rId247" Type="http://schemas.openxmlformats.org/officeDocument/2006/relationships/hyperlink" Target="https://techcombank.com/thong-tin/blog/chung-chi-tien-gui-co-an-toan-khong" TargetMode="External"/><Relationship Id="rId242" Type="http://schemas.openxmlformats.org/officeDocument/2006/relationships/hyperlink" Target="https://techcombank.com/thong-tin/blog/cach-lam-the-atm" TargetMode="External"/><Relationship Id="rId241" Type="http://schemas.openxmlformats.org/officeDocument/2006/relationships/hyperlink" Target="https://techcombank.com/thong-tin/blog/cach-huy-the-tin-dung" TargetMode="External"/><Relationship Id="rId240" Type="http://schemas.openxmlformats.org/officeDocument/2006/relationships/hyperlink" Target="https://techcombank.com/thong-tin/blog/vay-the-chap-toi-da-duoc-bao-nhieu" TargetMode="External"/><Relationship Id="rId246" Type="http://schemas.openxmlformats.org/officeDocument/2006/relationships/hyperlink" Target="https://techcombank.com/thong-tin/blog/cdm" TargetMode="External"/><Relationship Id="rId245" Type="http://schemas.openxmlformats.org/officeDocument/2006/relationships/hyperlink" Target="https://techcombank.com/thong-tin/blog/cach-tra-cuu-hoa-don-dien-tu" TargetMode="External"/><Relationship Id="rId244" Type="http://schemas.openxmlformats.org/officeDocument/2006/relationships/hyperlink" Target="https://techcombank.com/thong-tin/blog/cach-tiet-kiem-tien-hieu-qua-cho-gia-dinh" TargetMode="External"/><Relationship Id="rId243" Type="http://schemas.openxmlformats.org/officeDocument/2006/relationships/hyperlink" Target="https://techcombank.com/thong-tin/blog/cach-tiet-kiem-tien" TargetMode="External"/><Relationship Id="rId239" Type="http://schemas.openxmlformats.org/officeDocument/2006/relationships/hyperlink" Target="https://techcombank.com/thong-tin/blog/vay-the-chap-la-gi" TargetMode="External"/><Relationship Id="rId238" Type="http://schemas.openxmlformats.org/officeDocument/2006/relationships/hyperlink" Target="https://techcombank.com/thong-tin/blog/vay-40-trieu" TargetMode="External"/><Relationship Id="rId237" Type="http://schemas.openxmlformats.org/officeDocument/2006/relationships/hyperlink" Target="https://techcombank.com/thong-tin/blog/truy-thu-thue-ho-kinh-doanh" TargetMode="External"/><Relationship Id="rId236" Type="http://schemas.openxmlformats.org/officeDocument/2006/relationships/hyperlink" Target="https://techcombank.com/thong-tin/blog/tra-luong-tien-mat" TargetMode="External"/><Relationship Id="rId231" Type="http://schemas.openxmlformats.org/officeDocument/2006/relationships/hyperlink" Target="https://techcombank.com/thong-tin/blog/the-tin-dung-mien-phi-thuong-nien" TargetMode="External"/><Relationship Id="rId230" Type="http://schemas.openxmlformats.org/officeDocument/2006/relationships/hyperlink" Target="https://techcombank.com/thong-tin/blog/the-tin-dung-het-han" TargetMode="External"/><Relationship Id="rId235" Type="http://schemas.openxmlformats.org/officeDocument/2006/relationships/hyperlink" Target="https://techcombank.com/thong-tin/blog/tien-gui-khong-ky-han" TargetMode="External"/><Relationship Id="rId234" Type="http://schemas.openxmlformats.org/officeDocument/2006/relationships/hyperlink" Target="https://techcombank.com/thong-tin/blog/tien-chuyen-vao-tai-khoan-co-bi-tinh-thue-khong" TargetMode="External"/><Relationship Id="rId233" Type="http://schemas.openxmlformats.org/officeDocument/2006/relationships/hyperlink" Target="https://techcombank.com/thong-tin/blog/thi-truong-trai-phieu-co-hoi-dau-tu-trai-phieu-vang-du-lai-suat-thap" TargetMode="External"/><Relationship Id="rId232" Type="http://schemas.openxmlformats.org/officeDocument/2006/relationships/hyperlink" Target="https://techcombank.com/thong-tin/blog/the-tin-dung-nao-nhieu-uu-dai-nhat" TargetMode="External"/><Relationship Id="rId206" Type="http://schemas.openxmlformats.org/officeDocument/2006/relationships/hyperlink" Target="https://techcombank.com/thong-tin/blog/gui-tiet-kiem-usd" TargetMode="External"/><Relationship Id="rId205" Type="http://schemas.openxmlformats.org/officeDocument/2006/relationships/hyperlink" Target="https://techcombank.com/thong-tin/blog/gui-tiet-kiem-ngan-hang-van-la-lua-chon-an-toan-trong-thoi-ky-kinh-te-con-nhieu-bien-dong" TargetMode="External"/><Relationship Id="rId204" Type="http://schemas.openxmlformats.org/officeDocument/2006/relationships/hyperlink" Target="https://techcombank.com/thong-tin/blog/gui-tien-ngan-hang-co-an-toan-khong" TargetMode="External"/><Relationship Id="rId203" Type="http://schemas.openxmlformats.org/officeDocument/2006/relationships/hyperlink" Target="https://techcombank.com/thong-tin/blog/giai-ngan-vay-the-chap" TargetMode="External"/><Relationship Id="rId209" Type="http://schemas.openxmlformats.org/officeDocument/2006/relationships/hyperlink" Target="https://techcombank.com/thong-tin/blog/hoa-don-dien-tu" TargetMode="External"/><Relationship Id="rId208" Type="http://schemas.openxmlformats.org/officeDocument/2006/relationships/hyperlink" Target="https://techcombank.com/thong-tin/blog/ho-kinh-doanh-dong-thue-nhu-nao" TargetMode="External"/><Relationship Id="rId207" Type="http://schemas.openxmlformats.org/officeDocument/2006/relationships/hyperlink" Target="https://techcombank.com/thong-tin/blog/han-muc-tra-gop-the-tin-dung" TargetMode="External"/><Relationship Id="rId202" Type="http://schemas.openxmlformats.org/officeDocument/2006/relationships/hyperlink" Target="https://techcombank.com/thong-tin/blog/du-no-la-gi" TargetMode="External"/><Relationship Id="rId201" Type="http://schemas.openxmlformats.org/officeDocument/2006/relationships/hyperlink" Target="https://techcombank.com/thong-tin/blog/dieu-kien-vay-von-ngan-hang" TargetMode="External"/><Relationship Id="rId200" Type="http://schemas.openxmlformats.org/officeDocument/2006/relationships/hyperlink" Target="https://techcombank.com/thong-tin/blog/dang-vay-tra-gop-co-vay-them-duoc-khong" TargetMode="External"/><Relationship Id="rId509" Type="http://schemas.openxmlformats.org/officeDocument/2006/relationships/hyperlink" Target="https://techcombank.com/thong-tin/blog/cac-chung-chi-quy-o-viet-nam" TargetMode="External"/><Relationship Id="rId508" Type="http://schemas.openxmlformats.org/officeDocument/2006/relationships/hyperlink" Target="https://techcombank.com/thong-tin/blog/bao-hiem-nhan-tho-bao-nhieu-tien" TargetMode="External"/><Relationship Id="rId503" Type="http://schemas.openxmlformats.org/officeDocument/2006/relationships/hyperlink" Target="https://techcombank.com/thong-tin/blog/6-chiec-lo-tai-chinh-ca-nhan" TargetMode="External"/><Relationship Id="rId502" Type="http://schemas.openxmlformats.org/officeDocument/2006/relationships/hyperlink" Target="https://techcombank.com/thong-tin/blog/5-trieu-mua-duoc-bao-nhieu-vang" TargetMode="External"/><Relationship Id="rId501" Type="http://schemas.openxmlformats.org/officeDocument/2006/relationships/hyperlink" Target="https://techcombank.com/thong-tin/blog/3d-secure" TargetMode="External"/><Relationship Id="rId500" Type="http://schemas.openxmlformats.org/officeDocument/2006/relationships/hyperlink" Target="https://techcombank.com/thong-tin/blog/1-nguoi-co-the-lam-duoc-bao-nhieu-the-atm" TargetMode="External"/><Relationship Id="rId507" Type="http://schemas.openxmlformats.org/officeDocument/2006/relationships/hyperlink" Target="https://techcombank.com/thong-tin/blog/atm-la-gi" TargetMode="External"/><Relationship Id="rId506" Type="http://schemas.openxmlformats.org/officeDocument/2006/relationships/hyperlink" Target="https://techcombank.com/thong-tin/blog/app-chia-tien" TargetMode="External"/><Relationship Id="rId505" Type="http://schemas.openxmlformats.org/officeDocument/2006/relationships/hyperlink" Target="https://techcombank.com/thong-tin/blog/88-la-gi" TargetMode="External"/><Relationship Id="rId504" Type="http://schemas.openxmlformats.org/officeDocument/2006/relationships/hyperlink" Target="https://techcombank.com/thong-tin/blog/66666-co-y-nghia-gi" TargetMode="External"/><Relationship Id="rId525" Type="http://schemas.openxmlformats.org/officeDocument/2006/relationships/hyperlink" Target="https://techcombank.com/thong-tin/blog/dau-tu-dai-han" TargetMode="External"/><Relationship Id="rId524" Type="http://schemas.openxmlformats.org/officeDocument/2006/relationships/hyperlink" Target="https://techcombank.com/thong-tin/blog/dau-co-va-dau-tu" TargetMode="External"/><Relationship Id="rId523" Type="http://schemas.openxmlformats.org/officeDocument/2006/relationships/hyperlink" Target="https://techcombank.com/thong-tin/blog/dac-san-hai-phong" TargetMode="External"/><Relationship Id="rId522" Type="http://schemas.openxmlformats.org/officeDocument/2006/relationships/hyperlink" Target="https://techcombank.com/thong-tin/blog/cua-hang-tien-loi" TargetMode="External"/><Relationship Id="rId529" Type="http://schemas.openxmlformats.org/officeDocument/2006/relationships/hyperlink" Target="https://techcombank.com/thong-tin/blog/dinh-cu-chau-au" TargetMode="External"/><Relationship Id="rId528" Type="http://schemas.openxmlformats.org/officeDocument/2006/relationships/hyperlink" Target="https://techcombank.com/thong-tin/blog/diem-loyalty-la-gi" TargetMode="External"/><Relationship Id="rId527" Type="http://schemas.openxmlformats.org/officeDocument/2006/relationships/hyperlink" Target="https://techcombank.com/thong-tin/blog/dau-tu-tai-chinh-ca-nhan" TargetMode="External"/><Relationship Id="rId526" Type="http://schemas.openxmlformats.org/officeDocument/2006/relationships/hyperlink" Target="https://techcombank.com/thong-tin/blog/dau-tu-quy-mo" TargetMode="External"/><Relationship Id="rId521" Type="http://schemas.openxmlformats.org/officeDocument/2006/relationships/hyperlink" Target="https://techcombank.com/thong-tin/blog/chuyen-doi-the-atm" TargetMode="External"/><Relationship Id="rId520" Type="http://schemas.openxmlformats.org/officeDocument/2006/relationships/hyperlink" Target="https://techcombank.com/thong-tin/blog/chuyen-doi-so-ho-kinh-doanh" TargetMode="External"/><Relationship Id="rId519" Type="http://schemas.openxmlformats.org/officeDocument/2006/relationships/hyperlink" Target="https://techcombank.com/thong-tin/blog/chung-chi-quy-va-co-phieu" TargetMode="External"/><Relationship Id="rId514" Type="http://schemas.openxmlformats.org/officeDocument/2006/relationships/hyperlink" Target="https://techcombank.com/thong-tin/blog/cach-nap-the" TargetMode="External"/><Relationship Id="rId513" Type="http://schemas.openxmlformats.org/officeDocument/2006/relationships/hyperlink" Target="https://techcombank.com/thong-tin/blog/cach-lien-ket-tai-khoan-ngan-hang-voi-vneid" TargetMode="External"/><Relationship Id="rId512" Type="http://schemas.openxmlformats.org/officeDocument/2006/relationships/hyperlink" Target="https://techcombank.com/thong-tin/blog/cach-kich-hoat-the-atm" TargetMode="External"/><Relationship Id="rId511" Type="http://schemas.openxmlformats.org/officeDocument/2006/relationships/hyperlink" Target="https://techcombank.com/thong-tin/blog/cach-huy-thanh-toan-tien-dien" TargetMode="External"/><Relationship Id="rId518" Type="http://schemas.openxmlformats.org/officeDocument/2006/relationships/hyperlink" Target="https://techcombank.com/thong-tin/blog/chi-tra-luong-huu" TargetMode="External"/><Relationship Id="rId517" Type="http://schemas.openxmlformats.org/officeDocument/2006/relationships/hyperlink" Target="https://techcombank.com/thong-tin/blog/cam-nang-dinh-cu-my" TargetMode="External"/><Relationship Id="rId516" Type="http://schemas.openxmlformats.org/officeDocument/2006/relationships/hyperlink" Target="https://techcombank.com/thong-tin/blog/cach-nap-the-vina" TargetMode="External"/><Relationship Id="rId515" Type="http://schemas.openxmlformats.org/officeDocument/2006/relationships/hyperlink" Target="https://techcombank.com/thong-tin/blog/cach-nap-the-mobi" TargetMode="External"/><Relationship Id="rId510" Type="http://schemas.openxmlformats.org/officeDocument/2006/relationships/hyperlink" Target="https://techcombank.com/thong-tin/blog/cach-dang-ky-dinh-danh-muc-2" TargetMode="External"/><Relationship Id="rId590" Type="http://schemas.openxmlformats.org/officeDocument/2006/relationships/hyperlink" Target="https://techcombank.com/thong-tin/blog/thanh-toan-online-bang-the-tin-dung" TargetMode="External"/><Relationship Id="rId589" Type="http://schemas.openxmlformats.org/officeDocument/2006/relationships/hyperlink" Target="https://techcombank.com/thong-tin/blog/thanh-toan-ma-qr-tro-thanh-phuong-thuc-duoc-ua-chuong-va-trien-khai-manh-me" TargetMode="External"/><Relationship Id="rId588" Type="http://schemas.openxmlformats.org/officeDocument/2006/relationships/hyperlink" Target="https://techcombank.com/thong-tin/blog/thanh-toan-bang-ma-qr" TargetMode="External"/><Relationship Id="rId583" Type="http://schemas.openxmlformats.org/officeDocument/2006/relationships/hyperlink" Target="https://techcombank.com/thong-tin/blog/so-du-tien-gui-la-gi" TargetMode="External"/><Relationship Id="rId582" Type="http://schemas.openxmlformats.org/officeDocument/2006/relationships/hyperlink" Target="https://techcombank.com/thong-tin/blog/so-du-kha-dung" TargetMode="External"/><Relationship Id="rId581" Type="http://schemas.openxmlformats.org/officeDocument/2006/relationships/hyperlink" Target="https://techcombank.com/thong-tin/blog/so-8386" TargetMode="External"/><Relationship Id="rId580" Type="http://schemas.openxmlformats.org/officeDocument/2006/relationships/hyperlink" Target="https://techcombank.com/thong-tin/blog/so-6868" TargetMode="External"/><Relationship Id="rId587" Type="http://schemas.openxmlformats.org/officeDocument/2006/relationships/hyperlink" Target="https://techcombank.com/thong-tin/blog/techcombank-oneu" TargetMode="External"/><Relationship Id="rId586" Type="http://schemas.openxmlformats.org/officeDocument/2006/relationships/hyperlink" Target="https://techcombank.com/thong-tin/blog/tai-san-va-tieu-san-la-gi" TargetMode="External"/><Relationship Id="rId585" Type="http://schemas.openxmlformats.org/officeDocument/2006/relationships/hyperlink" Target="https://techcombank.com/thong-tin/blog/tai-khoan-ngan-hang-bi-khoa" TargetMode="External"/><Relationship Id="rId584" Type="http://schemas.openxmlformats.org/officeDocument/2006/relationships/hyperlink" Target="https://techcombank.com/thong-tin/blog/so-sanh-ma-qr-va-ma-vach" TargetMode="External"/><Relationship Id="rId579" Type="http://schemas.openxmlformats.org/officeDocument/2006/relationships/hyperlink" Target="https://techcombank.com/thong-tin/blog/shopeepay-la-gi" TargetMode="External"/><Relationship Id="rId578" Type="http://schemas.openxmlformats.org/officeDocument/2006/relationships/hyperlink" Target="https://techcombank.com/thong-tin/blog/shang-chi" TargetMode="External"/><Relationship Id="rId577" Type="http://schemas.openxmlformats.org/officeDocument/2006/relationships/hyperlink" Target="https://techcombank.com/thong-tin/blog/san-pham-xanh" TargetMode="External"/><Relationship Id="rId572" Type="http://schemas.openxmlformats.org/officeDocument/2006/relationships/hyperlink" Target="https://techcombank.com/thong-tin/blog/quan-ly-tai-chinh-doanh-nghiep-nho" TargetMode="External"/><Relationship Id="rId571" Type="http://schemas.openxmlformats.org/officeDocument/2006/relationships/hyperlink" Target="https://techcombank.com/thong-tin/blog/qr-dong" TargetMode="External"/><Relationship Id="rId570" Type="http://schemas.openxmlformats.org/officeDocument/2006/relationships/hyperlink" Target="https://techcombank.com/thong-tin/blog/qr-code-doanh-nghiep" TargetMode="External"/><Relationship Id="rId576" Type="http://schemas.openxmlformats.org/officeDocument/2006/relationships/hyperlink" Target="https://techcombank.com/thong-tin/blog/remittance-la-gi" TargetMode="External"/><Relationship Id="rId575" Type="http://schemas.openxmlformats.org/officeDocument/2006/relationships/hyperlink" Target="https://techcombank.com/thong-tin/blog/quy-gia-dinh" TargetMode="External"/><Relationship Id="rId574" Type="http://schemas.openxmlformats.org/officeDocument/2006/relationships/hyperlink" Target="https://techcombank.com/thong-tin/blog/quy-dinh-ve-mua-ban-ngoai-te-cua-doanh-nghiep" TargetMode="External"/><Relationship Id="rId573" Type="http://schemas.openxmlformats.org/officeDocument/2006/relationships/hyperlink" Target="https://techcombank.com/thong-tin/blog/quet-ma-qr-techcombank" TargetMode="External"/><Relationship Id="rId599" Type="http://schemas.openxmlformats.org/officeDocument/2006/relationships/hyperlink" Target="https://techcombank.com/thong-tin/blog/the-mastercard-la-gi" TargetMode="External"/><Relationship Id="rId594" Type="http://schemas.openxmlformats.org/officeDocument/2006/relationships/hyperlink" Target="https://techcombank.com/thong-tin/blog/the-atm-gan-chip" TargetMode="External"/><Relationship Id="rId593" Type="http://schemas.openxmlformats.org/officeDocument/2006/relationships/hyperlink" Target="https://techcombank.com/thong-tin/blog/thanh-toan-ve-may-bay-online" TargetMode="External"/><Relationship Id="rId592" Type="http://schemas.openxmlformats.org/officeDocument/2006/relationships/hyperlink" Target="https://techcombank.com/thong-tin/blog/thanh-toan-quoc-te" TargetMode="External"/><Relationship Id="rId591" Type="http://schemas.openxmlformats.org/officeDocument/2006/relationships/hyperlink" Target="https://techcombank.com/thong-tin/blog/thanh-toan-qr-thai-lan" TargetMode="External"/><Relationship Id="rId598" Type="http://schemas.openxmlformats.org/officeDocument/2006/relationships/hyperlink" Target="https://techcombank.com/thong-tin/blog/the-he-ke-can" TargetMode="External"/><Relationship Id="rId597" Type="http://schemas.openxmlformats.org/officeDocument/2006/relationships/hyperlink" Target="https://techcombank.com/thong-tin/blog/the-ghi-no-noi-dia" TargetMode="External"/><Relationship Id="rId596" Type="http://schemas.openxmlformats.org/officeDocument/2006/relationships/hyperlink" Target="https://techcombank.com/thong-tin/blog/the-ghi-no-la-gi" TargetMode="External"/><Relationship Id="rId595" Type="http://schemas.openxmlformats.org/officeDocument/2006/relationships/hyperlink" Target="https://techcombank.com/thong-tin/blog/the-atm-tu" TargetMode="External"/><Relationship Id="rId547" Type="http://schemas.openxmlformats.org/officeDocument/2006/relationships/hyperlink" Target="https://techcombank.com/thong-tin/blog/loa-ting-ting" TargetMode="External"/><Relationship Id="rId546" Type="http://schemas.openxmlformats.org/officeDocument/2006/relationships/hyperlink" Target="https://techcombank.com/thong-tin/blog/li-xi-so-dep" TargetMode="External"/><Relationship Id="rId545" Type="http://schemas.openxmlformats.org/officeDocument/2006/relationships/hyperlink" Target="https://techcombank.com/thong-tin/blog/lap-ke-hoach-tai-chinh-ca-nhan" TargetMode="External"/><Relationship Id="rId544" Type="http://schemas.openxmlformats.org/officeDocument/2006/relationships/hyperlink" Target="https://techcombank.com/thong-tin/blog/lam-the-visa-online" TargetMode="External"/><Relationship Id="rId549" Type="http://schemas.openxmlformats.org/officeDocument/2006/relationships/hyperlink" Target="https://techcombank.com/thong-tin/blog/luong-huu" TargetMode="External"/><Relationship Id="rId548" Type="http://schemas.openxmlformats.org/officeDocument/2006/relationships/hyperlink" Target="https://techcombank.com/thong-tin/blog/loi-ich-cua-mua-sam-online" TargetMode="External"/><Relationship Id="rId543" Type="http://schemas.openxmlformats.org/officeDocument/2006/relationships/hyperlink" Target="https://techcombank.com/thong-tin/blog/lam-the-visa-mat-bao-lau" TargetMode="External"/><Relationship Id="rId542" Type="http://schemas.openxmlformats.org/officeDocument/2006/relationships/hyperlink" Target="https://techcombank.com/thong-tin/blog/lam-the-thanh-toan-quoc-te" TargetMode="External"/><Relationship Id="rId541" Type="http://schemas.openxmlformats.org/officeDocument/2006/relationships/hyperlink" Target="https://techcombank.com/thong-tin/blog/lam-ma-qr-ngan-hang-co-mat-phi-khong" TargetMode="External"/><Relationship Id="rId540" Type="http://schemas.openxmlformats.org/officeDocument/2006/relationships/hyperlink" Target="https://techcombank.com/thong-tin/blog/khong-su-dung-the-tin-dung-co-mat-phi-khong" TargetMode="External"/><Relationship Id="rId536" Type="http://schemas.openxmlformats.org/officeDocument/2006/relationships/hyperlink" Target="https://techcombank.com/thong-tin/blog/huong-dan-dang-ky-thanh-lap-doanh-nghiep" TargetMode="External"/><Relationship Id="rId535" Type="http://schemas.openxmlformats.org/officeDocument/2006/relationships/hyperlink" Target="https://techcombank.com/thong-tin/blog/hu-chi-tieu" TargetMode="External"/><Relationship Id="rId534" Type="http://schemas.openxmlformats.org/officeDocument/2006/relationships/hyperlink" Target="https://techcombank.com/thong-tin/blog/giai-ngan-la-gi" TargetMode="External"/><Relationship Id="rId533" Type="http://schemas.openxmlformats.org/officeDocument/2006/relationships/hyperlink" Target="https://techcombank.com/thong-tin/blog/gia-tri-tai-san-rong" TargetMode="External"/><Relationship Id="rId539" Type="http://schemas.openxmlformats.org/officeDocument/2006/relationships/hyperlink" Target="https://techcombank.com/thong-tin/blog/khau-vi-nha-dau-tu-tpdn-thay-doi-the-nao-sau-nhung-bien-dong-vua-qua" TargetMode="External"/><Relationship Id="rId538" Type="http://schemas.openxmlformats.org/officeDocument/2006/relationships/hyperlink" Target="https://techcombank.com/thong-tin/blog/in-ma-qr-ngan-hang" TargetMode="External"/><Relationship Id="rId537" Type="http://schemas.openxmlformats.org/officeDocument/2006/relationships/hyperlink" Target="https://techcombank.com/thong-tin/blog/iban-la-gi" TargetMode="External"/><Relationship Id="rId532" Type="http://schemas.openxmlformats.org/officeDocument/2006/relationships/hyperlink" Target="https://techcombank.com/thong-tin/blog/gia-ca-phe-hom-nay" TargetMode="External"/><Relationship Id="rId531" Type="http://schemas.openxmlformats.org/officeDocument/2006/relationships/hyperlink" Target="https://techcombank.com/thong-tin/blog/ghi-chep-chi-tieu" TargetMode="External"/><Relationship Id="rId530" Type="http://schemas.openxmlformats.org/officeDocument/2006/relationships/hyperlink" Target="https://techcombank.com/thong-tin/blog/eco-card" TargetMode="External"/><Relationship Id="rId569" Type="http://schemas.openxmlformats.org/officeDocument/2006/relationships/hyperlink" Target="https://techcombank.com/thong-tin/blog/pos" TargetMode="External"/><Relationship Id="rId568" Type="http://schemas.openxmlformats.org/officeDocument/2006/relationships/hyperlink" Target="https://techcombank.com/thong-tin/blog/phi-thuong-nien-la-gi" TargetMode="External"/><Relationship Id="rId567" Type="http://schemas.openxmlformats.org/officeDocument/2006/relationships/hyperlink" Target="https://techcombank.com/thong-tin/blog/phi-chuyen-doi-ngoai-te" TargetMode="External"/><Relationship Id="rId566" Type="http://schemas.openxmlformats.org/officeDocument/2006/relationships/hyperlink" Target="https://techcombank.com/thong-tin/blog/phan-bo-tai-san" TargetMode="External"/><Relationship Id="rId561" Type="http://schemas.openxmlformats.org/officeDocument/2006/relationships/hyperlink" Target="https://techcombank.com/thong-tin/blog/nen-lam-the-visa-hay-noi-dia" TargetMode="External"/><Relationship Id="rId560" Type="http://schemas.openxmlformats.org/officeDocument/2006/relationships/hyperlink" Target="https://techcombank.com/thong-tin/blog/mr-eco" TargetMode="External"/><Relationship Id="rId565" Type="http://schemas.openxmlformats.org/officeDocument/2006/relationships/hyperlink" Target="https://techcombank.com/thong-tin/blog/nhung-kho-khan-khi-tiet-kiem-tien" TargetMode="External"/><Relationship Id="rId564" Type="http://schemas.openxmlformats.org/officeDocument/2006/relationships/hyperlink" Target="https://techcombank.com/thong-tin/blog/ngan-hang-so-cho-doanh-nghiep" TargetMode="External"/><Relationship Id="rId563" Type="http://schemas.openxmlformats.org/officeDocument/2006/relationships/hyperlink" Target="https://techcombank.com/thong-tin/blog/ngan-hang-dien-tu" TargetMode="External"/><Relationship Id="rId562" Type="http://schemas.openxmlformats.org/officeDocument/2006/relationships/hyperlink" Target="https://techcombank.com/thong-tin/blog/nen-mo-tai-khoan-ngan-hang-nao-cho-doanh-nghiep" TargetMode="External"/><Relationship Id="rId558" Type="http://schemas.openxmlformats.org/officeDocument/2006/relationships/hyperlink" Target="https://techcombank.com/thong-tin/blog/merchant-la-gi" TargetMode="External"/><Relationship Id="rId557" Type="http://schemas.openxmlformats.org/officeDocument/2006/relationships/hyperlink" Target="https://techcombank.com/thong-tin/blog/mau-mo-tai-khoan-doanh-nghiep-techcombank" TargetMode="External"/><Relationship Id="rId556" Type="http://schemas.openxmlformats.org/officeDocument/2006/relationships/hyperlink" Target="https://techcombank.com/thong-tin/blog/mat-the-tin-dung-co-lam-lai-duoc-khong" TargetMode="External"/><Relationship Id="rId555" Type="http://schemas.openxmlformats.org/officeDocument/2006/relationships/hyperlink" Target="https://techcombank.com/thong-tin/blog/ma-swift-ngan-hang" TargetMode="External"/><Relationship Id="rId559" Type="http://schemas.openxmlformats.org/officeDocument/2006/relationships/hyperlink" Target="https://techcombank.com/thong-tin/blog/mo-tai-khoan-ngan-hang-duoi-18-tuoi" TargetMode="External"/><Relationship Id="rId550" Type="http://schemas.openxmlformats.org/officeDocument/2006/relationships/hyperlink" Target="https://techcombank.com/thong-tin/blog/ma-giao-dich-la-gi" TargetMode="External"/><Relationship Id="rId554" Type="http://schemas.openxmlformats.org/officeDocument/2006/relationships/hyperlink" Target="https://techcombank.com/thong-tin/blog/ma-qr-techcombank" TargetMode="External"/><Relationship Id="rId553" Type="http://schemas.openxmlformats.org/officeDocument/2006/relationships/hyperlink" Target="https://techcombank.com/thong-tin/blog/ma-qr-lam-gia-duoc-khong" TargetMode="External"/><Relationship Id="rId552" Type="http://schemas.openxmlformats.org/officeDocument/2006/relationships/hyperlink" Target="https://techcombank.com/thong-tin/blog/ma-pin-the-atm" TargetMode="External"/><Relationship Id="rId551" Type="http://schemas.openxmlformats.org/officeDocument/2006/relationships/hyperlink" Target="https://techcombank.com/thong-tin/blog/ma-mcc" TargetMode="External"/><Relationship Id="rId495" Type="http://schemas.openxmlformats.org/officeDocument/2006/relationships/hyperlink" Target="https://techcombank.com/thong-tin/blog/ty-gia-la-gi" TargetMode="External"/><Relationship Id="rId494" Type="http://schemas.openxmlformats.org/officeDocument/2006/relationships/hyperlink" Target="https://techcombank.com/thong-tin/blog/tra-cuu-hoa-don-tien-dien" TargetMode="External"/><Relationship Id="rId493" Type="http://schemas.openxmlformats.org/officeDocument/2006/relationships/hyperlink" Target="https://techcombank.com/thong-tin/blog/tin-dung-tieu-dung" TargetMode="External"/><Relationship Id="rId492" Type="http://schemas.openxmlformats.org/officeDocument/2006/relationships/hyperlink" Target="https://techcombank.com/thong-tin/blog/tiet-kiem-tien-moi-ngay" TargetMode="External"/><Relationship Id="rId499" Type="http://schemas.openxmlformats.org/officeDocument/2006/relationships/hyperlink" Target="https://techcombank.com/thong-tin/blog/xu-huong-ty-gia-usd" TargetMode="External"/><Relationship Id="rId498" Type="http://schemas.openxmlformats.org/officeDocument/2006/relationships/hyperlink" Target="https://techcombank.com/thong-tin/blog/woomaster" TargetMode="External"/><Relationship Id="rId497" Type="http://schemas.openxmlformats.org/officeDocument/2006/relationships/hyperlink" Target="https://techcombank.com/thong-tin/blog/vnd-to-myr" TargetMode="External"/><Relationship Id="rId496" Type="http://schemas.openxmlformats.org/officeDocument/2006/relationships/hyperlink" Target="https://techcombank.com/thong-tin/blog/vay-sieu-toc" TargetMode="External"/><Relationship Id="rId409" Type="http://schemas.openxmlformats.org/officeDocument/2006/relationships/hyperlink" Target="https://techcombank.com/thong-tin/blog/1-trieu-do-bang-bao-nhieu-tien-viet" TargetMode="External"/><Relationship Id="rId404" Type="http://schemas.openxmlformats.org/officeDocument/2006/relationships/hyperlink" Target="https://techcombank.com/thong-tin/blog/vay-kinh-doanh-online" TargetMode="External"/><Relationship Id="rId403" Type="http://schemas.openxmlformats.org/officeDocument/2006/relationships/hyperlink" Target="https://techcombank.com/thong-tin/blog/uu-dai-mua-iphone-18" TargetMode="External"/><Relationship Id="rId402" Type="http://schemas.openxmlformats.org/officeDocument/2006/relationships/hyperlink" Target="https://techcombank.com/thong-tin/blog/uu-dai-mo-the-tin-dung" TargetMode="External"/><Relationship Id="rId401" Type="http://schemas.openxmlformats.org/officeDocument/2006/relationships/hyperlink" Target="https://techcombank.com/thong-tin/blog/tinh-thanh-khoan-la-gi" TargetMode="External"/><Relationship Id="rId408" Type="http://schemas.openxmlformats.org/officeDocument/2006/relationships/hyperlink" Target="https://techcombank.com/thong-tin/blog/1-man-bang-bao-nhieu-tien-viet" TargetMode="External"/><Relationship Id="rId407" Type="http://schemas.openxmlformats.org/officeDocument/2006/relationships/hyperlink" Target="https://techcombank.com/thong-tin/blog/von-luu-dong-la-gi" TargetMode="External"/><Relationship Id="rId406" Type="http://schemas.openxmlformats.org/officeDocument/2006/relationships/hyperlink" Target="https://techcombank.com/thong-tin/blog/vay-tin-chap-khong-tra-duoc-co-sao-khong" TargetMode="External"/><Relationship Id="rId405" Type="http://schemas.openxmlformats.org/officeDocument/2006/relationships/hyperlink" Target="https://techcombank.com/thong-tin/blog/vay-thau-chi-la-gi" TargetMode="External"/><Relationship Id="rId400" Type="http://schemas.openxmlformats.org/officeDocument/2006/relationships/hyperlink" Target="https://techcombank.com/thong-tin/blog/tin-dung-doanh-nghiep" TargetMode="External"/><Relationship Id="rId469" Type="http://schemas.openxmlformats.org/officeDocument/2006/relationships/hyperlink" Target="https://techcombank.com/thong-tin/blog/rut-tien-bang-ma-qr-la-gi-cach-thuc-hien-nhu-the-nao" TargetMode="External"/><Relationship Id="rId468" Type="http://schemas.openxmlformats.org/officeDocument/2006/relationships/hyperlink" Target="https://techcombank.com/thong-tin/blog/quy-du-phong-tai-chinh-la-gi" TargetMode="External"/><Relationship Id="rId467" Type="http://schemas.openxmlformats.org/officeDocument/2006/relationships/hyperlink" Target="https://techcombank.com/thong-tin/blog/quan-ly-tai-chinh-doanh-nghiep-la-gi" TargetMode="External"/><Relationship Id="rId462" Type="http://schemas.openxmlformats.org/officeDocument/2006/relationships/hyperlink" Target="https://techcombank.com/thong-tin/blog/nop-thue-hai-quan" TargetMode="External"/><Relationship Id="rId461" Type="http://schemas.openxmlformats.org/officeDocument/2006/relationships/hyperlink" Target="https://techcombank.com/thong-tin/blog/nop-thue-dat-qua-ngan-hang" TargetMode="External"/><Relationship Id="rId460" Type="http://schemas.openxmlformats.org/officeDocument/2006/relationships/hyperlink" Target="https://techcombank.com/thong-tin/blog/nha-dau-tu-giao-dich-trai-phieu-truc-tuyen-tang-manh-tro-lai" TargetMode="External"/><Relationship Id="rId466" Type="http://schemas.openxmlformats.org/officeDocument/2006/relationships/hyperlink" Target="https://techcombank.com/thong-tin/blog/quan-ly-tai-chinh-cho-dan-van-phong" TargetMode="External"/><Relationship Id="rId465" Type="http://schemas.openxmlformats.org/officeDocument/2006/relationships/hyperlink" Target="https://techcombank.com/thong-tin/blog/quan-ly-chuoi-cua-hang" TargetMode="External"/><Relationship Id="rId464" Type="http://schemas.openxmlformats.org/officeDocument/2006/relationships/hyperlink" Target="https://techcombank.com/thong-tin/blog/phat-cham-dang-ky-thue-ho-kinh-doanh" TargetMode="External"/><Relationship Id="rId463" Type="http://schemas.openxmlformats.org/officeDocument/2006/relationships/hyperlink" Target="https://techcombank.com/thong-tin/blog/npv-la-gi" TargetMode="External"/><Relationship Id="rId459" Type="http://schemas.openxmlformats.org/officeDocument/2006/relationships/hyperlink" Target="https://techcombank.com/thong-tin/blog/ngan-hang-so" TargetMode="External"/><Relationship Id="rId458" Type="http://schemas.openxmlformats.org/officeDocument/2006/relationships/hyperlink" Target="https://techcombank.com/thong-tin/blog/nen-mua-xe-o-to-dien-hay-xe-xang" TargetMode="External"/><Relationship Id="rId457" Type="http://schemas.openxmlformats.org/officeDocument/2006/relationships/hyperlink" Target="https://techcombank.com/thong-tin/blog/nap-xu-tiktok" TargetMode="External"/><Relationship Id="rId456" Type="http://schemas.openxmlformats.org/officeDocument/2006/relationships/hyperlink" Target="https://techcombank.com/thong-tin/blog/mua-chung-chi-quy" TargetMode="External"/><Relationship Id="rId451" Type="http://schemas.openxmlformats.org/officeDocument/2006/relationships/hyperlink" Target="https://techcombank.com/thong-tin/blog/luu-y-khi-su-dung-the-tin-dung" TargetMode="External"/><Relationship Id="rId450" Type="http://schemas.openxmlformats.org/officeDocument/2006/relationships/hyperlink" Target="https://techcombank.com/thong-tin/blog/loi-nhuan-rong" TargetMode="External"/><Relationship Id="rId455" Type="http://schemas.openxmlformats.org/officeDocument/2006/relationships/hyperlink" Target="https://techcombank.com/thong-tin/blog/mo-the-tin-dung-co-loi-ich-gi" TargetMode="External"/><Relationship Id="rId454" Type="http://schemas.openxmlformats.org/officeDocument/2006/relationships/hyperlink" Target="https://techcombank.com/thong-tin/blog/mo-tai-khoan-ngan-hang-bang-so-dien-thoai" TargetMode="External"/><Relationship Id="rId453" Type="http://schemas.openxmlformats.org/officeDocument/2006/relationships/hyperlink" Target="https://techcombank.com/thong-tin/blog/may-tinh-tien" TargetMode="External"/><Relationship Id="rId452" Type="http://schemas.openxmlformats.org/officeDocument/2006/relationships/hyperlink" Target="https://techcombank.com/thong-tin/blog/mat-so-dien-thoai-dang-ky-tai-khoan-ngan-hang" TargetMode="External"/><Relationship Id="rId491" Type="http://schemas.openxmlformats.org/officeDocument/2006/relationships/hyperlink" Target="https://techcombank.com/thong-tin/blog/tien-thai-lan" TargetMode="External"/><Relationship Id="rId490" Type="http://schemas.openxmlformats.org/officeDocument/2006/relationships/hyperlink" Target="https://techcombank.com/thong-tin/blog/tien-malaysia" TargetMode="External"/><Relationship Id="rId489" Type="http://schemas.openxmlformats.org/officeDocument/2006/relationships/hyperlink" Target="https://techcombank.com/thong-tin/blog/tien-lao" TargetMode="External"/><Relationship Id="rId484" Type="http://schemas.openxmlformats.org/officeDocument/2006/relationships/hyperlink" Target="https://techcombank.com/thong-tin/blog/the-visa-co-rut-tien-duoc-khong" TargetMode="External"/><Relationship Id="rId483" Type="http://schemas.openxmlformats.org/officeDocument/2006/relationships/hyperlink" Target="https://techcombank.com/thong-tin/blog/the-tin-dung-techcombank-visa-eco" TargetMode="External"/><Relationship Id="rId482" Type="http://schemas.openxmlformats.org/officeDocument/2006/relationships/hyperlink" Target="https://techcombank.com/thong-tin/blog/the-tin-dung-phu-la-gi" TargetMode="External"/><Relationship Id="rId481" Type="http://schemas.openxmlformats.org/officeDocument/2006/relationships/hyperlink" Target="https://techcombank.com/thong-tin/blog/the-tin-dung-mien-lai-55-ngay" TargetMode="External"/><Relationship Id="rId488" Type="http://schemas.openxmlformats.org/officeDocument/2006/relationships/hyperlink" Target="https://techcombank.com/thong-tin/blog/tich-luy-tai-san" TargetMode="External"/><Relationship Id="rId487" Type="http://schemas.openxmlformats.org/officeDocument/2006/relationships/hyperlink" Target="https://techcombank.com/thong-tin/blog/thue-khoan-ho-kinh-doanh-la-gi" TargetMode="External"/><Relationship Id="rId486" Type="http://schemas.openxmlformats.org/officeDocument/2006/relationships/hyperlink" Target="https://techcombank.com/thong-tin/blog/thu-tuc-vay-von-doanh-nghiep" TargetMode="External"/><Relationship Id="rId485" Type="http://schemas.openxmlformats.org/officeDocument/2006/relationships/hyperlink" Target="https://techcombank.com/thong-tin/blog/thoi-gian-hoan-tien-the-tin-dung" TargetMode="External"/><Relationship Id="rId480" Type="http://schemas.openxmlformats.org/officeDocument/2006/relationships/hyperlink" Target="https://techcombank.com/thong-tin/blog/the-nao-la-tiet-kiem" TargetMode="External"/><Relationship Id="rId479" Type="http://schemas.openxmlformats.org/officeDocument/2006/relationships/hyperlink" Target="https://techcombank.com/thong-tin/blog/the-debit-cho-con" TargetMode="External"/><Relationship Id="rId478" Type="http://schemas.openxmlformats.org/officeDocument/2006/relationships/hyperlink" Target="https://techcombank.com/thong-tin/blog/thanh-toan-khi-du-lich-singapore" TargetMode="External"/><Relationship Id="rId473" Type="http://schemas.openxmlformats.org/officeDocument/2006/relationships/hyperlink" Target="https://techcombank.com/thong-tin/blog/sao-ke-tai-khoan-doanh-nghiep" TargetMode="External"/><Relationship Id="rId472" Type="http://schemas.openxmlformats.org/officeDocument/2006/relationships/hyperlink" Target="https://techcombank.com/thong-tin/blog/sao-ke-luong" TargetMode="External"/><Relationship Id="rId471" Type="http://schemas.openxmlformats.org/officeDocument/2006/relationships/hyperlink" Target="https://techcombank.com/thong-tin/blog/sai-lam-ve-tai-chinh-ca-nhan" TargetMode="External"/><Relationship Id="rId470" Type="http://schemas.openxmlformats.org/officeDocument/2006/relationships/hyperlink" Target="https://techcombank.com/thong-tin/blog/rut-tien-mat-tu-the-tin-dung" TargetMode="External"/><Relationship Id="rId477" Type="http://schemas.openxmlformats.org/officeDocument/2006/relationships/hyperlink" Target="https://techcombank.com/thong-tin/blog/thanh-toan-hoa-don-tieu-dung" TargetMode="External"/><Relationship Id="rId476" Type="http://schemas.openxmlformats.org/officeDocument/2006/relationships/hyperlink" Target="https://techcombank.com/thong-tin/blog/tai-khoan-tiet-kiem" TargetMode="External"/><Relationship Id="rId475" Type="http://schemas.openxmlformats.org/officeDocument/2006/relationships/hyperlink" Target="https://techcombank.com/thong-tin/blog/tai-khoan-ngan-hang-con-0-dong-co-sao-khong" TargetMode="External"/><Relationship Id="rId474" Type="http://schemas.openxmlformats.org/officeDocument/2006/relationships/hyperlink" Target="https://techcombank.com/thong-tin/blog/so-tai-khoan-dep" TargetMode="External"/><Relationship Id="rId426" Type="http://schemas.openxmlformats.org/officeDocument/2006/relationships/hyperlink" Target="https://techcombank.com/thong-tin/blog/cach-tiet-kiem-tien-theo-tuan" TargetMode="External"/><Relationship Id="rId425" Type="http://schemas.openxmlformats.org/officeDocument/2006/relationships/hyperlink" Target="https://techcombank.com/thong-tin/blog/cach-tiet-kiem-100-trieu-1-nam" TargetMode="External"/><Relationship Id="rId424" Type="http://schemas.openxmlformats.org/officeDocument/2006/relationships/hyperlink" Target="https://techcombank.com/thong-tin/blog/cach-quan-ly-tai-san" TargetMode="External"/><Relationship Id="rId423" Type="http://schemas.openxmlformats.org/officeDocument/2006/relationships/hyperlink" Target="https://techcombank.com/thong-tin/blog/cach-nhan-tien-tu-nuoc-ngoai-ve-viet-nam" TargetMode="External"/><Relationship Id="rId429" Type="http://schemas.openxmlformats.org/officeDocument/2006/relationships/hyperlink" Target="https://techcombank.com/thong-tin/blog/chung-chi-quy-va-chung-khoan" TargetMode="External"/><Relationship Id="rId428" Type="http://schemas.openxmlformats.org/officeDocument/2006/relationships/hyperlink" Target="https://techcombank.com/thong-tin/blog/cho-vay-tung-lan" TargetMode="External"/><Relationship Id="rId427" Type="http://schemas.openxmlformats.org/officeDocument/2006/relationships/hyperlink" Target="https://techcombank.com/thong-tin/blog/chinh-sach-tang-luong-huu" TargetMode="External"/><Relationship Id="rId422" Type="http://schemas.openxmlformats.org/officeDocument/2006/relationships/hyperlink" Target="https://techcombank.com/thong-tin/blog/cach-nap-tien-vao-the-ghi-no" TargetMode="External"/><Relationship Id="rId421" Type="http://schemas.openxmlformats.org/officeDocument/2006/relationships/hyperlink" Target="https://techcombank.com/thong-tin/blog/cach-khoa-the-ngan-hang" TargetMode="External"/><Relationship Id="rId420" Type="http://schemas.openxmlformats.org/officeDocument/2006/relationships/hyperlink" Target="https://techcombank.com/thong-tin/blog/cach-dong-tien-dien-qua-tai-khoan-ngan-hang" TargetMode="External"/><Relationship Id="rId415" Type="http://schemas.openxmlformats.org/officeDocument/2006/relationships/hyperlink" Target="https://techcombank.com/thong-tin/blog/app-gui-tien-tiet-kiem" TargetMode="External"/><Relationship Id="rId414" Type="http://schemas.openxmlformats.org/officeDocument/2006/relationships/hyperlink" Target="https://techcombank.com/thong-tin/blog/app-dong-tien-dien-online" TargetMode="External"/><Relationship Id="rId413" Type="http://schemas.openxmlformats.org/officeDocument/2006/relationships/hyperlink" Target="https://techcombank.com/thong-tin/blog/8868" TargetMode="External"/><Relationship Id="rId412" Type="http://schemas.openxmlformats.org/officeDocument/2006/relationships/hyperlink" Target="https://techcombank.com/thong-tin/blog/1-yen-bang-bao-nhieu-tien-viet-nam" TargetMode="External"/><Relationship Id="rId419" Type="http://schemas.openxmlformats.org/officeDocument/2006/relationships/hyperlink" Target="https://techcombank.com/thong-tin/blog/bi-nuot-the-atm-phai-lam-sao" TargetMode="External"/><Relationship Id="rId418" Type="http://schemas.openxmlformats.org/officeDocument/2006/relationships/hyperlink" Target="https://techcombank.com/thong-tin/blog/barcode-la-gi" TargetMode="External"/><Relationship Id="rId417" Type="http://schemas.openxmlformats.org/officeDocument/2006/relationships/hyperlink" Target="https://techcombank.com/thong-tin/blog/bao-lanh-vay-von" TargetMode="External"/><Relationship Id="rId416" Type="http://schemas.openxmlformats.org/officeDocument/2006/relationships/hyperlink" Target="https://techcombank.com/thong-tin/blog/app-tra-luong" TargetMode="External"/><Relationship Id="rId411" Type="http://schemas.openxmlformats.org/officeDocument/2006/relationships/hyperlink" Target="https://techcombank.com/thong-tin/blog/1-van-tien-dai-loan-bang-bao-nhieu-tien-viet" TargetMode="External"/><Relationship Id="rId410" Type="http://schemas.openxmlformats.org/officeDocument/2006/relationships/hyperlink" Target="https://techcombank.com/thong-tin/blog/1-trieu-won-bang-bao-nhieu-tien-viet" TargetMode="External"/><Relationship Id="rId448" Type="http://schemas.openxmlformats.org/officeDocument/2006/relationships/hyperlink" Target="https://techcombank.com/thong-tin/blog/lam-the-visa-o-dau" TargetMode="External"/><Relationship Id="rId447" Type="http://schemas.openxmlformats.org/officeDocument/2006/relationships/hyperlink" Target="https://techcombank.com/thong-tin/blog/lam-the-tin-dung-co-mat-phi-khong" TargetMode="External"/><Relationship Id="rId446" Type="http://schemas.openxmlformats.org/officeDocument/2006/relationships/hyperlink" Target="https://techcombank.com/thong-tin/blog/lam-the-tin-dung" TargetMode="External"/><Relationship Id="rId445" Type="http://schemas.openxmlformats.org/officeDocument/2006/relationships/hyperlink" Target="https://techcombank.com/thong-tin/blog/lam-the-atm-bao-lau-co" TargetMode="External"/><Relationship Id="rId449" Type="http://schemas.openxmlformats.org/officeDocument/2006/relationships/hyperlink" Target="https://techcombank.com/thong-tin/blog/lap-ke-hoach-chi-tieu-ca-nhan" TargetMode="External"/><Relationship Id="rId440" Type="http://schemas.openxmlformats.org/officeDocument/2006/relationships/hyperlink" Target="https://techcombank.com/thong-tin/blog/han-muc-the-tin-dung" TargetMode="External"/><Relationship Id="rId444" Type="http://schemas.openxmlformats.org/officeDocument/2006/relationships/hyperlink" Target="https://techcombank.com/thong-tin/blog/khai-bao-tai-khoan-ngan-hang-voi-co-quan-thue" TargetMode="External"/><Relationship Id="rId443" Type="http://schemas.openxmlformats.org/officeDocument/2006/relationships/hyperlink" Target="https://techcombank.com/thong-tin/blog/hoc-sinh-sinh-vien-nen-lam-the-ngan-hang-nao" TargetMode="External"/><Relationship Id="rId442" Type="http://schemas.openxmlformats.org/officeDocument/2006/relationships/hyperlink" Target="https://techcombank.com/thong-tin/blog/hoa-don-dien-tu-ho-kinh-doanh" TargetMode="External"/><Relationship Id="rId441" Type="http://schemas.openxmlformats.org/officeDocument/2006/relationships/hyperlink" Target="https://techcombank.com/thong-tin/blog/ho-so-vay-von-cua-doanh-nghiep-gom-nhung-gi" TargetMode="External"/><Relationship Id="rId437" Type="http://schemas.openxmlformats.org/officeDocument/2006/relationships/hyperlink" Target="https://techcombank.com/thong-tin/blog/dau-chan-carbon" TargetMode="External"/><Relationship Id="rId436" Type="http://schemas.openxmlformats.org/officeDocument/2006/relationships/hyperlink" Target="https://techcombank.com/thong-tin/blog/dao-han-the-tin-dung" TargetMode="External"/><Relationship Id="rId435" Type="http://schemas.openxmlformats.org/officeDocument/2006/relationships/hyperlink" Target="https://techcombank.com/thong-tin/blog/dang-ky-thue-ho-kinh-doanh-ca-the-online" TargetMode="External"/><Relationship Id="rId434" Type="http://schemas.openxmlformats.org/officeDocument/2006/relationships/hyperlink" Target="https://techcombank.com/thong-tin/blog/dang-ky-thanh-lap-doanh-nghiep" TargetMode="External"/><Relationship Id="rId439" Type="http://schemas.openxmlformats.org/officeDocument/2006/relationships/hyperlink" Target="https://techcombank.com/thong-tin/blog/gui-tiet-kiem-online-quay-vong-ca-goc-va-lai" TargetMode="External"/><Relationship Id="rId438" Type="http://schemas.openxmlformats.org/officeDocument/2006/relationships/hyperlink" Target="https://techcombank.com/thong-tin/blog/dau-tu-ngan-han" TargetMode="External"/><Relationship Id="rId433" Type="http://schemas.openxmlformats.org/officeDocument/2006/relationships/hyperlink" Target="https://techcombank.com/thong-tin/blog/chuyen-tien-tu-duc-ve-viet-nam" TargetMode="External"/><Relationship Id="rId432" Type="http://schemas.openxmlformats.org/officeDocument/2006/relationships/hyperlink" Target="https://techcombank.com/thong-tin/blog/chuyen-nhuong-chung-chi-tien-gui" TargetMode="External"/><Relationship Id="rId431" Type="http://schemas.openxmlformats.org/officeDocument/2006/relationships/hyperlink" Target="https://techcombank.com/thong-tin/blog/chung-chi-tien-gui-co-phai-la-trai-phieu-khong" TargetMode="External"/><Relationship Id="rId430" Type="http://schemas.openxmlformats.org/officeDocument/2006/relationships/hyperlink" Target="https://techcombank.com/thong-tin/blog/chung-chi-tien-gui-co-duoc-bao-hiem-khong" TargetMode="External"/><Relationship Id="rId1" Type="http://schemas.openxmlformats.org/officeDocument/2006/relationships/hyperlink" Target="https://techcombank.com/thong-tin/blog/nen-thanh-lap-ho-kinh-doanh-ke-khai-hay-doanh-nghiep" TargetMode="External"/><Relationship Id="rId2" Type="http://schemas.openxmlformats.org/officeDocument/2006/relationships/hyperlink" Target="https://techcombank.com/thong-tin/blog/chuyen-tien-dinh-cu" TargetMode="External"/><Relationship Id="rId3" Type="http://schemas.openxmlformats.org/officeDocument/2006/relationships/hyperlink" Target="https://techcombank.com/thong-tin/blog/gui-tien-du-hoc" TargetMode="External"/><Relationship Id="rId4" Type="http://schemas.openxmlformats.org/officeDocument/2006/relationships/hyperlink" Target="https://techcombank.com/thong-tin/blog/han-muc-mua-ngoai-te-khi-di-du-lich" TargetMode="External"/><Relationship Id="rId9" Type="http://schemas.openxmlformats.org/officeDocument/2006/relationships/hyperlink" Target="https://techcombank.com/thong-tin/blog/vay-tin-chap-va-vay-the-chap" TargetMode="External"/><Relationship Id="rId5" Type="http://schemas.openxmlformats.org/officeDocument/2006/relationships/hyperlink" Target="https://techcombank.com/thong-tin/blog/lai-suat-vay-the-chap-so-do" TargetMode="External"/><Relationship Id="rId6" Type="http://schemas.openxmlformats.org/officeDocument/2006/relationships/hyperlink" Target="https://techcombank.com/thong-tin/blog/nen-mua-xe-tra-gop-hay-tra-thang" TargetMode="External"/><Relationship Id="rId7" Type="http://schemas.openxmlformats.org/officeDocument/2006/relationships/hyperlink" Target="https://techcombank.com/thong-tin/blog/tim-hieu-ve-chinh-sach-thue-moi" TargetMode="External"/><Relationship Id="rId8" Type="http://schemas.openxmlformats.org/officeDocument/2006/relationships/hyperlink" Target="https://techcombank.com/thong-tin/blog/vay-the-chap-kinh-doanh" TargetMode="External"/><Relationship Id="rId745" Type="http://schemas.openxmlformats.org/officeDocument/2006/relationships/hyperlink" Target="https://techcombank.com/thong-tin/blog/voucher-kfc" TargetMode="External"/><Relationship Id="rId744" Type="http://schemas.openxmlformats.org/officeDocument/2006/relationships/hyperlink" Target="https://techcombank.com/thong-tin/blog/voucher-highland" TargetMode="External"/><Relationship Id="rId743" Type="http://schemas.openxmlformats.org/officeDocument/2006/relationships/hyperlink" Target="https://techcombank.com/thong-tin/blog/voucher-grab" TargetMode="External"/><Relationship Id="rId742" Type="http://schemas.openxmlformats.org/officeDocument/2006/relationships/hyperlink" Target="https://techcombank.com/thong-tin/blog/voucher-cgv" TargetMode="External"/><Relationship Id="rId749" Type="http://schemas.openxmlformats.org/officeDocument/2006/relationships/hyperlink" Target="https://techcombank.com/thong-tin/blog/xep-hang-tin-dung" TargetMode="External"/><Relationship Id="rId748" Type="http://schemas.openxmlformats.org/officeDocument/2006/relationships/hyperlink" Target="https://techcombank.com/thong-tin/blog/wacc-la-gi" TargetMode="External"/><Relationship Id="rId747" Type="http://schemas.openxmlformats.org/officeDocument/2006/relationships/hyperlink" Target="https://techcombank.com/thong-tin/blog/voucher-the-coffee-house" TargetMode="External"/><Relationship Id="rId746" Type="http://schemas.openxmlformats.org/officeDocument/2006/relationships/hyperlink" Target="https://techcombank.com/thong-tin/blog/voucher-starbucks" TargetMode="External"/><Relationship Id="rId741" Type="http://schemas.openxmlformats.org/officeDocument/2006/relationships/hyperlink" Target="https://techcombank.com/thong-tin/blog/viet-kieu-co-mo-duoc-tai-khoan-ngan-hang-khong" TargetMode="External"/><Relationship Id="rId740" Type="http://schemas.openxmlformats.org/officeDocument/2006/relationships/hyperlink" Target="https://techcombank.com/thong-tin/blog/vi-dien-tu-la-gi" TargetMode="External"/><Relationship Id="rId739" Type="http://schemas.openxmlformats.org/officeDocument/2006/relationships/hyperlink" Target="https://techcombank.com/thong-tin/blog/vang-my-ky" TargetMode="External"/><Relationship Id="rId734" Type="http://schemas.openxmlformats.org/officeDocument/2006/relationships/hyperlink" Target="https://techcombank.com/thong-tin/blog/ty-le-thanh-toan-khong-dung-tien-mat-trong-linh-vuc-y-te-con-han-che" TargetMode="External"/><Relationship Id="rId733" Type="http://schemas.openxmlformats.org/officeDocument/2006/relationships/hyperlink" Target="https://techcombank.com/thong-tin/blog/tous-les-jours" TargetMode="External"/><Relationship Id="rId732" Type="http://schemas.openxmlformats.org/officeDocument/2006/relationships/hyperlink" Target="https://techcombank.com/thong-tin/blog/tieu-dung-xanh" TargetMode="External"/><Relationship Id="rId731" Type="http://schemas.openxmlformats.org/officeDocument/2006/relationships/hyperlink" Target="https://techcombank.com/thong-tin/blog/tieu-dung-ben-vung" TargetMode="External"/><Relationship Id="rId738" Type="http://schemas.openxmlformats.org/officeDocument/2006/relationships/hyperlink" Target="https://techcombank.com/thong-tin/blog/vang-giam" TargetMode="External"/><Relationship Id="rId737" Type="http://schemas.openxmlformats.org/officeDocument/2006/relationships/hyperlink" Target="https://techcombank.com/thong-tin/blog/vang-24k" TargetMode="External"/><Relationship Id="rId736" Type="http://schemas.openxmlformats.org/officeDocument/2006/relationships/hyperlink" Target="https://techcombank.com/thong-tin/blog/uu-diem-cua-blockchain" TargetMode="External"/><Relationship Id="rId735" Type="http://schemas.openxmlformats.org/officeDocument/2006/relationships/hyperlink" Target="https://techcombank.com/thong-tin/blog/ung-dung-cong-nghe" TargetMode="External"/><Relationship Id="rId730" Type="http://schemas.openxmlformats.org/officeDocument/2006/relationships/hyperlink" Target="https://techcombank.com/thong-tin/blog/thoi-gian-khop-lech-chung-chi-quy" TargetMode="External"/><Relationship Id="rId755" Type="http://schemas.openxmlformats.org/officeDocument/2006/relationships/drawing" Target="../drawings/drawing4.xml"/><Relationship Id="rId754" Type="http://schemas.openxmlformats.org/officeDocument/2006/relationships/hyperlink" Target="https://techcombank.com/thong-tin/blog/yakimono" TargetMode="External"/><Relationship Id="rId753" Type="http://schemas.openxmlformats.org/officeDocument/2006/relationships/hyperlink" Target="https://techcombank.com/thong-tin/blog/y-concert" TargetMode="External"/><Relationship Id="rId752" Type="http://schemas.openxmlformats.org/officeDocument/2006/relationships/hyperlink" Target="https://techcombank.com/thong-tin/blog/xu-huong-tieu-dung" TargetMode="External"/><Relationship Id="rId751" Type="http://schemas.openxmlformats.org/officeDocument/2006/relationships/hyperlink" Target="https://techcombank.com/thong-tin/blog/xu-huong-thanh-toan-khong-dung-tien-mat-tai-viet-nam" TargetMode="External"/><Relationship Id="rId750" Type="http://schemas.openxmlformats.org/officeDocument/2006/relationships/hyperlink" Target="https://techcombank.com/thong-tin/blog/xu-huong-song-xanh" TargetMode="External"/><Relationship Id="rId709" Type="http://schemas.openxmlformats.org/officeDocument/2006/relationships/hyperlink" Target="https://techcombank.com/thong-tin/blog/so-du-tai-khoan-thanh-toan" TargetMode="External"/><Relationship Id="rId708" Type="http://schemas.openxmlformats.org/officeDocument/2006/relationships/hyperlink" Target="https://techcombank.com/thong-tin/blog/sms-banking" TargetMode="External"/><Relationship Id="rId707" Type="http://schemas.openxmlformats.org/officeDocument/2006/relationships/hyperlink" Target="https://techcombank.com/thong-tin/blog/smart-otp-la-gi" TargetMode="External"/><Relationship Id="rId706" Type="http://schemas.openxmlformats.org/officeDocument/2006/relationships/hyperlink" Target="https://techcombank.com/thong-tin/blog/sinh-loi-rinh-loc" TargetMode="External"/><Relationship Id="rId701" Type="http://schemas.openxmlformats.org/officeDocument/2006/relationships/hyperlink" Target="https://techcombank.com/thong-tin/blog/phuong-phap-dau-tu-chung-chi-quy" TargetMode="External"/><Relationship Id="rId700" Type="http://schemas.openxmlformats.org/officeDocument/2006/relationships/hyperlink" Target="https://techcombank.com/thong-tin/blog/phan-mem-quan-ly-tai-chinh-doanh-nghiep" TargetMode="External"/><Relationship Id="rId705" Type="http://schemas.openxmlformats.org/officeDocument/2006/relationships/hyperlink" Target="https://techcombank.com/thong-tin/blog/sang-ngang-the-tin-dung" TargetMode="External"/><Relationship Id="rId704" Type="http://schemas.openxmlformats.org/officeDocument/2006/relationships/hyperlink" Target="https://techcombank.com/thong-tin/blog/roa" TargetMode="External"/><Relationship Id="rId703" Type="http://schemas.openxmlformats.org/officeDocument/2006/relationships/hyperlink" Target="https://techcombank.com/thong-tin/blog/quan-ly-chi-phi-doanh-nghiep" TargetMode="External"/><Relationship Id="rId702" Type="http://schemas.openxmlformats.org/officeDocument/2006/relationships/hyperlink" Target="https://techcombank.com/thong-tin/blog/qr-code-phuong-thuc-thanh-toan-toi-uu-trong-ky-nguyen-so" TargetMode="External"/><Relationship Id="rId729" Type="http://schemas.openxmlformats.org/officeDocument/2006/relationships/hyperlink" Target="https://techcombank.com/thong-tin/blog/the-visa-khong-thanh-toan-duoc" TargetMode="External"/><Relationship Id="rId728" Type="http://schemas.openxmlformats.org/officeDocument/2006/relationships/hyperlink" Target="https://techcombank.com/thong-tin/blog/the-visa" TargetMode="External"/><Relationship Id="rId723" Type="http://schemas.openxmlformats.org/officeDocument/2006/relationships/hyperlink" Target="https://techcombank.com/thong-tin/blog/the-debit" TargetMode="External"/><Relationship Id="rId722" Type="http://schemas.openxmlformats.org/officeDocument/2006/relationships/hyperlink" Target="https://techcombank.com/thong-tin/blog/thanh-toan-tien-internet-online" TargetMode="External"/><Relationship Id="rId721" Type="http://schemas.openxmlformats.org/officeDocument/2006/relationships/hyperlink" Target="https://techcombank.com/thong-tin/blog/thanh-toan-phi-quan-ly-chung-cu" TargetMode="External"/><Relationship Id="rId720" Type="http://schemas.openxmlformats.org/officeDocument/2006/relationships/hyperlink" Target="https://techcombank.com/thong-tin/blog/thanh-toan-khong-tien-mat-trong-nganh-giao-duc-co-hoi-va-thach-thuc" TargetMode="External"/><Relationship Id="rId727" Type="http://schemas.openxmlformats.org/officeDocument/2006/relationships/hyperlink" Target="https://techcombank.com/thong-tin/blog/the-tin-dung-vip" TargetMode="External"/><Relationship Id="rId726" Type="http://schemas.openxmlformats.org/officeDocument/2006/relationships/hyperlink" Target="https://techcombank.com/thong-tin/blog/the-tin-dung-hoan-tien" TargetMode="External"/><Relationship Id="rId725" Type="http://schemas.openxmlformats.org/officeDocument/2006/relationships/hyperlink" Target="https://techcombank.com/thong-tin/blog/the-he-tre-day-manh-xu-huong-thanh-toan-khong-dung-tien-mat" TargetMode="External"/><Relationship Id="rId724" Type="http://schemas.openxmlformats.org/officeDocument/2006/relationships/hyperlink" Target="https://techcombank.com/thong-tin/blog/the-ghi-no-co-rut-tien-duoc-khong" TargetMode="External"/><Relationship Id="rId719" Type="http://schemas.openxmlformats.org/officeDocument/2006/relationships/hyperlink" Target="https://techcombank.com/thong-tin/blog/thanh-toan-khong-dung-tien-mat-tro-thanh-xu-huong-tang-truong-chong-mat" TargetMode="External"/><Relationship Id="rId718" Type="http://schemas.openxmlformats.org/officeDocument/2006/relationships/hyperlink" Target="https://techcombank.com/thong-tin/blog/thanh-toan-khi-du-lich-trung-quoc" TargetMode="External"/><Relationship Id="rId717" Type="http://schemas.openxmlformats.org/officeDocument/2006/relationships/hyperlink" Target="https://techcombank.com/thong-tin/blog/thanh-toan-khi-du-lich-thai-lan" TargetMode="External"/><Relationship Id="rId712" Type="http://schemas.openxmlformats.org/officeDocument/2006/relationships/hyperlink" Target="https://techcombank.com/thong-tin/blog/so-the-visa-hop-le" TargetMode="External"/><Relationship Id="rId711" Type="http://schemas.openxmlformats.org/officeDocument/2006/relationships/hyperlink" Target="https://techcombank.com/thong-tin/blog/so-the-tin-dung" TargetMode="External"/><Relationship Id="rId710" Type="http://schemas.openxmlformats.org/officeDocument/2006/relationships/hyperlink" Target="https://techcombank.com/thong-tin/blog/so-luong-the-tin-dung-noi-dia-dang-luu-hanh-da-tang-42-so-voi-cung-ky-nam-2022" TargetMode="External"/><Relationship Id="rId716" Type="http://schemas.openxmlformats.org/officeDocument/2006/relationships/hyperlink" Target="https://techcombank.com/thong-tin/blog/thanh-toan-khi-du-lich-hong-kong" TargetMode="External"/><Relationship Id="rId715" Type="http://schemas.openxmlformats.org/officeDocument/2006/relationships/hyperlink" Target="https://techcombank.com/thong-tin/blog/techcom-securities-nhung-buoc-tien-phong-tren-san-thu-cap" TargetMode="External"/><Relationship Id="rId714" Type="http://schemas.openxmlformats.org/officeDocument/2006/relationships/hyperlink" Target="https://techcombank.com/thong-tin/blog/tai-khoan-cong-ty-co-chuyen-online-duoc-khong" TargetMode="External"/><Relationship Id="rId713" Type="http://schemas.openxmlformats.org/officeDocument/2006/relationships/hyperlink" Target="https://techcombank.com/thong-tin/blog/su-hop-tac-cua-ngan-hang-va-fintech-tren-hanh-trinh-chuyen-doi-so" TargetMode="External"/><Relationship Id="rId629" Type="http://schemas.openxmlformats.org/officeDocument/2006/relationships/hyperlink" Target="https://techcombank.com/thong-tin/blog/bao-hiem-nhan-tho-la-gi" TargetMode="External"/><Relationship Id="rId624" Type="http://schemas.openxmlformats.org/officeDocument/2006/relationships/hyperlink" Target="https://techcombank.com/thong-tin/blog/app-theo-doi-chung-chi-quy" TargetMode="External"/><Relationship Id="rId623" Type="http://schemas.openxmlformats.org/officeDocument/2006/relationships/hyperlink" Target="https://techcombank.com/thong-tin/blog/app-quan-ly-chi-tieu" TargetMode="External"/><Relationship Id="rId622" Type="http://schemas.openxmlformats.org/officeDocument/2006/relationships/hyperlink" Target="https://techcombank.com/thong-tin/blog/app-ngan-hang-co-dung-duoc-o-nuoc-ngoai" TargetMode="External"/><Relationship Id="rId621" Type="http://schemas.openxmlformats.org/officeDocument/2006/relationships/hyperlink" Target="https://techcombank.com/thong-tin/blog/anh-sang-cuoi-duong-ham-xuat-hien-trai-phieu-doanh-nghiep-tot-va-an-toan-se-duoc-nha-dau-tu-chon" TargetMode="External"/><Relationship Id="rId628" Type="http://schemas.openxmlformats.org/officeDocument/2006/relationships/hyperlink" Target="https://techcombank.com/thong-tin/blog/bao-hiem-lien-ket-dau-tu" TargetMode="External"/><Relationship Id="rId627" Type="http://schemas.openxmlformats.org/officeDocument/2006/relationships/hyperlink" Target="https://techcombank.com/thong-tin/blog/bao-hiem-du-lich-quoc-te-nao-tot" TargetMode="External"/><Relationship Id="rId626" Type="http://schemas.openxmlformats.org/officeDocument/2006/relationships/hyperlink" Target="https://techcombank.com/thong-tin/blog/bang-gia-chung-chi-quy" TargetMode="External"/><Relationship Id="rId625" Type="http://schemas.openxmlformats.org/officeDocument/2006/relationships/hyperlink" Target="https://techcombank.com/thong-tin/blog/bang-can-doi-tai-chinh" TargetMode="External"/><Relationship Id="rId620" Type="http://schemas.openxmlformats.org/officeDocument/2006/relationships/hyperlink" Target="https://techcombank.com/thong-tin/blog/an-han-no-goc-la-gi" TargetMode="External"/><Relationship Id="rId619" Type="http://schemas.openxmlformats.org/officeDocument/2006/relationships/hyperlink" Target="https://techcombank.com/thong-tin/blog/4p-pizza" TargetMode="External"/><Relationship Id="rId618" Type="http://schemas.openxmlformats.org/officeDocument/2006/relationships/hyperlink" Target="https://techcombank.com/thong-tin/blog/y-nghia-so-68" TargetMode="External"/><Relationship Id="rId613" Type="http://schemas.openxmlformats.org/officeDocument/2006/relationships/hyperlink" Target="https://techcombank.com/thong-tin/blog/voucher-coopmart" TargetMode="External"/><Relationship Id="rId612" Type="http://schemas.openxmlformats.org/officeDocument/2006/relationships/hyperlink" Target="https://techcombank.com/thong-tin/blog/vip-ngan-hang" TargetMode="External"/><Relationship Id="rId611" Type="http://schemas.openxmlformats.org/officeDocument/2006/relationships/hyperlink" Target="https://techcombank.com/thong-tin/blog/vi-tra-sau" TargetMode="External"/><Relationship Id="rId610" Type="http://schemas.openxmlformats.org/officeDocument/2006/relationships/hyperlink" Target="https://techcombank.com/thong-tin/blog/vi-dien-tu" TargetMode="External"/><Relationship Id="rId617" Type="http://schemas.openxmlformats.org/officeDocument/2006/relationships/hyperlink" Target="https://techcombank.com/thong-tin/blog/xu-huong-dau-tu-trai-phieu-ky-han-duoi-mot-nam-lua-chon-an-toan-khi-thi-truong-bien-dong" TargetMode="External"/><Relationship Id="rId616" Type="http://schemas.openxmlformats.org/officeDocument/2006/relationships/hyperlink" Target="https://techcombank.com/thong-tin/blog/xac-thuc-sinh-trac-hoc-khi-chuyen-tien" TargetMode="External"/><Relationship Id="rId615" Type="http://schemas.openxmlformats.org/officeDocument/2006/relationships/hyperlink" Target="https://techcombank.com/thong-tin/blog/voucher-xanh-sm" TargetMode="External"/><Relationship Id="rId614" Type="http://schemas.openxmlformats.org/officeDocument/2006/relationships/hyperlink" Target="https://techcombank.com/thong-tin/blog/voucher-phuc-long" TargetMode="External"/><Relationship Id="rId646" Type="http://schemas.openxmlformats.org/officeDocument/2006/relationships/hyperlink" Target="https://techcombank.com/thong-tin/blog/cach-sao-ke-tai-khoan-ngan-hang" TargetMode="External"/><Relationship Id="rId645" Type="http://schemas.openxmlformats.org/officeDocument/2006/relationships/hyperlink" Target="https://techcombank.com/thong-tin/blog/cach-nap-the-viettel" TargetMode="External"/><Relationship Id="rId644" Type="http://schemas.openxmlformats.org/officeDocument/2006/relationships/hyperlink" Target="https://techcombank.com/thong-tin/blog/cach-lien-ket-epass-voi-tai-khoan-ngan-hang" TargetMode="External"/><Relationship Id="rId643" Type="http://schemas.openxmlformats.org/officeDocument/2006/relationships/hyperlink" Target="https://techcombank.com/thong-tin/blog/cach-doc-bao-cao-tai-chinh" TargetMode="External"/><Relationship Id="rId649" Type="http://schemas.openxmlformats.org/officeDocument/2006/relationships/hyperlink" Target="https://techcombank.com/thong-tin/blog/cach-tinh-ty-gia-ky-han" TargetMode="External"/><Relationship Id="rId648" Type="http://schemas.openxmlformats.org/officeDocument/2006/relationships/hyperlink" Target="https://techcombank.com/thong-tin/blog/cach-thanh-toan-quang-cao-tiktok" TargetMode="External"/><Relationship Id="rId647" Type="http://schemas.openxmlformats.org/officeDocument/2006/relationships/hyperlink" Target="https://techcombank.com/thong-tin/blog/cach-su-dung-the-ghi-no" TargetMode="External"/><Relationship Id="rId642" Type="http://schemas.openxmlformats.org/officeDocument/2006/relationships/hyperlink" Target="https://techcombank.com/thong-tin/blog/cach-dang-ky-the-visa" TargetMode="External"/><Relationship Id="rId641" Type="http://schemas.openxmlformats.org/officeDocument/2006/relationships/hyperlink" Target="https://techcombank.com/thong-tin/blog/cach-bao-ve-tai-khoan" TargetMode="External"/><Relationship Id="rId640" Type="http://schemas.openxmlformats.org/officeDocument/2006/relationships/hyperlink" Target="https://techcombank.com/thong-tin/blog/cac-loai-the-ngan-hang" TargetMode="External"/><Relationship Id="rId635" Type="http://schemas.openxmlformats.org/officeDocument/2006/relationships/hyperlink" Target="https://techcombank.com/thong-tin/blog/bao-nhieu-tuoi-duoc-mo-tai-khoan-ngan-hang" TargetMode="External"/><Relationship Id="rId634" Type="http://schemas.openxmlformats.org/officeDocument/2006/relationships/hyperlink" Target="https://techcombank.com/thong-tin/blog/bao-lanh-thuc-hien-hop-dong" TargetMode="External"/><Relationship Id="rId633" Type="http://schemas.openxmlformats.org/officeDocument/2006/relationships/hyperlink" Target="https://techcombank.com/thong-tin/blog/bao-lanh-ngan-hang-infographic" TargetMode="External"/><Relationship Id="rId632" Type="http://schemas.openxmlformats.org/officeDocument/2006/relationships/hyperlink" Target="https://techcombank.com/thong-tin/blog/bao-hiem-suc-khoe-la-gi" TargetMode="External"/><Relationship Id="rId639" Type="http://schemas.openxmlformats.org/officeDocument/2006/relationships/hyperlink" Target="https://techcombank.com/thong-tin/blog/cac-loai-hinh-doanh-nghiep" TargetMode="External"/><Relationship Id="rId638" Type="http://schemas.openxmlformats.org/officeDocument/2006/relationships/hyperlink" Target="https://techcombank.com/thong-tin/blog/cac-loai-hinh-bao-hiem-nhan-tho" TargetMode="External"/><Relationship Id="rId637" Type="http://schemas.openxmlformats.org/officeDocument/2006/relationships/hyperlink" Target="https://techcombank.com/thong-tin/blog/bib-techcombank" TargetMode="External"/><Relationship Id="rId636" Type="http://schemas.openxmlformats.org/officeDocument/2006/relationships/hyperlink" Target="https://techcombank.com/thong-tin/blog/bi-quyet-lua-chon-trai-phieu-an-toan-cho-nha-dau-tu" TargetMode="External"/><Relationship Id="rId631" Type="http://schemas.openxmlformats.org/officeDocument/2006/relationships/hyperlink" Target="https://techcombank.com/thong-tin/blog/bao-hiem-sinh-ky-la-gi" TargetMode="External"/><Relationship Id="rId630" Type="http://schemas.openxmlformats.org/officeDocument/2006/relationships/hyperlink" Target="https://techcombank.com/thong-tin/blog/bao-hiem-pin-xe-dien" TargetMode="External"/><Relationship Id="rId609" Type="http://schemas.openxmlformats.org/officeDocument/2006/relationships/hyperlink" Target="https://techcombank.com/thong-tin/blog/tra-cuu-hoa-don-nuoc" TargetMode="External"/><Relationship Id="rId608" Type="http://schemas.openxmlformats.org/officeDocument/2006/relationships/hyperlink" Target="https://techcombank.com/thong-tin/blog/toi-uu-hoa-chi-phi-trong-doanh-nghiep" TargetMode="External"/><Relationship Id="rId607" Type="http://schemas.openxmlformats.org/officeDocument/2006/relationships/hyperlink" Target="https://techcombank.com/thong-tin/blog/tin-dung-la-gi" TargetMode="External"/><Relationship Id="rId602" Type="http://schemas.openxmlformats.org/officeDocument/2006/relationships/hyperlink" Target="https://techcombank.com/thong-tin/blog/the-tin-dung-co-ma-pin-khong" TargetMode="External"/><Relationship Id="rId601" Type="http://schemas.openxmlformats.org/officeDocument/2006/relationships/hyperlink" Target="https://techcombank.com/thong-tin/blog/the-tin-dung-ao" TargetMode="External"/><Relationship Id="rId600" Type="http://schemas.openxmlformats.org/officeDocument/2006/relationships/hyperlink" Target="https://techcombank.com/thong-tin/blog/the-napas-la-gi" TargetMode="External"/><Relationship Id="rId606" Type="http://schemas.openxmlformats.org/officeDocument/2006/relationships/hyperlink" Target="https://techcombank.com/thong-tin/blog/tich-diem-doi-qua" TargetMode="External"/><Relationship Id="rId605" Type="http://schemas.openxmlformats.org/officeDocument/2006/relationships/hyperlink" Target="https://techcombank.com/thong-tin/blog/thuc-day-thi-truong-the-noi-dia-va-xu-huong-thanh-toan-tuong-lai" TargetMode="External"/><Relationship Id="rId604" Type="http://schemas.openxmlformats.org/officeDocument/2006/relationships/hyperlink" Target="https://techcombank.com/thong-tin/blog/the-visa-co-may-loai" TargetMode="External"/><Relationship Id="rId603" Type="http://schemas.openxmlformats.org/officeDocument/2006/relationships/hyperlink" Target="https://techcombank.com/thong-tin/blog/the-visa-ao-la-gi" TargetMode="External"/><Relationship Id="rId699" Type="http://schemas.openxmlformats.org/officeDocument/2006/relationships/hyperlink" Target="https://techcombank.com/thong-tin/blog/nhuong-quyen-la-gi" TargetMode="External"/><Relationship Id="rId698" Type="http://schemas.openxmlformats.org/officeDocument/2006/relationships/hyperlink" Target="https://techcombank.com/thong-tin/blog/nhan-tien-western-union" TargetMode="External"/><Relationship Id="rId693" Type="http://schemas.openxmlformats.org/officeDocument/2006/relationships/hyperlink" Target="https://techcombank.com/thong-tin/blog/mua-bao-hiem-o-to-dien" TargetMode="External"/><Relationship Id="rId692" Type="http://schemas.openxmlformats.org/officeDocument/2006/relationships/hyperlink" Target="https://techcombank.com/thong-tin/blog/mua-bao-hiem-o-to" TargetMode="External"/><Relationship Id="rId691" Type="http://schemas.openxmlformats.org/officeDocument/2006/relationships/hyperlink" Target="https://techcombank.com/thong-tin/blog/mo-them-tai-khoan-ngan-hang-cho-cong-ty" TargetMode="External"/><Relationship Id="rId690" Type="http://schemas.openxmlformats.org/officeDocument/2006/relationships/hyperlink" Target="https://techcombank.com/thong-tin/blog/mo-tai-khoan-ngan-hang-trung-so-dien-thoai" TargetMode="External"/><Relationship Id="rId697" Type="http://schemas.openxmlformats.org/officeDocument/2006/relationships/hyperlink" Target="https://techcombank.com/thong-tin/blog/nguyen-tac-quan-ly-tai-chinh-ca-nhan" TargetMode="External"/><Relationship Id="rId696" Type="http://schemas.openxmlformats.org/officeDocument/2006/relationships/hyperlink" Target="https://techcombank.com/thong-tin/blog/nguoi-duoc-bao-hiem-la-gi" TargetMode="External"/><Relationship Id="rId695" Type="http://schemas.openxmlformats.org/officeDocument/2006/relationships/hyperlink" Target="https://techcombank.com/thong-tin/blog/ngan-hang-xanh" TargetMode="External"/><Relationship Id="rId694" Type="http://schemas.openxmlformats.org/officeDocument/2006/relationships/hyperlink" Target="https://techcombank.com/thong-tin/blog/mua-ve-may-bay-gia-re" TargetMode="External"/><Relationship Id="rId668" Type="http://schemas.openxmlformats.org/officeDocument/2006/relationships/hyperlink" Target="https://techcombank.com/thong-tin/blog/gia-dien-sinh-hoat" TargetMode="External"/><Relationship Id="rId667" Type="http://schemas.openxmlformats.org/officeDocument/2006/relationships/hyperlink" Target="https://techcombank.com/thong-tin/blog/gia-cao-su" TargetMode="External"/><Relationship Id="rId666" Type="http://schemas.openxmlformats.org/officeDocument/2006/relationships/hyperlink" Target="https://techcombank.com/thong-tin/blog/ekyc-la-gi" TargetMode="External"/><Relationship Id="rId665" Type="http://schemas.openxmlformats.org/officeDocument/2006/relationships/hyperlink" Target="https://techcombank.com/thong-tin/blog/ebitda-la-gi" TargetMode="External"/><Relationship Id="rId669" Type="http://schemas.openxmlformats.org/officeDocument/2006/relationships/hyperlink" Target="https://techcombank.com/thong-tin/blog/gia-tri-thuong-hieu" TargetMode="External"/><Relationship Id="rId660" Type="http://schemas.openxmlformats.org/officeDocument/2006/relationships/hyperlink" Target="https://techcombank.com/thong-tin/blog/dao-tao-the-he-ke-can" TargetMode="External"/><Relationship Id="rId664" Type="http://schemas.openxmlformats.org/officeDocument/2006/relationships/hyperlink" Target="https://techcombank.com/thong-tin/blog/doi-dam-bay" TargetMode="External"/><Relationship Id="rId663" Type="http://schemas.openxmlformats.org/officeDocument/2006/relationships/hyperlink" Target="https://techcombank.com/thong-tin/blog/dinar-kuwait" TargetMode="External"/><Relationship Id="rId662" Type="http://schemas.openxmlformats.org/officeDocument/2006/relationships/hyperlink" Target="https://techcombank.com/thong-tin/blog/day-so-phat-tai-phat-loc" TargetMode="External"/><Relationship Id="rId661" Type="http://schemas.openxmlformats.org/officeDocument/2006/relationships/hyperlink" Target="https://techcombank.com/thong-tin/blog/dat-ve-may-bay" TargetMode="External"/><Relationship Id="rId657" Type="http://schemas.openxmlformats.org/officeDocument/2006/relationships/hyperlink" Target="https://techcombank.com/thong-tin/blog/cong-ty-xuat-nhap-khau" TargetMode="External"/><Relationship Id="rId656" Type="http://schemas.openxmlformats.org/officeDocument/2006/relationships/hyperlink" Target="https://techcombank.com/thong-tin/blog/chuyen-nham-tien-co-lay-lai-duoc-khong" TargetMode="External"/><Relationship Id="rId655" Type="http://schemas.openxmlformats.org/officeDocument/2006/relationships/hyperlink" Target="https://techcombank.com/thong-tin/blog/chung-chi-quy-mo-va-dong" TargetMode="External"/><Relationship Id="rId654" Type="http://schemas.openxmlformats.org/officeDocument/2006/relationships/hyperlink" Target="https://techcombank.com/thong-tin/blog/chung-chi-quy-dong" TargetMode="External"/><Relationship Id="rId659" Type="http://schemas.openxmlformats.org/officeDocument/2006/relationships/hyperlink" Target="https://techcombank.com/thong-tin/blog/dang-ky-thanh-lap-doanh-nghiep-online" TargetMode="External"/><Relationship Id="rId658" Type="http://schemas.openxmlformats.org/officeDocument/2006/relationships/hyperlink" Target="https://techcombank.com/thong-tin/blog/dang-ky-nhieu-tai-khoan-ngan-hang-co-sao-khong" TargetMode="External"/><Relationship Id="rId653" Type="http://schemas.openxmlformats.org/officeDocument/2006/relationships/hyperlink" Target="https://techcombank.com/thong-tin/blog/chung-chi-quy" TargetMode="External"/><Relationship Id="rId652" Type="http://schemas.openxmlformats.org/officeDocument/2006/relationships/hyperlink" Target="https://techcombank.com/thong-tin/blog/chien-luoc-dau-tu" TargetMode="External"/><Relationship Id="rId651" Type="http://schemas.openxmlformats.org/officeDocument/2006/relationships/hyperlink" Target="https://techcombank.com/thong-tin/blog/casa-la-gi" TargetMode="External"/><Relationship Id="rId650" Type="http://schemas.openxmlformats.org/officeDocument/2006/relationships/hyperlink" Target="https://techcombank.com/thong-tin/blog/cam-ket-tin-dung" TargetMode="External"/><Relationship Id="rId689" Type="http://schemas.openxmlformats.org/officeDocument/2006/relationships/hyperlink" Target="https://techcombank.com/thong-tin/blog/ma-otp-la-gi" TargetMode="External"/><Relationship Id="rId688" Type="http://schemas.openxmlformats.org/officeDocument/2006/relationships/hyperlink" Target="https://techcombank.com/thong-tin/blog/ma-giam-xanh-sm" TargetMode="External"/><Relationship Id="rId687" Type="http://schemas.openxmlformats.org/officeDocument/2006/relationships/hyperlink" Target="https://techcombank.com/thong-tin/blog/ma-giam-gia-shopee" TargetMode="External"/><Relationship Id="rId682" Type="http://schemas.openxmlformats.org/officeDocument/2006/relationships/hyperlink" Target="https://techcombank.com/thong-tin/blog/kieu-hoi-la-gi" TargetMode="External"/><Relationship Id="rId681" Type="http://schemas.openxmlformats.org/officeDocument/2006/relationships/hyperlink" Target="https://techcombank.com/thong-tin/blog/kichi-kichi" TargetMode="External"/><Relationship Id="rId680" Type="http://schemas.openxmlformats.org/officeDocument/2006/relationships/hyperlink" Target="https://techcombank.com/thong-tin/blog/kich-hoat-the-tin-dung-techcombank" TargetMode="External"/><Relationship Id="rId686" Type="http://schemas.openxmlformats.org/officeDocument/2006/relationships/hyperlink" Target="https://techcombank.com/thong-tin/blog/ly-do-ngan-hang-so-tro-thanh-cong-cu-tai-chinh-hang-dau-cua-gioi-tre" TargetMode="External"/><Relationship Id="rId685" Type="http://schemas.openxmlformats.org/officeDocument/2006/relationships/hyperlink" Target="https://techcombank.com/thong-tin/blog/li-xi-tet" TargetMode="External"/><Relationship Id="rId684" Type="http://schemas.openxmlformats.org/officeDocument/2006/relationships/hyperlink" Target="https://techcombank.com/thong-tin/blog/lam-phat-la-gi" TargetMode="External"/><Relationship Id="rId683" Type="http://schemas.openxmlformats.org/officeDocument/2006/relationships/hyperlink" Target="https://techcombank.com/thong-tin/blog/kinh-doanh-online" TargetMode="External"/><Relationship Id="rId679" Type="http://schemas.openxmlformats.org/officeDocument/2006/relationships/hyperlink" Target="https://techcombank.com/thong-tin/blog/khau-hao-la-gi" TargetMode="External"/><Relationship Id="rId678" Type="http://schemas.openxmlformats.org/officeDocument/2006/relationships/hyperlink" Target="https://techcombank.com/thong-tin/blog/khau-hao" TargetMode="External"/><Relationship Id="rId677" Type="http://schemas.openxmlformats.org/officeDocument/2006/relationships/hyperlink" Target="https://techcombank.com/thong-tin/blog/khach-hang-vip-bat-dong-san" TargetMode="External"/><Relationship Id="rId676" Type="http://schemas.openxmlformats.org/officeDocument/2006/relationships/hyperlink" Target="https://techcombank.com/thong-tin/blog/internet-banking" TargetMode="External"/><Relationship Id="rId671" Type="http://schemas.openxmlformats.org/officeDocument/2006/relationships/hyperlink" Target="https://techcombank.com/thong-tin/blog/giam-gia-be" TargetMode="External"/><Relationship Id="rId670" Type="http://schemas.openxmlformats.org/officeDocument/2006/relationships/hyperlink" Target="https://techcombank.com/thong-tin/blog/giai-phap-quan-ly-chuoi-cua-hang" TargetMode="External"/><Relationship Id="rId675" Type="http://schemas.openxmlformats.org/officeDocument/2006/relationships/hyperlink" Target="https://techcombank.com/thong-tin/blog/high-net-worth-client-va-ultra-high-net-worth-client" TargetMode="External"/><Relationship Id="rId674" Type="http://schemas.openxmlformats.org/officeDocument/2006/relationships/hyperlink" Target="https://techcombank.com/thong-tin/blog/gio-lam-viec-techcombank" TargetMode="External"/><Relationship Id="rId673" Type="http://schemas.openxmlformats.org/officeDocument/2006/relationships/hyperlink" Target="https://techcombank.com/thong-tin/blog/gio-lam-viec-ngan-hang" TargetMode="External"/><Relationship Id="rId672" Type="http://schemas.openxmlformats.org/officeDocument/2006/relationships/hyperlink" Target="https://techcombank.com/thong-tin/blog/giao-thong-xanh" TargetMode="External"/><Relationship Id="rId190" Type="http://schemas.openxmlformats.org/officeDocument/2006/relationships/hyperlink" Target="https://techcombank.com/thong-tin/blog/vay-tin-chap-toi-da-duoc-bao-nhieu" TargetMode="External"/><Relationship Id="rId194" Type="http://schemas.openxmlformats.org/officeDocument/2006/relationships/hyperlink" Target="https://techcombank.com/thong-tin/blog/cach-tiet-kiem-tien-sinh-loi" TargetMode="External"/><Relationship Id="rId193" Type="http://schemas.openxmlformats.org/officeDocument/2006/relationships/hyperlink" Target="https://techcombank.com/thong-tin/blog/cach-su-dung-the-visa-techcombank" TargetMode="External"/><Relationship Id="rId192" Type="http://schemas.openxmlformats.org/officeDocument/2006/relationships/hyperlink" Target="https://techcombank.com/thong-tin/blog/cach-su-dung-tai-khoan-cong-ty" TargetMode="External"/><Relationship Id="rId191" Type="http://schemas.openxmlformats.org/officeDocument/2006/relationships/hyperlink" Target="https://techcombank.com/thong-tin/blog/cac-loai-the-tin-dung" TargetMode="External"/><Relationship Id="rId187" Type="http://schemas.openxmlformats.org/officeDocument/2006/relationships/hyperlink" Target="https://techcombank.com/thong-tin/blog/vay-50-trieu" TargetMode="External"/><Relationship Id="rId186" Type="http://schemas.openxmlformats.org/officeDocument/2006/relationships/hyperlink" Target="https://techcombank.com/thong-tin/blog/uu-dai-mua-ve-may-bay-bang-the-tin-dung" TargetMode="External"/><Relationship Id="rId185" Type="http://schemas.openxmlformats.org/officeDocument/2006/relationships/hyperlink" Target="https://techcombank.com/thong-tin/blog/tra-no-vay-thau-chi-nhu-the-nao" TargetMode="External"/><Relationship Id="rId184" Type="http://schemas.openxmlformats.org/officeDocument/2006/relationships/hyperlink" Target="https://techcombank.com/thong-tin/blog/tra-gop-hoc-phi" TargetMode="External"/><Relationship Id="rId189" Type="http://schemas.openxmlformats.org/officeDocument/2006/relationships/hyperlink" Target="https://techcombank.com/thong-tin/blog/vay-the-chap-so-bao-hiem-xa-hoi" TargetMode="External"/><Relationship Id="rId188" Type="http://schemas.openxmlformats.org/officeDocument/2006/relationships/hyperlink" Target="https://techcombank.com/thong-tin/blog/vay-ngan-hang-chi-can-cccd" TargetMode="External"/><Relationship Id="rId183" Type="http://schemas.openxmlformats.org/officeDocument/2006/relationships/hyperlink" Target="https://techcombank.com/thong-tin/blog/tra-cuu-no-thue-ho-kinh-doanh" TargetMode="External"/><Relationship Id="rId182" Type="http://schemas.openxmlformats.org/officeDocument/2006/relationships/hyperlink" Target="https://techcombank.com/thong-tin/blog/tra-cuu-no-thue-hai-quan" TargetMode="External"/><Relationship Id="rId181" Type="http://schemas.openxmlformats.org/officeDocument/2006/relationships/hyperlink" Target="https://techcombank.com/thong-tin/blog/tra-cuu-no-thue-ca-nhan" TargetMode="External"/><Relationship Id="rId180" Type="http://schemas.openxmlformats.org/officeDocument/2006/relationships/hyperlink" Target="https://techcombank.com/thong-tin/blog/tra-cuu-ma-so-thue-ho-kinh-doanh" TargetMode="External"/><Relationship Id="rId176" Type="http://schemas.openxmlformats.org/officeDocument/2006/relationships/hyperlink" Target="https://techcombank.com/thong-tin/blog/the-tin-dung-bi-khoa" TargetMode="External"/><Relationship Id="rId175" Type="http://schemas.openxmlformats.org/officeDocument/2006/relationships/hyperlink" Target="https://techcombank.com/thong-tin/blog/thanh-toan-khoan-vay" TargetMode="External"/><Relationship Id="rId174" Type="http://schemas.openxmlformats.org/officeDocument/2006/relationships/hyperlink" Target="https://techcombank.com/thong-tin/blog/tai-sao-gui-tiet-kiem-online-lai-suat-cao-hon" TargetMode="External"/><Relationship Id="rId173" Type="http://schemas.openxmlformats.org/officeDocument/2006/relationships/hyperlink" Target="https://techcombank.com/thong-tin/blog/sao-ke-the-tin-dung-la-gi" TargetMode="External"/><Relationship Id="rId179" Type="http://schemas.openxmlformats.org/officeDocument/2006/relationships/hyperlink" Target="https://techcombank.com/thong-tin/blog/thue-thu-nhap-doanh-nghiep" TargetMode="External"/><Relationship Id="rId178" Type="http://schemas.openxmlformats.org/officeDocument/2006/relationships/hyperlink" Target="https://techcombank.com/thong-tin/blog/thue-phi-co-dinh-khi-chuyen-doi-tu-ho-kinh-doanh-len-doanh-nghiep" TargetMode="External"/><Relationship Id="rId177" Type="http://schemas.openxmlformats.org/officeDocument/2006/relationships/hyperlink" Target="https://techcombank.com/thong-tin/blog/the-visa-co-can-mat-khau-khong" TargetMode="External"/><Relationship Id="rId198" Type="http://schemas.openxmlformats.org/officeDocument/2006/relationships/hyperlink" Target="https://techcombank.com/thong-tin/blog/cong-thuc-tinh-lai-suat-thuc" TargetMode="External"/><Relationship Id="rId197" Type="http://schemas.openxmlformats.org/officeDocument/2006/relationships/hyperlink" Target="https://techcombank.com/thong-tin/blog/chuyen-doi-hoa-don-dien-tu" TargetMode="External"/><Relationship Id="rId196" Type="http://schemas.openxmlformats.org/officeDocument/2006/relationships/hyperlink" Target="https://techcombank.com/thong-tin/blog/chon-kenh-dau-tu-an-toan-trong-boi-canh-thi-truong-bien-dong" TargetMode="External"/><Relationship Id="rId195" Type="http://schemas.openxmlformats.org/officeDocument/2006/relationships/hyperlink" Target="https://techcombank.com/thong-tin/blog/chinh-sach-thue-moi" TargetMode="External"/><Relationship Id="rId199" Type="http://schemas.openxmlformats.org/officeDocument/2006/relationships/hyperlink" Target="https://techcombank.com/thong-tin/blog/dang-ky-ma-so-thue-ca-nhan" TargetMode="External"/><Relationship Id="rId150" Type="http://schemas.openxmlformats.org/officeDocument/2006/relationships/hyperlink" Target="https://techcombank.com/thong-tin/blog/co-nen-mua-o-to-tra-gop" TargetMode="External"/><Relationship Id="rId149" Type="http://schemas.openxmlformats.org/officeDocument/2006/relationships/hyperlink" Target="https://techcombank.com/thong-tin/blog/co-nen-gui-tiet-kiem-online" TargetMode="External"/><Relationship Id="rId148" Type="http://schemas.openxmlformats.org/officeDocument/2006/relationships/hyperlink" Target="https://techcombank.com/thong-tin/blog/co-nen-dung-the-tin-dung-khong" TargetMode="External"/><Relationship Id="rId143" Type="http://schemas.openxmlformats.org/officeDocument/2006/relationships/hyperlink" Target="https://techcombank.com/thong-tin/blog/cach-lam-the-ngan-hang-chay-quang-cao-facebook" TargetMode="External"/><Relationship Id="rId142" Type="http://schemas.openxmlformats.org/officeDocument/2006/relationships/hyperlink" Target="https://techcombank.com/thong-tin/blog/cach-kiem-tra-tai-khoan-ngan-hang-cua-cong-ty" TargetMode="External"/><Relationship Id="rId141" Type="http://schemas.openxmlformats.org/officeDocument/2006/relationships/hyperlink" Target="https://techcombank.com/thong-tin/blog/cach-gui-tiet-kiem-online" TargetMode="External"/><Relationship Id="rId140" Type="http://schemas.openxmlformats.org/officeDocument/2006/relationships/hyperlink" Target="https://techcombank.com/thong-tin/blog/cach-dang-ky-ma-so-thue-ho-kinh-doanh-online" TargetMode="External"/><Relationship Id="rId147" Type="http://schemas.openxmlformats.org/officeDocument/2006/relationships/hyperlink" Target="https://techcombank.com/thong-tin/blog/co-100-trieu-co-mua-nen-mua-tra-gop" TargetMode="External"/><Relationship Id="rId146" Type="http://schemas.openxmlformats.org/officeDocument/2006/relationships/hyperlink" Target="https://techcombank.com/thong-tin/blog/chung-chi-tien-gui-khac-gi-so-tiet-kiem" TargetMode="External"/><Relationship Id="rId145" Type="http://schemas.openxmlformats.org/officeDocument/2006/relationships/hyperlink" Target="https://techcombank.com/thong-tin/blog/cach-tinh-thue-ho-kinh-doanh-nho-le" TargetMode="External"/><Relationship Id="rId144" Type="http://schemas.openxmlformats.org/officeDocument/2006/relationships/hyperlink" Target="https://techcombank.com/thong-tin/blog/cach-tao-ma-qr" TargetMode="External"/><Relationship Id="rId139" Type="http://schemas.openxmlformats.org/officeDocument/2006/relationships/hyperlink" Target="https://techcombank.com/thong-tin/blog/cach-chuyen-tien-qua-ma-qr-techcombank" TargetMode="External"/><Relationship Id="rId138" Type="http://schemas.openxmlformats.org/officeDocument/2006/relationships/hyperlink" Target="https://techcombank.com/thong-tin/blog/cac-hinh-thuc-cho-vay-tieu-dung" TargetMode="External"/><Relationship Id="rId137" Type="http://schemas.openxmlformats.org/officeDocument/2006/relationships/hyperlink" Target="https://techcombank.com/thong-tin/blog/app-vay-tien-nhanh" TargetMode="External"/><Relationship Id="rId132" Type="http://schemas.openxmlformats.org/officeDocument/2006/relationships/hyperlink" Target="https://techcombank.com/thong-tin/blog/vay-tien-mat" TargetMode="External"/><Relationship Id="rId131" Type="http://schemas.openxmlformats.org/officeDocument/2006/relationships/hyperlink" Target="https://techcombank.com/thong-tin/blog/vay-mua-nha-tra-gop" TargetMode="External"/><Relationship Id="rId130" Type="http://schemas.openxmlformats.org/officeDocument/2006/relationships/hyperlink" Target="https://techcombank.com/thong-tin/blog/vay-mua-dien-thoai" TargetMode="External"/><Relationship Id="rId136" Type="http://schemas.openxmlformats.org/officeDocument/2006/relationships/hyperlink" Target="https://techcombank.com/thong-tin/blog/1-cmnd-dang-ky-duoc-may-tai-khoan-ngan-hang" TargetMode="External"/><Relationship Id="rId135" Type="http://schemas.openxmlformats.org/officeDocument/2006/relationships/hyperlink" Target="https://techcombank.com/thong-tin/blog/vay-tra-gop" TargetMode="External"/><Relationship Id="rId134" Type="http://schemas.openxmlformats.org/officeDocument/2006/relationships/hyperlink" Target="https://techcombank.com/thong-tin/blog/vay-tin-chap-la-gi" TargetMode="External"/><Relationship Id="rId133" Type="http://schemas.openxmlformats.org/officeDocument/2006/relationships/hyperlink" Target="https://techcombank.com/thong-tin/blog/vay-tin-chap-ho-kinh-doanh" TargetMode="External"/><Relationship Id="rId172" Type="http://schemas.openxmlformats.org/officeDocument/2006/relationships/hyperlink" Target="https://techcombank.com/thong-tin/blog/one-stop-shop" TargetMode="External"/><Relationship Id="rId171" Type="http://schemas.openxmlformats.org/officeDocument/2006/relationships/hyperlink" Target="https://techcombank.com/thong-tin/blog/no-xau-la-gi" TargetMode="External"/><Relationship Id="rId170" Type="http://schemas.openxmlformats.org/officeDocument/2006/relationships/hyperlink" Target="https://techcombank.com/thong-tin/blog/no-xau-co-lam-the-visa-duoc-khong" TargetMode="External"/><Relationship Id="rId165" Type="http://schemas.openxmlformats.org/officeDocument/2006/relationships/hyperlink" Target="https://techcombank.com/thong-tin/blog/nen-vay-the-chap-ngan-hang-nao" TargetMode="External"/><Relationship Id="rId164" Type="http://schemas.openxmlformats.org/officeDocument/2006/relationships/hyperlink" Target="https://techcombank.com/thong-tin/blog/mo-tai-khoan-tiet-kiem-cho-con" TargetMode="External"/><Relationship Id="rId163" Type="http://schemas.openxmlformats.org/officeDocument/2006/relationships/hyperlink" Target="https://techcombank.com/thong-tin/blog/mat-the-tin-dung-co-bi-mat-tien-khong" TargetMode="External"/><Relationship Id="rId162" Type="http://schemas.openxmlformats.org/officeDocument/2006/relationships/hyperlink" Target="https://techcombank.com/thong-tin/blog/ma-buu-chinh-the-tin-dung" TargetMode="External"/><Relationship Id="rId169" Type="http://schemas.openxmlformats.org/officeDocument/2006/relationships/hyperlink" Target="https://techcombank.com/thong-tin/blog/no-the-tin-dung-qua-han" TargetMode="External"/><Relationship Id="rId168" Type="http://schemas.openxmlformats.org/officeDocument/2006/relationships/hyperlink" Target="https://techcombank.com/thong-tin/blog/no-chu-y-la-gi" TargetMode="External"/><Relationship Id="rId167" Type="http://schemas.openxmlformats.org/officeDocument/2006/relationships/hyperlink" Target="https://techcombank.com/thong-tin/blog/nhung-chi-phi-khong-duoc-tru-khi-tinh-thue-tndn" TargetMode="External"/><Relationship Id="rId166" Type="http://schemas.openxmlformats.org/officeDocument/2006/relationships/hyperlink" Target="https://techcombank.com/thong-tin/blog/ngan-hang-thu-huong-la-gi" TargetMode="External"/><Relationship Id="rId161" Type="http://schemas.openxmlformats.org/officeDocument/2006/relationships/hyperlink" Target="https://techcombank.com/thong-tin/blog/lien-ket-tai-khoan-ngan-hang-voi-etax-mobile" TargetMode="External"/><Relationship Id="rId160" Type="http://schemas.openxmlformats.org/officeDocument/2006/relationships/hyperlink" Target="https://techcombank.com/thong-tin/blog/lai-suat-tha-noi" TargetMode="External"/><Relationship Id="rId159" Type="http://schemas.openxmlformats.org/officeDocument/2006/relationships/hyperlink" Target="https://techcombank.com/thong-tin/blog/lai-suat-qua-han" TargetMode="External"/><Relationship Id="rId154" Type="http://schemas.openxmlformats.org/officeDocument/2006/relationships/hyperlink" Target="https://techcombank.com/thong-tin/blog/hoan-thue-thu-nhap-ca-nhan" TargetMode="External"/><Relationship Id="rId153" Type="http://schemas.openxmlformats.org/officeDocument/2006/relationships/hyperlink" Target="https://techcombank.com/thong-tin/blog/ho-kinh-doanh-ca-the" TargetMode="External"/><Relationship Id="rId152" Type="http://schemas.openxmlformats.org/officeDocument/2006/relationships/hyperlink" Target="https://techcombank.com/thong-tin/blog/gui-tiet-kiem-vang" TargetMode="External"/><Relationship Id="rId151" Type="http://schemas.openxmlformats.org/officeDocument/2006/relationships/hyperlink" Target="https://techcombank.com/thong-tin/blog/gui-tiet-kiem-online-co-rut-truoc-han-duoc-khong" TargetMode="External"/><Relationship Id="rId158" Type="http://schemas.openxmlformats.org/officeDocument/2006/relationships/hyperlink" Target="https://techcombank.com/thong-tin/blog/lai-suat-gui-tiet-kiem-usd" TargetMode="External"/><Relationship Id="rId157" Type="http://schemas.openxmlformats.org/officeDocument/2006/relationships/hyperlink" Target="https://techcombank.com/thong-tin/blog/kinh-nghiem-vay-tien-ngan-hang-xay-nha" TargetMode="External"/><Relationship Id="rId156" Type="http://schemas.openxmlformats.org/officeDocument/2006/relationships/hyperlink" Target="https://techcombank.com/thong-tin/blog/kinh-nghiem-vay-tien-mua-nha" TargetMode="External"/><Relationship Id="rId155" Type="http://schemas.openxmlformats.org/officeDocument/2006/relationships/hyperlink" Target="https://techcombank.com/thong-tin/blog/kiem-tra-ma-so-thue-doanh-nghiep" TargetMode="External"/><Relationship Id="rId107" Type="http://schemas.openxmlformats.org/officeDocument/2006/relationships/hyperlink" Target="https://techcombank.com/thong-tin/blog/gui-tiet-kiem-ngoai-te" TargetMode="External"/><Relationship Id="rId106" Type="http://schemas.openxmlformats.org/officeDocument/2006/relationships/hyperlink" Target="https://techcombank.com/thong-tin/blog/gui-tiet-kiem-hang-thang" TargetMode="External"/><Relationship Id="rId105" Type="http://schemas.openxmlformats.org/officeDocument/2006/relationships/hyperlink" Target="https://techcombank.com/thong-tin/blog/dau-tu-trai-phieu-doanh-nghiep-dung-ham-lai-suat-cao" TargetMode="External"/><Relationship Id="rId104" Type="http://schemas.openxmlformats.org/officeDocument/2006/relationships/hyperlink" Target="https://techcombank.com/thong-tin/blog/dao-han-la-gi" TargetMode="External"/><Relationship Id="rId109" Type="http://schemas.openxmlformats.org/officeDocument/2006/relationships/hyperlink" Target="https://techcombank.com/thong-tin/blog/hoan-thue-doanh-nghiep" TargetMode="External"/><Relationship Id="rId108" Type="http://schemas.openxmlformats.org/officeDocument/2006/relationships/hyperlink" Target="https://techcombank.com/thong-tin/blog/gui-tiet-kiem-theo-ngay" TargetMode="External"/><Relationship Id="rId103" Type="http://schemas.openxmlformats.org/officeDocument/2006/relationships/hyperlink" Target="https://techcombank.com/thong-tin/blog/cic-la-gi" TargetMode="External"/><Relationship Id="rId102" Type="http://schemas.openxmlformats.org/officeDocument/2006/relationships/hyperlink" Target="https://techcombank.com/thong-tin/blog/cach-tinh-thue-thu-nhap-doanh-nghiep" TargetMode="External"/><Relationship Id="rId101" Type="http://schemas.openxmlformats.org/officeDocument/2006/relationships/hyperlink" Target="https://techcombank.com/thong-tin/blog/cach-tinh-lai-suat-tien-gui-tiet-kiem" TargetMode="External"/><Relationship Id="rId100" Type="http://schemas.openxmlformats.org/officeDocument/2006/relationships/hyperlink" Target="https://techcombank.com/thong-tin/blog/cach-thanh-toan-the-tin-dung" TargetMode="External"/><Relationship Id="rId129" Type="http://schemas.openxmlformats.org/officeDocument/2006/relationships/hyperlink" Target="https://techcombank.com/thong-tin/blog/vay-mua-chung-cu" TargetMode="External"/><Relationship Id="rId128" Type="http://schemas.openxmlformats.org/officeDocument/2006/relationships/hyperlink" Target="https://techcombank.com/thong-tin/blog/vay-bo-sung-von-luu-dong" TargetMode="External"/><Relationship Id="rId127" Type="http://schemas.openxmlformats.org/officeDocument/2006/relationships/hyperlink" Target="https://techcombank.com/thong-tin/blog/vay-20-trieu" TargetMode="External"/><Relationship Id="rId126" Type="http://schemas.openxmlformats.org/officeDocument/2006/relationships/hyperlink" Target="https://techcombank.com/thong-tin/blog/vay-15-trieu" TargetMode="External"/><Relationship Id="rId121" Type="http://schemas.openxmlformats.org/officeDocument/2006/relationships/hyperlink" Target="https://techcombank.com/thong-tin/blog/no-xau-nhom-2" TargetMode="External"/><Relationship Id="rId120" Type="http://schemas.openxmlformats.org/officeDocument/2006/relationships/hyperlink" Target="https://techcombank.com/thong-tin/blog/no-nhom-3" TargetMode="External"/><Relationship Id="rId125" Type="http://schemas.openxmlformats.org/officeDocument/2006/relationships/hyperlink" Target="https://techcombank.com/thong-tin/blog/tien-gui-co-ky-han" TargetMode="External"/><Relationship Id="rId124" Type="http://schemas.openxmlformats.org/officeDocument/2006/relationships/hyperlink" Target="https://techcombank.com/thong-tin/blog/the-tin-dung-quoc-te" TargetMode="External"/><Relationship Id="rId123" Type="http://schemas.openxmlformats.org/officeDocument/2006/relationships/hyperlink" Target="https://techcombank.com/thong-tin/blog/thanh-toan-toi-thieu-the-tin-dung" TargetMode="External"/><Relationship Id="rId122" Type="http://schemas.openxmlformats.org/officeDocument/2006/relationships/hyperlink" Target="https://techcombank.com/thong-tin/blog/tai-khoan-doanh-nghiep-co-the-khong" TargetMode="External"/><Relationship Id="rId118" Type="http://schemas.openxmlformats.org/officeDocument/2006/relationships/hyperlink" Target="https://techcombank.com/thong-tin/blog/nen-gui-tiet-kiem-6-thang-hay-1-nam" TargetMode="External"/><Relationship Id="rId117" Type="http://schemas.openxmlformats.org/officeDocument/2006/relationships/hyperlink" Target="https://techcombank.com/thong-tin/blog/nap-tien-vao-tai-khoan-ngan-hang" TargetMode="External"/><Relationship Id="rId116" Type="http://schemas.openxmlformats.org/officeDocument/2006/relationships/hyperlink" Target="https://techcombank.com/thong-tin/blog/mua-nha-tra-gop-dua-truoc-100-trieu" TargetMode="External"/><Relationship Id="rId115" Type="http://schemas.openxmlformats.org/officeDocument/2006/relationships/hyperlink" Target="https://techcombank.com/thong-tin/blog/mm-yy-la-gi" TargetMode="External"/><Relationship Id="rId119" Type="http://schemas.openxmlformats.org/officeDocument/2006/relationships/hyperlink" Target="https://techcombank.com/thong-tin/blog/nhung-ho-kinh-doanh-duoc-mien-thue" TargetMode="External"/><Relationship Id="rId110" Type="http://schemas.openxmlformats.org/officeDocument/2006/relationships/hyperlink" Target="https://techcombank.com/thong-tin/blog/lai-suat-cho-vay-doanh-nghiep" TargetMode="External"/><Relationship Id="rId114" Type="http://schemas.openxmlformats.org/officeDocument/2006/relationships/hyperlink" Target="https://techcombank.com/thong-tin/blog/lai-suat-vay-ngan-hang" TargetMode="External"/><Relationship Id="rId113" Type="http://schemas.openxmlformats.org/officeDocument/2006/relationships/hyperlink" Target="https://techcombank.com/thong-tin/blog/lai-suat-the-tin-dung" TargetMode="External"/><Relationship Id="rId112" Type="http://schemas.openxmlformats.org/officeDocument/2006/relationships/hyperlink" Target="https://techcombank.com/thong-tin/blog/lai-suat-ngan-hang-cho-vay-xay-nha" TargetMode="External"/><Relationship Id="rId111" Type="http://schemas.openxmlformats.org/officeDocument/2006/relationships/hyperlink" Target="https://techcombank.com/thong-tin/blog/lai-suat-chung-chi-quy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techcombank.com/thong-tin/blog/1-dong-do-la-my-bang-bao-nhieu-tien-viet-nam" TargetMode="External"/><Relationship Id="rId42" Type="http://schemas.openxmlformats.org/officeDocument/2006/relationships/hyperlink" Target="https://techcombank.com/thong-tin/blog/1-yen-bang-bao-nhieu-tien-viet-nam" TargetMode="External"/><Relationship Id="rId41" Type="http://schemas.openxmlformats.org/officeDocument/2006/relationships/hyperlink" Target="https://techcombank.com/thong-tin/blog/tien-nhat" TargetMode="External"/><Relationship Id="rId44" Type="http://schemas.openxmlformats.org/officeDocument/2006/relationships/hyperlink" Target="https://techcombank.com/thong-tin/blog/tien-dai-loan" TargetMode="External"/><Relationship Id="rId43" Type="http://schemas.openxmlformats.org/officeDocument/2006/relationships/hyperlink" Target="https://techcombank.com/thong-tin/blog/1-won-bang-bao-nhieu-tien-viet" TargetMode="External"/><Relationship Id="rId46" Type="http://schemas.openxmlformats.org/officeDocument/2006/relationships/hyperlink" Target="https://techcombank.com/thong-tin/blog/tien-thai-lan" TargetMode="External"/><Relationship Id="rId45" Type="http://schemas.openxmlformats.org/officeDocument/2006/relationships/hyperlink" Target="https://techcombank.com/thong-tin/blog/1-man-bang-bao-nhieu-tien-viet" TargetMode="External"/><Relationship Id="rId48" Type="http://schemas.openxmlformats.org/officeDocument/2006/relationships/hyperlink" Target="https://techcombank.com/thong-tin/blog/1000-won-bang-bao-nhieu-tien-viet" TargetMode="External"/><Relationship Id="rId47" Type="http://schemas.openxmlformats.org/officeDocument/2006/relationships/hyperlink" Target="https://techcombank.com/thong-tin/blog/1-trieu-do-bang-bao-nhieu-tien-viet" TargetMode="External"/><Relationship Id="rId49" Type="http://schemas.openxmlformats.org/officeDocument/2006/relationships/hyperlink" Target="https://techcombank.com/thong-tin/blog/cach-nhan-tien-tu-nuoc-ngoai-ve-viet-nam" TargetMode="External"/><Relationship Id="rId31" Type="http://schemas.openxmlformats.org/officeDocument/2006/relationships/hyperlink" Target="https://techcombank.com/thong-tin/blog/lam-the-tin-dung" TargetMode="External"/><Relationship Id="rId30" Type="http://schemas.openxmlformats.org/officeDocument/2006/relationships/hyperlink" Target="https://techcombank.com/thong-tin/blog/rut-tien-mat-tu-the-tin-dung" TargetMode="External"/><Relationship Id="rId33" Type="http://schemas.openxmlformats.org/officeDocument/2006/relationships/hyperlink" Target="https://techcombank.com/thong-tin/blog/the-tin-dung-hoan-tien" TargetMode="External"/><Relationship Id="rId32" Type="http://schemas.openxmlformats.org/officeDocument/2006/relationships/hyperlink" Target="https://techcombank.com/khach-hang-ca-nhan/chi-tieu/the/the-tin-dung/techcombank-everyday" TargetMode="External"/><Relationship Id="rId35" Type="http://schemas.openxmlformats.org/officeDocument/2006/relationships/hyperlink" Target="https://techcombank.com/thong-tin/blog/xep-hang-tin-dung" TargetMode="External"/><Relationship Id="rId34" Type="http://schemas.openxmlformats.org/officeDocument/2006/relationships/hyperlink" Target="https://techcombank.com/thong-tin/blog/cach-huy-the-tin-dung" TargetMode="External"/><Relationship Id="rId37" Type="http://schemas.openxmlformats.org/officeDocument/2006/relationships/hyperlink" Target="https://techcombank.com/thong-tin/blog/chung-chi-tien-gui-la-gi" TargetMode="External"/><Relationship Id="rId36" Type="http://schemas.openxmlformats.org/officeDocument/2006/relationships/hyperlink" Target="https://techcombank.com/thong-tin/blog/cach-thanh-toan-the-tin-dung" TargetMode="External"/><Relationship Id="rId39" Type="http://schemas.openxmlformats.org/officeDocument/2006/relationships/hyperlink" Target="https://techcombank.com/thong-tin/blog/1-te-bang-bao-nhieu-tien-viet-nam" TargetMode="External"/><Relationship Id="rId38" Type="http://schemas.openxmlformats.org/officeDocument/2006/relationships/hyperlink" Target="https://techcombank.com/thong-tin/blog/lai-suat-chung-chi-tien-gui-cac-ngan-hang" TargetMode="External"/><Relationship Id="rId20" Type="http://schemas.openxmlformats.org/officeDocument/2006/relationships/hyperlink" Target="https://techcombank.com/thong-tin/blog/nap-tien-vao-tai-khoan-ngan-hang" TargetMode="External"/><Relationship Id="rId22" Type="http://schemas.openxmlformats.org/officeDocument/2006/relationships/hyperlink" Target="https://techcombank.com/thong-tin/blog/day-so-phat-tai-phat-loc" TargetMode="External"/><Relationship Id="rId21" Type="http://schemas.openxmlformats.org/officeDocument/2006/relationships/hyperlink" Target="https://techcombank.com/thong-tin/blog/cach-sao-ke-tai-khoan-ngan-hang" TargetMode="External"/><Relationship Id="rId24" Type="http://schemas.openxmlformats.org/officeDocument/2006/relationships/hyperlink" Target="https://techcombank.com/thong-tin/blog/ten-dang-nhap-tai-khoan-ngan-hang-la-gi" TargetMode="External"/><Relationship Id="rId23" Type="http://schemas.openxmlformats.org/officeDocument/2006/relationships/hyperlink" Target="https://techcombank.com/thong-tin/blog/kiem-tra-thue-thu-nhap-ca-nhan" TargetMode="External"/><Relationship Id="rId26" Type="http://schemas.openxmlformats.org/officeDocument/2006/relationships/hyperlink" Target="https://techcombank.com/thong-tin/blog/rut-tien-bang-ma-qr-la-gi-cach-thuc-hien-nhu-the-nao" TargetMode="External"/><Relationship Id="rId25" Type="http://schemas.openxmlformats.org/officeDocument/2006/relationships/hyperlink" Target="https://techcombank.com/thong-tin/blog/thue-thu-nhap-ca-nhan" TargetMode="External"/><Relationship Id="rId28" Type="http://schemas.openxmlformats.org/officeDocument/2006/relationships/hyperlink" Target="https://techcombank.com/thong-tin/blog/eco-card" TargetMode="External"/><Relationship Id="rId27" Type="http://schemas.openxmlformats.org/officeDocument/2006/relationships/hyperlink" Target="https://techcombank.com/thong-tin/blog/cach-quet-nfc-cccd-tren-iphone" TargetMode="External"/><Relationship Id="rId29" Type="http://schemas.openxmlformats.org/officeDocument/2006/relationships/hyperlink" Target="https://techcombank.com/thong-tin/blog/cic-la-gi" TargetMode="External"/><Relationship Id="rId11" Type="http://schemas.openxmlformats.org/officeDocument/2006/relationships/hyperlink" Target="https://techcombank.com/thong-tin/blog/cach-tinh-tien-dien-sinh-hoat" TargetMode="External"/><Relationship Id="rId10" Type="http://schemas.openxmlformats.org/officeDocument/2006/relationships/hyperlink" Target="https://techcombank.com/thong-tin/blog/cach-nap-the-viettel" TargetMode="External"/><Relationship Id="rId13" Type="http://schemas.openxmlformats.org/officeDocument/2006/relationships/hyperlink" Target="https://techcombank.com/thong-tin/blog/cach-kiem-tra-tai-khoan-ngan-hang" TargetMode="External"/><Relationship Id="rId12" Type="http://schemas.openxmlformats.org/officeDocument/2006/relationships/hyperlink" Target="https://techcombank.com/thong-tin/blog/cach-tinh-thue-thu-nhap-ca-nhan-2025" TargetMode="External"/><Relationship Id="rId15" Type="http://schemas.openxmlformats.org/officeDocument/2006/relationships/hyperlink" Target="https://techcombank.com/thong-tin/blog/ngan-hang-uy-tin" TargetMode="External"/><Relationship Id="rId14" Type="http://schemas.openxmlformats.org/officeDocument/2006/relationships/hyperlink" Target="https://techcombank.com/thong-tin/blog/cach-mo-tai-khoan" TargetMode="External"/><Relationship Id="rId17" Type="http://schemas.openxmlformats.org/officeDocument/2006/relationships/hyperlink" Target="https://techcombank.com/thong-tin/blog/bao-nhieu-tuoi-duoc-mo-tai-khoan-ngan-hang" TargetMode="External"/><Relationship Id="rId16" Type="http://schemas.openxmlformats.org/officeDocument/2006/relationships/hyperlink" Target="https://techcombank.com/thong-tin/blog/chuyen-khoan-thanh-cong-nhung-khong-nhan-duoc-tien" TargetMode="External"/><Relationship Id="rId19" Type="http://schemas.openxmlformats.org/officeDocument/2006/relationships/hyperlink" Target="https://techcombank.com/thong-tin/blog/mo-tai-khoan-ngan-hang-duoi-18-tuoi" TargetMode="External"/><Relationship Id="rId18" Type="http://schemas.openxmlformats.org/officeDocument/2006/relationships/hyperlink" Target="https://techcombank.com/thong-tin/blog/cach-mo-tai-khoan" TargetMode="External"/><Relationship Id="rId73" Type="http://schemas.openxmlformats.org/officeDocument/2006/relationships/hyperlink" Target="https://techcombank.com/thong-tin/blog/nen-vay-tin-chap-o-dau" TargetMode="External"/><Relationship Id="rId72" Type="http://schemas.openxmlformats.org/officeDocument/2006/relationships/hyperlink" Target="https://techcombank.com/thong-tin/blog/kiem-tra-no-xau" TargetMode="External"/><Relationship Id="rId75" Type="http://schemas.openxmlformats.org/officeDocument/2006/relationships/hyperlink" Target="https://techcombank.com/thong-tin/blog/vay-tin-chap-khong-tra-duoc-co-sao-khong" TargetMode="External"/><Relationship Id="rId74" Type="http://schemas.openxmlformats.org/officeDocument/2006/relationships/hyperlink" Target="https://techcombank.com/thong-tin/blog/no-xau-la-gi" TargetMode="External"/><Relationship Id="rId77" Type="http://schemas.openxmlformats.org/officeDocument/2006/relationships/drawing" Target="../drawings/drawing5.xml"/><Relationship Id="rId76" Type="http://schemas.openxmlformats.org/officeDocument/2006/relationships/hyperlink" Target="https://techcombank.com/thong-tin/blog/phuong-phap-dau-tu-chung-chi-quy" TargetMode="External"/><Relationship Id="rId71" Type="http://schemas.openxmlformats.org/officeDocument/2006/relationships/hyperlink" Target="https://techcombank.com/thong-tin/blog/vay-thau-chi-la-gi" TargetMode="External"/><Relationship Id="rId70" Type="http://schemas.openxmlformats.org/officeDocument/2006/relationships/hyperlink" Target="https://techcombank.com/thong-tin/blog/lai-suat-vay-ngan-hang" TargetMode="External"/><Relationship Id="rId62" Type="http://schemas.openxmlformats.org/officeDocument/2006/relationships/hyperlink" Target="https://techcombank.com/thong-tin/blog/cach-tinh-lai-suat-tien-gui-tiet-kiem" TargetMode="External"/><Relationship Id="rId61" Type="http://schemas.openxmlformats.org/officeDocument/2006/relationships/hyperlink" Target="https://techcombank.com/thong-tin/blog/lai-suat-tiet-kiem" TargetMode="External"/><Relationship Id="rId64" Type="http://schemas.openxmlformats.org/officeDocument/2006/relationships/hyperlink" Target="https://techcombank.com/thong-tin/blog/so-tiet-kiem-ngan-hang" TargetMode="External"/><Relationship Id="rId63" Type="http://schemas.openxmlformats.org/officeDocument/2006/relationships/hyperlink" Target="https://techcombank.com/thong-tin/blog/rut-tien-tiet-kiem-truoc-thoi-han" TargetMode="External"/><Relationship Id="rId66" Type="http://schemas.openxmlformats.org/officeDocument/2006/relationships/hyperlink" Target="https://techcombank.com/thong-tin/blog/rui-ro-khi-gui-tiet-kiem-online" TargetMode="External"/><Relationship Id="rId65" Type="http://schemas.openxmlformats.org/officeDocument/2006/relationships/hyperlink" Target="https://techcombank.com/thong-tin/blog/cach-tiet-kiem-tien" TargetMode="External"/><Relationship Id="rId68" Type="http://schemas.openxmlformats.org/officeDocument/2006/relationships/hyperlink" Target="https://techcombank.com/cong-cu-tien-ich/cong-cu-tinh-toan/bang-tinh-lai-suat-tiet-kiem" TargetMode="External"/><Relationship Id="rId67" Type="http://schemas.openxmlformats.org/officeDocument/2006/relationships/hyperlink" Target="https://techcombank.com/cong-cu-tien-ich/cong-cu-tinh-toan/bang-tinh-lai-suat-vay" TargetMode="External"/><Relationship Id="rId60" Type="http://schemas.openxmlformats.org/officeDocument/2006/relationships/hyperlink" Target="https://techcombank.com/thong-tin/blog/ho-so-thu-tuc-xoa-the-chap" TargetMode="External"/><Relationship Id="rId69" Type="http://schemas.openxmlformats.org/officeDocument/2006/relationships/hyperlink" Target="https://techcombank.com/thong-tin/blog/app-vay-tien-nhanh" TargetMode="External"/><Relationship Id="rId51" Type="http://schemas.openxmlformats.org/officeDocument/2006/relationships/hyperlink" Target="https://techcombank.com/thong-tin/blog/vay-ngan-hang-1-ty-moi-thang-tra-bao-nhieu" TargetMode="External"/><Relationship Id="rId50" Type="http://schemas.openxmlformats.org/officeDocument/2006/relationships/hyperlink" Target="https://techcombank.com/thong-tin/blog/doi-tien-do-o-dau" TargetMode="External"/><Relationship Id="rId53" Type="http://schemas.openxmlformats.org/officeDocument/2006/relationships/hyperlink" Target="https://techcombank.com/thong-tin/blog/ho-kinh-doanh-dong-thue-nhu-nao" TargetMode="External"/><Relationship Id="rId52" Type="http://schemas.openxmlformats.org/officeDocument/2006/relationships/hyperlink" Target="https://techcombank.com/thong-tin/blog/traveloka-voucher" TargetMode="External"/><Relationship Id="rId55" Type="http://schemas.openxmlformats.org/officeDocument/2006/relationships/hyperlink" Target="https://techcombank.com/thong-tin/blog/gui-ma-qr-ngan-hang" TargetMode="External"/><Relationship Id="rId54" Type="http://schemas.openxmlformats.org/officeDocument/2006/relationships/hyperlink" Target="https://techcombank.com/thong-tin/blog/mo-hinh-kinh-doanh-la-gi" TargetMode="External"/><Relationship Id="rId57" Type="http://schemas.openxmlformats.org/officeDocument/2006/relationships/hyperlink" Target="https://techcombank.com/thong-tin/blog/cach-tinh-thue-ho-kinh-doanh-nho-le" TargetMode="External"/><Relationship Id="rId56" Type="http://schemas.openxmlformats.org/officeDocument/2006/relationships/hyperlink" Target="https://techcombank.com/thong-tin/blog/mo-tai-khoan-ho-kinh-doanh" TargetMode="External"/><Relationship Id="rId59" Type="http://schemas.openxmlformats.org/officeDocument/2006/relationships/hyperlink" Target="https://techcombank.com/thong-tin/blog/lai-suat-vay-the-chap-so-do" TargetMode="External"/><Relationship Id="rId58" Type="http://schemas.openxmlformats.org/officeDocument/2006/relationships/hyperlink" Target="https://techcombank.com/thong-tin/blog/cach-tinh-lai-vay-ngan-hang" TargetMode="External"/><Relationship Id="rId1" Type="http://schemas.openxmlformats.org/officeDocument/2006/relationships/hyperlink" Target="https://techcombank.com/thong-tin/blog/lai-suat-vay-mua-o-to" TargetMode="External"/><Relationship Id="rId2" Type="http://schemas.openxmlformats.org/officeDocument/2006/relationships/hyperlink" Target="https://techcombank.com/thong-tin/blog/nop-thue-dat-qua-ngan-hang" TargetMode="External"/><Relationship Id="rId3" Type="http://schemas.openxmlformats.org/officeDocument/2006/relationships/hyperlink" Target="https://techcombank.com/thong-tin/blog/cach-nop-thue-dien-tu" TargetMode="External"/><Relationship Id="rId4" Type="http://schemas.openxmlformats.org/officeDocument/2006/relationships/hyperlink" Target="https://techcombank.com/thong-tin/blog/thue-thu-nhap-doanh-nghiep" TargetMode="External"/><Relationship Id="rId9" Type="http://schemas.openxmlformats.org/officeDocument/2006/relationships/hyperlink" Target="https://techcombank.com/thong-tin/blog/cach-tinh-thue-thu-nhap-doanh-nghiep" TargetMode="External"/><Relationship Id="rId5" Type="http://schemas.openxmlformats.org/officeDocument/2006/relationships/hyperlink" Target="https://techcombank.com/thong-tin/blog/thue-vat-la-gi" TargetMode="External"/><Relationship Id="rId6" Type="http://schemas.openxmlformats.org/officeDocument/2006/relationships/hyperlink" Target="https://techcombank.com/thong-tin/blog/tra-cuu-no-thue-doanh-nghiep" TargetMode="External"/><Relationship Id="rId7" Type="http://schemas.openxmlformats.org/officeDocument/2006/relationships/hyperlink" Target="https://techcombank.com/thong-tin/blog/thue-doanh-nghiep" TargetMode="External"/><Relationship Id="rId8" Type="http://schemas.openxmlformats.org/officeDocument/2006/relationships/hyperlink" Target="https://techcombank.com/thong-tin/blog/cong-ty-su-dung-tai-khoan-ca-nhan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techcombank.com/thong-tin/blog/cach-tinh-lai-suat-tien-gui-tiet-kiem" TargetMode="External"/><Relationship Id="rId42" Type="http://schemas.openxmlformats.org/officeDocument/2006/relationships/hyperlink" Target="https://techcombank.com/thong-tin/blog/cach-tinh-lai-suat-tien-gui-tiet-kiem" TargetMode="External"/><Relationship Id="rId41" Type="http://schemas.openxmlformats.org/officeDocument/2006/relationships/hyperlink" Target="https://techcombank.com/thong-tin/blog/cach-tinh-lai-suat-tien-gui-tiet-kiem" TargetMode="External"/><Relationship Id="rId44" Type="http://schemas.openxmlformats.org/officeDocument/2006/relationships/hyperlink" Target="https://techcombank.com/cong-cu-tien-ich/cong-cu-tinh-toan/bang-tinh-lai-suat-vay" TargetMode="External"/><Relationship Id="rId43" Type="http://schemas.openxmlformats.org/officeDocument/2006/relationships/hyperlink" Target="https://techcombank.com/cong-cu-tien-ich/cong-cu-tinh-toan/bang-tinh-lai-suat-vay" TargetMode="External"/><Relationship Id="rId46" Type="http://schemas.openxmlformats.org/officeDocument/2006/relationships/hyperlink" Target="https://techcombank.com/thong-tin/blog/nop-thue-dat-qua-ngan-hang" TargetMode="External"/><Relationship Id="rId45" Type="http://schemas.openxmlformats.org/officeDocument/2006/relationships/hyperlink" Target="https://techcombank.com/cong-cu-tien-ich/cong-cu-tinh-toan/bang-tinh-lai-suat-vay" TargetMode="External"/><Relationship Id="rId48" Type="http://schemas.openxmlformats.org/officeDocument/2006/relationships/hyperlink" Target="https://techcombank.com/thong-tin/blog/nop-thue-dat-qua-ngan-hang" TargetMode="External"/><Relationship Id="rId47" Type="http://schemas.openxmlformats.org/officeDocument/2006/relationships/hyperlink" Target="https://techcombank.com/thong-tin/blog/nop-thue-dat-qua-ngan-hang" TargetMode="External"/><Relationship Id="rId49" Type="http://schemas.openxmlformats.org/officeDocument/2006/relationships/hyperlink" Target="https://techcombank.com/thong-tin/blog/lai-suat-vay-ngan-hang" TargetMode="External"/><Relationship Id="rId31" Type="http://schemas.openxmlformats.org/officeDocument/2006/relationships/hyperlink" Target="https://techcombank.com/thong-tin/blog/app-vay-tien-nhanh" TargetMode="External"/><Relationship Id="rId30" Type="http://schemas.openxmlformats.org/officeDocument/2006/relationships/hyperlink" Target="https://techcombank.com/thong-tin/blog/app-vay-tien-nhanh" TargetMode="External"/><Relationship Id="rId33" Type="http://schemas.openxmlformats.org/officeDocument/2006/relationships/hyperlink" Target="https://techcombank.com/thong-tin/blog/app-vay-tien-nhanh" TargetMode="External"/><Relationship Id="rId32" Type="http://schemas.openxmlformats.org/officeDocument/2006/relationships/hyperlink" Target="https://techcombank.com/thong-tin/blog/app-vay-tien-nhanh" TargetMode="External"/><Relationship Id="rId35" Type="http://schemas.openxmlformats.org/officeDocument/2006/relationships/hyperlink" Target="https://techcombank.com/thong-tin/blog/cach-tinh-lai-suat-tien-gui-tiet-kiem" TargetMode="External"/><Relationship Id="rId34" Type="http://schemas.openxmlformats.org/officeDocument/2006/relationships/hyperlink" Target="https://techcombank.com/thong-tin/blog/app-vay-tien-nhanh" TargetMode="External"/><Relationship Id="rId37" Type="http://schemas.openxmlformats.org/officeDocument/2006/relationships/hyperlink" Target="https://techcombank.com/thong-tin/blog/cach-tinh-lai-suat-tien-gui-tiet-kiem" TargetMode="External"/><Relationship Id="rId36" Type="http://schemas.openxmlformats.org/officeDocument/2006/relationships/hyperlink" Target="https://techcombank.com/thong-tin/blog/cach-tinh-lai-suat-tien-gui-tiet-kiem" TargetMode="External"/><Relationship Id="rId39" Type="http://schemas.openxmlformats.org/officeDocument/2006/relationships/hyperlink" Target="https://techcombank.com/thong-tin/blog/cach-tinh-lai-suat-tien-gui-tiet-kiem" TargetMode="External"/><Relationship Id="rId38" Type="http://schemas.openxmlformats.org/officeDocument/2006/relationships/hyperlink" Target="https://techcombank.com/thong-tin/blog/cach-tinh-lai-suat-tien-gui-tiet-kiem" TargetMode="External"/><Relationship Id="rId20" Type="http://schemas.openxmlformats.org/officeDocument/2006/relationships/hyperlink" Target="https://techcombank.com/thong-tin/blog/app-vay-tien-nhanh" TargetMode="External"/><Relationship Id="rId22" Type="http://schemas.openxmlformats.org/officeDocument/2006/relationships/hyperlink" Target="https://techcombank.com/thong-tin/blog/app-vay-tien-nhanh" TargetMode="External"/><Relationship Id="rId21" Type="http://schemas.openxmlformats.org/officeDocument/2006/relationships/hyperlink" Target="https://techcombank.com/thong-tin/blog/app-vay-tien-nhanh" TargetMode="External"/><Relationship Id="rId24" Type="http://schemas.openxmlformats.org/officeDocument/2006/relationships/hyperlink" Target="https://techcombank.com/thong-tin/blog/app-vay-tien-nhanh" TargetMode="External"/><Relationship Id="rId23" Type="http://schemas.openxmlformats.org/officeDocument/2006/relationships/hyperlink" Target="https://techcombank.com/thong-tin/blog/app-vay-tien-nhanh" TargetMode="External"/><Relationship Id="rId26" Type="http://schemas.openxmlformats.org/officeDocument/2006/relationships/hyperlink" Target="https://techcombank.com/thong-tin/blog/app-vay-tien-nhanh" TargetMode="External"/><Relationship Id="rId25" Type="http://schemas.openxmlformats.org/officeDocument/2006/relationships/hyperlink" Target="https://techcombank.com/thong-tin/blog/app-vay-tien-nhanh" TargetMode="External"/><Relationship Id="rId28" Type="http://schemas.openxmlformats.org/officeDocument/2006/relationships/hyperlink" Target="https://techcombank.com/thong-tin/blog/app-vay-tien-nhanh" TargetMode="External"/><Relationship Id="rId27" Type="http://schemas.openxmlformats.org/officeDocument/2006/relationships/hyperlink" Target="https://techcombank.com/thong-tin/blog/app-vay-tien-nhanh" TargetMode="External"/><Relationship Id="rId29" Type="http://schemas.openxmlformats.org/officeDocument/2006/relationships/hyperlink" Target="https://techcombank.com/thong-tin/blog/app-vay-tien-nhanh" TargetMode="External"/><Relationship Id="rId11" Type="http://schemas.openxmlformats.org/officeDocument/2006/relationships/hyperlink" Target="https://techcombank.com/thong-tin/blog/lai-suat-tiet-kiem" TargetMode="External"/><Relationship Id="rId10" Type="http://schemas.openxmlformats.org/officeDocument/2006/relationships/hyperlink" Target="https://techcombank.com/thong-tin/blog/lai-suat-tiet-kiem" TargetMode="External"/><Relationship Id="rId13" Type="http://schemas.openxmlformats.org/officeDocument/2006/relationships/hyperlink" Target="https://techcombank.com/thong-tin/blog/lai-suat-tiet-kiem" TargetMode="External"/><Relationship Id="rId12" Type="http://schemas.openxmlformats.org/officeDocument/2006/relationships/hyperlink" Target="https://techcombank.com/thong-tin/blog/lai-suat-tiet-kiem" TargetMode="External"/><Relationship Id="rId15" Type="http://schemas.openxmlformats.org/officeDocument/2006/relationships/hyperlink" Target="https://techcombank.com/thong-tin/blog/cic-la-gi" TargetMode="External"/><Relationship Id="rId14" Type="http://schemas.openxmlformats.org/officeDocument/2006/relationships/hyperlink" Target="https://techcombank.com/thong-tin/blog/lai-suat-tiet-kiem" TargetMode="External"/><Relationship Id="rId17" Type="http://schemas.openxmlformats.org/officeDocument/2006/relationships/hyperlink" Target="https://techcombank.com/thong-tin/blog/cic-la-gi" TargetMode="External"/><Relationship Id="rId16" Type="http://schemas.openxmlformats.org/officeDocument/2006/relationships/hyperlink" Target="https://techcombank.com/thong-tin/blog/cic-la-gi" TargetMode="External"/><Relationship Id="rId19" Type="http://schemas.openxmlformats.org/officeDocument/2006/relationships/hyperlink" Target="https://techcombank.com/thong-tin/blog/cic-la-gi" TargetMode="External"/><Relationship Id="rId18" Type="http://schemas.openxmlformats.org/officeDocument/2006/relationships/hyperlink" Target="https://techcombank.com/thong-tin/blog/cic-la-gi" TargetMode="External"/><Relationship Id="rId80" Type="http://schemas.openxmlformats.org/officeDocument/2006/relationships/hyperlink" Target="https://techcombank.com/thong-tin/blog/cach-kiem-tra-tai-khoan-ngan-hang" TargetMode="External"/><Relationship Id="rId81" Type="http://schemas.openxmlformats.org/officeDocument/2006/relationships/drawing" Target="../drawings/drawing6.xml"/><Relationship Id="rId73" Type="http://schemas.openxmlformats.org/officeDocument/2006/relationships/hyperlink" Target="https://techcombank.com/thong-tin/blog/cach-nap-the-viettel" TargetMode="External"/><Relationship Id="rId72" Type="http://schemas.openxmlformats.org/officeDocument/2006/relationships/hyperlink" Target="https://techcombank.com/thong-tin/blog/cach-nop-thue-dien-tu" TargetMode="External"/><Relationship Id="rId75" Type="http://schemas.openxmlformats.org/officeDocument/2006/relationships/hyperlink" Target="https://techcombank.com/thong-tin/blog/cach-nap-the-viettel" TargetMode="External"/><Relationship Id="rId74" Type="http://schemas.openxmlformats.org/officeDocument/2006/relationships/hyperlink" Target="https://techcombank.com/thong-tin/blog/cach-nap-the-viettel" TargetMode="External"/><Relationship Id="rId77" Type="http://schemas.openxmlformats.org/officeDocument/2006/relationships/hyperlink" Target="https://techcombank.com/thong-tin/blog/cach-mo-tai-khoan" TargetMode="External"/><Relationship Id="rId76" Type="http://schemas.openxmlformats.org/officeDocument/2006/relationships/hyperlink" Target="https://techcombank.com/thong-tin/blog/cach-nap-the-viettel" TargetMode="External"/><Relationship Id="rId79" Type="http://schemas.openxmlformats.org/officeDocument/2006/relationships/hyperlink" Target="https://techcombank.com/thong-tin/blog/cach-kiem-tra-tai-khoan-ngan-hang" TargetMode="External"/><Relationship Id="rId78" Type="http://schemas.openxmlformats.org/officeDocument/2006/relationships/hyperlink" Target="https://techcombank.com/thong-tin/blog/cach-mo-tai-khoan" TargetMode="External"/><Relationship Id="rId71" Type="http://schemas.openxmlformats.org/officeDocument/2006/relationships/hyperlink" Target="https://techcombank.com/thong-tin/blog/cach-nop-thue-dien-tu" TargetMode="External"/><Relationship Id="rId70" Type="http://schemas.openxmlformats.org/officeDocument/2006/relationships/hyperlink" Target="https://techcombank.com/thong-tin/blog/cach-tinh-lai-vay-ngan-hang" TargetMode="External"/><Relationship Id="rId62" Type="http://schemas.openxmlformats.org/officeDocument/2006/relationships/hyperlink" Target="https://techcombank.com/thong-tin/blog/rut-tien-mat-tu-the-tin-dung" TargetMode="External"/><Relationship Id="rId61" Type="http://schemas.openxmlformats.org/officeDocument/2006/relationships/hyperlink" Target="https://techcombank.com/thong-tin/blog/rut-tien-mat-tu-the-tin-dung" TargetMode="External"/><Relationship Id="rId64" Type="http://schemas.openxmlformats.org/officeDocument/2006/relationships/hyperlink" Target="https://techcombank.com/thong-tin/blog/ho-kinh-doanh-dong-thue-nhu-nao" TargetMode="External"/><Relationship Id="rId63" Type="http://schemas.openxmlformats.org/officeDocument/2006/relationships/hyperlink" Target="https://techcombank.com/thong-tin/blog/ho-kinh-doanh-dong-thue-nhu-nao" TargetMode="External"/><Relationship Id="rId66" Type="http://schemas.openxmlformats.org/officeDocument/2006/relationships/hyperlink" Target="https://techcombank.com/thong-tin/blog/cach-tinh-tien-dien-sinh-hoat" TargetMode="External"/><Relationship Id="rId65" Type="http://schemas.openxmlformats.org/officeDocument/2006/relationships/hyperlink" Target="https://techcombank.com/thong-tin/blog/cach-tinh-tien-dien-sinh-hoat" TargetMode="External"/><Relationship Id="rId68" Type="http://schemas.openxmlformats.org/officeDocument/2006/relationships/hyperlink" Target="https://techcombank.com/thong-tin/blog/cach-tinh-thue-thu-nhap-ca-nhan-2025" TargetMode="External"/><Relationship Id="rId67" Type="http://schemas.openxmlformats.org/officeDocument/2006/relationships/hyperlink" Target="https://techcombank.com/thong-tin/blog/cach-tinh-thue-thu-nhap-ca-nhan-2025" TargetMode="External"/><Relationship Id="rId60" Type="http://schemas.openxmlformats.org/officeDocument/2006/relationships/hyperlink" Target="https://techcombank.com/thong-tin/blog/thue-thu-nhap-doanh-nghiep" TargetMode="External"/><Relationship Id="rId69" Type="http://schemas.openxmlformats.org/officeDocument/2006/relationships/hyperlink" Target="https://techcombank.com/thong-tin/blog/cach-tinh-lai-vay-ngan-hang" TargetMode="External"/><Relationship Id="rId51" Type="http://schemas.openxmlformats.org/officeDocument/2006/relationships/hyperlink" Target="https://techcombank.com/thong-tin/blog/lai-suat-vay-ngan-hang" TargetMode="External"/><Relationship Id="rId50" Type="http://schemas.openxmlformats.org/officeDocument/2006/relationships/hyperlink" Target="https://techcombank.com/thong-tin/blog/lai-suat-vay-ngan-hang" TargetMode="External"/><Relationship Id="rId53" Type="http://schemas.openxmlformats.org/officeDocument/2006/relationships/hyperlink" Target="https://techcombank.com/thong-tin/blog/lai-suat-vay-ngan-hang" TargetMode="External"/><Relationship Id="rId52" Type="http://schemas.openxmlformats.org/officeDocument/2006/relationships/hyperlink" Target="https://techcombank.com/thong-tin/blog/lai-suat-vay-ngan-hang" TargetMode="External"/><Relationship Id="rId55" Type="http://schemas.openxmlformats.org/officeDocument/2006/relationships/hyperlink" Target="https://techcombank.com/thong-tin/blog/vay-thau-chi-la-gi" TargetMode="External"/><Relationship Id="rId54" Type="http://schemas.openxmlformats.org/officeDocument/2006/relationships/hyperlink" Target="https://techcombank.com/thong-tin/blog/lai-suat-vay-ngan-hang" TargetMode="External"/><Relationship Id="rId57" Type="http://schemas.openxmlformats.org/officeDocument/2006/relationships/hyperlink" Target="https://techcombank.com/thong-tin/blog/vay-thau-chi-la-gi" TargetMode="External"/><Relationship Id="rId56" Type="http://schemas.openxmlformats.org/officeDocument/2006/relationships/hyperlink" Target="https://techcombank.com/thong-tin/blog/vay-thau-chi-la-gi" TargetMode="External"/><Relationship Id="rId59" Type="http://schemas.openxmlformats.org/officeDocument/2006/relationships/hyperlink" Target="https://techcombank.com/thong-tin/blog/thue-thu-nhap-doanh-nghiep" TargetMode="External"/><Relationship Id="rId58" Type="http://schemas.openxmlformats.org/officeDocument/2006/relationships/hyperlink" Target="https://techcombank.com/thong-tin/blog/vay-thau-chi-la-gi" TargetMode="External"/><Relationship Id="rId1" Type="http://schemas.openxmlformats.org/officeDocument/2006/relationships/hyperlink" Target="https://techcombank.com/thong-tin/blog/lai-suat-tiet-kiem" TargetMode="External"/><Relationship Id="rId2" Type="http://schemas.openxmlformats.org/officeDocument/2006/relationships/hyperlink" Target="https://techcombank.com/thong-tin/blog/lai-suat-tiet-kiem" TargetMode="External"/><Relationship Id="rId3" Type="http://schemas.openxmlformats.org/officeDocument/2006/relationships/hyperlink" Target="https://techcombank.com/thong-tin/blog/lai-suat-tiet-kiem" TargetMode="External"/><Relationship Id="rId4" Type="http://schemas.openxmlformats.org/officeDocument/2006/relationships/hyperlink" Target="https://techcombank.com/thong-tin/blog/lai-suat-tiet-kiem" TargetMode="External"/><Relationship Id="rId9" Type="http://schemas.openxmlformats.org/officeDocument/2006/relationships/hyperlink" Target="https://techcombank.com/thong-tin/blog/lai-suat-tiet-kiem" TargetMode="External"/><Relationship Id="rId5" Type="http://schemas.openxmlformats.org/officeDocument/2006/relationships/hyperlink" Target="https://techcombank.com/thong-tin/blog/lai-suat-tiet-kiem" TargetMode="External"/><Relationship Id="rId6" Type="http://schemas.openxmlformats.org/officeDocument/2006/relationships/hyperlink" Target="https://techcombank.com/thong-tin/blog/lai-suat-tiet-kiem" TargetMode="External"/><Relationship Id="rId7" Type="http://schemas.openxmlformats.org/officeDocument/2006/relationships/hyperlink" Target="https://techcombank.com/thong-tin/blog/lai-suat-tiet-kiem" TargetMode="External"/><Relationship Id="rId8" Type="http://schemas.openxmlformats.org/officeDocument/2006/relationships/hyperlink" Target="https://techcombank.com/thong-tin/blog/lai-suat-tiet-kiem" TargetMode="External"/></Relationships>
</file>

<file path=xl/worksheets/_rels/sheet7.xml.rels><?xml version="1.0" encoding="UTF-8" standalone="yes"?><Relationships xmlns="http://schemas.openxmlformats.org/package/2006/relationships"><Relationship Id="rId392" Type="http://schemas.openxmlformats.org/officeDocument/2006/relationships/hyperlink" Target="https://techcombank.com/thong-tin/blog/di-du-lich-nuoc-ngoai-can-chuan-bi-gi" TargetMode="External"/><Relationship Id="rId391" Type="http://schemas.openxmlformats.org/officeDocument/2006/relationships/hyperlink" Target="https://techcombank.com/thong-tin/blog/tien-thai-lan" TargetMode="External"/><Relationship Id="rId390" Type="http://schemas.openxmlformats.org/officeDocument/2006/relationships/hyperlink" Target="https://techcombank.com/thong-tin/blog/han-muc-mua-ngoai-te-khi-di-du-lich" TargetMode="External"/><Relationship Id="rId385" Type="http://schemas.openxmlformats.org/officeDocument/2006/relationships/hyperlink" Target="https://techcombank.com/thong-tin/blog/tien-thai-lan" TargetMode="External"/><Relationship Id="rId384" Type="http://schemas.openxmlformats.org/officeDocument/2006/relationships/hyperlink" Target="https://techcombank.com/thong-tin/blog/thanh-toan-khi-du-lich-nhat-ban" TargetMode="External"/><Relationship Id="rId383" Type="http://schemas.openxmlformats.org/officeDocument/2006/relationships/hyperlink" Target="https://techcombank.com/thong-tin/blog/1-man-bang-bao-nhieu-tien-viet" TargetMode="External"/><Relationship Id="rId382" Type="http://schemas.openxmlformats.org/officeDocument/2006/relationships/hyperlink" Target="https://techcombank.com/thong-tin/blog/chuyen-tien-tu-nhat-ve-viet-nam" TargetMode="External"/><Relationship Id="rId389" Type="http://schemas.openxmlformats.org/officeDocument/2006/relationships/hyperlink" Target="https://techcombank.com/thong-tin/blog/tien-thai-lan" TargetMode="External"/><Relationship Id="rId388" Type="http://schemas.openxmlformats.org/officeDocument/2006/relationships/hyperlink" Target="https://techcombank.com/thong-tin/blog/thanh-toan-qr-thai-lan" TargetMode="External"/><Relationship Id="rId387" Type="http://schemas.openxmlformats.org/officeDocument/2006/relationships/hyperlink" Target="https://techcombank.com/thong-tin/blog/tien-thai-lan" TargetMode="External"/><Relationship Id="rId386" Type="http://schemas.openxmlformats.org/officeDocument/2006/relationships/hyperlink" Target="https://techcombank.com/thong-tin/blog/thanh-toan-khi-du-lich-thai-lan" TargetMode="External"/><Relationship Id="rId381" Type="http://schemas.openxmlformats.org/officeDocument/2006/relationships/hyperlink" Target="https://techcombank.com/thong-tin/blog/1-man-bang-bao-nhieu-tien-viet" TargetMode="External"/><Relationship Id="rId380" Type="http://schemas.openxmlformats.org/officeDocument/2006/relationships/hyperlink" Target="https://techcombank.com/thong-tin/blog/1000-yen-bang-bao-nhieu-tien-viet" TargetMode="External"/><Relationship Id="rId379" Type="http://schemas.openxmlformats.org/officeDocument/2006/relationships/hyperlink" Target="https://techcombank.com/thong-tin/blog/1-man-bang-bao-nhieu-tien-viet" TargetMode="External"/><Relationship Id="rId374" Type="http://schemas.openxmlformats.org/officeDocument/2006/relationships/hyperlink" Target="https://techcombank.com/thong-tin/blog/han-muc-mua-ngoai-te-khi-di-du-lich" TargetMode="External"/><Relationship Id="rId373" Type="http://schemas.openxmlformats.org/officeDocument/2006/relationships/hyperlink" Target="https://techcombank.com/thong-tin/blog/tien-dai-loan" TargetMode="External"/><Relationship Id="rId372" Type="http://schemas.openxmlformats.org/officeDocument/2006/relationships/hyperlink" Target="https://techcombank.com/thong-tin/blog/ty-gia-cac-ngan-hang" TargetMode="External"/><Relationship Id="rId371" Type="http://schemas.openxmlformats.org/officeDocument/2006/relationships/hyperlink" Target="https://techcombank.com/thong-tin/blog/tien-dai-loan" TargetMode="External"/><Relationship Id="rId378" Type="http://schemas.openxmlformats.org/officeDocument/2006/relationships/hyperlink" Target="https://techcombank.com/thong-tin/blog/1-yen-bang-bao-nhieu-tien-viet-nam" TargetMode="External"/><Relationship Id="rId377" Type="http://schemas.openxmlformats.org/officeDocument/2006/relationships/hyperlink" Target="https://techcombank.com/thong-tin/blog/1-man-bang-bao-nhieu-tien-viet" TargetMode="External"/><Relationship Id="rId376" Type="http://schemas.openxmlformats.org/officeDocument/2006/relationships/hyperlink" Target="https://techcombank.com/thong-tin/blog/tien-nhat" TargetMode="External"/><Relationship Id="rId375" Type="http://schemas.openxmlformats.org/officeDocument/2006/relationships/hyperlink" Target="https://techcombank.com/thong-tin/blog/1-man-bang-bao-nhieu-tien-viet" TargetMode="External"/><Relationship Id="rId396" Type="http://schemas.openxmlformats.org/officeDocument/2006/relationships/hyperlink" Target="https://techcombank.com/thong-tin/blog/1-dong-do-la-my-bang-bao-nhieu-tien-viet-nam" TargetMode="External"/><Relationship Id="rId395" Type="http://schemas.openxmlformats.org/officeDocument/2006/relationships/hyperlink" Target="https://techcombank.com/thong-tin/blog/1-trieu-do-bang-bao-nhieu-tien-viet" TargetMode="External"/><Relationship Id="rId394" Type="http://schemas.openxmlformats.org/officeDocument/2006/relationships/hyperlink" Target="https://techcombank.com/thong-tin/blog/thanh-toan-bang-the-quoc-te" TargetMode="External"/><Relationship Id="rId393" Type="http://schemas.openxmlformats.org/officeDocument/2006/relationships/hyperlink" Target="https://techcombank.com/thong-tin/blog/tien-thai-lan" TargetMode="External"/><Relationship Id="rId399" Type="http://schemas.openxmlformats.org/officeDocument/2006/relationships/hyperlink" Target="https://techcombank.com/thong-tin/blog/1-trieu-do-bang-bao-nhieu-tien-viet" TargetMode="External"/><Relationship Id="rId398" Type="http://schemas.openxmlformats.org/officeDocument/2006/relationships/hyperlink" Target="https://techcombank.com/thong-tin/blog/high-net-worth-client-va-ultra-high-net-worth-client" TargetMode="External"/><Relationship Id="rId397" Type="http://schemas.openxmlformats.org/officeDocument/2006/relationships/hyperlink" Target="https://techcombank.com/thong-tin/blog/1-trieu-do-bang-bao-nhieu-tien-viet" TargetMode="External"/><Relationship Id="rId40" Type="http://schemas.openxmlformats.org/officeDocument/2006/relationships/hyperlink" Target="https://techcombank.com/thong-tin/blog/chuyen-doi-hoa-don-dien-tu" TargetMode="External"/><Relationship Id="rId42" Type="http://schemas.openxmlformats.org/officeDocument/2006/relationships/hyperlink" Target="https://techcombank.com/thong-tin/blog/thue-thuong-mai-dien-tu" TargetMode="External"/><Relationship Id="rId41" Type="http://schemas.openxmlformats.org/officeDocument/2006/relationships/hyperlink" Target="https://techcombank.com/thong-tin/blog/thue-vat-la-gi" TargetMode="External"/><Relationship Id="rId44" Type="http://schemas.openxmlformats.org/officeDocument/2006/relationships/hyperlink" Target="https://techcombank.com/thong-tin/blog/kiem-tra-ma-so-thue-doanh-nghiep" TargetMode="External"/><Relationship Id="rId43" Type="http://schemas.openxmlformats.org/officeDocument/2006/relationships/hyperlink" Target="https://techcombank.com/thong-tin/blog/tra-cuu-no-thue-doanh-nghiep" TargetMode="External"/><Relationship Id="rId46" Type="http://schemas.openxmlformats.org/officeDocument/2006/relationships/hyperlink" Target="https://techcombank.com/thong-tin/blog/tra-cuu-no-thue-hai-quan" TargetMode="External"/><Relationship Id="rId45" Type="http://schemas.openxmlformats.org/officeDocument/2006/relationships/hyperlink" Target="https://techcombank.com/thong-tin/blog/tra-cuu-no-thue-doanh-nghiep" TargetMode="External"/><Relationship Id="rId48" Type="http://schemas.openxmlformats.org/officeDocument/2006/relationships/hyperlink" Target="https://techcombank.com/thong-tin/blog/quyet-toan-thue-doanh-nghiep" TargetMode="External"/><Relationship Id="rId47" Type="http://schemas.openxmlformats.org/officeDocument/2006/relationships/hyperlink" Target="https://techcombank.com/thong-tin/blog/tra-cuu-no-thue-doanh-nghiep" TargetMode="External"/><Relationship Id="rId49" Type="http://schemas.openxmlformats.org/officeDocument/2006/relationships/hyperlink" Target="https://techcombank.com/thong-tin/blog/tra-cuu-no-thue-doanh-nghiep" TargetMode="External"/><Relationship Id="rId31" Type="http://schemas.openxmlformats.org/officeDocument/2006/relationships/hyperlink" Target="https://techcombank.com/thong-tin/blog/thue-thu-nhap-doanh-nghiep" TargetMode="External"/><Relationship Id="rId30" Type="http://schemas.openxmlformats.org/officeDocument/2006/relationships/hyperlink" Target="https://techcombank.com/thong-tin/blog/doanh-nghiep-moi-thanh-lap-duoc-uu-dai-gi" TargetMode="External"/><Relationship Id="rId33" Type="http://schemas.openxmlformats.org/officeDocument/2006/relationships/hyperlink" Target="https://techcombank.com/thong-tin/blog/thue-thu-nhap-doanh-nghiep" TargetMode="External"/><Relationship Id="rId32" Type="http://schemas.openxmlformats.org/officeDocument/2006/relationships/hyperlink" Target="https://techcombank.com/thong-tin/blog/loi-nhuan" TargetMode="External"/><Relationship Id="rId35" Type="http://schemas.openxmlformats.org/officeDocument/2006/relationships/hyperlink" Target="https://techcombank.com/thong-tin/blog/thue-vat-la-gi" TargetMode="External"/><Relationship Id="rId34" Type="http://schemas.openxmlformats.org/officeDocument/2006/relationships/hyperlink" Target="https://techcombank.com/thong-tin/blog/hoan-thue-doanh-nghiep" TargetMode="External"/><Relationship Id="rId37" Type="http://schemas.openxmlformats.org/officeDocument/2006/relationships/hyperlink" Target="https://techcombank.com/thong-tin/blog/thue-vat-la-gi" TargetMode="External"/><Relationship Id="rId36" Type="http://schemas.openxmlformats.org/officeDocument/2006/relationships/hyperlink" Target="https://techcombank.com/thong-tin/blog/ke-khai-thue-doanh-nghiep" TargetMode="External"/><Relationship Id="rId39" Type="http://schemas.openxmlformats.org/officeDocument/2006/relationships/hyperlink" Target="https://techcombank.com/thong-tin/blog/thue-vat-la-gi" TargetMode="External"/><Relationship Id="rId38" Type="http://schemas.openxmlformats.org/officeDocument/2006/relationships/hyperlink" Target="https://techcombank.com/thong-tin/blog/hoan-thue-doanh-nghiep" TargetMode="External"/><Relationship Id="rId20" Type="http://schemas.openxmlformats.org/officeDocument/2006/relationships/hyperlink" Target="https://techcombank.com/thong-tin/blog/ke-khai-thue-ho-kinh-doanh-ca-the-online" TargetMode="External"/><Relationship Id="rId22" Type="http://schemas.openxmlformats.org/officeDocument/2006/relationships/hyperlink" Target="https://techcombank.com/thong-tin/blog/hoan-thue-thu-nhap-ca-nhan" TargetMode="External"/><Relationship Id="rId21" Type="http://schemas.openxmlformats.org/officeDocument/2006/relationships/hyperlink" Target="https://techcombank.com/thong-tin/blog/cach-nop-thue-dien-tu" TargetMode="External"/><Relationship Id="rId24" Type="http://schemas.openxmlformats.org/officeDocument/2006/relationships/hyperlink" Target="https://techcombank.com/thong-tin/blog/nop-thue-hai-quan" TargetMode="External"/><Relationship Id="rId23" Type="http://schemas.openxmlformats.org/officeDocument/2006/relationships/hyperlink" Target="https://techcombank.com/thong-tin/blog/cach-nop-thue-dien-tu" TargetMode="External"/><Relationship Id="rId26" Type="http://schemas.openxmlformats.org/officeDocument/2006/relationships/hyperlink" Target="https://techcombank.com/thong-tin/blog/nhung-chi-phi-khong-duoc-tru-khi-tinh-thue-tndn" TargetMode="External"/><Relationship Id="rId25" Type="http://schemas.openxmlformats.org/officeDocument/2006/relationships/hyperlink" Target="https://techcombank.com/thong-tin/blog/thue-thu-nhap-doanh-nghiep" TargetMode="External"/><Relationship Id="rId28" Type="http://schemas.openxmlformats.org/officeDocument/2006/relationships/hyperlink" Target="https://techcombank.com/thong-tin/blog/quyet-toan-thue-doanh-nghiep" TargetMode="External"/><Relationship Id="rId27" Type="http://schemas.openxmlformats.org/officeDocument/2006/relationships/hyperlink" Target="https://techcombank.com/thong-tin/blog/thue-thu-nhap-doanh-nghiep" TargetMode="External"/><Relationship Id="rId29" Type="http://schemas.openxmlformats.org/officeDocument/2006/relationships/hyperlink" Target="https://techcombank.com/thong-tin/blog/thue-thu-nhap-doanh-nghiep" TargetMode="External"/><Relationship Id="rId11" Type="http://schemas.openxmlformats.org/officeDocument/2006/relationships/hyperlink" Target="https://techcombank.com/thong-tin/blog/nop-thue-dat-qua-ngan-hang" TargetMode="External"/><Relationship Id="rId10" Type="http://schemas.openxmlformats.org/officeDocument/2006/relationships/hyperlink" Target="https://techcombank.com/thong-tin/blog/vay-the-chap-xe-o-to-cu" TargetMode="External"/><Relationship Id="rId13" Type="http://schemas.openxmlformats.org/officeDocument/2006/relationships/hyperlink" Target="https://techcombank.com/thong-tin/blog/nop-thue-dat-qua-ngan-hang" TargetMode="External"/><Relationship Id="rId12" Type="http://schemas.openxmlformats.org/officeDocument/2006/relationships/hyperlink" Target="https://techcombank.com/thong-tin/blog/lien-ket-tai-khoan-ngan-hang-voi-etax-mobile" TargetMode="External"/><Relationship Id="rId15" Type="http://schemas.openxmlformats.org/officeDocument/2006/relationships/hyperlink" Target="https://techcombank.com/thong-tin/blog/cach-nop-thue-dien-tu" TargetMode="External"/><Relationship Id="rId14" Type="http://schemas.openxmlformats.org/officeDocument/2006/relationships/hyperlink" Target="https://techcombank.com/thong-tin/blog/cach-nop-thue-dien-tu" TargetMode="External"/><Relationship Id="rId17" Type="http://schemas.openxmlformats.org/officeDocument/2006/relationships/hyperlink" Target="https://techcombank.com/thong-tin/blog/cach-nop-thue-dien-tu" TargetMode="External"/><Relationship Id="rId16" Type="http://schemas.openxmlformats.org/officeDocument/2006/relationships/hyperlink" Target="https://techcombank.com/thong-tin/blog/lien-ket-tai-khoan-ngan-hang-voi-etax-mobile" TargetMode="External"/><Relationship Id="rId19" Type="http://schemas.openxmlformats.org/officeDocument/2006/relationships/hyperlink" Target="https://techcombank.com/thong-tin/blog/cach-nop-thue-dien-tu" TargetMode="External"/><Relationship Id="rId18" Type="http://schemas.openxmlformats.org/officeDocument/2006/relationships/hyperlink" Target="https://techcombank.com/thong-tin/blog/quyet-toan-thue-thu-nhap-ca-nhan" TargetMode="External"/><Relationship Id="rId84" Type="http://schemas.openxmlformats.org/officeDocument/2006/relationships/hyperlink" Target="https://techcombank.com/thong-tin/blog/cach-nap-the-vina" TargetMode="External"/><Relationship Id="rId83" Type="http://schemas.openxmlformats.org/officeDocument/2006/relationships/hyperlink" Target="https://techcombank.com/thong-tin/blog/cach-nap-the-viettel" TargetMode="External"/><Relationship Id="rId86" Type="http://schemas.openxmlformats.org/officeDocument/2006/relationships/hyperlink" Target="https://techcombank.com/thong-tin/blog/cach-nap-the-mobi" TargetMode="External"/><Relationship Id="rId85" Type="http://schemas.openxmlformats.org/officeDocument/2006/relationships/hyperlink" Target="https://techcombank.com/thong-tin/blog/cach-nap-the-viettel" TargetMode="External"/><Relationship Id="rId88" Type="http://schemas.openxmlformats.org/officeDocument/2006/relationships/hyperlink" Target="https://techcombank.com/thong-tin/blog/gia-dien-sinh-hoat" TargetMode="External"/><Relationship Id="rId87" Type="http://schemas.openxmlformats.org/officeDocument/2006/relationships/hyperlink" Target="https://techcombank.com/thong-tin/blog/cach-tinh-tien-dien-sinh-hoat" TargetMode="External"/><Relationship Id="rId89" Type="http://schemas.openxmlformats.org/officeDocument/2006/relationships/hyperlink" Target="https://techcombank.com/thong-tin/blog/cach-tinh-tien-dien-sinh-hoat" TargetMode="External"/><Relationship Id="rId80" Type="http://schemas.openxmlformats.org/officeDocument/2006/relationships/hyperlink" Target="https://techcombank.com/thong-tin/blog/nap-tien-dien-thoai-online" TargetMode="External"/><Relationship Id="rId82" Type="http://schemas.openxmlformats.org/officeDocument/2006/relationships/hyperlink" Target="https://techcombank.com/thong-tin/blog/thanh-toan-tra-sau-viettel-bang-tai-khoan-ngan-hang" TargetMode="External"/><Relationship Id="rId81" Type="http://schemas.openxmlformats.org/officeDocument/2006/relationships/hyperlink" Target="https://techcombank.com/thong-tin/blog/cach-nap-the-viettel" TargetMode="External"/><Relationship Id="rId73" Type="http://schemas.openxmlformats.org/officeDocument/2006/relationships/hyperlink" Target="https://techcombank.com/thong-tin/blog/cach-tinh-thue-thu-nhap-doanh-nghiep" TargetMode="External"/><Relationship Id="rId72" Type="http://schemas.openxmlformats.org/officeDocument/2006/relationships/hyperlink" Target="https://techcombank.com/thong-tin/blog/khau-hao" TargetMode="External"/><Relationship Id="rId75" Type="http://schemas.openxmlformats.org/officeDocument/2006/relationships/hyperlink" Target="https://techcombank.com/thong-tin/blog/cach-tinh-thue-thu-nhap-doanh-nghiep" TargetMode="External"/><Relationship Id="rId74" Type="http://schemas.openxmlformats.org/officeDocument/2006/relationships/hyperlink" Target="https://techcombank.com/thong-tin/blog/loi-nhuan-rong" TargetMode="External"/><Relationship Id="rId77" Type="http://schemas.openxmlformats.org/officeDocument/2006/relationships/hyperlink" Target="https://techcombank.com/thong-tin/blog/cach-nap-the-viettel" TargetMode="External"/><Relationship Id="rId76" Type="http://schemas.openxmlformats.org/officeDocument/2006/relationships/hyperlink" Target="https://techcombank.com/thong-tin/blog/cach-doc-bao-cao-tai-chinh" TargetMode="External"/><Relationship Id="rId79" Type="http://schemas.openxmlformats.org/officeDocument/2006/relationships/hyperlink" Target="https://techcombank.com/thong-tin/blog/cach-nap-the-viettel" TargetMode="External"/><Relationship Id="rId78" Type="http://schemas.openxmlformats.org/officeDocument/2006/relationships/hyperlink" Target="https://techcombank.com/thong-tin/blog/cach-nap-the" TargetMode="External"/><Relationship Id="rId71" Type="http://schemas.openxmlformats.org/officeDocument/2006/relationships/hyperlink" Target="https://techcombank.com/thong-tin/blog/cach-tinh-thue-thu-nhap-doanh-nghiep" TargetMode="External"/><Relationship Id="rId70" Type="http://schemas.openxmlformats.org/officeDocument/2006/relationships/hyperlink" Target="https://techcombank.com/thong-tin/blog/nhung-chi-phi-khong-duoc-tru-khi-tinh-thue-tndn" TargetMode="External"/><Relationship Id="rId62" Type="http://schemas.openxmlformats.org/officeDocument/2006/relationships/hyperlink" Target="https://techcombank.com/thong-tin/blog/mo-tai-khoan-doanh-nghiep" TargetMode="External"/><Relationship Id="rId61" Type="http://schemas.openxmlformats.org/officeDocument/2006/relationships/hyperlink" Target="https://techcombank.com/thong-tin/blog/cong-ty-su-dung-tai-khoan-ca-nhan" TargetMode="External"/><Relationship Id="rId64" Type="http://schemas.openxmlformats.org/officeDocument/2006/relationships/hyperlink" Target="https://techcombank.com/thong-tin/blog/luu-y-khi-chuyen-tien-vao-tai-khoan-cong-ty" TargetMode="External"/><Relationship Id="rId63" Type="http://schemas.openxmlformats.org/officeDocument/2006/relationships/hyperlink" Target="https://techcombank.com/thong-tin/blog/cong-ty-su-dung-tai-khoan-ca-nhan" TargetMode="External"/><Relationship Id="rId66" Type="http://schemas.openxmlformats.org/officeDocument/2006/relationships/hyperlink" Target="https://techcombank.com/thong-tin/blog/cach-su-dung-tai-khoan-cong-ty" TargetMode="External"/><Relationship Id="rId65" Type="http://schemas.openxmlformats.org/officeDocument/2006/relationships/hyperlink" Target="https://techcombank.com/thong-tin/blog/cong-ty-su-dung-tai-khoan-ca-nhan" TargetMode="External"/><Relationship Id="rId68" Type="http://schemas.openxmlformats.org/officeDocument/2006/relationships/hyperlink" Target="https://techcombank.com/thong-tin/blog/tien-chuyen-vao-tai-khoan-co-bi-tinh-thue-khong" TargetMode="External"/><Relationship Id="rId67" Type="http://schemas.openxmlformats.org/officeDocument/2006/relationships/hyperlink" Target="https://techcombank.com/thong-tin/blog/cong-ty-su-dung-tai-khoan-ca-nhan" TargetMode="External"/><Relationship Id="rId60" Type="http://schemas.openxmlformats.org/officeDocument/2006/relationships/hyperlink" Target="https://techcombank.com/thong-tin/blog/thue-doanh-nghiep-2025" TargetMode="External"/><Relationship Id="rId69" Type="http://schemas.openxmlformats.org/officeDocument/2006/relationships/hyperlink" Target="https://techcombank.com/thong-tin/blog/cach-tinh-thue-thu-nhap-doanh-nghiep" TargetMode="External"/><Relationship Id="rId51" Type="http://schemas.openxmlformats.org/officeDocument/2006/relationships/hyperlink" Target="https://techcombank.com/thong-tin/blog/tra-cuu-no-thue-doanh-nghiep" TargetMode="External"/><Relationship Id="rId50" Type="http://schemas.openxmlformats.org/officeDocument/2006/relationships/hyperlink" Target="https://techcombank.com/thong-tin/blog/ke-khai-thue-doanh-nghiep" TargetMode="External"/><Relationship Id="rId53" Type="http://schemas.openxmlformats.org/officeDocument/2006/relationships/hyperlink" Target="https://techcombank.com/thong-tin/blog/thue-doanh-nghiep" TargetMode="External"/><Relationship Id="rId52" Type="http://schemas.openxmlformats.org/officeDocument/2006/relationships/hyperlink" Target="https://techcombank.com/thong-tin/blog/tra-cuu-no-thue-ho-kinh-doanh" TargetMode="External"/><Relationship Id="rId55" Type="http://schemas.openxmlformats.org/officeDocument/2006/relationships/hyperlink" Target="https://techcombank.com/thong-tin/blog/thue-doanh-nghiep" TargetMode="External"/><Relationship Id="rId54" Type="http://schemas.openxmlformats.org/officeDocument/2006/relationships/hyperlink" Target="https://techcombank.com/thong-tin/blog/giai-dap-ve-thue-doanh-nghiep" TargetMode="External"/><Relationship Id="rId57" Type="http://schemas.openxmlformats.org/officeDocument/2006/relationships/hyperlink" Target="https://techcombank.com/thong-tin/blog/thue-doanh-nghiep" TargetMode="External"/><Relationship Id="rId56" Type="http://schemas.openxmlformats.org/officeDocument/2006/relationships/hyperlink" Target="https://techcombank.com/thong-tin/blog/hieu-hiet-ve-tuan-thu-thue-cho-cac-doanh-nghiep-khoi-nghiep" TargetMode="External"/><Relationship Id="rId59" Type="http://schemas.openxmlformats.org/officeDocument/2006/relationships/hyperlink" Target="https://techcombank.com/thong-tin/blog/thue-doanh-nghiep" TargetMode="External"/><Relationship Id="rId58" Type="http://schemas.openxmlformats.org/officeDocument/2006/relationships/hyperlink" Target="https://techcombank.com/thong-tin/blog/thue-phi-co-dinh-khi-chuyen-doi-tu-ho-kinh-doanh-len-doanh-nghiep" TargetMode="External"/><Relationship Id="rId349" Type="http://schemas.openxmlformats.org/officeDocument/2006/relationships/hyperlink" Target="https://techcombank.com/thong-tin/blog/1-yen-bang-bao-nhieu-tien-viet-nam" TargetMode="External"/><Relationship Id="rId348" Type="http://schemas.openxmlformats.org/officeDocument/2006/relationships/hyperlink" Target="https://techcombank.com/thong-tin/blog/1-man-bang-bao-nhieu-tien-viet" TargetMode="External"/><Relationship Id="rId347" Type="http://schemas.openxmlformats.org/officeDocument/2006/relationships/hyperlink" Target="https://techcombank.com/thong-tin/blog/tien-nhat" TargetMode="External"/><Relationship Id="rId346" Type="http://schemas.openxmlformats.org/officeDocument/2006/relationships/hyperlink" Target="https://techcombank.com/thong-tin/blog/1-yen-bang-bao-nhieu-tien-viet-nam" TargetMode="External"/><Relationship Id="rId341" Type="http://schemas.openxmlformats.org/officeDocument/2006/relationships/hyperlink" Target="https://techcombank.com/thong-tin/blog/tien-nhat" TargetMode="External"/><Relationship Id="rId340" Type="http://schemas.openxmlformats.org/officeDocument/2006/relationships/hyperlink" Target="https://techcombank.com/thong-tin/blog/chuyen-tien-tu-my-ve-viet-nam" TargetMode="External"/><Relationship Id="rId345" Type="http://schemas.openxmlformats.org/officeDocument/2006/relationships/hyperlink" Target="https://techcombank.com/thong-tin/blog/tien-nhat" TargetMode="External"/><Relationship Id="rId344" Type="http://schemas.openxmlformats.org/officeDocument/2006/relationships/hyperlink" Target="https://techcombank.com/thong-tin/blog/chuyen-tien-tu-nhat-ve-viet-nam" TargetMode="External"/><Relationship Id="rId343" Type="http://schemas.openxmlformats.org/officeDocument/2006/relationships/hyperlink" Target="https://techcombank.com/thong-tin/blog/tien-nhat" TargetMode="External"/><Relationship Id="rId342" Type="http://schemas.openxmlformats.org/officeDocument/2006/relationships/hyperlink" Target="https://techcombank.com/thong-tin/blog/thanh-toan-khi-du-lich-nhat-ban" TargetMode="External"/><Relationship Id="rId338" Type="http://schemas.openxmlformats.org/officeDocument/2006/relationships/hyperlink" Target="https://techcombank.com/thong-tin/blog/lai-suat-gui-tiet-kiem-usd" TargetMode="External"/><Relationship Id="rId337" Type="http://schemas.openxmlformats.org/officeDocument/2006/relationships/hyperlink" Target="https://techcombank.com/thong-tin/blog/1-dong-do-la-my-bang-bao-nhieu-tien-viet-nam" TargetMode="External"/><Relationship Id="rId336" Type="http://schemas.openxmlformats.org/officeDocument/2006/relationships/hyperlink" Target="https://techcombank.com/thong-tin/blog/1-cent-bang-bao-nhieu-tien-viet" TargetMode="External"/><Relationship Id="rId335" Type="http://schemas.openxmlformats.org/officeDocument/2006/relationships/hyperlink" Target="https://techcombank.com/thong-tin/blog/1-dong-do-la-my-bang-bao-nhieu-tien-viet-nam" TargetMode="External"/><Relationship Id="rId339" Type="http://schemas.openxmlformats.org/officeDocument/2006/relationships/hyperlink" Target="https://techcombank.com/thong-tin/blog/1-dong-do-la-my-bang-bao-nhieu-tien-viet-nam" TargetMode="External"/><Relationship Id="rId330" Type="http://schemas.openxmlformats.org/officeDocument/2006/relationships/hyperlink" Target="https://techcombank.com/thong-tin/blog/thanh-toan-khi-du-lich-trung-quoc" TargetMode="External"/><Relationship Id="rId334" Type="http://schemas.openxmlformats.org/officeDocument/2006/relationships/hyperlink" Target="https://techcombank.com/thong-tin/blog/dieu-kien-mua-usd-tu-ngan-hang" TargetMode="External"/><Relationship Id="rId333" Type="http://schemas.openxmlformats.org/officeDocument/2006/relationships/hyperlink" Target="https://techcombank.com/thong-tin/blog/1-dong-do-la-my-bang-bao-nhieu-tien-viet-nam" TargetMode="External"/><Relationship Id="rId332" Type="http://schemas.openxmlformats.org/officeDocument/2006/relationships/hyperlink" Target="https://techcombank.com/thong-tin/blog/xu-huong-ty-gia-usd" TargetMode="External"/><Relationship Id="rId331" Type="http://schemas.openxmlformats.org/officeDocument/2006/relationships/hyperlink" Target="https://techcombank.com/thong-tin/blog/1-dong-do-la-my-bang-bao-nhieu-tien-viet-nam" TargetMode="External"/><Relationship Id="rId370" Type="http://schemas.openxmlformats.org/officeDocument/2006/relationships/hyperlink" Target="https://techcombank.com/thong-tin/blog/ngoai-te-la-gi" TargetMode="External"/><Relationship Id="rId369" Type="http://schemas.openxmlformats.org/officeDocument/2006/relationships/hyperlink" Target="https://techcombank.com/thong-tin/blog/tien-dai-loan" TargetMode="External"/><Relationship Id="rId368" Type="http://schemas.openxmlformats.org/officeDocument/2006/relationships/hyperlink" Target="https://techcombank.com/thong-tin/blog/1-van-tien-dai-loan-bang-bao-nhieu-tien-viet" TargetMode="External"/><Relationship Id="rId363" Type="http://schemas.openxmlformats.org/officeDocument/2006/relationships/hyperlink" Target="https://techcombank.com/thong-tin/blog/1-won-bang-bao-nhieu-tien-viet" TargetMode="External"/><Relationship Id="rId362" Type="http://schemas.openxmlformats.org/officeDocument/2006/relationships/hyperlink" Target="https://techcombank.com/thong-tin/blog/thanh-toan-khi-du-lich-han-quoc" TargetMode="External"/><Relationship Id="rId361" Type="http://schemas.openxmlformats.org/officeDocument/2006/relationships/hyperlink" Target="https://techcombank.com/thong-tin/blog/1-won-bang-bao-nhieu-tien-viet" TargetMode="External"/><Relationship Id="rId360" Type="http://schemas.openxmlformats.org/officeDocument/2006/relationships/hyperlink" Target="https://techcombank.com/thong-tin/blog/1000-won-bang-bao-nhieu-tien-viet" TargetMode="External"/><Relationship Id="rId367" Type="http://schemas.openxmlformats.org/officeDocument/2006/relationships/hyperlink" Target="https://techcombank.com/thong-tin/blog/tien-dai-loan" TargetMode="External"/><Relationship Id="rId366" Type="http://schemas.openxmlformats.org/officeDocument/2006/relationships/hyperlink" Target="https://techcombank.com/thong-tin/blog/ty-gia-cac-ngan-hang" TargetMode="External"/><Relationship Id="rId365" Type="http://schemas.openxmlformats.org/officeDocument/2006/relationships/hyperlink" Target="https://techcombank.com/thong-tin/blog/1-won-bang-bao-nhieu-tien-viet" TargetMode="External"/><Relationship Id="rId364" Type="http://schemas.openxmlformats.org/officeDocument/2006/relationships/hyperlink" Target="https://techcombank.com/thong-tin/blog/chuyen-tien-tu-han-sang-viet-nam" TargetMode="External"/><Relationship Id="rId95" Type="http://schemas.openxmlformats.org/officeDocument/2006/relationships/hyperlink" Target="https://techcombank.com/thong-tin/blog/cach-tinh-tien-dien-sinh-hoat" TargetMode="External"/><Relationship Id="rId94" Type="http://schemas.openxmlformats.org/officeDocument/2006/relationships/hyperlink" Target="https://techcombank.com/thong-tin/blog/app-dong-tien-dien-online" TargetMode="External"/><Relationship Id="rId97" Type="http://schemas.openxmlformats.org/officeDocument/2006/relationships/hyperlink" Target="https://techcombank.com/thong-tin/blog/cach-tinh-thue-thu-nhap-ca-nhan-2025" TargetMode="External"/><Relationship Id="rId96" Type="http://schemas.openxmlformats.org/officeDocument/2006/relationships/hyperlink" Target="https://techcombank.com/thong-tin/blog/thanh-toan-tien-dien-bang-the-tin-dung" TargetMode="External"/><Relationship Id="rId99" Type="http://schemas.openxmlformats.org/officeDocument/2006/relationships/hyperlink" Target="https://techcombank.com/thong-tin/blog/cach-tinh-thue-thu-nhap-ca-nhan-2025" TargetMode="External"/><Relationship Id="rId98" Type="http://schemas.openxmlformats.org/officeDocument/2006/relationships/hyperlink" Target="https://techcombank.com/thong-tin/blog/quyet-toan-thue-thu-nhap-ca-nhan" TargetMode="External"/><Relationship Id="rId91" Type="http://schemas.openxmlformats.org/officeDocument/2006/relationships/hyperlink" Target="https://techcombank.com/thong-tin/blog/cach-tinh-tien-dien-sinh-hoat" TargetMode="External"/><Relationship Id="rId90" Type="http://schemas.openxmlformats.org/officeDocument/2006/relationships/hyperlink" Target="https://techcombank.com/thong-tin/blog/tra-cuu-hoa-don-tien-dien" TargetMode="External"/><Relationship Id="rId93" Type="http://schemas.openxmlformats.org/officeDocument/2006/relationships/hyperlink" Target="https://techcombank.com/thong-tin/blog/cach-tinh-tien-dien-sinh-hoat" TargetMode="External"/><Relationship Id="rId92" Type="http://schemas.openxmlformats.org/officeDocument/2006/relationships/hyperlink" Target="https://techcombank.com/thong-tin/blog/cach-dong-tien-dien-qua-tai-khoan-ngan-hang" TargetMode="External"/><Relationship Id="rId359" Type="http://schemas.openxmlformats.org/officeDocument/2006/relationships/hyperlink" Target="https://techcombank.com/thong-tin/blog/1-won-bang-bao-nhieu-tien-viet" TargetMode="External"/><Relationship Id="rId358" Type="http://schemas.openxmlformats.org/officeDocument/2006/relationships/hyperlink" Target="https://techcombank.com/thong-tin/blog/1-trieu-won-bang-bao-nhieu-tien-viet" TargetMode="External"/><Relationship Id="rId357" Type="http://schemas.openxmlformats.org/officeDocument/2006/relationships/hyperlink" Target="https://techcombank.com/thong-tin/blog/1-won-bang-bao-nhieu-tien-viet" TargetMode="External"/><Relationship Id="rId352" Type="http://schemas.openxmlformats.org/officeDocument/2006/relationships/hyperlink" Target="https://techcombank.com/thong-tin/blog/tien-nhat" TargetMode="External"/><Relationship Id="rId351" Type="http://schemas.openxmlformats.org/officeDocument/2006/relationships/hyperlink" Target="https://techcombank.com/thong-tin/blog/1-yen-bang-bao-nhieu-tien-viet-nam" TargetMode="External"/><Relationship Id="rId350" Type="http://schemas.openxmlformats.org/officeDocument/2006/relationships/hyperlink" Target="https://techcombank.com/thong-tin/blog/1000-yen-bang-bao-nhieu-tien-viet" TargetMode="External"/><Relationship Id="rId356" Type="http://schemas.openxmlformats.org/officeDocument/2006/relationships/hyperlink" Target="https://techcombank.com/thong-tin/blog/chuyen-tien-tu-nhat-ve-viet-nam" TargetMode="External"/><Relationship Id="rId355" Type="http://schemas.openxmlformats.org/officeDocument/2006/relationships/hyperlink" Target="https://techcombank.com/thong-tin/blog/1-yen-bang-bao-nhieu-tien-viet-nam" TargetMode="External"/><Relationship Id="rId354" Type="http://schemas.openxmlformats.org/officeDocument/2006/relationships/hyperlink" Target="https://techcombank.com/thong-tin/blog/1-man-bang-bao-nhieu-tien-viet" TargetMode="External"/><Relationship Id="rId353" Type="http://schemas.openxmlformats.org/officeDocument/2006/relationships/hyperlink" Target="https://techcombank.com/thong-tin/blog/1-yen-bang-bao-nhieu-tien-viet-nam" TargetMode="External"/><Relationship Id="rId305" Type="http://schemas.openxmlformats.org/officeDocument/2006/relationships/hyperlink" Target="https://techcombank.com/thong-tin/blog/chung-chi-tien-gui-la-gi" TargetMode="External"/><Relationship Id="rId304" Type="http://schemas.openxmlformats.org/officeDocument/2006/relationships/hyperlink" Target="https://techcombank.com/thong-tin/blog/the-tin-dung-mien-lai-55-ngay" TargetMode="External"/><Relationship Id="rId303" Type="http://schemas.openxmlformats.org/officeDocument/2006/relationships/hyperlink" Target="https://techcombank.com/thong-tin/blog/cach-thanh-toan-the-tin-dung" TargetMode="External"/><Relationship Id="rId302" Type="http://schemas.openxmlformats.org/officeDocument/2006/relationships/hyperlink" Target="https://techcombank.com/thong-tin/blog/no-the-tin-dung-qua-han" TargetMode="External"/><Relationship Id="rId309" Type="http://schemas.openxmlformats.org/officeDocument/2006/relationships/hyperlink" Target="https://techcombank.com/thong-tin/blog/chung-chi-tien-gui-la-gi" TargetMode="External"/><Relationship Id="rId308" Type="http://schemas.openxmlformats.org/officeDocument/2006/relationships/hyperlink" Target="https://techcombank.com/thong-tin/blog/chung-chi-tien-gui-co-phai-la-trai-phieu-khong" TargetMode="External"/><Relationship Id="rId307" Type="http://schemas.openxmlformats.org/officeDocument/2006/relationships/hyperlink" Target="https://techcombank.com/thong-tin/blog/chung-chi-tien-gui-la-gi" TargetMode="External"/><Relationship Id="rId306" Type="http://schemas.openxmlformats.org/officeDocument/2006/relationships/hyperlink" Target="https://techcombank.com/thong-tin/blog/chung-chi-tien-gui-khac-gi-so-tiet-kiem" TargetMode="External"/><Relationship Id="rId301" Type="http://schemas.openxmlformats.org/officeDocument/2006/relationships/hyperlink" Target="https://techcombank.com/thong-tin/blog/cach-thanh-toan-the-tin-dung" TargetMode="External"/><Relationship Id="rId300" Type="http://schemas.openxmlformats.org/officeDocument/2006/relationships/hyperlink" Target="https://techcombank.com/thong-tin/blog/sao-ke-the-tin-dung-la-gi" TargetMode="External"/><Relationship Id="rId327" Type="http://schemas.openxmlformats.org/officeDocument/2006/relationships/hyperlink" Target="https://techcombank.com/thong-tin/blog/1-te-bang-bao-nhieu-tien-viet-nam" TargetMode="External"/><Relationship Id="rId326" Type="http://schemas.openxmlformats.org/officeDocument/2006/relationships/hyperlink" Target="https://techcombank.com/thong-tin/blog/1-van-te-bang-bao-nhieu-tien-viet" TargetMode="External"/><Relationship Id="rId325" Type="http://schemas.openxmlformats.org/officeDocument/2006/relationships/hyperlink" Target="https://techcombank.com/thong-tin/blog/1-te-bang-bao-nhieu-tien-viet-nam" TargetMode="External"/><Relationship Id="rId324" Type="http://schemas.openxmlformats.org/officeDocument/2006/relationships/hyperlink" Target="https://techcombank.com/thong-tin/blog/tien-trung-quoc" TargetMode="External"/><Relationship Id="rId329" Type="http://schemas.openxmlformats.org/officeDocument/2006/relationships/hyperlink" Target="https://techcombank.com/thong-tin/blog/1-te-bang-bao-nhieu-tien-viet-nam" TargetMode="External"/><Relationship Id="rId328" Type="http://schemas.openxmlformats.org/officeDocument/2006/relationships/hyperlink" Target="https://techcombank.com/thong-tin/blog/1000-te-bang-bao-nhieu-tien-viet" TargetMode="External"/><Relationship Id="rId323" Type="http://schemas.openxmlformats.org/officeDocument/2006/relationships/hyperlink" Target="https://techcombank.com/thong-tin/blog/1-te-bang-bao-nhieu-tien-viet-nam" TargetMode="External"/><Relationship Id="rId322" Type="http://schemas.openxmlformats.org/officeDocument/2006/relationships/hyperlink" Target="https://techcombank.com/thong-tin/blog/chuyen-nhuong-chung-chi-tien-gui" TargetMode="External"/><Relationship Id="rId321" Type="http://schemas.openxmlformats.org/officeDocument/2006/relationships/hyperlink" Target="https://techcombank.com/thong-tin/blog/lai-suat-chung-chi-tien-gui-cac-ngan-hang" TargetMode="External"/><Relationship Id="rId320" Type="http://schemas.openxmlformats.org/officeDocument/2006/relationships/hyperlink" Target="https://techcombank.com/thong-tin/blog/chung-chi-tien-gui-co-duoc-rut-truoc-han" TargetMode="External"/><Relationship Id="rId316" Type="http://schemas.openxmlformats.org/officeDocument/2006/relationships/hyperlink" Target="https://techcombank.com/thong-tin/blog/cach-tinh-loi-nhuan-chung-chi-tien-gui" TargetMode="External"/><Relationship Id="rId315" Type="http://schemas.openxmlformats.org/officeDocument/2006/relationships/hyperlink" Target="https://techcombank.com/thong-tin/blog/lai-suat-chung-chi-tien-gui-cac-ngan-hang" TargetMode="External"/><Relationship Id="rId314" Type="http://schemas.openxmlformats.org/officeDocument/2006/relationships/hyperlink" Target="https://techcombank.com/thong-tin/blog/tien-nhan-roi-nen-lam-gi" TargetMode="External"/><Relationship Id="rId313" Type="http://schemas.openxmlformats.org/officeDocument/2006/relationships/hyperlink" Target="https://techcombank.com/thong-tin/blog/chung-chi-tien-gui-la-gi" TargetMode="External"/><Relationship Id="rId319" Type="http://schemas.openxmlformats.org/officeDocument/2006/relationships/hyperlink" Target="https://techcombank.com/thong-tin/blog/lai-suat-chung-chi-tien-gui-cac-ngan-hang" TargetMode="External"/><Relationship Id="rId318" Type="http://schemas.openxmlformats.org/officeDocument/2006/relationships/hyperlink" Target="https://techcombank.com/thong-tin/blog/tat-toan-chung-chi-tien-gui" TargetMode="External"/><Relationship Id="rId317" Type="http://schemas.openxmlformats.org/officeDocument/2006/relationships/hyperlink" Target="https://techcombank.com/thong-tin/blog/lai-suat-chung-chi-tien-gui-cac-ngan-hang" TargetMode="External"/><Relationship Id="rId312" Type="http://schemas.openxmlformats.org/officeDocument/2006/relationships/hyperlink" Target="https://techcombank.com/thong-tin/blog/chung-chi-tien-gui-co-an-toan-khong" TargetMode="External"/><Relationship Id="rId311" Type="http://schemas.openxmlformats.org/officeDocument/2006/relationships/hyperlink" Target="https://techcombank.com/thong-tin/blog/chung-chi-tien-gui-la-gi" TargetMode="External"/><Relationship Id="rId310" Type="http://schemas.openxmlformats.org/officeDocument/2006/relationships/hyperlink" Target="https://techcombank.com/thong-tin/blog/co-nen-gui-chung-chi-tien-gui" TargetMode="External"/><Relationship Id="rId297" Type="http://schemas.openxmlformats.org/officeDocument/2006/relationships/hyperlink" Target="https://techcombank.com/thong-tin/blog/cach-thanh-toan-the-tin-dung" TargetMode="External"/><Relationship Id="rId296" Type="http://schemas.openxmlformats.org/officeDocument/2006/relationships/hyperlink" Target="https://techcombank.com/thong-tin/blog/thanh-toan-toi-thieu-the-tin-dung" TargetMode="External"/><Relationship Id="rId295" Type="http://schemas.openxmlformats.org/officeDocument/2006/relationships/hyperlink" Target="https://techcombank.com/thong-tin/blog/cach-thanh-toan-the-tin-dung" TargetMode="External"/><Relationship Id="rId294" Type="http://schemas.openxmlformats.org/officeDocument/2006/relationships/hyperlink" Target="https://techcombank.com/thong-tin/blog/no-xau-co-vay-the-chap-duoc-khong" TargetMode="External"/><Relationship Id="rId299" Type="http://schemas.openxmlformats.org/officeDocument/2006/relationships/hyperlink" Target="https://techcombank.com/thong-tin/blog/cach-thanh-toan-the-tin-dung" TargetMode="External"/><Relationship Id="rId298" Type="http://schemas.openxmlformats.org/officeDocument/2006/relationships/hyperlink" Target="https://techcombank.com/thong-tin/blog/qua-han-thanh-toan-the-tin-dung-1-ngay" TargetMode="External"/><Relationship Id="rId271" Type="http://schemas.openxmlformats.org/officeDocument/2006/relationships/hyperlink" Target="https://techcombank.com/thong-tin/blog/the-tin-dung-hoan-tien" TargetMode="External"/><Relationship Id="rId270" Type="http://schemas.openxmlformats.org/officeDocument/2006/relationships/hyperlink" Target="https://techcombank.com/thong-tin/blog/thanh-toan-tien-dien-bang-the-tin-dung" TargetMode="External"/><Relationship Id="rId269" Type="http://schemas.openxmlformats.org/officeDocument/2006/relationships/hyperlink" Target="https://techcombank.com/thong-tin/blog/the-tin-dung-hoan-tien" TargetMode="External"/><Relationship Id="rId264" Type="http://schemas.openxmlformats.org/officeDocument/2006/relationships/hyperlink" Target="https://techcombank.com/thong-tin/blog/uu-dai-the-tin-dung" TargetMode="External"/><Relationship Id="rId263" Type="http://schemas.openxmlformats.org/officeDocument/2006/relationships/hyperlink" Target="https://techcombank.com/khach-hang-ca-nhan/chi-tieu/the/the-tin-dung/techcombank-everyday" TargetMode="External"/><Relationship Id="rId262" Type="http://schemas.openxmlformats.org/officeDocument/2006/relationships/hyperlink" Target="https://techcombank.com/thong-tin/blog/thoi-gian-hoan-tien-the-tin-dung" TargetMode="External"/><Relationship Id="rId261" Type="http://schemas.openxmlformats.org/officeDocument/2006/relationships/hyperlink" Target="https://techcombank.com/khach-hang-ca-nhan/chi-tieu/the/the-tin-dung/techcombank-everyday" TargetMode="External"/><Relationship Id="rId268" Type="http://schemas.openxmlformats.org/officeDocument/2006/relationships/hyperlink" Target="https://techcombank.com/thong-tin/blog/mo-the-tin-dung-co-loi-ich-gi" TargetMode="External"/><Relationship Id="rId267" Type="http://schemas.openxmlformats.org/officeDocument/2006/relationships/hyperlink" Target="https://techcombank.com/khach-hang-ca-nhan/chi-tieu/the/the-tin-dung/techcombank-everyday" TargetMode="External"/><Relationship Id="rId266" Type="http://schemas.openxmlformats.org/officeDocument/2006/relationships/hyperlink" Target="https://techcombank.com/thong-tin/blog/cac-loai-the-tin-dung" TargetMode="External"/><Relationship Id="rId265" Type="http://schemas.openxmlformats.org/officeDocument/2006/relationships/hyperlink" Target="https://techcombank.com/khach-hang-ca-nhan/chi-tieu/the/the-tin-dung/techcombank-everyday" TargetMode="External"/><Relationship Id="rId260" Type="http://schemas.openxmlformats.org/officeDocument/2006/relationships/hyperlink" Target="https://techcombank.com/thong-tin/blog/the-tin-dung-nao-nhieu-uu-dai-nhat" TargetMode="External"/><Relationship Id="rId259" Type="http://schemas.openxmlformats.org/officeDocument/2006/relationships/hyperlink" Target="https://techcombank.com/khach-hang-ca-nhan/chi-tieu/the/the-tin-dung/techcombank-everyday" TargetMode="External"/><Relationship Id="rId258" Type="http://schemas.openxmlformats.org/officeDocument/2006/relationships/hyperlink" Target="https://techcombank.com/thong-tin/blog/co-nen-dung-the-tin-dung-khong" TargetMode="External"/><Relationship Id="rId253" Type="http://schemas.openxmlformats.org/officeDocument/2006/relationships/hyperlink" Target="https://techcombank.com/thong-tin/blog/lam-the-tin-dung" TargetMode="External"/><Relationship Id="rId252" Type="http://schemas.openxmlformats.org/officeDocument/2006/relationships/hyperlink" Target="https://techcombank.com/thong-tin/blog/mo-the-tin-dung-chi-can-cccd" TargetMode="External"/><Relationship Id="rId251" Type="http://schemas.openxmlformats.org/officeDocument/2006/relationships/hyperlink" Target="https://techcombank.com/thong-tin/blog/lam-the-tin-dung" TargetMode="External"/><Relationship Id="rId250" Type="http://schemas.openxmlformats.org/officeDocument/2006/relationships/hyperlink" Target="https://techcombank.com/thong-tin/blog/the-tin-dung-la-gi" TargetMode="External"/><Relationship Id="rId257" Type="http://schemas.openxmlformats.org/officeDocument/2006/relationships/hyperlink" Target="https://techcombank.com/thong-tin/blog/lam-the-tin-dung" TargetMode="External"/><Relationship Id="rId256" Type="http://schemas.openxmlformats.org/officeDocument/2006/relationships/hyperlink" Target="https://techcombank.com/thong-tin/blog/mo-the-tin-dung-khong-can-chung-minh-thu-nhap" TargetMode="External"/><Relationship Id="rId255" Type="http://schemas.openxmlformats.org/officeDocument/2006/relationships/hyperlink" Target="https://techcombank.com/thong-tin/blog/lam-the-tin-dung" TargetMode="External"/><Relationship Id="rId254" Type="http://schemas.openxmlformats.org/officeDocument/2006/relationships/hyperlink" Target="https://techcombank.com/thong-tin/blog/lam-the-tin-dung-co-mat-phi-khong" TargetMode="External"/><Relationship Id="rId293" Type="http://schemas.openxmlformats.org/officeDocument/2006/relationships/hyperlink" Target="https://techcombank.com/thong-tin/blog/xep-hang-tin-dung" TargetMode="External"/><Relationship Id="rId292" Type="http://schemas.openxmlformats.org/officeDocument/2006/relationships/hyperlink" Target="https://techcombank.com/thong-tin/blog/dieu-kien-vay-von-ngan-hang" TargetMode="External"/><Relationship Id="rId291" Type="http://schemas.openxmlformats.org/officeDocument/2006/relationships/hyperlink" Target="https://techcombank.com/thong-tin/blog/xep-hang-tin-dung" TargetMode="External"/><Relationship Id="rId290" Type="http://schemas.openxmlformats.org/officeDocument/2006/relationships/hyperlink" Target="https://techcombank.com/thong-tin/blog/lich-su-tin-dung" TargetMode="External"/><Relationship Id="rId286" Type="http://schemas.openxmlformats.org/officeDocument/2006/relationships/hyperlink" Target="https://techcombank.com/thong-tin/blog/the-tin-dung-bi-khoa" TargetMode="External"/><Relationship Id="rId285" Type="http://schemas.openxmlformats.org/officeDocument/2006/relationships/hyperlink" Target="https://techcombank.com/thong-tin/blog/cach-huy-the-tin-dung" TargetMode="External"/><Relationship Id="rId284" Type="http://schemas.openxmlformats.org/officeDocument/2006/relationships/hyperlink" Target="https://techcombank.com/thong-tin/blog/cach-khoa-the-ngan-hang" TargetMode="External"/><Relationship Id="rId283" Type="http://schemas.openxmlformats.org/officeDocument/2006/relationships/hyperlink" Target="https://techcombank.com/thong-tin/blog/cach-huy-the-tin-dung" TargetMode="External"/><Relationship Id="rId289" Type="http://schemas.openxmlformats.org/officeDocument/2006/relationships/hyperlink" Target="https://techcombank.com/thong-tin/blog/xep-hang-tin-dung" TargetMode="External"/><Relationship Id="rId288" Type="http://schemas.openxmlformats.org/officeDocument/2006/relationships/hyperlink" Target="https://techcombank.com/thong-tin/blog/the-tin-dung-het-han" TargetMode="External"/><Relationship Id="rId287" Type="http://schemas.openxmlformats.org/officeDocument/2006/relationships/hyperlink" Target="https://techcombank.com/thong-tin/blog/cach-huy-the-tin-dung" TargetMode="External"/><Relationship Id="rId282" Type="http://schemas.openxmlformats.org/officeDocument/2006/relationships/hyperlink" Target="https://techcombank.com/thong-tin/blog/khong-su-dung-the-tin-dung-co-mat-phi-khong" TargetMode="External"/><Relationship Id="rId281" Type="http://schemas.openxmlformats.org/officeDocument/2006/relationships/hyperlink" Target="https://techcombank.com/thong-tin/blog/cach-huy-the-tin-dung" TargetMode="External"/><Relationship Id="rId280" Type="http://schemas.openxmlformats.org/officeDocument/2006/relationships/hyperlink" Target="https://techcombank.com/thong-tin/blog/phi-thuong-nien-la-gi" TargetMode="External"/><Relationship Id="rId275" Type="http://schemas.openxmlformats.org/officeDocument/2006/relationships/hyperlink" Target="https://techcombank.com/thong-tin/blog/the-tin-dung-hoan-tien" TargetMode="External"/><Relationship Id="rId274" Type="http://schemas.openxmlformats.org/officeDocument/2006/relationships/hyperlink" Target="https://techcombank.com/thong-tin/blog/uu-dai-mo-the-tin-dung" TargetMode="External"/><Relationship Id="rId273" Type="http://schemas.openxmlformats.org/officeDocument/2006/relationships/hyperlink" Target="https://techcombank.com/thong-tin/blog/the-tin-dung-hoan-tien" TargetMode="External"/><Relationship Id="rId272" Type="http://schemas.openxmlformats.org/officeDocument/2006/relationships/hyperlink" Target="https://techcombank.com/thong-tin/blog/cashback-the-thanh-toan" TargetMode="External"/><Relationship Id="rId279" Type="http://schemas.openxmlformats.org/officeDocument/2006/relationships/hyperlink" Target="https://techcombank.com/thong-tin/blog/cach-huy-the-tin-dung" TargetMode="External"/><Relationship Id="rId278" Type="http://schemas.openxmlformats.org/officeDocument/2006/relationships/hyperlink" Target="https://techcombank.com/thong-tin/blog/cach-su-dung-the-tin-dung" TargetMode="External"/><Relationship Id="rId277" Type="http://schemas.openxmlformats.org/officeDocument/2006/relationships/hyperlink" Target="https://techcombank.com/thong-tin/blog/the-tin-dung-hoan-tien" TargetMode="External"/><Relationship Id="rId276" Type="http://schemas.openxmlformats.org/officeDocument/2006/relationships/hyperlink" Target="https://techcombank.com/thong-tin/blog/the-tin-dung-mien-phi-thuong-nien" TargetMode="External"/><Relationship Id="rId228" Type="http://schemas.openxmlformats.org/officeDocument/2006/relationships/hyperlink" Target="https://techcombank.com/thong-tin/blog/the-ghi-no-visa-la-gi" TargetMode="External"/><Relationship Id="rId227" Type="http://schemas.openxmlformats.org/officeDocument/2006/relationships/hyperlink" Target="https://techcombank.com/thong-tin/blog/eco-card" TargetMode="External"/><Relationship Id="rId226" Type="http://schemas.openxmlformats.org/officeDocument/2006/relationships/hyperlink" Target="https://techcombank.com/thong-tin/blog/xu-huong-song-xanh" TargetMode="External"/><Relationship Id="rId225" Type="http://schemas.openxmlformats.org/officeDocument/2006/relationships/hyperlink" Target="https://techcombank.com/thong-tin/blog/eco-card" TargetMode="External"/><Relationship Id="rId229" Type="http://schemas.openxmlformats.org/officeDocument/2006/relationships/hyperlink" Target="https://techcombank.com/thong-tin/blog/cic-la-gi" TargetMode="External"/><Relationship Id="rId220" Type="http://schemas.openxmlformats.org/officeDocument/2006/relationships/hyperlink" Target="https://techcombank.com/thong-tin/blog/mo-tai-khoan-ngan-hang-bang-so-dien-thoai" TargetMode="External"/><Relationship Id="rId224" Type="http://schemas.openxmlformats.org/officeDocument/2006/relationships/hyperlink" Target="https://techcombank.com/thong-tin/blog/san-pham-xanh" TargetMode="External"/><Relationship Id="rId223" Type="http://schemas.openxmlformats.org/officeDocument/2006/relationships/hyperlink" Target="https://techcombank.com/thong-tin/blog/eco-card" TargetMode="External"/><Relationship Id="rId222" Type="http://schemas.openxmlformats.org/officeDocument/2006/relationships/hyperlink" Target="https://techcombank.com/thong-tin/blog/dau-chan-carbon" TargetMode="External"/><Relationship Id="rId221" Type="http://schemas.openxmlformats.org/officeDocument/2006/relationships/hyperlink" Target="https://techcombank.com/thong-tin/blog/eco-card" TargetMode="External"/><Relationship Id="rId217" Type="http://schemas.openxmlformats.org/officeDocument/2006/relationships/hyperlink" Target="https://techcombank.com/thong-tin/blog/cach-quet-nfc-cccd-tren-iphone" TargetMode="External"/><Relationship Id="rId216" Type="http://schemas.openxmlformats.org/officeDocument/2006/relationships/hyperlink" Target="https://techcombank.com/thong-tin/blog/ekyc-la-gi" TargetMode="External"/><Relationship Id="rId215" Type="http://schemas.openxmlformats.org/officeDocument/2006/relationships/hyperlink" Target="https://techcombank.com/thong-tin/blog/cach-quet-nfc-cccd-tren-iphone" TargetMode="External"/><Relationship Id="rId214" Type="http://schemas.openxmlformats.org/officeDocument/2006/relationships/hyperlink" Target="https://techcombank.com/thong-tin/blog/cach-lien-ket-tai-khoan-ngan-hang-voi-vneid" TargetMode="External"/><Relationship Id="rId219" Type="http://schemas.openxmlformats.org/officeDocument/2006/relationships/hyperlink" Target="https://techcombank.com/thong-tin/blog/cach-quet-nfc-cccd-tren-iphone" TargetMode="External"/><Relationship Id="rId218" Type="http://schemas.openxmlformats.org/officeDocument/2006/relationships/hyperlink" Target="https://techcombank.com/thong-tin/blog/cach-dang-ky-dinh-danh-muc-2" TargetMode="External"/><Relationship Id="rId213" Type="http://schemas.openxmlformats.org/officeDocument/2006/relationships/hyperlink" Target="https://techcombank.com/thong-tin/blog/cach-quet-nfc-cccd-tren-iphone" TargetMode="External"/><Relationship Id="rId212" Type="http://schemas.openxmlformats.org/officeDocument/2006/relationships/hyperlink" Target="https://techcombank.com/thong-tin/blog/xac-thuc-sinh-trac-hoc-khi-chuyen-tien" TargetMode="External"/><Relationship Id="rId211" Type="http://schemas.openxmlformats.org/officeDocument/2006/relationships/hyperlink" Target="https://techcombank.com/thong-tin/blog/cach-quet-nfc-cccd-tren-iphone" TargetMode="External"/><Relationship Id="rId210" Type="http://schemas.openxmlformats.org/officeDocument/2006/relationships/hyperlink" Target="https://techcombank.com/thong-tin/blog/cay-atm-gan-day" TargetMode="External"/><Relationship Id="rId249" Type="http://schemas.openxmlformats.org/officeDocument/2006/relationships/hyperlink" Target="https://techcombank.com/thong-tin/blog/lam-the-tin-dung" TargetMode="External"/><Relationship Id="rId248" Type="http://schemas.openxmlformats.org/officeDocument/2006/relationships/hyperlink" Target="https://techcombank.com/thong-tin/blog/lai-suat-the-tin-dung" TargetMode="External"/><Relationship Id="rId247" Type="http://schemas.openxmlformats.org/officeDocument/2006/relationships/hyperlink" Target="https://techcombank.com/thong-tin/blog/rut-tien-mat-tu-the-tin-dung" TargetMode="External"/><Relationship Id="rId242" Type="http://schemas.openxmlformats.org/officeDocument/2006/relationships/hyperlink" Target="https://techcombank.com/thong-tin/blog/the-visa-co-rut-tien-duoc-khong" TargetMode="External"/><Relationship Id="rId241" Type="http://schemas.openxmlformats.org/officeDocument/2006/relationships/hyperlink" Target="https://techcombank.com/thong-tin/blog/rut-tien-mat-tu-the-tin-dung" TargetMode="External"/><Relationship Id="rId240" Type="http://schemas.openxmlformats.org/officeDocument/2006/relationships/hyperlink" Target="https://techcombank.com/thong-tin/blog/phi-rut-tien-mat-the-tin-dung" TargetMode="External"/><Relationship Id="rId246" Type="http://schemas.openxmlformats.org/officeDocument/2006/relationships/hyperlink" Target="https://techcombank.com/thong-tin/blog/han-muc-the-tin-dung" TargetMode="External"/><Relationship Id="rId245" Type="http://schemas.openxmlformats.org/officeDocument/2006/relationships/hyperlink" Target="https://techcombank.com/thong-tin/blog/rut-tien-mat-tu-the-tin-dung" TargetMode="External"/><Relationship Id="rId244" Type="http://schemas.openxmlformats.org/officeDocument/2006/relationships/hyperlink" Target="https://techcombank.com/thong-tin/blog/the-tin-dung-co-chuyen-khoan-duoc-khong" TargetMode="External"/><Relationship Id="rId243" Type="http://schemas.openxmlformats.org/officeDocument/2006/relationships/hyperlink" Target="https://techcombank.com/thong-tin/blog/rut-tien-mat-tu-the-tin-dung" TargetMode="External"/><Relationship Id="rId239" Type="http://schemas.openxmlformats.org/officeDocument/2006/relationships/hyperlink" Target="https://techcombank.com/thong-tin/blog/rut-tien-mat-tu-the-tin-dung" TargetMode="External"/><Relationship Id="rId238" Type="http://schemas.openxmlformats.org/officeDocument/2006/relationships/hyperlink" Target="https://techcombank.com/thong-tin/blog/no-xau-nhom-2" TargetMode="External"/><Relationship Id="rId237" Type="http://schemas.openxmlformats.org/officeDocument/2006/relationships/hyperlink" Target="https://techcombank.com/thong-tin/blog/cic-la-gi" TargetMode="External"/><Relationship Id="rId236" Type="http://schemas.openxmlformats.org/officeDocument/2006/relationships/hyperlink" Target="https://techcombank.com/thong-tin/blog/no-chu-y-la-gi" TargetMode="External"/><Relationship Id="rId231" Type="http://schemas.openxmlformats.org/officeDocument/2006/relationships/hyperlink" Target="https://techcombank.com/thong-tin/blog/cic-la-gi" TargetMode="External"/><Relationship Id="rId230" Type="http://schemas.openxmlformats.org/officeDocument/2006/relationships/hyperlink" Target="https://techcombank.com/thong-tin/blog/diem-tin-dung" TargetMode="External"/><Relationship Id="rId235" Type="http://schemas.openxmlformats.org/officeDocument/2006/relationships/hyperlink" Target="https://techcombank.com/thong-tin/blog/cic-la-gi" TargetMode="External"/><Relationship Id="rId234" Type="http://schemas.openxmlformats.org/officeDocument/2006/relationships/hyperlink" Target="https://techcombank.com/thong-tin/blog/no-nhom-3" TargetMode="External"/><Relationship Id="rId233" Type="http://schemas.openxmlformats.org/officeDocument/2006/relationships/hyperlink" Target="https://techcombank.com/thong-tin/blog/cic-la-gi" TargetMode="External"/><Relationship Id="rId232" Type="http://schemas.openxmlformats.org/officeDocument/2006/relationships/hyperlink" Target="https://techcombank.com/thong-tin/blog/lich-su-tin-dung" TargetMode="External"/><Relationship Id="rId206" Type="http://schemas.openxmlformats.org/officeDocument/2006/relationships/hyperlink" Target="https://techcombank.com/thong-tin/blog/the-atm-khong-rut-duoc-tien" TargetMode="External"/><Relationship Id="rId205" Type="http://schemas.openxmlformats.org/officeDocument/2006/relationships/hyperlink" Target="https://techcombank.com/thong-tin/blog/rut-tien-bang-ma-qr-la-gi-cach-thuc-hien-nhu-the-nao" TargetMode="External"/><Relationship Id="rId204" Type="http://schemas.openxmlformats.org/officeDocument/2006/relationships/hyperlink" Target="https://techcombank.com/thong-tin/blog/cach-rut-tien-atm" TargetMode="External"/><Relationship Id="rId203" Type="http://schemas.openxmlformats.org/officeDocument/2006/relationships/hyperlink" Target="https://techcombank.com/thong-tin/blog/rut-tien-bang-ma-qr-la-gi-cach-thuc-hien-nhu-the-nao" TargetMode="External"/><Relationship Id="rId209" Type="http://schemas.openxmlformats.org/officeDocument/2006/relationships/hyperlink" Target="https://techcombank.com/thong-tin/blog/rut-tien-bang-ma-qr-la-gi-cach-thuc-hien-nhu-the-nao" TargetMode="External"/><Relationship Id="rId208" Type="http://schemas.openxmlformats.org/officeDocument/2006/relationships/hyperlink" Target="https://techcombank.com/thong-tin/blog/bi-nuot-the-atm-phai-lam-sao" TargetMode="External"/><Relationship Id="rId207" Type="http://schemas.openxmlformats.org/officeDocument/2006/relationships/hyperlink" Target="https://techcombank.com/thong-tin/blog/rut-tien-bang-ma-qr-la-gi-cach-thuc-hien-nhu-the-nao" TargetMode="External"/><Relationship Id="rId202" Type="http://schemas.openxmlformats.org/officeDocument/2006/relationships/hyperlink" Target="https://techcombank.com/thong-tin/blog/rut-tien-bang-ma-qr-khac-ngan-hang-duoc-khong" TargetMode="External"/><Relationship Id="rId201" Type="http://schemas.openxmlformats.org/officeDocument/2006/relationships/hyperlink" Target="https://techcombank.com/thong-tin/blog/rut-tien-bang-ma-qr-la-gi-cach-thuc-hien-nhu-the-nao" TargetMode="External"/><Relationship Id="rId200" Type="http://schemas.openxmlformats.org/officeDocument/2006/relationships/hyperlink" Target="https://techcombank.com/thong-tin/blog/tra-cuu-no-thue-ca-nhan" TargetMode="External"/><Relationship Id="rId509" Type="http://schemas.openxmlformats.org/officeDocument/2006/relationships/hyperlink" Target="https://techcombank.com/thong-tin/blog/lai-suat-vay-the-chap-so-do" TargetMode="External"/><Relationship Id="rId508" Type="http://schemas.openxmlformats.org/officeDocument/2006/relationships/hyperlink" Target="https://techcombank.com/thong-tin/blog/kinh-nghiem-vay-the-chap-ngan-hang" TargetMode="External"/><Relationship Id="rId503" Type="http://schemas.openxmlformats.org/officeDocument/2006/relationships/hyperlink" Target="https://techcombank.com/thong-tin/blog/lai-suat-vay-the-chap-so-do" TargetMode="External"/><Relationship Id="rId502" Type="http://schemas.openxmlformats.org/officeDocument/2006/relationships/hyperlink" Target="https://techcombank.com/thong-tin/blog/vay-tra-gop" TargetMode="External"/><Relationship Id="rId501" Type="http://schemas.openxmlformats.org/officeDocument/2006/relationships/hyperlink" Target="https://techcombank.com/thong-tin/blog/cach-tinh-lai-vay-ngan-hang" TargetMode="External"/><Relationship Id="rId500" Type="http://schemas.openxmlformats.org/officeDocument/2006/relationships/hyperlink" Target="https://techcombank.com/thong-tin/blog/cong-thuc-tinh-lai-suat-thuc" TargetMode="External"/><Relationship Id="rId507" Type="http://schemas.openxmlformats.org/officeDocument/2006/relationships/hyperlink" Target="https://techcombank.com/thong-tin/blog/lai-suat-vay-the-chap-so-do" TargetMode="External"/><Relationship Id="rId506" Type="http://schemas.openxmlformats.org/officeDocument/2006/relationships/hyperlink" Target="https://techcombank.com/thong-tin/blog/vay-the-chap-so-hong" TargetMode="External"/><Relationship Id="rId505" Type="http://schemas.openxmlformats.org/officeDocument/2006/relationships/hyperlink" Target="https://techcombank.com/thong-tin/blog/lai-suat-vay-the-chap-so-do" TargetMode="External"/><Relationship Id="rId504" Type="http://schemas.openxmlformats.org/officeDocument/2006/relationships/hyperlink" Target="https://techcombank.com/thong-tin/blog/han-muc-vay-the-chap-so-do" TargetMode="External"/><Relationship Id="rId525" Type="http://schemas.openxmlformats.org/officeDocument/2006/relationships/hyperlink" Target="https://techcombank.com/thong-tin/blog/lai-suat-tiet-kiem" TargetMode="External"/><Relationship Id="rId524" Type="http://schemas.openxmlformats.org/officeDocument/2006/relationships/hyperlink" Target="https://techcombank.com/thong-tin/blog/co-nen-gui-tiet-kiem-ngan-hang" TargetMode="External"/><Relationship Id="rId523" Type="http://schemas.openxmlformats.org/officeDocument/2006/relationships/hyperlink" Target="https://techcombank.com/thong-tin/blog/lai-suat-tiet-kiem" TargetMode="External"/><Relationship Id="rId522" Type="http://schemas.openxmlformats.org/officeDocument/2006/relationships/hyperlink" Target="https://techcombank.com/thong-tin/blog/tai-sao-gui-tiet-kiem-online-lai-suat-cao-hon" TargetMode="External"/><Relationship Id="rId529" Type="http://schemas.openxmlformats.org/officeDocument/2006/relationships/hyperlink" Target="https://techcombank.com/thong-tin/blog/cach-tinh-lai-suat-tien-gui-tiet-kiem" TargetMode="External"/><Relationship Id="rId528" Type="http://schemas.openxmlformats.org/officeDocument/2006/relationships/hyperlink" Target="https://techcombank.com/thong-tin/blog/so-sanh-gui-tiet-kiem-online-va-tai-quay" TargetMode="External"/><Relationship Id="rId527" Type="http://schemas.openxmlformats.org/officeDocument/2006/relationships/hyperlink" Target="https://techcombank.com/thong-tin/blog/lai-suat-tiet-kiem" TargetMode="External"/><Relationship Id="rId526" Type="http://schemas.openxmlformats.org/officeDocument/2006/relationships/hyperlink" Target="https://techcombank.com/thong-tin/blog/tien-gui-co-ky-han" TargetMode="External"/><Relationship Id="rId521" Type="http://schemas.openxmlformats.org/officeDocument/2006/relationships/hyperlink" Target="https://techcombank.com/thong-tin/blog/lai-suat-tiet-kiem" TargetMode="External"/><Relationship Id="rId520" Type="http://schemas.openxmlformats.org/officeDocument/2006/relationships/hyperlink" Target="https://techcombank.com/thong-tin/blog/nen-gui-tiet-kiem-6-thang-hay-1-nam" TargetMode="External"/><Relationship Id="rId519" Type="http://schemas.openxmlformats.org/officeDocument/2006/relationships/hyperlink" Target="https://techcombank.com/thong-tin/blog/lai-suat-tiet-kiem" TargetMode="External"/><Relationship Id="rId514" Type="http://schemas.openxmlformats.org/officeDocument/2006/relationships/hyperlink" Target="https://techcombank.com/thong-tin/blog/quy-trinh-tat-toan-khoan-vay-the-chap" TargetMode="External"/><Relationship Id="rId513" Type="http://schemas.openxmlformats.org/officeDocument/2006/relationships/hyperlink" Target="https://techcombank.com/thong-tin/blog/ho-so-thu-tuc-xoa-the-chap" TargetMode="External"/><Relationship Id="rId512" Type="http://schemas.openxmlformats.org/officeDocument/2006/relationships/hyperlink" Target="https://techcombank.com/thong-tin/blog/vay-the-chap-la-gi" TargetMode="External"/><Relationship Id="rId511" Type="http://schemas.openxmlformats.org/officeDocument/2006/relationships/hyperlink" Target="https://techcombank.com/thong-tin/blog/lai-suat-vay-the-chap-so-do" TargetMode="External"/><Relationship Id="rId518" Type="http://schemas.openxmlformats.org/officeDocument/2006/relationships/hyperlink" Target="https://techcombank.com/thong-tin/blog/the-chap-la-gi" TargetMode="External"/><Relationship Id="rId517" Type="http://schemas.openxmlformats.org/officeDocument/2006/relationships/hyperlink" Target="https://techcombank.com/thong-tin/blog/ho-so-thu-tuc-xoa-the-chap" TargetMode="External"/><Relationship Id="rId516" Type="http://schemas.openxmlformats.org/officeDocument/2006/relationships/hyperlink" Target="https://techcombank.com/thong-tin/blog/tat-toan" TargetMode="External"/><Relationship Id="rId515" Type="http://schemas.openxmlformats.org/officeDocument/2006/relationships/hyperlink" Target="https://techcombank.com/thong-tin/blog/ho-so-thu-tuc-xoa-the-chap" TargetMode="External"/><Relationship Id="rId510" Type="http://schemas.openxmlformats.org/officeDocument/2006/relationships/hyperlink" Target="https://techcombank.com/thong-tin/blog/nen-vay-the-chap-ngan-hang-nao" TargetMode="External"/><Relationship Id="rId590" Type="http://schemas.openxmlformats.org/officeDocument/2006/relationships/hyperlink" Target="https://techcombank.com/thong-tin/blog/cach-tiet-kiem-100-trieu-1-nam" TargetMode="External"/><Relationship Id="rId589" Type="http://schemas.openxmlformats.org/officeDocument/2006/relationships/hyperlink" Target="https://techcombank.com/cong-cu-tien-ich/cong-cu-tinh-toan/bang-tinh-lai-suat-tiet-kiem" TargetMode="External"/><Relationship Id="rId588" Type="http://schemas.openxmlformats.org/officeDocument/2006/relationships/hyperlink" Target="https://techcombank.com/thong-tin/blog/dang-vay-tra-gop-co-vay-them-duoc-khong" TargetMode="External"/><Relationship Id="rId583" Type="http://schemas.openxmlformats.org/officeDocument/2006/relationships/hyperlink" Target="https://techcombank.com/cong-cu-tien-ich/cong-cu-tinh-toan/bang-tinh-lai-suat-vay" TargetMode="External"/><Relationship Id="rId582" Type="http://schemas.openxmlformats.org/officeDocument/2006/relationships/hyperlink" Target="https://techcombank.com/thong-tin/blog/vay-200-trieu" TargetMode="External"/><Relationship Id="rId581" Type="http://schemas.openxmlformats.org/officeDocument/2006/relationships/hyperlink" Target="https://techcombank.com/cong-cu-tien-ich/cong-cu-tinh-toan/bang-tinh-lai-suat-vay" TargetMode="External"/><Relationship Id="rId580" Type="http://schemas.openxmlformats.org/officeDocument/2006/relationships/hyperlink" Target="https://techcombank.com/thong-tin/blog/vay-100-trieu" TargetMode="External"/><Relationship Id="rId587" Type="http://schemas.openxmlformats.org/officeDocument/2006/relationships/hyperlink" Target="https://techcombank.com/cong-cu-tien-ich/cong-cu-tinh-toan/bang-tinh-lai-suat-vay" TargetMode="External"/><Relationship Id="rId586" Type="http://schemas.openxmlformats.org/officeDocument/2006/relationships/hyperlink" Target="https://techcombank.com/thong-tin/blog/vay-tra-gop" TargetMode="External"/><Relationship Id="rId585" Type="http://schemas.openxmlformats.org/officeDocument/2006/relationships/hyperlink" Target="https://techcombank.com/cong-cu-tien-ich/cong-cu-tinh-toan/bang-tinh-lai-suat-vay" TargetMode="External"/><Relationship Id="rId584" Type="http://schemas.openxmlformats.org/officeDocument/2006/relationships/hyperlink" Target="https://techcombank.com/thong-tin/blog/vay-300-trieu" TargetMode="External"/><Relationship Id="rId579" Type="http://schemas.openxmlformats.org/officeDocument/2006/relationships/hyperlink" Target="https://techcombank.com/cong-cu-tien-ich/cong-cu-tinh-toan/bang-tinh-lai-suat-vay" TargetMode="External"/><Relationship Id="rId578" Type="http://schemas.openxmlformats.org/officeDocument/2006/relationships/hyperlink" Target="https://techcombank.com/thong-tin/blog/rui-ro-khi-gui-tiet-kiem-ngan-hang" TargetMode="External"/><Relationship Id="rId577" Type="http://schemas.openxmlformats.org/officeDocument/2006/relationships/hyperlink" Target="https://techcombank.com/thong-tin/blog/rui-ro-khi-gui-tiet-kiem-online" TargetMode="External"/><Relationship Id="rId572" Type="http://schemas.openxmlformats.org/officeDocument/2006/relationships/hyperlink" Target="https://techcombank.com/thong-tin/blog/gui-tiet-kiem-online-bi-mat-tien" TargetMode="External"/><Relationship Id="rId571" Type="http://schemas.openxmlformats.org/officeDocument/2006/relationships/hyperlink" Target="https://techcombank.com/thong-tin/blog/rui-ro-khi-gui-tiet-kiem-online" TargetMode="External"/><Relationship Id="rId570" Type="http://schemas.openxmlformats.org/officeDocument/2006/relationships/hyperlink" Target="https://techcombank.com/thong-tin/blog/co-nen-gui-tiet-kiem-online" TargetMode="External"/><Relationship Id="rId576" Type="http://schemas.openxmlformats.org/officeDocument/2006/relationships/hyperlink" Target="https://techcombank.com/thong-tin/blog/cach-gui-tiet-kiem-online" TargetMode="External"/><Relationship Id="rId575" Type="http://schemas.openxmlformats.org/officeDocument/2006/relationships/hyperlink" Target="https://techcombank.com/thong-tin/blog/rui-ro-khi-gui-tiet-kiem-online" TargetMode="External"/><Relationship Id="rId574" Type="http://schemas.openxmlformats.org/officeDocument/2006/relationships/hyperlink" Target="https://techcombank.com/thong-tin/blog/kinh-nghiem-gui-tiet-kiem-online" TargetMode="External"/><Relationship Id="rId573" Type="http://schemas.openxmlformats.org/officeDocument/2006/relationships/hyperlink" Target="https://techcombank.com/thong-tin/blog/rui-ro-khi-gui-tiet-kiem-online" TargetMode="External"/><Relationship Id="rId599" Type="http://schemas.openxmlformats.org/officeDocument/2006/relationships/hyperlink" Target="https://techcombank.com/thong-tin/blog/app-vay-tien-nhanh" TargetMode="External"/><Relationship Id="rId594" Type="http://schemas.openxmlformats.org/officeDocument/2006/relationships/hyperlink" Target="https://techcombank.com/thong-tin/blog/gui-tiet-kiem-tich-luy-la-gi" TargetMode="External"/><Relationship Id="rId593" Type="http://schemas.openxmlformats.org/officeDocument/2006/relationships/hyperlink" Target="https://techcombank.com/cong-cu-tien-ich/cong-cu-tinh-toan/bang-tinh-lai-suat-tiet-kiem" TargetMode="External"/><Relationship Id="rId592" Type="http://schemas.openxmlformats.org/officeDocument/2006/relationships/hyperlink" Target="https://techcombank.com/thong-tin/blog/co-50-trieu-nen-mua-vang-hay-gui-tiet-kiem" TargetMode="External"/><Relationship Id="rId591" Type="http://schemas.openxmlformats.org/officeDocument/2006/relationships/hyperlink" Target="https://techcombank.com/cong-cu-tien-ich/cong-cu-tinh-toan/bang-tinh-lai-suat-tiet-kiem" TargetMode="External"/><Relationship Id="rId598" Type="http://schemas.openxmlformats.org/officeDocument/2006/relationships/hyperlink" Target="https://techcombank.com/thong-tin/blog/nen-de-tien-trong-the-hay-gui-tiet-kiem" TargetMode="External"/><Relationship Id="rId597" Type="http://schemas.openxmlformats.org/officeDocument/2006/relationships/hyperlink" Target="https://techcombank.com/cong-cu-tien-ich/cong-cu-tinh-toan/bang-tinh-lai-suat-tiet-kiem" TargetMode="External"/><Relationship Id="rId596" Type="http://schemas.openxmlformats.org/officeDocument/2006/relationships/hyperlink" Target="https://techcombank.com/thong-tin/blog/quy-trinh-gui-tien-tiet-kiem" TargetMode="External"/><Relationship Id="rId595" Type="http://schemas.openxmlformats.org/officeDocument/2006/relationships/hyperlink" Target="https://techcombank.com/cong-cu-tien-ich/cong-cu-tinh-toan/bang-tinh-lai-suat-tiet-kiem" TargetMode="External"/><Relationship Id="rId547" Type="http://schemas.openxmlformats.org/officeDocument/2006/relationships/hyperlink" Target="https://techcombank.com/thong-tin/blog/rut-tien-tiet-kiem-truoc-thoi-han" TargetMode="External"/><Relationship Id="rId546" Type="http://schemas.openxmlformats.org/officeDocument/2006/relationships/hyperlink" Target="https://techcombank.com/thong-tin/blog/mat-so-tiet-kiem" TargetMode="External"/><Relationship Id="rId545" Type="http://schemas.openxmlformats.org/officeDocument/2006/relationships/hyperlink" Target="https://techcombank.com/thong-tin/blog/rut-tien-tiet-kiem-truoc-thoi-han" TargetMode="External"/><Relationship Id="rId544" Type="http://schemas.openxmlformats.org/officeDocument/2006/relationships/hyperlink" Target="https://techcombank.com/thong-tin/blog/vay-thau-chi-bang-so-tiet-kiem" TargetMode="External"/><Relationship Id="rId549" Type="http://schemas.openxmlformats.org/officeDocument/2006/relationships/hyperlink" Target="https://techcombank.com/thong-tin/blog/so-tiet-kiem-ngan-hang" TargetMode="External"/><Relationship Id="rId548" Type="http://schemas.openxmlformats.org/officeDocument/2006/relationships/hyperlink" Target="https://techcombank.com/thong-tin/blog/gui-them-tien-vao-so-tiet-kiem" TargetMode="External"/><Relationship Id="rId543" Type="http://schemas.openxmlformats.org/officeDocument/2006/relationships/hyperlink" Target="https://techcombank.com/thong-tin/blog/rut-tien-tiet-kiem-truoc-thoi-han" TargetMode="External"/><Relationship Id="rId542" Type="http://schemas.openxmlformats.org/officeDocument/2006/relationships/hyperlink" Target="https://techcombank.com/thong-tin/blog/gui-tiet-kiem-online-co-rut-truoc-han-duoc-khong" TargetMode="External"/><Relationship Id="rId541" Type="http://schemas.openxmlformats.org/officeDocument/2006/relationships/hyperlink" Target="https://techcombank.com/thong-tin/blog/rut-tien-tiet-kiem-truoc-thoi-han" TargetMode="External"/><Relationship Id="rId540" Type="http://schemas.openxmlformats.org/officeDocument/2006/relationships/hyperlink" Target="https://techcombank.com/thong-tin/blog/tat-toan-so-tiet-kiem" TargetMode="External"/><Relationship Id="rId536" Type="http://schemas.openxmlformats.org/officeDocument/2006/relationships/hyperlink" Target="https://techcombank.com/thong-tin/blog/tien-gui-khong-ky-han" TargetMode="External"/><Relationship Id="rId535" Type="http://schemas.openxmlformats.org/officeDocument/2006/relationships/hyperlink" Target="https://techcombank.com/thong-tin/blog/cach-tinh-lai-suat-tien-gui-tiet-kiem" TargetMode="External"/><Relationship Id="rId534" Type="http://schemas.openxmlformats.org/officeDocument/2006/relationships/hyperlink" Target="https://techcombank.com/thong-tin/blog/gui-tiet-kiem-hang-thang" TargetMode="External"/><Relationship Id="rId533" Type="http://schemas.openxmlformats.org/officeDocument/2006/relationships/hyperlink" Target="https://techcombank.com/thong-tin/blog/cach-tinh-lai-suat-tien-gui-tiet-kiem" TargetMode="External"/><Relationship Id="rId539" Type="http://schemas.openxmlformats.org/officeDocument/2006/relationships/hyperlink" Target="https://techcombank.com/thong-tin/blog/rut-tien-tiet-kiem-truoc-thoi-han" TargetMode="External"/><Relationship Id="rId538" Type="http://schemas.openxmlformats.org/officeDocument/2006/relationships/hyperlink" Target="https://techcombank.com/thong-tin/blog/dao-han-la-gi" TargetMode="External"/><Relationship Id="rId537" Type="http://schemas.openxmlformats.org/officeDocument/2006/relationships/hyperlink" Target="https://techcombank.com/thong-tin/blog/cach-tinh-lai-suat-tien-gui-tiet-kiem" TargetMode="External"/><Relationship Id="rId532" Type="http://schemas.openxmlformats.org/officeDocument/2006/relationships/hyperlink" Target="https://techcombank.com/thong-tin/blog/gui-tiet-kiem-lay-lai-hang-thang" TargetMode="External"/><Relationship Id="rId531" Type="http://schemas.openxmlformats.org/officeDocument/2006/relationships/hyperlink" Target="https://techcombank.com/thong-tin/blog/cach-tinh-lai-suat-tien-gui-tiet-kiem" TargetMode="External"/><Relationship Id="rId530" Type="http://schemas.openxmlformats.org/officeDocument/2006/relationships/hyperlink" Target="https://techcombank.com/thong-tin/blog/lai-kep-ngan-hang" TargetMode="External"/><Relationship Id="rId569" Type="http://schemas.openxmlformats.org/officeDocument/2006/relationships/hyperlink" Target="https://techcombank.com/thong-tin/blog/rui-ro-khi-gui-tiet-kiem-online" TargetMode="External"/><Relationship Id="rId568" Type="http://schemas.openxmlformats.org/officeDocument/2006/relationships/hyperlink" Target="https://techcombank.com/thong-tin/blog/the-nao-la-tiet-kiem" TargetMode="External"/><Relationship Id="rId567" Type="http://schemas.openxmlformats.org/officeDocument/2006/relationships/hyperlink" Target="https://techcombank.com/thong-tin/blog/cach-tiet-kiem-tien" TargetMode="External"/><Relationship Id="rId566" Type="http://schemas.openxmlformats.org/officeDocument/2006/relationships/hyperlink" Target="https://techcombank.com/thong-tin/blog/loi-ich-cua-viec-tiet-kiem-tien" TargetMode="External"/><Relationship Id="rId561" Type="http://schemas.openxmlformats.org/officeDocument/2006/relationships/hyperlink" Target="https://techcombank.com/thong-tin/blog/cach-tiet-kiem-tien" TargetMode="External"/><Relationship Id="rId560" Type="http://schemas.openxmlformats.org/officeDocument/2006/relationships/hyperlink" Target="https://techcombank.com/thong-tin/blog/cach-tiet-kiem-tien-theo-tuan" TargetMode="External"/><Relationship Id="rId565" Type="http://schemas.openxmlformats.org/officeDocument/2006/relationships/hyperlink" Target="https://techcombank.com/thong-tin/blog/cach-tiet-kiem-tien" TargetMode="External"/><Relationship Id="rId564" Type="http://schemas.openxmlformats.org/officeDocument/2006/relationships/hyperlink" Target="https://techcombank.com/thong-tin/blog/hoc-cach-tiet-kiem-tien-luong" TargetMode="External"/><Relationship Id="rId563" Type="http://schemas.openxmlformats.org/officeDocument/2006/relationships/hyperlink" Target="https://techcombank.com/thong-tin/blog/cach-tiet-kiem-tien" TargetMode="External"/><Relationship Id="rId562" Type="http://schemas.openxmlformats.org/officeDocument/2006/relationships/hyperlink" Target="https://techcombank.com/thong-tin/blog/tiet-kiem-tien-moi-ngay" TargetMode="External"/><Relationship Id="rId558" Type="http://schemas.openxmlformats.org/officeDocument/2006/relationships/hyperlink" Target="https://techcombank.com/thong-tin/blog/quy-trinh-gui-tien-tiet-kiem" TargetMode="External"/><Relationship Id="rId557" Type="http://schemas.openxmlformats.org/officeDocument/2006/relationships/hyperlink" Target="https://techcombank.com/thong-tin/blog/so-tiet-kiem-ngan-hang" TargetMode="External"/><Relationship Id="rId556" Type="http://schemas.openxmlformats.org/officeDocument/2006/relationships/hyperlink" Target="https://techcombank.com/thong-tin/blog/gui-them-tien-vao-so-tiet-kiem" TargetMode="External"/><Relationship Id="rId555" Type="http://schemas.openxmlformats.org/officeDocument/2006/relationships/hyperlink" Target="https://techcombank.com/thong-tin/blog/so-tiet-kiem-ngan-hang" TargetMode="External"/><Relationship Id="rId559" Type="http://schemas.openxmlformats.org/officeDocument/2006/relationships/hyperlink" Target="https://techcombank.com/thong-tin/blog/cach-tiet-kiem-tien" TargetMode="External"/><Relationship Id="rId550" Type="http://schemas.openxmlformats.org/officeDocument/2006/relationships/hyperlink" Target="https://techcombank.com/thong-tin/blog/mo-so-tiet-kiem-can-bao-nhieu-tien" TargetMode="External"/><Relationship Id="rId554" Type="http://schemas.openxmlformats.org/officeDocument/2006/relationships/hyperlink" Target="https://techcombank.com/thong-tin/blog/mat-so-tiet-kiem" TargetMode="External"/><Relationship Id="rId553" Type="http://schemas.openxmlformats.org/officeDocument/2006/relationships/hyperlink" Target="https://techcombank.com/thong-tin/blog/so-tiet-kiem-ngan-hang" TargetMode="External"/><Relationship Id="rId552" Type="http://schemas.openxmlformats.org/officeDocument/2006/relationships/hyperlink" Target="https://techcombank.com/thong-tin/blog/tai-khoan-tiet-kiem" TargetMode="External"/><Relationship Id="rId551" Type="http://schemas.openxmlformats.org/officeDocument/2006/relationships/hyperlink" Target="https://techcombank.com/thong-tin/blog/so-tiet-kiem-ngan-hang" TargetMode="External"/><Relationship Id="rId495" Type="http://schemas.openxmlformats.org/officeDocument/2006/relationships/hyperlink" Target="https://techcombank.com/thong-tin/blog/cach-tinh-lai-vay-ngan-hang" TargetMode="External"/><Relationship Id="rId494" Type="http://schemas.openxmlformats.org/officeDocument/2006/relationships/hyperlink" Target="https://techcombank.com/thong-tin/blog/du-no-la-gi" TargetMode="External"/><Relationship Id="rId493" Type="http://schemas.openxmlformats.org/officeDocument/2006/relationships/hyperlink" Target="https://techcombank.com/thong-tin/blog/cach-tinh-lai-vay-ngan-hang" TargetMode="External"/><Relationship Id="rId492" Type="http://schemas.openxmlformats.org/officeDocument/2006/relationships/hyperlink" Target="https://techcombank.com/thong-tin/blog/ho-kinh-doanh-ca-the" TargetMode="External"/><Relationship Id="rId499" Type="http://schemas.openxmlformats.org/officeDocument/2006/relationships/hyperlink" Target="https://techcombank.com/thong-tin/blog/cach-tinh-lai-vay-ngan-hang" TargetMode="External"/><Relationship Id="rId498" Type="http://schemas.openxmlformats.org/officeDocument/2006/relationships/hyperlink" Target="https://techcombank.com/thong-tin/blog/lai-suat-tha-noi" TargetMode="External"/><Relationship Id="rId497" Type="http://schemas.openxmlformats.org/officeDocument/2006/relationships/hyperlink" Target="https://techcombank.com/thong-tin/blog/cach-tinh-lai-vay-ngan-hang" TargetMode="External"/><Relationship Id="rId496" Type="http://schemas.openxmlformats.org/officeDocument/2006/relationships/hyperlink" Target="https://techcombank.com/thong-tin/blog/an-han-no-goc-la-gi" TargetMode="External"/><Relationship Id="rId409" Type="http://schemas.openxmlformats.org/officeDocument/2006/relationships/hyperlink" Target="https://techcombank.com/thong-tin/blog/cach-nhan-tien-tu-nuoc-ngoai-ve-viet-nam" TargetMode="External"/><Relationship Id="rId404" Type="http://schemas.openxmlformats.org/officeDocument/2006/relationships/hyperlink" Target="https://techcombank.com/thong-tin/blog/1-trieu-won-bang-bao-nhieu-tien-viet" TargetMode="External"/><Relationship Id="rId403" Type="http://schemas.openxmlformats.org/officeDocument/2006/relationships/hyperlink" Target="https://techcombank.com/thong-tin/blog/1000-won-bang-bao-nhieu-tien-viet" TargetMode="External"/><Relationship Id="rId402" Type="http://schemas.openxmlformats.org/officeDocument/2006/relationships/hyperlink" Target="https://techcombank.com/thong-tin/blog/1-won-bang-bao-nhieu-tien-viet" TargetMode="External"/><Relationship Id="rId401" Type="http://schemas.openxmlformats.org/officeDocument/2006/relationships/hyperlink" Target="https://techcombank.com/thong-tin/blog/1000-won-bang-bao-nhieu-tien-viet" TargetMode="External"/><Relationship Id="rId408" Type="http://schemas.openxmlformats.org/officeDocument/2006/relationships/hyperlink" Target="https://techcombank.com/thong-tin/blog/chuyen-tien-tu-han-sang-viet-nam" TargetMode="External"/><Relationship Id="rId407" Type="http://schemas.openxmlformats.org/officeDocument/2006/relationships/hyperlink" Target="https://techcombank.com/thong-tin/blog/1000-won-bang-bao-nhieu-tien-viet" TargetMode="External"/><Relationship Id="rId406" Type="http://schemas.openxmlformats.org/officeDocument/2006/relationships/hyperlink" Target="https://techcombank.com/thong-tin/blog/thanh-toan-khi-du-lich-han-quoc" TargetMode="External"/><Relationship Id="rId405" Type="http://schemas.openxmlformats.org/officeDocument/2006/relationships/hyperlink" Target="https://techcombank.com/thong-tin/blog/1000-won-bang-bao-nhieu-tien-viet" TargetMode="External"/><Relationship Id="rId400" Type="http://schemas.openxmlformats.org/officeDocument/2006/relationships/hyperlink" Target="https://techcombank.com/thong-tin/blog/xu-huong-ty-gia-usd" TargetMode="External"/><Relationship Id="rId469" Type="http://schemas.openxmlformats.org/officeDocument/2006/relationships/hyperlink" Target="https://techcombank.com/thong-tin/blog/gui-ma-qr-ngan-hang" TargetMode="External"/><Relationship Id="rId468" Type="http://schemas.openxmlformats.org/officeDocument/2006/relationships/hyperlink" Target="https://techcombank.com/thong-tin/blog/lo-ma-qr-ngan-hang-co-sao-khong" TargetMode="External"/><Relationship Id="rId467" Type="http://schemas.openxmlformats.org/officeDocument/2006/relationships/hyperlink" Target="https://techcombank.com/thong-tin/blog/gui-ma-qr-ngan-hang" TargetMode="External"/><Relationship Id="rId462" Type="http://schemas.openxmlformats.org/officeDocument/2006/relationships/hyperlink" Target="https://techcombank.com/thong-tin/blog/one-stop-shop" TargetMode="External"/><Relationship Id="rId461" Type="http://schemas.openxmlformats.org/officeDocument/2006/relationships/hyperlink" Target="https://techcombank.com/thong-tin/blog/mo-hinh-kinh-doanh-la-gi" TargetMode="External"/><Relationship Id="rId460" Type="http://schemas.openxmlformats.org/officeDocument/2006/relationships/hyperlink" Target="https://techcombank.com/thong-tin/blog/kinh-doanh-online" TargetMode="External"/><Relationship Id="rId466" Type="http://schemas.openxmlformats.org/officeDocument/2006/relationships/hyperlink" Target="https://techcombank.com/thong-tin/blog/in-ma-qr-ngan-hang" TargetMode="External"/><Relationship Id="rId465" Type="http://schemas.openxmlformats.org/officeDocument/2006/relationships/hyperlink" Target="https://techcombank.com/thong-tin/blog/gui-ma-qr-ngan-hang" TargetMode="External"/><Relationship Id="rId464" Type="http://schemas.openxmlformats.org/officeDocument/2006/relationships/hyperlink" Target="https://techcombank.com/thong-tin/blog/cach-tao-ma-qr" TargetMode="External"/><Relationship Id="rId463" Type="http://schemas.openxmlformats.org/officeDocument/2006/relationships/hyperlink" Target="https://techcombank.com/thong-tin/blog/gui-ma-qr-ngan-hang" TargetMode="External"/><Relationship Id="rId459" Type="http://schemas.openxmlformats.org/officeDocument/2006/relationships/hyperlink" Target="https://techcombank.com/thong-tin/blog/mo-hinh-kinh-doanh-la-gi" TargetMode="External"/><Relationship Id="rId458" Type="http://schemas.openxmlformats.org/officeDocument/2006/relationships/hyperlink" Target="https://techcombank.com/thong-tin/blog/nhuong-quyen-la-gi" TargetMode="External"/><Relationship Id="rId457" Type="http://schemas.openxmlformats.org/officeDocument/2006/relationships/hyperlink" Target="https://techcombank.com/thong-tin/blog/mo-hinh-kinh-doanh-la-gi" TargetMode="External"/><Relationship Id="rId456" Type="http://schemas.openxmlformats.org/officeDocument/2006/relationships/hyperlink" Target="https://techcombank.com/thong-tin/blog/thue-ho-kinh-doanh-2025" TargetMode="External"/><Relationship Id="rId451" Type="http://schemas.openxmlformats.org/officeDocument/2006/relationships/hyperlink" Target="https://techcombank.com/thong-tin/blog/ho-kinh-doanh-dong-thue-nhu-nao" TargetMode="External"/><Relationship Id="rId450" Type="http://schemas.openxmlformats.org/officeDocument/2006/relationships/hyperlink" Target="https://techcombank.com/thong-tin/blog/thue-khoan-ho-kinh-doanh-la-gi" TargetMode="External"/><Relationship Id="rId455" Type="http://schemas.openxmlformats.org/officeDocument/2006/relationships/hyperlink" Target="https://techcombank.com/thong-tin/blog/ho-kinh-doanh-dong-thue-nhu-nao" TargetMode="External"/><Relationship Id="rId454" Type="http://schemas.openxmlformats.org/officeDocument/2006/relationships/hyperlink" Target="https://techcombank.com/thong-tin/blog/truy-thu-thue-ho-kinh-doanh" TargetMode="External"/><Relationship Id="rId453" Type="http://schemas.openxmlformats.org/officeDocument/2006/relationships/hyperlink" Target="https://techcombank.com/thong-tin/blog/ho-kinh-doanh-dong-thue-nhu-nao" TargetMode="External"/><Relationship Id="rId452" Type="http://schemas.openxmlformats.org/officeDocument/2006/relationships/hyperlink" Target="https://techcombank.com/thong-tin/blog/nhung-ho-kinh-doanh-duoc-mien-thue" TargetMode="External"/><Relationship Id="rId491" Type="http://schemas.openxmlformats.org/officeDocument/2006/relationships/hyperlink" Target="https://techcombank.com/thong-tin/blog/cach-tinh-thue-ho-kinh-doanh-nho-le" TargetMode="External"/><Relationship Id="rId490" Type="http://schemas.openxmlformats.org/officeDocument/2006/relationships/hyperlink" Target="https://techcombank.com/thong-tin/blog/chinh-sach-thue-moi" TargetMode="External"/><Relationship Id="rId489" Type="http://schemas.openxmlformats.org/officeDocument/2006/relationships/hyperlink" Target="https://techcombank.com/thong-tin/blog/cach-tinh-thue-ho-kinh-doanh-nho-le" TargetMode="External"/><Relationship Id="rId484" Type="http://schemas.openxmlformats.org/officeDocument/2006/relationships/hyperlink" Target="https://techcombank.com/thong-tin/blog/ke-khai-thue-ho-kinh-doanh-ca-the-online" TargetMode="External"/><Relationship Id="rId483" Type="http://schemas.openxmlformats.org/officeDocument/2006/relationships/hyperlink" Target="https://techcombank.com/thong-tin/blog/cach-tinh-thue-ho-kinh-doanh-nho-le" TargetMode="External"/><Relationship Id="rId482" Type="http://schemas.openxmlformats.org/officeDocument/2006/relationships/hyperlink" Target="https://techcombank.com/thong-tin/blog/cach-dang-ky-ma-so-thue-ho-kinh-doanh-online" TargetMode="External"/><Relationship Id="rId481" Type="http://schemas.openxmlformats.org/officeDocument/2006/relationships/hyperlink" Target="https://techcombank.com/thong-tin/blog/mo-tai-khoan-ho-kinh-doanh" TargetMode="External"/><Relationship Id="rId488" Type="http://schemas.openxmlformats.org/officeDocument/2006/relationships/hyperlink" Target="https://techcombank.com/thong-tin/blog/thue-thuong-mai-dien-tu" TargetMode="External"/><Relationship Id="rId487" Type="http://schemas.openxmlformats.org/officeDocument/2006/relationships/hyperlink" Target="https://techcombank.com/thong-tin/blog/cach-tinh-thue-ho-kinh-doanh-nho-le" TargetMode="External"/><Relationship Id="rId486" Type="http://schemas.openxmlformats.org/officeDocument/2006/relationships/hyperlink" Target="https://techcombank.com/thong-tin/blog/kiem-tra-thue-ho-kinh-doanh" TargetMode="External"/><Relationship Id="rId485" Type="http://schemas.openxmlformats.org/officeDocument/2006/relationships/hyperlink" Target="https://techcombank.com/thong-tin/blog/cach-tinh-thue-ho-kinh-doanh-nho-le" TargetMode="External"/><Relationship Id="rId480" Type="http://schemas.openxmlformats.org/officeDocument/2006/relationships/hyperlink" Target="https://techcombank.com/thong-tin/blog/ho-kinh-doanh-ca-the" TargetMode="External"/><Relationship Id="rId479" Type="http://schemas.openxmlformats.org/officeDocument/2006/relationships/hyperlink" Target="https://techcombank.com/thong-tin/blog/mo-tai-khoan-ho-kinh-doanh" TargetMode="External"/><Relationship Id="rId478" Type="http://schemas.openxmlformats.org/officeDocument/2006/relationships/hyperlink" Target="https://techcombank.com/thong-tin/blog/khai-bao-tai-khoan-ngan-hang-voi-co-quan-thue" TargetMode="External"/><Relationship Id="rId473" Type="http://schemas.openxmlformats.org/officeDocument/2006/relationships/hyperlink" Target="https://techcombank.com/thong-tin/blog/mo-tai-khoan-ho-kinh-doanh" TargetMode="External"/><Relationship Id="rId472" Type="http://schemas.openxmlformats.org/officeDocument/2006/relationships/hyperlink" Target="https://techcombank.com/thong-tin/blog/ma-qr-ngan-hang-khong-hop-le" TargetMode="External"/><Relationship Id="rId471" Type="http://schemas.openxmlformats.org/officeDocument/2006/relationships/hyperlink" Target="https://techcombank.com/thong-tin/blog/gui-ma-qr-ngan-hang" TargetMode="External"/><Relationship Id="rId470" Type="http://schemas.openxmlformats.org/officeDocument/2006/relationships/hyperlink" Target="https://techcombank.com/thong-tin/blog/lam-ma-qr-ngan-hang-co-mat-phi-khong" TargetMode="External"/><Relationship Id="rId477" Type="http://schemas.openxmlformats.org/officeDocument/2006/relationships/hyperlink" Target="https://techcombank.com/thong-tin/blog/mo-tai-khoan-ho-kinh-doanh" TargetMode="External"/><Relationship Id="rId476" Type="http://schemas.openxmlformats.org/officeDocument/2006/relationships/hyperlink" Target="https://techcombank.com/thong-tin/blog/thanh-lap-ho-kinh-doanh-ca-the" TargetMode="External"/><Relationship Id="rId475" Type="http://schemas.openxmlformats.org/officeDocument/2006/relationships/hyperlink" Target="https://techcombank.com/thong-tin/blog/mo-tai-khoan-ho-kinh-doanh" TargetMode="External"/><Relationship Id="rId474" Type="http://schemas.openxmlformats.org/officeDocument/2006/relationships/hyperlink" Target="https://techcombank.com/thong-tin/blog/ho-kinh-doanh-can-gi-o-tai-khoan-ngan-hang" TargetMode="External"/><Relationship Id="rId426" Type="http://schemas.openxmlformats.org/officeDocument/2006/relationships/hyperlink" Target="https://techcombank.com/thong-tin/blog/di-du-lich-nuoc-ngoai-can-chuan-bi-gi" TargetMode="External"/><Relationship Id="rId425" Type="http://schemas.openxmlformats.org/officeDocument/2006/relationships/hyperlink" Target="https://techcombank.com/thong-tin/blog/doi-tien-do-o-dau" TargetMode="External"/><Relationship Id="rId424" Type="http://schemas.openxmlformats.org/officeDocument/2006/relationships/hyperlink" Target="https://techcombank.com/thong-tin/blog/ty-gia-cac-ngan-hang" TargetMode="External"/><Relationship Id="rId423" Type="http://schemas.openxmlformats.org/officeDocument/2006/relationships/hyperlink" Target="https://techcombank.com/thong-tin/blog/doi-tien-do-o-dau" TargetMode="External"/><Relationship Id="rId429" Type="http://schemas.openxmlformats.org/officeDocument/2006/relationships/hyperlink" Target="https://techcombank.com/thong-tin/blog/vay-ngan-hang-1-ty-moi-thang-tra-bao-nhieu" TargetMode="External"/><Relationship Id="rId428" Type="http://schemas.openxmlformats.org/officeDocument/2006/relationships/hyperlink" Target="https://techcombank.com/thong-tin/blog/1-trieu-do-bang-bao-nhieu-tien-viet" TargetMode="External"/><Relationship Id="rId427" Type="http://schemas.openxmlformats.org/officeDocument/2006/relationships/hyperlink" Target="https://techcombank.com/thong-tin/blog/doi-tien-do-o-dau" TargetMode="External"/><Relationship Id="rId422" Type="http://schemas.openxmlformats.org/officeDocument/2006/relationships/hyperlink" Target="https://techcombank.com/thong-tin/blog/han-muc-mua-ngoai-te-khi-di-du-lich" TargetMode="External"/><Relationship Id="rId421" Type="http://schemas.openxmlformats.org/officeDocument/2006/relationships/hyperlink" Target="https://techcombank.com/thong-tin/blog/doi-tien-do-o-dau" TargetMode="External"/><Relationship Id="rId420" Type="http://schemas.openxmlformats.org/officeDocument/2006/relationships/hyperlink" Target="https://techcombank.com/thong-tin/blog/dieu-kien-mua-usd-tu-ngan-hang" TargetMode="External"/><Relationship Id="rId415" Type="http://schemas.openxmlformats.org/officeDocument/2006/relationships/hyperlink" Target="https://techcombank.com/thong-tin/blog/cach-nhan-tien-tu-nuoc-ngoai-ve-viet-nam" TargetMode="External"/><Relationship Id="rId414" Type="http://schemas.openxmlformats.org/officeDocument/2006/relationships/hyperlink" Target="https://techcombank.com/thong-tin/blog/ma-swift-ngan-hang" TargetMode="External"/><Relationship Id="rId413" Type="http://schemas.openxmlformats.org/officeDocument/2006/relationships/hyperlink" Target="https://techcombank.com/thong-tin/blog/cach-nhan-tien-tu-nuoc-ngoai-ve-viet-nam" TargetMode="External"/><Relationship Id="rId412" Type="http://schemas.openxmlformats.org/officeDocument/2006/relationships/hyperlink" Target="https://techcombank.com/thong-tin/blog/nhan-tien-western-union" TargetMode="External"/><Relationship Id="rId419" Type="http://schemas.openxmlformats.org/officeDocument/2006/relationships/hyperlink" Target="https://techcombank.com/thong-tin/blog/doi-tien-do-o-dau" TargetMode="External"/><Relationship Id="rId418" Type="http://schemas.openxmlformats.org/officeDocument/2006/relationships/hyperlink" Target="https://techcombank.com/thong-tin/blog/remittance-la-gi" TargetMode="External"/><Relationship Id="rId417" Type="http://schemas.openxmlformats.org/officeDocument/2006/relationships/hyperlink" Target="https://techcombank.com/thong-tin/blog/cach-nhan-tien-tu-nuoc-ngoai-ve-viet-nam" TargetMode="External"/><Relationship Id="rId416" Type="http://schemas.openxmlformats.org/officeDocument/2006/relationships/hyperlink" Target="https://techcombank.com/thong-tin/blog/chuyen-tien-tu-my-ve-viet-nam" TargetMode="External"/><Relationship Id="rId411" Type="http://schemas.openxmlformats.org/officeDocument/2006/relationships/hyperlink" Target="https://techcombank.com/thong-tin/blog/cach-nhan-tien-tu-nuoc-ngoai-ve-viet-nam" TargetMode="External"/><Relationship Id="rId410" Type="http://schemas.openxmlformats.org/officeDocument/2006/relationships/hyperlink" Target="https://techcombank.com/thong-tin/blog/kieu-hoi-la-gi" TargetMode="External"/><Relationship Id="rId448" Type="http://schemas.openxmlformats.org/officeDocument/2006/relationships/hyperlink" Target="https://techcombank.com/thong-tin/blog/ho-kinh-doanh-la-gi" TargetMode="External"/><Relationship Id="rId447" Type="http://schemas.openxmlformats.org/officeDocument/2006/relationships/hyperlink" Target="https://techcombank.com/thong-tin/blog/ho-kinh-doanh-dong-thue-nhu-nao" TargetMode="External"/><Relationship Id="rId446" Type="http://schemas.openxmlformats.org/officeDocument/2006/relationships/hyperlink" Target="https://techcombank.com/thong-tin/blog/tich-diem-doi-qua" TargetMode="External"/><Relationship Id="rId445" Type="http://schemas.openxmlformats.org/officeDocument/2006/relationships/hyperlink" Target="https://techcombank.com/thong-tin/blog/traveloka-voucher" TargetMode="External"/><Relationship Id="rId449" Type="http://schemas.openxmlformats.org/officeDocument/2006/relationships/hyperlink" Target="https://techcombank.com/thong-tin/blog/ho-kinh-doanh-dong-thue-nhu-nao" TargetMode="External"/><Relationship Id="rId440" Type="http://schemas.openxmlformats.org/officeDocument/2006/relationships/hyperlink" Target="https://techcombank.com/thong-tin/blog/dat-ve-may-bay" TargetMode="External"/><Relationship Id="rId444" Type="http://schemas.openxmlformats.org/officeDocument/2006/relationships/hyperlink" Target="https://techcombank.com/thong-tin/blog/techcombank-oneu" TargetMode="External"/><Relationship Id="rId443" Type="http://schemas.openxmlformats.org/officeDocument/2006/relationships/hyperlink" Target="https://techcombank.com/thong-tin/blog/traveloka-voucher" TargetMode="External"/><Relationship Id="rId442" Type="http://schemas.openxmlformats.org/officeDocument/2006/relationships/hyperlink" Target="https://techcombank.com/thong-tin/blog/mua-ve-may-bay-gia-re" TargetMode="External"/><Relationship Id="rId441" Type="http://schemas.openxmlformats.org/officeDocument/2006/relationships/hyperlink" Target="https://techcombank.com/thong-tin/blog/traveloka-voucher" TargetMode="External"/><Relationship Id="rId437" Type="http://schemas.openxmlformats.org/officeDocument/2006/relationships/hyperlink" Target="https://techcombank.com/thong-tin/blog/vay-ngan-hang-1-ty-moi-thang-tra-bao-nhieu" TargetMode="External"/><Relationship Id="rId436" Type="http://schemas.openxmlformats.org/officeDocument/2006/relationships/hyperlink" Target="https://techcombank.com/thong-tin/blog/vay-mua-chung-cu" TargetMode="External"/><Relationship Id="rId435" Type="http://schemas.openxmlformats.org/officeDocument/2006/relationships/hyperlink" Target="https://techcombank.com/thong-tin/blog/vay-ngan-hang-1-ty-moi-thang-tra-bao-nhieu" TargetMode="External"/><Relationship Id="rId434" Type="http://schemas.openxmlformats.org/officeDocument/2006/relationships/hyperlink" Target="https://techcombank.com/thong-tin/blog/kinh-nghiem-vay-tien-mua-nha" TargetMode="External"/><Relationship Id="rId439" Type="http://schemas.openxmlformats.org/officeDocument/2006/relationships/hyperlink" Target="https://techcombank.com/thong-tin/blog/traveloka-voucher" TargetMode="External"/><Relationship Id="rId438" Type="http://schemas.openxmlformats.org/officeDocument/2006/relationships/hyperlink" Target="https://techcombank.com/thong-tin/blog/lai-suat-vay-the-chap" TargetMode="External"/><Relationship Id="rId433" Type="http://schemas.openxmlformats.org/officeDocument/2006/relationships/hyperlink" Target="https://techcombank.com/thong-tin/blog/vay-ngan-hang-1-ty-moi-thang-tra-bao-nhieu" TargetMode="External"/><Relationship Id="rId432" Type="http://schemas.openxmlformats.org/officeDocument/2006/relationships/hyperlink" Target="https://techcombank.com/thong-tin/blog/thu-tuc-vay-ngan-hang-mua-nha" TargetMode="External"/><Relationship Id="rId431" Type="http://schemas.openxmlformats.org/officeDocument/2006/relationships/hyperlink" Target="https://techcombank.com/thong-tin/blog/vay-ngan-hang-1-ty-moi-thang-tra-bao-nhieu" TargetMode="External"/><Relationship Id="rId430" Type="http://schemas.openxmlformats.org/officeDocument/2006/relationships/hyperlink" Target="https://techcombank.com/thong-tin/blog/co-nen-vay-ngan-hang-mua-nha" TargetMode="External"/><Relationship Id="rId1" Type="http://schemas.openxmlformats.org/officeDocument/2006/relationships/hyperlink" Target="https://techcombank.com/thong-tin/blog/lai-suat-vay-mua-o-to" TargetMode="External"/><Relationship Id="rId2" Type="http://schemas.openxmlformats.org/officeDocument/2006/relationships/hyperlink" Target="https://techcombank.com/thong-tin/blog/vay-mua-xe-tra-gop-ngan-hang-nao-tot-nhat" TargetMode="External"/><Relationship Id="rId3" Type="http://schemas.openxmlformats.org/officeDocument/2006/relationships/hyperlink" Target="https://techcombank.com/thong-tin/blog/lai-suat-vay-mua-o-to" TargetMode="External"/><Relationship Id="rId4" Type="http://schemas.openxmlformats.org/officeDocument/2006/relationships/hyperlink" Target="https://techcombank.com/thong-tin/blog/co-nen-mua-o-to-tra-gop" TargetMode="External"/><Relationship Id="rId9" Type="http://schemas.openxmlformats.org/officeDocument/2006/relationships/hyperlink" Target="https://techcombank.com/thong-tin/blog/lai-suat-vay-mua-o-to" TargetMode="External"/><Relationship Id="rId5" Type="http://schemas.openxmlformats.org/officeDocument/2006/relationships/hyperlink" Target="https://techcombank.com/thong-tin/blog/lai-suat-vay-mua-o-to" TargetMode="External"/><Relationship Id="rId6" Type="http://schemas.openxmlformats.org/officeDocument/2006/relationships/hyperlink" Target="https://techcombank.com/thong-tin/blog/thu-tuc-mua-xe-tra-gop" TargetMode="External"/><Relationship Id="rId7" Type="http://schemas.openxmlformats.org/officeDocument/2006/relationships/hyperlink" Target="https://techcombank.com/thong-tin/blog/lai-suat-vay-mua-o-to" TargetMode="External"/><Relationship Id="rId8" Type="http://schemas.openxmlformats.org/officeDocument/2006/relationships/hyperlink" Target="https://techcombank.com/thong-tin/blog/nen-mua-xe-tra-gop-hay-tra-thang" TargetMode="External"/><Relationship Id="rId629" Type="http://schemas.openxmlformats.org/officeDocument/2006/relationships/hyperlink" Target="https://techcombank.com/thong-tin/blog/kiem-tra-no-xau" TargetMode="External"/><Relationship Id="rId624" Type="http://schemas.openxmlformats.org/officeDocument/2006/relationships/hyperlink" Target="https://techcombank.com/thong-tin/blog/thoi-han-vay-thau-chi" TargetMode="External"/><Relationship Id="rId623" Type="http://schemas.openxmlformats.org/officeDocument/2006/relationships/hyperlink" Target="https://techcombank.com/thong-tin/blog/vay-thau-chi-la-gi" TargetMode="External"/><Relationship Id="rId622" Type="http://schemas.openxmlformats.org/officeDocument/2006/relationships/hyperlink" Target="https://techcombank.com/thong-tin/blog/lai-suat-vay-thau-chi" TargetMode="External"/><Relationship Id="rId621" Type="http://schemas.openxmlformats.org/officeDocument/2006/relationships/hyperlink" Target="https://techcombank.com/thong-tin/blog/vay-thau-chi-la-gi" TargetMode="External"/><Relationship Id="rId628" Type="http://schemas.openxmlformats.org/officeDocument/2006/relationships/hyperlink" Target="https://techcombank.com/thong-tin/blog/vay-han-muc-la-gi" TargetMode="External"/><Relationship Id="rId627" Type="http://schemas.openxmlformats.org/officeDocument/2006/relationships/hyperlink" Target="https://techcombank.com/thong-tin/blog/vay-thau-chi-la-gi" TargetMode="External"/><Relationship Id="rId626" Type="http://schemas.openxmlformats.org/officeDocument/2006/relationships/hyperlink" Target="https://techcombank.com/thong-tin/blog/tra-no-vay-thau-chi-nhu-the-nao" TargetMode="External"/><Relationship Id="rId625" Type="http://schemas.openxmlformats.org/officeDocument/2006/relationships/hyperlink" Target="https://techcombank.com/thong-tin/blog/vay-thau-chi-la-gi" TargetMode="External"/><Relationship Id="rId620" Type="http://schemas.openxmlformats.org/officeDocument/2006/relationships/hyperlink" Target="https://techcombank.com/thong-tin/blog/han-muc-thau-chi-la-gi" TargetMode="External"/><Relationship Id="rId619" Type="http://schemas.openxmlformats.org/officeDocument/2006/relationships/hyperlink" Target="https://techcombank.com/thong-tin/blog/vay-thau-chi-la-gi" TargetMode="External"/><Relationship Id="rId618" Type="http://schemas.openxmlformats.org/officeDocument/2006/relationships/hyperlink" Target="https://techcombank.com/thong-tin/blog/lai-suat-qua-han" TargetMode="External"/><Relationship Id="rId613" Type="http://schemas.openxmlformats.org/officeDocument/2006/relationships/hyperlink" Target="https://techcombank.com/thong-tin/blog/lai-suat-vay-ngan-hang" TargetMode="External"/><Relationship Id="rId612" Type="http://schemas.openxmlformats.org/officeDocument/2006/relationships/hyperlink" Target="https://techcombank.com/thong-tin/blog/lai-suat-vay-tieu-dung" TargetMode="External"/><Relationship Id="rId611" Type="http://schemas.openxmlformats.org/officeDocument/2006/relationships/hyperlink" Target="https://techcombank.com/thong-tin/blog/lai-suat-vay-ngan-hang" TargetMode="External"/><Relationship Id="rId610" Type="http://schemas.openxmlformats.org/officeDocument/2006/relationships/hyperlink" Target="https://techcombank.com/thong-tin/blog/lai-suat-la-gi" TargetMode="External"/><Relationship Id="rId617" Type="http://schemas.openxmlformats.org/officeDocument/2006/relationships/hyperlink" Target="https://techcombank.com/thong-tin/blog/lai-suat-vay-ngan-hang" TargetMode="External"/><Relationship Id="rId616" Type="http://schemas.openxmlformats.org/officeDocument/2006/relationships/hyperlink" Target="https://techcombank.com/thong-tin/blog/dieu-kien-vay-von-ngan-hang" TargetMode="External"/><Relationship Id="rId615" Type="http://schemas.openxmlformats.org/officeDocument/2006/relationships/hyperlink" Target="https://techcombank.com/thong-tin/blog/lai-suat-vay-ngan-hang" TargetMode="External"/><Relationship Id="rId614" Type="http://schemas.openxmlformats.org/officeDocument/2006/relationships/hyperlink" Target="https://techcombank.com/thong-tin/blog/lai-suat-vay-tin-chap" TargetMode="External"/><Relationship Id="rId646" Type="http://schemas.openxmlformats.org/officeDocument/2006/relationships/hyperlink" Target="https://techcombank.com/thong-tin/blog/vay-tin-chap-va-vay-the-chap" TargetMode="External"/><Relationship Id="rId645" Type="http://schemas.openxmlformats.org/officeDocument/2006/relationships/hyperlink" Target="https://techcombank.com/thong-tin/blog/nen-vay-tin-chap-o-dau" TargetMode="External"/><Relationship Id="rId644" Type="http://schemas.openxmlformats.org/officeDocument/2006/relationships/hyperlink" Target="https://techcombank.com/thong-tin/blog/vay-tin-chap-toi-da-duoc-bao-nhieu" TargetMode="External"/><Relationship Id="rId643" Type="http://schemas.openxmlformats.org/officeDocument/2006/relationships/hyperlink" Target="https://techcombank.com/thong-tin/blog/nen-vay-tin-chap-o-dau" TargetMode="External"/><Relationship Id="rId649" Type="http://schemas.openxmlformats.org/officeDocument/2006/relationships/hyperlink" Target="https://techcombank.com/thong-tin/blog/no-xau-la-gi" TargetMode="External"/><Relationship Id="rId648" Type="http://schemas.openxmlformats.org/officeDocument/2006/relationships/hyperlink" Target="https://techcombank.com/thong-tin/blog/lai-suat-vay-tin-chap" TargetMode="External"/><Relationship Id="rId647" Type="http://schemas.openxmlformats.org/officeDocument/2006/relationships/hyperlink" Target="https://techcombank.com/thong-tin/blog/nen-vay-tin-chap-o-dau" TargetMode="External"/><Relationship Id="rId642" Type="http://schemas.openxmlformats.org/officeDocument/2006/relationships/hyperlink" Target="https://techcombank.com/thong-tin/blog/ho-so-vay-tin-chap" TargetMode="External"/><Relationship Id="rId641" Type="http://schemas.openxmlformats.org/officeDocument/2006/relationships/hyperlink" Target="https://techcombank.com/thong-tin/blog/nen-vay-tin-chap-o-dau" TargetMode="External"/><Relationship Id="rId640" Type="http://schemas.openxmlformats.org/officeDocument/2006/relationships/hyperlink" Target="https://techcombank.com/thong-tin/blog/vay-tin-chap-la-gi" TargetMode="External"/><Relationship Id="rId635" Type="http://schemas.openxmlformats.org/officeDocument/2006/relationships/hyperlink" Target="https://techcombank.com/thong-tin/blog/kiem-tra-no-xau" TargetMode="External"/><Relationship Id="rId634" Type="http://schemas.openxmlformats.org/officeDocument/2006/relationships/hyperlink" Target="https://techcombank.com/thong-tin/blog/vay-tin-chap-no-xau" TargetMode="External"/><Relationship Id="rId633" Type="http://schemas.openxmlformats.org/officeDocument/2006/relationships/hyperlink" Target="https://techcombank.com/thong-tin/blog/kiem-tra-no-xau" TargetMode="External"/><Relationship Id="rId632" Type="http://schemas.openxmlformats.org/officeDocument/2006/relationships/hyperlink" Target="https://techcombank.com/thong-tin/blog/no-xau-mo-the-tin-dung-duoc-khong" TargetMode="External"/><Relationship Id="rId639" Type="http://schemas.openxmlformats.org/officeDocument/2006/relationships/hyperlink" Target="https://techcombank.com/thong-tin/blog/nen-vay-tin-chap-o-dau" TargetMode="External"/><Relationship Id="rId638" Type="http://schemas.openxmlformats.org/officeDocument/2006/relationships/hyperlink" Target="https://techcombank.com/thong-tin/blog/no-xau-nhom-2" TargetMode="External"/><Relationship Id="rId637" Type="http://schemas.openxmlformats.org/officeDocument/2006/relationships/hyperlink" Target="https://techcombank.com/thong-tin/blog/kiem-tra-no-xau" TargetMode="External"/><Relationship Id="rId636" Type="http://schemas.openxmlformats.org/officeDocument/2006/relationships/hyperlink" Target="https://techcombank.com/thong-tin/blog/no-xau-co-vay-the-chap-duoc-khong" TargetMode="External"/><Relationship Id="rId631" Type="http://schemas.openxmlformats.org/officeDocument/2006/relationships/hyperlink" Target="https://techcombank.com/thong-tin/blog/kiem-tra-no-xau" TargetMode="External"/><Relationship Id="rId630" Type="http://schemas.openxmlformats.org/officeDocument/2006/relationships/hyperlink" Target="https://techcombank.com/thong-tin/blog/no-xau-co-lam-the-visa-duoc-khong" TargetMode="External"/><Relationship Id="rId609" Type="http://schemas.openxmlformats.org/officeDocument/2006/relationships/hyperlink" Target="https://techcombank.com/thong-tin/blog/lai-suat-vay-ngan-hang" TargetMode="External"/><Relationship Id="rId608" Type="http://schemas.openxmlformats.org/officeDocument/2006/relationships/hyperlink" Target="https://techcombank.com/thong-tin/blog/vay-sieu-toc" TargetMode="External"/><Relationship Id="rId607" Type="http://schemas.openxmlformats.org/officeDocument/2006/relationships/hyperlink" Target="https://techcombank.com/thong-tin/blog/app-vay-tien-nhanh" TargetMode="External"/><Relationship Id="rId602" Type="http://schemas.openxmlformats.org/officeDocument/2006/relationships/hyperlink" Target="https://techcombank.com/thong-tin/blog/vay-ngan-hang-chi-can-cccd" TargetMode="External"/><Relationship Id="rId601" Type="http://schemas.openxmlformats.org/officeDocument/2006/relationships/hyperlink" Target="https://techcombank.com/thong-tin/blog/app-vay-tien-nhanh" TargetMode="External"/><Relationship Id="rId600" Type="http://schemas.openxmlformats.org/officeDocument/2006/relationships/hyperlink" Target="https://techcombank.com/thong-tin/blog/vay-tien-online" TargetMode="External"/><Relationship Id="rId606" Type="http://schemas.openxmlformats.org/officeDocument/2006/relationships/hyperlink" Target="https://techcombank.com/thong-tin/blog/vay-50-trieu" TargetMode="External"/><Relationship Id="rId605" Type="http://schemas.openxmlformats.org/officeDocument/2006/relationships/hyperlink" Target="https://techcombank.com/thong-tin/blog/app-vay-tien-nhanh" TargetMode="External"/><Relationship Id="rId604" Type="http://schemas.openxmlformats.org/officeDocument/2006/relationships/hyperlink" Target="https://techcombank.com/thong-tin/blog/vay-30-trieu" TargetMode="External"/><Relationship Id="rId603" Type="http://schemas.openxmlformats.org/officeDocument/2006/relationships/hyperlink" Target="https://techcombank.com/thong-tin/blog/app-vay-tien-nhanh" TargetMode="External"/><Relationship Id="rId668" Type="http://schemas.openxmlformats.org/officeDocument/2006/relationships/hyperlink" Target="https://techcombank.com/thong-tin/blog/mua-chung-chi-quy" TargetMode="External"/><Relationship Id="rId667" Type="http://schemas.openxmlformats.org/officeDocument/2006/relationships/hyperlink" Target="https://techcombank.com/thong-tin/blog/phuong-phap-dau-tu-chung-chi-quy" TargetMode="External"/><Relationship Id="rId666" Type="http://schemas.openxmlformats.org/officeDocument/2006/relationships/hyperlink" Target="https://techcombank.com/thong-tin/blog/chung-chi-quy" TargetMode="External"/><Relationship Id="rId665" Type="http://schemas.openxmlformats.org/officeDocument/2006/relationships/hyperlink" Target="https://techcombank.com/thong-tin/blog/phuong-phap-dau-tu-chung-chi-quy" TargetMode="External"/><Relationship Id="rId669" Type="http://schemas.openxmlformats.org/officeDocument/2006/relationships/hyperlink" Target="https://techcombank.com/thong-tin/blog/phuong-phap-dau-tu-chung-chi-quy" TargetMode="External"/><Relationship Id="rId660" Type="http://schemas.openxmlformats.org/officeDocument/2006/relationships/hyperlink" Target="https://techcombank.com/thong-tin/blog/lai-suat-qua-han" TargetMode="External"/><Relationship Id="rId664" Type="http://schemas.openxmlformats.org/officeDocument/2006/relationships/hyperlink" Target="https://techcombank.com/thong-tin/blog/vay-tin-chap-la-gi" TargetMode="External"/><Relationship Id="rId663" Type="http://schemas.openxmlformats.org/officeDocument/2006/relationships/hyperlink" Target="https://techcombank.com/thong-tin/blog/vay-tin-chap-khong-tra-duoc-co-sao-khong" TargetMode="External"/><Relationship Id="rId662" Type="http://schemas.openxmlformats.org/officeDocument/2006/relationships/hyperlink" Target="https://techcombank.com/thong-tin/blog/no-the-tin-dung-qua-han" TargetMode="External"/><Relationship Id="rId661" Type="http://schemas.openxmlformats.org/officeDocument/2006/relationships/hyperlink" Target="https://techcombank.com/thong-tin/blog/vay-tin-chap-khong-tra-duoc-co-sao-khong" TargetMode="External"/><Relationship Id="rId657" Type="http://schemas.openxmlformats.org/officeDocument/2006/relationships/hyperlink" Target="https://techcombank.com/thong-tin/blog/vay-tin-chap-khong-tra-duoc-co-sao-khong" TargetMode="External"/><Relationship Id="rId656" Type="http://schemas.openxmlformats.org/officeDocument/2006/relationships/hyperlink" Target="https://techcombank.com/thong-tin/blog/no-the-tin-dung-qua-han" TargetMode="External"/><Relationship Id="rId655" Type="http://schemas.openxmlformats.org/officeDocument/2006/relationships/hyperlink" Target="https://techcombank.com/thong-tin/blog/no-xau-la-gi" TargetMode="External"/><Relationship Id="rId654" Type="http://schemas.openxmlformats.org/officeDocument/2006/relationships/hyperlink" Target="https://techcombank.com/thong-tin/blog/du-no-tin-dung-la-gi" TargetMode="External"/><Relationship Id="rId659" Type="http://schemas.openxmlformats.org/officeDocument/2006/relationships/hyperlink" Target="https://techcombank.com/thong-tin/blog/vay-tin-chap-khong-tra-duoc-co-sao-khong" TargetMode="External"/><Relationship Id="rId658" Type="http://schemas.openxmlformats.org/officeDocument/2006/relationships/hyperlink" Target="https://techcombank.com/thong-tin/blog/vay-the-chap-khong-tra-duoc" TargetMode="External"/><Relationship Id="rId653" Type="http://schemas.openxmlformats.org/officeDocument/2006/relationships/hyperlink" Target="https://techcombank.com/thong-tin/blog/no-xau-la-gi" TargetMode="External"/><Relationship Id="rId652" Type="http://schemas.openxmlformats.org/officeDocument/2006/relationships/hyperlink" Target="https://techcombank.com/thong-tin/blog/no-nhom-3" TargetMode="External"/><Relationship Id="rId651" Type="http://schemas.openxmlformats.org/officeDocument/2006/relationships/hyperlink" Target="https://techcombank.com/thong-tin/blog/no-xau-la-gi" TargetMode="External"/><Relationship Id="rId650" Type="http://schemas.openxmlformats.org/officeDocument/2006/relationships/hyperlink" Target="https://techcombank.com/thong-tin/blog/no-chu-y-la-gi" TargetMode="External"/><Relationship Id="rId671" Type="http://schemas.openxmlformats.org/officeDocument/2006/relationships/hyperlink" Target="https://techcombank.com/thong-tin/blog/phuong-phap-dau-tu-chung-chi-quy" TargetMode="External"/><Relationship Id="rId670" Type="http://schemas.openxmlformats.org/officeDocument/2006/relationships/hyperlink" Target="https://techcombank.com/thong-tin/blog/dau-tu-quy-mo" TargetMode="External"/><Relationship Id="rId675" Type="http://schemas.openxmlformats.org/officeDocument/2006/relationships/drawing" Target="../drawings/drawing7.xml"/><Relationship Id="rId674" Type="http://schemas.openxmlformats.org/officeDocument/2006/relationships/hyperlink" Target="https://techcombank.com/thong-tin/blog/chung-chi-quy-va-co-phieu" TargetMode="External"/><Relationship Id="rId673" Type="http://schemas.openxmlformats.org/officeDocument/2006/relationships/hyperlink" Target="https://techcombank.com/thong-tin/blog/phuong-phap-dau-tu-chung-chi-quy" TargetMode="External"/><Relationship Id="rId672" Type="http://schemas.openxmlformats.org/officeDocument/2006/relationships/hyperlink" Target="https://techcombank.com/thong-tin/blog/app-theo-doi-chung-chi-quy" TargetMode="External"/><Relationship Id="rId190" Type="http://schemas.openxmlformats.org/officeDocument/2006/relationships/hyperlink" Target="https://techcombank.com/thong-tin/blog/internet-banking" TargetMode="External"/><Relationship Id="rId194" Type="http://schemas.openxmlformats.org/officeDocument/2006/relationships/hyperlink" Target="https://techcombank.com/thong-tin/blog/smart-otp-la-gi" TargetMode="External"/><Relationship Id="rId193" Type="http://schemas.openxmlformats.org/officeDocument/2006/relationships/hyperlink" Target="https://techcombank.com/thong-tin/blog/ten-dang-nhap-tai-khoan-ngan-hang-la-gi" TargetMode="External"/><Relationship Id="rId192" Type="http://schemas.openxmlformats.org/officeDocument/2006/relationships/hyperlink" Target="https://techcombank.com/thong-tin/blog/cach-bao-ve-tai-khoan" TargetMode="External"/><Relationship Id="rId191" Type="http://schemas.openxmlformats.org/officeDocument/2006/relationships/hyperlink" Target="https://techcombank.com/thong-tin/blog/ten-dang-nhap-tai-khoan-ngan-hang-la-gi" TargetMode="External"/><Relationship Id="rId187" Type="http://schemas.openxmlformats.org/officeDocument/2006/relationships/hyperlink" Target="https://techcombank.com/thong-tin/blog/ten-dang-nhap-tai-khoan-ngan-hang-la-gi" TargetMode="External"/><Relationship Id="rId186" Type="http://schemas.openxmlformats.org/officeDocument/2006/relationships/hyperlink" Target="https://techcombank.com/thong-tin/blog/quyet-toan-thue-thu-nhap-ca-nhan" TargetMode="External"/><Relationship Id="rId185" Type="http://schemas.openxmlformats.org/officeDocument/2006/relationships/hyperlink" Target="https://techcombank.com/thong-tin/blog/kiem-tra-thue-thu-nhap-ca-nhan" TargetMode="External"/><Relationship Id="rId184" Type="http://schemas.openxmlformats.org/officeDocument/2006/relationships/hyperlink" Target="https://techcombank.com/thong-tin/blog/hoan-thue-thu-nhap-ca-nhan" TargetMode="External"/><Relationship Id="rId189" Type="http://schemas.openxmlformats.org/officeDocument/2006/relationships/hyperlink" Target="https://techcombank.com/thong-tin/blog/ten-dang-nhap-tai-khoan-ngan-hang-la-gi" TargetMode="External"/><Relationship Id="rId188" Type="http://schemas.openxmlformats.org/officeDocument/2006/relationships/hyperlink" Target="https://techcombank.com/thong-tin/blog/cach-doi-mat-khau-tai-khoan-ngan-hang" TargetMode="External"/><Relationship Id="rId183" Type="http://schemas.openxmlformats.org/officeDocument/2006/relationships/hyperlink" Target="https://techcombank.com/thong-tin/blog/kiem-tra-thue-thu-nhap-ca-nhan" TargetMode="External"/><Relationship Id="rId182" Type="http://schemas.openxmlformats.org/officeDocument/2006/relationships/hyperlink" Target="https://techcombank.com/thong-tin/blog/lien-ket-tai-khoan-ngan-hang-voi-etax-mobile" TargetMode="External"/><Relationship Id="rId181" Type="http://schemas.openxmlformats.org/officeDocument/2006/relationships/hyperlink" Target="https://techcombank.com/thong-tin/blog/kiem-tra-thue-thu-nhap-ca-nhan" TargetMode="External"/><Relationship Id="rId180" Type="http://schemas.openxmlformats.org/officeDocument/2006/relationships/hyperlink" Target="https://techcombank.com/thong-tin/blog/dang-ky-ma-so-thue-ca-nhan" TargetMode="External"/><Relationship Id="rId176" Type="http://schemas.openxmlformats.org/officeDocument/2006/relationships/hyperlink" Target="https://techcombank.com/thong-tin/blog/li-xi-so-dep" TargetMode="External"/><Relationship Id="rId175" Type="http://schemas.openxmlformats.org/officeDocument/2006/relationships/hyperlink" Target="https://techcombank.com/thong-tin/blog/day-so-phat-tai-phat-loc" TargetMode="External"/><Relationship Id="rId174" Type="http://schemas.openxmlformats.org/officeDocument/2006/relationships/hyperlink" Target="https://techcombank.com/thong-tin/blog/cach-chon-so-tai-khoan-dep" TargetMode="External"/><Relationship Id="rId173" Type="http://schemas.openxmlformats.org/officeDocument/2006/relationships/hyperlink" Target="https://techcombank.com/thong-tin/blog/day-so-phat-tai-phat-loc" TargetMode="External"/><Relationship Id="rId179" Type="http://schemas.openxmlformats.org/officeDocument/2006/relationships/hyperlink" Target="https://techcombank.com/thong-tin/blog/kiem-tra-thue-thu-nhap-ca-nhan" TargetMode="External"/><Relationship Id="rId178" Type="http://schemas.openxmlformats.org/officeDocument/2006/relationships/hyperlink" Target="https://techcombank.com/thong-tin/blog/tra-cuu-no-thue-ca-nhan" TargetMode="External"/><Relationship Id="rId177" Type="http://schemas.openxmlformats.org/officeDocument/2006/relationships/hyperlink" Target="https://techcombank.com/thong-tin/blog/kiem-tra-thue-thu-nhap-ca-nhan" TargetMode="External"/><Relationship Id="rId198" Type="http://schemas.openxmlformats.org/officeDocument/2006/relationships/hyperlink" Target="https://techcombank.com/thong-tin/blog/tien-chuyen-vao-tai-khoan-co-bi-tinh-thue-khong" TargetMode="External"/><Relationship Id="rId197" Type="http://schemas.openxmlformats.org/officeDocument/2006/relationships/hyperlink" Target="https://techcombank.com/thong-tin/blog/thue-thu-nhap-ca-nhan" TargetMode="External"/><Relationship Id="rId196" Type="http://schemas.openxmlformats.org/officeDocument/2006/relationships/hyperlink" Target="https://techcombank.com/thong-tin/blog/mat-so-dien-thoai-dang-ky-tai-khoan-ngan-hang" TargetMode="External"/><Relationship Id="rId195" Type="http://schemas.openxmlformats.org/officeDocument/2006/relationships/hyperlink" Target="https://techcombank.com/thong-tin/blog/ten-dang-nhap-tai-khoan-ngan-hang-la-gi" TargetMode="External"/><Relationship Id="rId199" Type="http://schemas.openxmlformats.org/officeDocument/2006/relationships/hyperlink" Target="https://techcombank.com/thong-tin/blog/thue-thu-nhap-ca-nhan" TargetMode="External"/><Relationship Id="rId150" Type="http://schemas.openxmlformats.org/officeDocument/2006/relationships/hyperlink" Target="https://techcombank.com/thong-tin/blog/mo-tai-khoan-ngan-hang-bang-so-dien-thoai" TargetMode="External"/><Relationship Id="rId149" Type="http://schemas.openxmlformats.org/officeDocument/2006/relationships/hyperlink" Target="https://techcombank.com/thong-tin/blog/mo-tai-khoan-ngan-hang-duoi-18-tuoi" TargetMode="External"/><Relationship Id="rId148" Type="http://schemas.openxmlformats.org/officeDocument/2006/relationships/hyperlink" Target="https://techcombank.com/thong-tin/blog/mo-tai-khoan-tiet-kiem-cho-con" TargetMode="External"/><Relationship Id="rId143" Type="http://schemas.openxmlformats.org/officeDocument/2006/relationships/hyperlink" Target="https://techcombank.com/thong-tin/blog/bao-nhieu-tuoi-duoc-mo-tai-khoan-ngan-hang" TargetMode="External"/><Relationship Id="rId142" Type="http://schemas.openxmlformats.org/officeDocument/2006/relationships/hyperlink" Target="https://techcombank.com/thong-tin/blog/hoc-sinh-sinh-vien-nen-lam-the-ngan-hang-nao" TargetMode="External"/><Relationship Id="rId141" Type="http://schemas.openxmlformats.org/officeDocument/2006/relationships/hyperlink" Target="https://techcombank.com/thong-tin/blog/bao-nhieu-tuoi-duoc-mo-tai-khoan-ngan-hang" TargetMode="External"/><Relationship Id="rId140" Type="http://schemas.openxmlformats.org/officeDocument/2006/relationships/hyperlink" Target="https://techcombank.com/thong-tin/blog/mo-tai-khoan-ngan-hang-cho-tre-em" TargetMode="External"/><Relationship Id="rId147" Type="http://schemas.openxmlformats.org/officeDocument/2006/relationships/hyperlink" Target="https://techcombank.com/thong-tin/blog/mo-tai-khoan-ngan-hang-duoi-18-tuoi" TargetMode="External"/><Relationship Id="rId146" Type="http://schemas.openxmlformats.org/officeDocument/2006/relationships/hyperlink" Target="https://techcombank.com/thong-tin/blog/the-debit-cho-con" TargetMode="External"/><Relationship Id="rId145" Type="http://schemas.openxmlformats.org/officeDocument/2006/relationships/hyperlink" Target="https://techcombank.com/thong-tin/blog/mo-tai-khoan-ngan-hang-duoi-18-tuoi" TargetMode="External"/><Relationship Id="rId144" Type="http://schemas.openxmlformats.org/officeDocument/2006/relationships/hyperlink" Target="https://techcombank.com/thong-tin/blog/cach-lam-the-atm" TargetMode="External"/><Relationship Id="rId139" Type="http://schemas.openxmlformats.org/officeDocument/2006/relationships/hyperlink" Target="https://techcombank.com/thong-tin/blog/bao-nhieu-tuoi-duoc-mo-tai-khoan-ngan-hang" TargetMode="External"/><Relationship Id="rId138" Type="http://schemas.openxmlformats.org/officeDocument/2006/relationships/hyperlink" Target="https://techcombank.com/thong-tin/blog/ngan-hang-thu-huong-la-gi" TargetMode="External"/><Relationship Id="rId137" Type="http://schemas.openxmlformats.org/officeDocument/2006/relationships/hyperlink" Target="https://techcombank.com/thong-tin/blog/chuyen-khoan-thanh-cong-nhung-khong-nhan-duoc-tien" TargetMode="External"/><Relationship Id="rId132" Type="http://schemas.openxmlformats.org/officeDocument/2006/relationships/hyperlink" Target="https://techcombank.com/thong-tin/blog/chuyen-khoan-lien-ngan-hang" TargetMode="External"/><Relationship Id="rId131" Type="http://schemas.openxmlformats.org/officeDocument/2006/relationships/hyperlink" Target="https://techcombank.com/thong-tin/blog/chuyen-khoan-thanh-cong-nhung-khong-nhan-duoc-tien" TargetMode="External"/><Relationship Id="rId130" Type="http://schemas.openxmlformats.org/officeDocument/2006/relationships/hyperlink" Target="https://techcombank.com/thong-tin/blog/cach-chuyen-tien" TargetMode="External"/><Relationship Id="rId136" Type="http://schemas.openxmlformats.org/officeDocument/2006/relationships/hyperlink" Target="https://techcombank.com/thong-tin/blog/chuyen-nham-tien-co-lay-lai-duoc-khong" TargetMode="External"/><Relationship Id="rId135" Type="http://schemas.openxmlformats.org/officeDocument/2006/relationships/hyperlink" Target="https://techcombank.com/thong-tin/blog/chuyen-khoan-thanh-cong-nhung-khong-nhan-duoc-tien" TargetMode="External"/><Relationship Id="rId134" Type="http://schemas.openxmlformats.org/officeDocument/2006/relationships/hyperlink" Target="https://techcombank.com/thong-tin/blog/ma-giao-dich-la-gi" TargetMode="External"/><Relationship Id="rId133" Type="http://schemas.openxmlformats.org/officeDocument/2006/relationships/hyperlink" Target="https://techcombank.com/thong-tin/blog/chuyen-khoan-thanh-cong-nhung-khong-nhan-duoc-tien" TargetMode="External"/><Relationship Id="rId172" Type="http://schemas.openxmlformats.org/officeDocument/2006/relationships/hyperlink" Target="https://techcombank.com/thong-tin/blog/so-tai-khoan-dep" TargetMode="External"/><Relationship Id="rId171" Type="http://schemas.openxmlformats.org/officeDocument/2006/relationships/hyperlink" Target="https://techcombank.com/thong-tin/blog/day-so-phat-tai-phat-loc" TargetMode="External"/><Relationship Id="rId170" Type="http://schemas.openxmlformats.org/officeDocument/2006/relationships/hyperlink" Target="https://techcombank.com/thong-tin/blog/so-6868" TargetMode="External"/><Relationship Id="rId165" Type="http://schemas.openxmlformats.org/officeDocument/2006/relationships/hyperlink" Target="https://techcombank.com/thong-tin/blog/cach-sao-ke-tai-khoan-ngan-hang" TargetMode="External"/><Relationship Id="rId164" Type="http://schemas.openxmlformats.org/officeDocument/2006/relationships/hyperlink" Target="https://techcombank.com/thong-tin/blog/sao-ke-tai-khoan-doanh-nghiep" TargetMode="External"/><Relationship Id="rId163" Type="http://schemas.openxmlformats.org/officeDocument/2006/relationships/hyperlink" Target="https://techcombank.com/thong-tin/blog/cach-sao-ke-tai-khoan-ngan-hang" TargetMode="External"/><Relationship Id="rId162" Type="http://schemas.openxmlformats.org/officeDocument/2006/relationships/hyperlink" Target="https://techcombank.com/thong-tin/blog/sao-ke-luong" TargetMode="External"/><Relationship Id="rId169" Type="http://schemas.openxmlformats.org/officeDocument/2006/relationships/hyperlink" Target="https://techcombank.com/thong-tin/blog/day-so-phat-tai-phat-loc" TargetMode="External"/><Relationship Id="rId168" Type="http://schemas.openxmlformats.org/officeDocument/2006/relationships/hyperlink" Target="https://techcombank.com/thong-tin/blog/88-la-gi" TargetMode="External"/><Relationship Id="rId167" Type="http://schemas.openxmlformats.org/officeDocument/2006/relationships/hyperlink" Target="https://techcombank.com/thong-tin/blog/day-so-phat-tai-phat-loc" TargetMode="External"/><Relationship Id="rId166" Type="http://schemas.openxmlformats.org/officeDocument/2006/relationships/hyperlink" Target="https://techcombank.com/thong-tin/blog/vay-the-chap-qua-luong" TargetMode="External"/><Relationship Id="rId161" Type="http://schemas.openxmlformats.org/officeDocument/2006/relationships/hyperlink" Target="https://techcombank.com/thong-tin/blog/cach-sao-ke-tai-khoan-ngan-hang" TargetMode="External"/><Relationship Id="rId160" Type="http://schemas.openxmlformats.org/officeDocument/2006/relationships/hyperlink" Target="https://techcombank.com/thong-tin/blog/cay-atm-gan-day" TargetMode="External"/><Relationship Id="rId159" Type="http://schemas.openxmlformats.org/officeDocument/2006/relationships/hyperlink" Target="https://techcombank.com/thong-tin/blog/nap-tien-vao-tai-khoan-ngan-hang" TargetMode="External"/><Relationship Id="rId154" Type="http://schemas.openxmlformats.org/officeDocument/2006/relationships/hyperlink" Target="https://techcombank.com/thong-tin/blog/cach-nap-tien-vao-the-ghi-no" TargetMode="External"/><Relationship Id="rId153" Type="http://schemas.openxmlformats.org/officeDocument/2006/relationships/hyperlink" Target="https://techcombank.com/thong-tin/blog/nap-tien-vao-tai-khoan-ngan-hang" TargetMode="External"/><Relationship Id="rId152" Type="http://schemas.openxmlformats.org/officeDocument/2006/relationships/hyperlink" Target="https://techcombank.com/thong-tin/blog/cdm" TargetMode="External"/><Relationship Id="rId151" Type="http://schemas.openxmlformats.org/officeDocument/2006/relationships/hyperlink" Target="https://techcombank.com/thong-tin/blog/nap-tien-vao-tai-khoan-ngan-hang" TargetMode="External"/><Relationship Id="rId158" Type="http://schemas.openxmlformats.org/officeDocument/2006/relationships/hyperlink" Target="https://techcombank.com/thong-tin/blog/nop-tien-mat-vao-tai-khoan-cong-ty" TargetMode="External"/><Relationship Id="rId157" Type="http://schemas.openxmlformats.org/officeDocument/2006/relationships/hyperlink" Target="https://techcombank.com/thong-tin/blog/nap-tien-vao-tai-khoan-ngan-hang" TargetMode="External"/><Relationship Id="rId156" Type="http://schemas.openxmlformats.org/officeDocument/2006/relationships/hyperlink" Target="https://techcombank.com/thong-tin/blog/tai-khoan-ngan-hang-con-0-dong-co-sao-khong" TargetMode="External"/><Relationship Id="rId155" Type="http://schemas.openxmlformats.org/officeDocument/2006/relationships/hyperlink" Target="https://techcombank.com/thong-tin/blog/nap-tien-vao-tai-khoan-ngan-hang" TargetMode="External"/><Relationship Id="rId107" Type="http://schemas.openxmlformats.org/officeDocument/2006/relationships/hyperlink" Target="https://techcombank.com/thong-tin/blog/cach-kiem-tra-tai-khoan-ngan-hang" TargetMode="External"/><Relationship Id="rId106" Type="http://schemas.openxmlformats.org/officeDocument/2006/relationships/hyperlink" Target="https://techcombank.com/thong-tin/blog/so-du-kha-dung" TargetMode="External"/><Relationship Id="rId105" Type="http://schemas.openxmlformats.org/officeDocument/2006/relationships/hyperlink" Target="https://techcombank.com/thong-tin/blog/cach-kiem-tra-tai-khoan-ngan-hang" TargetMode="External"/><Relationship Id="rId104" Type="http://schemas.openxmlformats.org/officeDocument/2006/relationships/hyperlink" Target="https://techcombank.com/thong-tin/blog/so-tai-khoan-ngan-hang" TargetMode="External"/><Relationship Id="rId109" Type="http://schemas.openxmlformats.org/officeDocument/2006/relationships/hyperlink" Target="https://techcombank.com/thong-tin/blog/cach-kiem-tra-tai-khoan-ngan-hang" TargetMode="External"/><Relationship Id="rId108" Type="http://schemas.openxmlformats.org/officeDocument/2006/relationships/hyperlink" Target="https://techcombank.com/thong-tin/blog/ma-giao-dich-la-gi" TargetMode="External"/><Relationship Id="rId103" Type="http://schemas.openxmlformats.org/officeDocument/2006/relationships/hyperlink" Target="https://techcombank.com/thong-tin/blog/cach-kiem-tra-tai-khoan-ngan-hang" TargetMode="External"/><Relationship Id="rId102" Type="http://schemas.openxmlformats.org/officeDocument/2006/relationships/hyperlink" Target="https://techcombank.com/thong-tin/blog/dang-ky-ma-so-thue-ca-nhan" TargetMode="External"/><Relationship Id="rId101" Type="http://schemas.openxmlformats.org/officeDocument/2006/relationships/hyperlink" Target="https://techcombank.com/thong-tin/blog/cach-tinh-thue-thu-nhap-ca-nhan-2025" TargetMode="External"/><Relationship Id="rId100" Type="http://schemas.openxmlformats.org/officeDocument/2006/relationships/hyperlink" Target="https://techcombank.com/thong-tin/blog/hoan-thue-thu-nhap-ca-nhan" TargetMode="External"/><Relationship Id="rId129" Type="http://schemas.openxmlformats.org/officeDocument/2006/relationships/hyperlink" Target="https://techcombank.com/thong-tin/blog/chuyen-khoan-thanh-cong-nhung-khong-nhan-duoc-tien" TargetMode="External"/><Relationship Id="rId128" Type="http://schemas.openxmlformats.org/officeDocument/2006/relationships/hyperlink" Target="https://techcombank.com/thong-tin/blog/nen-mo-tai-khoan-ngan-hang-nao-cho-doanh-nghiep" TargetMode="External"/><Relationship Id="rId127" Type="http://schemas.openxmlformats.org/officeDocument/2006/relationships/hyperlink" Target="https://techcombank.com/thong-tin/blog/ngan-hang-uy-tin" TargetMode="External"/><Relationship Id="rId126" Type="http://schemas.openxmlformats.org/officeDocument/2006/relationships/hyperlink" Target="https://techcombank.com/thong-tin/blog/gui-tien-ngan-hang-co-an-toan-khong" TargetMode="External"/><Relationship Id="rId121" Type="http://schemas.openxmlformats.org/officeDocument/2006/relationships/hyperlink" Target="https://techcombank.com/thong-tin/blog/cach-mo-tai-khoan" TargetMode="External"/><Relationship Id="rId120" Type="http://schemas.openxmlformats.org/officeDocument/2006/relationships/hyperlink" Target="https://techcombank.com/thong-tin/blog/mo-tai-khoan-ngan-hang-co-mat-phi-khong" TargetMode="External"/><Relationship Id="rId125" Type="http://schemas.openxmlformats.org/officeDocument/2006/relationships/hyperlink" Target="https://techcombank.com/thong-tin/blog/ngan-hang-uy-tin" TargetMode="External"/><Relationship Id="rId124" Type="http://schemas.openxmlformats.org/officeDocument/2006/relationships/hyperlink" Target="https://techcombank.com/thong-tin/blog/app-ngan-hang-uy-tin" TargetMode="External"/><Relationship Id="rId123" Type="http://schemas.openxmlformats.org/officeDocument/2006/relationships/hyperlink" Target="https://techcombank.com/thong-tin/blog/ngan-hang-uy-tin" TargetMode="External"/><Relationship Id="rId122" Type="http://schemas.openxmlformats.org/officeDocument/2006/relationships/hyperlink" Target="https://techcombank.com/thong-tin/blog/1-cmnd-dang-ky-duoc-may-tai-khoan-ngan-hang" TargetMode="External"/><Relationship Id="rId118" Type="http://schemas.openxmlformats.org/officeDocument/2006/relationships/hyperlink" Target="https://techcombank.com/thong-tin/blog/mo-tai-khoan-ngan-hang-online-co-an-toan-khong" TargetMode="External"/><Relationship Id="rId117" Type="http://schemas.openxmlformats.org/officeDocument/2006/relationships/hyperlink" Target="https://techcombank.com/thong-tin/blog/cach-mo-tai-khoan" TargetMode="External"/><Relationship Id="rId116" Type="http://schemas.openxmlformats.org/officeDocument/2006/relationships/hyperlink" Target="https://techcombank.com/thong-tin/blog/tai-khoan-thanh-toan-la-gi" TargetMode="External"/><Relationship Id="rId115" Type="http://schemas.openxmlformats.org/officeDocument/2006/relationships/hyperlink" Target="https://techcombank.com/thong-tin/blog/cach-mo-tai-khoan" TargetMode="External"/><Relationship Id="rId119" Type="http://schemas.openxmlformats.org/officeDocument/2006/relationships/hyperlink" Target="https://techcombank.com/thong-tin/blog/cach-mo-tai-khoan" TargetMode="External"/><Relationship Id="rId110" Type="http://schemas.openxmlformats.org/officeDocument/2006/relationships/hyperlink" Target="https://techcombank.com/thong-tin/blog/sms-banking" TargetMode="External"/><Relationship Id="rId114" Type="http://schemas.openxmlformats.org/officeDocument/2006/relationships/hyperlink" Target="https://techcombank.com/thong-tin/blog/tai-khoan-ngan-hang-la-gi" TargetMode="External"/><Relationship Id="rId113" Type="http://schemas.openxmlformats.org/officeDocument/2006/relationships/hyperlink" Target="https://techcombank.com/thong-tin/blog/cach-mo-tai-khoan" TargetMode="External"/><Relationship Id="rId112" Type="http://schemas.openxmlformats.org/officeDocument/2006/relationships/hyperlink" Target="https://techcombank.com/thong-tin/blog/cach-kiem-tra-tai-khoan-ngan-hang-cua-cong-ty" TargetMode="External"/><Relationship Id="rId111" Type="http://schemas.openxmlformats.org/officeDocument/2006/relationships/hyperlink" Target="https://techcombank.com/thong-tin/blog/cach-kiem-tra-tai-khoan-ngan-ha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95.13"/>
  </cols>
  <sheetData>
    <row r="1">
      <c r="A1" s="1" t="s">
        <v>0</v>
      </c>
    </row>
    <row r="2">
      <c r="A2" s="2" t="s">
        <v>1</v>
      </c>
      <c r="B2" s="2" t="s">
        <v>3</v>
      </c>
    </row>
    <row r="3" ht="25.5" customHeight="1">
      <c r="A3" s="3" t="s">
        <v>5</v>
      </c>
      <c r="B3" s="4" t="s">
        <v>7</v>
      </c>
    </row>
    <row r="4" ht="25.5" customHeight="1">
      <c r="A4" s="3" t="s">
        <v>9</v>
      </c>
      <c r="B4" s="4" t="s">
        <v>10</v>
      </c>
    </row>
    <row r="5" ht="25.5" customHeight="1">
      <c r="A5" s="3" t="s">
        <v>11</v>
      </c>
      <c r="B5" s="4" t="s">
        <v>12</v>
      </c>
    </row>
    <row r="6" ht="25.5" customHeight="1">
      <c r="A6" s="3" t="s">
        <v>14</v>
      </c>
      <c r="B6" s="4" t="s">
        <v>15</v>
      </c>
    </row>
    <row r="7" ht="25.5" customHeight="1">
      <c r="A7" s="3" t="s">
        <v>17</v>
      </c>
      <c r="B7" s="4" t="s">
        <v>18</v>
      </c>
    </row>
    <row r="8">
      <c r="A8" s="3" t="s">
        <v>20</v>
      </c>
      <c r="B8" s="4" t="s">
        <v>21</v>
      </c>
    </row>
    <row r="9" ht="25.5" customHeight="1">
      <c r="A9" s="3" t="s">
        <v>22</v>
      </c>
      <c r="B9" s="4" t="s">
        <v>24</v>
      </c>
    </row>
    <row r="10">
      <c r="A10" s="5" t="s">
        <v>25</v>
      </c>
      <c r="B10" s="5" t="s">
        <v>28</v>
      </c>
    </row>
    <row r="11">
      <c r="A11" s="5" t="s">
        <v>29</v>
      </c>
      <c r="B11" s="5" t="s">
        <v>31</v>
      </c>
    </row>
    <row r="12">
      <c r="A12" s="5" t="s">
        <v>33</v>
      </c>
      <c r="B12" s="5" t="s">
        <v>34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4.13"/>
    <col customWidth="1" min="2" max="2" width="15.13"/>
    <col customWidth="1" min="3" max="3" width="26.38"/>
    <col customWidth="1" min="4" max="4" width="48.5"/>
    <col customWidth="1" min="5" max="5" width="15.25"/>
    <col customWidth="1" min="6" max="9" width="10.13"/>
    <col customWidth="1" min="10" max="10" width="16.38"/>
    <col customWidth="1" min="11" max="11" width="10.75"/>
    <col customWidth="1" min="12" max="12" width="20.13"/>
    <col customWidth="1" min="13" max="412" width="23.88"/>
  </cols>
  <sheetData>
    <row r="1" ht="33.0" customHeight="1">
      <c r="A1" s="2" t="s">
        <v>2</v>
      </c>
      <c r="B1" s="2" t="s">
        <v>4</v>
      </c>
      <c r="C1" s="2" t="s">
        <v>6</v>
      </c>
      <c r="D1" s="2" t="s">
        <v>8</v>
      </c>
      <c r="E1" s="2" t="s">
        <v>13</v>
      </c>
      <c r="F1" s="2" t="s">
        <v>16</v>
      </c>
      <c r="G1" s="2" t="s">
        <v>19</v>
      </c>
      <c r="H1" s="2" t="s">
        <v>23</v>
      </c>
      <c r="I1" s="2" t="s">
        <v>26</v>
      </c>
      <c r="J1" s="2" t="s">
        <v>27</v>
      </c>
      <c r="K1" s="2" t="s">
        <v>30</v>
      </c>
      <c r="L1" s="2" t="s">
        <v>32</v>
      </c>
      <c r="M1" s="2" t="str">
        <f t="array" ref="M1:OV1">TOROW({"Anchortext "&amp;TEXT(SEQUENCE(200,1),"000"),"URL "&amp;TEXT(SEQUENCE(200,1),"000")&amp;" (bài đặt link)"})</f>
        <v>Anchortext 001</v>
      </c>
      <c r="N1" s="2" t="s">
        <v>55</v>
      </c>
      <c r="O1" s="2" t="s">
        <v>56</v>
      </c>
      <c r="P1" s="2" t="s">
        <v>57</v>
      </c>
      <c r="Q1" s="2" t="s">
        <v>59</v>
      </c>
      <c r="R1" s="2" t="s">
        <v>60</v>
      </c>
      <c r="S1" s="2" t="s">
        <v>61</v>
      </c>
      <c r="T1" s="2" t="s">
        <v>62</v>
      </c>
      <c r="U1" s="2" t="s">
        <v>63</v>
      </c>
      <c r="V1" s="2" t="s">
        <v>64</v>
      </c>
      <c r="W1" s="2" t="s">
        <v>65</v>
      </c>
      <c r="X1" s="2" t="s">
        <v>66</v>
      </c>
      <c r="Y1" s="2" t="s">
        <v>67</v>
      </c>
      <c r="Z1" s="2" t="s">
        <v>68</v>
      </c>
      <c r="AA1" s="2" t="s">
        <v>69</v>
      </c>
      <c r="AB1" s="2" t="s">
        <v>70</v>
      </c>
      <c r="AC1" s="2" t="s">
        <v>71</v>
      </c>
      <c r="AD1" s="2" t="s">
        <v>72</v>
      </c>
      <c r="AE1" s="2" t="s">
        <v>74</v>
      </c>
      <c r="AF1" s="2" t="s">
        <v>76</v>
      </c>
      <c r="AG1" s="2" t="s">
        <v>77</v>
      </c>
      <c r="AH1" s="2" t="s">
        <v>78</v>
      </c>
      <c r="AI1" s="2" t="s">
        <v>79</v>
      </c>
      <c r="AJ1" s="2" t="s">
        <v>80</v>
      </c>
      <c r="AK1" s="2" t="s">
        <v>81</v>
      </c>
      <c r="AL1" s="2" t="s">
        <v>82</v>
      </c>
      <c r="AM1" s="2" t="s">
        <v>83</v>
      </c>
      <c r="AN1" s="2" t="s">
        <v>84</v>
      </c>
      <c r="AO1" s="2" t="s">
        <v>85</v>
      </c>
      <c r="AP1" s="2" t="s">
        <v>86</v>
      </c>
      <c r="AQ1" s="2" t="s">
        <v>87</v>
      </c>
      <c r="AR1" s="2" t="s">
        <v>88</v>
      </c>
      <c r="AS1" s="2" t="s">
        <v>89</v>
      </c>
      <c r="AT1" s="2" t="s">
        <v>90</v>
      </c>
      <c r="AU1" s="2" t="s">
        <v>91</v>
      </c>
      <c r="AV1" s="2" t="s">
        <v>92</v>
      </c>
      <c r="AW1" s="2" t="s">
        <v>93</v>
      </c>
      <c r="AX1" s="2" t="s">
        <v>94</v>
      </c>
      <c r="AY1" s="2" t="s">
        <v>95</v>
      </c>
      <c r="AZ1" s="2" t="s">
        <v>96</v>
      </c>
      <c r="BA1" s="2" t="s">
        <v>97</v>
      </c>
      <c r="BB1" s="2" t="s">
        <v>98</v>
      </c>
      <c r="BC1" s="2" t="s">
        <v>99</v>
      </c>
      <c r="BD1" s="2" t="s">
        <v>100</v>
      </c>
      <c r="BE1" s="2" t="s">
        <v>101</v>
      </c>
      <c r="BF1" s="2" t="s">
        <v>102</v>
      </c>
      <c r="BG1" s="2" t="s">
        <v>103</v>
      </c>
      <c r="BH1" s="2" t="s">
        <v>104</v>
      </c>
      <c r="BI1" s="2" t="s">
        <v>105</v>
      </c>
      <c r="BJ1" s="2" t="s">
        <v>106</v>
      </c>
      <c r="BK1" s="2" t="s">
        <v>107</v>
      </c>
      <c r="BL1" s="2" t="s">
        <v>108</v>
      </c>
      <c r="BM1" s="2" t="s">
        <v>109</v>
      </c>
      <c r="BN1" s="2" t="s">
        <v>110</v>
      </c>
      <c r="BO1" s="2" t="s">
        <v>111</v>
      </c>
      <c r="BP1" s="2" t="s">
        <v>112</v>
      </c>
      <c r="BQ1" s="2" t="s">
        <v>113</v>
      </c>
      <c r="BR1" s="2" t="s">
        <v>114</v>
      </c>
      <c r="BS1" s="2" t="s">
        <v>115</v>
      </c>
      <c r="BT1" s="2" t="s">
        <v>116</v>
      </c>
      <c r="BU1" s="2" t="s">
        <v>117</v>
      </c>
      <c r="BV1" s="2" t="s">
        <v>118</v>
      </c>
      <c r="BW1" s="2" t="s">
        <v>119</v>
      </c>
      <c r="BX1" s="2" t="s">
        <v>120</v>
      </c>
      <c r="BY1" s="2" t="s">
        <v>121</v>
      </c>
      <c r="BZ1" s="2" t="s">
        <v>122</v>
      </c>
      <c r="CA1" s="2" t="s">
        <v>123</v>
      </c>
      <c r="CB1" s="2" t="s">
        <v>124</v>
      </c>
      <c r="CC1" s="2" t="s">
        <v>125</v>
      </c>
      <c r="CD1" s="2" t="s">
        <v>126</v>
      </c>
      <c r="CE1" s="2" t="s">
        <v>127</v>
      </c>
      <c r="CF1" s="2" t="s">
        <v>128</v>
      </c>
      <c r="CG1" s="2" t="s">
        <v>129</v>
      </c>
      <c r="CH1" s="2" t="s">
        <v>130</v>
      </c>
      <c r="CI1" s="2" t="s">
        <v>131</v>
      </c>
      <c r="CJ1" s="2" t="s">
        <v>132</v>
      </c>
      <c r="CK1" s="2" t="s">
        <v>133</v>
      </c>
      <c r="CL1" s="2" t="s">
        <v>134</v>
      </c>
      <c r="CM1" s="2" t="s">
        <v>135</v>
      </c>
      <c r="CN1" s="2" t="s">
        <v>136</v>
      </c>
      <c r="CO1" s="2" t="s">
        <v>137</v>
      </c>
      <c r="CP1" s="2" t="s">
        <v>138</v>
      </c>
      <c r="CQ1" s="2" t="s">
        <v>139</v>
      </c>
      <c r="CR1" s="2" t="s">
        <v>140</v>
      </c>
      <c r="CS1" s="2" t="s">
        <v>141</v>
      </c>
      <c r="CT1" s="2" t="s">
        <v>142</v>
      </c>
      <c r="CU1" s="2" t="s">
        <v>143</v>
      </c>
      <c r="CV1" s="2" t="s">
        <v>144</v>
      </c>
      <c r="CW1" s="2" t="s">
        <v>145</v>
      </c>
      <c r="CX1" s="2" t="s">
        <v>146</v>
      </c>
      <c r="CY1" s="2" t="s">
        <v>147</v>
      </c>
      <c r="CZ1" s="2" t="s">
        <v>148</v>
      </c>
      <c r="DA1" s="2" t="s">
        <v>149</v>
      </c>
      <c r="DB1" s="2" t="s">
        <v>150</v>
      </c>
      <c r="DC1" s="2" t="s">
        <v>151</v>
      </c>
      <c r="DD1" s="2" t="s">
        <v>152</v>
      </c>
      <c r="DE1" s="2" t="s">
        <v>153</v>
      </c>
      <c r="DF1" s="2" t="s">
        <v>154</v>
      </c>
      <c r="DG1" s="2" t="s">
        <v>155</v>
      </c>
      <c r="DH1" s="2" t="s">
        <v>156</v>
      </c>
      <c r="DI1" s="2" t="s">
        <v>157</v>
      </c>
      <c r="DJ1" s="2" t="s">
        <v>158</v>
      </c>
      <c r="DK1" s="2" t="s">
        <v>159</v>
      </c>
      <c r="DL1" s="2" t="s">
        <v>160</v>
      </c>
      <c r="DM1" s="2" t="s">
        <v>161</v>
      </c>
      <c r="DN1" s="2" t="s">
        <v>162</v>
      </c>
      <c r="DO1" s="2" t="s">
        <v>163</v>
      </c>
      <c r="DP1" s="2" t="s">
        <v>164</v>
      </c>
      <c r="DQ1" s="2" t="s">
        <v>165</v>
      </c>
      <c r="DR1" s="2" t="s">
        <v>166</v>
      </c>
      <c r="DS1" s="2" t="s">
        <v>168</v>
      </c>
      <c r="DT1" s="2" t="s">
        <v>169</v>
      </c>
      <c r="DU1" s="2" t="s">
        <v>170</v>
      </c>
      <c r="DV1" s="2" t="s">
        <v>171</v>
      </c>
      <c r="DW1" s="2" t="s">
        <v>172</v>
      </c>
      <c r="DX1" s="2" t="s">
        <v>173</v>
      </c>
      <c r="DY1" s="2" t="s">
        <v>174</v>
      </c>
      <c r="DZ1" s="2" t="s">
        <v>175</v>
      </c>
      <c r="EA1" s="2" t="s">
        <v>176</v>
      </c>
      <c r="EB1" s="2" t="s">
        <v>177</v>
      </c>
      <c r="EC1" s="2" t="s">
        <v>178</v>
      </c>
      <c r="ED1" s="2" t="s">
        <v>179</v>
      </c>
      <c r="EE1" s="2" t="s">
        <v>180</v>
      </c>
      <c r="EF1" s="2" t="s">
        <v>181</v>
      </c>
      <c r="EG1" s="2" t="s">
        <v>182</v>
      </c>
      <c r="EH1" s="2" t="s">
        <v>185</v>
      </c>
      <c r="EI1" s="2" t="s">
        <v>187</v>
      </c>
      <c r="EJ1" s="2" t="s">
        <v>189</v>
      </c>
      <c r="EK1" s="2" t="s">
        <v>191</v>
      </c>
      <c r="EL1" s="2" t="s">
        <v>192</v>
      </c>
      <c r="EM1" s="2" t="s">
        <v>193</v>
      </c>
      <c r="EN1" s="2" t="s">
        <v>194</v>
      </c>
      <c r="EO1" s="2" t="s">
        <v>195</v>
      </c>
      <c r="EP1" s="2" t="s">
        <v>196</v>
      </c>
      <c r="EQ1" s="2" t="s">
        <v>198</v>
      </c>
      <c r="ER1" s="2" t="s">
        <v>199</v>
      </c>
      <c r="ES1" s="2" t="s">
        <v>200</v>
      </c>
      <c r="ET1" s="2" t="s">
        <v>201</v>
      </c>
      <c r="EU1" s="2" t="s">
        <v>202</v>
      </c>
      <c r="EV1" s="2" t="s">
        <v>203</v>
      </c>
      <c r="EW1" s="2" t="s">
        <v>204</v>
      </c>
      <c r="EX1" s="2" t="s">
        <v>205</v>
      </c>
      <c r="EY1" s="2" t="s">
        <v>206</v>
      </c>
      <c r="EZ1" s="2" t="s">
        <v>207</v>
      </c>
      <c r="FA1" s="2" t="s">
        <v>208</v>
      </c>
      <c r="FB1" s="2" t="s">
        <v>209</v>
      </c>
      <c r="FC1" s="2" t="s">
        <v>210</v>
      </c>
      <c r="FD1" s="2" t="s">
        <v>211</v>
      </c>
      <c r="FE1" s="2" t="s">
        <v>212</v>
      </c>
      <c r="FF1" s="2" t="s">
        <v>213</v>
      </c>
      <c r="FG1" s="2" t="s">
        <v>214</v>
      </c>
      <c r="FH1" s="2" t="s">
        <v>215</v>
      </c>
      <c r="FI1" s="2" t="s">
        <v>217</v>
      </c>
      <c r="FJ1" s="2" t="s">
        <v>219</v>
      </c>
      <c r="FK1" s="2" t="s">
        <v>220</v>
      </c>
      <c r="FL1" s="2" t="s">
        <v>221</v>
      </c>
      <c r="FM1" s="2" t="s">
        <v>222</v>
      </c>
      <c r="FN1" s="2" t="s">
        <v>223</v>
      </c>
      <c r="FO1" s="2" t="s">
        <v>224</v>
      </c>
      <c r="FP1" s="2" t="s">
        <v>226</v>
      </c>
      <c r="FQ1" s="2" t="s">
        <v>228</v>
      </c>
      <c r="FR1" s="2" t="s">
        <v>229</v>
      </c>
      <c r="FS1" s="2" t="s">
        <v>230</v>
      </c>
      <c r="FT1" s="2" t="s">
        <v>231</v>
      </c>
      <c r="FU1" s="2" t="s">
        <v>232</v>
      </c>
      <c r="FV1" s="2" t="s">
        <v>233</v>
      </c>
      <c r="FW1" s="2" t="s">
        <v>234</v>
      </c>
      <c r="FX1" s="2" t="s">
        <v>235</v>
      </c>
      <c r="FY1" s="2" t="s">
        <v>236</v>
      </c>
      <c r="FZ1" s="2" t="s">
        <v>237</v>
      </c>
      <c r="GA1" s="2" t="s">
        <v>238</v>
      </c>
      <c r="GB1" s="2" t="s">
        <v>240</v>
      </c>
      <c r="GC1" s="2" t="s">
        <v>242</v>
      </c>
      <c r="GD1" s="2" t="s">
        <v>243</v>
      </c>
      <c r="GE1" s="2" t="s">
        <v>244</v>
      </c>
      <c r="GF1" s="2" t="s">
        <v>245</v>
      </c>
      <c r="GG1" s="2" t="s">
        <v>246</v>
      </c>
      <c r="GH1" s="2" t="s">
        <v>248</v>
      </c>
      <c r="GI1" s="2" t="s">
        <v>249</v>
      </c>
      <c r="GJ1" s="2" t="s">
        <v>251</v>
      </c>
      <c r="GK1" s="2" t="s">
        <v>252</v>
      </c>
      <c r="GL1" s="2" t="s">
        <v>253</v>
      </c>
      <c r="GM1" s="2" t="s">
        <v>254</v>
      </c>
      <c r="GN1" s="2" t="s">
        <v>255</v>
      </c>
      <c r="GO1" s="2" t="s">
        <v>256</v>
      </c>
      <c r="GP1" s="2" t="s">
        <v>257</v>
      </c>
      <c r="GQ1" s="2" t="s">
        <v>258</v>
      </c>
      <c r="GR1" s="2" t="s">
        <v>259</v>
      </c>
      <c r="GS1" s="2" t="s">
        <v>260</v>
      </c>
      <c r="GT1" s="2" t="s">
        <v>261</v>
      </c>
      <c r="GU1" s="2" t="s">
        <v>263</v>
      </c>
      <c r="GV1" s="2" t="s">
        <v>265</v>
      </c>
      <c r="GW1" s="2" t="s">
        <v>267</v>
      </c>
      <c r="GX1" s="2" t="s">
        <v>268</v>
      </c>
      <c r="GY1" s="2" t="s">
        <v>269</v>
      </c>
      <c r="GZ1" s="2" t="s">
        <v>271</v>
      </c>
      <c r="HA1" s="2" t="s">
        <v>272</v>
      </c>
      <c r="HB1" s="2" t="s">
        <v>273</v>
      </c>
      <c r="HC1" s="2" t="s">
        <v>274</v>
      </c>
      <c r="HD1" s="2" t="s">
        <v>275</v>
      </c>
      <c r="HE1" s="2" t="s">
        <v>276</v>
      </c>
      <c r="HF1" s="2" t="s">
        <v>277</v>
      </c>
      <c r="HG1" s="2" t="s">
        <v>278</v>
      </c>
      <c r="HH1" s="2" t="s">
        <v>279</v>
      </c>
      <c r="HI1" s="2" t="s">
        <v>280</v>
      </c>
      <c r="HJ1" s="2" t="s">
        <v>281</v>
      </c>
      <c r="HK1" s="2" t="s">
        <v>284</v>
      </c>
      <c r="HL1" s="2" t="s">
        <v>286</v>
      </c>
      <c r="HM1" s="2" t="s">
        <v>287</v>
      </c>
      <c r="HN1" s="2" t="s">
        <v>288</v>
      </c>
      <c r="HO1" s="2" t="s">
        <v>289</v>
      </c>
      <c r="HP1" s="2" t="s">
        <v>291</v>
      </c>
      <c r="HQ1" s="2" t="s">
        <v>292</v>
      </c>
      <c r="HR1" s="2" t="s">
        <v>293</v>
      </c>
      <c r="HS1" s="2" t="s">
        <v>294</v>
      </c>
      <c r="HT1" s="2" t="s">
        <v>295</v>
      </c>
      <c r="HU1" s="2" t="s">
        <v>297</v>
      </c>
      <c r="HV1" s="2" t="s">
        <v>298</v>
      </c>
      <c r="HW1" s="2" t="s">
        <v>299</v>
      </c>
      <c r="HX1" s="2" t="s">
        <v>300</v>
      </c>
      <c r="HY1" s="2" t="s">
        <v>301</v>
      </c>
      <c r="HZ1" s="2" t="s">
        <v>302</v>
      </c>
      <c r="IA1" s="2" t="s">
        <v>305</v>
      </c>
      <c r="IB1" s="2" t="s">
        <v>307</v>
      </c>
      <c r="IC1" s="2" t="s">
        <v>308</v>
      </c>
      <c r="ID1" s="2" t="s">
        <v>309</v>
      </c>
      <c r="IE1" s="2" t="s">
        <v>311</v>
      </c>
      <c r="IF1" s="2" t="s">
        <v>312</v>
      </c>
      <c r="IG1" s="2" t="s">
        <v>313</v>
      </c>
      <c r="IH1" s="2" t="s">
        <v>314</v>
      </c>
      <c r="II1" s="2" t="s">
        <v>315</v>
      </c>
      <c r="IJ1" s="2" t="s">
        <v>317</v>
      </c>
      <c r="IK1" s="2" t="s">
        <v>318</v>
      </c>
      <c r="IL1" s="2" t="s">
        <v>319</v>
      </c>
      <c r="IM1" s="2" t="s">
        <v>320</v>
      </c>
      <c r="IN1" s="2" t="s">
        <v>321</v>
      </c>
      <c r="IO1" s="2" t="s">
        <v>322</v>
      </c>
      <c r="IP1" s="2" t="s">
        <v>323</v>
      </c>
      <c r="IQ1" s="2" t="s">
        <v>324</v>
      </c>
      <c r="IR1" s="2" t="s">
        <v>325</v>
      </c>
      <c r="IS1" s="2" t="s">
        <v>327</v>
      </c>
      <c r="IT1" s="2" t="s">
        <v>328</v>
      </c>
      <c r="IU1" s="2" t="s">
        <v>329</v>
      </c>
      <c r="IV1" s="2" t="s">
        <v>332</v>
      </c>
      <c r="IW1" s="2" t="s">
        <v>335</v>
      </c>
      <c r="IX1" s="2" t="s">
        <v>336</v>
      </c>
      <c r="IY1" s="2" t="s">
        <v>337</v>
      </c>
      <c r="IZ1" s="2" t="s">
        <v>339</v>
      </c>
      <c r="JA1" s="2" t="s">
        <v>340</v>
      </c>
      <c r="JB1" s="2" t="s">
        <v>342</v>
      </c>
      <c r="JC1" s="2" t="s">
        <v>343</v>
      </c>
      <c r="JD1" s="2" t="s">
        <v>344</v>
      </c>
      <c r="JE1" s="2" t="s">
        <v>345</v>
      </c>
      <c r="JF1" s="2" t="s">
        <v>348</v>
      </c>
      <c r="JG1" s="2" t="s">
        <v>350</v>
      </c>
      <c r="JH1" s="2" t="s">
        <v>351</v>
      </c>
      <c r="JI1" s="2" t="s">
        <v>352</v>
      </c>
      <c r="JJ1" s="2" t="s">
        <v>353</v>
      </c>
      <c r="JK1" s="2" t="s">
        <v>354</v>
      </c>
      <c r="JL1" s="2" t="s">
        <v>355</v>
      </c>
      <c r="JM1" s="2" t="s">
        <v>357</v>
      </c>
      <c r="JN1" s="2" t="s">
        <v>360</v>
      </c>
      <c r="JO1" s="2" t="s">
        <v>361</v>
      </c>
      <c r="JP1" s="2" t="s">
        <v>362</v>
      </c>
      <c r="JQ1" s="2" t="s">
        <v>363</v>
      </c>
      <c r="JR1" s="2" t="s">
        <v>364</v>
      </c>
      <c r="JS1" s="2" t="s">
        <v>366</v>
      </c>
      <c r="JT1" s="2" t="s">
        <v>368</v>
      </c>
      <c r="JU1" s="2" t="s">
        <v>369</v>
      </c>
      <c r="JV1" s="2" t="s">
        <v>370</v>
      </c>
      <c r="JW1" s="2" t="s">
        <v>372</v>
      </c>
      <c r="JX1" s="2" t="s">
        <v>374</v>
      </c>
      <c r="JY1" s="2" t="s">
        <v>376</v>
      </c>
      <c r="JZ1" s="2" t="s">
        <v>377</v>
      </c>
      <c r="KA1" s="2" t="s">
        <v>378</v>
      </c>
      <c r="KB1" s="2" t="s">
        <v>379</v>
      </c>
      <c r="KC1" s="2" t="s">
        <v>381</v>
      </c>
      <c r="KD1" s="2" t="s">
        <v>383</v>
      </c>
      <c r="KE1" s="2" t="s">
        <v>384</v>
      </c>
      <c r="KF1" s="2" t="s">
        <v>386</v>
      </c>
      <c r="KG1" s="2" t="s">
        <v>388</v>
      </c>
      <c r="KH1" s="2" t="s">
        <v>390</v>
      </c>
      <c r="KI1" s="2" t="s">
        <v>391</v>
      </c>
      <c r="KJ1" s="2" t="s">
        <v>392</v>
      </c>
      <c r="KK1" s="2" t="s">
        <v>393</v>
      </c>
      <c r="KL1" s="2" t="s">
        <v>394</v>
      </c>
      <c r="KM1" s="2" t="s">
        <v>397</v>
      </c>
      <c r="KN1" s="2" t="s">
        <v>398</v>
      </c>
      <c r="KO1" s="2" t="s">
        <v>400</v>
      </c>
      <c r="KP1" s="2" t="s">
        <v>401</v>
      </c>
      <c r="KQ1" s="2" t="s">
        <v>402</v>
      </c>
      <c r="KR1" s="2" t="s">
        <v>403</v>
      </c>
      <c r="KS1" s="2" t="s">
        <v>406</v>
      </c>
      <c r="KT1" s="2" t="s">
        <v>409</v>
      </c>
      <c r="KU1" s="2" t="s">
        <v>410</v>
      </c>
      <c r="KV1" s="2" t="s">
        <v>412</v>
      </c>
      <c r="KW1" s="2" t="s">
        <v>413</v>
      </c>
      <c r="KX1" s="2" t="s">
        <v>414</v>
      </c>
      <c r="KY1" s="2" t="s">
        <v>415</v>
      </c>
      <c r="KZ1" s="2" t="s">
        <v>416</v>
      </c>
      <c r="LA1" s="2" t="s">
        <v>417</v>
      </c>
      <c r="LB1" s="2" t="s">
        <v>419</v>
      </c>
      <c r="LC1" s="2" t="s">
        <v>421</v>
      </c>
      <c r="LD1" s="2" t="s">
        <v>422</v>
      </c>
      <c r="LE1" s="2" t="s">
        <v>423</v>
      </c>
      <c r="LF1" s="2" t="s">
        <v>424</v>
      </c>
      <c r="LG1" s="2" t="s">
        <v>425</v>
      </c>
      <c r="LH1" s="2" t="s">
        <v>427</v>
      </c>
      <c r="LI1" s="2" t="s">
        <v>428</v>
      </c>
      <c r="LJ1" s="2" t="s">
        <v>430</v>
      </c>
      <c r="LK1" s="2" t="s">
        <v>432</v>
      </c>
      <c r="LL1" s="2" t="s">
        <v>433</v>
      </c>
      <c r="LM1" s="2" t="s">
        <v>434</v>
      </c>
      <c r="LN1" s="2" t="s">
        <v>435</v>
      </c>
      <c r="LO1" s="2" t="s">
        <v>436</v>
      </c>
      <c r="LP1" s="2" t="s">
        <v>438</v>
      </c>
      <c r="LQ1" s="2" t="s">
        <v>439</v>
      </c>
      <c r="LR1" s="2" t="s">
        <v>440</v>
      </c>
      <c r="LS1" s="2" t="s">
        <v>441</v>
      </c>
      <c r="LT1" s="2" t="s">
        <v>442</v>
      </c>
      <c r="LU1" s="2" t="s">
        <v>444</v>
      </c>
      <c r="LV1" s="2" t="s">
        <v>446</v>
      </c>
      <c r="LW1" s="2" t="s">
        <v>447</v>
      </c>
      <c r="LX1" s="2" t="s">
        <v>449</v>
      </c>
      <c r="LY1" s="2" t="s">
        <v>450</v>
      </c>
      <c r="LZ1" s="2" t="s">
        <v>451</v>
      </c>
      <c r="MA1" s="2" t="s">
        <v>452</v>
      </c>
      <c r="MB1" s="2" t="s">
        <v>453</v>
      </c>
      <c r="MC1" s="2" t="s">
        <v>454</v>
      </c>
      <c r="MD1" s="2" t="s">
        <v>455</v>
      </c>
      <c r="ME1" s="2" t="s">
        <v>456</v>
      </c>
      <c r="MF1" s="2" t="s">
        <v>458</v>
      </c>
      <c r="MG1" s="2" t="s">
        <v>459</v>
      </c>
      <c r="MH1" s="2" t="s">
        <v>461</v>
      </c>
      <c r="MI1" s="2" t="s">
        <v>462</v>
      </c>
      <c r="MJ1" s="2" t="s">
        <v>463</v>
      </c>
      <c r="MK1" s="2" t="s">
        <v>464</v>
      </c>
      <c r="ML1" s="2" t="s">
        <v>465</v>
      </c>
      <c r="MM1" s="2" t="s">
        <v>467</v>
      </c>
      <c r="MN1" s="2" t="s">
        <v>468</v>
      </c>
      <c r="MO1" s="2" t="s">
        <v>469</v>
      </c>
      <c r="MP1" s="2" t="s">
        <v>470</v>
      </c>
      <c r="MQ1" s="2" t="s">
        <v>471</v>
      </c>
      <c r="MR1" s="2" t="s">
        <v>472</v>
      </c>
      <c r="MS1" s="2" t="s">
        <v>473</v>
      </c>
      <c r="MT1" s="2" t="s">
        <v>474</v>
      </c>
      <c r="MU1" s="2" t="s">
        <v>476</v>
      </c>
      <c r="MV1" s="2" t="s">
        <v>477</v>
      </c>
      <c r="MW1" s="2" t="s">
        <v>478</v>
      </c>
      <c r="MX1" s="2" t="s">
        <v>479</v>
      </c>
      <c r="MY1" s="2" t="s">
        <v>480</v>
      </c>
      <c r="MZ1" s="2" t="s">
        <v>482</v>
      </c>
      <c r="NA1" s="2" t="s">
        <v>483</v>
      </c>
      <c r="NB1" s="2" t="s">
        <v>485</v>
      </c>
      <c r="NC1" s="2" t="s">
        <v>486</v>
      </c>
      <c r="ND1" s="2" t="s">
        <v>487</v>
      </c>
      <c r="NE1" s="2" t="s">
        <v>488</v>
      </c>
      <c r="NF1" s="2" t="s">
        <v>489</v>
      </c>
      <c r="NG1" s="2" t="s">
        <v>490</v>
      </c>
      <c r="NH1" s="2" t="s">
        <v>491</v>
      </c>
      <c r="NI1" s="2" t="s">
        <v>492</v>
      </c>
      <c r="NJ1" s="2" t="s">
        <v>494</v>
      </c>
      <c r="NK1" s="2" t="s">
        <v>495</v>
      </c>
      <c r="NL1" s="2" t="s">
        <v>496</v>
      </c>
      <c r="NM1" s="2" t="s">
        <v>497</v>
      </c>
      <c r="NN1" s="2" t="s">
        <v>498</v>
      </c>
      <c r="NO1" s="2" t="s">
        <v>499</v>
      </c>
      <c r="NP1" s="2" t="s">
        <v>500</v>
      </c>
      <c r="NQ1" s="2" t="s">
        <v>502</v>
      </c>
      <c r="NR1" s="2" t="s">
        <v>503</v>
      </c>
      <c r="NS1" s="2" t="s">
        <v>504</v>
      </c>
      <c r="NT1" s="2" t="s">
        <v>506</v>
      </c>
      <c r="NU1" s="2" t="s">
        <v>508</v>
      </c>
      <c r="NV1" s="2" t="s">
        <v>509</v>
      </c>
      <c r="NW1" s="2" t="s">
        <v>510</v>
      </c>
      <c r="NX1" s="2" t="s">
        <v>512</v>
      </c>
      <c r="NY1" s="2" t="s">
        <v>515</v>
      </c>
      <c r="NZ1" s="2" t="s">
        <v>516</v>
      </c>
      <c r="OA1" s="2" t="s">
        <v>517</v>
      </c>
      <c r="OB1" s="2" t="s">
        <v>518</v>
      </c>
      <c r="OC1" s="2" t="s">
        <v>520</v>
      </c>
      <c r="OD1" s="2" t="s">
        <v>521</v>
      </c>
      <c r="OE1" s="2" t="s">
        <v>522</v>
      </c>
      <c r="OF1" s="2" t="s">
        <v>524</v>
      </c>
      <c r="OG1" s="2" t="s">
        <v>526</v>
      </c>
      <c r="OH1" s="2" t="s">
        <v>527</v>
      </c>
      <c r="OI1" s="2" t="s">
        <v>528</v>
      </c>
      <c r="OJ1" s="2" t="s">
        <v>530</v>
      </c>
      <c r="OK1" s="2" t="s">
        <v>531</v>
      </c>
      <c r="OL1" s="2" t="s">
        <v>532</v>
      </c>
      <c r="OM1" s="2" t="s">
        <v>534</v>
      </c>
      <c r="ON1" s="2" t="s">
        <v>535</v>
      </c>
      <c r="OO1" s="2" t="s">
        <v>537</v>
      </c>
      <c r="OP1" s="2" t="s">
        <v>538</v>
      </c>
      <c r="OQ1" s="2" t="s">
        <v>539</v>
      </c>
      <c r="OR1" s="2" t="s">
        <v>540</v>
      </c>
      <c r="OS1" s="2" t="s">
        <v>541</v>
      </c>
      <c r="OT1" s="2" t="s">
        <v>542</v>
      </c>
      <c r="OU1" s="2" t="s">
        <v>543</v>
      </c>
      <c r="OV1" s="2" t="s">
        <v>545</v>
      </c>
    </row>
    <row r="2" ht="18.0" customHeight="1">
      <c r="A2" s="16">
        <v>1.0</v>
      </c>
      <c r="B2" s="17" t="s">
        <v>75</v>
      </c>
      <c r="C2" s="18" t="s">
        <v>183</v>
      </c>
      <c r="D2" s="17" t="s">
        <v>43</v>
      </c>
      <c r="E2" s="16">
        <v>30.0</v>
      </c>
      <c r="F2" s="16">
        <f>COUNTIF('Tổng hợp 75 trang đích'!$B$2:$B$3400,$D2)</f>
        <v>30</v>
      </c>
      <c r="G2" s="16">
        <f>COUNTIFS('Tổng hợp 75 trang đích'!$B$2:$B$3400,$D2,'Tổng hợp 75 trang đích'!$K$2:$K$3400,"PHÙ HỢP CAO")</f>
        <v>4</v>
      </c>
      <c r="H2" s="16">
        <f>COUNTIFS('Tổng hợp 75 trang đích'!$B$2:$B$3400,$D2,'Tổng hợp 75 trang đích'!$K$2:$K$3400,"CÓ THỂ ĐI")</f>
        <v>1</v>
      </c>
      <c r="I2" s="16">
        <f>COUNTIFS('Tổng hợp 75 trang đích'!$B$2:$B$3400,$D2,'Tổng hợp 75 trang đích'!$K$2:$K$3400,"CẦN SOÁT")</f>
        <v>25</v>
      </c>
      <c r="J2" s="19" t="s">
        <v>555</v>
      </c>
      <c r="K2" s="19" t="b">
        <v>0</v>
      </c>
      <c r="L2" s="20" t="s">
        <v>333</v>
      </c>
      <c r="M2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đích'!$B$2:$B$3400=$D2),3,TRU"&amp;"E),1,2)),"""")"),"lãi suất vay mua ô tô")</f>
        <v>lãi suất vay mua ô tô</v>
      </c>
      <c r="N2" s="21" t="str">
        <f>IFERROR(__xludf.DUMMYFUNCTION("""COMPUTED_VALUE"""),"https://techcombank.com/thong-tin/blog/vay-mua-xe-tra-gop-ngan-hang-nao-tot-nhat")</f>
        <v>https://techcombank.com/thong-tin/blog/vay-mua-xe-tra-gop-ngan-hang-nao-tot-nhat</v>
      </c>
      <c r="O2" s="17" t="str">
        <f>IFERROR(__xludf.DUMMYFUNCTION("""COMPUTED_VALUE"""),"lãi suất vay mua xe ô tô")</f>
        <v>lãi suất vay mua xe ô tô</v>
      </c>
      <c r="P2" s="21" t="str">
        <f>IFERROR(__xludf.DUMMYFUNCTION("""COMPUTED_VALUE"""),"https://techcombank.com/thong-tin/blog/co-nen-mua-o-to-tra-gop")</f>
        <v>https://techcombank.com/thong-tin/blog/co-nen-mua-o-to-tra-gop</v>
      </c>
      <c r="Q2" s="17" t="str">
        <f>IFERROR(__xludf.DUMMYFUNCTION("""COMPUTED_VALUE"""),"lãi suất vay mua ô tô các ngân hàng")</f>
        <v>lãi suất vay mua ô tô các ngân hàng</v>
      </c>
      <c r="R2" s="21" t="str">
        <f>IFERROR(__xludf.DUMMYFUNCTION("""COMPUTED_VALUE"""),"https://techcombank.com/thong-tin/blog/thu-tuc-mua-xe-tra-gop")</f>
        <v>https://techcombank.com/thong-tin/blog/thu-tuc-mua-xe-tra-gop</v>
      </c>
      <c r="S2" s="17" t="str">
        <f>IFERROR(__xludf.DUMMYFUNCTION("""COMPUTED_VALUE"""),"mua xe trả góp lãi suất bao nhiêu")</f>
        <v>mua xe trả góp lãi suất bao nhiêu</v>
      </c>
      <c r="T2" s="21" t="str">
        <f>IFERROR(__xludf.DUMMYFUNCTION("""COMPUTED_VALUE"""),"https://techcombank.com/thong-tin/blog/nen-mua-xe-tra-gop-hay-tra-thang")</f>
        <v>https://techcombank.com/thong-tin/blog/nen-mua-xe-tra-gop-hay-tra-thang</v>
      </c>
      <c r="U2" s="17" t="str">
        <f>IFERROR(__xludf.DUMMYFUNCTION("""COMPUTED_VALUE"""),"lãi suất vay mua ô tô")</f>
        <v>lãi suất vay mua ô tô</v>
      </c>
      <c r="V2" s="21" t="str">
        <f>IFERROR(__xludf.DUMMYFUNCTION("""COMPUTED_VALUE"""),"https://techcombank.com/thong-tin/blog/vay-the-chap-xe-o-to-cu")</f>
        <v>https://techcombank.com/thong-tin/blog/vay-the-chap-xe-o-to-cu</v>
      </c>
      <c r="W2" s="17" t="str">
        <f>IFERROR(__xludf.DUMMYFUNCTION("""COMPUTED_VALUE"""),"lãi suất vay mua xe ô tô")</f>
        <v>lãi suất vay mua xe ô tô</v>
      </c>
      <c r="X2" s="21" t="str">
        <f>IFERROR(__xludf.DUMMYFUNCTION("""COMPUTED_VALUE"""),"https://techcombank.com/thong-tin/blog/mua-bao-hiem-o-to-dien")</f>
        <v>https://techcombank.com/thong-tin/blog/mua-bao-hiem-o-to-dien</v>
      </c>
      <c r="Y2" s="17" t="str">
        <f>IFERROR(__xludf.DUMMYFUNCTION("""COMPUTED_VALUE"""),"lãi suất vay mua ô tô các ngân hàng")</f>
        <v>lãi suất vay mua ô tô các ngân hàng</v>
      </c>
      <c r="Z2" s="21" t="str">
        <f>IFERROR(__xludf.DUMMYFUNCTION("""COMPUTED_VALUE"""),"https://techcombank.com/thong-tin/blog/mua-bao-hiem-o-to")</f>
        <v>https://techcombank.com/thong-tin/blog/mua-bao-hiem-o-to</v>
      </c>
      <c r="AA2" s="17" t="str">
        <f>IFERROR(__xludf.DUMMYFUNCTION("""COMPUTED_VALUE"""),"mua xe trả góp lãi suất bao nhiêu")</f>
        <v>mua xe trả góp lãi suất bao nhiêu</v>
      </c>
      <c r="AB2" s="21" t="str">
        <f>IFERROR(__xludf.DUMMYFUNCTION("""COMPUTED_VALUE"""),"https://techcombank.com/thong-tin/blog/bao-hiem-vat-chat-xe-o-to")</f>
        <v>https://techcombank.com/thong-tin/blog/bao-hiem-vat-chat-xe-o-to</v>
      </c>
      <c r="AC2" s="17" t="str">
        <f>IFERROR(__xludf.DUMMYFUNCTION("""COMPUTED_VALUE"""),"lãi suất vay mua ô tô")</f>
        <v>lãi suất vay mua ô tô</v>
      </c>
      <c r="AD2" s="21" t="str">
        <f>IFERROR(__xludf.DUMMYFUNCTION("""COMPUTED_VALUE"""),"https://techcombank.com/thong-tin/blog/nen-mua-xe-o-to-dien-hay-xe-xang")</f>
        <v>https://techcombank.com/thong-tin/blog/nen-mua-xe-o-to-dien-hay-xe-xang</v>
      </c>
      <c r="AE2" s="17" t="str">
        <f>IFERROR(__xludf.DUMMYFUNCTION("""COMPUTED_VALUE"""),"lãi suất vay mua xe ô tô")</f>
        <v>lãi suất vay mua xe ô tô</v>
      </c>
      <c r="AF2" s="21" t="str">
        <f>IFERROR(__xludf.DUMMYFUNCTION("""COMPUTED_VALUE"""),"https://techcombank.com/thong-tin/blog/tin-chap-doanh-nghiep")</f>
        <v>https://techcombank.com/thong-tin/blog/tin-chap-doanh-nghiep</v>
      </c>
      <c r="AG2" s="17" t="str">
        <f>IFERROR(__xludf.DUMMYFUNCTION("""COMPUTED_VALUE"""),"lãi suất vay mua ô tô các ngân hàng")</f>
        <v>lãi suất vay mua ô tô các ngân hàng</v>
      </c>
      <c r="AH2" s="21" t="str">
        <f>IFERROR(__xludf.DUMMYFUNCTION("""COMPUTED_VALUE"""),"https://techcombank.com/thong-tin/blog/vay-mua-nha-o-xa-hoi")</f>
        <v>https://techcombank.com/thong-tin/blog/vay-mua-nha-o-xa-hoi</v>
      </c>
      <c r="AI2" s="17" t="str">
        <f>IFERROR(__xludf.DUMMYFUNCTION("""COMPUTED_VALUE"""),"mua xe trả góp lãi suất bao nhiêu")</f>
        <v>mua xe trả góp lãi suất bao nhiêu</v>
      </c>
      <c r="AJ2" s="21" t="str">
        <f>IFERROR(__xludf.DUMMYFUNCTION("""COMPUTED_VALUE"""),"https://techcombank.com/thong-tin/blog/cach-tinh-lai-vay-ngan-hang")</f>
        <v>https://techcombank.com/thong-tin/blog/cach-tinh-lai-vay-ngan-hang</v>
      </c>
      <c r="AK2" s="17" t="str">
        <f>IFERROR(__xludf.DUMMYFUNCTION("""COMPUTED_VALUE"""),"lãi suất vay mua ô tô")</f>
        <v>lãi suất vay mua ô tô</v>
      </c>
      <c r="AL2" s="21" t="str">
        <f>IFERROR(__xludf.DUMMYFUNCTION("""COMPUTED_VALUE"""),"https://techcombank.com/thong-tin/blog/vay-san-xuat-kinh-doanh")</f>
        <v>https://techcombank.com/thong-tin/blog/vay-san-xuat-kinh-doanh</v>
      </c>
      <c r="AM2" s="17" t="str">
        <f>IFERROR(__xludf.DUMMYFUNCTION("""COMPUTED_VALUE"""),"lãi suất vay mua xe ô tô")</f>
        <v>lãi suất vay mua xe ô tô</v>
      </c>
      <c r="AN2" s="21" t="str">
        <f>IFERROR(__xludf.DUMMYFUNCTION("""COMPUTED_VALUE"""),"https://techcombank.com/thong-tin/blog/lai-suat-vay-tin-chap")</f>
        <v>https://techcombank.com/thong-tin/blog/lai-suat-vay-tin-chap</v>
      </c>
      <c r="AO2" s="17" t="str">
        <f>IFERROR(__xludf.DUMMYFUNCTION("""COMPUTED_VALUE"""),"lãi suất vay mua ô tô các ngân hàng")</f>
        <v>lãi suất vay mua ô tô các ngân hàng</v>
      </c>
      <c r="AP2" s="21" t="str">
        <f>IFERROR(__xludf.DUMMYFUNCTION("""COMPUTED_VALUE"""),"https://techcombank.com/thong-tin/blog/cac-hinh-thuc-vay-von-ngan-hang")</f>
        <v>https://techcombank.com/thong-tin/blog/cac-hinh-thuc-vay-von-ngan-hang</v>
      </c>
      <c r="AQ2" s="17" t="str">
        <f>IFERROR(__xludf.DUMMYFUNCTION("""COMPUTED_VALUE"""),"mua xe trả góp lãi suất bao nhiêu")</f>
        <v>mua xe trả góp lãi suất bao nhiêu</v>
      </c>
      <c r="AR2" s="21" t="str">
        <f>IFERROR(__xludf.DUMMYFUNCTION("""COMPUTED_VALUE"""),"https://techcombank.com/thong-tin/blog/vay-tin-chap-va-vay-the-chap")</f>
        <v>https://techcombank.com/thong-tin/blog/vay-tin-chap-va-vay-the-chap</v>
      </c>
      <c r="AS2" s="17" t="str">
        <f>IFERROR(__xludf.DUMMYFUNCTION("""COMPUTED_VALUE"""),"lãi suất vay mua ô tô")</f>
        <v>lãi suất vay mua ô tô</v>
      </c>
      <c r="AT2" s="21" t="str">
        <f>IFERROR(__xludf.DUMMYFUNCTION("""COMPUTED_VALUE"""),"https://techcombank.com/thong-tin/blog/lai-suat-vay-the-chap-so-do")</f>
        <v>https://techcombank.com/thong-tin/blog/lai-suat-vay-the-chap-so-do</v>
      </c>
      <c r="AU2" s="17" t="str">
        <f>IFERROR(__xludf.DUMMYFUNCTION("""COMPUTED_VALUE"""),"lãi suất vay mua xe ô tô")</f>
        <v>lãi suất vay mua xe ô tô</v>
      </c>
      <c r="AV2" s="21" t="str">
        <f>IFERROR(__xludf.DUMMYFUNCTION("""COMPUTED_VALUE"""),"https://techcombank.com/thong-tin/blog/co-100-trieu-co-mua-nen-mua-tra-gop")</f>
        <v>https://techcombank.com/thong-tin/blog/co-100-trieu-co-mua-nen-mua-tra-gop</v>
      </c>
      <c r="AW2" s="17" t="str">
        <f>IFERROR(__xludf.DUMMYFUNCTION("""COMPUTED_VALUE"""),"lãi suất vay mua ô tô các ngân hàng")</f>
        <v>lãi suất vay mua ô tô các ngân hàng</v>
      </c>
      <c r="AX2" s="21" t="str">
        <f>IFERROR(__xludf.DUMMYFUNCTION("""COMPUTED_VALUE"""),"https://techcombank.com/thong-tin/blog/nen-vay-tin-chap-o-dau")</f>
        <v>https://techcombank.com/thong-tin/blog/nen-vay-tin-chap-o-dau</v>
      </c>
      <c r="AY2" s="17" t="str">
        <f>IFERROR(__xludf.DUMMYFUNCTION("""COMPUTED_VALUE"""),"mua xe trả góp lãi suất bao nhiêu")</f>
        <v>mua xe trả góp lãi suất bao nhiêu</v>
      </c>
      <c r="AZ2" s="21" t="str">
        <f>IFERROR(__xludf.DUMMYFUNCTION("""COMPUTED_VALUE"""),"https://techcombank.com/thong-tin/blog/vay-the-chap-so-hong")</f>
        <v>https://techcombank.com/thong-tin/blog/vay-the-chap-so-hong</v>
      </c>
      <c r="BA2" s="17" t="str">
        <f>IFERROR(__xludf.DUMMYFUNCTION("""COMPUTED_VALUE"""),"lãi suất vay mua ô tô")</f>
        <v>lãi suất vay mua ô tô</v>
      </c>
      <c r="BB2" s="21" t="str">
        <f>IFERROR(__xludf.DUMMYFUNCTION("""COMPUTED_VALUE"""),"https://techcombank.com/thong-tin/blog/mua-nha-tra-gop-dua-truoc-100-trieu")</f>
        <v>https://techcombank.com/thong-tin/blog/mua-nha-tra-gop-dua-truoc-100-trieu</v>
      </c>
      <c r="BC2" s="17" t="str">
        <f>IFERROR(__xludf.DUMMYFUNCTION("""COMPUTED_VALUE"""),"lãi suất vay mua xe ô tô")</f>
        <v>lãi suất vay mua xe ô tô</v>
      </c>
      <c r="BD2" s="21" t="str">
        <f>IFERROR(__xludf.DUMMYFUNCTION("""COMPUTED_VALUE"""),"https://techcombank.com/thong-tin/blog/vay-300-trieu")</f>
        <v>https://techcombank.com/thong-tin/blog/vay-300-trieu</v>
      </c>
      <c r="BE2" s="17" t="str">
        <f>IFERROR(__xludf.DUMMYFUNCTION("""COMPUTED_VALUE"""),"lãi suất vay mua ô tô các ngân hàng")</f>
        <v>lãi suất vay mua ô tô các ngân hàng</v>
      </c>
      <c r="BF2" s="21" t="str">
        <f>IFERROR(__xludf.DUMMYFUNCTION("""COMPUTED_VALUE"""),"https://techcombank.com/thong-tin/blog/vay-100-trieu")</f>
        <v>https://techcombank.com/thong-tin/blog/vay-100-trieu</v>
      </c>
      <c r="BG2" s="17" t="str">
        <f>IFERROR(__xludf.DUMMYFUNCTION("""COMPUTED_VALUE"""),"mua xe trả góp lãi suất bao nhiêu")</f>
        <v>mua xe trả góp lãi suất bao nhiêu</v>
      </c>
      <c r="BH2" s="21" t="str">
        <f>IFERROR(__xludf.DUMMYFUNCTION("""COMPUTED_VALUE"""),"https://techcombank.com/thong-tin/blog/vay-30-trieu")</f>
        <v>https://techcombank.com/thong-tin/blog/vay-30-trieu</v>
      </c>
      <c r="BI2" s="17" t="str">
        <f>IFERROR(__xludf.DUMMYFUNCTION("""COMPUTED_VALUE"""),"lãi suất vay mua ô tô")</f>
        <v>lãi suất vay mua ô tô</v>
      </c>
      <c r="BJ2" s="21" t="str">
        <f>IFERROR(__xludf.DUMMYFUNCTION("""COMPUTED_VALUE"""),"https://techcombank.com/thong-tin/blog/vay-the-chap-kinh-doanh")</f>
        <v>https://techcombank.com/thong-tin/blog/vay-the-chap-kinh-doanh</v>
      </c>
      <c r="BK2" s="17" t="str">
        <f>IFERROR(__xludf.DUMMYFUNCTION("""COMPUTED_VALUE"""),"lãi suất vay mua xe ô tô")</f>
        <v>lãi suất vay mua xe ô tô</v>
      </c>
      <c r="BL2" s="21" t="str">
        <f>IFERROR(__xludf.DUMMYFUNCTION("""COMPUTED_VALUE"""),"https://techcombank.com/thong-tin/blog/vay-200-trieu")</f>
        <v>https://techcombank.com/thong-tin/blog/vay-200-trieu</v>
      </c>
      <c r="BM2" s="17" t="str">
        <f>IFERROR(__xludf.DUMMYFUNCTION("""COMPUTED_VALUE"""),"lãi suất vay mua ô tô các ngân hàng")</f>
        <v>lãi suất vay mua ô tô các ngân hàng</v>
      </c>
      <c r="BN2" s="21" t="str">
        <f>IFERROR(__xludf.DUMMYFUNCTION("""COMPUTED_VALUE"""),"https://techcombank.com/thong-tin/blog/vay-thau-chi-bang-so-tiet-kiem")</f>
        <v>https://techcombank.com/thong-tin/blog/vay-thau-chi-bang-so-tiet-kiem</v>
      </c>
      <c r="BO2" s="17" t="str">
        <f>IFERROR(__xludf.DUMMYFUNCTION("""COMPUTED_VALUE"""),"mua xe trả góp lãi suất bao nhiêu")</f>
        <v>mua xe trả góp lãi suất bao nhiêu</v>
      </c>
      <c r="BP2" s="21" t="str">
        <f>IFERROR(__xludf.DUMMYFUNCTION("""COMPUTED_VALUE"""),"https://techcombank.com/thong-tin/blog/vay-tra-gop")</f>
        <v>https://techcombank.com/thong-tin/blog/vay-tra-gop</v>
      </c>
      <c r="BQ2" s="17" t="str">
        <f>IFERROR(__xludf.DUMMYFUNCTION("""COMPUTED_VALUE"""),"lãi suất vay mua ô tô")</f>
        <v>lãi suất vay mua ô tô</v>
      </c>
      <c r="BR2" s="21" t="str">
        <f>IFERROR(__xludf.DUMMYFUNCTION("""COMPUTED_VALUE"""),"https://techcombank.com/thong-tin/blog/lai-suat-vay-the-chap")</f>
        <v>https://techcombank.com/thong-tin/blog/lai-suat-vay-the-chap</v>
      </c>
      <c r="BS2" s="17" t="str">
        <f>IFERROR(__xludf.DUMMYFUNCTION("""COMPUTED_VALUE"""),"lãi suất vay mua xe ô tô")</f>
        <v>lãi suất vay mua xe ô tô</v>
      </c>
      <c r="BT2" s="21" t="str">
        <f>IFERROR(__xludf.DUMMYFUNCTION("""COMPUTED_VALUE"""),"https://techcombank.com/thong-tin/blog/lai-suat-vay-thau-chi")</f>
        <v>https://techcombank.com/thong-tin/blog/lai-suat-vay-thau-chi</v>
      </c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7"/>
      <c r="JF2" s="17"/>
      <c r="JG2" s="17"/>
      <c r="JH2" s="17"/>
      <c r="JI2" s="17"/>
      <c r="JJ2" s="17"/>
      <c r="JK2" s="17"/>
      <c r="JL2" s="17"/>
      <c r="JM2" s="17"/>
      <c r="JN2" s="17"/>
      <c r="JO2" s="17"/>
      <c r="JP2" s="17"/>
      <c r="JQ2" s="17"/>
      <c r="JR2" s="17"/>
      <c r="JS2" s="17"/>
      <c r="JT2" s="17"/>
      <c r="JU2" s="17"/>
      <c r="JV2" s="17"/>
      <c r="JW2" s="17"/>
      <c r="JX2" s="17"/>
      <c r="JY2" s="17"/>
      <c r="JZ2" s="17"/>
      <c r="KA2" s="17"/>
      <c r="KB2" s="17"/>
      <c r="KC2" s="17"/>
      <c r="KD2" s="17"/>
      <c r="KE2" s="17"/>
      <c r="KF2" s="17"/>
      <c r="KG2" s="17"/>
      <c r="KH2" s="17"/>
      <c r="KI2" s="17"/>
      <c r="KJ2" s="17"/>
      <c r="KK2" s="17"/>
      <c r="KL2" s="17"/>
      <c r="KM2" s="17"/>
      <c r="KN2" s="17"/>
      <c r="KO2" s="17"/>
      <c r="KP2" s="17"/>
      <c r="KQ2" s="17"/>
      <c r="KR2" s="17"/>
      <c r="KS2" s="17"/>
      <c r="KT2" s="17"/>
      <c r="KU2" s="17"/>
      <c r="KV2" s="17"/>
      <c r="KW2" s="17"/>
      <c r="KX2" s="17"/>
      <c r="KY2" s="17"/>
      <c r="KZ2" s="17"/>
      <c r="LA2" s="17"/>
      <c r="LB2" s="17"/>
      <c r="LC2" s="17"/>
      <c r="LD2" s="17"/>
      <c r="LE2" s="17"/>
      <c r="LF2" s="17"/>
      <c r="LG2" s="17"/>
      <c r="LH2" s="17"/>
      <c r="LI2" s="17"/>
      <c r="LJ2" s="17"/>
      <c r="LK2" s="17"/>
      <c r="LL2" s="17"/>
      <c r="LM2" s="17"/>
      <c r="LN2" s="17"/>
      <c r="LO2" s="17"/>
      <c r="LP2" s="17"/>
      <c r="LQ2" s="17"/>
      <c r="LR2" s="17"/>
      <c r="LS2" s="17"/>
      <c r="LT2" s="17"/>
      <c r="LU2" s="17"/>
      <c r="LV2" s="17"/>
      <c r="LW2" s="17"/>
      <c r="LX2" s="17"/>
      <c r="LY2" s="17"/>
      <c r="LZ2" s="17"/>
      <c r="MA2" s="17"/>
      <c r="MB2" s="17"/>
      <c r="MC2" s="17"/>
      <c r="MD2" s="17"/>
      <c r="ME2" s="17"/>
      <c r="MF2" s="17"/>
      <c r="MG2" s="17"/>
      <c r="MH2" s="17"/>
      <c r="MI2" s="17"/>
      <c r="MJ2" s="17"/>
      <c r="MK2" s="17"/>
      <c r="ML2" s="17"/>
      <c r="MM2" s="17"/>
      <c r="MN2" s="17"/>
      <c r="MO2" s="17"/>
      <c r="MP2" s="17"/>
      <c r="MQ2" s="17"/>
      <c r="MR2" s="17"/>
      <c r="MS2" s="17"/>
      <c r="MT2" s="17"/>
      <c r="MU2" s="17"/>
      <c r="MV2" s="17"/>
      <c r="MW2" s="17"/>
      <c r="MX2" s="17"/>
      <c r="MY2" s="17"/>
      <c r="MZ2" s="17"/>
      <c r="NA2" s="17"/>
      <c r="NB2" s="17"/>
      <c r="NC2" s="17"/>
      <c r="ND2" s="17"/>
      <c r="NE2" s="17"/>
      <c r="NF2" s="17"/>
      <c r="NG2" s="17"/>
      <c r="NH2" s="17"/>
      <c r="NI2" s="17"/>
      <c r="NJ2" s="17"/>
      <c r="NK2" s="17"/>
      <c r="NL2" s="17"/>
      <c r="NM2" s="17"/>
      <c r="NN2" s="17"/>
      <c r="NO2" s="17"/>
      <c r="NP2" s="17"/>
      <c r="NQ2" s="17"/>
      <c r="NR2" s="17"/>
      <c r="NS2" s="17"/>
      <c r="NT2" s="17"/>
      <c r="NU2" s="17"/>
      <c r="NV2" s="17"/>
      <c r="NW2" s="17"/>
      <c r="NX2" s="17"/>
      <c r="NY2" s="17"/>
      <c r="NZ2" s="17"/>
      <c r="OA2" s="17"/>
      <c r="OB2" s="17"/>
      <c r="OC2" s="17"/>
      <c r="OD2" s="17"/>
      <c r="OE2" s="17"/>
      <c r="OF2" s="17"/>
      <c r="OG2" s="17"/>
      <c r="OH2" s="17"/>
      <c r="OI2" s="17"/>
      <c r="OJ2" s="17"/>
      <c r="OK2" s="17"/>
      <c r="OL2" s="17"/>
      <c r="OM2" s="17"/>
      <c r="ON2" s="17"/>
      <c r="OO2" s="17"/>
      <c r="OP2" s="17"/>
      <c r="OQ2" s="17"/>
      <c r="OR2" s="17"/>
      <c r="OS2" s="17"/>
      <c r="OT2" s="17"/>
      <c r="OU2" s="17"/>
      <c r="OV2" s="17"/>
    </row>
    <row r="3" ht="18.0" customHeight="1">
      <c r="A3" s="16">
        <v>2.0</v>
      </c>
      <c r="B3" s="17" t="s">
        <v>533</v>
      </c>
      <c r="C3" s="18" t="s">
        <v>723</v>
      </c>
      <c r="D3" s="17" t="s">
        <v>44</v>
      </c>
      <c r="E3" s="16">
        <v>100.0</v>
      </c>
      <c r="F3" s="16">
        <f>COUNTIF('Tổng hợp 75 trang đích'!$B$2:$B$3400,$D3)</f>
        <v>100</v>
      </c>
      <c r="G3" s="16">
        <f>COUNTIFS('Tổng hợp 75 trang đích'!$B$2:$B$3400,$D3,'Tổng hợp 75 trang đích'!$K$2:$K$3400,"PHÙ HỢP CAO")</f>
        <v>1</v>
      </c>
      <c r="H3" s="16">
        <f>COUNTIFS('Tổng hợp 75 trang đích'!$B$2:$B$3400,$D3,'Tổng hợp 75 trang đích'!$K$2:$K$3400,"CÓ THỂ ĐI")</f>
        <v>2</v>
      </c>
      <c r="I3" s="16">
        <f>COUNTIFS('Tổng hợp 75 trang đích'!$B$2:$B$3400,$D3,'Tổng hợp 75 trang đích'!$K$2:$K$3400,"CẦN SOÁT")</f>
        <v>97</v>
      </c>
      <c r="J3" s="19" t="s">
        <v>555</v>
      </c>
      <c r="K3" s="19" t="b">
        <v>0</v>
      </c>
      <c r="L3" s="20" t="s">
        <v>333</v>
      </c>
      <c r="M3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đích'!$B$2:$B$3400=$D3),3,TRU"&amp;"E),1,2)),"""")"),"đóng thuế đất online")</f>
        <v>đóng thuế đất online</v>
      </c>
      <c r="N3" s="21" t="str">
        <f>IFERROR(__xludf.DUMMYFUNCTION("""COMPUTED_VALUE"""),"https://techcombank.com/thong-tin/blog/lien-ket-tai-khoan-ngan-hang-voi-etax-mobile")</f>
        <v>https://techcombank.com/thong-tin/blog/lien-ket-tai-khoan-ngan-hang-voi-etax-mobile</v>
      </c>
      <c r="O3" s="17" t="str">
        <f>IFERROR(__xludf.DUMMYFUNCTION("""COMPUTED_VALUE"""),"nộp thuế đất online")</f>
        <v>nộp thuế đất online</v>
      </c>
      <c r="P3" s="21" t="str">
        <f>IFERROR(__xludf.DUMMYFUNCTION("""COMPUTED_VALUE"""),"https://techcombank.com/thong-tin/blog/cach-nop-thue-dien-tu")</f>
        <v>https://techcombank.com/thong-tin/blog/cach-nop-thue-dien-tu</v>
      </c>
      <c r="Q3" s="17" t="str">
        <f>IFERROR(__xludf.DUMMYFUNCTION("""COMPUTED_VALUE"""),"cách nộp thuế đất online")</f>
        <v>cách nộp thuế đất online</v>
      </c>
      <c r="R3" s="21" t="str">
        <f>IFERROR(__xludf.DUMMYFUNCTION("""COMPUTED_VALUE"""),"https://techcombank.com/thong-tin/blog/ho-so-thu-tuc-xoa-the-chap")</f>
        <v>https://techcombank.com/thong-tin/blog/ho-so-thu-tuc-xoa-the-chap</v>
      </c>
      <c r="S3" s="17" t="str">
        <f>IFERROR(__xludf.DUMMYFUNCTION("""COMPUTED_VALUE"""),"đóng thuế đất online")</f>
        <v>đóng thuế đất online</v>
      </c>
      <c r="T3" s="21" t="str">
        <f>IFERROR(__xludf.DUMMYFUNCTION("""COMPUTED_VALUE"""),"https://techcombank.com/thong-tin/blog/quyet-toan-thue-thu-nhap-ca-nhan")</f>
        <v>https://techcombank.com/thong-tin/blog/quyet-toan-thue-thu-nhap-ca-nhan</v>
      </c>
      <c r="U3" s="17" t="str">
        <f>IFERROR(__xludf.DUMMYFUNCTION("""COMPUTED_VALUE"""),"nộp thuế đất online")</f>
        <v>nộp thuế đất online</v>
      </c>
      <c r="V3" s="21" t="str">
        <f>IFERROR(__xludf.DUMMYFUNCTION("""COMPUTED_VALUE"""),"https://techcombank.com/thong-tin/blog/tra-cuu-no-thue-hai-quan")</f>
        <v>https://techcombank.com/thong-tin/blog/tra-cuu-no-thue-hai-quan</v>
      </c>
      <c r="W3" s="17" t="str">
        <f>IFERROR(__xludf.DUMMYFUNCTION("""COMPUTED_VALUE"""),"cách nộp thuế đất online")</f>
        <v>cách nộp thuế đất online</v>
      </c>
      <c r="X3" s="21" t="str">
        <f>IFERROR(__xludf.DUMMYFUNCTION("""COMPUTED_VALUE"""),"https://techcombank.com/thong-tin/blog/tra-cuu-no-thue-ho-kinh-doanh")</f>
        <v>https://techcombank.com/thong-tin/blog/tra-cuu-no-thue-ho-kinh-doanh</v>
      </c>
      <c r="Y3" s="17" t="str">
        <f>IFERROR(__xludf.DUMMYFUNCTION("""COMPUTED_VALUE"""),"đóng thuế đất online")</f>
        <v>đóng thuế đất online</v>
      </c>
      <c r="Z3" s="21" t="str">
        <f>IFERROR(__xludf.DUMMYFUNCTION("""COMPUTED_VALUE"""),"https://techcombank.com/thong-tin/blog/truy-thu-thue-ho-kinh-doanh")</f>
        <v>https://techcombank.com/thong-tin/blog/truy-thu-thue-ho-kinh-doanh</v>
      </c>
      <c r="AA3" s="17" t="str">
        <f>IFERROR(__xludf.DUMMYFUNCTION("""COMPUTED_VALUE"""),"nộp thuế đất online")</f>
        <v>nộp thuế đất online</v>
      </c>
      <c r="AB3" s="21" t="str">
        <f>IFERROR(__xludf.DUMMYFUNCTION("""COMPUTED_VALUE"""),"https://techcombank.com/thong-tin/blog/kiem-tra-thue-ho-kinh-doanh")</f>
        <v>https://techcombank.com/thong-tin/blog/kiem-tra-thue-ho-kinh-doanh</v>
      </c>
      <c r="AC3" s="17" t="str">
        <f>IFERROR(__xludf.DUMMYFUNCTION("""COMPUTED_VALUE"""),"cách nộp thuế đất online")</f>
        <v>cách nộp thuế đất online</v>
      </c>
      <c r="AD3" s="21" t="str">
        <f>IFERROR(__xludf.DUMMYFUNCTION("""COMPUTED_VALUE"""),"https://techcombank.com/thong-tin/blog/tra-cuu-no-thue-ca-nhan")</f>
        <v>https://techcombank.com/thong-tin/blog/tra-cuu-no-thue-ca-nhan</v>
      </c>
      <c r="AE3" s="17" t="str">
        <f>IFERROR(__xludf.DUMMYFUNCTION("""COMPUTED_VALUE"""),"đóng thuế đất online")</f>
        <v>đóng thuế đất online</v>
      </c>
      <c r="AF3" s="21" t="str">
        <f>IFERROR(__xludf.DUMMYFUNCTION("""COMPUTED_VALUE"""),"https://techcombank.com/thong-tin/blog/hoan-thue-thu-nhap-ca-nhan")</f>
        <v>https://techcombank.com/thong-tin/blog/hoan-thue-thu-nhap-ca-nhan</v>
      </c>
      <c r="AG3" s="17" t="str">
        <f>IFERROR(__xludf.DUMMYFUNCTION("""COMPUTED_VALUE"""),"nộp thuế đất online")</f>
        <v>nộp thuế đất online</v>
      </c>
      <c r="AH3" s="21" t="str">
        <f>IFERROR(__xludf.DUMMYFUNCTION("""COMPUTED_VALUE"""),"https://techcombank.com/thong-tin/blog/ke-khai-thue-ho-kinh-doanh-ca-the-online")</f>
        <v>https://techcombank.com/thong-tin/blog/ke-khai-thue-ho-kinh-doanh-ca-the-online</v>
      </c>
      <c r="AI3" s="17" t="str">
        <f>IFERROR(__xludf.DUMMYFUNCTION("""COMPUTED_VALUE"""),"cách nộp thuế đất online")</f>
        <v>cách nộp thuế đất online</v>
      </c>
      <c r="AJ3" s="21" t="str">
        <f>IFERROR(__xludf.DUMMYFUNCTION("""COMPUTED_VALUE"""),"https://techcombank.com/thong-tin/blog/thue-thuong-mai-dien-tu")</f>
        <v>https://techcombank.com/thong-tin/blog/thue-thuong-mai-dien-tu</v>
      </c>
      <c r="AK3" s="17" t="str">
        <f>IFERROR(__xludf.DUMMYFUNCTION("""COMPUTED_VALUE"""),"đóng thuế đất online")</f>
        <v>đóng thuế đất online</v>
      </c>
      <c r="AL3" s="21" t="str">
        <f>IFERROR(__xludf.DUMMYFUNCTION("""COMPUTED_VALUE"""),"https://techcombank.com/thong-tin/blog/thue-thu-nhap-doanh-nghiep")</f>
        <v>https://techcombank.com/thong-tin/blog/thue-thu-nhap-doanh-nghiep</v>
      </c>
      <c r="AM3" s="17" t="str">
        <f>IFERROR(__xludf.DUMMYFUNCTION("""COMPUTED_VALUE"""),"nộp thuế đất online")</f>
        <v>nộp thuế đất online</v>
      </c>
      <c r="AN3" s="21" t="str">
        <f>IFERROR(__xludf.DUMMYFUNCTION("""COMPUTED_VALUE"""),"https://techcombank.com/thong-tin/blog/ke-khai-thue-doanh-nghiep")</f>
        <v>https://techcombank.com/thong-tin/blog/ke-khai-thue-doanh-nghiep</v>
      </c>
      <c r="AO3" s="17" t="str">
        <f>IFERROR(__xludf.DUMMYFUNCTION("""COMPUTED_VALUE"""),"cách nộp thuế đất online")</f>
        <v>cách nộp thuế đất online</v>
      </c>
      <c r="AP3" s="21" t="str">
        <f>IFERROR(__xludf.DUMMYFUNCTION("""COMPUTED_VALUE"""),"https://techcombank.com/thong-tin/blog/tra-cuu-no-thue-doanh-nghiep")</f>
        <v>https://techcombank.com/thong-tin/blog/tra-cuu-no-thue-doanh-nghiep</v>
      </c>
      <c r="AQ3" s="17" t="str">
        <f>IFERROR(__xludf.DUMMYFUNCTION("""COMPUTED_VALUE"""),"đóng thuế đất online")</f>
        <v>đóng thuế đất online</v>
      </c>
      <c r="AR3" s="21" t="str">
        <f>IFERROR(__xludf.DUMMYFUNCTION("""COMPUTED_VALUE"""),"https://techcombank.com/thong-tin/blog/nop-thue-hai-quan")</f>
        <v>https://techcombank.com/thong-tin/blog/nop-thue-hai-quan</v>
      </c>
      <c r="AS3" s="17" t="str">
        <f>IFERROR(__xludf.DUMMYFUNCTION("""COMPUTED_VALUE"""),"nộp thuế đất online")</f>
        <v>nộp thuế đất online</v>
      </c>
      <c r="AT3" s="21" t="str">
        <f>IFERROR(__xludf.DUMMYFUNCTION("""COMPUTED_VALUE"""),"https://techcombank.com/thong-tin/blog/tien-chuyen-vao-tai-khoan-co-bi-tinh-thue-khong")</f>
        <v>https://techcombank.com/thong-tin/blog/tien-chuyen-vao-tai-khoan-co-bi-tinh-thue-khong</v>
      </c>
      <c r="AU3" s="17" t="str">
        <f>IFERROR(__xludf.DUMMYFUNCTION("""COMPUTED_VALUE"""),"cách nộp thuế đất online")</f>
        <v>cách nộp thuế đất online</v>
      </c>
      <c r="AV3" s="21" t="str">
        <f>IFERROR(__xludf.DUMMYFUNCTION("""COMPUTED_VALUE"""),"https://techcombank.com/thong-tin/blog/cach-tinh-thue-thu-nhap-ca-nhan-2025")</f>
        <v>https://techcombank.com/thong-tin/blog/cach-tinh-thue-thu-nhap-ca-nhan-2025</v>
      </c>
      <c r="AW3" s="17" t="str">
        <f>IFERROR(__xludf.DUMMYFUNCTION("""COMPUTED_VALUE"""),"đóng thuế đất online")</f>
        <v>đóng thuế đất online</v>
      </c>
      <c r="AX3" s="21" t="str">
        <f>IFERROR(__xludf.DUMMYFUNCTION("""COMPUTED_VALUE"""),"https://techcombank.com/thong-tin/blog/kiem-tra-thue-thu-nhap-ca-nhan")</f>
        <v>https://techcombank.com/thong-tin/blog/kiem-tra-thue-thu-nhap-ca-nhan</v>
      </c>
      <c r="AY3" s="17" t="str">
        <f>IFERROR(__xludf.DUMMYFUNCTION("""COMPUTED_VALUE"""),"nộp thuế đất online")</f>
        <v>nộp thuế đất online</v>
      </c>
      <c r="AZ3" s="21" t="str">
        <f>IFERROR(__xludf.DUMMYFUNCTION("""COMPUTED_VALUE"""),"https://techcombank.com/thong-tin/blog/lai-suat-vay-the-chap-so-do")</f>
        <v>https://techcombank.com/thong-tin/blog/lai-suat-vay-the-chap-so-do</v>
      </c>
      <c r="BA3" s="17" t="str">
        <f>IFERROR(__xludf.DUMMYFUNCTION("""COMPUTED_VALUE"""),"cách nộp thuế đất online")</f>
        <v>cách nộp thuế đất online</v>
      </c>
      <c r="BB3" s="21" t="str">
        <f>IFERROR(__xludf.DUMMYFUNCTION("""COMPUTED_VALUE"""),"https://techcombank.com/thong-tin/blog/han-muc-vay-the-chap-so-do")</f>
        <v>https://techcombank.com/thong-tin/blog/han-muc-vay-the-chap-so-do</v>
      </c>
      <c r="BC3" s="17" t="str">
        <f>IFERROR(__xludf.DUMMYFUNCTION("""COMPUTED_VALUE"""),"đóng thuế đất online")</f>
        <v>đóng thuế đất online</v>
      </c>
      <c r="BD3" s="21" t="str">
        <f>IFERROR(__xludf.DUMMYFUNCTION("""COMPUTED_VALUE"""),"https://techcombank.com/thong-tin/blog/thue-thu-nhap-ca-nhan")</f>
        <v>https://techcombank.com/thong-tin/blog/thue-thu-nhap-ca-nhan</v>
      </c>
      <c r="BE3" s="17" t="str">
        <f>IFERROR(__xludf.DUMMYFUNCTION("""COMPUTED_VALUE"""),"nộp thuế đất online")</f>
        <v>nộp thuế đất online</v>
      </c>
      <c r="BF3" s="21" t="str">
        <f>IFERROR(__xludf.DUMMYFUNCTION("""COMPUTED_VALUE"""),"https://techcombank.com/thong-tin/blog/tim-hieu-ve-chinh-sach-thue-moi")</f>
        <v>https://techcombank.com/thong-tin/blog/tim-hieu-ve-chinh-sach-thue-moi</v>
      </c>
      <c r="BG3" s="17" t="str">
        <f>IFERROR(__xludf.DUMMYFUNCTION("""COMPUTED_VALUE"""),"cách nộp thuế đất online")</f>
        <v>cách nộp thuế đất online</v>
      </c>
      <c r="BH3" s="21" t="str">
        <f>IFERROR(__xludf.DUMMYFUNCTION("""COMPUTED_VALUE"""),"https://techcombank.com/thong-tin/blog/chuyen-doi-ho-kinh-doanh-len-doanh-nghiep")</f>
        <v>https://techcombank.com/thong-tin/blog/chuyen-doi-ho-kinh-doanh-len-doanh-nghiep</v>
      </c>
      <c r="BI3" s="17" t="str">
        <f>IFERROR(__xludf.DUMMYFUNCTION("""COMPUTED_VALUE"""),"đóng thuế đất online")</f>
        <v>đóng thuế đất online</v>
      </c>
      <c r="BJ3" s="21" t="str">
        <f>IFERROR(__xludf.DUMMYFUNCTION("""COMPUTED_VALUE"""),"https://techcombank.com/thong-tin/blog/nen-thanh-lap-ho-kinh-doanh-ke-khai-hay-doanh-nghiep")</f>
        <v>https://techcombank.com/thong-tin/blog/nen-thanh-lap-ho-kinh-doanh-ke-khai-hay-doanh-nghiep</v>
      </c>
      <c r="BK3" s="17" t="str">
        <f>IFERROR(__xludf.DUMMYFUNCTION("""COMPUTED_VALUE"""),"nộp thuế đất online")</f>
        <v>nộp thuế đất online</v>
      </c>
      <c r="BL3" s="21" t="str">
        <f>IFERROR(__xludf.DUMMYFUNCTION("""COMPUTED_VALUE"""),"https://techcombank.com/thong-tin/blog/giai-dap-ve-thue-doanh-nghiep")</f>
        <v>https://techcombank.com/thong-tin/blog/giai-dap-ve-thue-doanh-nghiep</v>
      </c>
      <c r="BM3" s="17" t="str">
        <f>IFERROR(__xludf.DUMMYFUNCTION("""COMPUTED_VALUE"""),"cách nộp thuế đất online")</f>
        <v>cách nộp thuế đất online</v>
      </c>
      <c r="BN3" s="21" t="str">
        <f>IFERROR(__xludf.DUMMYFUNCTION("""COMPUTED_VALUE"""),"https://techcombank.com/thong-tin/blog/dong-ma-so-thue-ho-kinh-doanh")</f>
        <v>https://techcombank.com/thong-tin/blog/dong-ma-so-thue-ho-kinh-doanh</v>
      </c>
      <c r="BO3" s="17" t="str">
        <f>IFERROR(__xludf.DUMMYFUNCTION("""COMPUTED_VALUE"""),"đóng thuế đất online")</f>
        <v>đóng thuế đất online</v>
      </c>
      <c r="BP3" s="21" t="str">
        <f>IFERROR(__xludf.DUMMYFUNCTION("""COMPUTED_VALUE"""),"https://techcombank.com/thong-tin/blog/khach-hang-vip-bat-dong-san")</f>
        <v>https://techcombank.com/thong-tin/blog/khach-hang-vip-bat-dong-san</v>
      </c>
      <c r="BQ3" s="17" t="str">
        <f>IFERROR(__xludf.DUMMYFUNCTION("""COMPUTED_VALUE"""),"nộp thuế đất online")</f>
        <v>nộp thuế đất online</v>
      </c>
      <c r="BR3" s="21" t="str">
        <f>IFERROR(__xludf.DUMMYFUNCTION("""COMPUTED_VALUE"""),"https://techcombank.com/thong-tin/blog/cach-dau-tu")</f>
        <v>https://techcombank.com/thong-tin/blog/cach-dau-tu</v>
      </c>
      <c r="BS3" s="17" t="str">
        <f>IFERROR(__xludf.DUMMYFUNCTION("""COMPUTED_VALUE"""),"cách nộp thuế đất online")</f>
        <v>cách nộp thuế đất online</v>
      </c>
      <c r="BT3" s="21" t="str">
        <f>IFERROR(__xludf.DUMMYFUNCTION("""COMPUTED_VALUE"""),"https://techcombank.com/thong-tin/blog/eco-card")</f>
        <v>https://techcombank.com/thong-tin/blog/eco-card</v>
      </c>
      <c r="BU3" s="17" t="str">
        <f>IFERROR(__xludf.DUMMYFUNCTION("""COMPUTED_VALUE"""),"đóng thuế đất online")</f>
        <v>đóng thuế đất online</v>
      </c>
      <c r="BV3" s="21" t="str">
        <f>IFERROR(__xludf.DUMMYFUNCTION("""COMPUTED_VALUE"""),"https://techcombank.com/thong-tin/blog/chuyen-gia-du-doan-gia-bat-dong-san-2025-va-cac-no-luc-tu-ngan-hang")</f>
        <v>https://techcombank.com/thong-tin/blog/chuyen-gia-du-doan-gia-bat-dong-san-2025-va-cac-no-luc-tu-ngan-hang</v>
      </c>
      <c r="BW3" s="17" t="str">
        <f>IFERROR(__xludf.DUMMYFUNCTION("""COMPUTED_VALUE"""),"nộp thuế đất online")</f>
        <v>nộp thuế đất online</v>
      </c>
      <c r="BX3" s="21" t="str">
        <f>IFERROR(__xludf.DUMMYFUNCTION("""COMPUTED_VALUE"""),"https://techcombank.com/thong-tin/blog/thue-phi-co-dinh-khi-chuyen-doi-tu-ho-kinh-doanh-len-doanh-nghiep")</f>
        <v>https://techcombank.com/thong-tin/blog/thue-phi-co-dinh-khi-chuyen-doi-tu-ho-kinh-doanh-len-doanh-nghiep</v>
      </c>
      <c r="BY3" s="17" t="str">
        <f>IFERROR(__xludf.DUMMYFUNCTION("""COMPUTED_VALUE"""),"cách nộp thuế đất online")</f>
        <v>cách nộp thuế đất online</v>
      </c>
      <c r="BZ3" s="21" t="str">
        <f>IFERROR(__xludf.DUMMYFUNCTION("""COMPUTED_VALUE"""),"https://techcombank.com/thong-tin/blog/ho-kinh-doanh-ca-the")</f>
        <v>https://techcombank.com/thong-tin/blog/ho-kinh-doanh-ca-the</v>
      </c>
      <c r="CA3" s="17" t="str">
        <f>IFERROR(__xludf.DUMMYFUNCTION("""COMPUTED_VALUE"""),"đóng thuế đất online")</f>
        <v>đóng thuế đất online</v>
      </c>
      <c r="CB3" s="21" t="str">
        <f>IFERROR(__xludf.DUMMYFUNCTION("""COMPUTED_VALUE"""),"https://techcombank.com/thong-tin/blog/nhung-chi-phi-khong-duoc-tru-khi-tinh-thue-tndn")</f>
        <v>https://techcombank.com/thong-tin/blog/nhung-chi-phi-khong-duoc-tru-khi-tinh-thue-tndn</v>
      </c>
      <c r="CC3" s="17" t="str">
        <f>IFERROR(__xludf.DUMMYFUNCTION("""COMPUTED_VALUE"""),"nộp thuế đất online")</f>
        <v>nộp thuế đất online</v>
      </c>
      <c r="CD3" s="21" t="str">
        <f>IFERROR(__xludf.DUMMYFUNCTION("""COMPUTED_VALUE"""),"https://techcombank.com/thong-tin/blog/hoa-don-dien-tu")</f>
        <v>https://techcombank.com/thong-tin/blog/hoa-don-dien-tu</v>
      </c>
      <c r="CE3" s="17" t="str">
        <f>IFERROR(__xludf.DUMMYFUNCTION("""COMPUTED_VALUE"""),"cách nộp thuế đất online")</f>
        <v>cách nộp thuế đất online</v>
      </c>
      <c r="CF3" s="21" t="str">
        <f>IFERROR(__xludf.DUMMYFUNCTION("""COMPUTED_VALUE"""),"https://techcombank.com/thong-tin/blog/one-stop-shop")</f>
        <v>https://techcombank.com/thong-tin/blog/one-stop-shop</v>
      </c>
      <c r="CG3" s="17" t="str">
        <f>IFERROR(__xludf.DUMMYFUNCTION("""COMPUTED_VALUE"""),"đóng thuế đất online")</f>
        <v>đóng thuế đất online</v>
      </c>
      <c r="CH3" s="21" t="str">
        <f>IFERROR(__xludf.DUMMYFUNCTION("""COMPUTED_VALUE"""),"https://techcombank.com/thong-tin/blog/cac-sai-lam-pho-bien-khi-chuyen-doi-ho-kinh-doanh-len-sme")</f>
        <v>https://techcombank.com/thong-tin/blog/cac-sai-lam-pho-bien-khi-chuyen-doi-ho-kinh-doanh-len-sme</v>
      </c>
      <c r="CI3" s="17" t="str">
        <f>IFERROR(__xludf.DUMMYFUNCTION("""COMPUTED_VALUE"""),"nộp thuế đất online")</f>
        <v>nộp thuế đất online</v>
      </c>
      <c r="CJ3" s="21" t="str">
        <f>IFERROR(__xludf.DUMMYFUNCTION("""COMPUTED_VALUE"""),"https://techcombank.com/thong-tin/blog/cach-dang-ky-ma-so-thue-ho-kinh-doanh-online")</f>
        <v>https://techcombank.com/thong-tin/blog/cach-dang-ky-ma-so-thue-ho-kinh-doanh-online</v>
      </c>
      <c r="CK3" s="17" t="str">
        <f>IFERROR(__xludf.DUMMYFUNCTION("""COMPUTED_VALUE"""),"cách nộp thuế đất online")</f>
        <v>cách nộp thuế đất online</v>
      </c>
      <c r="CL3" s="21" t="str">
        <f>IFERROR(__xludf.DUMMYFUNCTION("""COMPUTED_VALUE"""),"https://techcombank.com/thong-tin/blog/kiem-tra-ma-so-thue-doanh-nghiep")</f>
        <v>https://techcombank.com/thong-tin/blog/kiem-tra-ma-so-thue-doanh-nghiep</v>
      </c>
      <c r="CM3" s="17" t="str">
        <f>IFERROR(__xludf.DUMMYFUNCTION("""COMPUTED_VALUE"""),"đóng thuế đất online")</f>
        <v>đóng thuế đất online</v>
      </c>
      <c r="CN3" s="21" t="str">
        <f>IFERROR(__xludf.DUMMYFUNCTION("""COMPUTED_VALUE"""),"https://techcombank.com/thong-tin/blog/tra-cuu-ma-so-thue-ho-kinh-doanh")</f>
        <v>https://techcombank.com/thong-tin/blog/tra-cuu-ma-so-thue-ho-kinh-doanh</v>
      </c>
      <c r="CO3" s="17" t="str">
        <f>IFERROR(__xludf.DUMMYFUNCTION("""COMPUTED_VALUE"""),"nộp thuế đất online")</f>
        <v>nộp thuế đất online</v>
      </c>
      <c r="CP3" s="21" t="str">
        <f>IFERROR(__xludf.DUMMYFUNCTION("""COMPUTED_VALUE"""),"https://techcombank.com/thong-tin/blog/quyet-toan-thue-doanh-nghiep")</f>
        <v>https://techcombank.com/thong-tin/blog/quyet-toan-thue-doanh-nghiep</v>
      </c>
      <c r="CQ3" s="17" t="str">
        <f>IFERROR(__xludf.DUMMYFUNCTION("""COMPUTED_VALUE"""),"cách nộp thuế đất online")</f>
        <v>cách nộp thuế đất online</v>
      </c>
      <c r="CR3" s="21" t="str">
        <f>IFERROR(__xludf.DUMMYFUNCTION("""COMPUTED_VALUE"""),"https://techcombank.com/thong-tin/blog/ho-kinh-doanh-dong-thue-nhu-nao")</f>
        <v>https://techcombank.com/thong-tin/blog/ho-kinh-doanh-dong-thue-nhu-nao</v>
      </c>
      <c r="CS3" s="17" t="str">
        <f>IFERROR(__xludf.DUMMYFUNCTION("""COMPUTED_VALUE"""),"đóng thuế đất online")</f>
        <v>đóng thuế đất online</v>
      </c>
      <c r="CT3" s="21" t="str">
        <f>IFERROR(__xludf.DUMMYFUNCTION("""COMPUTED_VALUE"""),"https://techcombank.com/thong-tin/blog/hoan-thue-doanh-nghiep")</f>
        <v>https://techcombank.com/thong-tin/blog/hoan-thue-doanh-nghiep</v>
      </c>
      <c r="CU3" s="17" t="str">
        <f>IFERROR(__xludf.DUMMYFUNCTION("""COMPUTED_VALUE"""),"nộp thuế đất online")</f>
        <v>nộp thuế đất online</v>
      </c>
      <c r="CV3" s="21" t="str">
        <f>IFERROR(__xludf.DUMMYFUNCTION("""COMPUTED_VALUE"""),"https://techcombank.com/thong-tin/blog/cong-ty-su-dung-tai-khoan-ca-nhan")</f>
        <v>https://techcombank.com/thong-tin/blog/cong-ty-su-dung-tai-khoan-ca-nhan</v>
      </c>
      <c r="CW3" s="17" t="str">
        <f>IFERROR(__xludf.DUMMYFUNCTION("""COMPUTED_VALUE"""),"cách nộp thuế đất online")</f>
        <v>cách nộp thuế đất online</v>
      </c>
      <c r="CX3" s="21" t="str">
        <f>IFERROR(__xludf.DUMMYFUNCTION("""COMPUTED_VALUE"""),"https://techcombank.com/thong-tin/blog/kinh-nghiem-chuyen-doi-tu-ho-kinh-doanh-len-doanh-nghiep")</f>
        <v>https://techcombank.com/thong-tin/blog/kinh-nghiem-chuyen-doi-tu-ho-kinh-doanh-len-doanh-nghiep</v>
      </c>
      <c r="CY3" s="17" t="str">
        <f>IFERROR(__xludf.DUMMYFUNCTION("""COMPUTED_VALUE"""),"đóng thuế đất online")</f>
        <v>đóng thuế đất online</v>
      </c>
      <c r="CZ3" s="21" t="str">
        <f>IFERROR(__xludf.DUMMYFUNCTION("""COMPUTED_VALUE"""),"https://techcombank.com/thong-tin/blog/top-phan-mem-ban-hang")</f>
        <v>https://techcombank.com/thong-tin/blog/top-phan-mem-ban-hang</v>
      </c>
      <c r="DA3" s="17" t="str">
        <f>IFERROR(__xludf.DUMMYFUNCTION("""COMPUTED_VALUE"""),"nộp thuế đất online")</f>
        <v>nộp thuế đất online</v>
      </c>
      <c r="DB3" s="21" t="str">
        <f>IFERROR(__xludf.DUMMYFUNCTION("""COMPUTED_VALUE"""),"https://techcombank.com/thong-tin/blog/dieu-kien-thanh-lap-doanh-nghiep")</f>
        <v>https://techcombank.com/thong-tin/blog/dieu-kien-thanh-lap-doanh-nghiep</v>
      </c>
      <c r="DC3" s="17" t="str">
        <f>IFERROR(__xludf.DUMMYFUNCTION("""COMPUTED_VALUE"""),"cách nộp thuế đất online")</f>
        <v>cách nộp thuế đất online</v>
      </c>
      <c r="DD3" s="21" t="str">
        <f>IFERROR(__xludf.DUMMYFUNCTION("""COMPUTED_VALUE"""),"https://techcombank.com/thong-tin/blog/dang-ky-thue-ho-kinh-doanh-ca-the-online")</f>
        <v>https://techcombank.com/thong-tin/blog/dang-ky-thue-ho-kinh-doanh-ca-the-online</v>
      </c>
      <c r="DE3" s="17" t="str">
        <f>IFERROR(__xludf.DUMMYFUNCTION("""COMPUTED_VALUE"""),"đóng thuế đất online")</f>
        <v>đóng thuế đất online</v>
      </c>
      <c r="DF3" s="21" t="str">
        <f>IFERROR(__xludf.DUMMYFUNCTION("""COMPUTED_VALUE"""),"https://techcombank.com/thong-tin/blog/luat-thuong-mai-dien-tu")</f>
        <v>https://techcombank.com/thong-tin/blog/luat-thuong-mai-dien-tu</v>
      </c>
      <c r="DG3" s="17" t="str">
        <f>IFERROR(__xludf.DUMMYFUNCTION("""COMPUTED_VALUE"""),"nộp thuế đất online")</f>
        <v>nộp thuế đất online</v>
      </c>
      <c r="DH3" s="21" t="str">
        <f>IFERROR(__xludf.DUMMYFUNCTION("""COMPUTED_VALUE"""),"https://techcombank.com/thong-tin/blog/ho-so-dang-ky-thanh-lap-doanh-nghiep")</f>
        <v>https://techcombank.com/thong-tin/blog/ho-so-dang-ky-thanh-lap-doanh-nghiep</v>
      </c>
      <c r="DI3" s="17" t="str">
        <f>IFERROR(__xludf.DUMMYFUNCTION("""COMPUTED_VALUE"""),"cách nộp thuế đất online")</f>
        <v>cách nộp thuế đất online</v>
      </c>
      <c r="DJ3" s="21" t="str">
        <f>IFERROR(__xludf.DUMMYFUNCTION("""COMPUTED_VALUE"""),"https://techcombank.com/thong-tin/blog/thue-khoan-ho-kinh-doanh-la-gi")</f>
        <v>https://techcombank.com/thong-tin/blog/thue-khoan-ho-kinh-doanh-la-gi</v>
      </c>
      <c r="DK3" s="17" t="str">
        <f>IFERROR(__xludf.DUMMYFUNCTION("""COMPUTED_VALUE"""),"đóng thuế đất online")</f>
        <v>đóng thuế đất online</v>
      </c>
      <c r="DL3" s="21" t="str">
        <f>IFERROR(__xludf.DUMMYFUNCTION("""COMPUTED_VALUE"""),"https://techcombank.com/thong-tin/blog/doanh-nghiep-moi-thanh-lap-duoc-uu-dai-gi")</f>
        <v>https://techcombank.com/thong-tin/blog/doanh-nghiep-moi-thanh-lap-duoc-uu-dai-gi</v>
      </c>
      <c r="DM3" s="17" t="str">
        <f>IFERROR(__xludf.DUMMYFUNCTION("""COMPUTED_VALUE"""),"nộp thuế đất online")</f>
        <v>nộp thuế đất online</v>
      </c>
      <c r="DN3" s="21" t="str">
        <f>IFERROR(__xludf.DUMMYFUNCTION("""COMPUTED_VALUE"""),"https://techcombank.com/thong-tin/blog/phat-cham-dang-ky-thue-ho-kinh-doanh")</f>
        <v>https://techcombank.com/thong-tin/blog/phat-cham-dang-ky-thue-ho-kinh-doanh</v>
      </c>
      <c r="DO3" s="17" t="str">
        <f>IFERROR(__xludf.DUMMYFUNCTION("""COMPUTED_VALUE"""),"cách nộp thuế đất online")</f>
        <v>cách nộp thuế đất online</v>
      </c>
      <c r="DP3" s="21" t="str">
        <f>IFERROR(__xludf.DUMMYFUNCTION("""COMPUTED_VALUE"""),"https://techcombank.com/thong-tin/blog/thu-tuc-thanh-lap-doanh-nghiep")</f>
        <v>https://techcombank.com/thong-tin/blog/thu-tuc-thanh-lap-doanh-nghiep</v>
      </c>
      <c r="DQ3" s="17" t="str">
        <f>IFERROR(__xludf.DUMMYFUNCTION("""COMPUTED_VALUE"""),"đóng thuế đất online")</f>
        <v>đóng thuế đất online</v>
      </c>
      <c r="DR3" s="21" t="str">
        <f>IFERROR(__xludf.DUMMYFUNCTION("""COMPUTED_VALUE"""),"https://techcombank.com/thong-tin/blog/chi-phi-mo-tai-khoan-ngan-hang-cho-cong-ty")</f>
        <v>https://techcombank.com/thong-tin/blog/chi-phi-mo-tai-khoan-ngan-hang-cho-cong-ty</v>
      </c>
      <c r="DS3" s="17" t="str">
        <f>IFERROR(__xludf.DUMMYFUNCTION("""COMPUTED_VALUE"""),"nộp thuế đất online")</f>
        <v>nộp thuế đất online</v>
      </c>
      <c r="DT3" s="21" t="str">
        <f>IFERROR(__xludf.DUMMYFUNCTION("""COMPUTED_VALUE"""),"https://techcombank.com/thong-tin/blog/thue-doanh-nghiep-2025")</f>
        <v>https://techcombank.com/thong-tin/blog/thue-doanh-nghiep-2025</v>
      </c>
      <c r="DU3" s="17" t="str">
        <f>IFERROR(__xludf.DUMMYFUNCTION("""COMPUTED_VALUE"""),"cách nộp thuế đất online")</f>
        <v>cách nộp thuế đất online</v>
      </c>
      <c r="DV3" s="21" t="str">
        <f>IFERROR(__xludf.DUMMYFUNCTION("""COMPUTED_VALUE"""),"https://techcombank.com/thong-tin/blog/khoi-nghiep-truoc-chinh-sach-thue-moi")</f>
        <v>https://techcombank.com/thong-tin/blog/khoi-nghiep-truoc-chinh-sach-thue-moi</v>
      </c>
      <c r="DW3" s="17" t="str">
        <f>IFERROR(__xludf.DUMMYFUNCTION("""COMPUTED_VALUE"""),"đóng thuế đất online")</f>
        <v>đóng thuế đất online</v>
      </c>
      <c r="DX3" s="21" t="str">
        <f>IFERROR(__xludf.DUMMYFUNCTION("""COMPUTED_VALUE"""),"https://techcombank.com/thong-tin/blog/dong-tai-khoan-ngan-hang-cong-ty")</f>
        <v>https://techcombank.com/thong-tin/blog/dong-tai-khoan-ngan-hang-cong-ty</v>
      </c>
      <c r="DY3" s="17" t="str">
        <f>IFERROR(__xludf.DUMMYFUNCTION("""COMPUTED_VALUE"""),"nộp thuế đất online")</f>
        <v>nộp thuế đất online</v>
      </c>
      <c r="DZ3" s="21" t="str">
        <f>IFERROR(__xludf.DUMMYFUNCTION("""COMPUTED_VALUE"""),"https://techcombank.com/thong-tin/blog/luu-y-khi-chuyen-tien-vao-tai-khoan-cong-ty")</f>
        <v>https://techcombank.com/thong-tin/blog/luu-y-khi-chuyen-tien-vao-tai-khoan-cong-ty</v>
      </c>
      <c r="EA3" s="17" t="str">
        <f>IFERROR(__xludf.DUMMYFUNCTION("""COMPUTED_VALUE"""),"cách nộp thuế đất online")</f>
        <v>cách nộp thuế đất online</v>
      </c>
      <c r="EB3" s="21" t="str">
        <f>IFERROR(__xludf.DUMMYFUNCTION("""COMPUTED_VALUE"""),"https://techcombank.com/thong-tin/blog/hieu-hiet-ve-tuan-thu-thue-cho-cac-doanh-nghiep-khoi-nghiep")</f>
        <v>https://techcombank.com/thong-tin/blog/hieu-hiet-ve-tuan-thu-thue-cho-cac-doanh-nghiep-khoi-nghiep</v>
      </c>
      <c r="EC3" s="17" t="str">
        <f>IFERROR(__xludf.DUMMYFUNCTION("""COMPUTED_VALUE"""),"đóng thuế đất online")</f>
        <v>đóng thuế đất online</v>
      </c>
      <c r="ED3" s="21" t="str">
        <f>IFERROR(__xludf.DUMMYFUNCTION("""COMPUTED_VALUE"""),"https://techcombank.com/thong-tin/blog/khai-bao-tai-khoan-ngan-hang-voi-co-quan-thue")</f>
        <v>https://techcombank.com/thong-tin/blog/khai-bao-tai-khoan-ngan-hang-voi-co-quan-thue</v>
      </c>
      <c r="EE3" s="17" t="str">
        <f>IFERROR(__xludf.DUMMYFUNCTION("""COMPUTED_VALUE"""),"nộp thuế đất online")</f>
        <v>nộp thuế đất online</v>
      </c>
      <c r="EF3" s="21" t="str">
        <f>IFERROR(__xludf.DUMMYFUNCTION("""COMPUTED_VALUE"""),"https://techcombank.com/thong-tin/blog/hoa-don-dien-tu-ho-kinh-doanh")</f>
        <v>https://techcombank.com/thong-tin/blog/hoa-don-dien-tu-ho-kinh-doanh</v>
      </c>
      <c r="EG3" s="17" t="str">
        <f>IFERROR(__xludf.DUMMYFUNCTION("""COMPUTED_VALUE"""),"cách nộp thuế đất online")</f>
        <v>cách nộp thuế đất online</v>
      </c>
      <c r="EH3" s="21" t="str">
        <f>IFERROR(__xludf.DUMMYFUNCTION("""COMPUTED_VALUE"""),"https://techcombank.com/thong-tin/blog/may-tinh-tien")</f>
        <v>https://techcombank.com/thong-tin/blog/may-tinh-tien</v>
      </c>
      <c r="EI3" s="17" t="str">
        <f>IFERROR(__xludf.DUMMYFUNCTION("""COMPUTED_VALUE"""),"đóng thuế đất online")</f>
        <v>đóng thuế đất online</v>
      </c>
      <c r="EJ3" s="21" t="str">
        <f>IFERROR(__xludf.DUMMYFUNCTION("""COMPUTED_VALUE"""),"https://techcombank.com/thong-tin/blog/phan-mem-xuat-hoa-don-dien-tu")</f>
        <v>https://techcombank.com/thong-tin/blog/phan-mem-xuat-hoa-don-dien-tu</v>
      </c>
      <c r="EK3" s="17" t="str">
        <f>IFERROR(__xludf.DUMMYFUNCTION("""COMPUTED_VALUE"""),"nộp thuế đất online")</f>
        <v>nộp thuế đất online</v>
      </c>
      <c r="EL3" s="21" t="str">
        <f>IFERROR(__xludf.DUMMYFUNCTION("""COMPUTED_VALUE"""),"https://techcombank.com/thong-tin/blog/nop-tien-mat-vao-tai-khoan-cong-ty")</f>
        <v>https://techcombank.com/thong-tin/blog/nop-tien-mat-vao-tai-khoan-cong-ty</v>
      </c>
      <c r="EM3" s="17" t="str">
        <f>IFERROR(__xludf.DUMMYFUNCTION("""COMPUTED_VALUE"""),"cách nộp thuế đất online")</f>
        <v>cách nộp thuế đất online</v>
      </c>
      <c r="EN3" s="21" t="str">
        <f>IFERROR(__xludf.DUMMYFUNCTION("""COMPUTED_VALUE"""),"https://techcombank.com/thong-tin/blog/ho-kinh-doanh-la-gi")</f>
        <v>https://techcombank.com/thong-tin/blog/ho-kinh-doanh-la-gi</v>
      </c>
      <c r="EO3" s="17" t="str">
        <f>IFERROR(__xludf.DUMMYFUNCTION("""COMPUTED_VALUE"""),"đóng thuế đất online")</f>
        <v>đóng thuế đất online</v>
      </c>
      <c r="EP3" s="21" t="str">
        <f>IFERROR(__xludf.DUMMYFUNCTION("""COMPUTED_VALUE"""),"https://techcombank.com/thong-tin/blog/thanh-lap-ho-kinh-doanh-ca-the")</f>
        <v>https://techcombank.com/thong-tin/blog/thanh-lap-ho-kinh-doanh-ca-the</v>
      </c>
      <c r="EQ3" s="17" t="str">
        <f>IFERROR(__xludf.DUMMYFUNCTION("""COMPUTED_VALUE"""),"nộp thuế đất online")</f>
        <v>nộp thuế đất online</v>
      </c>
      <c r="ER3" s="21" t="str">
        <f>IFERROR(__xludf.DUMMYFUNCTION("""COMPUTED_VALUE"""),"https://techcombank.com/thong-tin/blog/thue-ho-kinh-doanh-2025")</f>
        <v>https://techcombank.com/thong-tin/blog/thue-ho-kinh-doanh-2025</v>
      </c>
      <c r="ES3" s="17" t="str">
        <f>IFERROR(__xludf.DUMMYFUNCTION("""COMPUTED_VALUE"""),"cách nộp thuế đất online")</f>
        <v>cách nộp thuế đất online</v>
      </c>
      <c r="ET3" s="21" t="str">
        <f>IFERROR(__xludf.DUMMYFUNCTION("""COMPUTED_VALUE"""),"https://techcombank.com/thong-tin/blog/mo-tai-khoan-doanh-nghiep")</f>
        <v>https://techcombank.com/thong-tin/blog/mo-tai-khoan-doanh-nghiep</v>
      </c>
      <c r="EU3" s="17" t="str">
        <f>IFERROR(__xludf.DUMMYFUNCTION("""COMPUTED_VALUE"""),"đóng thuế đất online")</f>
        <v>đóng thuế đất online</v>
      </c>
      <c r="EV3" s="21" t="str">
        <f>IFERROR(__xludf.DUMMYFUNCTION("""COMPUTED_VALUE"""),"https://techcombank.com/thong-tin/blog/loi-ich-khi-ho-kinh-doanh-chuyen-len-doanh-nghiep")</f>
        <v>https://techcombank.com/thong-tin/blog/loi-ich-khi-ho-kinh-doanh-chuyen-len-doanh-nghiep</v>
      </c>
      <c r="EW3" s="17" t="str">
        <f>IFERROR(__xludf.DUMMYFUNCTION("""COMPUTED_VALUE"""),"nộp thuế đất online")</f>
        <v>nộp thuế đất online</v>
      </c>
      <c r="EX3" s="21" t="str">
        <f>IFERROR(__xludf.DUMMYFUNCTION("""COMPUTED_VALUE"""),"https://techcombank.com/thong-tin/blog/tiem-nang-chuyen-doi-tu-ho-kinh-doanh-len-doanh-nghiep-sme")</f>
        <v>https://techcombank.com/thong-tin/blog/tiem-nang-chuyen-doi-tu-ho-kinh-doanh-len-doanh-nghiep-sme</v>
      </c>
      <c r="EY3" s="17" t="str">
        <f>IFERROR(__xludf.DUMMYFUNCTION("""COMPUTED_VALUE"""),"cách nộp thuế đất online")</f>
        <v>cách nộp thuế đất online</v>
      </c>
      <c r="EZ3" s="21" t="str">
        <f>IFERROR(__xludf.DUMMYFUNCTION("""COMPUTED_VALUE"""),"https://techcombank.com/thong-tin/blog/cach-tra-cuu-hoa-don-dien-tu")</f>
        <v>https://techcombank.com/thong-tin/blog/cach-tra-cuu-hoa-don-dien-tu</v>
      </c>
      <c r="FA3" s="17" t="str">
        <f>IFERROR(__xludf.DUMMYFUNCTION("""COMPUTED_VALUE"""),"đóng thuế đất online")</f>
        <v>đóng thuế đất online</v>
      </c>
      <c r="FB3" s="21" t="str">
        <f>IFERROR(__xludf.DUMMYFUNCTION("""COMPUTED_VALUE"""),"https://techcombank.com/thong-tin/blog/due-diligence")</f>
        <v>https://techcombank.com/thong-tin/blog/due-diligence</v>
      </c>
      <c r="FC3" s="17" t="str">
        <f>IFERROR(__xludf.DUMMYFUNCTION("""COMPUTED_VALUE"""),"nộp thuế đất online")</f>
        <v>nộp thuế đất online</v>
      </c>
      <c r="FD3" s="21" t="str">
        <f>IFERROR(__xludf.DUMMYFUNCTION("""COMPUTED_VALUE"""),"https://techcombank.com/thong-tin/blog/giay-phep-kinh-doanh")</f>
        <v>https://techcombank.com/thong-tin/blog/giay-phep-kinh-doanh</v>
      </c>
      <c r="FE3" s="17" t="str">
        <f>IFERROR(__xludf.DUMMYFUNCTION("""COMPUTED_VALUE"""),"cách nộp thuế đất online")</f>
        <v>cách nộp thuế đất online</v>
      </c>
      <c r="FF3" s="21" t="str">
        <f>IFERROR(__xludf.DUMMYFUNCTION("""COMPUTED_VALUE"""),"https://techcombank.com/thong-tin/blog/dang-ky-kinh-doanh-la-gi")</f>
        <v>https://techcombank.com/thong-tin/blog/dang-ky-kinh-doanh-la-gi</v>
      </c>
      <c r="FG3" s="17" t="str">
        <f>IFERROR(__xludf.DUMMYFUNCTION("""COMPUTED_VALUE"""),"đóng thuế đất online")</f>
        <v>đóng thuế đất online</v>
      </c>
      <c r="FH3" s="21" t="str">
        <f>IFERROR(__xludf.DUMMYFUNCTION("""COMPUTED_VALUE"""),"https://techcombank.com/thong-tin/blog/thay-doi-dia-chi-ho-kinh-doanh")</f>
        <v>https://techcombank.com/thong-tin/blog/thay-doi-dia-chi-ho-kinh-doanh</v>
      </c>
      <c r="FI3" s="17" t="str">
        <f>IFERROR(__xludf.DUMMYFUNCTION("""COMPUTED_VALUE"""),"nộp thuế đất online")</f>
        <v>nộp thuế đất online</v>
      </c>
      <c r="FJ3" s="21" t="str">
        <f>IFERROR(__xludf.DUMMYFUNCTION("""COMPUTED_VALUE"""),"https://techcombank.com/thong-tin/blog/chuan-bi-cho-doanh-nghiep-khoi-nghiep-truoc-nhung-thay-doi-ve-thue")</f>
        <v>https://techcombank.com/thong-tin/blog/chuan-bi-cho-doanh-nghiep-khoi-nghiep-truoc-nhung-thay-doi-ve-thue</v>
      </c>
      <c r="FK3" s="17" t="str">
        <f>IFERROR(__xludf.DUMMYFUNCTION("""COMPUTED_VALUE"""),"cách nộp thuế đất online")</f>
        <v>cách nộp thuế đất online</v>
      </c>
      <c r="FL3" s="21" t="str">
        <f>IFERROR(__xludf.DUMMYFUNCTION("""COMPUTED_VALUE"""),"https://techcombank.com/thong-tin/blog/dieu-kien-vay-von-ngan-hang")</f>
        <v>https://techcombank.com/thong-tin/blog/dieu-kien-vay-von-ngan-hang</v>
      </c>
      <c r="FM3" s="17" t="str">
        <f>IFERROR(__xludf.DUMMYFUNCTION("""COMPUTED_VALUE"""),"đóng thuế đất online")</f>
        <v>đóng thuế đất online</v>
      </c>
      <c r="FN3" s="21" t="str">
        <f>IFERROR(__xludf.DUMMYFUNCTION("""COMPUTED_VALUE"""),"https://techcombank.com/thong-tin/blog/cach-tinh-thue-thu-nhap-doanh-nghiep")</f>
        <v>https://techcombank.com/thong-tin/blog/cach-tinh-thue-thu-nhap-doanh-nghiep</v>
      </c>
      <c r="FO3" s="17" t="str">
        <f>IFERROR(__xludf.DUMMYFUNCTION("""COMPUTED_VALUE"""),"nộp thuế đất online")</f>
        <v>nộp thuế đất online</v>
      </c>
      <c r="FP3" s="21" t="str">
        <f>IFERROR(__xludf.DUMMYFUNCTION("""COMPUTED_VALUE"""),"https://techcombank.com/thong-tin/blog/luu-y-khi-chuyen-doi-tu-ho-kinh-doanh-len-doanh-nghiep")</f>
        <v>https://techcombank.com/thong-tin/blog/luu-y-khi-chuyen-doi-tu-ho-kinh-doanh-len-doanh-nghiep</v>
      </c>
      <c r="FQ3" s="17" t="str">
        <f>IFERROR(__xludf.DUMMYFUNCTION("""COMPUTED_VALUE"""),"cách nộp thuế đất online")</f>
        <v>cách nộp thuế đất online</v>
      </c>
      <c r="FR3" s="21" t="str">
        <f>IFERROR(__xludf.DUMMYFUNCTION("""COMPUTED_VALUE"""),"https://techcombank.com/thong-tin/blog/cach-kiem-tra-tai-khoan-ngan-hang-cua-cong-ty")</f>
        <v>https://techcombank.com/thong-tin/blog/cach-kiem-tra-tai-khoan-ngan-hang-cua-cong-ty</v>
      </c>
      <c r="FS3" s="17" t="str">
        <f>IFERROR(__xludf.DUMMYFUNCTION("""COMPUTED_VALUE"""),"đóng thuế đất online")</f>
        <v>đóng thuế đất online</v>
      </c>
      <c r="FT3" s="21" t="str">
        <f>IFERROR(__xludf.DUMMYFUNCTION("""COMPUTED_VALUE"""),"https://techcombank.com/thong-tin/blog/thue-doanh-nghiep")</f>
        <v>https://techcombank.com/thong-tin/blog/thue-doanh-nghiep</v>
      </c>
      <c r="FU3" s="17" t="str">
        <f>IFERROR(__xludf.DUMMYFUNCTION("""COMPUTED_VALUE"""),"nộp thuế đất online")</f>
        <v>nộp thuế đất online</v>
      </c>
      <c r="FV3" s="21" t="str">
        <f>IFERROR(__xludf.DUMMYFUNCTION("""COMPUTED_VALUE"""),"https://techcombank.com/thong-tin/blog/dang-ky-ma-so-thue-ca-nhan")</f>
        <v>https://techcombank.com/thong-tin/blog/dang-ky-ma-so-thue-ca-nhan</v>
      </c>
      <c r="FW3" s="17" t="str">
        <f>IFERROR(__xludf.DUMMYFUNCTION("""COMPUTED_VALUE"""),"cách nộp thuế đất online")</f>
        <v>cách nộp thuế đất online</v>
      </c>
      <c r="FX3" s="21" t="str">
        <f>IFERROR(__xludf.DUMMYFUNCTION("""COMPUTED_VALUE"""),"https://techcombank.com/thong-tin/blog/cach-tao-ma-qr")</f>
        <v>https://techcombank.com/thong-tin/blog/cach-tao-ma-qr</v>
      </c>
      <c r="FY3" s="17" t="str">
        <f>IFERROR(__xludf.DUMMYFUNCTION("""COMPUTED_VALUE"""),"đóng thuế đất online")</f>
        <v>đóng thuế đất online</v>
      </c>
      <c r="FZ3" s="21" t="str">
        <f>IFERROR(__xludf.DUMMYFUNCTION("""COMPUTED_VALUE"""),"https://techcombank.com/thong-tin/blog/chuyen-doi-hoa-don-dien-tu")</f>
        <v>https://techcombank.com/thong-tin/blog/chuyen-doi-hoa-don-dien-tu</v>
      </c>
      <c r="GA3" s="17" t="str">
        <f>IFERROR(__xludf.DUMMYFUNCTION("""COMPUTED_VALUE"""),"nộp thuế đất online")</f>
        <v>nộp thuế đất online</v>
      </c>
      <c r="GB3" s="21" t="str">
        <f>IFERROR(__xludf.DUMMYFUNCTION("""COMPUTED_VALUE"""),"https://techcombank.com/thong-tin/blog/chinh-sach-thue-moi")</f>
        <v>https://techcombank.com/thong-tin/blog/chinh-sach-thue-moi</v>
      </c>
      <c r="GC3" s="17" t="str">
        <f>IFERROR(__xludf.DUMMYFUNCTION("""COMPUTED_VALUE"""),"cách nộp thuế đất online")</f>
        <v>cách nộp thuế đất online</v>
      </c>
      <c r="GD3" s="21" t="str">
        <f>IFERROR(__xludf.DUMMYFUNCTION("""COMPUTED_VALUE"""),"https://techcombank.com/thong-tin/blog/vay-the-chap-kinh-doanh")</f>
        <v>https://techcombank.com/thong-tin/blog/vay-the-chap-kinh-doanh</v>
      </c>
      <c r="GE3" s="17" t="str">
        <f>IFERROR(__xludf.DUMMYFUNCTION("""COMPUTED_VALUE"""),"đóng thuế đất online")</f>
        <v>đóng thuế đất online</v>
      </c>
      <c r="GF3" s="21" t="str">
        <f>IFERROR(__xludf.DUMMYFUNCTION("""COMPUTED_VALUE"""),"https://techcombank.com/thong-tin/blog/cach-su-dung-tai-khoan-cong-ty")</f>
        <v>https://techcombank.com/thong-tin/blog/cach-su-dung-tai-khoan-cong-ty</v>
      </c>
      <c r="GG3" s="17" t="str">
        <f>IFERROR(__xludf.DUMMYFUNCTION("""COMPUTED_VALUE"""),"nộp thuế đất online")</f>
        <v>nộp thuế đất online</v>
      </c>
      <c r="GH3" s="21" t="str">
        <f>IFERROR(__xludf.DUMMYFUNCTION("""COMPUTED_VALUE"""),"https://techcombank.com/thong-tin/blog/cach-tinh-thue-ho-kinh-doanh-nho-le")</f>
        <v>https://techcombank.com/thong-tin/blog/cach-tinh-thue-ho-kinh-doanh-nho-le</v>
      </c>
      <c r="GI3" s="17" t="str">
        <f>IFERROR(__xludf.DUMMYFUNCTION("""COMPUTED_VALUE"""),"cách nộp thuế đất online")</f>
        <v>cách nộp thuế đất online</v>
      </c>
      <c r="GJ3" s="21" t="str">
        <f>IFERROR(__xludf.DUMMYFUNCTION("""COMPUTED_VALUE"""),"https://techcombank.com/thong-tin/blog/nhung-ho-kinh-doanh-duoc-mien-thue")</f>
        <v>https://techcombank.com/thong-tin/blog/nhung-ho-kinh-doanh-duoc-mien-thue</v>
      </c>
      <c r="GK3" s="17" t="str">
        <f>IFERROR(__xludf.DUMMYFUNCTION("""COMPUTED_VALUE"""),"đóng thuế đất online")</f>
        <v>đóng thuế đất online</v>
      </c>
      <c r="GL3" s="21" t="str">
        <f>IFERROR(__xludf.DUMMYFUNCTION("""COMPUTED_VALUE"""),"https://techcombank.com/thong-tin/blog/lai-suat-vay-kinh-doanh")</f>
        <v>https://techcombank.com/thong-tin/blog/lai-suat-vay-kinh-doanh</v>
      </c>
      <c r="GM3" s="17" t="str">
        <f>IFERROR(__xludf.DUMMYFUNCTION("""COMPUTED_VALUE"""),"nộp thuế đất online")</f>
        <v>nộp thuế đất online</v>
      </c>
      <c r="GN3" s="21" t="str">
        <f>IFERROR(__xludf.DUMMYFUNCTION("""COMPUTED_VALUE"""),"https://techcombank.com/thong-tin/blog/bao-lanh-bao-hanh")</f>
        <v>https://techcombank.com/thong-tin/blog/bao-lanh-bao-hanh</v>
      </c>
      <c r="GO3" s="17" t="str">
        <f>IFERROR(__xludf.DUMMYFUNCTION("""COMPUTED_VALUE"""),"cách nộp thuế đất online")</f>
        <v>cách nộp thuế đất online</v>
      </c>
      <c r="GP3" s="21" t="str">
        <f>IFERROR(__xludf.DUMMYFUNCTION("""COMPUTED_VALUE"""),"https://techcombank.com/thong-tin/blog/bao-lanh-ngan-hang-infographic")</f>
        <v>https://techcombank.com/thong-tin/blog/bao-lanh-ngan-hang-infographic</v>
      </c>
      <c r="GQ3" s="17" t="str">
        <f>IFERROR(__xludf.DUMMYFUNCTION("""COMPUTED_VALUE"""),"đóng thuế đất online")</f>
        <v>đóng thuế đất online</v>
      </c>
      <c r="GR3" s="21" t="str">
        <f>IFERROR(__xludf.DUMMYFUNCTION("""COMPUTED_VALUE"""),"https://techcombank.com/thong-tin/blog/tin-dung-doanh-nghiep")</f>
        <v>https://techcombank.com/thong-tin/blog/tin-dung-doanh-nghiep</v>
      </c>
      <c r="GS3" s="17" t="str">
        <f>IFERROR(__xludf.DUMMYFUNCTION("""COMPUTED_VALUE"""),"nộp thuế đất online")</f>
        <v>nộp thuế đất online</v>
      </c>
      <c r="GT3" s="21" t="str">
        <f>IFERROR(__xludf.DUMMYFUNCTION("""COMPUTED_VALUE"""),"https://techcombank.com/thong-tin/blog/vay-bo-sung-von-luu-dong")</f>
        <v>https://techcombank.com/thong-tin/blog/vay-bo-sung-von-luu-dong</v>
      </c>
      <c r="GU3" s="17" t="str">
        <f>IFERROR(__xludf.DUMMYFUNCTION("""COMPUTED_VALUE"""),"cách nộp thuế đất online")</f>
        <v>cách nộp thuế đất online</v>
      </c>
      <c r="GV3" s="21" t="str">
        <f>IFERROR(__xludf.DUMMYFUNCTION("""COMPUTED_VALUE"""),"https://techcombank.com/thong-tin/blog/roa")</f>
        <v>https://techcombank.com/thong-tin/blog/roa</v>
      </c>
      <c r="GW3" s="17" t="str">
        <f>IFERROR(__xludf.DUMMYFUNCTION("""COMPUTED_VALUE"""),"đóng thuế đất online")</f>
        <v>đóng thuế đất online</v>
      </c>
      <c r="GX3" s="21" t="str">
        <f>IFERROR(__xludf.DUMMYFUNCTION("""COMPUTED_VALUE"""),"https://techcombank.com/thong-tin/blog/ebitda-la-gi")</f>
        <v>https://techcombank.com/thong-tin/blog/ebitda-la-gi</v>
      </c>
      <c r="GY3" s="17" t="str">
        <f>IFERROR(__xludf.DUMMYFUNCTION("""COMPUTED_VALUE"""),"nộp thuế đất online")</f>
        <v>nộp thuế đất online</v>
      </c>
      <c r="GZ3" s="21" t="str">
        <f>IFERROR(__xludf.DUMMYFUNCTION("""COMPUTED_VALUE"""),"https://techcombank.com/thong-tin/blog/vay-von-doanh-nghiep-nho")</f>
        <v>https://techcombank.com/thong-tin/blog/vay-von-doanh-nghiep-nho</v>
      </c>
      <c r="HA3" s="17" t="str">
        <f>IFERROR(__xludf.DUMMYFUNCTION("""COMPUTED_VALUE"""),"cách nộp thuế đất online")</f>
        <v>cách nộp thuế đất online</v>
      </c>
      <c r="HB3" s="21" t="str">
        <f>IFERROR(__xludf.DUMMYFUNCTION("""COMPUTED_VALUE"""),"https://techcombank.com/thong-tin/blog/von-luu-dong-la-gi")</f>
        <v>https://techcombank.com/thong-tin/blog/von-luu-dong-la-gi</v>
      </c>
      <c r="HC3" s="17" t="str">
        <f>IFERROR(__xludf.DUMMYFUNCTION("""COMPUTED_VALUE"""),"đóng thuế đất online")</f>
        <v>đóng thuế đất online</v>
      </c>
      <c r="HD3" s="21" t="str">
        <f>IFERROR(__xludf.DUMMYFUNCTION("""COMPUTED_VALUE"""),"https://techcombank.com/thong-tin/blog/bao-lanh-thuc-hien-hop-dong")</f>
        <v>https://techcombank.com/thong-tin/blog/bao-lanh-thuc-hien-hop-dong</v>
      </c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  <c r="IW3" s="17"/>
      <c r="IX3" s="17"/>
      <c r="IY3" s="17"/>
      <c r="IZ3" s="17"/>
      <c r="JA3" s="17"/>
      <c r="JB3" s="17"/>
      <c r="JC3" s="17"/>
      <c r="JD3" s="17"/>
      <c r="JE3" s="17"/>
      <c r="JF3" s="17"/>
      <c r="JG3" s="17"/>
      <c r="JH3" s="17"/>
      <c r="JI3" s="17"/>
      <c r="JJ3" s="17"/>
      <c r="JK3" s="17"/>
      <c r="JL3" s="17"/>
      <c r="JM3" s="17"/>
      <c r="JN3" s="17"/>
      <c r="JO3" s="17"/>
      <c r="JP3" s="17"/>
      <c r="JQ3" s="17"/>
      <c r="JR3" s="17"/>
      <c r="JS3" s="17"/>
      <c r="JT3" s="17"/>
      <c r="JU3" s="17"/>
      <c r="JV3" s="17"/>
      <c r="JW3" s="17"/>
      <c r="JX3" s="17"/>
      <c r="JY3" s="17"/>
      <c r="JZ3" s="17"/>
      <c r="KA3" s="17"/>
      <c r="KB3" s="17"/>
      <c r="KC3" s="17"/>
      <c r="KD3" s="17"/>
      <c r="KE3" s="17"/>
      <c r="KF3" s="17"/>
      <c r="KG3" s="17"/>
      <c r="KH3" s="17"/>
      <c r="KI3" s="17"/>
      <c r="KJ3" s="17"/>
      <c r="KK3" s="17"/>
      <c r="KL3" s="17"/>
      <c r="KM3" s="17"/>
      <c r="KN3" s="17"/>
      <c r="KO3" s="17"/>
      <c r="KP3" s="17"/>
      <c r="KQ3" s="17"/>
      <c r="KR3" s="17"/>
      <c r="KS3" s="17"/>
      <c r="KT3" s="17"/>
      <c r="KU3" s="17"/>
      <c r="KV3" s="17"/>
      <c r="KW3" s="17"/>
      <c r="KX3" s="17"/>
      <c r="KY3" s="17"/>
      <c r="KZ3" s="17"/>
      <c r="LA3" s="17"/>
      <c r="LB3" s="17"/>
      <c r="LC3" s="17"/>
      <c r="LD3" s="17"/>
      <c r="LE3" s="17"/>
      <c r="LF3" s="17"/>
      <c r="LG3" s="17"/>
      <c r="LH3" s="17"/>
      <c r="LI3" s="17"/>
      <c r="LJ3" s="17"/>
      <c r="LK3" s="17"/>
      <c r="LL3" s="17"/>
      <c r="LM3" s="17"/>
      <c r="LN3" s="17"/>
      <c r="LO3" s="17"/>
      <c r="LP3" s="17"/>
      <c r="LQ3" s="17"/>
      <c r="LR3" s="17"/>
      <c r="LS3" s="17"/>
      <c r="LT3" s="17"/>
      <c r="LU3" s="17"/>
      <c r="LV3" s="17"/>
      <c r="LW3" s="17"/>
      <c r="LX3" s="17"/>
      <c r="LY3" s="17"/>
      <c r="LZ3" s="17"/>
      <c r="MA3" s="17"/>
      <c r="MB3" s="17"/>
      <c r="MC3" s="17"/>
      <c r="MD3" s="17"/>
      <c r="ME3" s="17"/>
      <c r="MF3" s="17"/>
      <c r="MG3" s="17"/>
      <c r="MH3" s="17"/>
      <c r="MI3" s="17"/>
      <c r="MJ3" s="17"/>
      <c r="MK3" s="17"/>
      <c r="ML3" s="17"/>
      <c r="MM3" s="17"/>
      <c r="MN3" s="17"/>
      <c r="MO3" s="17"/>
      <c r="MP3" s="17"/>
      <c r="MQ3" s="17"/>
      <c r="MR3" s="17"/>
      <c r="MS3" s="17"/>
      <c r="MT3" s="17"/>
      <c r="MU3" s="17"/>
      <c r="MV3" s="17"/>
      <c r="MW3" s="17"/>
      <c r="MX3" s="17"/>
      <c r="MY3" s="17"/>
      <c r="MZ3" s="17"/>
      <c r="NA3" s="17"/>
      <c r="NB3" s="17"/>
      <c r="NC3" s="17"/>
      <c r="ND3" s="17"/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</row>
    <row r="4" ht="18.0" customHeight="1">
      <c r="A4" s="16">
        <v>3.0</v>
      </c>
      <c r="B4" s="17" t="s">
        <v>533</v>
      </c>
      <c r="C4" s="18" t="s">
        <v>875</v>
      </c>
      <c r="D4" s="17" t="s">
        <v>54</v>
      </c>
      <c r="E4" s="16">
        <v>50.0</v>
      </c>
      <c r="F4" s="16">
        <f>COUNTIF('Tổng hợp 75 trang đích'!$B$2:$B$3400,$D4)</f>
        <v>50</v>
      </c>
      <c r="G4" s="16">
        <f>COUNTIFS('Tổng hợp 75 trang đích'!$B$2:$B$3400,$D4,'Tổng hợp 75 trang đích'!$K$2:$K$3400,"PHÙ HỢP CAO")</f>
        <v>3</v>
      </c>
      <c r="H4" s="16">
        <f>COUNTIFS('Tổng hợp 75 trang đích'!$B$2:$B$3400,$D4,'Tổng hợp 75 trang đích'!$K$2:$K$3400,"CÓ THỂ ĐI")</f>
        <v>2</v>
      </c>
      <c r="I4" s="16">
        <f>COUNTIFS('Tổng hợp 75 trang đích'!$B$2:$B$3400,$D4,'Tổng hợp 75 trang đích'!$K$2:$K$3400,"CẦN SOÁT")</f>
        <v>45</v>
      </c>
      <c r="J4" s="19" t="s">
        <v>555</v>
      </c>
      <c r="K4" s="19" t="b">
        <v>0</v>
      </c>
      <c r="L4" s="20" t="s">
        <v>333</v>
      </c>
      <c r="M4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đích'!$B$2:$B$3400=$D4),3,TRU"&amp;"E),1,2)),"""")"),"nộp thuế online")</f>
        <v>nộp thuế online</v>
      </c>
      <c r="N4" s="21" t="str">
        <f>IFERROR(__xludf.DUMMYFUNCTION("""COMPUTED_VALUE"""),"https://techcombank.com/thong-tin/blog/lien-ket-tai-khoan-ngan-hang-voi-etax-mobile")</f>
        <v>https://techcombank.com/thong-tin/blog/lien-ket-tai-khoan-ngan-hang-voi-etax-mobile</v>
      </c>
      <c r="O4" s="17" t="str">
        <f>IFERROR(__xludf.DUMMYFUNCTION("""COMPUTED_VALUE"""),"nộp thuế hộ trên etax")</f>
        <v>nộp thuế hộ trên etax</v>
      </c>
      <c r="P4" s="21" t="str">
        <f>IFERROR(__xludf.DUMMYFUNCTION("""COMPUTED_VALUE"""),"https://techcombank.com/thong-tin/blog/quyet-toan-thue-thu-nhap-ca-nhan")</f>
        <v>https://techcombank.com/thong-tin/blog/quyet-toan-thue-thu-nhap-ca-nhan</v>
      </c>
      <c r="Q4" s="17" t="str">
        <f>IFERROR(__xludf.DUMMYFUNCTION("""COMPUTED_VALUE"""),"nộp thuế online")</f>
        <v>nộp thuế online</v>
      </c>
      <c r="R4" s="21" t="str">
        <f>IFERROR(__xludf.DUMMYFUNCTION("""COMPUTED_VALUE"""),"https://techcombank.com/thong-tin/blog/ke-khai-thue-ho-kinh-doanh-ca-the-online")</f>
        <v>https://techcombank.com/thong-tin/blog/ke-khai-thue-ho-kinh-doanh-ca-the-online</v>
      </c>
      <c r="S4" s="17" t="str">
        <f>IFERROR(__xludf.DUMMYFUNCTION("""COMPUTED_VALUE"""),"nộp thuế hộ trên etax")</f>
        <v>nộp thuế hộ trên etax</v>
      </c>
      <c r="T4" s="21" t="str">
        <f>IFERROR(__xludf.DUMMYFUNCTION("""COMPUTED_VALUE"""),"https://techcombank.com/thong-tin/blog/hoan-thue-thu-nhap-ca-nhan")</f>
        <v>https://techcombank.com/thong-tin/blog/hoan-thue-thu-nhap-ca-nhan</v>
      </c>
      <c r="U4" s="17" t="str">
        <f>IFERROR(__xludf.DUMMYFUNCTION("""COMPUTED_VALUE"""),"nộp thuế online")</f>
        <v>nộp thuế online</v>
      </c>
      <c r="V4" s="21" t="str">
        <f>IFERROR(__xludf.DUMMYFUNCTION("""COMPUTED_VALUE"""),"https://techcombank.com/thong-tin/blog/nop-thue-hai-quan")</f>
        <v>https://techcombank.com/thong-tin/blog/nop-thue-hai-quan</v>
      </c>
      <c r="W4" s="17" t="str">
        <f>IFERROR(__xludf.DUMMYFUNCTION("""COMPUTED_VALUE"""),"nộp thuế hộ trên etax")</f>
        <v>nộp thuế hộ trên etax</v>
      </c>
      <c r="X4" s="21" t="str">
        <f>IFERROR(__xludf.DUMMYFUNCTION("""COMPUTED_VALUE"""),"https://techcombank.com/thong-tin/blog/hoan-thue-doanh-nghiep")</f>
        <v>https://techcombank.com/thong-tin/blog/hoan-thue-doanh-nghiep</v>
      </c>
      <c r="Y4" s="17" t="str">
        <f>IFERROR(__xludf.DUMMYFUNCTION("""COMPUTED_VALUE"""),"nộp thuế online")</f>
        <v>nộp thuế online</v>
      </c>
      <c r="Z4" s="21" t="str">
        <f>IFERROR(__xludf.DUMMYFUNCTION("""COMPUTED_VALUE"""),"https://techcombank.com/thong-tin/blog/tra-cuu-no-thue-hai-quan")</f>
        <v>https://techcombank.com/thong-tin/blog/tra-cuu-no-thue-hai-quan</v>
      </c>
      <c r="AA4" s="17" t="str">
        <f>IFERROR(__xludf.DUMMYFUNCTION("""COMPUTED_VALUE"""),"nộp thuế hộ trên etax")</f>
        <v>nộp thuế hộ trên etax</v>
      </c>
      <c r="AB4" s="21" t="str">
        <f>IFERROR(__xludf.DUMMYFUNCTION("""COMPUTED_VALUE"""),"https://techcombank.com/thong-tin/blog/tra-cuu-no-thue-ho-kinh-doanh")</f>
        <v>https://techcombank.com/thong-tin/blog/tra-cuu-no-thue-ho-kinh-doanh</v>
      </c>
      <c r="AC4" s="17" t="str">
        <f>IFERROR(__xludf.DUMMYFUNCTION("""COMPUTED_VALUE"""),"nộp thuế online")</f>
        <v>nộp thuế online</v>
      </c>
      <c r="AD4" s="21" t="str">
        <f>IFERROR(__xludf.DUMMYFUNCTION("""COMPUTED_VALUE"""),"https://techcombank.com/thong-tin/blog/truy-thu-thue-ho-kinh-doanh")</f>
        <v>https://techcombank.com/thong-tin/blog/truy-thu-thue-ho-kinh-doanh</v>
      </c>
      <c r="AE4" s="17" t="str">
        <f>IFERROR(__xludf.DUMMYFUNCTION("""COMPUTED_VALUE"""),"nộp thuế hộ trên etax")</f>
        <v>nộp thuế hộ trên etax</v>
      </c>
      <c r="AF4" s="21" t="str">
        <f>IFERROR(__xludf.DUMMYFUNCTION("""COMPUTED_VALUE"""),"https://techcombank.com/thong-tin/blog/kiem-tra-thue-ho-kinh-doanh")</f>
        <v>https://techcombank.com/thong-tin/blog/kiem-tra-thue-ho-kinh-doanh</v>
      </c>
      <c r="AG4" s="17" t="str">
        <f>IFERROR(__xludf.DUMMYFUNCTION("""COMPUTED_VALUE"""),"nộp thuế online")</f>
        <v>nộp thuế online</v>
      </c>
      <c r="AH4" s="21" t="str">
        <f>IFERROR(__xludf.DUMMYFUNCTION("""COMPUTED_VALUE"""),"https://techcombank.com/thong-tin/blog/tra-cuu-no-thue-ca-nhan")</f>
        <v>https://techcombank.com/thong-tin/blog/tra-cuu-no-thue-ca-nhan</v>
      </c>
      <c r="AI4" s="17" t="str">
        <f>IFERROR(__xludf.DUMMYFUNCTION("""COMPUTED_VALUE"""),"nộp thuế hộ trên etax")</f>
        <v>nộp thuế hộ trên etax</v>
      </c>
      <c r="AJ4" s="21" t="str">
        <f>IFERROR(__xludf.DUMMYFUNCTION("""COMPUTED_VALUE"""),"https://techcombank.com/thong-tin/blog/thue-thuong-mai-dien-tu")</f>
        <v>https://techcombank.com/thong-tin/blog/thue-thuong-mai-dien-tu</v>
      </c>
      <c r="AK4" s="17" t="str">
        <f>IFERROR(__xludf.DUMMYFUNCTION("""COMPUTED_VALUE"""),"nộp thuế online")</f>
        <v>nộp thuế online</v>
      </c>
      <c r="AL4" s="21" t="str">
        <f>IFERROR(__xludf.DUMMYFUNCTION("""COMPUTED_VALUE"""),"https://techcombank.com/thong-tin/blog/ho-kinh-doanh-dong-thue-nhu-nao")</f>
        <v>https://techcombank.com/thong-tin/blog/ho-kinh-doanh-dong-thue-nhu-nao</v>
      </c>
      <c r="AM4" s="17" t="str">
        <f>IFERROR(__xludf.DUMMYFUNCTION("""COMPUTED_VALUE"""),"nộp thuế hộ trên etax")</f>
        <v>nộp thuế hộ trên etax</v>
      </c>
      <c r="AN4" s="21" t="str">
        <f>IFERROR(__xludf.DUMMYFUNCTION("""COMPUTED_VALUE"""),"https://techcombank.com/thong-tin/blog/thue-thu-nhap-doanh-nghiep")</f>
        <v>https://techcombank.com/thong-tin/blog/thue-thu-nhap-doanh-nghiep</v>
      </c>
      <c r="AO4" s="17" t="str">
        <f>IFERROR(__xludf.DUMMYFUNCTION("""COMPUTED_VALUE"""),"nộp thuế online")</f>
        <v>nộp thuế online</v>
      </c>
      <c r="AP4" s="21" t="str">
        <f>IFERROR(__xludf.DUMMYFUNCTION("""COMPUTED_VALUE"""),"https://techcombank.com/thong-tin/blog/quyet-toan-thue-doanh-nghiep")</f>
        <v>https://techcombank.com/thong-tin/blog/quyet-toan-thue-doanh-nghiep</v>
      </c>
      <c r="AQ4" s="17" t="str">
        <f>IFERROR(__xludf.DUMMYFUNCTION("""COMPUTED_VALUE"""),"nộp thuế hộ trên etax")</f>
        <v>nộp thuế hộ trên etax</v>
      </c>
      <c r="AR4" s="21" t="str">
        <f>IFERROR(__xludf.DUMMYFUNCTION("""COMPUTED_VALUE"""),"https://techcombank.com/thong-tin/blog/ke-khai-thue-doanh-nghiep")</f>
        <v>https://techcombank.com/thong-tin/blog/ke-khai-thue-doanh-nghiep</v>
      </c>
      <c r="AS4" s="17" t="str">
        <f>IFERROR(__xludf.DUMMYFUNCTION("""COMPUTED_VALUE"""),"nộp thuế online")</f>
        <v>nộp thuế online</v>
      </c>
      <c r="AT4" s="21" t="str">
        <f>IFERROR(__xludf.DUMMYFUNCTION("""COMPUTED_VALUE"""),"https://techcombank.com/thong-tin/blog/tra-cuu-no-thue-doanh-nghiep")</f>
        <v>https://techcombank.com/thong-tin/blog/tra-cuu-no-thue-doanh-nghiep</v>
      </c>
      <c r="AU4" s="17" t="str">
        <f>IFERROR(__xludf.DUMMYFUNCTION("""COMPUTED_VALUE"""),"nộp thuế hộ trên etax")</f>
        <v>nộp thuế hộ trên etax</v>
      </c>
      <c r="AV4" s="21" t="str">
        <f>IFERROR(__xludf.DUMMYFUNCTION("""COMPUTED_VALUE"""),"https://techcombank.com/thong-tin/blog/tien-chuyen-vao-tai-khoan-co-bi-tinh-thue-khong")</f>
        <v>https://techcombank.com/thong-tin/blog/tien-chuyen-vao-tai-khoan-co-bi-tinh-thue-khong</v>
      </c>
      <c r="AW4" s="17" t="str">
        <f>IFERROR(__xludf.DUMMYFUNCTION("""COMPUTED_VALUE"""),"nộp thuế online")</f>
        <v>nộp thuế online</v>
      </c>
      <c r="AX4" s="21" t="str">
        <f>IFERROR(__xludf.DUMMYFUNCTION("""COMPUTED_VALUE"""),"https://techcombank.com/thong-tin/blog/cach-tinh-thue-thu-nhap-ca-nhan-2025")</f>
        <v>https://techcombank.com/thong-tin/blog/cach-tinh-thue-thu-nhap-ca-nhan-2025</v>
      </c>
      <c r="AY4" s="17" t="str">
        <f>IFERROR(__xludf.DUMMYFUNCTION("""COMPUTED_VALUE"""),"nộp thuế hộ trên etax")</f>
        <v>nộp thuế hộ trên etax</v>
      </c>
      <c r="AZ4" s="21" t="str">
        <f>IFERROR(__xludf.DUMMYFUNCTION("""COMPUTED_VALUE"""),"https://techcombank.com/thong-tin/blog/thue-thu-nhap-ca-nhan")</f>
        <v>https://techcombank.com/thong-tin/blog/thue-thu-nhap-ca-nhan</v>
      </c>
      <c r="BA4" s="17" t="str">
        <f>IFERROR(__xludf.DUMMYFUNCTION("""COMPUTED_VALUE"""),"nộp thuế online")</f>
        <v>nộp thuế online</v>
      </c>
      <c r="BB4" s="21" t="str">
        <f>IFERROR(__xludf.DUMMYFUNCTION("""COMPUTED_VALUE"""),"https://techcombank.com/thong-tin/blog/kiem-tra-thue-thu-nhap-ca-nhan")</f>
        <v>https://techcombank.com/thong-tin/blog/kiem-tra-thue-thu-nhap-ca-nhan</v>
      </c>
      <c r="BC4" s="17" t="str">
        <f>IFERROR(__xludf.DUMMYFUNCTION("""COMPUTED_VALUE"""),"nộp thuế hộ trên etax")</f>
        <v>nộp thuế hộ trên etax</v>
      </c>
      <c r="BD4" s="21" t="str">
        <f>IFERROR(__xludf.DUMMYFUNCTION("""COMPUTED_VALUE"""),"https://techcombank.com/thong-tin/blog/nop-thue-dat-qua-ngan-hang")</f>
        <v>https://techcombank.com/thong-tin/blog/nop-thue-dat-qua-ngan-hang</v>
      </c>
      <c r="BE4" s="17" t="str">
        <f>IFERROR(__xludf.DUMMYFUNCTION("""COMPUTED_VALUE"""),"nộp thuế online")</f>
        <v>nộp thuế online</v>
      </c>
      <c r="BF4" s="21" t="str">
        <f>IFERROR(__xludf.DUMMYFUNCTION("""COMPUTED_VALUE"""),"https://techcombank.com/thong-tin/blog/tim-hieu-ve-chinh-sach-thue-moi")</f>
        <v>https://techcombank.com/thong-tin/blog/tim-hieu-ve-chinh-sach-thue-moi</v>
      </c>
      <c r="BG4" s="17" t="str">
        <f>IFERROR(__xludf.DUMMYFUNCTION("""COMPUTED_VALUE"""),"nộp thuế hộ trên etax")</f>
        <v>nộp thuế hộ trên etax</v>
      </c>
      <c r="BH4" s="21" t="str">
        <f>IFERROR(__xludf.DUMMYFUNCTION("""COMPUTED_VALUE"""),"https://techcombank.com/thong-tin/blog/chuyen-doi-ho-kinh-doanh-len-doanh-nghiep")</f>
        <v>https://techcombank.com/thong-tin/blog/chuyen-doi-ho-kinh-doanh-len-doanh-nghiep</v>
      </c>
      <c r="BI4" s="17" t="str">
        <f>IFERROR(__xludf.DUMMYFUNCTION("""COMPUTED_VALUE"""),"nộp thuế online")</f>
        <v>nộp thuế online</v>
      </c>
      <c r="BJ4" s="21" t="str">
        <f>IFERROR(__xludf.DUMMYFUNCTION("""COMPUTED_VALUE"""),"https://techcombank.com/thong-tin/blog/nen-thanh-lap-ho-kinh-doanh-ke-khai-hay-doanh-nghiep")</f>
        <v>https://techcombank.com/thong-tin/blog/nen-thanh-lap-ho-kinh-doanh-ke-khai-hay-doanh-nghiep</v>
      </c>
      <c r="BK4" s="17" t="str">
        <f>IFERROR(__xludf.DUMMYFUNCTION("""COMPUTED_VALUE"""),"nộp thuế hộ trên etax")</f>
        <v>nộp thuế hộ trên etax</v>
      </c>
      <c r="BL4" s="21" t="str">
        <f>IFERROR(__xludf.DUMMYFUNCTION("""COMPUTED_VALUE"""),"https://techcombank.com/thong-tin/blog/giai-dap-ve-thue-doanh-nghiep")</f>
        <v>https://techcombank.com/thong-tin/blog/giai-dap-ve-thue-doanh-nghiep</v>
      </c>
      <c r="BM4" s="17" t="str">
        <f>IFERROR(__xludf.DUMMYFUNCTION("""COMPUTED_VALUE"""),"nộp thuế online")</f>
        <v>nộp thuế online</v>
      </c>
      <c r="BN4" s="21" t="str">
        <f>IFERROR(__xludf.DUMMYFUNCTION("""COMPUTED_VALUE"""),"https://techcombank.com/thong-tin/blog/dong-ma-so-thue-ho-kinh-doanh")</f>
        <v>https://techcombank.com/thong-tin/blog/dong-ma-so-thue-ho-kinh-doanh</v>
      </c>
      <c r="BO4" s="17" t="str">
        <f>IFERROR(__xludf.DUMMYFUNCTION("""COMPUTED_VALUE"""),"nộp thuế hộ trên etax")</f>
        <v>nộp thuế hộ trên etax</v>
      </c>
      <c r="BP4" s="21" t="str">
        <f>IFERROR(__xludf.DUMMYFUNCTION("""COMPUTED_VALUE"""),"https://techcombank.com/thong-tin/blog/thue-phi-co-dinh-khi-chuyen-doi-tu-ho-kinh-doanh-len-doanh-nghiep")</f>
        <v>https://techcombank.com/thong-tin/blog/thue-phi-co-dinh-khi-chuyen-doi-tu-ho-kinh-doanh-len-doanh-nghiep</v>
      </c>
      <c r="BQ4" s="17" t="str">
        <f>IFERROR(__xludf.DUMMYFUNCTION("""COMPUTED_VALUE"""),"nộp thuế online")</f>
        <v>nộp thuế online</v>
      </c>
      <c r="BR4" s="21" t="str">
        <f>IFERROR(__xludf.DUMMYFUNCTION("""COMPUTED_VALUE"""),"https://techcombank.com/thong-tin/blog/ho-kinh-doanh-ca-the")</f>
        <v>https://techcombank.com/thong-tin/blog/ho-kinh-doanh-ca-the</v>
      </c>
      <c r="BS4" s="17" t="str">
        <f>IFERROR(__xludf.DUMMYFUNCTION("""COMPUTED_VALUE"""),"nộp thuế hộ trên etax")</f>
        <v>nộp thuế hộ trên etax</v>
      </c>
      <c r="BT4" s="21" t="str">
        <f>IFERROR(__xludf.DUMMYFUNCTION("""COMPUTED_VALUE"""),"https://techcombank.com/thong-tin/blog/nhung-chi-phi-khong-duoc-tru-khi-tinh-thue-tndn")</f>
        <v>https://techcombank.com/thong-tin/blog/nhung-chi-phi-khong-duoc-tru-khi-tinh-thue-tndn</v>
      </c>
      <c r="BU4" s="17" t="str">
        <f>IFERROR(__xludf.DUMMYFUNCTION("""COMPUTED_VALUE"""),"nộp thuế online")</f>
        <v>nộp thuế online</v>
      </c>
      <c r="BV4" s="21" t="str">
        <f>IFERROR(__xludf.DUMMYFUNCTION("""COMPUTED_VALUE"""),"https://techcombank.com/thong-tin/blog/hoa-don-dien-tu")</f>
        <v>https://techcombank.com/thong-tin/blog/hoa-don-dien-tu</v>
      </c>
      <c r="BW4" s="17" t="str">
        <f>IFERROR(__xludf.DUMMYFUNCTION("""COMPUTED_VALUE"""),"nộp thuế hộ trên etax")</f>
        <v>nộp thuế hộ trên etax</v>
      </c>
      <c r="BX4" s="21" t="str">
        <f>IFERROR(__xludf.DUMMYFUNCTION("""COMPUTED_VALUE"""),"https://techcombank.com/thong-tin/blog/one-stop-shop")</f>
        <v>https://techcombank.com/thong-tin/blog/one-stop-shop</v>
      </c>
      <c r="BY4" s="17" t="str">
        <f>IFERROR(__xludf.DUMMYFUNCTION("""COMPUTED_VALUE"""),"nộp thuế online")</f>
        <v>nộp thuế online</v>
      </c>
      <c r="BZ4" s="21" t="str">
        <f>IFERROR(__xludf.DUMMYFUNCTION("""COMPUTED_VALUE"""),"https://techcombank.com/thong-tin/blog/cac-sai-lam-pho-bien-khi-chuyen-doi-ho-kinh-doanh-len-sme")</f>
        <v>https://techcombank.com/thong-tin/blog/cac-sai-lam-pho-bien-khi-chuyen-doi-ho-kinh-doanh-len-sme</v>
      </c>
      <c r="CA4" s="17" t="str">
        <f>IFERROR(__xludf.DUMMYFUNCTION("""COMPUTED_VALUE"""),"nộp thuế hộ trên etax")</f>
        <v>nộp thuế hộ trên etax</v>
      </c>
      <c r="CB4" s="21" t="str">
        <f>IFERROR(__xludf.DUMMYFUNCTION("""COMPUTED_VALUE"""),"https://techcombank.com/thong-tin/blog/cach-dang-ky-ma-so-thue-ho-kinh-doanh-online")</f>
        <v>https://techcombank.com/thong-tin/blog/cach-dang-ky-ma-so-thue-ho-kinh-doanh-online</v>
      </c>
      <c r="CC4" s="17" t="str">
        <f>IFERROR(__xludf.DUMMYFUNCTION("""COMPUTED_VALUE"""),"nộp thuế online")</f>
        <v>nộp thuế online</v>
      </c>
      <c r="CD4" s="21" t="str">
        <f>IFERROR(__xludf.DUMMYFUNCTION("""COMPUTED_VALUE"""),"https://techcombank.com/thong-tin/blog/kiem-tra-ma-so-thue-doanh-nghiep")</f>
        <v>https://techcombank.com/thong-tin/blog/kiem-tra-ma-so-thue-doanh-nghiep</v>
      </c>
      <c r="CE4" s="17" t="str">
        <f>IFERROR(__xludf.DUMMYFUNCTION("""COMPUTED_VALUE"""),"nộp thuế hộ trên etax")</f>
        <v>nộp thuế hộ trên etax</v>
      </c>
      <c r="CF4" s="21" t="str">
        <f>IFERROR(__xludf.DUMMYFUNCTION("""COMPUTED_VALUE"""),"https://techcombank.com/thong-tin/blog/tra-cuu-ma-so-thue-ho-kinh-doanh")</f>
        <v>https://techcombank.com/thong-tin/blog/tra-cuu-ma-so-thue-ho-kinh-doanh</v>
      </c>
      <c r="CG4" s="17" t="str">
        <f>IFERROR(__xludf.DUMMYFUNCTION("""COMPUTED_VALUE"""),"nộp thuế online")</f>
        <v>nộp thuế online</v>
      </c>
      <c r="CH4" s="21" t="str">
        <f>IFERROR(__xludf.DUMMYFUNCTION("""COMPUTED_VALUE"""),"https://techcombank.com/thong-tin/blog/cong-ty-su-dung-tai-khoan-ca-nhan")</f>
        <v>https://techcombank.com/thong-tin/blog/cong-ty-su-dung-tai-khoan-ca-nhan</v>
      </c>
      <c r="CI4" s="17" t="str">
        <f>IFERROR(__xludf.DUMMYFUNCTION("""COMPUTED_VALUE"""),"nộp thuế hộ trên etax")</f>
        <v>nộp thuế hộ trên etax</v>
      </c>
      <c r="CJ4" s="21" t="str">
        <f>IFERROR(__xludf.DUMMYFUNCTION("""COMPUTED_VALUE"""),"https://techcombank.com/thong-tin/blog/kinh-nghiem-chuyen-doi-tu-ho-kinh-doanh-len-doanh-nghiep")</f>
        <v>https://techcombank.com/thong-tin/blog/kinh-nghiem-chuyen-doi-tu-ho-kinh-doanh-len-doanh-nghiep</v>
      </c>
      <c r="CK4" s="17" t="str">
        <f>IFERROR(__xludf.DUMMYFUNCTION("""COMPUTED_VALUE"""),"nộp thuế online")</f>
        <v>nộp thuế online</v>
      </c>
      <c r="CL4" s="21" t="str">
        <f>IFERROR(__xludf.DUMMYFUNCTION("""COMPUTED_VALUE"""),"https://techcombank.com/thong-tin/blog/top-phan-mem-ban-hang")</f>
        <v>https://techcombank.com/thong-tin/blog/top-phan-mem-ban-hang</v>
      </c>
      <c r="CM4" s="17" t="str">
        <f>IFERROR(__xludf.DUMMYFUNCTION("""COMPUTED_VALUE"""),"nộp thuế hộ trên etax")</f>
        <v>nộp thuế hộ trên etax</v>
      </c>
      <c r="CN4" s="21" t="str">
        <f>IFERROR(__xludf.DUMMYFUNCTION("""COMPUTED_VALUE"""),"https://techcombank.com/thong-tin/blog/dieu-kien-thanh-lap-doanh-nghiep")</f>
        <v>https://techcombank.com/thong-tin/blog/dieu-kien-thanh-lap-doanh-nghiep</v>
      </c>
      <c r="CO4" s="17" t="str">
        <f>IFERROR(__xludf.DUMMYFUNCTION("""COMPUTED_VALUE"""),"nộp thuế online")</f>
        <v>nộp thuế online</v>
      </c>
      <c r="CP4" s="21" t="str">
        <f>IFERROR(__xludf.DUMMYFUNCTION("""COMPUTED_VALUE"""),"https://techcombank.com/thong-tin/blog/dang-ky-thue-ho-kinh-doanh-ca-the-online")</f>
        <v>https://techcombank.com/thong-tin/blog/dang-ky-thue-ho-kinh-doanh-ca-the-online</v>
      </c>
      <c r="CQ4" s="17" t="str">
        <f>IFERROR(__xludf.DUMMYFUNCTION("""COMPUTED_VALUE"""),"nộp thuế hộ trên etax")</f>
        <v>nộp thuế hộ trên etax</v>
      </c>
      <c r="CR4" s="21" t="str">
        <f>IFERROR(__xludf.DUMMYFUNCTION("""COMPUTED_VALUE"""),"https://techcombank.com/thong-tin/blog/luat-thuong-mai-dien-tu")</f>
        <v>https://techcombank.com/thong-tin/blog/luat-thuong-mai-dien-tu</v>
      </c>
      <c r="CS4" s="17" t="str">
        <f>IFERROR(__xludf.DUMMYFUNCTION("""COMPUTED_VALUE"""),"nộp thuế online")</f>
        <v>nộp thuế online</v>
      </c>
      <c r="CT4" s="21" t="str">
        <f>IFERROR(__xludf.DUMMYFUNCTION("""COMPUTED_VALUE"""),"https://techcombank.com/thong-tin/blog/ho-so-dang-ky-thanh-lap-doanh-nghiep")</f>
        <v>https://techcombank.com/thong-tin/blog/ho-so-dang-ky-thanh-lap-doanh-nghiep</v>
      </c>
      <c r="CU4" s="17" t="str">
        <f>IFERROR(__xludf.DUMMYFUNCTION("""COMPUTED_VALUE"""),"nộp thuế hộ trên etax")</f>
        <v>nộp thuế hộ trên etax</v>
      </c>
      <c r="CV4" s="21" t="str">
        <f>IFERROR(__xludf.DUMMYFUNCTION("""COMPUTED_VALUE"""),"https://techcombank.com/thong-tin/blog/thue-khoan-ho-kinh-doanh-la-gi")</f>
        <v>https://techcombank.com/thong-tin/blog/thue-khoan-ho-kinh-doanh-la-gi</v>
      </c>
      <c r="CW4" s="17" t="str">
        <f>IFERROR(__xludf.DUMMYFUNCTION("""COMPUTED_VALUE"""),"nộp thuế online")</f>
        <v>nộp thuế online</v>
      </c>
      <c r="CX4" s="21" t="str">
        <f>IFERROR(__xludf.DUMMYFUNCTION("""COMPUTED_VALUE"""),"https://techcombank.com/thong-tin/blog/doanh-nghiep-moi-thanh-lap-duoc-uu-dai-gi")</f>
        <v>https://techcombank.com/thong-tin/blog/doanh-nghiep-moi-thanh-lap-duoc-uu-dai-gi</v>
      </c>
      <c r="CY4" s="17" t="str">
        <f>IFERROR(__xludf.DUMMYFUNCTION("""COMPUTED_VALUE"""),"nộp thuế hộ trên etax")</f>
        <v>nộp thuế hộ trên etax</v>
      </c>
      <c r="CZ4" s="21" t="str">
        <f>IFERROR(__xludf.DUMMYFUNCTION("""COMPUTED_VALUE"""),"https://techcombank.com/thong-tin/blog/phat-cham-dang-ky-thue-ho-kinh-doanh")</f>
        <v>https://techcombank.com/thong-tin/blog/phat-cham-dang-ky-thue-ho-kinh-doanh</v>
      </c>
      <c r="DA4" s="17" t="str">
        <f>IFERROR(__xludf.DUMMYFUNCTION("""COMPUTED_VALUE"""),"nộp thuế online")</f>
        <v>nộp thuế online</v>
      </c>
      <c r="DB4" s="21" t="str">
        <f>IFERROR(__xludf.DUMMYFUNCTION("""COMPUTED_VALUE"""),"https://techcombank.com/thong-tin/blog/thu-tuc-thanh-lap-doanh-nghiep")</f>
        <v>https://techcombank.com/thong-tin/blog/thu-tuc-thanh-lap-doanh-nghiep</v>
      </c>
      <c r="DC4" s="17" t="str">
        <f>IFERROR(__xludf.DUMMYFUNCTION("""COMPUTED_VALUE"""),"nộp thuế hộ trên etax")</f>
        <v>nộp thuế hộ trên etax</v>
      </c>
      <c r="DD4" s="21" t="str">
        <f>IFERROR(__xludf.DUMMYFUNCTION("""COMPUTED_VALUE"""),"https://techcombank.com/thong-tin/blog/chi-phi-mo-tai-khoan-ngan-hang-cho-cong-ty")</f>
        <v>https://techcombank.com/thong-tin/blog/chi-phi-mo-tai-khoan-ngan-hang-cho-cong-ty</v>
      </c>
      <c r="DE4" s="17" t="str">
        <f>IFERROR(__xludf.DUMMYFUNCTION("""COMPUTED_VALUE"""),"nộp thuế online")</f>
        <v>nộp thuế online</v>
      </c>
      <c r="DF4" s="21" t="str">
        <f>IFERROR(__xludf.DUMMYFUNCTION("""COMPUTED_VALUE"""),"https://techcombank.com/thong-tin/blog/thue-doanh-nghiep-2025")</f>
        <v>https://techcombank.com/thong-tin/blog/thue-doanh-nghiep-2025</v>
      </c>
      <c r="DG4" s="17" t="str">
        <f>IFERROR(__xludf.DUMMYFUNCTION("""COMPUTED_VALUE"""),"nộp thuế hộ trên etax")</f>
        <v>nộp thuế hộ trên etax</v>
      </c>
      <c r="DH4" s="21" t="str">
        <f>IFERROR(__xludf.DUMMYFUNCTION("""COMPUTED_VALUE"""),"https://techcombank.com/thong-tin/blog/khoi-nghiep-truoc-chinh-sach-thue-moi")</f>
        <v>https://techcombank.com/thong-tin/blog/khoi-nghiep-truoc-chinh-sach-thue-moi</v>
      </c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  <c r="IW4" s="17"/>
      <c r="IX4" s="17"/>
      <c r="IY4" s="17"/>
      <c r="IZ4" s="17"/>
      <c r="JA4" s="17"/>
      <c r="JB4" s="17"/>
      <c r="JC4" s="17"/>
      <c r="JD4" s="17"/>
      <c r="JE4" s="17"/>
      <c r="JF4" s="17"/>
      <c r="JG4" s="17"/>
      <c r="JH4" s="17"/>
      <c r="JI4" s="17"/>
      <c r="JJ4" s="17"/>
      <c r="JK4" s="17"/>
      <c r="JL4" s="17"/>
      <c r="JM4" s="17"/>
      <c r="JN4" s="17"/>
      <c r="JO4" s="17"/>
      <c r="JP4" s="17"/>
      <c r="JQ4" s="17"/>
      <c r="JR4" s="17"/>
      <c r="JS4" s="17"/>
      <c r="JT4" s="17"/>
      <c r="JU4" s="17"/>
      <c r="JV4" s="17"/>
      <c r="JW4" s="17"/>
      <c r="JX4" s="17"/>
      <c r="JY4" s="17"/>
      <c r="JZ4" s="17"/>
      <c r="KA4" s="17"/>
      <c r="KB4" s="17"/>
      <c r="KC4" s="17"/>
      <c r="KD4" s="17"/>
      <c r="KE4" s="17"/>
      <c r="KF4" s="17"/>
      <c r="KG4" s="17"/>
      <c r="KH4" s="17"/>
      <c r="KI4" s="17"/>
      <c r="KJ4" s="17"/>
      <c r="KK4" s="17"/>
      <c r="KL4" s="17"/>
      <c r="KM4" s="17"/>
      <c r="KN4" s="17"/>
      <c r="KO4" s="17"/>
      <c r="KP4" s="17"/>
      <c r="KQ4" s="17"/>
      <c r="KR4" s="17"/>
      <c r="KS4" s="17"/>
      <c r="KT4" s="17"/>
      <c r="KU4" s="17"/>
      <c r="KV4" s="17"/>
      <c r="KW4" s="17"/>
      <c r="KX4" s="17"/>
      <c r="KY4" s="17"/>
      <c r="KZ4" s="17"/>
      <c r="LA4" s="17"/>
      <c r="LB4" s="17"/>
      <c r="LC4" s="17"/>
      <c r="LD4" s="17"/>
      <c r="LE4" s="17"/>
      <c r="LF4" s="17"/>
      <c r="LG4" s="17"/>
      <c r="LH4" s="17"/>
      <c r="LI4" s="17"/>
      <c r="LJ4" s="17"/>
      <c r="LK4" s="17"/>
      <c r="LL4" s="17"/>
      <c r="LM4" s="17"/>
      <c r="LN4" s="17"/>
      <c r="LO4" s="17"/>
      <c r="LP4" s="17"/>
      <c r="LQ4" s="17"/>
      <c r="LR4" s="17"/>
      <c r="LS4" s="17"/>
      <c r="LT4" s="17"/>
      <c r="LU4" s="17"/>
      <c r="LV4" s="17"/>
      <c r="LW4" s="17"/>
      <c r="LX4" s="17"/>
      <c r="LY4" s="17"/>
      <c r="LZ4" s="17"/>
      <c r="MA4" s="17"/>
      <c r="MB4" s="17"/>
      <c r="MC4" s="17"/>
      <c r="MD4" s="17"/>
      <c r="ME4" s="17"/>
      <c r="MF4" s="17"/>
      <c r="MG4" s="17"/>
      <c r="MH4" s="17"/>
      <c r="MI4" s="17"/>
      <c r="MJ4" s="17"/>
      <c r="MK4" s="17"/>
      <c r="ML4" s="17"/>
      <c r="MM4" s="17"/>
      <c r="MN4" s="17"/>
      <c r="MO4" s="17"/>
      <c r="MP4" s="17"/>
      <c r="MQ4" s="17"/>
      <c r="MR4" s="17"/>
      <c r="MS4" s="17"/>
      <c r="MT4" s="17"/>
      <c r="MU4" s="17"/>
      <c r="MV4" s="17"/>
      <c r="MW4" s="17"/>
      <c r="MX4" s="17"/>
      <c r="MY4" s="17"/>
      <c r="MZ4" s="17"/>
      <c r="NA4" s="17"/>
      <c r="NB4" s="17"/>
      <c r="NC4" s="17"/>
      <c r="ND4" s="17"/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  <c r="ON4" s="17"/>
      <c r="OO4" s="17"/>
      <c r="OP4" s="17"/>
      <c r="OQ4" s="17"/>
      <c r="OR4" s="17"/>
      <c r="OS4" s="17"/>
      <c r="OT4" s="17"/>
      <c r="OU4" s="17"/>
      <c r="OV4" s="17"/>
    </row>
    <row r="5" ht="18.0" customHeight="1">
      <c r="A5" s="16">
        <v>4.0</v>
      </c>
      <c r="B5" s="17" t="s">
        <v>533</v>
      </c>
      <c r="C5" s="18" t="s">
        <v>727</v>
      </c>
      <c r="D5" s="17" t="s">
        <v>73</v>
      </c>
      <c r="E5" s="16">
        <v>50.0</v>
      </c>
      <c r="F5" s="16">
        <f>COUNTIF('Tổng hợp 75 trang đích'!$B$2:$B$3400,$D5)</f>
        <v>50</v>
      </c>
      <c r="G5" s="16">
        <f>COUNTIFS('Tổng hợp 75 trang đích'!$B$2:$B$3400,$D5,'Tổng hợp 75 trang đích'!$K$2:$K$3400,"PHÙ HỢP CAO")</f>
        <v>3</v>
      </c>
      <c r="H5" s="16">
        <f>COUNTIFS('Tổng hợp 75 trang đích'!$B$2:$B$3400,$D5,'Tổng hợp 75 trang đích'!$K$2:$K$3400,"CÓ THỂ ĐI")</f>
        <v>2</v>
      </c>
      <c r="I5" s="16">
        <f>COUNTIFS('Tổng hợp 75 trang đích'!$B$2:$B$3400,$D5,'Tổng hợp 75 trang đích'!$K$2:$K$3400,"CẦN SOÁT")</f>
        <v>45</v>
      </c>
      <c r="J5" s="19" t="s">
        <v>555</v>
      </c>
      <c r="K5" s="19" t="b">
        <v>0</v>
      </c>
      <c r="L5" s="20" t="s">
        <v>333</v>
      </c>
      <c r="M5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đích'!$B$2:$B$3400=$D5),3,TRU"&amp;"E),1,2)),"""")"),"thuế thu nhập doanh nghiệp")</f>
        <v>thuế thu nhập doanh nghiệp</v>
      </c>
      <c r="N5" s="21" t="str">
        <f>IFERROR(__xludf.DUMMYFUNCTION("""COMPUTED_VALUE"""),"https://techcombank.com/thong-tin/blog/nhung-chi-phi-khong-duoc-tru-khi-tinh-thue-tndn")</f>
        <v>https://techcombank.com/thong-tin/blog/nhung-chi-phi-khong-duoc-tru-khi-tinh-thue-tndn</v>
      </c>
      <c r="O5" s="17" t="str">
        <f>IFERROR(__xludf.DUMMYFUNCTION("""COMPUTED_VALUE"""),"thuế thu nhập doanh nghiệp 2026")</f>
        <v>thuế thu nhập doanh nghiệp 2026</v>
      </c>
      <c r="P5" s="21" t="str">
        <f>IFERROR(__xludf.DUMMYFUNCTION("""COMPUTED_VALUE"""),"https://techcombank.com/thong-tin/blog/quyet-toan-thue-doanh-nghiep")</f>
        <v>https://techcombank.com/thong-tin/blog/quyet-toan-thue-doanh-nghiep</v>
      </c>
      <c r="Q5" s="17" t="str">
        <f>IFERROR(__xludf.DUMMYFUNCTION("""COMPUTED_VALUE"""),"thuế thu nhập doanh nghiệp")</f>
        <v>thuế thu nhập doanh nghiệp</v>
      </c>
      <c r="R5" s="21" t="str">
        <f>IFERROR(__xludf.DUMMYFUNCTION("""COMPUTED_VALUE"""),"https://techcombank.com/thong-tin/blog/doanh-nghiep-moi-thanh-lap-duoc-uu-dai-gi")</f>
        <v>https://techcombank.com/thong-tin/blog/doanh-nghiep-moi-thanh-lap-duoc-uu-dai-gi</v>
      </c>
      <c r="S5" s="17" t="str">
        <f>IFERROR(__xludf.DUMMYFUNCTION("""COMPUTED_VALUE"""),"thuế thu nhập doanh nghiệp 2026")</f>
        <v>thuế thu nhập doanh nghiệp 2026</v>
      </c>
      <c r="T5" s="21" t="str">
        <f>IFERROR(__xludf.DUMMYFUNCTION("""COMPUTED_VALUE"""),"https://techcombank.com/thong-tin/blog/loi-nhuan")</f>
        <v>https://techcombank.com/thong-tin/blog/loi-nhuan</v>
      </c>
      <c r="U5" s="17" t="str">
        <f>IFERROR(__xludf.DUMMYFUNCTION("""COMPUTED_VALUE"""),"thuế thu nhập doanh nghiệp")</f>
        <v>thuế thu nhập doanh nghiệp</v>
      </c>
      <c r="V5" s="21" t="str">
        <f>IFERROR(__xludf.DUMMYFUNCTION("""COMPUTED_VALUE"""),"https://techcombank.com/thong-tin/blog/hoan-thue-doanh-nghiep")</f>
        <v>https://techcombank.com/thong-tin/blog/hoan-thue-doanh-nghiep</v>
      </c>
      <c r="W5" s="17" t="str">
        <f>IFERROR(__xludf.DUMMYFUNCTION("""COMPUTED_VALUE"""),"thuế thu nhập doanh nghiệp 2026")</f>
        <v>thuế thu nhập doanh nghiệp 2026</v>
      </c>
      <c r="X5" s="21" t="str">
        <f>IFERROR(__xludf.DUMMYFUNCTION("""COMPUTED_VALUE"""),"https://techcombank.com/thong-tin/blog/cach-tinh-thue-thu-nhap-doanh-nghiep")</f>
        <v>https://techcombank.com/thong-tin/blog/cach-tinh-thue-thu-nhap-doanh-nghiep</v>
      </c>
      <c r="Y5" s="17" t="str">
        <f>IFERROR(__xludf.DUMMYFUNCTION("""COMPUTED_VALUE"""),"thuế thu nhập doanh nghiệp")</f>
        <v>thuế thu nhập doanh nghiệp</v>
      </c>
      <c r="Z5" s="21" t="str">
        <f>IFERROR(__xludf.DUMMYFUNCTION("""COMPUTED_VALUE"""),"https://techcombank.com/thong-tin/blog/giai-dap-ve-thue-doanh-nghiep")</f>
        <v>https://techcombank.com/thong-tin/blog/giai-dap-ve-thue-doanh-nghiep</v>
      </c>
      <c r="AA5" s="17" t="str">
        <f>IFERROR(__xludf.DUMMYFUNCTION("""COMPUTED_VALUE"""),"thuế thu nhập doanh nghiệp 2026")</f>
        <v>thuế thu nhập doanh nghiệp 2026</v>
      </c>
      <c r="AB5" s="21" t="str">
        <f>IFERROR(__xludf.DUMMYFUNCTION("""COMPUTED_VALUE"""),"https://techcombank.com/thong-tin/blog/loi-nhuan-rong")</f>
        <v>https://techcombank.com/thong-tin/blog/loi-nhuan-rong</v>
      </c>
      <c r="AC5" s="17" t="str">
        <f>IFERROR(__xludf.DUMMYFUNCTION("""COMPUTED_VALUE"""),"thuế thu nhập doanh nghiệp")</f>
        <v>thuế thu nhập doanh nghiệp</v>
      </c>
      <c r="AD5" s="21" t="str">
        <f>IFERROR(__xludf.DUMMYFUNCTION("""COMPUTED_VALUE"""),"https://techcombank.com/thong-tin/blog/kiem-tra-ma-so-thue-doanh-nghiep")</f>
        <v>https://techcombank.com/thong-tin/blog/kiem-tra-ma-so-thue-doanh-nghiep</v>
      </c>
      <c r="AE5" s="17" t="str">
        <f>IFERROR(__xludf.DUMMYFUNCTION("""COMPUTED_VALUE"""),"thuế thu nhập doanh nghiệp 2026")</f>
        <v>thuế thu nhập doanh nghiệp 2026</v>
      </c>
      <c r="AF5" s="21" t="str">
        <f>IFERROR(__xludf.DUMMYFUNCTION("""COMPUTED_VALUE"""),"https://techcombank.com/thong-tin/blog/thue-doanh-nghiep")</f>
        <v>https://techcombank.com/thong-tin/blog/thue-doanh-nghiep</v>
      </c>
      <c r="AG5" s="17" t="str">
        <f>IFERROR(__xludf.DUMMYFUNCTION("""COMPUTED_VALUE"""),"thuế thu nhập doanh nghiệp")</f>
        <v>thuế thu nhập doanh nghiệp</v>
      </c>
      <c r="AH5" s="21" t="str">
        <f>IFERROR(__xludf.DUMMYFUNCTION("""COMPUTED_VALUE"""),"https://techcombank.com/thong-tin/blog/tim-hieu-ve-chinh-sach-thue-moi")</f>
        <v>https://techcombank.com/thong-tin/blog/tim-hieu-ve-chinh-sach-thue-moi</v>
      </c>
      <c r="AI5" s="17" t="str">
        <f>IFERROR(__xludf.DUMMYFUNCTION("""COMPUTED_VALUE"""),"thuế thu nhập doanh nghiệp 2026")</f>
        <v>thuế thu nhập doanh nghiệp 2026</v>
      </c>
      <c r="AJ5" s="21" t="str">
        <f>IFERROR(__xludf.DUMMYFUNCTION("""COMPUTED_VALUE"""),"https://techcombank.com/thong-tin/blog/thi-truong-trai-phieu-am-tro-lai-nha-dau-tu-san-sang-cho-nhung-co-hoi-sinh-loi-moi")</f>
        <v>https://techcombank.com/thong-tin/blog/thi-truong-trai-phieu-am-tro-lai-nha-dau-tu-san-sang-cho-nhung-co-hoi-sinh-loi-moi</v>
      </c>
      <c r="AK5" s="17" t="str">
        <f>IFERROR(__xludf.DUMMYFUNCTION("""COMPUTED_VALUE"""),"thuế thu nhập doanh nghiệp")</f>
        <v>thuế thu nhập doanh nghiệp</v>
      </c>
      <c r="AL5" s="21" t="str">
        <f>IFERROR(__xludf.DUMMYFUNCTION("""COMPUTED_VALUE"""),"https://techcombank.com/thong-tin/blog/ke-khai-thue-doanh-nghiep")</f>
        <v>https://techcombank.com/thong-tin/blog/ke-khai-thue-doanh-nghiep</v>
      </c>
      <c r="AM5" s="17" t="str">
        <f>IFERROR(__xludf.DUMMYFUNCTION("""COMPUTED_VALUE"""),"thuế thu nhập doanh nghiệp 2026")</f>
        <v>thuế thu nhập doanh nghiệp 2026</v>
      </c>
      <c r="AN5" s="21" t="str">
        <f>IFERROR(__xludf.DUMMYFUNCTION("""COMPUTED_VALUE"""),"https://techcombank.com/thong-tin/blog/tra-cuu-no-thue-doanh-nghiep")</f>
        <v>https://techcombank.com/thong-tin/blog/tra-cuu-no-thue-doanh-nghiep</v>
      </c>
      <c r="AO5" s="17" t="str">
        <f>IFERROR(__xludf.DUMMYFUNCTION("""COMPUTED_VALUE"""),"thuế thu nhập doanh nghiệp")</f>
        <v>thuế thu nhập doanh nghiệp</v>
      </c>
      <c r="AP5" s="21" t="str">
        <f>IFERROR(__xludf.DUMMYFUNCTION("""COMPUTED_VALUE"""),"https://techcombank.com/thong-tin/blog/kinh-nghiem-mua-vang-tich-tru")</f>
        <v>https://techcombank.com/thong-tin/blog/kinh-nghiem-mua-vang-tich-tru</v>
      </c>
      <c r="AQ5" s="17" t="str">
        <f>IFERROR(__xludf.DUMMYFUNCTION("""COMPUTED_VALUE"""),"thuế thu nhập doanh nghiệp 2026")</f>
        <v>thuế thu nhập doanh nghiệp 2026</v>
      </c>
      <c r="AR5" s="21" t="str">
        <f>IFERROR(__xludf.DUMMYFUNCTION("""COMPUTED_VALUE"""),"https://techcombank.com/thong-tin/blog/quan-ly-tai-chinh-doanh-nghiep-la-gi")</f>
        <v>https://techcombank.com/thong-tin/blog/quan-ly-tai-chinh-doanh-nghiep-la-gi</v>
      </c>
      <c r="AS5" s="17" t="str">
        <f>IFERROR(__xludf.DUMMYFUNCTION("""COMPUTED_VALUE"""),"thuế thu nhập doanh nghiệp")</f>
        <v>thuế thu nhập doanh nghiệp</v>
      </c>
      <c r="AT5" s="21" t="str">
        <f>IFERROR(__xludf.DUMMYFUNCTION("""COMPUTED_VALUE"""),"https://techcombank.com/thong-tin/blog/nha-dau-tu-giao-dich-trai-phieu-truc-tuyen-tang-manh-tro-lai")</f>
        <v>https://techcombank.com/thong-tin/blog/nha-dau-tu-giao-dich-trai-phieu-truc-tuyen-tang-manh-tro-lai</v>
      </c>
      <c r="AU5" s="17" t="str">
        <f>IFERROR(__xludf.DUMMYFUNCTION("""COMPUTED_VALUE"""),"thuế thu nhập doanh nghiệp 2026")</f>
        <v>thuế thu nhập doanh nghiệp 2026</v>
      </c>
      <c r="AV5" s="21" t="str">
        <f>IFERROR(__xludf.DUMMYFUNCTION("""COMPUTED_VALUE"""),"https://techcombank.com/thong-tin/blog/gia-chung-chi-quy-la-gi")</f>
        <v>https://techcombank.com/thong-tin/blog/gia-chung-chi-quy-la-gi</v>
      </c>
      <c r="AW5" s="17" t="str">
        <f>IFERROR(__xludf.DUMMYFUNCTION("""COMPUTED_VALUE"""),"thuế thu nhập doanh nghiệp")</f>
        <v>thuế thu nhập doanh nghiệp</v>
      </c>
      <c r="AX5" s="21" t="str">
        <f>IFERROR(__xludf.DUMMYFUNCTION("""COMPUTED_VALUE"""),"https://techcombank.com/thong-tin/blog/lai-suat-tiet-kiem")</f>
        <v>https://techcombank.com/thong-tin/blog/lai-suat-tiet-kiem</v>
      </c>
      <c r="AY5" s="17" t="str">
        <f>IFERROR(__xludf.DUMMYFUNCTION("""COMPUTED_VALUE"""),"thuế thu nhập doanh nghiệp 2026")</f>
        <v>thuế thu nhập doanh nghiệp 2026</v>
      </c>
      <c r="AZ5" s="21" t="str">
        <f>IFERROR(__xludf.DUMMYFUNCTION("""COMPUTED_VALUE"""),"https://techcombank.com/thong-tin/blog/lai-suat-chung-chi-quy")</f>
        <v>https://techcombank.com/thong-tin/blog/lai-suat-chung-chi-quy</v>
      </c>
      <c r="BA5" s="17" t="str">
        <f>IFERROR(__xludf.DUMMYFUNCTION("""COMPUTED_VALUE"""),"thuế thu nhập doanh nghiệp")</f>
        <v>thuế thu nhập doanh nghiệp</v>
      </c>
      <c r="BB5" s="21" t="str">
        <f>IFERROR(__xludf.DUMMYFUNCTION("""COMPUTED_VALUE"""),"https://techcombank.com/thong-tin/blog/ho-kinh-doanh-can-gi-o-tai-khoan-ngan-hang")</f>
        <v>https://techcombank.com/thong-tin/blog/ho-kinh-doanh-can-gi-o-tai-khoan-ngan-hang</v>
      </c>
      <c r="BC5" s="17" t="str">
        <f>IFERROR(__xludf.DUMMYFUNCTION("""COMPUTED_VALUE"""),"thuế thu nhập doanh nghiệp 2026")</f>
        <v>thuế thu nhập doanh nghiệp 2026</v>
      </c>
      <c r="BD5" s="21" t="str">
        <f>IFERROR(__xludf.DUMMYFUNCTION("""COMPUTED_VALUE"""),"https://techcombank.com/thong-tin/blog/danh-muc-dau-tu")</f>
        <v>https://techcombank.com/thong-tin/blog/danh-muc-dau-tu</v>
      </c>
      <c r="BE5" s="17" t="str">
        <f>IFERROR(__xludf.DUMMYFUNCTION("""COMPUTED_VALUE"""),"thuế thu nhập doanh nghiệp")</f>
        <v>thuế thu nhập doanh nghiệp</v>
      </c>
      <c r="BF5" s="21" t="str">
        <f>IFERROR(__xludf.DUMMYFUNCTION("""COMPUTED_VALUE"""),"https://techcombank.com/thong-tin/blog/mua-chung-chi-quy")</f>
        <v>https://techcombank.com/thong-tin/blog/mua-chung-chi-quy</v>
      </c>
      <c r="BG5" s="17" t="str">
        <f>IFERROR(__xludf.DUMMYFUNCTION("""COMPUTED_VALUE"""),"thuế thu nhập doanh nghiệp 2026")</f>
        <v>thuế thu nhập doanh nghiệp 2026</v>
      </c>
      <c r="BH5" s="21" t="str">
        <f>IFERROR(__xludf.DUMMYFUNCTION("""COMPUTED_VALUE"""),"https://techcombank.com/thong-tin/blog/cach-tinh-loi-nhuan-chung-chi-tien-gui")</f>
        <v>https://techcombank.com/thong-tin/blog/cach-tinh-loi-nhuan-chung-chi-tien-gui</v>
      </c>
      <c r="BI5" s="17" t="str">
        <f>IFERROR(__xludf.DUMMYFUNCTION("""COMPUTED_VALUE"""),"thuế thu nhập doanh nghiệp")</f>
        <v>thuế thu nhập doanh nghiệp</v>
      </c>
      <c r="BJ5" s="21" t="str">
        <f>IFERROR(__xludf.DUMMYFUNCTION("""COMPUTED_VALUE"""),"https://techcombank.com/thong-tin/blog/dau-co-va-dau-tu")</f>
        <v>https://techcombank.com/thong-tin/blog/dau-co-va-dau-tu</v>
      </c>
      <c r="BK5" s="17" t="str">
        <f>IFERROR(__xludf.DUMMYFUNCTION("""COMPUTED_VALUE"""),"thuế thu nhập doanh nghiệp 2026")</f>
        <v>thuế thu nhập doanh nghiệp 2026</v>
      </c>
      <c r="BL5" s="21" t="str">
        <f>IFERROR(__xludf.DUMMYFUNCTION("""COMPUTED_VALUE"""),"https://techcombank.com/thong-tin/blog/co-50-trieu-nen-mua-vang-hay-gui-tiet-kiem")</f>
        <v>https://techcombank.com/thong-tin/blog/co-50-trieu-nen-mua-vang-hay-gui-tiet-kiem</v>
      </c>
      <c r="BM5" s="17" t="str">
        <f>IFERROR(__xludf.DUMMYFUNCTION("""COMPUTED_VALUE"""),"thuế thu nhập doanh nghiệp")</f>
        <v>thuế thu nhập doanh nghiệp</v>
      </c>
      <c r="BN5" s="21" t="str">
        <f>IFERROR(__xludf.DUMMYFUNCTION("""COMPUTED_VALUE"""),"https://techcombank.com/thong-tin/blog/toi-uu-hoa-chi-phi-trong-doanh-nghiep")</f>
        <v>https://techcombank.com/thong-tin/blog/toi-uu-hoa-chi-phi-trong-doanh-nghiep</v>
      </c>
      <c r="BO5" s="17" t="str">
        <f>IFERROR(__xludf.DUMMYFUNCTION("""COMPUTED_VALUE"""),"thuế thu nhập doanh nghiệp 2026")</f>
        <v>thuế thu nhập doanh nghiệp 2026</v>
      </c>
      <c r="BP5" s="21" t="str">
        <f>IFERROR(__xludf.DUMMYFUNCTION("""COMPUTED_VALUE"""),"https://techcombank.com/thong-tin/blog/ngoai-hoi-la-gi")</f>
        <v>https://techcombank.com/thong-tin/blog/ngoai-hoi-la-gi</v>
      </c>
      <c r="BQ5" s="17" t="str">
        <f>IFERROR(__xludf.DUMMYFUNCTION("""COMPUTED_VALUE"""),"thuế thu nhập doanh nghiệp")</f>
        <v>thuế thu nhập doanh nghiệp</v>
      </c>
      <c r="BR5" s="21" t="str">
        <f>IFERROR(__xludf.DUMMYFUNCTION("""COMPUTED_VALUE"""),"https://techcombank.com/thong-tin/blog/cach-nop-thue-dien-tu")</f>
        <v>https://techcombank.com/thong-tin/blog/cach-nop-thue-dien-tu</v>
      </c>
      <c r="BS5" s="17" t="str">
        <f>IFERROR(__xludf.DUMMYFUNCTION("""COMPUTED_VALUE"""),"thuế thu nhập doanh nghiệp 2026")</f>
        <v>thuế thu nhập doanh nghiệp 2026</v>
      </c>
      <c r="BT5" s="21" t="str">
        <f>IFERROR(__xludf.DUMMYFUNCTION("""COMPUTED_VALUE"""),"https://techcombank.com/thong-tin/blog/chuyen-doi-ho-kinh-doanh-len-doanh-nghiep")</f>
        <v>https://techcombank.com/thong-tin/blog/chuyen-doi-ho-kinh-doanh-len-doanh-nghiep</v>
      </c>
      <c r="BU5" s="17" t="str">
        <f>IFERROR(__xludf.DUMMYFUNCTION("""COMPUTED_VALUE"""),"thuế thu nhập doanh nghiệp")</f>
        <v>thuế thu nhập doanh nghiệp</v>
      </c>
      <c r="BV5" s="21" t="str">
        <f>IFERROR(__xludf.DUMMYFUNCTION("""COMPUTED_VALUE"""),"https://techcombank.com/thong-tin/blog/nen-thanh-lap-ho-kinh-doanh-ke-khai-hay-doanh-nghiep")</f>
        <v>https://techcombank.com/thong-tin/blog/nen-thanh-lap-ho-kinh-doanh-ke-khai-hay-doanh-nghiep</v>
      </c>
      <c r="BW5" s="17" t="str">
        <f>IFERROR(__xludf.DUMMYFUNCTION("""COMPUTED_VALUE"""),"thuế thu nhập doanh nghiệp 2026")</f>
        <v>thuế thu nhập doanh nghiệp 2026</v>
      </c>
      <c r="BX5" s="21" t="str">
        <f>IFERROR(__xludf.DUMMYFUNCTION("""COMPUTED_VALUE"""),"https://techcombank.com/thong-tin/blog/thue-phi-co-dinh-khi-chuyen-doi-tu-ho-kinh-doanh-len-doanh-nghiep")</f>
        <v>https://techcombank.com/thong-tin/blog/thue-phi-co-dinh-khi-chuyen-doi-tu-ho-kinh-doanh-len-doanh-nghiep</v>
      </c>
      <c r="BY5" s="17" t="str">
        <f>IFERROR(__xludf.DUMMYFUNCTION("""COMPUTED_VALUE"""),"thuế thu nhập doanh nghiệp")</f>
        <v>thuế thu nhập doanh nghiệp</v>
      </c>
      <c r="BZ5" s="21" t="str">
        <f>IFERROR(__xludf.DUMMYFUNCTION("""COMPUTED_VALUE"""),"https://techcombank.com/thong-tin/blog/ho-kinh-doanh-ca-the")</f>
        <v>https://techcombank.com/thong-tin/blog/ho-kinh-doanh-ca-the</v>
      </c>
      <c r="CA5" s="17" t="str">
        <f>IFERROR(__xludf.DUMMYFUNCTION("""COMPUTED_VALUE"""),"thuế thu nhập doanh nghiệp 2026")</f>
        <v>thuế thu nhập doanh nghiệp 2026</v>
      </c>
      <c r="CB5" s="21" t="str">
        <f>IFERROR(__xludf.DUMMYFUNCTION("""COMPUTED_VALUE"""),"https://techcombank.com/thong-tin/blog/tra-cuu-no-thue-hai-quan")</f>
        <v>https://techcombank.com/thong-tin/blog/tra-cuu-no-thue-hai-quan</v>
      </c>
      <c r="CC5" s="17" t="str">
        <f>IFERROR(__xludf.DUMMYFUNCTION("""COMPUTED_VALUE"""),"thuế thu nhập doanh nghiệp")</f>
        <v>thuế thu nhập doanh nghiệp</v>
      </c>
      <c r="CD5" s="21" t="str">
        <f>IFERROR(__xludf.DUMMYFUNCTION("""COMPUTED_VALUE"""),"https://techcombank.com/thong-tin/blog/cac-sai-lam-pho-bien-khi-chuyen-doi-ho-kinh-doanh-len-sme")</f>
        <v>https://techcombank.com/thong-tin/blog/cac-sai-lam-pho-bien-khi-chuyen-doi-ho-kinh-doanh-len-sme</v>
      </c>
      <c r="CE5" s="17" t="str">
        <f>IFERROR(__xludf.DUMMYFUNCTION("""COMPUTED_VALUE"""),"thuế thu nhập doanh nghiệp 2026")</f>
        <v>thuế thu nhập doanh nghiệp 2026</v>
      </c>
      <c r="CF5" s="21" t="str">
        <f>IFERROR(__xludf.DUMMYFUNCTION("""COMPUTED_VALUE"""),"https://techcombank.com/thong-tin/blog/cong-ty-su-dung-tai-khoan-ca-nhan")</f>
        <v>https://techcombank.com/thong-tin/blog/cong-ty-su-dung-tai-khoan-ca-nhan</v>
      </c>
      <c r="CG5" s="17" t="str">
        <f>IFERROR(__xludf.DUMMYFUNCTION("""COMPUTED_VALUE"""),"thuế thu nhập doanh nghiệp")</f>
        <v>thuế thu nhập doanh nghiệp</v>
      </c>
      <c r="CH5" s="21" t="str">
        <f>IFERROR(__xludf.DUMMYFUNCTION("""COMPUTED_VALUE"""),"https://techcombank.com/thong-tin/blog/kinh-nghiem-chuyen-doi-tu-ho-kinh-doanh-len-doanh-nghiep")</f>
        <v>https://techcombank.com/thong-tin/blog/kinh-nghiem-chuyen-doi-tu-ho-kinh-doanh-len-doanh-nghiep</v>
      </c>
      <c r="CI5" s="17" t="str">
        <f>IFERROR(__xludf.DUMMYFUNCTION("""COMPUTED_VALUE"""),"thuế thu nhập doanh nghiệp 2026")</f>
        <v>thuế thu nhập doanh nghiệp 2026</v>
      </c>
      <c r="CJ5" s="21" t="str">
        <f>IFERROR(__xludf.DUMMYFUNCTION("""COMPUTED_VALUE"""),"https://techcombank.com/thong-tin/blog/top-phan-mem-ban-hang")</f>
        <v>https://techcombank.com/thong-tin/blog/top-phan-mem-ban-hang</v>
      </c>
      <c r="CK5" s="17" t="str">
        <f>IFERROR(__xludf.DUMMYFUNCTION("""COMPUTED_VALUE"""),"thuế thu nhập doanh nghiệp")</f>
        <v>thuế thu nhập doanh nghiệp</v>
      </c>
      <c r="CL5" s="21" t="str">
        <f>IFERROR(__xludf.DUMMYFUNCTION("""COMPUTED_VALUE"""),"https://techcombank.com/thong-tin/blog/dong-tai-khoan-ngan-hang-cong-ty")</f>
        <v>https://techcombank.com/thong-tin/blog/dong-tai-khoan-ngan-hang-cong-ty</v>
      </c>
      <c r="CM5" s="17" t="str">
        <f>IFERROR(__xludf.DUMMYFUNCTION("""COMPUTED_VALUE"""),"thuế thu nhập doanh nghiệp 2026")</f>
        <v>thuế thu nhập doanh nghiệp 2026</v>
      </c>
      <c r="CN5" s="21" t="str">
        <f>IFERROR(__xludf.DUMMYFUNCTION("""COMPUTED_VALUE"""),"https://techcombank.com/thong-tin/blog/dieu-kien-thanh-lap-doanh-nghiep")</f>
        <v>https://techcombank.com/thong-tin/blog/dieu-kien-thanh-lap-doanh-nghiep</v>
      </c>
      <c r="CO5" s="17" t="str">
        <f>IFERROR(__xludf.DUMMYFUNCTION("""COMPUTED_VALUE"""),"thuế thu nhập doanh nghiệp")</f>
        <v>thuế thu nhập doanh nghiệp</v>
      </c>
      <c r="CP5" s="21" t="str">
        <f>IFERROR(__xludf.DUMMYFUNCTION("""COMPUTED_VALUE"""),"https://techcombank.com/thong-tin/blog/luu-y-khi-chuyen-tien-vao-tai-khoan-cong-ty")</f>
        <v>https://techcombank.com/thong-tin/blog/luu-y-khi-chuyen-tien-vao-tai-khoan-cong-ty</v>
      </c>
      <c r="CQ5" s="17" t="str">
        <f>IFERROR(__xludf.DUMMYFUNCTION("""COMPUTED_VALUE"""),"thuế thu nhập doanh nghiệp 2026")</f>
        <v>thuế thu nhập doanh nghiệp 2026</v>
      </c>
      <c r="CR5" s="21" t="str">
        <f>IFERROR(__xludf.DUMMYFUNCTION("""COMPUTED_VALUE"""),"https://techcombank.com/thong-tin/blog/luat-thuong-mai-dien-tu")</f>
        <v>https://techcombank.com/thong-tin/blog/luat-thuong-mai-dien-tu</v>
      </c>
      <c r="CS5" s="17" t="str">
        <f>IFERROR(__xludf.DUMMYFUNCTION("""COMPUTED_VALUE"""),"thuế thu nhập doanh nghiệp")</f>
        <v>thuế thu nhập doanh nghiệp</v>
      </c>
      <c r="CT5" s="21" t="str">
        <f>IFERROR(__xludf.DUMMYFUNCTION("""COMPUTED_VALUE"""),"https://techcombank.com/thong-tin/blog/hieu-hiet-ve-tuan-thu-thue-cho-cac-doanh-nghiep-khoi-nghiep")</f>
        <v>https://techcombank.com/thong-tin/blog/hieu-hiet-ve-tuan-thu-thue-cho-cac-doanh-nghiep-khoi-nghiep</v>
      </c>
      <c r="CU5" s="17" t="str">
        <f>IFERROR(__xludf.DUMMYFUNCTION("""COMPUTED_VALUE"""),"thuế thu nhập doanh nghiệp 2026")</f>
        <v>thuế thu nhập doanh nghiệp 2026</v>
      </c>
      <c r="CV5" s="21" t="str">
        <f>IFERROR(__xludf.DUMMYFUNCTION("""COMPUTED_VALUE"""),"https://techcombank.com/thong-tin/blog/ho-so-dang-ky-thanh-lap-doanh-nghiep")</f>
        <v>https://techcombank.com/thong-tin/blog/ho-so-dang-ky-thanh-lap-doanh-nghiep</v>
      </c>
      <c r="CW5" s="17" t="str">
        <f>IFERROR(__xludf.DUMMYFUNCTION("""COMPUTED_VALUE"""),"thuế thu nhập doanh nghiệp")</f>
        <v>thuế thu nhập doanh nghiệp</v>
      </c>
      <c r="CX5" s="21" t="str">
        <f>IFERROR(__xludf.DUMMYFUNCTION("""COMPUTED_VALUE"""),"https://techcombank.com/thong-tin/blog/thu-tuc-thanh-lap-doanh-nghiep")</f>
        <v>https://techcombank.com/thong-tin/blog/thu-tuc-thanh-lap-doanh-nghiep</v>
      </c>
      <c r="CY5" s="17" t="str">
        <f>IFERROR(__xludf.DUMMYFUNCTION("""COMPUTED_VALUE"""),"thuế thu nhập doanh nghiệp 2026")</f>
        <v>thuế thu nhập doanh nghiệp 2026</v>
      </c>
      <c r="CZ5" s="21" t="str">
        <f>IFERROR(__xludf.DUMMYFUNCTION("""COMPUTED_VALUE"""),"https://techcombank.com/thong-tin/blog/chi-phi-mo-tai-khoan-ngan-hang-cho-cong-ty")</f>
        <v>https://techcombank.com/thong-tin/blog/chi-phi-mo-tai-khoan-ngan-hang-cho-cong-ty</v>
      </c>
      <c r="DA5" s="17" t="str">
        <f>IFERROR(__xludf.DUMMYFUNCTION("""COMPUTED_VALUE"""),"thuế thu nhập doanh nghiệp")</f>
        <v>thuế thu nhập doanh nghiệp</v>
      </c>
      <c r="DB5" s="21" t="str">
        <f>IFERROR(__xludf.DUMMYFUNCTION("""COMPUTED_VALUE"""),"https://techcombank.com/thong-tin/blog/nop-tien-mat-vao-tai-khoan-cong-ty")</f>
        <v>https://techcombank.com/thong-tin/blog/nop-tien-mat-vao-tai-khoan-cong-ty</v>
      </c>
      <c r="DC5" s="17" t="str">
        <f>IFERROR(__xludf.DUMMYFUNCTION("""COMPUTED_VALUE"""),"thuế thu nhập doanh nghiệp 2026")</f>
        <v>thuế thu nhập doanh nghiệp 2026</v>
      </c>
      <c r="DD5" s="21" t="str">
        <f>IFERROR(__xludf.DUMMYFUNCTION("""COMPUTED_VALUE"""),"https://techcombank.com/thong-tin/blog/thue-doanh-nghiep-2025")</f>
        <v>https://techcombank.com/thong-tin/blog/thue-doanh-nghiep-2025</v>
      </c>
      <c r="DE5" s="17" t="str">
        <f>IFERROR(__xludf.DUMMYFUNCTION("""COMPUTED_VALUE"""),"thuế thu nhập doanh nghiệp")</f>
        <v>thuế thu nhập doanh nghiệp</v>
      </c>
      <c r="DF5" s="21" t="str">
        <f>IFERROR(__xludf.DUMMYFUNCTION("""COMPUTED_VALUE"""),"https://techcombank.com/thong-tin/blog/mo-tai-khoan-doanh-nghiep")</f>
        <v>https://techcombank.com/thong-tin/blog/mo-tai-khoan-doanh-nghiep</v>
      </c>
      <c r="DG5" s="17" t="str">
        <f>IFERROR(__xludf.DUMMYFUNCTION("""COMPUTED_VALUE"""),"thuế thu nhập doanh nghiệp 2026")</f>
        <v>thuế thu nhập doanh nghiệp 2026</v>
      </c>
      <c r="DH5" s="21" t="str">
        <f>IFERROR(__xludf.DUMMYFUNCTION("""COMPUTED_VALUE"""),"https://techcombank.com/thong-tin/blog/loi-ich-khi-ho-kinh-doanh-chuyen-len-doanh-nghiep")</f>
        <v>https://techcombank.com/thong-tin/blog/loi-ich-khi-ho-kinh-doanh-chuyen-len-doanh-nghiep</v>
      </c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  <c r="IX5" s="17"/>
      <c r="IY5" s="17"/>
      <c r="IZ5" s="17"/>
      <c r="JA5" s="17"/>
      <c r="JB5" s="17"/>
      <c r="JC5" s="17"/>
      <c r="JD5" s="17"/>
      <c r="JE5" s="17"/>
      <c r="JF5" s="17"/>
      <c r="JG5" s="17"/>
      <c r="JH5" s="17"/>
      <c r="JI5" s="17"/>
      <c r="JJ5" s="17"/>
      <c r="JK5" s="17"/>
      <c r="JL5" s="17"/>
      <c r="JM5" s="17"/>
      <c r="JN5" s="17"/>
      <c r="JO5" s="17"/>
      <c r="JP5" s="17"/>
      <c r="JQ5" s="17"/>
      <c r="JR5" s="17"/>
      <c r="JS5" s="17"/>
      <c r="JT5" s="17"/>
      <c r="JU5" s="17"/>
      <c r="JV5" s="17"/>
      <c r="JW5" s="17"/>
      <c r="JX5" s="17"/>
      <c r="JY5" s="17"/>
      <c r="JZ5" s="17"/>
      <c r="KA5" s="17"/>
      <c r="KB5" s="17"/>
      <c r="KC5" s="17"/>
      <c r="KD5" s="17"/>
      <c r="KE5" s="17"/>
      <c r="KF5" s="17"/>
      <c r="KG5" s="17"/>
      <c r="KH5" s="17"/>
      <c r="KI5" s="17"/>
      <c r="KJ5" s="17"/>
      <c r="KK5" s="17"/>
      <c r="KL5" s="17"/>
      <c r="KM5" s="17"/>
      <c r="KN5" s="17"/>
      <c r="KO5" s="17"/>
      <c r="KP5" s="17"/>
      <c r="KQ5" s="17"/>
      <c r="KR5" s="17"/>
      <c r="KS5" s="17"/>
      <c r="KT5" s="17"/>
      <c r="KU5" s="17"/>
      <c r="KV5" s="17"/>
      <c r="KW5" s="17"/>
      <c r="KX5" s="17"/>
      <c r="KY5" s="17"/>
      <c r="KZ5" s="17"/>
      <c r="LA5" s="17"/>
      <c r="LB5" s="17"/>
      <c r="LC5" s="17"/>
      <c r="LD5" s="17"/>
      <c r="LE5" s="17"/>
      <c r="LF5" s="17"/>
      <c r="LG5" s="17"/>
      <c r="LH5" s="17"/>
      <c r="LI5" s="17"/>
      <c r="LJ5" s="17"/>
      <c r="LK5" s="17"/>
      <c r="LL5" s="17"/>
      <c r="LM5" s="17"/>
      <c r="LN5" s="17"/>
      <c r="LO5" s="17"/>
      <c r="LP5" s="17"/>
      <c r="LQ5" s="17"/>
      <c r="LR5" s="17"/>
      <c r="LS5" s="17"/>
      <c r="LT5" s="17"/>
      <c r="LU5" s="17"/>
      <c r="LV5" s="17"/>
      <c r="LW5" s="17"/>
      <c r="LX5" s="17"/>
      <c r="LY5" s="17"/>
      <c r="LZ5" s="17"/>
      <c r="MA5" s="17"/>
      <c r="MB5" s="17"/>
      <c r="MC5" s="17"/>
      <c r="MD5" s="17"/>
      <c r="ME5" s="17"/>
      <c r="MF5" s="17"/>
      <c r="MG5" s="17"/>
      <c r="MH5" s="17"/>
      <c r="MI5" s="17"/>
      <c r="MJ5" s="17"/>
      <c r="MK5" s="17"/>
      <c r="ML5" s="17"/>
      <c r="MM5" s="17"/>
      <c r="MN5" s="17"/>
      <c r="MO5" s="17"/>
      <c r="MP5" s="17"/>
      <c r="MQ5" s="17"/>
      <c r="MR5" s="17"/>
      <c r="MS5" s="17"/>
      <c r="MT5" s="17"/>
      <c r="MU5" s="17"/>
      <c r="MV5" s="17"/>
      <c r="MW5" s="17"/>
      <c r="MX5" s="17"/>
      <c r="MY5" s="17"/>
      <c r="MZ5" s="17"/>
      <c r="NA5" s="17"/>
      <c r="NB5" s="17"/>
      <c r="NC5" s="17"/>
      <c r="ND5" s="17"/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/>
      <c r="NX5" s="17"/>
      <c r="NY5" s="17"/>
      <c r="NZ5" s="17"/>
      <c r="OA5" s="17"/>
      <c r="OB5" s="17"/>
      <c r="OC5" s="17"/>
      <c r="OD5" s="17"/>
      <c r="OE5" s="17"/>
      <c r="OF5" s="17"/>
      <c r="OG5" s="17"/>
      <c r="OH5" s="17"/>
      <c r="OI5" s="17"/>
      <c r="OJ5" s="17"/>
      <c r="OK5" s="17"/>
      <c r="OL5" s="17"/>
      <c r="OM5" s="17"/>
      <c r="ON5" s="17"/>
      <c r="OO5" s="17"/>
      <c r="OP5" s="17"/>
      <c r="OQ5" s="17"/>
      <c r="OR5" s="17"/>
      <c r="OS5" s="17"/>
      <c r="OT5" s="17"/>
      <c r="OU5" s="17"/>
      <c r="OV5" s="17"/>
    </row>
    <row r="6" ht="18.0" customHeight="1">
      <c r="A6" s="16">
        <v>5.0</v>
      </c>
      <c r="B6" s="17" t="s">
        <v>533</v>
      </c>
      <c r="C6" s="18" t="s">
        <v>769</v>
      </c>
      <c r="D6" s="17" t="s">
        <v>227</v>
      </c>
      <c r="E6" s="16">
        <v>30.0</v>
      </c>
      <c r="F6" s="16">
        <f>COUNTIF('Tổng hợp 75 trang đích'!$B$2:$B$3400,$D6)</f>
        <v>30</v>
      </c>
      <c r="G6" s="16">
        <f>COUNTIFS('Tổng hợp 75 trang đích'!$B$2:$B$3400,$D6,'Tổng hợp 75 trang đích'!$K$2:$K$3400,"PHÙ HỢP CAO")</f>
        <v>2</v>
      </c>
      <c r="H6" s="16">
        <f>COUNTIFS('Tổng hợp 75 trang đích'!$B$2:$B$3400,$D6,'Tổng hợp 75 trang đích'!$K$2:$K$3400,"CÓ THỂ ĐI")</f>
        <v>3</v>
      </c>
      <c r="I6" s="16">
        <f>COUNTIFS('Tổng hợp 75 trang đích'!$B$2:$B$3400,$D6,'Tổng hợp 75 trang đích'!$K$2:$K$3400,"CẦN SOÁT")</f>
        <v>25</v>
      </c>
      <c r="J6" s="19" t="s">
        <v>555</v>
      </c>
      <c r="K6" s="19" t="b">
        <v>0</v>
      </c>
      <c r="L6" s="20" t="s">
        <v>333</v>
      </c>
      <c r="M6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đích'!$B$2:$B$3400=$D6),3,TRU"&amp;"E),1,2)),"""")"),"thuế VAT")</f>
        <v>thuế VAT</v>
      </c>
      <c r="N6" s="21" t="str">
        <f>IFERROR(__xludf.DUMMYFUNCTION("""COMPUTED_VALUE"""),"https://techcombank.com/thong-tin/blog/ke-khai-thue-doanh-nghiep")</f>
        <v>https://techcombank.com/thong-tin/blog/ke-khai-thue-doanh-nghiep</v>
      </c>
      <c r="O6" s="17" t="str">
        <f>IFERROR(__xludf.DUMMYFUNCTION("""COMPUTED_VALUE"""),"thuế giá trị gia tăng")</f>
        <v>thuế giá trị gia tăng</v>
      </c>
      <c r="P6" s="21" t="str">
        <f>IFERROR(__xludf.DUMMYFUNCTION("""COMPUTED_VALUE"""),"https://techcombank.com/thong-tin/blog/hoan-thue-doanh-nghiep")</f>
        <v>https://techcombank.com/thong-tin/blog/hoan-thue-doanh-nghiep</v>
      </c>
      <c r="Q6" s="17" t="str">
        <f>IFERROR(__xludf.DUMMYFUNCTION("""COMPUTED_VALUE"""),"thuế GTGT là gì")</f>
        <v>thuế GTGT là gì</v>
      </c>
      <c r="R6" s="21" t="str">
        <f>IFERROR(__xludf.DUMMYFUNCTION("""COMPUTED_VALUE"""),"https://techcombank.com/thong-tin/blog/chuyen-doi-hoa-don-dien-tu")</f>
        <v>https://techcombank.com/thong-tin/blog/chuyen-doi-hoa-don-dien-tu</v>
      </c>
      <c r="S6" s="17" t="str">
        <f>IFERROR(__xludf.DUMMYFUNCTION("""COMPUTED_VALUE"""),"thuế VAT")</f>
        <v>thuế VAT</v>
      </c>
      <c r="T6" s="21" t="str">
        <f>IFERROR(__xludf.DUMMYFUNCTION("""COMPUTED_VALUE"""),"https://techcombank.com/thong-tin/blog/thue-thuong-mai-dien-tu")</f>
        <v>https://techcombank.com/thong-tin/blog/thue-thuong-mai-dien-tu</v>
      </c>
      <c r="U6" s="17" t="str">
        <f>IFERROR(__xludf.DUMMYFUNCTION("""COMPUTED_VALUE"""),"thuế giá trị gia tăng")</f>
        <v>thuế giá trị gia tăng</v>
      </c>
      <c r="V6" s="21" t="str">
        <f>IFERROR(__xludf.DUMMYFUNCTION("""COMPUTED_VALUE"""),"https://techcombank.com/thong-tin/blog/cach-tra-cuu-hoa-don-dien-tu")</f>
        <v>https://techcombank.com/thong-tin/blog/cach-tra-cuu-hoa-don-dien-tu</v>
      </c>
      <c r="W6" s="17" t="str">
        <f>IFERROR(__xludf.DUMMYFUNCTION("""COMPUTED_VALUE"""),"thuế GTGT là gì")</f>
        <v>thuế GTGT là gì</v>
      </c>
      <c r="X6" s="21" t="str">
        <f>IFERROR(__xludf.DUMMYFUNCTION("""COMPUTED_VALUE"""),"https://techcombank.com/thong-tin/blog/cach-tinh-thue-ho-kinh-doanh-nho-le")</f>
        <v>https://techcombank.com/thong-tin/blog/cach-tinh-thue-ho-kinh-doanh-nho-le</v>
      </c>
      <c r="Y6" s="17" t="str">
        <f>IFERROR(__xludf.DUMMYFUNCTION("""COMPUTED_VALUE"""),"thuế VAT")</f>
        <v>thuế VAT</v>
      </c>
      <c r="Z6" s="21" t="str">
        <f>IFERROR(__xludf.DUMMYFUNCTION("""COMPUTED_VALUE"""),"https://techcombank.com/thong-tin/blog/nhung-ho-kinh-doanh-duoc-mien-thue")</f>
        <v>https://techcombank.com/thong-tin/blog/nhung-ho-kinh-doanh-duoc-mien-thue</v>
      </c>
      <c r="AA6" s="17" t="str">
        <f>IFERROR(__xludf.DUMMYFUNCTION("""COMPUTED_VALUE"""),"thuế giá trị gia tăng")</f>
        <v>thuế giá trị gia tăng</v>
      </c>
      <c r="AB6" s="21" t="str">
        <f>IFERROR(__xludf.DUMMYFUNCTION("""COMPUTED_VALUE"""),"https://techcombank.com/thong-tin/blog/hoa-don-dien-tu")</f>
        <v>https://techcombank.com/thong-tin/blog/hoa-don-dien-tu</v>
      </c>
      <c r="AC6" s="17" t="str">
        <f>IFERROR(__xludf.DUMMYFUNCTION("""COMPUTED_VALUE"""),"thuế GTGT là gì")</f>
        <v>thuế GTGT là gì</v>
      </c>
      <c r="AD6" s="21" t="str">
        <f>IFERROR(__xludf.DUMMYFUNCTION("""COMPUTED_VALUE"""),"https://techcombank.com/thong-tin/blog/voucher-phuc-long")</f>
        <v>https://techcombank.com/thong-tin/blog/voucher-phuc-long</v>
      </c>
      <c r="AE6" s="17" t="str">
        <f>IFERROR(__xludf.DUMMYFUNCTION("""COMPUTED_VALUE"""),"thuế VAT")</f>
        <v>thuế VAT</v>
      </c>
      <c r="AF6" s="21" t="str">
        <f>IFERROR(__xludf.DUMMYFUNCTION("""COMPUTED_VALUE"""),"https://techcombank.com/thong-tin/blog/hoa-don-dien-tu-ho-kinh-doanh")</f>
        <v>https://techcombank.com/thong-tin/blog/hoa-don-dien-tu-ho-kinh-doanh</v>
      </c>
      <c r="AG6" s="17" t="str">
        <f>IFERROR(__xludf.DUMMYFUNCTION("""COMPUTED_VALUE"""),"thuế giá trị gia tăng")</f>
        <v>thuế giá trị gia tăng</v>
      </c>
      <c r="AH6" s="21" t="str">
        <f>IFERROR(__xludf.DUMMYFUNCTION("""COMPUTED_VALUE"""),"https://techcombank.com/thong-tin/blog/ho-kinh-doanh-dong-thue-nhu-nao")</f>
        <v>https://techcombank.com/thong-tin/blog/ho-kinh-doanh-dong-thue-nhu-nao</v>
      </c>
      <c r="AI6" s="17" t="str">
        <f>IFERROR(__xludf.DUMMYFUNCTION("""COMPUTED_VALUE"""),"thuế GTGT là gì")</f>
        <v>thuế GTGT là gì</v>
      </c>
      <c r="AJ6" s="21" t="str">
        <f>IFERROR(__xludf.DUMMYFUNCTION("""COMPUTED_VALUE"""),"https://techcombank.com/thong-tin/blog/thue-doanh-nghiep")</f>
        <v>https://techcombank.com/thong-tin/blog/thue-doanh-nghiep</v>
      </c>
      <c r="AK6" s="17" t="str">
        <f>IFERROR(__xludf.DUMMYFUNCTION("""COMPUTED_VALUE"""),"thuế VAT")</f>
        <v>thuế VAT</v>
      </c>
      <c r="AL6" s="21" t="str">
        <f>IFERROR(__xludf.DUMMYFUNCTION("""COMPUTED_VALUE"""),"https://techcombank.com/thong-tin/blog/one-stop-shop")</f>
        <v>https://techcombank.com/thong-tin/blog/one-stop-shop</v>
      </c>
      <c r="AM6" s="17" t="str">
        <f>IFERROR(__xludf.DUMMYFUNCTION("""COMPUTED_VALUE"""),"thuế giá trị gia tăng")</f>
        <v>thuế giá trị gia tăng</v>
      </c>
      <c r="AN6" s="21" t="str">
        <f>IFERROR(__xludf.DUMMYFUNCTION("""COMPUTED_VALUE"""),"https://techcombank.com/thong-tin/blog/tim-hieu-ve-chinh-sach-thue-moi")</f>
        <v>https://techcombank.com/thong-tin/blog/tim-hieu-ve-chinh-sach-thue-moi</v>
      </c>
      <c r="AO6" s="17" t="str">
        <f>IFERROR(__xludf.DUMMYFUNCTION("""COMPUTED_VALUE"""),"thuế GTGT là gì")</f>
        <v>thuế GTGT là gì</v>
      </c>
      <c r="AP6" s="21" t="str">
        <f>IFERROR(__xludf.DUMMYFUNCTION("""COMPUTED_VALUE"""),"https://techcombank.com/thong-tin/blog/may-tinh-tien")</f>
        <v>https://techcombank.com/thong-tin/blog/may-tinh-tien</v>
      </c>
      <c r="AQ6" s="17" t="str">
        <f>IFERROR(__xludf.DUMMYFUNCTION("""COMPUTED_VALUE"""),"thuế VAT")</f>
        <v>thuế VAT</v>
      </c>
      <c r="AR6" s="21" t="str">
        <f>IFERROR(__xludf.DUMMYFUNCTION("""COMPUTED_VALUE"""),"https://techcombank.com/thong-tin/blog/phan-mem-xuat-hoa-don-dien-tu")</f>
        <v>https://techcombank.com/thong-tin/blog/phan-mem-xuat-hoa-don-dien-tu</v>
      </c>
      <c r="AS6" s="17" t="str">
        <f>IFERROR(__xludf.DUMMYFUNCTION("""COMPUTED_VALUE"""),"thuế giá trị gia tăng")</f>
        <v>thuế giá trị gia tăng</v>
      </c>
      <c r="AT6" s="21" t="str">
        <f>IFERROR(__xludf.DUMMYFUNCTION("""COMPUTED_VALUE"""),"https://techcombank.com/thong-tin/blog/the-tin-dung-co-chuyen-khoan-duoc-khong")</f>
        <v>https://techcombank.com/thong-tin/blog/the-tin-dung-co-chuyen-khoan-duoc-khong</v>
      </c>
      <c r="AU6" s="17" t="str">
        <f>IFERROR(__xludf.DUMMYFUNCTION("""COMPUTED_VALUE"""),"thuế GTGT là gì")</f>
        <v>thuế GTGT là gì</v>
      </c>
      <c r="AV6" s="21" t="str">
        <f>IFERROR(__xludf.DUMMYFUNCTION("""COMPUTED_VALUE"""),"https://techcombank.com/thong-tin/blog/app-dong-tien-dien-online")</f>
        <v>https://techcombank.com/thong-tin/blog/app-dong-tien-dien-online</v>
      </c>
      <c r="AW6" s="17" t="str">
        <f>IFERROR(__xludf.DUMMYFUNCTION("""COMPUTED_VALUE"""),"thuế VAT")</f>
        <v>thuế VAT</v>
      </c>
      <c r="AX6" s="21" t="str">
        <f>IFERROR(__xludf.DUMMYFUNCTION("""COMPUTED_VALUE"""),"https://techcombank.com/thong-tin/blog/tra-cuu-hoa-don-nuoc")</f>
        <v>https://techcombank.com/thong-tin/blog/tra-cuu-hoa-don-nuoc</v>
      </c>
      <c r="AY6" s="17" t="str">
        <f>IFERROR(__xludf.DUMMYFUNCTION("""COMPUTED_VALUE"""),"thuế giá trị gia tăng")</f>
        <v>thuế giá trị gia tăng</v>
      </c>
      <c r="AZ6" s="21" t="str">
        <f>IFERROR(__xludf.DUMMYFUNCTION("""COMPUTED_VALUE"""),"https://techcombank.com/thong-tin/blog/tra-cuu-hoa-don-tien-dien")</f>
        <v>https://techcombank.com/thong-tin/blog/tra-cuu-hoa-don-tien-dien</v>
      </c>
      <c r="BA6" s="17" t="str">
        <f>IFERROR(__xludf.DUMMYFUNCTION("""COMPUTED_VALUE"""),"thuế GTGT là gì")</f>
        <v>thuế GTGT là gì</v>
      </c>
      <c r="BB6" s="21" t="str">
        <f>IFERROR(__xludf.DUMMYFUNCTION("""COMPUTED_VALUE"""),"https://techcombank.com/thong-tin/blog/thanh-toan-hoa-don-tieu-dung")</f>
        <v>https://techcombank.com/thong-tin/blog/thanh-toan-hoa-don-tieu-dung</v>
      </c>
      <c r="BC6" s="17" t="str">
        <f>IFERROR(__xludf.DUMMYFUNCTION("""COMPUTED_VALUE"""),"thuế VAT")</f>
        <v>thuế VAT</v>
      </c>
      <c r="BD6" s="21" t="str">
        <f>IFERROR(__xludf.DUMMYFUNCTION("""COMPUTED_VALUE"""),"https://techcombank.com/thong-tin/blog/cach-huy-thanh-toan-tien-dien")</f>
        <v>https://techcombank.com/thong-tin/blog/cach-huy-thanh-toan-tien-dien</v>
      </c>
      <c r="BE6" s="17" t="str">
        <f>IFERROR(__xludf.DUMMYFUNCTION("""COMPUTED_VALUE"""),"thuế giá trị gia tăng")</f>
        <v>thuế giá trị gia tăng</v>
      </c>
      <c r="BF6" s="21" t="str">
        <f>IFERROR(__xludf.DUMMYFUNCTION("""COMPUTED_VALUE"""),"https://techcombank.com/thong-tin/blog/app-chia-tien")</f>
        <v>https://techcombank.com/thong-tin/blog/app-chia-tien</v>
      </c>
      <c r="BG6" s="17" t="str">
        <f>IFERROR(__xludf.DUMMYFUNCTION("""COMPUTED_VALUE"""),"thuế GTGT là gì")</f>
        <v>thuế GTGT là gì</v>
      </c>
      <c r="BH6" s="21" t="str">
        <f>IFERROR(__xludf.DUMMYFUNCTION("""COMPUTED_VALUE"""),"https://techcombank.com/thong-tin/blog/cach-nop-thue-dien-tu")</f>
        <v>https://techcombank.com/thong-tin/blog/cach-nop-thue-dien-tu</v>
      </c>
      <c r="BI6" s="17" t="str">
        <f>IFERROR(__xludf.DUMMYFUNCTION("""COMPUTED_VALUE"""),"thuế VAT")</f>
        <v>thuế VAT</v>
      </c>
      <c r="BJ6" s="21" t="str">
        <f>IFERROR(__xludf.DUMMYFUNCTION("""COMPUTED_VALUE"""),"https://techcombank.com/thong-tin/blog/ke-khai-thue-ho-kinh-doanh-ca-the-online")</f>
        <v>https://techcombank.com/thong-tin/blog/ke-khai-thue-ho-kinh-doanh-ca-the-online</v>
      </c>
      <c r="BK6" s="17" t="str">
        <f>IFERROR(__xludf.DUMMYFUNCTION("""COMPUTED_VALUE"""),"thuế giá trị gia tăng")</f>
        <v>thuế giá trị gia tăng</v>
      </c>
      <c r="BL6" s="21" t="str">
        <f>IFERROR(__xludf.DUMMYFUNCTION("""COMPUTED_VALUE"""),"https://techcombank.com/thong-tin/blog/tra-cuu-no-thue-doanh-nghiep")</f>
        <v>https://techcombank.com/thong-tin/blog/tra-cuu-no-thue-doanh-nghiep</v>
      </c>
      <c r="BM6" s="17" t="str">
        <f>IFERROR(__xludf.DUMMYFUNCTION("""COMPUTED_VALUE"""),"thuế GTGT là gì")</f>
        <v>thuế GTGT là gì</v>
      </c>
      <c r="BN6" s="21" t="str">
        <f>IFERROR(__xludf.DUMMYFUNCTION("""COMPUTED_VALUE"""),"https://techcombank.com/thong-tin/blog/quyet-toan-thue-thu-nhap-ca-nhan")</f>
        <v>https://techcombank.com/thong-tin/blog/quyet-toan-thue-thu-nhap-ca-nhan</v>
      </c>
      <c r="BO6" s="17" t="str">
        <f>IFERROR(__xludf.DUMMYFUNCTION("""COMPUTED_VALUE"""),"thuế VAT")</f>
        <v>thuế VAT</v>
      </c>
      <c r="BP6" s="21" t="str">
        <f>IFERROR(__xludf.DUMMYFUNCTION("""COMPUTED_VALUE"""),"https://techcombank.com/thong-tin/blog/chuyen-doi-ho-kinh-doanh-len-doanh-nghiep")</f>
        <v>https://techcombank.com/thong-tin/blog/chuyen-doi-ho-kinh-doanh-len-doanh-nghiep</v>
      </c>
      <c r="BQ6" s="17" t="str">
        <f>IFERROR(__xludf.DUMMYFUNCTION("""COMPUTED_VALUE"""),"thuế giá trị gia tăng")</f>
        <v>thuế giá trị gia tăng</v>
      </c>
      <c r="BR6" s="21" t="str">
        <f>IFERROR(__xludf.DUMMYFUNCTION("""COMPUTED_VALUE"""),"https://techcombank.com/thong-tin/blog/giai-dap-ve-thue-doanh-nghiep")</f>
        <v>https://techcombank.com/thong-tin/blog/giai-dap-ve-thue-doanh-nghiep</v>
      </c>
      <c r="BS6" s="17" t="str">
        <f>IFERROR(__xludf.DUMMYFUNCTION("""COMPUTED_VALUE"""),"thuế GTGT là gì")</f>
        <v>thuế GTGT là gì</v>
      </c>
      <c r="BT6" s="21" t="str">
        <f>IFERROR(__xludf.DUMMYFUNCTION("""COMPUTED_VALUE"""),"https://techcombank.com/thong-tin/blog/nen-thanh-lap-ho-kinh-doanh-ke-khai-hay-doanh-nghiep")</f>
        <v>https://techcombank.com/thong-tin/blog/nen-thanh-lap-ho-kinh-doanh-ke-khai-hay-doanh-nghiep</v>
      </c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  <c r="II6" s="17"/>
      <c r="IJ6" s="17"/>
      <c r="IK6" s="17"/>
      <c r="IL6" s="17"/>
      <c r="IM6" s="17"/>
      <c r="IN6" s="17"/>
      <c r="IO6" s="17"/>
      <c r="IP6" s="17"/>
      <c r="IQ6" s="17"/>
      <c r="IR6" s="17"/>
      <c r="IS6" s="17"/>
      <c r="IT6" s="17"/>
      <c r="IU6" s="17"/>
      <c r="IV6" s="17"/>
      <c r="IW6" s="17"/>
      <c r="IX6" s="17"/>
      <c r="IY6" s="17"/>
      <c r="IZ6" s="17"/>
      <c r="JA6" s="17"/>
      <c r="JB6" s="17"/>
      <c r="JC6" s="17"/>
      <c r="JD6" s="17"/>
      <c r="JE6" s="17"/>
      <c r="JF6" s="17"/>
      <c r="JG6" s="17"/>
      <c r="JH6" s="17"/>
      <c r="JI6" s="17"/>
      <c r="JJ6" s="17"/>
      <c r="JK6" s="17"/>
      <c r="JL6" s="17"/>
      <c r="JM6" s="17"/>
      <c r="JN6" s="17"/>
      <c r="JO6" s="17"/>
      <c r="JP6" s="17"/>
      <c r="JQ6" s="17"/>
      <c r="JR6" s="17"/>
      <c r="JS6" s="17"/>
      <c r="JT6" s="17"/>
      <c r="JU6" s="17"/>
      <c r="JV6" s="17"/>
      <c r="JW6" s="17"/>
      <c r="JX6" s="17"/>
      <c r="JY6" s="17"/>
      <c r="JZ6" s="17"/>
      <c r="KA6" s="17"/>
      <c r="KB6" s="17"/>
      <c r="KC6" s="17"/>
      <c r="KD6" s="17"/>
      <c r="KE6" s="17"/>
      <c r="KF6" s="17"/>
      <c r="KG6" s="17"/>
      <c r="KH6" s="17"/>
      <c r="KI6" s="17"/>
      <c r="KJ6" s="17"/>
      <c r="KK6" s="17"/>
      <c r="KL6" s="17"/>
      <c r="KM6" s="17"/>
      <c r="KN6" s="17"/>
      <c r="KO6" s="17"/>
      <c r="KP6" s="17"/>
      <c r="KQ6" s="17"/>
      <c r="KR6" s="17"/>
      <c r="KS6" s="17"/>
      <c r="KT6" s="17"/>
      <c r="KU6" s="17"/>
      <c r="KV6" s="17"/>
      <c r="KW6" s="17"/>
      <c r="KX6" s="17"/>
      <c r="KY6" s="17"/>
      <c r="KZ6" s="17"/>
      <c r="LA6" s="17"/>
      <c r="LB6" s="17"/>
      <c r="LC6" s="17"/>
      <c r="LD6" s="17"/>
      <c r="LE6" s="17"/>
      <c r="LF6" s="17"/>
      <c r="LG6" s="17"/>
      <c r="LH6" s="17"/>
      <c r="LI6" s="17"/>
      <c r="LJ6" s="17"/>
      <c r="LK6" s="17"/>
      <c r="LL6" s="17"/>
      <c r="LM6" s="17"/>
      <c r="LN6" s="17"/>
      <c r="LO6" s="17"/>
      <c r="LP6" s="17"/>
      <c r="LQ6" s="17"/>
      <c r="LR6" s="17"/>
      <c r="LS6" s="17"/>
      <c r="LT6" s="17"/>
      <c r="LU6" s="17"/>
      <c r="LV6" s="17"/>
      <c r="LW6" s="17"/>
      <c r="LX6" s="17"/>
      <c r="LY6" s="17"/>
      <c r="LZ6" s="17"/>
      <c r="MA6" s="17"/>
      <c r="MB6" s="17"/>
      <c r="MC6" s="17"/>
      <c r="MD6" s="17"/>
      <c r="ME6" s="17"/>
      <c r="MF6" s="17"/>
      <c r="MG6" s="17"/>
      <c r="MH6" s="17"/>
      <c r="MI6" s="17"/>
      <c r="MJ6" s="17"/>
      <c r="MK6" s="17"/>
      <c r="ML6" s="17"/>
      <c r="MM6" s="17"/>
      <c r="MN6" s="17"/>
      <c r="MO6" s="17"/>
      <c r="MP6" s="17"/>
      <c r="MQ6" s="17"/>
      <c r="MR6" s="17"/>
      <c r="MS6" s="17"/>
      <c r="MT6" s="17"/>
      <c r="MU6" s="17"/>
      <c r="MV6" s="17"/>
      <c r="MW6" s="17"/>
      <c r="MX6" s="17"/>
      <c r="MY6" s="17"/>
      <c r="MZ6" s="17"/>
      <c r="NA6" s="17"/>
      <c r="NB6" s="17"/>
      <c r="NC6" s="17"/>
      <c r="ND6" s="17"/>
      <c r="NE6" s="17"/>
      <c r="NF6" s="17"/>
      <c r="NG6" s="17"/>
      <c r="NH6" s="17"/>
      <c r="NI6" s="17"/>
      <c r="NJ6" s="17"/>
      <c r="NK6" s="17"/>
      <c r="NL6" s="17"/>
      <c r="NM6" s="17"/>
      <c r="NN6" s="17"/>
      <c r="NO6" s="17"/>
      <c r="NP6" s="17"/>
      <c r="NQ6" s="17"/>
      <c r="NR6" s="17"/>
      <c r="NS6" s="17"/>
      <c r="NT6" s="17"/>
      <c r="NU6" s="17"/>
      <c r="NV6" s="17"/>
      <c r="NW6" s="17"/>
      <c r="NX6" s="17"/>
      <c r="NY6" s="17"/>
      <c r="NZ6" s="17"/>
      <c r="OA6" s="17"/>
      <c r="OB6" s="17"/>
      <c r="OC6" s="17"/>
      <c r="OD6" s="17"/>
      <c r="OE6" s="17"/>
      <c r="OF6" s="17"/>
      <c r="OG6" s="17"/>
      <c r="OH6" s="17"/>
      <c r="OI6" s="17"/>
      <c r="OJ6" s="17"/>
      <c r="OK6" s="17"/>
      <c r="OL6" s="17"/>
      <c r="OM6" s="17"/>
      <c r="ON6" s="17"/>
      <c r="OO6" s="17"/>
      <c r="OP6" s="17"/>
      <c r="OQ6" s="17"/>
      <c r="OR6" s="17"/>
      <c r="OS6" s="17"/>
      <c r="OT6" s="17"/>
      <c r="OU6" s="17"/>
      <c r="OV6" s="17"/>
    </row>
    <row r="7" ht="18.0" customHeight="1">
      <c r="A7" s="16">
        <v>6.0</v>
      </c>
      <c r="B7" s="17" t="s">
        <v>533</v>
      </c>
      <c r="C7" s="18" t="s">
        <v>809</v>
      </c>
      <c r="D7" s="17" t="s">
        <v>250</v>
      </c>
      <c r="E7" s="16">
        <v>30.0</v>
      </c>
      <c r="F7" s="16">
        <f>COUNTIF('Tổng hợp 75 trang đích'!$B$2:$B$3400,$D7)</f>
        <v>30</v>
      </c>
      <c r="G7" s="16">
        <f>COUNTIFS('Tổng hợp 75 trang đích'!$B$2:$B$3400,$D7,'Tổng hợp 75 trang đích'!$K$2:$K$3400,"PHÙ HỢP CAO")</f>
        <v>2</v>
      </c>
      <c r="H7" s="16">
        <f>COUNTIFS('Tổng hợp 75 trang đích'!$B$2:$B$3400,$D7,'Tổng hợp 75 trang đích'!$K$2:$K$3400,"CÓ THỂ ĐI")</f>
        <v>3</v>
      </c>
      <c r="I7" s="16">
        <f>COUNTIFS('Tổng hợp 75 trang đích'!$B$2:$B$3400,$D7,'Tổng hợp 75 trang đích'!$K$2:$K$3400,"CẦN SOÁT")</f>
        <v>25</v>
      </c>
      <c r="J7" s="19" t="s">
        <v>555</v>
      </c>
      <c r="K7" s="19" t="b">
        <v>0</v>
      </c>
      <c r="L7" s="20" t="s">
        <v>333</v>
      </c>
      <c r="M7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đích'!$B$2:$B$3400=$D7),3,TRU"&amp;"E),1,2)),"""")"),"tra cứu nợ thuế doanh nghiệp")</f>
        <v>tra cứu nợ thuế doanh nghiệp</v>
      </c>
      <c r="N7" s="21" t="str">
        <f>IFERROR(__xludf.DUMMYFUNCTION("""COMPUTED_VALUE"""),"https://techcombank.com/thong-tin/blog/kiem-tra-ma-so-thue-doanh-nghiep")</f>
        <v>https://techcombank.com/thong-tin/blog/kiem-tra-ma-so-thue-doanh-nghiep</v>
      </c>
      <c r="O7" s="17" t="str">
        <f>IFERROR(__xludf.DUMMYFUNCTION("""COMPUTED_VALUE"""),"kiểm tra nợ thuế doanh nghiệp")</f>
        <v>kiểm tra nợ thuế doanh nghiệp</v>
      </c>
      <c r="P7" s="21" t="str">
        <f>IFERROR(__xludf.DUMMYFUNCTION("""COMPUTED_VALUE"""),"https://techcombank.com/thong-tin/blog/tra-cuu-no-thue-hai-quan")</f>
        <v>https://techcombank.com/thong-tin/blog/tra-cuu-no-thue-hai-quan</v>
      </c>
      <c r="Q7" s="17" t="str">
        <f>IFERROR(__xludf.DUMMYFUNCTION("""COMPUTED_VALUE"""),"tra cứu nợ thuế theo mã số thuế")</f>
        <v>tra cứu nợ thuế theo mã số thuế</v>
      </c>
      <c r="R7" s="21" t="str">
        <f>IFERROR(__xludf.DUMMYFUNCTION("""COMPUTED_VALUE"""),"https://techcombank.com/thong-tin/blog/quyet-toan-thue-doanh-nghiep")</f>
        <v>https://techcombank.com/thong-tin/blog/quyet-toan-thue-doanh-nghiep</v>
      </c>
      <c r="S7" s="17" t="str">
        <f>IFERROR(__xludf.DUMMYFUNCTION("""COMPUTED_VALUE"""),"tra cứu nợ thuế doanh nghiệp")</f>
        <v>tra cứu nợ thuế doanh nghiệp</v>
      </c>
      <c r="T7" s="21" t="str">
        <f>IFERROR(__xludf.DUMMYFUNCTION("""COMPUTED_VALUE"""),"https://techcombank.com/thong-tin/blog/ke-khai-thue-doanh-nghiep")</f>
        <v>https://techcombank.com/thong-tin/blog/ke-khai-thue-doanh-nghiep</v>
      </c>
      <c r="U7" s="17" t="str">
        <f>IFERROR(__xludf.DUMMYFUNCTION("""COMPUTED_VALUE"""),"kiểm tra nợ thuế doanh nghiệp")</f>
        <v>kiểm tra nợ thuế doanh nghiệp</v>
      </c>
      <c r="V7" s="21" t="str">
        <f>IFERROR(__xludf.DUMMYFUNCTION("""COMPUTED_VALUE"""),"https://techcombank.com/thong-tin/blog/tra-cuu-no-thue-ho-kinh-doanh")</f>
        <v>https://techcombank.com/thong-tin/blog/tra-cuu-no-thue-ho-kinh-doanh</v>
      </c>
      <c r="W7" s="17" t="str">
        <f>IFERROR(__xludf.DUMMYFUNCTION("""COMPUTED_VALUE"""),"tra cứu nợ thuế theo mã số thuế")</f>
        <v>tra cứu nợ thuế theo mã số thuế</v>
      </c>
      <c r="X7" s="21" t="str">
        <f>IFERROR(__xludf.DUMMYFUNCTION("""COMPUTED_VALUE"""),"https://techcombank.com/thong-tin/blog/hoan-thue-doanh-nghiep")</f>
        <v>https://techcombank.com/thong-tin/blog/hoan-thue-doanh-nghiep</v>
      </c>
      <c r="Y7" s="17" t="str">
        <f>IFERROR(__xludf.DUMMYFUNCTION("""COMPUTED_VALUE"""),"tra cứu nợ thuế doanh nghiệp")</f>
        <v>tra cứu nợ thuế doanh nghiệp</v>
      </c>
      <c r="Z7" s="21" t="str">
        <f>IFERROR(__xludf.DUMMYFUNCTION("""COMPUTED_VALUE"""),"https://techcombank.com/thong-tin/blog/cach-tinh-thue-thu-nhap-doanh-nghiep")</f>
        <v>https://techcombank.com/thong-tin/blog/cach-tinh-thue-thu-nhap-doanh-nghiep</v>
      </c>
      <c r="AA7" s="17" t="str">
        <f>IFERROR(__xludf.DUMMYFUNCTION("""COMPUTED_VALUE"""),"kiểm tra nợ thuế doanh nghiệp")</f>
        <v>kiểm tra nợ thuế doanh nghiệp</v>
      </c>
      <c r="AB7" s="21" t="str">
        <f>IFERROR(__xludf.DUMMYFUNCTION("""COMPUTED_VALUE"""),"https://techcombank.com/thong-tin/blog/giai-dap-ve-thue-doanh-nghiep")</f>
        <v>https://techcombank.com/thong-tin/blog/giai-dap-ve-thue-doanh-nghiep</v>
      </c>
      <c r="AC7" s="17" t="str">
        <f>IFERROR(__xludf.DUMMYFUNCTION("""COMPUTED_VALUE"""),"tra cứu nợ thuế theo mã số thuế")</f>
        <v>tra cứu nợ thuế theo mã số thuế</v>
      </c>
      <c r="AD7" s="21" t="str">
        <f>IFERROR(__xludf.DUMMYFUNCTION("""COMPUTED_VALUE"""),"https://techcombank.com/thong-tin/blog/tra-cuu-no-thue-ca-nhan")</f>
        <v>https://techcombank.com/thong-tin/blog/tra-cuu-no-thue-ca-nhan</v>
      </c>
      <c r="AE7" s="17" t="str">
        <f>IFERROR(__xludf.DUMMYFUNCTION("""COMPUTED_VALUE"""),"tra cứu nợ thuế doanh nghiệp")</f>
        <v>tra cứu nợ thuế doanh nghiệp</v>
      </c>
      <c r="AF7" s="21" t="str">
        <f>IFERROR(__xludf.DUMMYFUNCTION("""COMPUTED_VALUE"""),"https://techcombank.com/thong-tin/blog/thue-doanh-nghiep")</f>
        <v>https://techcombank.com/thong-tin/blog/thue-doanh-nghiep</v>
      </c>
      <c r="AG7" s="17" t="str">
        <f>IFERROR(__xludf.DUMMYFUNCTION("""COMPUTED_VALUE"""),"kiểm tra nợ thuế doanh nghiệp")</f>
        <v>kiểm tra nợ thuế doanh nghiệp</v>
      </c>
      <c r="AH7" s="21" t="str">
        <f>IFERROR(__xludf.DUMMYFUNCTION("""COMPUTED_VALUE"""),"https://techcombank.com/thong-tin/blog/tra-cuu-ma-so-thue-ho-kinh-doanh")</f>
        <v>https://techcombank.com/thong-tin/blog/tra-cuu-ma-so-thue-ho-kinh-doanh</v>
      </c>
      <c r="AI7" s="17" t="str">
        <f>IFERROR(__xludf.DUMMYFUNCTION("""COMPUTED_VALUE"""),"tra cứu nợ thuế theo mã số thuế")</f>
        <v>tra cứu nợ thuế theo mã số thuế</v>
      </c>
      <c r="AJ7" s="21" t="str">
        <f>IFERROR(__xludf.DUMMYFUNCTION("""COMPUTED_VALUE"""),"https://techcombank.com/thong-tin/blog/dang-ky-ma-so-thue-ca-nhan")</f>
        <v>https://techcombank.com/thong-tin/blog/dang-ky-ma-so-thue-ca-nhan</v>
      </c>
      <c r="AK7" s="17" t="str">
        <f>IFERROR(__xludf.DUMMYFUNCTION("""COMPUTED_VALUE"""),"tra cứu nợ thuế doanh nghiệp")</f>
        <v>tra cứu nợ thuế doanh nghiệp</v>
      </c>
      <c r="AL7" s="21" t="str">
        <f>IFERROR(__xludf.DUMMYFUNCTION("""COMPUTED_VALUE"""),"https://techcombank.com/thong-tin/blog/quyet-toan-thue-thu-nhap-ca-nhan")</f>
        <v>https://techcombank.com/thong-tin/blog/quyet-toan-thue-thu-nhap-ca-nhan</v>
      </c>
      <c r="AM7" s="17" t="str">
        <f>IFERROR(__xludf.DUMMYFUNCTION("""COMPUTED_VALUE"""),"kiểm tra nợ thuế doanh nghiệp")</f>
        <v>kiểm tra nợ thuế doanh nghiệp</v>
      </c>
      <c r="AN7" s="21" t="str">
        <f>IFERROR(__xludf.DUMMYFUNCTION("""COMPUTED_VALUE"""),"https://techcombank.com/thong-tin/blog/kiem-tra-thue-ho-kinh-doanh")</f>
        <v>https://techcombank.com/thong-tin/blog/kiem-tra-thue-ho-kinh-doanh</v>
      </c>
      <c r="AO7" s="17" t="str">
        <f>IFERROR(__xludf.DUMMYFUNCTION("""COMPUTED_VALUE"""),"tra cứu nợ thuế theo mã số thuế")</f>
        <v>tra cứu nợ thuế theo mã số thuế</v>
      </c>
      <c r="AP7" s="21" t="str">
        <f>IFERROR(__xludf.DUMMYFUNCTION("""COMPUTED_VALUE"""),"https://techcombank.com/thong-tin/blog/tim-hieu-ve-chinh-sach-thue-moi")</f>
        <v>https://techcombank.com/thong-tin/blog/tim-hieu-ve-chinh-sach-thue-moi</v>
      </c>
      <c r="AQ7" s="17" t="str">
        <f>IFERROR(__xludf.DUMMYFUNCTION("""COMPUTED_VALUE"""),"tra cứu nợ thuế doanh nghiệp")</f>
        <v>tra cứu nợ thuế doanh nghiệp</v>
      </c>
      <c r="AR7" s="21" t="str">
        <f>IFERROR(__xludf.DUMMYFUNCTION("""COMPUTED_VALUE"""),"https://techcombank.com/thong-tin/blog/hoan-thue-thu-nhap-ca-nhan")</f>
        <v>https://techcombank.com/thong-tin/blog/hoan-thue-thu-nhap-ca-nhan</v>
      </c>
      <c r="AS7" s="17" t="str">
        <f>IFERROR(__xludf.DUMMYFUNCTION("""COMPUTED_VALUE"""),"kiểm tra nợ thuế doanh nghiệp")</f>
        <v>kiểm tra nợ thuế doanh nghiệp</v>
      </c>
      <c r="AT7" s="21" t="str">
        <f>IFERROR(__xludf.DUMMYFUNCTION("""COMPUTED_VALUE"""),"https://techcombank.com/thong-tin/blog/dong-ma-so-thue-ho-kinh-doanh")</f>
        <v>https://techcombank.com/thong-tin/blog/dong-ma-so-thue-ho-kinh-doanh</v>
      </c>
      <c r="AU7" s="17" t="str">
        <f>IFERROR(__xludf.DUMMYFUNCTION("""COMPUTED_VALUE"""),"tra cứu nợ thuế theo mã số thuế")</f>
        <v>tra cứu nợ thuế theo mã số thuế</v>
      </c>
      <c r="AV7" s="21" t="str">
        <f>IFERROR(__xludf.DUMMYFUNCTION("""COMPUTED_VALUE"""),"https://techcombank.com/thong-tin/blog/nop-thue-hai-quan")</f>
        <v>https://techcombank.com/thong-tin/blog/nop-thue-hai-quan</v>
      </c>
      <c r="AW7" s="17" t="str">
        <f>IFERROR(__xludf.DUMMYFUNCTION("""COMPUTED_VALUE"""),"tra cứu nợ thuế doanh nghiệp")</f>
        <v>tra cứu nợ thuế doanh nghiệp</v>
      </c>
      <c r="AX7" s="21" t="str">
        <f>IFERROR(__xludf.DUMMYFUNCTION("""COMPUTED_VALUE"""),"https://techcombank.com/thong-tin/blog/cach-tra-cuu-hoa-don-dien-tu")</f>
        <v>https://techcombank.com/thong-tin/blog/cach-tra-cuu-hoa-don-dien-tu</v>
      </c>
      <c r="AY7" s="17" t="str">
        <f>IFERROR(__xludf.DUMMYFUNCTION("""COMPUTED_VALUE"""),"kiểm tra nợ thuế doanh nghiệp")</f>
        <v>kiểm tra nợ thuế doanh nghiệp</v>
      </c>
      <c r="AZ7" s="21" t="str">
        <f>IFERROR(__xludf.DUMMYFUNCTION("""COMPUTED_VALUE"""),"https://techcombank.com/thong-tin/blog/kiem-tra-thue-thu-nhap-ca-nhan")</f>
        <v>https://techcombank.com/thong-tin/blog/kiem-tra-thue-thu-nhap-ca-nhan</v>
      </c>
      <c r="BA7" s="17" t="str">
        <f>IFERROR(__xludf.DUMMYFUNCTION("""COMPUTED_VALUE"""),"tra cứu nợ thuế theo mã số thuế")</f>
        <v>tra cứu nợ thuế theo mã số thuế</v>
      </c>
      <c r="BB7" s="21" t="str">
        <f>IFERROR(__xludf.DUMMYFUNCTION("""COMPUTED_VALUE"""),"https://techcombank.com/thong-tin/blog/cach-nop-thue-dien-tu")</f>
        <v>https://techcombank.com/thong-tin/blog/cach-nop-thue-dien-tu</v>
      </c>
      <c r="BC7" s="17" t="str">
        <f>IFERROR(__xludf.DUMMYFUNCTION("""COMPUTED_VALUE"""),"tra cứu nợ thuế doanh nghiệp")</f>
        <v>tra cứu nợ thuế doanh nghiệp</v>
      </c>
      <c r="BD7" s="21" t="str">
        <f>IFERROR(__xludf.DUMMYFUNCTION("""COMPUTED_VALUE"""),"https://techcombank.com/thong-tin/blog/cach-kiem-tra-tai-khoan-ngan-hang-cua-cong-ty")</f>
        <v>https://techcombank.com/thong-tin/blog/cach-kiem-tra-tai-khoan-ngan-hang-cua-cong-ty</v>
      </c>
      <c r="BE7" s="17" t="str">
        <f>IFERROR(__xludf.DUMMYFUNCTION("""COMPUTED_VALUE"""),"kiểm tra nợ thuế doanh nghiệp")</f>
        <v>kiểm tra nợ thuế doanh nghiệp</v>
      </c>
      <c r="BF7" s="21" t="str">
        <f>IFERROR(__xludf.DUMMYFUNCTION("""COMPUTED_VALUE"""),"https://techcombank.com/thong-tin/blog/cach-dang-ky-ma-so-thue-ho-kinh-doanh-online")</f>
        <v>https://techcombank.com/thong-tin/blog/cach-dang-ky-ma-so-thue-ho-kinh-doanh-online</v>
      </c>
      <c r="BG7" s="17" t="str">
        <f>IFERROR(__xludf.DUMMYFUNCTION("""COMPUTED_VALUE"""),"tra cứu nợ thuế theo mã số thuế")</f>
        <v>tra cứu nợ thuế theo mã số thuế</v>
      </c>
      <c r="BH7" s="21" t="str">
        <f>IFERROR(__xludf.DUMMYFUNCTION("""COMPUTED_VALUE"""),"https://techcombank.com/thong-tin/blog/tra-cuu-hoa-don-tien-dien")</f>
        <v>https://techcombank.com/thong-tin/blog/tra-cuu-hoa-don-tien-dien</v>
      </c>
      <c r="BI7" s="17" t="str">
        <f>IFERROR(__xludf.DUMMYFUNCTION("""COMPUTED_VALUE"""),"tra cứu nợ thuế doanh nghiệp")</f>
        <v>tra cứu nợ thuế doanh nghiệp</v>
      </c>
      <c r="BJ7" s="21" t="str">
        <f>IFERROR(__xludf.DUMMYFUNCTION("""COMPUTED_VALUE"""),"https://techcombank.com/thong-tin/blog/thue-thuong-mai-dien-tu")</f>
        <v>https://techcombank.com/thong-tin/blog/thue-thuong-mai-dien-tu</v>
      </c>
      <c r="BK7" s="17" t="str">
        <f>IFERROR(__xludf.DUMMYFUNCTION("""COMPUTED_VALUE"""),"kiểm tra nợ thuế doanh nghiệp")</f>
        <v>kiểm tra nợ thuế doanh nghiệp</v>
      </c>
      <c r="BL7" s="21" t="str">
        <f>IFERROR(__xludf.DUMMYFUNCTION("""COMPUTED_VALUE"""),"https://techcombank.com/thong-tin/blog/ke-khai-thue-ho-kinh-doanh-ca-the-online")</f>
        <v>https://techcombank.com/thong-tin/blog/ke-khai-thue-ho-kinh-doanh-ca-the-online</v>
      </c>
      <c r="BM7" s="17" t="str">
        <f>IFERROR(__xludf.DUMMYFUNCTION("""COMPUTED_VALUE"""),"tra cứu nợ thuế theo mã số thuế")</f>
        <v>tra cứu nợ thuế theo mã số thuế</v>
      </c>
      <c r="BN7" s="21" t="str">
        <f>IFERROR(__xludf.DUMMYFUNCTION("""COMPUTED_VALUE"""),"https://techcombank.com/thong-tin/blog/chuyen-doi-ho-kinh-doanh-len-doanh-nghiep")</f>
        <v>https://techcombank.com/thong-tin/blog/chuyen-doi-ho-kinh-doanh-len-doanh-nghiep</v>
      </c>
      <c r="BO7" s="17" t="str">
        <f>IFERROR(__xludf.DUMMYFUNCTION("""COMPUTED_VALUE"""),"tra cứu nợ thuế doanh nghiệp")</f>
        <v>tra cứu nợ thuế doanh nghiệp</v>
      </c>
      <c r="BP7" s="21" t="str">
        <f>IFERROR(__xludf.DUMMYFUNCTION("""COMPUTED_VALUE"""),"https://techcombank.com/thong-tin/blog/nen-thanh-lap-ho-kinh-doanh-ke-khai-hay-doanh-nghiep")</f>
        <v>https://techcombank.com/thong-tin/blog/nen-thanh-lap-ho-kinh-doanh-ke-khai-hay-doanh-nghiep</v>
      </c>
      <c r="BQ7" s="17" t="str">
        <f>IFERROR(__xludf.DUMMYFUNCTION("""COMPUTED_VALUE"""),"kiểm tra nợ thuế doanh nghiệp")</f>
        <v>kiểm tra nợ thuế doanh nghiệp</v>
      </c>
      <c r="BR7" s="21" t="str">
        <f>IFERROR(__xludf.DUMMYFUNCTION("""COMPUTED_VALUE"""),"https://techcombank.com/thong-tin/blog/gio-lam-viec-techcombank")</f>
        <v>https://techcombank.com/thong-tin/blog/gio-lam-viec-techcombank</v>
      </c>
      <c r="BS7" s="17" t="str">
        <f>IFERROR(__xludf.DUMMYFUNCTION("""COMPUTED_VALUE"""),"tra cứu nợ thuế theo mã số thuế")</f>
        <v>tra cứu nợ thuế theo mã số thuế</v>
      </c>
      <c r="BT7" s="21" t="str">
        <f>IFERROR(__xludf.DUMMYFUNCTION("""COMPUTED_VALUE"""),"https://techcombank.com/thong-tin/blog/bang-gia-chung-chi-quy")</f>
        <v>https://techcombank.com/thong-tin/blog/bang-gia-chung-chi-quy</v>
      </c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  <c r="IX7" s="17"/>
      <c r="IY7" s="17"/>
      <c r="IZ7" s="17"/>
      <c r="JA7" s="17"/>
      <c r="JB7" s="17"/>
      <c r="JC7" s="17"/>
      <c r="JD7" s="17"/>
      <c r="JE7" s="17"/>
      <c r="JF7" s="17"/>
      <c r="JG7" s="17"/>
      <c r="JH7" s="17"/>
      <c r="JI7" s="17"/>
      <c r="JJ7" s="17"/>
      <c r="JK7" s="17"/>
      <c r="JL7" s="17"/>
      <c r="JM7" s="17"/>
      <c r="JN7" s="17"/>
      <c r="JO7" s="17"/>
      <c r="JP7" s="17"/>
      <c r="JQ7" s="17"/>
      <c r="JR7" s="17"/>
      <c r="JS7" s="17"/>
      <c r="JT7" s="17"/>
      <c r="JU7" s="17"/>
      <c r="JV7" s="17"/>
      <c r="JW7" s="17"/>
      <c r="JX7" s="17"/>
      <c r="JY7" s="17"/>
      <c r="JZ7" s="17"/>
      <c r="KA7" s="17"/>
      <c r="KB7" s="17"/>
      <c r="KC7" s="17"/>
      <c r="KD7" s="17"/>
      <c r="KE7" s="17"/>
      <c r="KF7" s="17"/>
      <c r="KG7" s="17"/>
      <c r="KH7" s="17"/>
      <c r="KI7" s="17"/>
      <c r="KJ7" s="17"/>
      <c r="KK7" s="17"/>
      <c r="KL7" s="17"/>
      <c r="KM7" s="17"/>
      <c r="KN7" s="17"/>
      <c r="KO7" s="17"/>
      <c r="KP7" s="17"/>
      <c r="KQ7" s="17"/>
      <c r="KR7" s="17"/>
      <c r="KS7" s="17"/>
      <c r="KT7" s="17"/>
      <c r="KU7" s="17"/>
      <c r="KV7" s="17"/>
      <c r="KW7" s="17"/>
      <c r="KX7" s="17"/>
      <c r="KY7" s="17"/>
      <c r="KZ7" s="17"/>
      <c r="LA7" s="17"/>
      <c r="LB7" s="17"/>
      <c r="LC7" s="17"/>
      <c r="LD7" s="17"/>
      <c r="LE7" s="17"/>
      <c r="LF7" s="17"/>
      <c r="LG7" s="17"/>
      <c r="LH7" s="17"/>
      <c r="LI7" s="17"/>
      <c r="LJ7" s="17"/>
      <c r="LK7" s="17"/>
      <c r="LL7" s="17"/>
      <c r="LM7" s="17"/>
      <c r="LN7" s="17"/>
      <c r="LO7" s="17"/>
      <c r="LP7" s="17"/>
      <c r="LQ7" s="17"/>
      <c r="LR7" s="17"/>
      <c r="LS7" s="17"/>
      <c r="LT7" s="17"/>
      <c r="LU7" s="17"/>
      <c r="LV7" s="17"/>
      <c r="LW7" s="17"/>
      <c r="LX7" s="17"/>
      <c r="LY7" s="17"/>
      <c r="LZ7" s="17"/>
      <c r="MA7" s="17"/>
      <c r="MB7" s="17"/>
      <c r="MC7" s="17"/>
      <c r="MD7" s="17"/>
      <c r="ME7" s="17"/>
      <c r="MF7" s="17"/>
      <c r="MG7" s="17"/>
      <c r="MH7" s="17"/>
      <c r="MI7" s="17"/>
      <c r="MJ7" s="17"/>
      <c r="MK7" s="17"/>
      <c r="ML7" s="17"/>
      <c r="MM7" s="17"/>
      <c r="MN7" s="17"/>
      <c r="MO7" s="17"/>
      <c r="MP7" s="17"/>
      <c r="MQ7" s="17"/>
      <c r="MR7" s="17"/>
      <c r="MS7" s="17"/>
      <c r="MT7" s="17"/>
      <c r="MU7" s="17"/>
      <c r="MV7" s="17"/>
      <c r="MW7" s="17"/>
      <c r="MX7" s="17"/>
      <c r="MY7" s="17"/>
      <c r="MZ7" s="17"/>
      <c r="NA7" s="17"/>
      <c r="NB7" s="17"/>
      <c r="NC7" s="17"/>
      <c r="ND7" s="17"/>
      <c r="NE7" s="17"/>
      <c r="NF7" s="17"/>
      <c r="NG7" s="17"/>
      <c r="NH7" s="17"/>
      <c r="NI7" s="17"/>
      <c r="NJ7" s="17"/>
      <c r="NK7" s="17"/>
      <c r="NL7" s="17"/>
      <c r="NM7" s="17"/>
      <c r="NN7" s="17"/>
      <c r="NO7" s="17"/>
      <c r="NP7" s="17"/>
      <c r="NQ7" s="17"/>
      <c r="NR7" s="17"/>
      <c r="NS7" s="17"/>
      <c r="NT7" s="17"/>
      <c r="NU7" s="17"/>
      <c r="NV7" s="17"/>
      <c r="NW7" s="17"/>
      <c r="NX7" s="17"/>
      <c r="NY7" s="17"/>
      <c r="NZ7" s="17"/>
      <c r="OA7" s="17"/>
      <c r="OB7" s="17"/>
      <c r="OC7" s="17"/>
      <c r="OD7" s="17"/>
      <c r="OE7" s="17"/>
      <c r="OF7" s="17"/>
      <c r="OG7" s="17"/>
      <c r="OH7" s="17"/>
      <c r="OI7" s="17"/>
      <c r="OJ7" s="17"/>
      <c r="OK7" s="17"/>
      <c r="OL7" s="17"/>
      <c r="OM7" s="17"/>
      <c r="ON7" s="17"/>
      <c r="OO7" s="17"/>
      <c r="OP7" s="17"/>
      <c r="OQ7" s="17"/>
      <c r="OR7" s="17"/>
      <c r="OS7" s="17"/>
      <c r="OT7" s="17"/>
      <c r="OU7" s="17"/>
      <c r="OV7" s="17"/>
    </row>
    <row r="8" ht="18.0" customHeight="1">
      <c r="A8" s="16">
        <v>7.0</v>
      </c>
      <c r="B8" s="17" t="s">
        <v>533</v>
      </c>
      <c r="C8" s="18" t="s">
        <v>849</v>
      </c>
      <c r="D8" s="17" t="s">
        <v>266</v>
      </c>
      <c r="E8" s="16">
        <v>30.0</v>
      </c>
      <c r="F8" s="16">
        <f>COUNTIF('Tổng hợp 75 trang đích'!$B$2:$B$3400,$D8)</f>
        <v>30</v>
      </c>
      <c r="G8" s="16">
        <f>COUNTIFS('Tổng hợp 75 trang đích'!$B$2:$B$3400,$D8,'Tổng hợp 75 trang đích'!$K$2:$K$3400,"PHÙ HỢP CAO")</f>
        <v>3</v>
      </c>
      <c r="H8" s="16">
        <f>COUNTIFS('Tổng hợp 75 trang đích'!$B$2:$B$3400,$D8,'Tổng hợp 75 trang đích'!$K$2:$K$3400,"CÓ THỂ ĐI")</f>
        <v>2</v>
      </c>
      <c r="I8" s="16">
        <f>COUNTIFS('Tổng hợp 75 trang đích'!$B$2:$B$3400,$D8,'Tổng hợp 75 trang đích'!$K$2:$K$3400,"CẦN SOÁT")</f>
        <v>25</v>
      </c>
      <c r="J8" s="19" t="s">
        <v>555</v>
      </c>
      <c r="K8" s="19" t="b">
        <v>0</v>
      </c>
      <c r="L8" s="20" t="s">
        <v>333</v>
      </c>
      <c r="M8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đích'!$B$2:$B$3400=$D8),3,TRU"&amp;"E),1,2)),"""")"),"các loại thuế doanh nghiệp phải nộp")</f>
        <v>các loại thuế doanh nghiệp phải nộp</v>
      </c>
      <c r="N8" s="21" t="str">
        <f>IFERROR(__xludf.DUMMYFUNCTION("""COMPUTED_VALUE"""),"https://techcombank.com/thong-tin/blog/giai-dap-ve-thue-doanh-nghiep")</f>
        <v>https://techcombank.com/thong-tin/blog/giai-dap-ve-thue-doanh-nghiep</v>
      </c>
      <c r="O8" s="17" t="str">
        <f>IFERROR(__xludf.DUMMYFUNCTION("""COMPUTED_VALUE"""),"thuế doanh nghiệp")</f>
        <v>thuế doanh nghiệp</v>
      </c>
      <c r="P8" s="21" t="str">
        <f>IFERROR(__xludf.DUMMYFUNCTION("""COMPUTED_VALUE"""),"https://techcombank.com/thong-tin/blog/hieu-hiet-ve-tuan-thu-thue-cho-cac-doanh-nghiep-khoi-nghiep")</f>
        <v>https://techcombank.com/thong-tin/blog/hieu-hiet-ve-tuan-thu-thue-cho-cac-doanh-nghiep-khoi-nghiep</v>
      </c>
      <c r="Q8" s="17" t="str">
        <f>IFERROR(__xludf.DUMMYFUNCTION("""COMPUTED_VALUE"""),"doanh nghiệp phải nộp những loại thuế nào")</f>
        <v>doanh nghiệp phải nộp những loại thuế nào</v>
      </c>
      <c r="R8" s="21" t="str">
        <f>IFERROR(__xludf.DUMMYFUNCTION("""COMPUTED_VALUE"""),"https://techcombank.com/thong-tin/blog/thue-phi-co-dinh-khi-chuyen-doi-tu-ho-kinh-doanh-len-doanh-nghiep")</f>
        <v>https://techcombank.com/thong-tin/blog/thue-phi-co-dinh-khi-chuyen-doi-tu-ho-kinh-doanh-len-doanh-nghiep</v>
      </c>
      <c r="S8" s="17" t="str">
        <f>IFERROR(__xludf.DUMMYFUNCTION("""COMPUTED_VALUE"""),"các loại thuế doanh nghiệp phải nộp")</f>
        <v>các loại thuế doanh nghiệp phải nộp</v>
      </c>
      <c r="T8" s="21" t="str">
        <f>IFERROR(__xludf.DUMMYFUNCTION("""COMPUTED_VALUE"""),"https://techcombank.com/thong-tin/blog/thue-doanh-nghiep-2025")</f>
        <v>https://techcombank.com/thong-tin/blog/thue-doanh-nghiep-2025</v>
      </c>
      <c r="U8" s="17" t="str">
        <f>IFERROR(__xludf.DUMMYFUNCTION("""COMPUTED_VALUE"""),"thuế doanh nghiệp")</f>
        <v>thuế doanh nghiệp</v>
      </c>
      <c r="V8" s="21" t="str">
        <f>IFERROR(__xludf.DUMMYFUNCTION("""COMPUTED_VALUE"""),"https://techcombank.com/thong-tin/blog/dieu-kien-thanh-lap-doanh-nghiep")</f>
        <v>https://techcombank.com/thong-tin/blog/dieu-kien-thanh-lap-doanh-nghiep</v>
      </c>
      <c r="W8" s="17" t="str">
        <f>IFERROR(__xludf.DUMMYFUNCTION("""COMPUTED_VALUE"""),"doanh nghiệp phải nộp những loại thuế nào")</f>
        <v>doanh nghiệp phải nộp những loại thuế nào</v>
      </c>
      <c r="X8" s="21" t="str">
        <f>IFERROR(__xludf.DUMMYFUNCTION("""COMPUTED_VALUE"""),"https://techcombank.com/thong-tin/blog/huong-dan-dang-ky-thanh-lap-doanh-nghiep")</f>
        <v>https://techcombank.com/thong-tin/blog/huong-dan-dang-ky-thanh-lap-doanh-nghiep</v>
      </c>
      <c r="Y8" s="17" t="str">
        <f>IFERROR(__xludf.DUMMYFUNCTION("""COMPUTED_VALUE"""),"các loại thuế doanh nghiệp phải nộp")</f>
        <v>các loại thuế doanh nghiệp phải nộp</v>
      </c>
      <c r="Z8" s="21" t="str">
        <f>IFERROR(__xludf.DUMMYFUNCTION("""COMPUTED_VALUE"""),"https://techcombank.com/thong-tin/blog/hoan-thue-doanh-nghiep")</f>
        <v>https://techcombank.com/thong-tin/blog/hoan-thue-doanh-nghiep</v>
      </c>
      <c r="AA8" s="17" t="str">
        <f>IFERROR(__xludf.DUMMYFUNCTION("""COMPUTED_VALUE"""),"thuế doanh nghiệp")</f>
        <v>thuế doanh nghiệp</v>
      </c>
      <c r="AB8" s="21" t="str">
        <f>IFERROR(__xludf.DUMMYFUNCTION("""COMPUTED_VALUE"""),"https://techcombank.com/thong-tin/blog/dang-ky-thanh-lap-doanh-nghiep")</f>
        <v>https://techcombank.com/thong-tin/blog/dang-ky-thanh-lap-doanh-nghiep</v>
      </c>
      <c r="AC8" s="17" t="str">
        <f>IFERROR(__xludf.DUMMYFUNCTION("""COMPUTED_VALUE"""),"doanh nghiệp phải nộp những loại thuế nào")</f>
        <v>doanh nghiệp phải nộp những loại thuế nào</v>
      </c>
      <c r="AD8" s="21" t="str">
        <f>IFERROR(__xludf.DUMMYFUNCTION("""COMPUTED_VALUE"""),"https://techcombank.com/thong-tin/blog/cach-tinh-thue-thu-nhap-doanh-nghiep")</f>
        <v>https://techcombank.com/thong-tin/blog/cach-tinh-thue-thu-nhap-doanh-nghiep</v>
      </c>
      <c r="AE8" s="17" t="str">
        <f>IFERROR(__xludf.DUMMYFUNCTION("""COMPUTED_VALUE"""),"các loại thuế doanh nghiệp phải nộp")</f>
        <v>các loại thuế doanh nghiệp phải nộp</v>
      </c>
      <c r="AF8" s="21" t="str">
        <f>IFERROR(__xludf.DUMMYFUNCTION("""COMPUTED_VALUE"""),"https://techcombank.com/thong-tin/blog/kiem-tra-ma-so-thue-doanh-nghiep")</f>
        <v>https://techcombank.com/thong-tin/blog/kiem-tra-ma-so-thue-doanh-nghiep</v>
      </c>
      <c r="AG8" s="17" t="str">
        <f>IFERROR(__xludf.DUMMYFUNCTION("""COMPUTED_VALUE"""),"thuế doanh nghiệp")</f>
        <v>thuế doanh nghiệp</v>
      </c>
      <c r="AH8" s="21" t="str">
        <f>IFERROR(__xludf.DUMMYFUNCTION("""COMPUTED_VALUE"""),"https://techcombank.com/thong-tin/blog/chinh-sach-thue-moi")</f>
        <v>https://techcombank.com/thong-tin/blog/chinh-sach-thue-moi</v>
      </c>
      <c r="AI8" s="17" t="str">
        <f>IFERROR(__xludf.DUMMYFUNCTION("""COMPUTED_VALUE"""),"doanh nghiệp phải nộp những loại thuế nào")</f>
        <v>doanh nghiệp phải nộp những loại thuế nào</v>
      </c>
      <c r="AJ8" s="21" t="str">
        <f>IFERROR(__xludf.DUMMYFUNCTION("""COMPUTED_VALUE"""),"https://techcombank.com/thong-tin/blog/ho-so-dang-ky-thanh-lap-doanh-nghiep")</f>
        <v>https://techcombank.com/thong-tin/blog/ho-so-dang-ky-thanh-lap-doanh-nghiep</v>
      </c>
      <c r="AK8" s="17" t="str">
        <f>IFERROR(__xludf.DUMMYFUNCTION("""COMPUTED_VALUE"""),"các loại thuế doanh nghiệp phải nộp")</f>
        <v>các loại thuế doanh nghiệp phải nộp</v>
      </c>
      <c r="AL8" s="21" t="str">
        <f>IFERROR(__xludf.DUMMYFUNCTION("""COMPUTED_VALUE"""),"https://techcombank.com/thong-tin/blog/chuan-bi-cho-doanh-nghiep-khoi-nghiep-truoc-nhung-thay-doi-ve-thue")</f>
        <v>https://techcombank.com/thong-tin/blog/chuan-bi-cho-doanh-nghiep-khoi-nghiep-truoc-nhung-thay-doi-ve-thue</v>
      </c>
      <c r="AM8" s="17" t="str">
        <f>IFERROR(__xludf.DUMMYFUNCTION("""COMPUTED_VALUE"""),"thuế doanh nghiệp")</f>
        <v>thuế doanh nghiệp</v>
      </c>
      <c r="AN8" s="21" t="str">
        <f>IFERROR(__xludf.DUMMYFUNCTION("""COMPUTED_VALUE"""),"https://techcombank.com/thong-tin/blog/tim-hieu-ve-chinh-sach-thue-moi")</f>
        <v>https://techcombank.com/thong-tin/blog/tim-hieu-ve-chinh-sach-thue-moi</v>
      </c>
      <c r="AO8" s="17" t="str">
        <f>IFERROR(__xludf.DUMMYFUNCTION("""COMPUTED_VALUE"""),"doanh nghiệp phải nộp những loại thuế nào")</f>
        <v>doanh nghiệp phải nộp những loại thuế nào</v>
      </c>
      <c r="AP8" s="21" t="str">
        <f>IFERROR(__xludf.DUMMYFUNCTION("""COMPUTED_VALUE"""),"https://techcombank.com/thong-tin/blog/quyet-toan-thue-doanh-nghiep")</f>
        <v>https://techcombank.com/thong-tin/blog/quyet-toan-thue-doanh-nghiep</v>
      </c>
      <c r="AQ8" s="17" t="str">
        <f>IFERROR(__xludf.DUMMYFUNCTION("""COMPUTED_VALUE"""),"các loại thuế doanh nghiệp phải nộp")</f>
        <v>các loại thuế doanh nghiệp phải nộp</v>
      </c>
      <c r="AR8" s="21" t="str">
        <f>IFERROR(__xludf.DUMMYFUNCTION("""COMPUTED_VALUE"""),"https://techcombank.com/thong-tin/blog/ke-khai-thue-doanh-nghiep")</f>
        <v>https://techcombank.com/thong-tin/blog/ke-khai-thue-doanh-nghiep</v>
      </c>
      <c r="AS8" s="17" t="str">
        <f>IFERROR(__xludf.DUMMYFUNCTION("""COMPUTED_VALUE"""),"thuế doanh nghiệp")</f>
        <v>thuế doanh nghiệp</v>
      </c>
      <c r="AT8" s="21" t="str">
        <f>IFERROR(__xludf.DUMMYFUNCTION("""COMPUTED_VALUE"""),"https://techcombank.com/thong-tin/blog/dang-ky-thanh-lap-doanh-nghiep-online")</f>
        <v>https://techcombank.com/thong-tin/blog/dang-ky-thanh-lap-doanh-nghiep-online</v>
      </c>
      <c r="AU8" s="17" t="str">
        <f>IFERROR(__xludf.DUMMYFUNCTION("""COMPUTED_VALUE"""),"doanh nghiệp phải nộp những loại thuế nào")</f>
        <v>doanh nghiệp phải nộp những loại thuế nào</v>
      </c>
      <c r="AV8" s="21" t="str">
        <f>IFERROR(__xludf.DUMMYFUNCTION("""COMPUTED_VALUE"""),"https://techcombank.com/thong-tin/blog/tra-cuu-no-thue-doanh-nghiep")</f>
        <v>https://techcombank.com/thong-tin/blog/tra-cuu-no-thue-doanh-nghiep</v>
      </c>
      <c r="AW8" s="17" t="str">
        <f>IFERROR(__xludf.DUMMYFUNCTION("""COMPUTED_VALUE"""),"các loại thuế doanh nghiệp phải nộp")</f>
        <v>các loại thuế doanh nghiệp phải nộp</v>
      </c>
      <c r="AX8" s="21" t="str">
        <f>IFERROR(__xludf.DUMMYFUNCTION("""COMPUTED_VALUE"""),"https://techcombank.com/thong-tin/blog/thu-tuc-thanh-lap-doanh-nghiep")</f>
        <v>https://techcombank.com/thong-tin/blog/thu-tuc-thanh-lap-doanh-nghiep</v>
      </c>
      <c r="AY8" s="17" t="str">
        <f>IFERROR(__xludf.DUMMYFUNCTION("""COMPUTED_VALUE"""),"thuế doanh nghiệp")</f>
        <v>thuế doanh nghiệp</v>
      </c>
      <c r="AZ8" s="21" t="str">
        <f>IFERROR(__xludf.DUMMYFUNCTION("""COMPUTED_VALUE"""),"https://techcombank.com/thong-tin/blog/cach-nop-thue-dien-tu")</f>
        <v>https://techcombank.com/thong-tin/blog/cach-nop-thue-dien-tu</v>
      </c>
      <c r="BA8" s="17" t="str">
        <f>IFERROR(__xludf.DUMMYFUNCTION("""COMPUTED_VALUE"""),"doanh nghiệp phải nộp những loại thuế nào")</f>
        <v>doanh nghiệp phải nộp những loại thuế nào</v>
      </c>
      <c r="BB8" s="21" t="str">
        <f>IFERROR(__xludf.DUMMYFUNCTION("""COMPUTED_VALUE"""),"https://techcombank.com/thong-tin/blog/chuyen-doi-ho-kinh-doanh-len-doanh-nghiep")</f>
        <v>https://techcombank.com/thong-tin/blog/chuyen-doi-ho-kinh-doanh-len-doanh-nghiep</v>
      </c>
      <c r="BC8" s="17" t="str">
        <f>IFERROR(__xludf.DUMMYFUNCTION("""COMPUTED_VALUE"""),"các loại thuế doanh nghiệp phải nộp")</f>
        <v>các loại thuế doanh nghiệp phải nộp</v>
      </c>
      <c r="BD8" s="21" t="str">
        <f>IFERROR(__xludf.DUMMYFUNCTION("""COMPUTED_VALUE"""),"https://techcombank.com/thong-tin/blog/nen-thanh-lap-ho-kinh-doanh-ke-khai-hay-doanh-nghiep")</f>
        <v>https://techcombank.com/thong-tin/blog/nen-thanh-lap-ho-kinh-doanh-ke-khai-hay-doanh-nghiep</v>
      </c>
      <c r="BE8" s="17" t="str">
        <f>IFERROR(__xludf.DUMMYFUNCTION("""COMPUTED_VALUE"""),"thuế doanh nghiệp")</f>
        <v>thuế doanh nghiệp</v>
      </c>
      <c r="BF8" s="21" t="str">
        <f>IFERROR(__xludf.DUMMYFUNCTION("""COMPUTED_VALUE"""),"https://techcombank.com/thong-tin/blog/thue-thu-nhap-doanh-nghiep")</f>
        <v>https://techcombank.com/thong-tin/blog/thue-thu-nhap-doanh-nghiep</v>
      </c>
      <c r="BG8" s="17" t="str">
        <f>IFERROR(__xludf.DUMMYFUNCTION("""COMPUTED_VALUE"""),"doanh nghiệp phải nộp những loại thuế nào")</f>
        <v>doanh nghiệp phải nộp những loại thuế nào</v>
      </c>
      <c r="BH8" s="21" t="str">
        <f>IFERROR(__xludf.DUMMYFUNCTION("""COMPUTED_VALUE"""),"https://techcombank.com/thong-tin/blog/nhung-chi-phi-khong-duoc-tru-khi-tinh-thue-tndn")</f>
        <v>https://techcombank.com/thong-tin/blog/nhung-chi-phi-khong-duoc-tru-khi-tinh-thue-tndn</v>
      </c>
      <c r="BI8" s="17" t="str">
        <f>IFERROR(__xludf.DUMMYFUNCTION("""COMPUTED_VALUE"""),"các loại thuế doanh nghiệp phải nộp")</f>
        <v>các loại thuế doanh nghiệp phải nộp</v>
      </c>
      <c r="BJ8" s="21" t="str">
        <f>IFERROR(__xludf.DUMMYFUNCTION("""COMPUTED_VALUE"""),"https://techcombank.com/thong-tin/blog/ho-kinh-doanh-ca-the")</f>
        <v>https://techcombank.com/thong-tin/blog/ho-kinh-doanh-ca-the</v>
      </c>
      <c r="BK8" s="17" t="str">
        <f>IFERROR(__xludf.DUMMYFUNCTION("""COMPUTED_VALUE"""),"thuế doanh nghiệp")</f>
        <v>thuế doanh nghiệp</v>
      </c>
      <c r="BL8" s="21" t="str">
        <f>IFERROR(__xludf.DUMMYFUNCTION("""COMPUTED_VALUE"""),"https://techcombank.com/thong-tin/blog/tra-cuu-no-thue-hai-quan")</f>
        <v>https://techcombank.com/thong-tin/blog/tra-cuu-no-thue-hai-quan</v>
      </c>
      <c r="BM8" s="17" t="str">
        <f>IFERROR(__xludf.DUMMYFUNCTION("""COMPUTED_VALUE"""),"doanh nghiệp phải nộp những loại thuế nào")</f>
        <v>doanh nghiệp phải nộp những loại thuế nào</v>
      </c>
      <c r="BN8" s="21" t="str">
        <f>IFERROR(__xludf.DUMMYFUNCTION("""COMPUTED_VALUE"""),"https://techcombank.com/thong-tin/blog/cac-sai-lam-pho-bien-khi-chuyen-doi-ho-kinh-doanh-len-sme")</f>
        <v>https://techcombank.com/thong-tin/blog/cac-sai-lam-pho-bien-khi-chuyen-doi-ho-kinh-doanh-len-sme</v>
      </c>
      <c r="BO8" s="17" t="str">
        <f>IFERROR(__xludf.DUMMYFUNCTION("""COMPUTED_VALUE"""),"các loại thuế doanh nghiệp phải nộp")</f>
        <v>các loại thuế doanh nghiệp phải nộp</v>
      </c>
      <c r="BP8" s="21" t="str">
        <f>IFERROR(__xludf.DUMMYFUNCTION("""COMPUTED_VALUE"""),"https://techcombank.com/thong-tin/blog/cong-ty-su-dung-tai-khoan-ca-nhan")</f>
        <v>https://techcombank.com/thong-tin/blog/cong-ty-su-dung-tai-khoan-ca-nhan</v>
      </c>
      <c r="BQ8" s="17" t="str">
        <f>IFERROR(__xludf.DUMMYFUNCTION("""COMPUTED_VALUE"""),"thuế doanh nghiệp")</f>
        <v>thuế doanh nghiệp</v>
      </c>
      <c r="BR8" s="21" t="str">
        <f>IFERROR(__xludf.DUMMYFUNCTION("""COMPUTED_VALUE"""),"https://techcombank.com/thong-tin/blog/doanh-nghiep-moi-thanh-lap-duoc-uu-dai-gi")</f>
        <v>https://techcombank.com/thong-tin/blog/doanh-nghiep-moi-thanh-lap-duoc-uu-dai-gi</v>
      </c>
      <c r="BS8" s="17" t="str">
        <f>IFERROR(__xludf.DUMMYFUNCTION("""COMPUTED_VALUE"""),"doanh nghiệp phải nộp những loại thuế nào")</f>
        <v>doanh nghiệp phải nộp những loại thuế nào</v>
      </c>
      <c r="BT8" s="21" t="str">
        <f>IFERROR(__xludf.DUMMYFUNCTION("""COMPUTED_VALUE"""),"https://techcombank.com/thong-tin/blog/kinh-nghiem-chuyen-doi-tu-ho-kinh-doanh-len-doanh-nghiep")</f>
        <v>https://techcombank.com/thong-tin/blog/kinh-nghiem-chuyen-doi-tu-ho-kinh-doanh-len-doanh-nghiep</v>
      </c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17"/>
      <c r="IQ8" s="17"/>
      <c r="IR8" s="17"/>
      <c r="IS8" s="17"/>
      <c r="IT8" s="17"/>
      <c r="IU8" s="17"/>
      <c r="IV8" s="17"/>
      <c r="IW8" s="17"/>
      <c r="IX8" s="17"/>
      <c r="IY8" s="17"/>
      <c r="IZ8" s="17"/>
      <c r="JA8" s="17"/>
      <c r="JB8" s="17"/>
      <c r="JC8" s="17"/>
      <c r="JD8" s="17"/>
      <c r="JE8" s="17"/>
      <c r="JF8" s="17"/>
      <c r="JG8" s="17"/>
      <c r="JH8" s="17"/>
      <c r="JI8" s="17"/>
      <c r="JJ8" s="17"/>
      <c r="JK8" s="17"/>
      <c r="JL8" s="17"/>
      <c r="JM8" s="17"/>
      <c r="JN8" s="17"/>
      <c r="JO8" s="17"/>
      <c r="JP8" s="17"/>
      <c r="JQ8" s="17"/>
      <c r="JR8" s="17"/>
      <c r="JS8" s="17"/>
      <c r="JT8" s="17"/>
      <c r="JU8" s="17"/>
      <c r="JV8" s="17"/>
      <c r="JW8" s="17"/>
      <c r="JX8" s="17"/>
      <c r="JY8" s="17"/>
      <c r="JZ8" s="17"/>
      <c r="KA8" s="17"/>
      <c r="KB8" s="17"/>
      <c r="KC8" s="17"/>
      <c r="KD8" s="17"/>
      <c r="KE8" s="17"/>
      <c r="KF8" s="17"/>
      <c r="KG8" s="17"/>
      <c r="KH8" s="17"/>
      <c r="KI8" s="17"/>
      <c r="KJ8" s="17"/>
      <c r="KK8" s="17"/>
      <c r="KL8" s="17"/>
      <c r="KM8" s="17"/>
      <c r="KN8" s="17"/>
      <c r="KO8" s="17"/>
      <c r="KP8" s="17"/>
      <c r="KQ8" s="17"/>
      <c r="KR8" s="17"/>
      <c r="KS8" s="17"/>
      <c r="KT8" s="17"/>
      <c r="KU8" s="17"/>
      <c r="KV8" s="17"/>
      <c r="KW8" s="17"/>
      <c r="KX8" s="17"/>
      <c r="KY8" s="17"/>
      <c r="KZ8" s="17"/>
      <c r="LA8" s="17"/>
      <c r="LB8" s="17"/>
      <c r="LC8" s="17"/>
      <c r="LD8" s="17"/>
      <c r="LE8" s="17"/>
      <c r="LF8" s="17"/>
      <c r="LG8" s="17"/>
      <c r="LH8" s="17"/>
      <c r="LI8" s="17"/>
      <c r="LJ8" s="17"/>
      <c r="LK8" s="17"/>
      <c r="LL8" s="17"/>
      <c r="LM8" s="17"/>
      <c r="LN8" s="17"/>
      <c r="LO8" s="17"/>
      <c r="LP8" s="17"/>
      <c r="LQ8" s="17"/>
      <c r="LR8" s="17"/>
      <c r="LS8" s="17"/>
      <c r="LT8" s="17"/>
      <c r="LU8" s="17"/>
      <c r="LV8" s="17"/>
      <c r="LW8" s="17"/>
      <c r="LX8" s="17"/>
      <c r="LY8" s="17"/>
      <c r="LZ8" s="17"/>
      <c r="MA8" s="17"/>
      <c r="MB8" s="17"/>
      <c r="MC8" s="17"/>
      <c r="MD8" s="17"/>
      <c r="ME8" s="17"/>
      <c r="MF8" s="17"/>
      <c r="MG8" s="17"/>
      <c r="MH8" s="17"/>
      <c r="MI8" s="17"/>
      <c r="MJ8" s="17"/>
      <c r="MK8" s="17"/>
      <c r="ML8" s="17"/>
      <c r="MM8" s="17"/>
      <c r="MN8" s="17"/>
      <c r="MO8" s="17"/>
      <c r="MP8" s="17"/>
      <c r="MQ8" s="17"/>
      <c r="MR8" s="17"/>
      <c r="MS8" s="17"/>
      <c r="MT8" s="17"/>
      <c r="MU8" s="17"/>
      <c r="MV8" s="17"/>
      <c r="MW8" s="17"/>
      <c r="MX8" s="17"/>
      <c r="MY8" s="17"/>
      <c r="MZ8" s="17"/>
      <c r="NA8" s="17"/>
      <c r="NB8" s="17"/>
      <c r="NC8" s="17"/>
      <c r="ND8" s="17"/>
      <c r="NE8" s="17"/>
      <c r="NF8" s="17"/>
      <c r="NG8" s="17"/>
      <c r="NH8" s="17"/>
      <c r="NI8" s="17"/>
      <c r="NJ8" s="17"/>
      <c r="NK8" s="17"/>
      <c r="NL8" s="17"/>
      <c r="NM8" s="17"/>
      <c r="NN8" s="17"/>
      <c r="NO8" s="17"/>
      <c r="NP8" s="17"/>
      <c r="NQ8" s="17"/>
      <c r="NR8" s="17"/>
      <c r="NS8" s="17"/>
      <c r="NT8" s="17"/>
      <c r="NU8" s="17"/>
      <c r="NV8" s="17"/>
      <c r="NW8" s="17"/>
      <c r="NX8" s="17"/>
      <c r="NY8" s="17"/>
      <c r="NZ8" s="17"/>
      <c r="OA8" s="17"/>
      <c r="OB8" s="17"/>
      <c r="OC8" s="17"/>
      <c r="OD8" s="17"/>
      <c r="OE8" s="17"/>
      <c r="OF8" s="17"/>
      <c r="OG8" s="17"/>
      <c r="OH8" s="17"/>
      <c r="OI8" s="17"/>
      <c r="OJ8" s="17"/>
      <c r="OK8" s="17"/>
      <c r="OL8" s="17"/>
      <c r="OM8" s="17"/>
      <c r="ON8" s="17"/>
      <c r="OO8" s="17"/>
      <c r="OP8" s="17"/>
      <c r="OQ8" s="17"/>
      <c r="OR8" s="17"/>
      <c r="OS8" s="17"/>
      <c r="OT8" s="17"/>
      <c r="OU8" s="17"/>
      <c r="OV8" s="17"/>
    </row>
    <row r="9" ht="18.0" customHeight="1">
      <c r="A9" s="16">
        <v>8.0</v>
      </c>
      <c r="B9" s="17" t="s">
        <v>533</v>
      </c>
      <c r="C9" s="18" t="s">
        <v>876</v>
      </c>
      <c r="D9" s="17" t="s">
        <v>282</v>
      </c>
      <c r="E9" s="16">
        <v>30.0</v>
      </c>
      <c r="F9" s="16">
        <f>COUNTIF('Tổng hợp 75 trang đích'!$B$2:$B$3400,$D9)</f>
        <v>30</v>
      </c>
      <c r="G9" s="16">
        <f>COUNTIFS('Tổng hợp 75 trang đích'!$B$2:$B$3400,$D9,'Tổng hợp 75 trang đích'!$K$2:$K$3400,"PHÙ HỢP CAO")</f>
        <v>3</v>
      </c>
      <c r="H9" s="16">
        <f>COUNTIFS('Tổng hợp 75 trang đích'!$B$2:$B$3400,$D9,'Tổng hợp 75 trang đích'!$K$2:$K$3400,"CÓ THỂ ĐI")</f>
        <v>2</v>
      </c>
      <c r="I9" s="16">
        <f>COUNTIFS('Tổng hợp 75 trang đích'!$B$2:$B$3400,$D9,'Tổng hợp 75 trang đích'!$K$2:$K$3400,"CẦN SOÁT")</f>
        <v>25</v>
      </c>
      <c r="J9" s="19" t="s">
        <v>555</v>
      </c>
      <c r="K9" s="19" t="b">
        <v>0</v>
      </c>
      <c r="L9" s="20" t="s">
        <v>333</v>
      </c>
      <c r="M9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đích'!$B$2:$B$3400=$D9),3,TRU"&amp;"E),1,2)),"""")"),"công ty sử dụng tài khoản cá nhân")</f>
        <v>công ty sử dụng tài khoản cá nhân</v>
      </c>
      <c r="N9" s="21" t="str">
        <f>IFERROR(__xludf.DUMMYFUNCTION("""COMPUTED_VALUE"""),"https://techcombank.com/thong-tin/blog/mo-tai-khoan-doanh-nghiep")</f>
        <v>https://techcombank.com/thong-tin/blog/mo-tai-khoan-doanh-nghiep</v>
      </c>
      <c r="O9" s="17" t="str">
        <f>IFERROR(__xludf.DUMMYFUNCTION("""COMPUTED_VALUE"""),"công ty dùng tài khoản cá nhân có được không")</f>
        <v>công ty dùng tài khoản cá nhân có được không</v>
      </c>
      <c r="P9" s="21" t="str">
        <f>IFERROR(__xludf.DUMMYFUNCTION("""COMPUTED_VALUE"""),"https://techcombank.com/thong-tin/blog/luu-y-khi-chuyen-tien-vao-tai-khoan-cong-ty")</f>
        <v>https://techcombank.com/thong-tin/blog/luu-y-khi-chuyen-tien-vao-tai-khoan-cong-ty</v>
      </c>
      <c r="Q9" s="17" t="str">
        <f>IFERROR(__xludf.DUMMYFUNCTION("""COMPUTED_VALUE"""),"công ty sử dụng tài khoản cá nhân")</f>
        <v>công ty sử dụng tài khoản cá nhân</v>
      </c>
      <c r="R9" s="21" t="str">
        <f>IFERROR(__xludf.DUMMYFUNCTION("""COMPUTED_VALUE"""),"https://techcombank.com/thong-tin/blog/cach-su-dung-tai-khoan-cong-ty")</f>
        <v>https://techcombank.com/thong-tin/blog/cach-su-dung-tai-khoan-cong-ty</v>
      </c>
      <c r="S9" s="17" t="str">
        <f>IFERROR(__xludf.DUMMYFUNCTION("""COMPUTED_VALUE"""),"công ty dùng tài khoản cá nhân có được không")</f>
        <v>công ty dùng tài khoản cá nhân có được không</v>
      </c>
      <c r="T9" s="21" t="str">
        <f>IFERROR(__xludf.DUMMYFUNCTION("""COMPUTED_VALUE"""),"https://techcombank.com/thong-tin/blog/tien-chuyen-vao-tai-khoan-co-bi-tinh-thue-khong")</f>
        <v>https://techcombank.com/thong-tin/blog/tien-chuyen-vao-tai-khoan-co-bi-tinh-thue-khong</v>
      </c>
      <c r="U9" s="17" t="str">
        <f>IFERROR(__xludf.DUMMYFUNCTION("""COMPUTED_VALUE"""),"công ty sử dụng tài khoản cá nhân")</f>
        <v>công ty sử dụng tài khoản cá nhân</v>
      </c>
      <c r="V9" s="21" t="str">
        <f>IFERROR(__xludf.DUMMYFUNCTION("""COMPUTED_VALUE"""),"https://techcombank.com/thong-tin/blog/tra-luong-tien-mat")</f>
        <v>https://techcombank.com/thong-tin/blog/tra-luong-tien-mat</v>
      </c>
      <c r="W9" s="17" t="str">
        <f>IFERROR(__xludf.DUMMYFUNCTION("""COMPUTED_VALUE"""),"công ty dùng tài khoản cá nhân có được không")</f>
        <v>công ty dùng tài khoản cá nhân có được không</v>
      </c>
      <c r="X9" s="21" t="str">
        <f>IFERROR(__xludf.DUMMYFUNCTION("""COMPUTED_VALUE"""),"https://techcombank.com/thong-tin/blog/nop-tien-mat-vao-tai-khoan-cong-ty")</f>
        <v>https://techcombank.com/thong-tin/blog/nop-tien-mat-vao-tai-khoan-cong-ty</v>
      </c>
      <c r="Y9" s="17" t="str">
        <f>IFERROR(__xludf.DUMMYFUNCTION("""COMPUTED_VALUE"""),"công ty sử dụng tài khoản cá nhân")</f>
        <v>công ty sử dụng tài khoản cá nhân</v>
      </c>
      <c r="Z9" s="21" t="str">
        <f>IFERROR(__xludf.DUMMYFUNCTION("""COMPUTED_VALUE"""),"https://techcombank.com/thong-tin/blog/dong-tai-khoan-ngan-hang-cong-ty")</f>
        <v>https://techcombank.com/thong-tin/blog/dong-tai-khoan-ngan-hang-cong-ty</v>
      </c>
      <c r="AA9" s="17" t="str">
        <f>IFERROR(__xludf.DUMMYFUNCTION("""COMPUTED_VALUE"""),"công ty dùng tài khoản cá nhân có được không")</f>
        <v>công ty dùng tài khoản cá nhân có được không</v>
      </c>
      <c r="AB9" s="21" t="str">
        <f>IFERROR(__xludf.DUMMYFUNCTION("""COMPUTED_VALUE"""),"https://techcombank.com/thong-tin/blog/tai-khoan-doanh-nghiep-co-the-khong")</f>
        <v>https://techcombank.com/thong-tin/blog/tai-khoan-doanh-nghiep-co-the-khong</v>
      </c>
      <c r="AC9" s="17" t="str">
        <f>IFERROR(__xludf.DUMMYFUNCTION("""COMPUTED_VALUE"""),"công ty sử dụng tài khoản cá nhân")</f>
        <v>công ty sử dụng tài khoản cá nhân</v>
      </c>
      <c r="AD9" s="21" t="str">
        <f>IFERROR(__xludf.DUMMYFUNCTION("""COMPUTED_VALUE"""),"https://techcombank.com/thong-tin/blog/rut-tien-mat-tu-tai-khoan-doanh-nghiep")</f>
        <v>https://techcombank.com/thong-tin/blog/rut-tien-mat-tu-tai-khoan-doanh-nghiep</v>
      </c>
      <c r="AE9" s="17" t="str">
        <f>IFERROR(__xludf.DUMMYFUNCTION("""COMPUTED_VALUE"""),"công ty dùng tài khoản cá nhân có được không")</f>
        <v>công ty dùng tài khoản cá nhân có được không</v>
      </c>
      <c r="AF9" s="21" t="str">
        <f>IFERROR(__xludf.DUMMYFUNCTION("""COMPUTED_VALUE"""),"https://techcombank.com/thong-tin/blog/sao-ke-tai-khoan-doanh-nghiep")</f>
        <v>https://techcombank.com/thong-tin/blog/sao-ke-tai-khoan-doanh-nghiep</v>
      </c>
      <c r="AG9" s="17" t="str">
        <f>IFERROR(__xludf.DUMMYFUNCTION("""COMPUTED_VALUE"""),"công ty sử dụng tài khoản cá nhân")</f>
        <v>công ty sử dụng tài khoản cá nhân</v>
      </c>
      <c r="AH9" s="21" t="str">
        <f>IFERROR(__xludf.DUMMYFUNCTION("""COMPUTED_VALUE"""),"https://techcombank.com/thong-tin/blog/mau-mo-tai-khoan-doanh-nghiep-techcombank")</f>
        <v>https://techcombank.com/thong-tin/blog/mau-mo-tai-khoan-doanh-nghiep-techcombank</v>
      </c>
      <c r="AI9" s="17" t="str">
        <f>IFERROR(__xludf.DUMMYFUNCTION("""COMPUTED_VALUE"""),"công ty dùng tài khoản cá nhân có được không")</f>
        <v>công ty dùng tài khoản cá nhân có được không</v>
      </c>
      <c r="AJ9" s="21" t="str">
        <f>IFERROR(__xludf.DUMMYFUNCTION("""COMPUTED_VALUE"""),"https://techcombank.com/thong-tin/blog/tai-khoan-cong-ty-co-chuyen-online-duoc-khong")</f>
        <v>https://techcombank.com/thong-tin/blog/tai-khoan-cong-ty-co-chuyen-online-duoc-khong</v>
      </c>
      <c r="AK9" s="17" t="str">
        <f>IFERROR(__xludf.DUMMYFUNCTION("""COMPUTED_VALUE"""),"công ty sử dụng tài khoản cá nhân")</f>
        <v>công ty sử dụng tài khoản cá nhân</v>
      </c>
      <c r="AL9" s="21" t="str">
        <f>IFERROR(__xludf.DUMMYFUNCTION("""COMPUTED_VALUE"""),"https://techcombank.com/thong-tin/blog/chi-phi-mo-tai-khoan-ngan-hang-cho-cong-ty")</f>
        <v>https://techcombank.com/thong-tin/blog/chi-phi-mo-tai-khoan-ngan-hang-cho-cong-ty</v>
      </c>
      <c r="AM9" s="17" t="str">
        <f>IFERROR(__xludf.DUMMYFUNCTION("""COMPUTED_VALUE"""),"công ty dùng tài khoản cá nhân có được không")</f>
        <v>công ty dùng tài khoản cá nhân có được không</v>
      </c>
      <c r="AN9" s="21" t="str">
        <f>IFERROR(__xludf.DUMMYFUNCTION("""COMPUTED_VALUE"""),"https://techcombank.com/thong-tin/blog/ke-khai-thue-doanh-nghiep")</f>
        <v>https://techcombank.com/thong-tin/blog/ke-khai-thue-doanh-nghiep</v>
      </c>
      <c r="AO9" s="17" t="str">
        <f>IFERROR(__xludf.DUMMYFUNCTION("""COMPUTED_VALUE"""),"công ty sử dụng tài khoản cá nhân")</f>
        <v>công ty sử dụng tài khoản cá nhân</v>
      </c>
      <c r="AP9" s="21" t="str">
        <f>IFERROR(__xludf.DUMMYFUNCTION("""COMPUTED_VALUE"""),"https://techcombank.com/thong-tin/blog/cach-nop-thue-dien-tu")</f>
        <v>https://techcombank.com/thong-tin/blog/cach-nop-thue-dien-tu</v>
      </c>
      <c r="AQ9" s="17" t="str">
        <f>IFERROR(__xludf.DUMMYFUNCTION("""COMPUTED_VALUE"""),"công ty dùng tài khoản cá nhân có được không")</f>
        <v>công ty dùng tài khoản cá nhân có được không</v>
      </c>
      <c r="AR9" s="21" t="str">
        <f>IFERROR(__xludf.DUMMYFUNCTION("""COMPUTED_VALUE"""),"https://techcombank.com/thong-tin/blog/tim-hieu-ve-chinh-sach-thue-moi")</f>
        <v>https://techcombank.com/thong-tin/blog/tim-hieu-ve-chinh-sach-thue-moi</v>
      </c>
      <c r="AS9" s="17" t="str">
        <f>IFERROR(__xludf.DUMMYFUNCTION("""COMPUTED_VALUE"""),"công ty sử dụng tài khoản cá nhân")</f>
        <v>công ty sử dụng tài khoản cá nhân</v>
      </c>
      <c r="AT9" s="21" t="str">
        <f>IFERROR(__xludf.DUMMYFUNCTION("""COMPUTED_VALUE"""),"https://techcombank.com/thong-tin/blog/dieu-kien-thanh-lap-doanh-nghiep")</f>
        <v>https://techcombank.com/thong-tin/blog/dieu-kien-thanh-lap-doanh-nghiep</v>
      </c>
      <c r="AU9" s="17" t="str">
        <f>IFERROR(__xludf.DUMMYFUNCTION("""COMPUTED_VALUE"""),"công ty dùng tài khoản cá nhân có được không")</f>
        <v>công ty dùng tài khoản cá nhân có được không</v>
      </c>
      <c r="AV9" s="21" t="str">
        <f>IFERROR(__xludf.DUMMYFUNCTION("""COMPUTED_VALUE"""),"https://techcombank.com/thong-tin/blog/ho-so-dang-ky-thanh-lap-doanh-nghiep")</f>
        <v>https://techcombank.com/thong-tin/blog/ho-so-dang-ky-thanh-lap-doanh-nghiep</v>
      </c>
      <c r="AW9" s="17" t="str">
        <f>IFERROR(__xludf.DUMMYFUNCTION("""COMPUTED_VALUE"""),"công ty sử dụng tài khoản cá nhân")</f>
        <v>công ty sử dụng tài khoản cá nhân</v>
      </c>
      <c r="AX9" s="21" t="str">
        <f>IFERROR(__xludf.DUMMYFUNCTION("""COMPUTED_VALUE"""),"https://techcombank.com/thong-tin/blog/thu-tuc-thanh-lap-doanh-nghiep")</f>
        <v>https://techcombank.com/thong-tin/blog/thu-tuc-thanh-lap-doanh-nghiep</v>
      </c>
      <c r="AY9" s="17" t="str">
        <f>IFERROR(__xludf.DUMMYFUNCTION("""COMPUTED_VALUE"""),"công ty dùng tài khoản cá nhân có được không")</f>
        <v>công ty dùng tài khoản cá nhân có được không</v>
      </c>
      <c r="AZ9" s="21" t="str">
        <f>IFERROR(__xludf.DUMMYFUNCTION("""COMPUTED_VALUE"""),"https://techcombank.com/thong-tin/blog/thue-thuong-mai-dien-tu")</f>
        <v>https://techcombank.com/thong-tin/blog/thue-thuong-mai-dien-tu</v>
      </c>
      <c r="BA9" s="17" t="str">
        <f>IFERROR(__xludf.DUMMYFUNCTION("""COMPUTED_VALUE"""),"công ty sử dụng tài khoản cá nhân")</f>
        <v>công ty sử dụng tài khoản cá nhân</v>
      </c>
      <c r="BB9" s="21" t="str">
        <f>IFERROR(__xludf.DUMMYFUNCTION("""COMPUTED_VALUE"""),"https://techcombank.com/thong-tin/blog/cach-kiem-tra-tai-khoan-ngan-hang-cua-cong-ty")</f>
        <v>https://techcombank.com/thong-tin/blog/cach-kiem-tra-tai-khoan-ngan-hang-cua-cong-ty</v>
      </c>
      <c r="BC9" s="17" t="str">
        <f>IFERROR(__xludf.DUMMYFUNCTION("""COMPUTED_VALUE"""),"công ty dùng tài khoản cá nhân có được không")</f>
        <v>công ty dùng tài khoản cá nhân có được không</v>
      </c>
      <c r="BD9" s="21" t="str">
        <f>IFERROR(__xludf.DUMMYFUNCTION("""COMPUTED_VALUE"""),"https://techcombank.com/thong-tin/blog/tra-cuu-no-thue-doanh-nghiep")</f>
        <v>https://techcombank.com/thong-tin/blog/tra-cuu-no-thue-doanh-nghiep</v>
      </c>
      <c r="BE9" s="17" t="str">
        <f>IFERROR(__xludf.DUMMYFUNCTION("""COMPUTED_VALUE"""),"công ty sử dụng tài khoản cá nhân")</f>
        <v>công ty sử dụng tài khoản cá nhân</v>
      </c>
      <c r="BF9" s="21" t="str">
        <f>IFERROR(__xludf.DUMMYFUNCTION("""COMPUTED_VALUE"""),"https://techcombank.com/thong-tin/blog/giai-dap-ve-thue-doanh-nghiep")</f>
        <v>https://techcombank.com/thong-tin/blog/giai-dap-ve-thue-doanh-nghiep</v>
      </c>
      <c r="BG9" s="17" t="str">
        <f>IFERROR(__xludf.DUMMYFUNCTION("""COMPUTED_VALUE"""),"công ty dùng tài khoản cá nhân có được không")</f>
        <v>công ty dùng tài khoản cá nhân có được không</v>
      </c>
      <c r="BH9" s="21" t="str">
        <f>IFERROR(__xludf.DUMMYFUNCTION("""COMPUTED_VALUE"""),"https://techcombank.com/thong-tin/blog/ke-khai-thue-ho-kinh-doanh-ca-the-online")</f>
        <v>https://techcombank.com/thong-tin/blog/ke-khai-thue-ho-kinh-doanh-ca-the-online</v>
      </c>
      <c r="BI9" s="17" t="str">
        <f>IFERROR(__xludf.DUMMYFUNCTION("""COMPUTED_VALUE"""),"công ty sử dụng tài khoản cá nhân")</f>
        <v>công ty sử dụng tài khoản cá nhân</v>
      </c>
      <c r="BJ9" s="21" t="str">
        <f>IFERROR(__xludf.DUMMYFUNCTION("""COMPUTED_VALUE"""),"https://techcombank.com/thong-tin/blog/quyet-toan-thue-thu-nhap-ca-nhan")</f>
        <v>https://techcombank.com/thong-tin/blog/quyet-toan-thue-thu-nhap-ca-nhan</v>
      </c>
      <c r="BK9" s="17" t="str">
        <f>IFERROR(__xludf.DUMMYFUNCTION("""COMPUTED_VALUE"""),"công ty dùng tài khoản cá nhân có được không")</f>
        <v>công ty dùng tài khoản cá nhân có được không</v>
      </c>
      <c r="BL9" s="21" t="str">
        <f>IFERROR(__xludf.DUMMYFUNCTION("""COMPUTED_VALUE"""),"https://techcombank.com/thong-tin/blog/kiem-tra-thue-ho-kinh-doanh")</f>
        <v>https://techcombank.com/thong-tin/blog/kiem-tra-thue-ho-kinh-doanh</v>
      </c>
      <c r="BM9" s="17" t="str">
        <f>IFERROR(__xludf.DUMMYFUNCTION("""COMPUTED_VALUE"""),"công ty sử dụng tài khoản cá nhân")</f>
        <v>công ty sử dụng tài khoản cá nhân</v>
      </c>
      <c r="BN9" s="21" t="str">
        <f>IFERROR(__xludf.DUMMYFUNCTION("""COMPUTED_VALUE"""),"https://techcombank.com/thong-tin/blog/chuyen-doi-ho-kinh-doanh-len-doanh-nghiep")</f>
        <v>https://techcombank.com/thong-tin/blog/chuyen-doi-ho-kinh-doanh-len-doanh-nghiep</v>
      </c>
      <c r="BO9" s="17" t="str">
        <f>IFERROR(__xludf.DUMMYFUNCTION("""COMPUTED_VALUE"""),"công ty dùng tài khoản cá nhân có được không")</f>
        <v>công ty dùng tài khoản cá nhân có được không</v>
      </c>
      <c r="BP9" s="21" t="str">
        <f>IFERROR(__xludf.DUMMYFUNCTION("""COMPUTED_VALUE"""),"https://techcombank.com/thong-tin/blog/nen-thanh-lap-ho-kinh-doanh-ke-khai-hay-doanh-nghiep")</f>
        <v>https://techcombank.com/thong-tin/blog/nen-thanh-lap-ho-kinh-doanh-ke-khai-hay-doanh-nghiep</v>
      </c>
      <c r="BQ9" s="17" t="str">
        <f>IFERROR(__xludf.DUMMYFUNCTION("""COMPUTED_VALUE"""),"công ty sử dụng tài khoản cá nhân")</f>
        <v>công ty sử dụng tài khoản cá nhân</v>
      </c>
      <c r="BR9" s="21" t="str">
        <f>IFERROR(__xludf.DUMMYFUNCTION("""COMPUTED_VALUE"""),"https://techcombank.com/thong-tin/blog/cong-ty-xuat-nhap-khau")</f>
        <v>https://techcombank.com/thong-tin/blog/cong-ty-xuat-nhap-khau</v>
      </c>
      <c r="BS9" s="17" t="str">
        <f>IFERROR(__xludf.DUMMYFUNCTION("""COMPUTED_VALUE"""),"công ty dùng tài khoản cá nhân có được không")</f>
        <v>công ty dùng tài khoản cá nhân có được không</v>
      </c>
      <c r="BT9" s="21" t="str">
        <f>IFERROR(__xludf.DUMMYFUNCTION("""COMPUTED_VALUE"""),"https://techcombank.com/thong-tin/blog/vi-sao-lai-suat-trai-phieu-tai-tcbs-lai-thap-hon-so-voi-cac-to-chuc-phat-hanh-khac")</f>
        <v>https://techcombank.com/thong-tin/blog/vi-sao-lai-suat-trai-phieu-tai-tcbs-lai-thap-hon-so-voi-cac-to-chuc-phat-hanh-khac</v>
      </c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17"/>
      <c r="JF9" s="17"/>
      <c r="JG9" s="17"/>
      <c r="JH9" s="17"/>
      <c r="JI9" s="17"/>
      <c r="JJ9" s="17"/>
      <c r="JK9" s="17"/>
      <c r="JL9" s="17"/>
      <c r="JM9" s="17"/>
      <c r="JN9" s="17"/>
      <c r="JO9" s="17"/>
      <c r="JP9" s="17"/>
      <c r="JQ9" s="17"/>
      <c r="JR9" s="17"/>
      <c r="JS9" s="17"/>
      <c r="JT9" s="17"/>
      <c r="JU9" s="17"/>
      <c r="JV9" s="17"/>
      <c r="JW9" s="17"/>
      <c r="JX9" s="17"/>
      <c r="JY9" s="17"/>
      <c r="JZ9" s="17"/>
      <c r="KA9" s="17"/>
      <c r="KB9" s="17"/>
      <c r="KC9" s="17"/>
      <c r="KD9" s="17"/>
      <c r="KE9" s="17"/>
      <c r="KF9" s="17"/>
      <c r="KG9" s="17"/>
      <c r="KH9" s="17"/>
      <c r="KI9" s="17"/>
      <c r="KJ9" s="17"/>
      <c r="KK9" s="17"/>
      <c r="KL9" s="17"/>
      <c r="KM9" s="17"/>
      <c r="KN9" s="17"/>
      <c r="KO9" s="17"/>
      <c r="KP9" s="17"/>
      <c r="KQ9" s="17"/>
      <c r="KR9" s="17"/>
      <c r="KS9" s="17"/>
      <c r="KT9" s="17"/>
      <c r="KU9" s="17"/>
      <c r="KV9" s="17"/>
      <c r="KW9" s="17"/>
      <c r="KX9" s="17"/>
      <c r="KY9" s="17"/>
      <c r="KZ9" s="17"/>
      <c r="LA9" s="17"/>
      <c r="LB9" s="17"/>
      <c r="LC9" s="17"/>
      <c r="LD9" s="17"/>
      <c r="LE9" s="17"/>
      <c r="LF9" s="17"/>
      <c r="LG9" s="17"/>
      <c r="LH9" s="17"/>
      <c r="LI9" s="17"/>
      <c r="LJ9" s="17"/>
      <c r="LK9" s="17"/>
      <c r="LL9" s="17"/>
      <c r="LM9" s="17"/>
      <c r="LN9" s="17"/>
      <c r="LO9" s="17"/>
      <c r="LP9" s="17"/>
      <c r="LQ9" s="17"/>
      <c r="LR9" s="17"/>
      <c r="LS9" s="17"/>
      <c r="LT9" s="17"/>
      <c r="LU9" s="17"/>
      <c r="LV9" s="17"/>
      <c r="LW9" s="17"/>
      <c r="LX9" s="17"/>
      <c r="LY9" s="17"/>
      <c r="LZ9" s="17"/>
      <c r="MA9" s="17"/>
      <c r="MB9" s="17"/>
      <c r="MC9" s="17"/>
      <c r="MD9" s="17"/>
      <c r="ME9" s="17"/>
      <c r="MF9" s="17"/>
      <c r="MG9" s="17"/>
      <c r="MH9" s="17"/>
      <c r="MI9" s="17"/>
      <c r="MJ9" s="17"/>
      <c r="MK9" s="17"/>
      <c r="ML9" s="17"/>
      <c r="MM9" s="17"/>
      <c r="MN9" s="17"/>
      <c r="MO9" s="17"/>
      <c r="MP9" s="17"/>
      <c r="MQ9" s="17"/>
      <c r="MR9" s="17"/>
      <c r="MS9" s="17"/>
      <c r="MT9" s="17"/>
      <c r="MU9" s="17"/>
      <c r="MV9" s="17"/>
      <c r="MW9" s="17"/>
      <c r="MX9" s="17"/>
      <c r="MY9" s="17"/>
      <c r="MZ9" s="17"/>
      <c r="NA9" s="17"/>
      <c r="NB9" s="17"/>
      <c r="NC9" s="17"/>
      <c r="ND9" s="17"/>
      <c r="NE9" s="17"/>
      <c r="NF9" s="17"/>
      <c r="NG9" s="17"/>
      <c r="NH9" s="17"/>
      <c r="NI9" s="17"/>
      <c r="NJ9" s="17"/>
      <c r="NK9" s="17"/>
      <c r="NL9" s="17"/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/>
      <c r="NX9" s="17"/>
      <c r="NY9" s="17"/>
      <c r="NZ9" s="17"/>
      <c r="OA9" s="17"/>
      <c r="OB9" s="17"/>
      <c r="OC9" s="17"/>
      <c r="OD9" s="17"/>
      <c r="OE9" s="17"/>
      <c r="OF9" s="17"/>
      <c r="OG9" s="17"/>
      <c r="OH9" s="17"/>
      <c r="OI9" s="17"/>
      <c r="OJ9" s="17"/>
      <c r="OK9" s="17"/>
      <c r="OL9" s="17"/>
      <c r="OM9" s="17"/>
      <c r="ON9" s="17"/>
      <c r="OO9" s="17"/>
      <c r="OP9" s="17"/>
      <c r="OQ9" s="17"/>
      <c r="OR9" s="17"/>
      <c r="OS9" s="17"/>
      <c r="OT9" s="17"/>
      <c r="OU9" s="17"/>
      <c r="OV9" s="17"/>
    </row>
    <row r="10" ht="18.0" customHeight="1">
      <c r="A10" s="16">
        <v>9.0</v>
      </c>
      <c r="B10" s="17" t="s">
        <v>533</v>
      </c>
      <c r="C10" s="18" t="s">
        <v>900</v>
      </c>
      <c r="D10" s="17" t="s">
        <v>296</v>
      </c>
      <c r="E10" s="16">
        <v>30.0</v>
      </c>
      <c r="F10" s="16">
        <f>COUNTIF('Tổng hợp 75 trang đích'!$B$2:$B$3400,$D10)</f>
        <v>30</v>
      </c>
      <c r="G10" s="16">
        <f>COUNTIFS('Tổng hợp 75 trang đích'!$B$2:$B$3400,$D10,'Tổng hợp 75 trang đích'!$K$2:$K$3400,"PHÙ HỢP CAO")</f>
        <v>2</v>
      </c>
      <c r="H10" s="16">
        <f>COUNTIFS('Tổng hợp 75 trang đích'!$B$2:$B$3400,$D10,'Tổng hợp 75 trang đích'!$K$2:$K$3400,"CÓ THỂ ĐI")</f>
        <v>3</v>
      </c>
      <c r="I10" s="16">
        <f>COUNTIFS('Tổng hợp 75 trang đích'!$B$2:$B$3400,$D10,'Tổng hợp 75 trang đích'!$K$2:$K$3400,"CẦN SOÁT")</f>
        <v>25</v>
      </c>
      <c r="J10" s="19" t="s">
        <v>555</v>
      </c>
      <c r="K10" s="19" t="b">
        <v>0</v>
      </c>
      <c r="L10" s="20" t="s">
        <v>333</v>
      </c>
      <c r="M10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đích'!$B$2:$B$3400=$D10),3,TR"&amp;"UE),1,2)),"""")"),"cách tính thuế thu nhập doanh nghiệp")</f>
        <v>cách tính thuế thu nhập doanh nghiệp</v>
      </c>
      <c r="N10" s="21" t="str">
        <f>IFERROR(__xludf.DUMMYFUNCTION("""COMPUTED_VALUE"""),"https://techcombank.com/thong-tin/blog/nhung-chi-phi-khong-duoc-tru-khi-tinh-thue-tndn")</f>
        <v>https://techcombank.com/thong-tin/blog/nhung-chi-phi-khong-duoc-tru-khi-tinh-thue-tndn</v>
      </c>
      <c r="O10" s="17" t="str">
        <f>IFERROR(__xludf.DUMMYFUNCTION("""COMPUTED_VALUE"""),"cách tính thuế TNDN")</f>
        <v>cách tính thuế TNDN</v>
      </c>
      <c r="P10" s="21" t="str">
        <f>IFERROR(__xludf.DUMMYFUNCTION("""COMPUTED_VALUE"""),"https://techcombank.com/thong-tin/blog/khau-hao")</f>
        <v>https://techcombank.com/thong-tin/blog/khau-hao</v>
      </c>
      <c r="Q10" s="17" t="str">
        <f>IFERROR(__xludf.DUMMYFUNCTION("""COMPUTED_VALUE"""),"công thức tính thuế TNDN")</f>
        <v>công thức tính thuế TNDN</v>
      </c>
      <c r="R10" s="21" t="str">
        <f>IFERROR(__xludf.DUMMYFUNCTION("""COMPUTED_VALUE"""),"https://techcombank.com/thong-tin/blog/loi-nhuan-rong")</f>
        <v>https://techcombank.com/thong-tin/blog/loi-nhuan-rong</v>
      </c>
      <c r="S10" s="17" t="str">
        <f>IFERROR(__xludf.DUMMYFUNCTION("""COMPUTED_VALUE"""),"cách tính thuế thu nhập doanh nghiệp")</f>
        <v>cách tính thuế thu nhập doanh nghiệp</v>
      </c>
      <c r="T10" s="21" t="str">
        <f>IFERROR(__xludf.DUMMYFUNCTION("""COMPUTED_VALUE"""),"https://techcombank.com/thong-tin/blog/cach-doc-bao-cao-tai-chinh")</f>
        <v>https://techcombank.com/thong-tin/blog/cach-doc-bao-cao-tai-chinh</v>
      </c>
      <c r="U10" s="17" t="str">
        <f>IFERROR(__xludf.DUMMYFUNCTION("""COMPUTED_VALUE"""),"cách tính thuế TNDN")</f>
        <v>cách tính thuế TNDN</v>
      </c>
      <c r="V10" s="21" t="str">
        <f>IFERROR(__xludf.DUMMYFUNCTION("""COMPUTED_VALUE"""),"https://techcombank.com/thong-tin/blog/chuan-bi-cho-doanh-nghiep-khoi-nghiep-truoc-nhung-thay-doi-ve-thue")</f>
        <v>https://techcombank.com/thong-tin/blog/chuan-bi-cho-doanh-nghiep-khoi-nghiep-truoc-nhung-thay-doi-ve-thue</v>
      </c>
      <c r="W10" s="17" t="str">
        <f>IFERROR(__xludf.DUMMYFUNCTION("""COMPUTED_VALUE"""),"công thức tính thuế TNDN")</f>
        <v>công thức tính thuế TNDN</v>
      </c>
      <c r="X10" s="21" t="str">
        <f>IFERROR(__xludf.DUMMYFUNCTION("""COMPUTED_VALUE"""),"https://techcombank.com/thong-tin/blog/khau-hao-la-gi")</f>
        <v>https://techcombank.com/thong-tin/blog/khau-hao-la-gi</v>
      </c>
      <c r="Y10" s="17" t="str">
        <f>IFERROR(__xludf.DUMMYFUNCTION("""COMPUTED_VALUE"""),"cách tính thuế thu nhập doanh nghiệp")</f>
        <v>cách tính thuế thu nhập doanh nghiệp</v>
      </c>
      <c r="Z10" s="21" t="str">
        <f>IFERROR(__xludf.DUMMYFUNCTION("""COMPUTED_VALUE"""),"https://techcombank.com/thong-tin/blog/loi-nhuan")</f>
        <v>https://techcombank.com/thong-tin/blog/loi-nhuan</v>
      </c>
      <c r="AA10" s="17" t="str">
        <f>IFERROR(__xludf.DUMMYFUNCTION("""COMPUTED_VALUE"""),"cách tính thuế TNDN")</f>
        <v>cách tính thuế TNDN</v>
      </c>
      <c r="AB10" s="21" t="str">
        <f>IFERROR(__xludf.DUMMYFUNCTION("""COMPUTED_VALUE"""),"https://techcombank.com/thong-tin/blog/thue-doanh-nghiep")</f>
        <v>https://techcombank.com/thong-tin/blog/thue-doanh-nghiep</v>
      </c>
      <c r="AC10" s="17" t="str">
        <f>IFERROR(__xludf.DUMMYFUNCTION("""COMPUTED_VALUE"""),"công thức tính thuế TNDN")</f>
        <v>công thức tính thuế TNDN</v>
      </c>
      <c r="AD10" s="21" t="str">
        <f>IFERROR(__xludf.DUMMYFUNCTION("""COMPUTED_VALUE"""),"https://techcombank.com/thong-tin/blog/tim-hieu-ve-chinh-sach-thue-moi")</f>
        <v>https://techcombank.com/thong-tin/blog/tim-hieu-ve-chinh-sach-thue-moi</v>
      </c>
      <c r="AE10" s="17" t="str">
        <f>IFERROR(__xludf.DUMMYFUNCTION("""COMPUTED_VALUE"""),"cách tính thuế thu nhập doanh nghiệp")</f>
        <v>cách tính thuế thu nhập doanh nghiệp</v>
      </c>
      <c r="AF10" s="21" t="str">
        <f>IFERROR(__xludf.DUMMYFUNCTION("""COMPUTED_VALUE"""),"https://techcombank.com/thong-tin/blog/thue-thu-nhap-doanh-nghiep")</f>
        <v>https://techcombank.com/thong-tin/blog/thue-thu-nhap-doanh-nghiep</v>
      </c>
      <c r="AG10" s="17" t="str">
        <f>IFERROR(__xludf.DUMMYFUNCTION("""COMPUTED_VALUE"""),"cách tính thuế TNDN")</f>
        <v>cách tính thuế TNDN</v>
      </c>
      <c r="AH10" s="21" t="str">
        <f>IFERROR(__xludf.DUMMYFUNCTION("""COMPUTED_VALUE"""),"https://techcombank.com/thong-tin/blog/thi-truong-trai-phieu-am-tro-lai-nha-dau-tu-san-sang-cho-nhung-co-hoi-sinh-loi-moi")</f>
        <v>https://techcombank.com/thong-tin/blog/thi-truong-trai-phieu-am-tro-lai-nha-dau-tu-san-sang-cho-nhung-co-hoi-sinh-loi-moi</v>
      </c>
      <c r="AI10" s="17" t="str">
        <f>IFERROR(__xludf.DUMMYFUNCTION("""COMPUTED_VALUE"""),"công thức tính thuế TNDN")</f>
        <v>công thức tính thuế TNDN</v>
      </c>
      <c r="AJ10" s="21" t="str">
        <f>IFERROR(__xludf.DUMMYFUNCTION("""COMPUTED_VALUE"""),"https://techcombank.com/thong-tin/blog/kinh-nghiem-mua-vang-tich-tru")</f>
        <v>https://techcombank.com/thong-tin/blog/kinh-nghiem-mua-vang-tich-tru</v>
      </c>
      <c r="AK10" s="17" t="str">
        <f>IFERROR(__xludf.DUMMYFUNCTION("""COMPUTED_VALUE"""),"cách tính thuế thu nhập doanh nghiệp")</f>
        <v>cách tính thuế thu nhập doanh nghiệp</v>
      </c>
      <c r="AL10" s="21" t="str">
        <f>IFERROR(__xludf.DUMMYFUNCTION("""COMPUTED_VALUE"""),"https://techcombank.com/thong-tin/blog/quan-ly-tai-chinh-doanh-nghiep-la-gi")</f>
        <v>https://techcombank.com/thong-tin/blog/quan-ly-tai-chinh-doanh-nghiep-la-gi</v>
      </c>
      <c r="AM10" s="17" t="str">
        <f>IFERROR(__xludf.DUMMYFUNCTION("""COMPUTED_VALUE"""),"cách tính thuế TNDN")</f>
        <v>cách tính thuế TNDN</v>
      </c>
      <c r="AN10" s="21" t="str">
        <f>IFERROR(__xludf.DUMMYFUNCTION("""COMPUTED_VALUE"""),"https://techcombank.com/thong-tin/blog/nha-dau-tu-giao-dich-trai-phieu-truc-tuyen-tang-manh-tro-lai")</f>
        <v>https://techcombank.com/thong-tin/blog/nha-dau-tu-giao-dich-trai-phieu-truc-tuyen-tang-manh-tro-lai</v>
      </c>
      <c r="AO10" s="17" t="str">
        <f>IFERROR(__xludf.DUMMYFUNCTION("""COMPUTED_VALUE"""),"công thức tính thuế TNDN")</f>
        <v>công thức tính thuế TNDN</v>
      </c>
      <c r="AP10" s="21" t="str">
        <f>IFERROR(__xludf.DUMMYFUNCTION("""COMPUTED_VALUE"""),"https://techcombank.com/thong-tin/blog/gia-chung-chi-quy-la-gi")</f>
        <v>https://techcombank.com/thong-tin/blog/gia-chung-chi-quy-la-gi</v>
      </c>
      <c r="AQ10" s="17" t="str">
        <f>IFERROR(__xludf.DUMMYFUNCTION("""COMPUTED_VALUE"""),"cách tính thuế thu nhập doanh nghiệp")</f>
        <v>cách tính thuế thu nhập doanh nghiệp</v>
      </c>
      <c r="AR10" s="21" t="str">
        <f>IFERROR(__xludf.DUMMYFUNCTION("""COMPUTED_VALUE"""),"https://techcombank.com/thong-tin/blog/lai-suat-tiet-kiem")</f>
        <v>https://techcombank.com/thong-tin/blog/lai-suat-tiet-kiem</v>
      </c>
      <c r="AS10" s="17" t="str">
        <f>IFERROR(__xludf.DUMMYFUNCTION("""COMPUTED_VALUE"""),"cách tính thuế TNDN")</f>
        <v>cách tính thuế TNDN</v>
      </c>
      <c r="AT10" s="21" t="str">
        <f>IFERROR(__xludf.DUMMYFUNCTION("""COMPUTED_VALUE"""),"https://techcombank.com/thong-tin/blog/lai-suat-chung-chi-quy")</f>
        <v>https://techcombank.com/thong-tin/blog/lai-suat-chung-chi-quy</v>
      </c>
      <c r="AU10" s="17" t="str">
        <f>IFERROR(__xludf.DUMMYFUNCTION("""COMPUTED_VALUE"""),"công thức tính thuế TNDN")</f>
        <v>công thức tính thuế TNDN</v>
      </c>
      <c r="AV10" s="21" t="str">
        <f>IFERROR(__xludf.DUMMYFUNCTION("""COMPUTED_VALUE"""),"https://techcombank.com/thong-tin/blog/ho-kinh-doanh-can-gi-o-tai-khoan-ngan-hang")</f>
        <v>https://techcombank.com/thong-tin/blog/ho-kinh-doanh-can-gi-o-tai-khoan-ngan-hang</v>
      </c>
      <c r="AW10" s="17" t="str">
        <f>IFERROR(__xludf.DUMMYFUNCTION("""COMPUTED_VALUE"""),"cách tính thuế thu nhập doanh nghiệp")</f>
        <v>cách tính thuế thu nhập doanh nghiệp</v>
      </c>
      <c r="AX10" s="21" t="str">
        <f>IFERROR(__xludf.DUMMYFUNCTION("""COMPUTED_VALUE"""),"https://techcombank.com/thong-tin/blog/danh-muc-dau-tu")</f>
        <v>https://techcombank.com/thong-tin/blog/danh-muc-dau-tu</v>
      </c>
      <c r="AY10" s="17" t="str">
        <f>IFERROR(__xludf.DUMMYFUNCTION("""COMPUTED_VALUE"""),"cách tính thuế TNDN")</f>
        <v>cách tính thuế TNDN</v>
      </c>
      <c r="AZ10" s="21" t="str">
        <f>IFERROR(__xludf.DUMMYFUNCTION("""COMPUTED_VALUE"""),"https://techcombank.com/thong-tin/blog/mua-chung-chi-quy")</f>
        <v>https://techcombank.com/thong-tin/blog/mua-chung-chi-quy</v>
      </c>
      <c r="BA10" s="17" t="str">
        <f>IFERROR(__xludf.DUMMYFUNCTION("""COMPUTED_VALUE"""),"công thức tính thuế TNDN")</f>
        <v>công thức tính thuế TNDN</v>
      </c>
      <c r="BB10" s="21" t="str">
        <f>IFERROR(__xludf.DUMMYFUNCTION("""COMPUTED_VALUE"""),"https://techcombank.com/thong-tin/blog/cach-tinh-loi-nhuan-chung-chi-tien-gui")</f>
        <v>https://techcombank.com/thong-tin/blog/cach-tinh-loi-nhuan-chung-chi-tien-gui</v>
      </c>
      <c r="BC10" s="17" t="str">
        <f>IFERROR(__xludf.DUMMYFUNCTION("""COMPUTED_VALUE"""),"cách tính thuế thu nhập doanh nghiệp")</f>
        <v>cách tính thuế thu nhập doanh nghiệp</v>
      </c>
      <c r="BD10" s="21" t="str">
        <f>IFERROR(__xludf.DUMMYFUNCTION("""COMPUTED_VALUE"""),"https://techcombank.com/thong-tin/blog/dau-co-va-dau-tu")</f>
        <v>https://techcombank.com/thong-tin/blog/dau-co-va-dau-tu</v>
      </c>
      <c r="BE10" s="17" t="str">
        <f>IFERROR(__xludf.DUMMYFUNCTION("""COMPUTED_VALUE"""),"cách tính thuế TNDN")</f>
        <v>cách tính thuế TNDN</v>
      </c>
      <c r="BF10" s="21" t="str">
        <f>IFERROR(__xludf.DUMMYFUNCTION("""COMPUTED_VALUE"""),"https://techcombank.com/thong-tin/blog/co-50-trieu-nen-mua-vang-hay-gui-tiet-kiem")</f>
        <v>https://techcombank.com/thong-tin/blog/co-50-trieu-nen-mua-vang-hay-gui-tiet-kiem</v>
      </c>
      <c r="BG10" s="17" t="str">
        <f>IFERROR(__xludf.DUMMYFUNCTION("""COMPUTED_VALUE"""),"công thức tính thuế TNDN")</f>
        <v>công thức tính thuế TNDN</v>
      </c>
      <c r="BH10" s="21" t="str">
        <f>IFERROR(__xludf.DUMMYFUNCTION("""COMPUTED_VALUE"""),"https://techcombank.com/thong-tin/blog/toi-uu-hoa-chi-phi-trong-doanh-nghiep")</f>
        <v>https://techcombank.com/thong-tin/blog/toi-uu-hoa-chi-phi-trong-doanh-nghiep</v>
      </c>
      <c r="BI10" s="17" t="str">
        <f>IFERROR(__xludf.DUMMYFUNCTION("""COMPUTED_VALUE"""),"cách tính thuế thu nhập doanh nghiệp")</f>
        <v>cách tính thuế thu nhập doanh nghiệp</v>
      </c>
      <c r="BJ10" s="21" t="str">
        <f>IFERROR(__xludf.DUMMYFUNCTION("""COMPUTED_VALUE"""),"https://techcombank.com/thong-tin/blog/ngoai-hoi-la-gi")</f>
        <v>https://techcombank.com/thong-tin/blog/ngoai-hoi-la-gi</v>
      </c>
      <c r="BK10" s="17" t="str">
        <f>IFERROR(__xludf.DUMMYFUNCTION("""COMPUTED_VALUE"""),"cách tính thuế TNDN")</f>
        <v>cách tính thuế TNDN</v>
      </c>
      <c r="BL10" s="21" t="str">
        <f>IFERROR(__xludf.DUMMYFUNCTION("""COMPUTED_VALUE"""),"https://techcombank.com/thong-tin/blog/quyet-toan-thue-doanh-nghiep")</f>
        <v>https://techcombank.com/thong-tin/blog/quyet-toan-thue-doanh-nghiep</v>
      </c>
      <c r="BM10" s="17" t="str">
        <f>IFERROR(__xludf.DUMMYFUNCTION("""COMPUTED_VALUE"""),"công thức tính thuế TNDN")</f>
        <v>công thức tính thuế TNDN</v>
      </c>
      <c r="BN10" s="21" t="str">
        <f>IFERROR(__xludf.DUMMYFUNCTION("""COMPUTED_VALUE"""),"https://techcombank.com/thong-tin/blog/hoan-thue-doanh-nghiep")</f>
        <v>https://techcombank.com/thong-tin/blog/hoan-thue-doanh-nghiep</v>
      </c>
      <c r="BO10" s="17" t="str">
        <f>IFERROR(__xludf.DUMMYFUNCTION("""COMPUTED_VALUE"""),"cách tính thuế thu nhập doanh nghiệp")</f>
        <v>cách tính thuế thu nhập doanh nghiệp</v>
      </c>
      <c r="BP10" s="21" t="str">
        <f>IFERROR(__xludf.DUMMYFUNCTION("""COMPUTED_VALUE"""),"https://techcombank.com/thong-tin/blog/phan-mem-xuat-hoa-don-dien-tu")</f>
        <v>https://techcombank.com/thong-tin/blog/phan-mem-xuat-hoa-don-dien-tu</v>
      </c>
      <c r="BQ10" s="17" t="str">
        <f>IFERROR(__xludf.DUMMYFUNCTION("""COMPUTED_VALUE"""),"cách tính thuế TNDN")</f>
        <v>cách tính thuế TNDN</v>
      </c>
      <c r="BR10" s="21" t="str">
        <f>IFERROR(__xludf.DUMMYFUNCTION("""COMPUTED_VALUE"""),"https://techcombank.com/thong-tin/blog/khoi-nghiep-truoc-chinh-sach-thue-moi")</f>
        <v>https://techcombank.com/thong-tin/blog/khoi-nghiep-truoc-chinh-sach-thue-moi</v>
      </c>
      <c r="BS10" s="17" t="str">
        <f>IFERROR(__xludf.DUMMYFUNCTION("""COMPUTED_VALUE"""),"công thức tính thuế TNDN")</f>
        <v>công thức tính thuế TNDN</v>
      </c>
      <c r="BT10" s="21" t="str">
        <f>IFERROR(__xludf.DUMMYFUNCTION("""COMPUTED_VALUE"""),"https://techcombank.com/thong-tin/blog/hieu-hiet-ve-tuan-thu-thue-cho-cac-doanh-nghiep-khoi-nghiep")</f>
        <v>https://techcombank.com/thong-tin/blog/hieu-hiet-ve-tuan-thu-thue-cho-cac-doanh-nghiep-khoi-nghiep</v>
      </c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7"/>
      <c r="IQ10" s="17"/>
      <c r="IR10" s="17"/>
      <c r="IS10" s="17"/>
      <c r="IT10" s="17"/>
      <c r="IU10" s="17"/>
      <c r="IV10" s="17"/>
      <c r="IW10" s="17"/>
      <c r="IX10" s="17"/>
      <c r="IY10" s="17"/>
      <c r="IZ10" s="17"/>
      <c r="JA10" s="17"/>
      <c r="JB10" s="17"/>
      <c r="JC10" s="17"/>
      <c r="JD10" s="17"/>
      <c r="JE10" s="17"/>
      <c r="JF10" s="17"/>
      <c r="JG10" s="17"/>
      <c r="JH10" s="17"/>
      <c r="JI10" s="17"/>
      <c r="JJ10" s="17"/>
      <c r="JK10" s="17"/>
      <c r="JL10" s="17"/>
      <c r="JM10" s="17"/>
      <c r="JN10" s="17"/>
      <c r="JO10" s="17"/>
      <c r="JP10" s="17"/>
      <c r="JQ10" s="17"/>
      <c r="JR10" s="17"/>
      <c r="JS10" s="17"/>
      <c r="JT10" s="17"/>
      <c r="JU10" s="17"/>
      <c r="JV10" s="17"/>
      <c r="JW10" s="17"/>
      <c r="JX10" s="17"/>
      <c r="JY10" s="17"/>
      <c r="JZ10" s="17"/>
      <c r="KA10" s="17"/>
      <c r="KB10" s="17"/>
      <c r="KC10" s="17"/>
      <c r="KD10" s="17"/>
      <c r="KE10" s="17"/>
      <c r="KF10" s="17"/>
      <c r="KG10" s="17"/>
      <c r="KH10" s="17"/>
      <c r="KI10" s="17"/>
      <c r="KJ10" s="17"/>
      <c r="KK10" s="17"/>
      <c r="KL10" s="17"/>
      <c r="KM10" s="17"/>
      <c r="KN10" s="17"/>
      <c r="KO10" s="17"/>
      <c r="KP10" s="17"/>
      <c r="KQ10" s="17"/>
      <c r="KR10" s="17"/>
      <c r="KS10" s="17"/>
      <c r="KT10" s="17"/>
      <c r="KU10" s="17"/>
      <c r="KV10" s="17"/>
      <c r="KW10" s="17"/>
      <c r="KX10" s="17"/>
      <c r="KY10" s="17"/>
      <c r="KZ10" s="17"/>
      <c r="LA10" s="17"/>
      <c r="LB10" s="17"/>
      <c r="LC10" s="17"/>
      <c r="LD10" s="17"/>
      <c r="LE10" s="17"/>
      <c r="LF10" s="17"/>
      <c r="LG10" s="17"/>
      <c r="LH10" s="17"/>
      <c r="LI10" s="17"/>
      <c r="LJ10" s="17"/>
      <c r="LK10" s="17"/>
      <c r="LL10" s="17"/>
      <c r="LM10" s="17"/>
      <c r="LN10" s="17"/>
      <c r="LO10" s="17"/>
      <c r="LP10" s="17"/>
      <c r="LQ10" s="17"/>
      <c r="LR10" s="17"/>
      <c r="LS10" s="17"/>
      <c r="LT10" s="17"/>
      <c r="LU10" s="17"/>
      <c r="LV10" s="17"/>
      <c r="LW10" s="17"/>
      <c r="LX10" s="17"/>
      <c r="LY10" s="17"/>
      <c r="LZ10" s="17"/>
      <c r="MA10" s="17"/>
      <c r="MB10" s="17"/>
      <c r="MC10" s="17"/>
      <c r="MD10" s="17"/>
      <c r="ME10" s="17"/>
      <c r="MF10" s="17"/>
      <c r="MG10" s="17"/>
      <c r="MH10" s="17"/>
      <c r="MI10" s="17"/>
      <c r="MJ10" s="17"/>
      <c r="MK10" s="17"/>
      <c r="ML10" s="17"/>
      <c r="MM10" s="17"/>
      <c r="MN10" s="17"/>
      <c r="MO10" s="17"/>
      <c r="MP10" s="17"/>
      <c r="MQ10" s="17"/>
      <c r="MR10" s="17"/>
      <c r="MS10" s="17"/>
      <c r="MT10" s="17"/>
      <c r="MU10" s="17"/>
      <c r="MV10" s="17"/>
      <c r="MW10" s="17"/>
      <c r="MX10" s="17"/>
      <c r="MY10" s="17"/>
      <c r="MZ10" s="17"/>
      <c r="NA10" s="17"/>
      <c r="NB10" s="17"/>
      <c r="NC10" s="17"/>
      <c r="ND10" s="17"/>
      <c r="NE10" s="17"/>
      <c r="NF10" s="17"/>
      <c r="NG10" s="17"/>
      <c r="NH10" s="17"/>
      <c r="NI10" s="17"/>
      <c r="NJ10" s="17"/>
      <c r="NK10" s="17"/>
      <c r="NL10" s="17"/>
      <c r="NM10" s="17"/>
      <c r="NN10" s="17"/>
      <c r="NO10" s="17"/>
      <c r="NP10" s="17"/>
      <c r="NQ10" s="17"/>
      <c r="NR10" s="17"/>
      <c r="NS10" s="17"/>
      <c r="NT10" s="17"/>
      <c r="NU10" s="17"/>
      <c r="NV10" s="17"/>
      <c r="NW10" s="17"/>
      <c r="NX10" s="17"/>
      <c r="NY10" s="17"/>
      <c r="NZ10" s="17"/>
      <c r="OA10" s="17"/>
      <c r="OB10" s="17"/>
      <c r="OC10" s="17"/>
      <c r="OD10" s="17"/>
      <c r="OE10" s="17"/>
      <c r="OF10" s="17"/>
      <c r="OG10" s="17"/>
      <c r="OH10" s="17"/>
      <c r="OI10" s="17"/>
      <c r="OJ10" s="17"/>
      <c r="OK10" s="17"/>
      <c r="OL10" s="17"/>
      <c r="OM10" s="17"/>
      <c r="ON10" s="17"/>
      <c r="OO10" s="17"/>
      <c r="OP10" s="17"/>
      <c r="OQ10" s="17"/>
      <c r="OR10" s="17"/>
      <c r="OS10" s="17"/>
      <c r="OT10" s="17"/>
      <c r="OU10" s="17"/>
      <c r="OV10" s="17"/>
    </row>
    <row r="11" ht="18.0" customHeight="1">
      <c r="A11" s="16">
        <v>10.0</v>
      </c>
      <c r="B11" s="17" t="s">
        <v>920</v>
      </c>
      <c r="C11" s="18" t="s">
        <v>1062</v>
      </c>
      <c r="D11" s="17" t="s">
        <v>306</v>
      </c>
      <c r="E11" s="16">
        <v>30.0</v>
      </c>
      <c r="F11" s="16">
        <f>COUNTIF('Tổng hợp 75 trang đích'!$B$2:$B$3400,$D11)</f>
        <v>30</v>
      </c>
      <c r="G11" s="16">
        <f>COUNTIFS('Tổng hợp 75 trang đích'!$B$2:$B$3400,$D11,'Tổng hợp 75 trang đích'!$K$2:$K$3400,"PHÙ HỢP CAO")</f>
        <v>3</v>
      </c>
      <c r="H11" s="16">
        <f>COUNTIFS('Tổng hợp 75 trang đích'!$B$2:$B$3400,$D11,'Tổng hợp 75 trang đích'!$K$2:$K$3400,"CÓ THỂ ĐI")</f>
        <v>2</v>
      </c>
      <c r="I11" s="16">
        <f>COUNTIFS('Tổng hợp 75 trang đích'!$B$2:$B$3400,$D11,'Tổng hợp 75 trang đích'!$K$2:$K$3400,"CẦN SOÁT")</f>
        <v>25</v>
      </c>
      <c r="J11" s="19" t="s">
        <v>555</v>
      </c>
      <c r="K11" s="19" t="b">
        <v>0</v>
      </c>
      <c r="L11" s="20" t="s">
        <v>333</v>
      </c>
      <c r="M11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đích'!$B$2:$B$3400=$D11),3,TR"&amp;"UE),1,2)),"""")"),"nạp thẻ viettel")</f>
        <v>nạp thẻ viettel</v>
      </c>
      <c r="N11" s="21" t="str">
        <f>IFERROR(__xludf.DUMMYFUNCTION("""COMPUTED_VALUE"""),"https://techcombank.com/thong-tin/blog/cach-nap-the")</f>
        <v>https://techcombank.com/thong-tin/blog/cach-nap-the</v>
      </c>
      <c r="O11" s="17" t="str">
        <f>IFERROR(__xludf.DUMMYFUNCTION("""COMPUTED_VALUE"""),"cách nạp thẻ viettel")</f>
        <v>cách nạp thẻ viettel</v>
      </c>
      <c r="P11" s="21" t="str">
        <f>IFERROR(__xludf.DUMMYFUNCTION("""COMPUTED_VALUE"""),"https://techcombank.com/thong-tin/blog/nap-tien-dien-thoai-online")</f>
        <v>https://techcombank.com/thong-tin/blog/nap-tien-dien-thoai-online</v>
      </c>
      <c r="Q11" s="17" t="str">
        <f>IFERROR(__xludf.DUMMYFUNCTION("""COMPUTED_VALUE"""),"cách nạp tiền điện thoại viettel")</f>
        <v>cách nạp tiền điện thoại viettel</v>
      </c>
      <c r="R11" s="21" t="str">
        <f>IFERROR(__xludf.DUMMYFUNCTION("""COMPUTED_VALUE"""),"https://techcombank.com/thong-tin/blog/thanh-toan-tra-sau-viettel-bang-tai-khoan-ngan-hang")</f>
        <v>https://techcombank.com/thong-tin/blog/thanh-toan-tra-sau-viettel-bang-tai-khoan-ngan-hang</v>
      </c>
      <c r="S11" s="17" t="str">
        <f>IFERROR(__xludf.DUMMYFUNCTION("""COMPUTED_VALUE"""),"cách nạp tiền viettel")</f>
        <v>cách nạp tiền viettel</v>
      </c>
      <c r="T11" s="21" t="str">
        <f>IFERROR(__xludf.DUMMYFUNCTION("""COMPUTED_VALUE"""),"https://techcombank.com/thong-tin/blog/cach-nap-the-vina")</f>
        <v>https://techcombank.com/thong-tin/blog/cach-nap-the-vina</v>
      </c>
      <c r="U11" s="17" t="str">
        <f>IFERROR(__xludf.DUMMYFUNCTION("""COMPUTED_VALUE"""),"nạp thẻ viettel")</f>
        <v>nạp thẻ viettel</v>
      </c>
      <c r="V11" s="21" t="str">
        <f>IFERROR(__xludf.DUMMYFUNCTION("""COMPUTED_VALUE"""),"https://techcombank.com/thong-tin/blog/cach-nap-the-mobi")</f>
        <v>https://techcombank.com/thong-tin/blog/cach-nap-the-mobi</v>
      </c>
      <c r="W11" s="17" t="str">
        <f>IFERROR(__xludf.DUMMYFUNCTION("""COMPUTED_VALUE"""),"cách nạp thẻ viettel")</f>
        <v>cách nạp thẻ viettel</v>
      </c>
      <c r="X11" s="21" t="str">
        <f>IFERROR(__xludf.DUMMYFUNCTION("""COMPUTED_VALUE"""),"https://techcombank.com/thong-tin/blog/mat-so-dien-thoai-dang-ky-tai-khoan-ngan-hang")</f>
        <v>https://techcombank.com/thong-tin/blog/mat-so-dien-thoai-dang-ky-tai-khoan-ngan-hang</v>
      </c>
      <c r="Y11" s="17" t="str">
        <f>IFERROR(__xludf.DUMMYFUNCTION("""COMPUTED_VALUE"""),"cách nạp tiền điện thoại viettel")</f>
        <v>cách nạp tiền điện thoại viettel</v>
      </c>
      <c r="Z11" s="21" t="str">
        <f>IFERROR(__xludf.DUMMYFUNCTION("""COMPUTED_VALUE"""),"https://techcombank.com/thong-tin/blog/thanh-toan-tien-internet-online")</f>
        <v>https://techcombank.com/thong-tin/blog/thanh-toan-tien-internet-online</v>
      </c>
      <c r="AA11" s="17" t="str">
        <f>IFERROR(__xludf.DUMMYFUNCTION("""COMPUTED_VALUE"""),"cách nạp tiền viettel")</f>
        <v>cách nạp tiền viettel</v>
      </c>
      <c r="AB11" s="21" t="str">
        <f>IFERROR(__xludf.DUMMYFUNCTION("""COMPUTED_VALUE"""),"https://techcombank.com/thong-tin/blog/app-dong-tien-dien-online")</f>
        <v>https://techcombank.com/thong-tin/blog/app-dong-tien-dien-online</v>
      </c>
      <c r="AC11" s="17" t="str">
        <f>IFERROR(__xludf.DUMMYFUNCTION("""COMPUTED_VALUE"""),"nạp thẻ viettel")</f>
        <v>nạp thẻ viettel</v>
      </c>
      <c r="AD11" s="21" t="str">
        <f>IFERROR(__xludf.DUMMYFUNCTION("""COMPUTED_VALUE"""),"https://techcombank.com/thong-tin/blog/cach-chuyen-tien")</f>
        <v>https://techcombank.com/thong-tin/blog/cach-chuyen-tien</v>
      </c>
      <c r="AE11" s="17" t="str">
        <f>IFERROR(__xludf.DUMMYFUNCTION("""COMPUTED_VALUE"""),"cách nạp thẻ viettel")</f>
        <v>cách nạp thẻ viettel</v>
      </c>
      <c r="AF11" s="21" t="str">
        <f>IFERROR(__xludf.DUMMYFUNCTION("""COMPUTED_VALUE"""),"https://techcombank.com/thong-tin/blog/cach-chuyen-khoan-bang-dien-thoai")</f>
        <v>https://techcombank.com/thong-tin/blog/cach-chuyen-khoan-bang-dien-thoai</v>
      </c>
      <c r="AG11" s="17" t="str">
        <f>IFERROR(__xludf.DUMMYFUNCTION("""COMPUTED_VALUE"""),"cách nạp tiền điện thoại viettel")</f>
        <v>cách nạp tiền điện thoại viettel</v>
      </c>
      <c r="AH11" s="21" t="str">
        <f>IFERROR(__xludf.DUMMYFUNCTION("""COMPUTED_VALUE"""),"https://techcombank.com/thong-tin/blog/cay-atm-gan-day")</f>
        <v>https://techcombank.com/thong-tin/blog/cay-atm-gan-day</v>
      </c>
      <c r="AI11" s="17" t="str">
        <f>IFERROR(__xludf.DUMMYFUNCTION("""COMPUTED_VALUE"""),"cách nạp tiền viettel")</f>
        <v>cách nạp tiền viettel</v>
      </c>
      <c r="AJ11" s="21" t="str">
        <f>IFERROR(__xludf.DUMMYFUNCTION("""COMPUTED_VALUE"""),"https://techcombank.com/thong-tin/blog/mo-tai-khoan-ngan-hang-trung-so-dien-thoai")</f>
        <v>https://techcombank.com/thong-tin/blog/mo-tai-khoan-ngan-hang-trung-so-dien-thoai</v>
      </c>
      <c r="AK11" s="17" t="str">
        <f>IFERROR(__xludf.DUMMYFUNCTION("""COMPUTED_VALUE"""),"nạp thẻ viettel")</f>
        <v>nạp thẻ viettel</v>
      </c>
      <c r="AL11" s="21" t="str">
        <f>IFERROR(__xludf.DUMMYFUNCTION("""COMPUTED_VALUE"""),"https://techcombank.com/thong-tin/blog/tai-khoan-ngan-hang-bi-khoa")</f>
        <v>https://techcombank.com/thong-tin/blog/tai-khoan-ngan-hang-bi-khoa</v>
      </c>
      <c r="AM11" s="17" t="str">
        <f>IFERROR(__xludf.DUMMYFUNCTION("""COMPUTED_VALUE"""),"cách nạp thẻ viettel")</f>
        <v>cách nạp thẻ viettel</v>
      </c>
      <c r="AN11" s="21" t="str">
        <f>IFERROR(__xludf.DUMMYFUNCTION("""COMPUTED_VALUE"""),"https://techcombank.com/thong-tin/blog/the-ghi-no-co-chuyen-khoan-duoc-khong")</f>
        <v>https://techcombank.com/thong-tin/blog/the-ghi-no-co-chuyen-khoan-duoc-khong</v>
      </c>
      <c r="AO11" s="17" t="str">
        <f>IFERROR(__xludf.DUMMYFUNCTION("""COMPUTED_VALUE"""),"cách nạp tiền điện thoại viettel")</f>
        <v>cách nạp tiền điện thoại viettel</v>
      </c>
      <c r="AP11" s="21" t="str">
        <f>IFERROR(__xludf.DUMMYFUNCTION("""COMPUTED_VALUE"""),"https://techcombank.com/thong-tin/blog/cach-dong-tien-dien-qua-tai-khoan-ngan-hang")</f>
        <v>https://techcombank.com/thong-tin/blog/cach-dong-tien-dien-qua-tai-khoan-ngan-hang</v>
      </c>
      <c r="AQ11" s="17" t="str">
        <f>IFERROR(__xludf.DUMMYFUNCTION("""COMPUTED_VALUE"""),"cách nạp tiền viettel")</f>
        <v>cách nạp tiền viettel</v>
      </c>
      <c r="AR11" s="21" t="str">
        <f>IFERROR(__xludf.DUMMYFUNCTION("""COMPUTED_VALUE"""),"https://techcombank.com/thong-tin/blog/mo-tai-khoan-ngan-hang-bang-so-dien-thoai")</f>
        <v>https://techcombank.com/thong-tin/blog/mo-tai-khoan-ngan-hang-bang-so-dien-thoai</v>
      </c>
      <c r="AS11" s="17" t="str">
        <f>IFERROR(__xludf.DUMMYFUNCTION("""COMPUTED_VALUE"""),"nạp thẻ viettel")</f>
        <v>nạp thẻ viettel</v>
      </c>
      <c r="AT11" s="21" t="str">
        <f>IFERROR(__xludf.DUMMYFUNCTION("""COMPUTED_VALUE"""),"https://techcombank.com/thong-tin/blog/cach-dang-ky-dinh-danh-muc-2")</f>
        <v>https://techcombank.com/thong-tin/blog/cach-dang-ky-dinh-danh-muc-2</v>
      </c>
      <c r="AU11" s="17" t="str">
        <f>IFERROR(__xludf.DUMMYFUNCTION("""COMPUTED_VALUE"""),"cách nạp thẻ viettel")</f>
        <v>cách nạp thẻ viettel</v>
      </c>
      <c r="AV11" s="21" t="str">
        <f>IFERROR(__xludf.DUMMYFUNCTION("""COMPUTED_VALUE"""),"https://techcombank.com/thong-tin/blog/mobile-banking-la-gi")</f>
        <v>https://techcombank.com/thong-tin/blog/mobile-banking-la-gi</v>
      </c>
      <c r="AW11" s="17" t="str">
        <f>IFERROR(__xludf.DUMMYFUNCTION("""COMPUTED_VALUE"""),"cách nạp tiền điện thoại viettel")</f>
        <v>cách nạp tiền điện thoại viettel</v>
      </c>
      <c r="AX11" s="21" t="str">
        <f>IFERROR(__xludf.DUMMYFUNCTION("""COMPUTED_VALUE"""),"https://techcombank.com/thong-tin/blog/nap-tien-vao-tai-khoan-ngan-hang")</f>
        <v>https://techcombank.com/thong-tin/blog/nap-tien-vao-tai-khoan-ngan-hang</v>
      </c>
      <c r="AY11" s="17" t="str">
        <f>IFERROR(__xludf.DUMMYFUNCTION("""COMPUTED_VALUE"""),"cách nạp tiền viettel")</f>
        <v>cách nạp tiền viettel</v>
      </c>
      <c r="AZ11" s="21" t="str">
        <f>IFERROR(__xludf.DUMMYFUNCTION("""COMPUTED_VALUE"""),"https://techcombank.com/thong-tin/blog/ngan-hang-thu-huong-la-gi")</f>
        <v>https://techcombank.com/thong-tin/blog/ngan-hang-thu-huong-la-gi</v>
      </c>
      <c r="BA11" s="17" t="str">
        <f>IFERROR(__xludf.DUMMYFUNCTION("""COMPUTED_VALUE"""),"nạp thẻ viettel")</f>
        <v>nạp thẻ viettel</v>
      </c>
      <c r="BB11" s="21" t="str">
        <f>IFERROR(__xludf.DUMMYFUNCTION("""COMPUTED_VALUE"""),"https://techcombank.com/thong-tin/blog/the-tin-dung-la-gi")</f>
        <v>https://techcombank.com/thong-tin/blog/the-tin-dung-la-gi</v>
      </c>
      <c r="BC11" s="17" t="str">
        <f>IFERROR(__xludf.DUMMYFUNCTION("""COMPUTED_VALUE"""),"cách nạp thẻ viettel")</f>
        <v>cách nạp thẻ viettel</v>
      </c>
      <c r="BD11" s="21" t="str">
        <f>IFERROR(__xludf.DUMMYFUNCTION("""COMPUTED_VALUE"""),"https://techcombank.com/thong-tin/blog/cach-chuyen-tien-qua-ma-qr-techcombank")</f>
        <v>https://techcombank.com/thong-tin/blog/cach-chuyen-tien-qua-ma-qr-techcombank</v>
      </c>
      <c r="BE11" s="17" t="str">
        <f>IFERROR(__xludf.DUMMYFUNCTION("""COMPUTED_VALUE"""),"cách nạp tiền điện thoại viettel")</f>
        <v>cách nạp tiền điện thoại viettel</v>
      </c>
      <c r="BF11" s="21" t="str">
        <f>IFERROR(__xludf.DUMMYFUNCTION("""COMPUTED_VALUE"""),"https://techcombank.com/thong-tin/blog/softpos")</f>
        <v>https://techcombank.com/thong-tin/blog/softpos</v>
      </c>
      <c r="BG11" s="17" t="str">
        <f>IFERROR(__xludf.DUMMYFUNCTION("""COMPUTED_VALUE"""),"cách nạp tiền viettel")</f>
        <v>cách nạp tiền viettel</v>
      </c>
      <c r="BH11" s="21" t="str">
        <f>IFERROR(__xludf.DUMMYFUNCTION("""COMPUTED_VALUE"""),"https://techcombank.com/thong-tin/blog/1-cmnd-dang-ky-duoc-may-tai-khoan-ngan-hang")</f>
        <v>https://techcombank.com/thong-tin/blog/1-cmnd-dang-ky-duoc-may-tai-khoan-ngan-hang</v>
      </c>
      <c r="BI11" s="17" t="str">
        <f>IFERROR(__xludf.DUMMYFUNCTION("""COMPUTED_VALUE"""),"nạp thẻ viettel")</f>
        <v>nạp thẻ viettel</v>
      </c>
      <c r="BJ11" s="21" t="str">
        <f>IFERROR(__xludf.DUMMYFUNCTION("""COMPUTED_VALUE"""),"https://techcombank.com/thong-tin/blog/cach-chon-so-tai-khoan-dep")</f>
        <v>https://techcombank.com/thong-tin/blog/cach-chon-so-tai-khoan-dep</v>
      </c>
      <c r="BK11" s="17" t="str">
        <f>IFERROR(__xludf.DUMMYFUNCTION("""COMPUTED_VALUE"""),"cách nạp thẻ viettel")</f>
        <v>cách nạp thẻ viettel</v>
      </c>
      <c r="BL11" s="21" t="str">
        <f>IFERROR(__xludf.DUMMYFUNCTION("""COMPUTED_VALUE"""),"https://techcombank.com/thong-tin/blog/cach-kiem-tra-tai-khoan-ngan-hang")</f>
        <v>https://techcombank.com/thong-tin/blog/cach-kiem-tra-tai-khoan-ngan-hang</v>
      </c>
      <c r="BM11" s="17" t="str">
        <f>IFERROR(__xludf.DUMMYFUNCTION("""COMPUTED_VALUE"""),"cách nạp tiền điện thoại viettel")</f>
        <v>cách nạp tiền điện thoại viettel</v>
      </c>
      <c r="BN11" s="21" t="str">
        <f>IFERROR(__xludf.DUMMYFUNCTION("""COMPUTED_VALUE"""),"https://techcombank.com/thong-tin/blog/app-ngan-hang-uy-tin")</f>
        <v>https://techcombank.com/thong-tin/blog/app-ngan-hang-uy-tin</v>
      </c>
      <c r="BO11" s="17" t="str">
        <f>IFERROR(__xludf.DUMMYFUNCTION("""COMPUTED_VALUE"""),"cách nạp tiền viettel")</f>
        <v>cách nạp tiền viettel</v>
      </c>
      <c r="BP11" s="21" t="str">
        <f>IFERROR(__xludf.DUMMYFUNCTION("""COMPUTED_VALUE"""),"https://techcombank.com/thong-tin/blog/cach-lay-lai-tien-da-chuyen-khoan-khi-bi-lua")</f>
        <v>https://techcombank.com/thong-tin/blog/cach-lay-lai-tien-da-chuyen-khoan-khi-bi-lua</v>
      </c>
      <c r="BQ11" s="17" t="str">
        <f>IFERROR(__xludf.DUMMYFUNCTION("""COMPUTED_VALUE"""),"nạp thẻ viettel")</f>
        <v>nạp thẻ viettel</v>
      </c>
      <c r="BR11" s="21" t="str">
        <f>IFERROR(__xludf.DUMMYFUNCTION("""COMPUTED_VALUE"""),"https://techcombank.com/thong-tin/blog/app-ngan-hang")</f>
        <v>https://techcombank.com/thong-tin/blog/app-ngan-hang</v>
      </c>
      <c r="BS11" s="17" t="str">
        <f>IFERROR(__xludf.DUMMYFUNCTION("""COMPUTED_VALUE"""),"cách nạp thẻ viettel")</f>
        <v>cách nạp thẻ viettel</v>
      </c>
      <c r="BT11" s="21" t="str">
        <f>IFERROR(__xludf.DUMMYFUNCTION("""COMPUTED_VALUE"""),"https://techcombank.com/thong-tin/blog/so-the-ngan-hang")</f>
        <v>https://techcombank.com/thong-tin/blog/so-the-ngan-hang</v>
      </c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17"/>
      <c r="IQ11" s="17"/>
      <c r="IR11" s="17"/>
      <c r="IS11" s="17"/>
      <c r="IT11" s="17"/>
      <c r="IU11" s="17"/>
      <c r="IV11" s="17"/>
      <c r="IW11" s="17"/>
      <c r="IX11" s="17"/>
      <c r="IY11" s="17"/>
      <c r="IZ11" s="17"/>
      <c r="JA11" s="17"/>
      <c r="JB11" s="17"/>
      <c r="JC11" s="17"/>
      <c r="JD11" s="17"/>
      <c r="JE11" s="17"/>
      <c r="JF11" s="17"/>
      <c r="JG11" s="17"/>
      <c r="JH11" s="17"/>
      <c r="JI11" s="17"/>
      <c r="JJ11" s="17"/>
      <c r="JK11" s="17"/>
      <c r="JL11" s="17"/>
      <c r="JM11" s="17"/>
      <c r="JN11" s="17"/>
      <c r="JO11" s="17"/>
      <c r="JP11" s="17"/>
      <c r="JQ11" s="17"/>
      <c r="JR11" s="17"/>
      <c r="JS11" s="17"/>
      <c r="JT11" s="17"/>
      <c r="JU11" s="17"/>
      <c r="JV11" s="17"/>
      <c r="JW11" s="17"/>
      <c r="JX11" s="17"/>
      <c r="JY11" s="17"/>
      <c r="JZ11" s="17"/>
      <c r="KA11" s="17"/>
      <c r="KB11" s="17"/>
      <c r="KC11" s="17"/>
      <c r="KD11" s="17"/>
      <c r="KE11" s="17"/>
      <c r="KF11" s="17"/>
      <c r="KG11" s="17"/>
      <c r="KH11" s="17"/>
      <c r="KI11" s="17"/>
      <c r="KJ11" s="17"/>
      <c r="KK11" s="17"/>
      <c r="KL11" s="17"/>
      <c r="KM11" s="17"/>
      <c r="KN11" s="17"/>
      <c r="KO11" s="17"/>
      <c r="KP11" s="17"/>
      <c r="KQ11" s="17"/>
      <c r="KR11" s="17"/>
      <c r="KS11" s="17"/>
      <c r="KT11" s="17"/>
      <c r="KU11" s="17"/>
      <c r="KV11" s="17"/>
      <c r="KW11" s="17"/>
      <c r="KX11" s="17"/>
      <c r="KY11" s="17"/>
      <c r="KZ11" s="17"/>
      <c r="LA11" s="17"/>
      <c r="LB11" s="17"/>
      <c r="LC11" s="17"/>
      <c r="LD11" s="17"/>
      <c r="LE11" s="17"/>
      <c r="LF11" s="17"/>
      <c r="LG11" s="17"/>
      <c r="LH11" s="17"/>
      <c r="LI11" s="17"/>
      <c r="LJ11" s="17"/>
      <c r="LK11" s="17"/>
      <c r="LL11" s="17"/>
      <c r="LM11" s="17"/>
      <c r="LN11" s="17"/>
      <c r="LO11" s="17"/>
      <c r="LP11" s="17"/>
      <c r="LQ11" s="17"/>
      <c r="LR11" s="17"/>
      <c r="LS11" s="17"/>
      <c r="LT11" s="17"/>
      <c r="LU11" s="17"/>
      <c r="LV11" s="17"/>
      <c r="LW11" s="17"/>
      <c r="LX11" s="17"/>
      <c r="LY11" s="17"/>
      <c r="LZ11" s="17"/>
      <c r="MA11" s="17"/>
      <c r="MB11" s="17"/>
      <c r="MC11" s="17"/>
      <c r="MD11" s="17"/>
      <c r="ME11" s="17"/>
      <c r="MF11" s="17"/>
      <c r="MG11" s="17"/>
      <c r="MH11" s="17"/>
      <c r="MI11" s="17"/>
      <c r="MJ11" s="17"/>
      <c r="MK11" s="17"/>
      <c r="ML11" s="17"/>
      <c r="MM11" s="17"/>
      <c r="MN11" s="17"/>
      <c r="MO11" s="17"/>
      <c r="MP11" s="17"/>
      <c r="MQ11" s="17"/>
      <c r="MR11" s="17"/>
      <c r="MS11" s="17"/>
      <c r="MT11" s="17"/>
      <c r="MU11" s="17"/>
      <c r="MV11" s="17"/>
      <c r="MW11" s="17"/>
      <c r="MX11" s="17"/>
      <c r="MY11" s="17"/>
      <c r="MZ11" s="17"/>
      <c r="NA11" s="17"/>
      <c r="NB11" s="17"/>
      <c r="NC11" s="17"/>
      <c r="ND11" s="17"/>
      <c r="NE11" s="17"/>
      <c r="NF11" s="17"/>
      <c r="NG11" s="17"/>
      <c r="NH11" s="17"/>
      <c r="NI11" s="17"/>
      <c r="NJ11" s="17"/>
      <c r="NK11" s="17"/>
      <c r="NL11" s="17"/>
      <c r="NM11" s="17"/>
      <c r="NN11" s="17"/>
      <c r="NO11" s="17"/>
      <c r="NP11" s="17"/>
      <c r="NQ11" s="17"/>
      <c r="NR11" s="17"/>
      <c r="NS11" s="17"/>
      <c r="NT11" s="17"/>
      <c r="NU11" s="17"/>
      <c r="NV11" s="17"/>
      <c r="NW11" s="17"/>
      <c r="NX11" s="17"/>
      <c r="NY11" s="17"/>
      <c r="NZ11" s="17"/>
      <c r="OA11" s="17"/>
      <c r="OB11" s="17"/>
      <c r="OC11" s="17"/>
      <c r="OD11" s="17"/>
      <c r="OE11" s="17"/>
      <c r="OF11" s="17"/>
      <c r="OG11" s="17"/>
      <c r="OH11" s="17"/>
      <c r="OI11" s="17"/>
      <c r="OJ11" s="17"/>
      <c r="OK11" s="17"/>
      <c r="OL11" s="17"/>
      <c r="OM11" s="17"/>
      <c r="ON11" s="17"/>
      <c r="OO11" s="17"/>
      <c r="OP11" s="17"/>
      <c r="OQ11" s="17"/>
      <c r="OR11" s="17"/>
      <c r="OS11" s="17"/>
      <c r="OT11" s="17"/>
      <c r="OU11" s="17"/>
      <c r="OV11" s="17"/>
    </row>
    <row r="12" ht="18.0" customHeight="1">
      <c r="A12" s="16">
        <v>11.0</v>
      </c>
      <c r="B12" s="17" t="s">
        <v>920</v>
      </c>
      <c r="C12" s="18" t="s">
        <v>1070</v>
      </c>
      <c r="D12" s="17" t="s">
        <v>316</v>
      </c>
      <c r="E12" s="16">
        <v>50.0</v>
      </c>
      <c r="F12" s="16">
        <f>COUNTIF('Tổng hợp 75 trang đích'!$B$2:$B$3400,$D12)</f>
        <v>50</v>
      </c>
      <c r="G12" s="16">
        <f>COUNTIFS('Tổng hợp 75 trang đích'!$B$2:$B$3400,$D12,'Tổng hợp 75 trang đích'!$K$2:$K$3400,"PHÙ HỢP CAO")</f>
        <v>3</v>
      </c>
      <c r="H12" s="16">
        <f>COUNTIFS('Tổng hợp 75 trang đích'!$B$2:$B$3400,$D12,'Tổng hợp 75 trang đích'!$K$2:$K$3400,"CÓ THỂ ĐI")</f>
        <v>2</v>
      </c>
      <c r="I12" s="16">
        <f>COUNTIFS('Tổng hợp 75 trang đích'!$B$2:$B$3400,$D12,'Tổng hợp 75 trang đích'!$K$2:$K$3400,"CẦN SOÁT")</f>
        <v>45</v>
      </c>
      <c r="J12" s="19" t="s">
        <v>555</v>
      </c>
      <c r="K12" s="19" t="b">
        <v>0</v>
      </c>
      <c r="L12" s="20" t="s">
        <v>333</v>
      </c>
      <c r="M12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đích'!$B$2:$B$3400=$D12),3,TR"&amp;"UE),1,2)),"""")"),"giá điện sinh hoạt")</f>
        <v>giá điện sinh hoạt</v>
      </c>
      <c r="N12" s="21" t="str">
        <f>IFERROR(__xludf.DUMMYFUNCTION("""COMPUTED_VALUE"""),"https://techcombank.com/thong-tin/blog/gia-dien-sinh-hoat")</f>
        <v>https://techcombank.com/thong-tin/blog/gia-dien-sinh-hoat</v>
      </c>
      <c r="O12" s="17" t="str">
        <f>IFERROR(__xludf.DUMMYFUNCTION("""COMPUTED_VALUE"""),"giá điện sinh hoạt mới nhất")</f>
        <v>giá điện sinh hoạt mới nhất</v>
      </c>
      <c r="P12" s="21" t="str">
        <f>IFERROR(__xludf.DUMMYFUNCTION("""COMPUTED_VALUE"""),"https://techcombank.com/thong-tin/blog/tra-cuu-hoa-don-tien-dien")</f>
        <v>https://techcombank.com/thong-tin/blog/tra-cuu-hoa-don-tien-dien</v>
      </c>
      <c r="Q12" s="17" t="str">
        <f>IFERROR(__xludf.DUMMYFUNCTION("""COMPUTED_VALUE"""),"giá điện sinh hoạt")</f>
        <v>giá điện sinh hoạt</v>
      </c>
      <c r="R12" s="21" t="str">
        <f>IFERROR(__xludf.DUMMYFUNCTION("""COMPUTED_VALUE"""),"https://techcombank.com/thong-tin/blog/cach-dong-tien-dien-qua-tai-khoan-ngan-hang")</f>
        <v>https://techcombank.com/thong-tin/blog/cach-dong-tien-dien-qua-tai-khoan-ngan-hang</v>
      </c>
      <c r="S12" s="17" t="str">
        <f>IFERROR(__xludf.DUMMYFUNCTION("""COMPUTED_VALUE"""),"giá điện sinh hoạt mới nhất")</f>
        <v>giá điện sinh hoạt mới nhất</v>
      </c>
      <c r="T12" s="21" t="str">
        <f>IFERROR(__xludf.DUMMYFUNCTION("""COMPUTED_VALUE"""),"https://techcombank.com/thong-tin/blog/app-dong-tien-dien-online")</f>
        <v>https://techcombank.com/thong-tin/blog/app-dong-tien-dien-online</v>
      </c>
      <c r="U12" s="17" t="str">
        <f>IFERROR(__xludf.DUMMYFUNCTION("""COMPUTED_VALUE"""),"giá điện sinh hoạt")</f>
        <v>giá điện sinh hoạt</v>
      </c>
      <c r="V12" s="21" t="str">
        <f>IFERROR(__xludf.DUMMYFUNCTION("""COMPUTED_VALUE"""),"https://techcombank.com/thong-tin/blog/thanh-toan-tien-dien-bang-the-tin-dung")</f>
        <v>https://techcombank.com/thong-tin/blog/thanh-toan-tien-dien-bang-the-tin-dung</v>
      </c>
      <c r="W12" s="17" t="str">
        <f>IFERROR(__xludf.DUMMYFUNCTION("""COMPUTED_VALUE"""),"giá điện sinh hoạt mới nhất")</f>
        <v>giá điện sinh hoạt mới nhất</v>
      </c>
      <c r="X12" s="21" t="str">
        <f>IFERROR(__xludf.DUMMYFUNCTION("""COMPUTED_VALUE"""),"https://techcombank.com/thong-tin/blog/cach-tra-cuu-hoa-don-dien-tu")</f>
        <v>https://techcombank.com/thong-tin/blog/cach-tra-cuu-hoa-don-dien-tu</v>
      </c>
      <c r="Y12" s="17" t="str">
        <f>IFERROR(__xludf.DUMMYFUNCTION("""COMPUTED_VALUE"""),"giá điện sinh hoạt")</f>
        <v>giá điện sinh hoạt</v>
      </c>
      <c r="Z12" s="21" t="str">
        <f>IFERROR(__xludf.DUMMYFUNCTION("""COMPUTED_VALUE"""),"https://techcombank.com/thong-tin/blog/chuyen-doi-hoa-don-dien-tu")</f>
        <v>https://techcombank.com/thong-tin/blog/chuyen-doi-hoa-don-dien-tu</v>
      </c>
      <c r="AA12" s="17" t="str">
        <f>IFERROR(__xludf.DUMMYFUNCTION("""COMPUTED_VALUE"""),"giá điện sinh hoạt mới nhất")</f>
        <v>giá điện sinh hoạt mới nhất</v>
      </c>
      <c r="AB12" s="21" t="str">
        <f>IFERROR(__xludf.DUMMYFUNCTION("""COMPUTED_VALUE"""),"https://techcombank.com/thong-tin/blog/hoa-don-dien-tu")</f>
        <v>https://techcombank.com/thong-tin/blog/hoa-don-dien-tu</v>
      </c>
      <c r="AC12" s="17" t="str">
        <f>IFERROR(__xludf.DUMMYFUNCTION("""COMPUTED_VALUE"""),"giá điện sinh hoạt")</f>
        <v>giá điện sinh hoạt</v>
      </c>
      <c r="AD12" s="21" t="str">
        <f>IFERROR(__xludf.DUMMYFUNCTION("""COMPUTED_VALUE"""),"https://techcombank.com/thong-tin/blog/hoa-don-dien-tu-ho-kinh-doanh")</f>
        <v>https://techcombank.com/thong-tin/blog/hoa-don-dien-tu-ho-kinh-doanh</v>
      </c>
      <c r="AE12" s="17" t="str">
        <f>IFERROR(__xludf.DUMMYFUNCTION("""COMPUTED_VALUE"""),"giá điện sinh hoạt mới nhất")</f>
        <v>giá điện sinh hoạt mới nhất</v>
      </c>
      <c r="AF12" s="21" t="str">
        <f>IFERROR(__xludf.DUMMYFUNCTION("""COMPUTED_VALUE"""),"https://techcombank.com/thong-tin/blog/one-stop-shop")</f>
        <v>https://techcombank.com/thong-tin/blog/one-stop-shop</v>
      </c>
      <c r="AG12" s="17" t="str">
        <f>IFERROR(__xludf.DUMMYFUNCTION("""COMPUTED_VALUE"""),"giá điện sinh hoạt")</f>
        <v>giá điện sinh hoạt</v>
      </c>
      <c r="AH12" s="21" t="str">
        <f>IFERROR(__xludf.DUMMYFUNCTION("""COMPUTED_VALUE"""),"https://techcombank.com/thong-tin/blog/tim-hieu-ve-chinh-sach-thue-moi")</f>
        <v>https://techcombank.com/thong-tin/blog/tim-hieu-ve-chinh-sach-thue-moi</v>
      </c>
      <c r="AI12" s="17" t="str">
        <f>IFERROR(__xludf.DUMMYFUNCTION("""COMPUTED_VALUE"""),"giá điện sinh hoạt mới nhất")</f>
        <v>giá điện sinh hoạt mới nhất</v>
      </c>
      <c r="AJ12" s="21" t="str">
        <f>IFERROR(__xludf.DUMMYFUNCTION("""COMPUTED_VALUE"""),"https://techcombank.com/thong-tin/blog/may-tinh-tien")</f>
        <v>https://techcombank.com/thong-tin/blog/may-tinh-tien</v>
      </c>
      <c r="AK12" s="17" t="str">
        <f>IFERROR(__xludf.DUMMYFUNCTION("""COMPUTED_VALUE"""),"giá điện sinh hoạt")</f>
        <v>giá điện sinh hoạt</v>
      </c>
      <c r="AL12" s="21" t="str">
        <f>IFERROR(__xludf.DUMMYFUNCTION("""COMPUTED_VALUE"""),"https://techcombank.com/thong-tin/blog/phan-mem-xuat-hoa-don-dien-tu")</f>
        <v>https://techcombank.com/thong-tin/blog/phan-mem-xuat-hoa-don-dien-tu</v>
      </c>
      <c r="AM12" s="17" t="str">
        <f>IFERROR(__xludf.DUMMYFUNCTION("""COMPUTED_VALUE"""),"giá điện sinh hoạt mới nhất")</f>
        <v>giá điện sinh hoạt mới nhất</v>
      </c>
      <c r="AN12" s="21" t="str">
        <f>IFERROR(__xludf.DUMMYFUNCTION("""COMPUTED_VALUE"""),"https://techcombank.com/thong-tin/blog/vay-ngan-hang-1-ty-moi-thang-tra-bao-nhieu")</f>
        <v>https://techcombank.com/thong-tin/blog/vay-ngan-hang-1-ty-moi-thang-tra-bao-nhieu</v>
      </c>
      <c r="AO12" s="17" t="str">
        <f>IFERROR(__xludf.DUMMYFUNCTION("""COMPUTED_VALUE"""),"giá điện sinh hoạt")</f>
        <v>giá điện sinh hoạt</v>
      </c>
      <c r="AP12" s="21" t="str">
        <f>IFERROR(__xludf.DUMMYFUNCTION("""COMPUTED_VALUE"""),"https://techcombank.com/thong-tin/blog/nap-tien-dien-thoai-online")</f>
        <v>https://techcombank.com/thong-tin/blog/nap-tien-dien-thoai-online</v>
      </c>
      <c r="AQ12" s="17" t="str">
        <f>IFERROR(__xludf.DUMMYFUNCTION("""COMPUTED_VALUE"""),"giá điện sinh hoạt mới nhất")</f>
        <v>giá điện sinh hoạt mới nhất</v>
      </c>
      <c r="AR12" s="21" t="str">
        <f>IFERROR(__xludf.DUMMYFUNCTION("""COMPUTED_VALUE"""),"https://techcombank.com/thong-tin/blog/thanh-toan-hoa-don-tieu-dung")</f>
        <v>https://techcombank.com/thong-tin/blog/thanh-toan-hoa-don-tieu-dung</v>
      </c>
      <c r="AS12" s="17" t="str">
        <f>IFERROR(__xludf.DUMMYFUNCTION("""COMPUTED_VALUE"""),"giá điện sinh hoạt")</f>
        <v>giá điện sinh hoạt</v>
      </c>
      <c r="AT12" s="21" t="str">
        <f>IFERROR(__xludf.DUMMYFUNCTION("""COMPUTED_VALUE"""),"https://techcombank.com/thong-tin/blog/cach-huy-thanh-toan-tien-dien")</f>
        <v>https://techcombank.com/thong-tin/blog/cach-huy-thanh-toan-tien-dien</v>
      </c>
      <c r="AU12" s="17" t="str">
        <f>IFERROR(__xludf.DUMMYFUNCTION("""COMPUTED_VALUE"""),"giá điện sinh hoạt mới nhất")</f>
        <v>giá điện sinh hoạt mới nhất</v>
      </c>
      <c r="AV12" s="21" t="str">
        <f>IFERROR(__xludf.DUMMYFUNCTION("""COMPUTED_VALUE"""),"https://techcombank.com/thong-tin/blog/cach-chuyen-tien")</f>
        <v>https://techcombank.com/thong-tin/blog/cach-chuyen-tien</v>
      </c>
      <c r="AW12" s="17" t="str">
        <f>IFERROR(__xludf.DUMMYFUNCTION("""COMPUTED_VALUE"""),"giá điện sinh hoạt")</f>
        <v>giá điện sinh hoạt</v>
      </c>
      <c r="AX12" s="21" t="str">
        <f>IFERROR(__xludf.DUMMYFUNCTION("""COMPUTED_VALUE"""),"https://techcombank.com/thong-tin/blog/the-ghi-no-co-chuyen-khoan-duoc-khong")</f>
        <v>https://techcombank.com/thong-tin/blog/the-ghi-no-co-chuyen-khoan-duoc-khong</v>
      </c>
      <c r="AY12" s="17" t="str">
        <f>IFERROR(__xludf.DUMMYFUNCTION("""COMPUTED_VALUE"""),"giá điện sinh hoạt mới nhất")</f>
        <v>giá điện sinh hoạt mới nhất</v>
      </c>
      <c r="AZ12" s="21" t="str">
        <f>IFERROR(__xludf.DUMMYFUNCTION("""COMPUTED_VALUE"""),"https://techcombank.com/thong-tin/blog/cach-chuyen-khoan-bang-dien-thoai")</f>
        <v>https://techcombank.com/thong-tin/blog/cach-chuyen-khoan-bang-dien-thoai</v>
      </c>
      <c r="BA12" s="17" t="str">
        <f>IFERROR(__xludf.DUMMYFUNCTION("""COMPUTED_VALUE"""),"giá điện sinh hoạt")</f>
        <v>giá điện sinh hoạt</v>
      </c>
      <c r="BB12" s="21" t="str">
        <f>IFERROR(__xludf.DUMMYFUNCTION("""COMPUTED_VALUE"""),"https://techcombank.com/thong-tin/blog/the-tin-dung-co-chuyen-khoan-duoc-khong")</f>
        <v>https://techcombank.com/thong-tin/blog/the-tin-dung-co-chuyen-khoan-duoc-khong</v>
      </c>
      <c r="BC12" s="17" t="str">
        <f>IFERROR(__xludf.DUMMYFUNCTION("""COMPUTED_VALUE"""),"giá điện sinh hoạt mới nhất")</f>
        <v>giá điện sinh hoạt mới nhất</v>
      </c>
      <c r="BD12" s="21" t="str">
        <f>IFERROR(__xludf.DUMMYFUNCTION("""COMPUTED_VALUE"""),"https://techcombank.com/thong-tin/blog/thanh-toan-tien-nuoc-online")</f>
        <v>https://techcombank.com/thong-tin/blog/thanh-toan-tien-nuoc-online</v>
      </c>
      <c r="BE12" s="17" t="str">
        <f>IFERROR(__xludf.DUMMYFUNCTION("""COMPUTED_VALUE"""),"giá điện sinh hoạt")</f>
        <v>giá điện sinh hoạt</v>
      </c>
      <c r="BF12" s="21" t="str">
        <f>IFERROR(__xludf.DUMMYFUNCTION("""COMPUTED_VALUE"""),"https://techcombank.com/thong-tin/blog/mobile-banking-la-gi")</f>
        <v>https://techcombank.com/thong-tin/blog/mobile-banking-la-gi</v>
      </c>
      <c r="BG12" s="17" t="str">
        <f>IFERROR(__xludf.DUMMYFUNCTION("""COMPUTED_VALUE"""),"giá điện sinh hoạt mới nhất")</f>
        <v>giá điện sinh hoạt mới nhất</v>
      </c>
      <c r="BH12" s="21" t="str">
        <f>IFERROR(__xludf.DUMMYFUNCTION("""COMPUTED_VALUE"""),"https://techcombank.com/thong-tin/blog/nap-tien-vao-tai-khoan-ngan-hang")</f>
        <v>https://techcombank.com/thong-tin/blog/nap-tien-vao-tai-khoan-ngan-hang</v>
      </c>
      <c r="BI12" s="17" t="str">
        <f>IFERROR(__xludf.DUMMYFUNCTION("""COMPUTED_VALUE"""),"giá điện sinh hoạt")</f>
        <v>giá điện sinh hoạt</v>
      </c>
      <c r="BJ12" s="21" t="str">
        <f>IFERROR(__xludf.DUMMYFUNCTION("""COMPUTED_VALUE"""),"https://techcombank.com/thong-tin/blog/ngan-hang-thu-huong-la-gi")</f>
        <v>https://techcombank.com/thong-tin/blog/ngan-hang-thu-huong-la-gi</v>
      </c>
      <c r="BK12" s="17" t="str">
        <f>IFERROR(__xludf.DUMMYFUNCTION("""COMPUTED_VALUE"""),"giá điện sinh hoạt mới nhất")</f>
        <v>giá điện sinh hoạt mới nhất</v>
      </c>
      <c r="BL12" s="21" t="str">
        <f>IFERROR(__xludf.DUMMYFUNCTION("""COMPUTED_VALUE"""),"https://techcombank.com/thong-tin/blog/cach-chuyen-tien-qua-ma-qr-techcombank")</f>
        <v>https://techcombank.com/thong-tin/blog/cach-chuyen-tien-qua-ma-qr-techcombank</v>
      </c>
      <c r="BM12" s="17" t="str">
        <f>IFERROR(__xludf.DUMMYFUNCTION("""COMPUTED_VALUE"""),"giá điện sinh hoạt")</f>
        <v>giá điện sinh hoạt</v>
      </c>
      <c r="BN12" s="21" t="str">
        <f>IFERROR(__xludf.DUMMYFUNCTION("""COMPUTED_VALUE"""),"https://techcombank.com/thong-tin/blog/1-cmnd-dang-ky-duoc-may-tai-khoan-ngan-hang")</f>
        <v>https://techcombank.com/thong-tin/blog/1-cmnd-dang-ky-duoc-may-tai-khoan-ngan-hang</v>
      </c>
      <c r="BO12" s="17" t="str">
        <f>IFERROR(__xludf.DUMMYFUNCTION("""COMPUTED_VALUE"""),"giá điện sinh hoạt mới nhất")</f>
        <v>giá điện sinh hoạt mới nhất</v>
      </c>
      <c r="BP12" s="21" t="str">
        <f>IFERROR(__xludf.DUMMYFUNCTION("""COMPUTED_VALUE"""),"https://techcombank.com/thong-tin/blog/cach-chon-so-tai-khoan-dep")</f>
        <v>https://techcombank.com/thong-tin/blog/cach-chon-so-tai-khoan-dep</v>
      </c>
      <c r="BQ12" s="17" t="str">
        <f>IFERROR(__xludf.DUMMYFUNCTION("""COMPUTED_VALUE"""),"giá điện sinh hoạt")</f>
        <v>giá điện sinh hoạt</v>
      </c>
      <c r="BR12" s="21" t="str">
        <f>IFERROR(__xludf.DUMMYFUNCTION("""COMPUTED_VALUE"""),"https://techcombank.com/thong-tin/blog/99999-co-y-nghia-gi")</f>
        <v>https://techcombank.com/thong-tin/blog/99999-co-y-nghia-gi</v>
      </c>
      <c r="BS12" s="17" t="str">
        <f>IFERROR(__xludf.DUMMYFUNCTION("""COMPUTED_VALUE"""),"giá điện sinh hoạt mới nhất")</f>
        <v>giá điện sinh hoạt mới nhất</v>
      </c>
      <c r="BT12" s="21" t="str">
        <f>IFERROR(__xludf.DUMMYFUNCTION("""COMPUTED_VALUE"""),"https://techcombank.com/thong-tin/blog/chuyen-khoan-lien-ngan-hang")</f>
        <v>https://techcombank.com/thong-tin/blog/chuyen-khoan-lien-ngan-hang</v>
      </c>
      <c r="BU12" s="17" t="str">
        <f>IFERROR(__xludf.DUMMYFUNCTION("""COMPUTED_VALUE"""),"giá điện sinh hoạt")</f>
        <v>giá điện sinh hoạt</v>
      </c>
      <c r="BV12" s="21" t="str">
        <f>IFERROR(__xludf.DUMMYFUNCTION("""COMPUTED_VALUE"""),"https://techcombank.com/thong-tin/blog/cach-kiem-tra-tai-khoan-ngan-hang")</f>
        <v>https://techcombank.com/thong-tin/blog/cach-kiem-tra-tai-khoan-ngan-hang</v>
      </c>
      <c r="BW12" s="17" t="str">
        <f>IFERROR(__xludf.DUMMYFUNCTION("""COMPUTED_VALUE"""),"giá điện sinh hoạt mới nhất")</f>
        <v>giá điện sinh hoạt mới nhất</v>
      </c>
      <c r="BX12" s="21" t="str">
        <f>IFERROR(__xludf.DUMMYFUNCTION("""COMPUTED_VALUE"""),"https://techcombank.com/thong-tin/blog/tra-cuu-hoa-don-nuoc")</f>
        <v>https://techcombank.com/thong-tin/blog/tra-cuu-hoa-don-nuoc</v>
      </c>
      <c r="BY12" s="17" t="str">
        <f>IFERROR(__xludf.DUMMYFUNCTION("""COMPUTED_VALUE"""),"giá điện sinh hoạt")</f>
        <v>giá điện sinh hoạt</v>
      </c>
      <c r="BZ12" s="21" t="str">
        <f>IFERROR(__xludf.DUMMYFUNCTION("""COMPUTED_VALUE"""),"https://techcombank.com/thong-tin/blog/so-tai-khoan-ngan-hang")</f>
        <v>https://techcombank.com/thong-tin/blog/so-tai-khoan-ngan-hang</v>
      </c>
      <c r="CA12" s="17" t="str">
        <f>IFERROR(__xludf.DUMMYFUNCTION("""COMPUTED_VALUE"""),"giá điện sinh hoạt mới nhất")</f>
        <v>giá điện sinh hoạt mới nhất</v>
      </c>
      <c r="CB12" s="21" t="str">
        <f>IFERROR(__xludf.DUMMYFUNCTION("""COMPUTED_VALUE"""),"https://techcombank.com/thong-tin/blog/app-chia-tien")</f>
        <v>https://techcombank.com/thong-tin/blog/app-chia-tien</v>
      </c>
      <c r="CC12" s="17" t="str">
        <f>IFERROR(__xludf.DUMMYFUNCTION("""COMPUTED_VALUE"""),"giá điện sinh hoạt")</f>
        <v>giá điện sinh hoạt</v>
      </c>
      <c r="CD12" s="21" t="str">
        <f>IFERROR(__xludf.DUMMYFUNCTION("""COMPUTED_VALUE"""),"https://techcombank.com/thong-tin/blog/gui-ma-qr-ngan-hang")</f>
        <v>https://techcombank.com/thong-tin/blog/gui-ma-qr-ngan-hang</v>
      </c>
      <c r="CE12" s="17" t="str">
        <f>IFERROR(__xludf.DUMMYFUNCTION("""COMPUTED_VALUE"""),"giá điện sinh hoạt mới nhất")</f>
        <v>giá điện sinh hoạt mới nhất</v>
      </c>
      <c r="CF12" s="21" t="str">
        <f>IFERROR(__xludf.DUMMYFUNCTION("""COMPUTED_VALUE"""),"https://techcombank.com/thong-tin/blog/tao-ma-qr-thanh-toan-cho-cua-hang")</f>
        <v>https://techcombank.com/thong-tin/blog/tao-ma-qr-thanh-toan-cho-cua-hang</v>
      </c>
      <c r="CG12" s="17" t="str">
        <f>IFERROR(__xludf.DUMMYFUNCTION("""COMPUTED_VALUE"""),"giá điện sinh hoạt")</f>
        <v>giá điện sinh hoạt</v>
      </c>
      <c r="CH12" s="21" t="str">
        <f>IFERROR(__xludf.DUMMYFUNCTION("""COMPUTED_VALUE"""),"https://techcombank.com/thong-tin/blog/app-ngan-hang-uy-tin")</f>
        <v>https://techcombank.com/thong-tin/blog/app-ngan-hang-uy-tin</v>
      </c>
      <c r="CI12" s="17" t="str">
        <f>IFERROR(__xludf.DUMMYFUNCTION("""COMPUTED_VALUE"""),"giá điện sinh hoạt mới nhất")</f>
        <v>giá điện sinh hoạt mới nhất</v>
      </c>
      <c r="CJ12" s="21" t="str">
        <f>IFERROR(__xludf.DUMMYFUNCTION("""COMPUTED_VALUE"""),"https://techcombank.com/thong-tin/blog/cach-lay-lai-tien-da-chuyen-khoan-khi-bi-lua")</f>
        <v>https://techcombank.com/thong-tin/blog/cach-lay-lai-tien-da-chuyen-khoan-khi-bi-lua</v>
      </c>
      <c r="CK12" s="17" t="str">
        <f>IFERROR(__xludf.DUMMYFUNCTION("""COMPUTED_VALUE"""),"giá điện sinh hoạt")</f>
        <v>giá điện sinh hoạt</v>
      </c>
      <c r="CL12" s="21" t="str">
        <f>IFERROR(__xludf.DUMMYFUNCTION("""COMPUTED_VALUE"""),"https://techcombank.com/thong-tin/blog/cach-doi-mat-khau-tai-khoan-ngan-hang")</f>
        <v>https://techcombank.com/thong-tin/blog/cach-doi-mat-khau-tai-khoan-ngan-hang</v>
      </c>
      <c r="CM12" s="17" t="str">
        <f>IFERROR(__xludf.DUMMYFUNCTION("""COMPUTED_VALUE"""),"giá điện sinh hoạt mới nhất")</f>
        <v>giá điện sinh hoạt mới nhất</v>
      </c>
      <c r="CN12" s="21" t="str">
        <f>IFERROR(__xludf.DUMMYFUNCTION("""COMPUTED_VALUE"""),"https://techcombank.com/thong-tin/blog/lo-ma-qr-ngan-hang-co-sao-khong")</f>
        <v>https://techcombank.com/thong-tin/blog/lo-ma-qr-ngan-hang-co-sao-khong</v>
      </c>
      <c r="CO12" s="17" t="str">
        <f>IFERROR(__xludf.DUMMYFUNCTION("""COMPUTED_VALUE"""),"giá điện sinh hoạt")</f>
        <v>giá điện sinh hoạt</v>
      </c>
      <c r="CP12" s="21" t="str">
        <f>IFERROR(__xludf.DUMMYFUNCTION("""COMPUTED_VALUE"""),"https://techcombank.com/thong-tin/blog/app-ngan-hang")</f>
        <v>https://techcombank.com/thong-tin/blog/app-ngan-hang</v>
      </c>
      <c r="CQ12" s="17" t="str">
        <f>IFERROR(__xludf.DUMMYFUNCTION("""COMPUTED_VALUE"""),"giá điện sinh hoạt mới nhất")</f>
        <v>giá điện sinh hoạt mới nhất</v>
      </c>
      <c r="CR12" s="21" t="str">
        <f>IFERROR(__xludf.DUMMYFUNCTION("""COMPUTED_VALUE"""),"https://techcombank.com/thong-tin/blog/so-the-ngan-hang")</f>
        <v>https://techcombank.com/thong-tin/blog/so-the-ngan-hang</v>
      </c>
      <c r="CS12" s="17" t="str">
        <f>IFERROR(__xludf.DUMMYFUNCTION("""COMPUTED_VALUE"""),"giá điện sinh hoạt")</f>
        <v>giá điện sinh hoạt</v>
      </c>
      <c r="CT12" s="21" t="str">
        <f>IFERROR(__xludf.DUMMYFUNCTION("""COMPUTED_VALUE"""),"https://techcombank.com/thong-tin/blog/mo-tai-khoan-ngan-hang-online-co-an-toan-khong")</f>
        <v>https://techcombank.com/thong-tin/blog/mo-tai-khoan-ngan-hang-online-co-an-toan-khong</v>
      </c>
      <c r="CU12" s="17" t="str">
        <f>IFERROR(__xludf.DUMMYFUNCTION("""COMPUTED_VALUE"""),"giá điện sinh hoạt mới nhất")</f>
        <v>giá điện sinh hoạt mới nhất</v>
      </c>
      <c r="CV12" s="21" t="str">
        <f>IFERROR(__xludf.DUMMYFUNCTION("""COMPUTED_VALUE"""),"https://techcombank.com/thong-tin/blog/mo-tai-khoan-ngan-hang-co-mat-phi-khong")</f>
        <v>https://techcombank.com/thong-tin/blog/mo-tai-khoan-ngan-hang-co-mat-phi-khong</v>
      </c>
      <c r="CW12" s="17" t="str">
        <f>IFERROR(__xludf.DUMMYFUNCTION("""COMPUTED_VALUE"""),"giá điện sinh hoạt")</f>
        <v>giá điện sinh hoạt</v>
      </c>
      <c r="CX12" s="21" t="str">
        <f>IFERROR(__xludf.DUMMYFUNCTION("""COMPUTED_VALUE"""),"https://techcombank.com/thong-tin/blog/thanh-toan-tra-sau-viettel-bang-tai-khoan-ngan-hang")</f>
        <v>https://techcombank.com/thong-tin/blog/thanh-toan-tra-sau-viettel-bang-tai-khoan-ngan-hang</v>
      </c>
      <c r="CY12" s="17" t="str">
        <f>IFERROR(__xludf.DUMMYFUNCTION("""COMPUTED_VALUE"""),"giá điện sinh hoạt mới nhất")</f>
        <v>giá điện sinh hoạt mới nhất</v>
      </c>
      <c r="CZ12" s="21" t="str">
        <f>IFERROR(__xludf.DUMMYFUNCTION("""COMPUTED_VALUE"""),"https://techcombank.com/thong-tin/blog/co-nen-mua-so-tai-khoan-ngan-hang-dep")</f>
        <v>https://techcombank.com/thong-tin/blog/co-nen-mua-so-tai-khoan-ngan-hang-dep</v>
      </c>
      <c r="DA12" s="17" t="str">
        <f>IFERROR(__xludf.DUMMYFUNCTION("""COMPUTED_VALUE"""),"giá điện sinh hoạt")</f>
        <v>giá điện sinh hoạt</v>
      </c>
      <c r="DB12" s="21" t="str">
        <f>IFERROR(__xludf.DUMMYFUNCTION("""COMPUTED_VALUE"""),"https://techcombank.com/thong-tin/blog/ma-qr-ngan-hang-khong-hop-le")</f>
        <v>https://techcombank.com/thong-tin/blog/ma-qr-ngan-hang-khong-hop-le</v>
      </c>
      <c r="DC12" s="17" t="str">
        <f>IFERROR(__xludf.DUMMYFUNCTION("""COMPUTED_VALUE"""),"giá điện sinh hoạt mới nhất")</f>
        <v>giá điện sinh hoạt mới nhất</v>
      </c>
      <c r="DD12" s="21" t="str">
        <f>IFERROR(__xludf.DUMMYFUNCTION("""COMPUTED_VALUE"""),"https://techcombank.com/thong-tin/blog/rut-tien-mat-tu-tai-khoan-doanh-nghiep")</f>
        <v>https://techcombank.com/thong-tin/blog/rut-tien-mat-tu-tai-khoan-doanh-nghiep</v>
      </c>
      <c r="DE12" s="17" t="str">
        <f>IFERROR(__xludf.DUMMYFUNCTION("""COMPUTED_VALUE"""),"giá điện sinh hoạt")</f>
        <v>giá điện sinh hoạt</v>
      </c>
      <c r="DF12" s="21" t="str">
        <f>IFERROR(__xludf.DUMMYFUNCTION("""COMPUTED_VALUE"""),"https://techcombank.com/thong-tin/blog/cach-tao-ma-qr-code-mien-phi")</f>
        <v>https://techcombank.com/thong-tin/blog/cach-tao-ma-qr-code-mien-phi</v>
      </c>
      <c r="DG12" s="17" t="str">
        <f>IFERROR(__xludf.DUMMYFUNCTION("""COMPUTED_VALUE"""),"giá điện sinh hoạt mới nhất")</f>
        <v>giá điện sinh hoạt mới nhất</v>
      </c>
      <c r="DH12" s="21" t="str">
        <f>IFERROR(__xludf.DUMMYFUNCTION("""COMPUTED_VALUE"""),"https://techcombank.com/thong-tin/blog/rut-tien-bang-ma-qr-khac-ngan-hang-duoc-khong")</f>
        <v>https://techcombank.com/thong-tin/blog/rut-tien-bang-ma-qr-khac-ngan-hang-duoc-khong</v>
      </c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7"/>
      <c r="LZ12" s="17"/>
      <c r="MA12" s="17"/>
      <c r="MB12" s="17"/>
      <c r="MC12" s="17"/>
      <c r="MD12" s="17"/>
      <c r="ME12" s="17"/>
      <c r="MF12" s="17"/>
      <c r="MG12" s="17"/>
      <c r="MH12" s="17"/>
      <c r="MI12" s="17"/>
      <c r="MJ12" s="17"/>
      <c r="MK12" s="17"/>
      <c r="ML12" s="17"/>
      <c r="MM12" s="17"/>
      <c r="MN12" s="17"/>
      <c r="MO12" s="17"/>
      <c r="MP12" s="17"/>
      <c r="MQ12" s="17"/>
      <c r="MR12" s="17"/>
      <c r="MS12" s="17"/>
      <c r="MT12" s="17"/>
      <c r="MU12" s="17"/>
      <c r="MV12" s="17"/>
      <c r="MW12" s="17"/>
      <c r="MX12" s="17"/>
      <c r="MY12" s="17"/>
      <c r="MZ12" s="17"/>
      <c r="NA12" s="17"/>
      <c r="NB12" s="17"/>
      <c r="NC12" s="17"/>
      <c r="ND12" s="17"/>
      <c r="NE12" s="17"/>
      <c r="NF12" s="17"/>
      <c r="NG12" s="17"/>
      <c r="NH12" s="17"/>
      <c r="NI12" s="17"/>
      <c r="NJ12" s="17"/>
      <c r="NK12" s="17"/>
      <c r="NL12" s="17"/>
      <c r="NM12" s="17"/>
      <c r="NN12" s="17"/>
      <c r="NO12" s="17"/>
      <c r="NP12" s="17"/>
      <c r="NQ12" s="17"/>
      <c r="NR12" s="17"/>
      <c r="NS12" s="17"/>
      <c r="NT12" s="17"/>
      <c r="NU12" s="17"/>
      <c r="NV12" s="17"/>
      <c r="NW12" s="17"/>
      <c r="NX12" s="17"/>
      <c r="NY12" s="17"/>
      <c r="NZ12" s="17"/>
      <c r="OA12" s="17"/>
      <c r="OB12" s="17"/>
      <c r="OC12" s="17"/>
      <c r="OD12" s="17"/>
      <c r="OE12" s="17"/>
      <c r="OF12" s="17"/>
      <c r="OG12" s="17"/>
      <c r="OH12" s="17"/>
      <c r="OI12" s="17"/>
      <c r="OJ12" s="17"/>
      <c r="OK12" s="17"/>
      <c r="OL12" s="17"/>
      <c r="OM12" s="17"/>
      <c r="ON12" s="17"/>
      <c r="OO12" s="17"/>
      <c r="OP12" s="17"/>
      <c r="OQ12" s="17"/>
      <c r="OR12" s="17"/>
      <c r="OS12" s="17"/>
      <c r="OT12" s="17"/>
      <c r="OU12" s="17"/>
      <c r="OV12" s="17"/>
    </row>
    <row r="13" ht="18.0" customHeight="1">
      <c r="A13" s="16">
        <v>12.0</v>
      </c>
      <c r="B13" s="17" t="s">
        <v>920</v>
      </c>
      <c r="C13" s="18" t="s">
        <v>1078</v>
      </c>
      <c r="D13" s="17" t="s">
        <v>326</v>
      </c>
      <c r="E13" s="16">
        <v>50.0</v>
      </c>
      <c r="F13" s="16">
        <f>COUNTIF('Tổng hợp 75 trang đích'!$B$2:$B$3400,$D13)</f>
        <v>50</v>
      </c>
      <c r="G13" s="16">
        <f>COUNTIFS('Tổng hợp 75 trang đích'!$B$2:$B$3400,$D13,'Tổng hợp 75 trang đích'!$K$2:$K$3400,"PHÙ HỢP CAO")</f>
        <v>2</v>
      </c>
      <c r="H13" s="16">
        <f>COUNTIFS('Tổng hợp 75 trang đích'!$B$2:$B$3400,$D13,'Tổng hợp 75 trang đích'!$K$2:$K$3400,"CÓ THỂ ĐI")</f>
        <v>3</v>
      </c>
      <c r="I13" s="16">
        <f>COUNTIFS('Tổng hợp 75 trang đích'!$B$2:$B$3400,$D13,'Tổng hợp 75 trang đích'!$K$2:$K$3400,"CẦN SOÁT")</f>
        <v>45</v>
      </c>
      <c r="J13" s="19" t="s">
        <v>555</v>
      </c>
      <c r="K13" s="19" t="b">
        <v>0</v>
      </c>
      <c r="L13" s="20" t="s">
        <v>333</v>
      </c>
      <c r="M13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đích'!$B$2:$B$3400=$D13),3,TR"&amp;"UE),1,2)),"""")"),"thuế thu nhập cá nhân")</f>
        <v>thuế thu nhập cá nhân</v>
      </c>
      <c r="N13" s="21" t="str">
        <f>IFERROR(__xludf.DUMMYFUNCTION("""COMPUTED_VALUE"""),"https://techcombank.com/thong-tin/blog/quyet-toan-thue-thu-nhap-ca-nhan")</f>
        <v>https://techcombank.com/thong-tin/blog/quyet-toan-thue-thu-nhap-ca-nhan</v>
      </c>
      <c r="O13" s="17" t="str">
        <f>IFERROR(__xludf.DUMMYFUNCTION("""COMPUTED_VALUE"""),"thuế thu nhập cá nhân năm 2026")</f>
        <v>thuế thu nhập cá nhân năm 2026</v>
      </c>
      <c r="P13" s="21" t="str">
        <f>IFERROR(__xludf.DUMMYFUNCTION("""COMPUTED_VALUE"""),"https://techcombank.com/thong-tin/blog/hoan-thue-thu-nhap-ca-nhan")</f>
        <v>https://techcombank.com/thong-tin/blog/hoan-thue-thu-nhap-ca-nhan</v>
      </c>
      <c r="Q13" s="17" t="str">
        <f>IFERROR(__xludf.DUMMYFUNCTION("""COMPUTED_VALUE"""),"thuế thu nhập cá nhân")</f>
        <v>thuế thu nhập cá nhân</v>
      </c>
      <c r="R13" s="21" t="str">
        <f>IFERROR(__xludf.DUMMYFUNCTION("""COMPUTED_VALUE"""),"https://techcombank.com/thong-tin/blog/dang-ky-ma-so-thue-ca-nhan")</f>
        <v>https://techcombank.com/thong-tin/blog/dang-ky-ma-so-thue-ca-nhan</v>
      </c>
      <c r="S13" s="17" t="str">
        <f>IFERROR(__xludf.DUMMYFUNCTION("""COMPUTED_VALUE"""),"thuế thu nhập cá nhân năm 2026")</f>
        <v>thuế thu nhập cá nhân năm 2026</v>
      </c>
      <c r="T13" s="21" t="str">
        <f>IFERROR(__xludf.DUMMYFUNCTION("""COMPUTED_VALUE"""),"https://techcombank.com/thong-tin/blog/sao-ke-luong")</f>
        <v>https://techcombank.com/thong-tin/blog/sao-ke-luong</v>
      </c>
      <c r="U13" s="17" t="str">
        <f>IFERROR(__xludf.DUMMYFUNCTION("""COMPUTED_VALUE"""),"thuế thu nhập cá nhân")</f>
        <v>thuế thu nhập cá nhân</v>
      </c>
      <c r="V13" s="21" t="str">
        <f>IFERROR(__xludf.DUMMYFUNCTION("""COMPUTED_VALUE"""),"https://techcombank.com/thong-tin/blog/luong-huu")</f>
        <v>https://techcombank.com/thong-tin/blog/luong-huu</v>
      </c>
      <c r="W13" s="17" t="str">
        <f>IFERROR(__xludf.DUMMYFUNCTION("""COMPUTED_VALUE"""),"thuế thu nhập cá nhân năm 2026")</f>
        <v>thuế thu nhập cá nhân năm 2026</v>
      </c>
      <c r="X13" s="21" t="str">
        <f>IFERROR(__xludf.DUMMYFUNCTION("""COMPUTED_VALUE"""),"https://techcombank.com/thong-tin/blog/cach-tinh-thue-ho-kinh-doanh-nho-le")</f>
        <v>https://techcombank.com/thong-tin/blog/cach-tinh-thue-ho-kinh-doanh-nho-le</v>
      </c>
      <c r="Y13" s="17" t="str">
        <f>IFERROR(__xludf.DUMMYFUNCTION("""COMPUTED_VALUE"""),"thuế thu nhập cá nhân")</f>
        <v>thuế thu nhập cá nhân</v>
      </c>
      <c r="Z13" s="21" t="str">
        <f>IFERROR(__xludf.DUMMYFUNCTION("""COMPUTED_VALUE"""),"https://techcombank.com/thong-tin/blog/tra-luong-tien-mat")</f>
        <v>https://techcombank.com/thong-tin/blog/tra-luong-tien-mat</v>
      </c>
      <c r="AA13" s="17" t="str">
        <f>IFERROR(__xludf.DUMMYFUNCTION("""COMPUTED_VALUE"""),"thuế thu nhập cá nhân năm 2026")</f>
        <v>thuế thu nhập cá nhân năm 2026</v>
      </c>
      <c r="AB13" s="21" t="str">
        <f>IFERROR(__xludf.DUMMYFUNCTION("""COMPUTED_VALUE"""),"https://techcombank.com/thong-tin/blog/tra-cuu-no-thue-ca-nhan")</f>
        <v>https://techcombank.com/thong-tin/blog/tra-cuu-no-thue-ca-nhan</v>
      </c>
      <c r="AC13" s="17" t="str">
        <f>IFERROR(__xludf.DUMMYFUNCTION("""COMPUTED_VALUE"""),"thuế thu nhập cá nhân")</f>
        <v>thuế thu nhập cá nhân</v>
      </c>
      <c r="AD13" s="21" t="str">
        <f>IFERROR(__xludf.DUMMYFUNCTION("""COMPUTED_VALUE"""),"https://techcombank.com/thong-tin/blog/nhung-ho-kinh-doanh-duoc-mien-thue")</f>
        <v>https://techcombank.com/thong-tin/blog/nhung-ho-kinh-doanh-duoc-mien-thue</v>
      </c>
      <c r="AE13" s="17" t="str">
        <f>IFERROR(__xludf.DUMMYFUNCTION("""COMPUTED_VALUE"""),"thuế thu nhập cá nhân năm 2026")</f>
        <v>thuế thu nhập cá nhân năm 2026</v>
      </c>
      <c r="AF13" s="21" t="str">
        <f>IFERROR(__xludf.DUMMYFUNCTION("""COMPUTED_VALUE"""),"https://techcombank.com/thong-tin/blog/app-tra-luong")</f>
        <v>https://techcombank.com/thong-tin/blog/app-tra-luong</v>
      </c>
      <c r="AG13" s="17" t="str">
        <f>IFERROR(__xludf.DUMMYFUNCTION("""COMPUTED_VALUE"""),"thuế thu nhập cá nhân")</f>
        <v>thuế thu nhập cá nhân</v>
      </c>
      <c r="AH13" s="21" t="str">
        <f>IFERROR(__xludf.DUMMYFUNCTION("""COMPUTED_VALUE"""),"https://techcombank.com/thong-tin/blog/ho-kinh-doanh-dong-thue-nhu-nao")</f>
        <v>https://techcombank.com/thong-tin/blog/ho-kinh-doanh-dong-thue-nhu-nao</v>
      </c>
      <c r="AI13" s="17" t="str">
        <f>IFERROR(__xludf.DUMMYFUNCTION("""COMPUTED_VALUE"""),"thuế thu nhập cá nhân năm 2026")</f>
        <v>thuế thu nhập cá nhân năm 2026</v>
      </c>
      <c r="AJ13" s="21" t="str">
        <f>IFERROR(__xludf.DUMMYFUNCTION("""COMPUTED_VALUE"""),"https://techcombank.com/thong-tin/blog/chinh-sach-tang-luong-huu")</f>
        <v>https://techcombank.com/thong-tin/blog/chinh-sach-tang-luong-huu</v>
      </c>
      <c r="AK13" s="17" t="str">
        <f>IFERROR(__xludf.DUMMYFUNCTION("""COMPUTED_VALUE"""),"thuế thu nhập cá nhân")</f>
        <v>thuế thu nhập cá nhân</v>
      </c>
      <c r="AL13" s="21" t="str">
        <f>IFERROR(__xludf.DUMMYFUNCTION("""COMPUTED_VALUE"""),"https://techcombank.com/thong-tin/blog/vay-the-chap-qua-luong")</f>
        <v>https://techcombank.com/thong-tin/blog/vay-the-chap-qua-luong</v>
      </c>
      <c r="AM13" s="17" t="str">
        <f>IFERROR(__xludf.DUMMYFUNCTION("""COMPUTED_VALUE"""),"thuế thu nhập cá nhân năm 2026")</f>
        <v>thuế thu nhập cá nhân năm 2026</v>
      </c>
      <c r="AN13" s="21" t="str">
        <f>IFERROR(__xludf.DUMMYFUNCTION("""COMPUTED_VALUE"""),"https://techcombank.com/thong-tin/blog/kiem-tra-thue-thu-nhap-ca-nhan")</f>
        <v>https://techcombank.com/thong-tin/blog/kiem-tra-thue-thu-nhap-ca-nhan</v>
      </c>
      <c r="AO13" s="17" t="str">
        <f>IFERROR(__xludf.DUMMYFUNCTION("""COMPUTED_VALUE"""),"thuế thu nhập cá nhân")</f>
        <v>thuế thu nhập cá nhân</v>
      </c>
      <c r="AP13" s="21" t="str">
        <f>IFERROR(__xludf.DUMMYFUNCTION("""COMPUTED_VALUE"""),"https://techcombank.com/thong-tin/blog/chi-tra-luong-huu")</f>
        <v>https://techcombank.com/thong-tin/blog/chi-tra-luong-huu</v>
      </c>
      <c r="AQ13" s="17" t="str">
        <f>IFERROR(__xludf.DUMMYFUNCTION("""COMPUTED_VALUE"""),"thuế thu nhập cá nhân năm 2026")</f>
        <v>thuế thu nhập cá nhân năm 2026</v>
      </c>
      <c r="AR13" s="21" t="str">
        <f>IFERROR(__xludf.DUMMYFUNCTION("""COMPUTED_VALUE"""),"https://techcombank.com/thong-tin/blog/hoc-cach-tiet-kiem-tien-luong")</f>
        <v>https://techcombank.com/thong-tin/blog/hoc-cach-tiet-kiem-tien-luong</v>
      </c>
      <c r="AS13" s="17" t="str">
        <f>IFERROR(__xludf.DUMMYFUNCTION("""COMPUTED_VALUE"""),"thuế thu nhập cá nhân")</f>
        <v>thuế thu nhập cá nhân</v>
      </c>
      <c r="AT13" s="21" t="str">
        <f>IFERROR(__xludf.DUMMYFUNCTION("""COMPUTED_VALUE"""),"https://techcombank.com/thong-tin/blog/thue-thu-nhap-ca-nhan")</f>
        <v>https://techcombank.com/thong-tin/blog/thue-thu-nhap-ca-nhan</v>
      </c>
      <c r="AU13" s="17" t="str">
        <f>IFERROR(__xludf.DUMMYFUNCTION("""COMPUTED_VALUE"""),"thuế thu nhập cá nhân năm 2026")</f>
        <v>thuế thu nhập cá nhân năm 2026</v>
      </c>
      <c r="AV13" s="21" t="str">
        <f>IFERROR(__xludf.DUMMYFUNCTION("""COMPUTED_VALUE"""),"https://techcombank.com/thong-tin/blog/thue-thu-nhap-doanh-nghiep")</f>
        <v>https://techcombank.com/thong-tin/blog/thue-thu-nhap-doanh-nghiep</v>
      </c>
      <c r="AW13" s="17" t="str">
        <f>IFERROR(__xludf.DUMMYFUNCTION("""COMPUTED_VALUE"""),"thuế thu nhập cá nhân")</f>
        <v>thuế thu nhập cá nhân</v>
      </c>
      <c r="AX13" s="21" t="str">
        <f>IFERROR(__xludf.DUMMYFUNCTION("""COMPUTED_VALUE"""),"https://techcombank.com/thong-tin/blog/cach-tinh-thue-thu-nhap-doanh-nghiep")</f>
        <v>https://techcombank.com/thong-tin/blog/cach-tinh-thue-thu-nhap-doanh-nghiep</v>
      </c>
      <c r="AY13" s="17" t="str">
        <f>IFERROR(__xludf.DUMMYFUNCTION("""COMPUTED_VALUE"""),"thuế thu nhập cá nhân năm 2026")</f>
        <v>thuế thu nhập cá nhân năm 2026</v>
      </c>
      <c r="AZ13" s="21" t="str">
        <f>IFERROR(__xludf.DUMMYFUNCTION("""COMPUTED_VALUE"""),"https://techcombank.com/thong-tin/blog/ke-khai-thue-doanh-nghiep")</f>
        <v>https://techcombank.com/thong-tin/blog/ke-khai-thue-doanh-nghiep</v>
      </c>
      <c r="BA13" s="17" t="str">
        <f>IFERROR(__xludf.DUMMYFUNCTION("""COMPUTED_VALUE"""),"thuế thu nhập cá nhân")</f>
        <v>thuế thu nhập cá nhân</v>
      </c>
      <c r="BB13" s="21" t="str">
        <f>IFERROR(__xludf.DUMMYFUNCTION("""COMPUTED_VALUE"""),"https://techcombank.com/thong-tin/blog/cach-nop-thue-dien-tu")</f>
        <v>https://techcombank.com/thong-tin/blog/cach-nop-thue-dien-tu</v>
      </c>
      <c r="BC13" s="17" t="str">
        <f>IFERROR(__xludf.DUMMYFUNCTION("""COMPUTED_VALUE"""),"thuế thu nhập cá nhân năm 2026")</f>
        <v>thuế thu nhập cá nhân năm 2026</v>
      </c>
      <c r="BD13" s="21" t="str">
        <f>IFERROR(__xludf.DUMMYFUNCTION("""COMPUTED_VALUE"""),"https://techcombank.com/thong-tin/blog/tim-hieu-ve-chinh-sach-thue-moi")</f>
        <v>https://techcombank.com/thong-tin/blog/tim-hieu-ve-chinh-sach-thue-moi</v>
      </c>
      <c r="BE13" s="17" t="str">
        <f>IFERROR(__xludf.DUMMYFUNCTION("""COMPUTED_VALUE"""),"thuế thu nhập cá nhân")</f>
        <v>thuế thu nhập cá nhân</v>
      </c>
      <c r="BF13" s="21" t="str">
        <f>IFERROR(__xludf.DUMMYFUNCTION("""COMPUTED_VALUE"""),"https://techcombank.com/thong-tin/blog/thue-thuong-mai-dien-tu")</f>
        <v>https://techcombank.com/thong-tin/blog/thue-thuong-mai-dien-tu</v>
      </c>
      <c r="BG13" s="17" t="str">
        <f>IFERROR(__xludf.DUMMYFUNCTION("""COMPUTED_VALUE"""),"thuế thu nhập cá nhân năm 2026")</f>
        <v>thuế thu nhập cá nhân năm 2026</v>
      </c>
      <c r="BH13" s="21" t="str">
        <f>IFERROR(__xludf.DUMMYFUNCTION("""COMPUTED_VALUE"""),"https://techcombank.com/thong-tin/blog/tra-cuu-no-thue-doanh-nghiep")</f>
        <v>https://techcombank.com/thong-tin/blog/tra-cuu-no-thue-doanh-nghiep</v>
      </c>
      <c r="BI13" s="17" t="str">
        <f>IFERROR(__xludf.DUMMYFUNCTION("""COMPUTED_VALUE"""),"thuế thu nhập cá nhân")</f>
        <v>thuế thu nhập cá nhân</v>
      </c>
      <c r="BJ13" s="21" t="str">
        <f>IFERROR(__xludf.DUMMYFUNCTION("""COMPUTED_VALUE"""),"https://techcombank.com/thong-tin/blog/giai-dap-ve-thue-doanh-nghiep")</f>
        <v>https://techcombank.com/thong-tin/blog/giai-dap-ve-thue-doanh-nghiep</v>
      </c>
      <c r="BK13" s="17" t="str">
        <f>IFERROR(__xludf.DUMMYFUNCTION("""COMPUTED_VALUE"""),"thuế thu nhập cá nhân năm 2026")</f>
        <v>thuế thu nhập cá nhân năm 2026</v>
      </c>
      <c r="BL13" s="21" t="str">
        <f>IFERROR(__xludf.DUMMYFUNCTION("""COMPUTED_VALUE"""),"https://techcombank.com/thong-tin/blog/ke-khai-thue-ho-kinh-doanh-ca-the-online")</f>
        <v>https://techcombank.com/thong-tin/blog/ke-khai-thue-ho-kinh-doanh-ca-the-online</v>
      </c>
      <c r="BM13" s="17" t="str">
        <f>IFERROR(__xludf.DUMMYFUNCTION("""COMPUTED_VALUE"""),"thuế thu nhập cá nhân")</f>
        <v>thuế thu nhập cá nhân</v>
      </c>
      <c r="BN13" s="21" t="str">
        <f>IFERROR(__xludf.DUMMYFUNCTION("""COMPUTED_VALUE"""),"https://techcombank.com/thong-tin/blog/kiem-tra-thue-ho-kinh-doanh")</f>
        <v>https://techcombank.com/thong-tin/blog/kiem-tra-thue-ho-kinh-doanh</v>
      </c>
      <c r="BO13" s="17" t="str">
        <f>IFERROR(__xludf.DUMMYFUNCTION("""COMPUTED_VALUE"""),"thuế thu nhập cá nhân năm 2026")</f>
        <v>thuế thu nhập cá nhân năm 2026</v>
      </c>
      <c r="BP13" s="21" t="str">
        <f>IFERROR(__xludf.DUMMYFUNCTION("""COMPUTED_VALUE"""),"https://techcombank.com/thong-tin/blog/chuyen-doi-ho-kinh-doanh-len-doanh-nghiep")</f>
        <v>https://techcombank.com/thong-tin/blog/chuyen-doi-ho-kinh-doanh-len-doanh-nghiep</v>
      </c>
      <c r="BQ13" s="17" t="str">
        <f>IFERROR(__xludf.DUMMYFUNCTION("""COMPUTED_VALUE"""),"thuế thu nhập cá nhân")</f>
        <v>thuế thu nhập cá nhân</v>
      </c>
      <c r="BR13" s="21" t="str">
        <f>IFERROR(__xludf.DUMMYFUNCTION("""COMPUTED_VALUE"""),"https://techcombank.com/thong-tin/blog/nen-thanh-lap-ho-kinh-doanh-ke-khai-hay-doanh-nghiep")</f>
        <v>https://techcombank.com/thong-tin/blog/nen-thanh-lap-ho-kinh-doanh-ke-khai-hay-doanh-nghiep</v>
      </c>
      <c r="BS13" s="17" t="str">
        <f>IFERROR(__xludf.DUMMYFUNCTION("""COMPUTED_VALUE"""),"thuế thu nhập cá nhân năm 2026")</f>
        <v>thuế thu nhập cá nhân năm 2026</v>
      </c>
      <c r="BT13" s="21" t="str">
        <f>IFERROR(__xludf.DUMMYFUNCTION("""COMPUTED_VALUE"""),"https://techcombank.com/thong-tin/blog/bi-quyet-tiet-kiem-tien-mua-nha")</f>
        <v>https://techcombank.com/thong-tin/blog/bi-quyet-tiet-kiem-tien-mua-nha</v>
      </c>
      <c r="BU13" s="17" t="str">
        <f>IFERROR(__xludf.DUMMYFUNCTION("""COMPUTED_VALUE"""),"thuế thu nhập cá nhân")</f>
        <v>thuế thu nhập cá nhân</v>
      </c>
      <c r="BV13" s="21" t="str">
        <f>IFERROR(__xludf.DUMMYFUNCTION("""COMPUTED_VALUE"""),"https://techcombank.com/thong-tin/blog/bao-hiem-nhan-tho-bao-nhieu-tien")</f>
        <v>https://techcombank.com/thong-tin/blog/bao-hiem-nhan-tho-bao-nhieu-tien</v>
      </c>
      <c r="BW13" s="17" t="str">
        <f>IFERROR(__xludf.DUMMYFUNCTION("""COMPUTED_VALUE"""),"thuế thu nhập cá nhân năm 2026")</f>
        <v>thuế thu nhập cá nhân năm 2026</v>
      </c>
      <c r="BX13" s="21" t="str">
        <f>IFERROR(__xludf.DUMMYFUNCTION("""COMPUTED_VALUE"""),"https://techcombank.com/thong-tin/blog/hu-chi-tieu")</f>
        <v>https://techcombank.com/thong-tin/blog/hu-chi-tieu</v>
      </c>
      <c r="BY13" s="17" t="str">
        <f>IFERROR(__xludf.DUMMYFUNCTION("""COMPUTED_VALUE"""),"thuế thu nhập cá nhân")</f>
        <v>thuế thu nhập cá nhân</v>
      </c>
      <c r="BZ13" s="21" t="str">
        <f>IFERROR(__xludf.DUMMYFUNCTION("""COMPUTED_VALUE"""),"https://techcombank.com/thong-tin/blog/vay-the-chap-khong-chung-minh-thu-nhap")</f>
        <v>https://techcombank.com/thong-tin/blog/vay-the-chap-khong-chung-minh-thu-nhap</v>
      </c>
      <c r="CA13" s="17" t="str">
        <f>IFERROR(__xludf.DUMMYFUNCTION("""COMPUTED_VALUE"""),"thuế thu nhập cá nhân năm 2026")</f>
        <v>thuế thu nhập cá nhân năm 2026</v>
      </c>
      <c r="CB13" s="21" t="str">
        <f>IFERROR(__xludf.DUMMYFUNCTION("""COMPUTED_VALUE"""),"https://techcombank.com/thong-tin/blog/nop-thue-dat-qua-ngan-hang")</f>
        <v>https://techcombank.com/thong-tin/blog/nop-thue-dat-qua-ngan-hang</v>
      </c>
      <c r="CC13" s="17" t="str">
        <f>IFERROR(__xludf.DUMMYFUNCTION("""COMPUTED_VALUE"""),"thuế thu nhập cá nhân")</f>
        <v>thuế thu nhập cá nhân</v>
      </c>
      <c r="CD13" s="21" t="str">
        <f>IFERROR(__xludf.DUMMYFUNCTION("""COMPUTED_VALUE"""),"https://techcombank.com/thong-tin/blog/cach-tiet-kiem-tien")</f>
        <v>https://techcombank.com/thong-tin/blog/cach-tiet-kiem-tien</v>
      </c>
      <c r="CE13" s="17" t="str">
        <f>IFERROR(__xludf.DUMMYFUNCTION("""COMPUTED_VALUE"""),"thuế thu nhập cá nhân năm 2026")</f>
        <v>thuế thu nhập cá nhân năm 2026</v>
      </c>
      <c r="CF13" s="21" t="str">
        <f>IFERROR(__xludf.DUMMYFUNCTION("""COMPUTED_VALUE"""),"https://techcombank.com/thong-tin/blog/co-100-trieu-co-mua-nen-mua-tra-gop")</f>
        <v>https://techcombank.com/thong-tin/blog/co-100-trieu-co-mua-nen-mua-tra-gop</v>
      </c>
      <c r="CG13" s="17" t="str">
        <f>IFERROR(__xludf.DUMMYFUNCTION("""COMPUTED_VALUE"""),"thuế thu nhập cá nhân")</f>
        <v>thuế thu nhập cá nhân</v>
      </c>
      <c r="CH13" s="21" t="str">
        <f>IFERROR(__xludf.DUMMYFUNCTION("""COMPUTED_VALUE"""),"https://techcombank.com/thong-tin/blog/dong-ma-so-thue-ho-kinh-doanh")</f>
        <v>https://techcombank.com/thong-tin/blog/dong-ma-so-thue-ho-kinh-doanh</v>
      </c>
      <c r="CI13" s="17" t="str">
        <f>IFERROR(__xludf.DUMMYFUNCTION("""COMPUTED_VALUE"""),"thuế thu nhập cá nhân năm 2026")</f>
        <v>thuế thu nhập cá nhân năm 2026</v>
      </c>
      <c r="CJ13" s="21" t="str">
        <f>IFERROR(__xludf.DUMMYFUNCTION("""COMPUTED_VALUE"""),"https://techcombank.com/thong-tin/blog/han-muc-thau-chi-la-gi")</f>
        <v>https://techcombank.com/thong-tin/blog/han-muc-thau-chi-la-gi</v>
      </c>
      <c r="CK13" s="17" t="str">
        <f>IFERROR(__xludf.DUMMYFUNCTION("""COMPUTED_VALUE"""),"thuế thu nhập cá nhân")</f>
        <v>thuế thu nhập cá nhân</v>
      </c>
      <c r="CL13" s="21" t="str">
        <f>IFERROR(__xludf.DUMMYFUNCTION("""COMPUTED_VALUE"""),"https://techcombank.com/thong-tin/blog/vay-mua-nha-o-xa-hoi")</f>
        <v>https://techcombank.com/thong-tin/blog/vay-mua-nha-o-xa-hoi</v>
      </c>
      <c r="CM13" s="17" t="str">
        <f>IFERROR(__xludf.DUMMYFUNCTION("""COMPUTED_VALUE"""),"thuế thu nhập cá nhân năm 2026")</f>
        <v>thuế thu nhập cá nhân năm 2026</v>
      </c>
      <c r="CN13" s="21" t="str">
        <f>IFERROR(__xludf.DUMMYFUNCTION("""COMPUTED_VALUE"""),"https://techcombank.com/thong-tin/blog/mo-the-tin-dung-chi-can-cccd")</f>
        <v>https://techcombank.com/thong-tin/blog/mo-the-tin-dung-chi-can-cccd</v>
      </c>
      <c r="CO13" s="17" t="str">
        <f>IFERROR(__xludf.DUMMYFUNCTION("""COMPUTED_VALUE"""),"thuế thu nhập cá nhân")</f>
        <v>thuế thu nhập cá nhân</v>
      </c>
      <c r="CP13" s="21" t="str">
        <f>IFERROR(__xludf.DUMMYFUNCTION("""COMPUTED_VALUE"""),"https://techcombank.com/thong-tin/blog/vay-tien-online")</f>
        <v>https://techcombank.com/thong-tin/blog/vay-tien-online</v>
      </c>
      <c r="CQ13" s="17" t="str">
        <f>IFERROR(__xludf.DUMMYFUNCTION("""COMPUTED_VALUE"""),"thuế thu nhập cá nhân năm 2026")</f>
        <v>thuế thu nhập cá nhân năm 2026</v>
      </c>
      <c r="CR13" s="21" t="str">
        <f>IFERROR(__xludf.DUMMYFUNCTION("""COMPUTED_VALUE"""),"https://techcombank.com/thong-tin/blog/mua-nha-tra-gop-dua-truoc-100-trieu")</f>
        <v>https://techcombank.com/thong-tin/blog/mua-nha-tra-gop-dua-truoc-100-trieu</v>
      </c>
      <c r="CS13" s="17" t="str">
        <f>IFERROR(__xludf.DUMMYFUNCTION("""COMPUTED_VALUE"""),"thuế thu nhập cá nhân")</f>
        <v>thuế thu nhập cá nhân</v>
      </c>
      <c r="CT13" s="21" t="str">
        <f>IFERROR(__xludf.DUMMYFUNCTION("""COMPUTED_VALUE"""),"https://techcombank.com/thong-tin/blog/mo-the-tin-dung-khong-can-chung-minh-thu-nhap")</f>
        <v>https://techcombank.com/thong-tin/blog/mo-the-tin-dung-khong-can-chung-minh-thu-nhap</v>
      </c>
      <c r="CU13" s="17" t="str">
        <f>IFERROR(__xludf.DUMMYFUNCTION("""COMPUTED_VALUE"""),"thuế thu nhập cá nhân năm 2026")</f>
        <v>thuế thu nhập cá nhân năm 2026</v>
      </c>
      <c r="CV13" s="21" t="str">
        <f>IFERROR(__xludf.DUMMYFUNCTION("""COMPUTED_VALUE"""),"https://techcombank.com/thong-tin/blog/dieu-kien-vay-the-chap")</f>
        <v>https://techcombank.com/thong-tin/blog/dieu-kien-vay-the-chap</v>
      </c>
      <c r="CW13" s="17" t="str">
        <f>IFERROR(__xludf.DUMMYFUNCTION("""COMPUTED_VALUE"""),"thuế thu nhập cá nhân")</f>
        <v>thuế thu nhập cá nhân</v>
      </c>
      <c r="CX13" s="21" t="str">
        <f>IFERROR(__xludf.DUMMYFUNCTION("""COMPUTED_VALUE"""),"https://techcombank.com/thong-tin/blog/truy-thu-thue-ho-kinh-doanh")</f>
        <v>https://techcombank.com/thong-tin/blog/truy-thu-thue-ho-kinh-doanh</v>
      </c>
      <c r="CY13" s="17" t="str">
        <f>IFERROR(__xludf.DUMMYFUNCTION("""COMPUTED_VALUE"""),"thuế thu nhập cá nhân năm 2026")</f>
        <v>thuế thu nhập cá nhân năm 2026</v>
      </c>
      <c r="CZ13" s="21" t="str">
        <f>IFERROR(__xludf.DUMMYFUNCTION("""COMPUTED_VALUE"""),"https://techcombank.com/thong-tin/blog/hoa-don-dien-tu")</f>
        <v>https://techcombank.com/thong-tin/blog/hoa-don-dien-tu</v>
      </c>
      <c r="DA13" s="17" t="str">
        <f>IFERROR(__xludf.DUMMYFUNCTION("""COMPUTED_VALUE"""),"thuế thu nhập cá nhân")</f>
        <v>thuế thu nhập cá nhân</v>
      </c>
      <c r="DB13" s="21" t="str">
        <f>IFERROR(__xludf.DUMMYFUNCTION("""COMPUTED_VALUE"""),"https://techcombank.com/thong-tin/blog/one-stop-shop")</f>
        <v>https://techcombank.com/thong-tin/blog/one-stop-shop</v>
      </c>
      <c r="DC13" s="17" t="str">
        <f>IFERROR(__xludf.DUMMYFUNCTION("""COMPUTED_VALUE"""),"thuế thu nhập cá nhân năm 2026")</f>
        <v>thuế thu nhập cá nhân năm 2026</v>
      </c>
      <c r="DD13" s="21" t="str">
        <f>IFERROR(__xludf.DUMMYFUNCTION("""COMPUTED_VALUE"""),"https://techcombank.com/thong-tin/blog/thue-phi-co-dinh-khi-chuyen-doi-tu-ho-kinh-doanh-len-doanh-nghiep")</f>
        <v>https://techcombank.com/thong-tin/blog/thue-phi-co-dinh-khi-chuyen-doi-tu-ho-kinh-doanh-len-doanh-nghiep</v>
      </c>
      <c r="DE13" s="17" t="str">
        <f>IFERROR(__xludf.DUMMYFUNCTION("""COMPUTED_VALUE"""),"thuế thu nhập cá nhân")</f>
        <v>thuế thu nhập cá nhân</v>
      </c>
      <c r="DF13" s="21" t="str">
        <f>IFERROR(__xludf.DUMMYFUNCTION("""COMPUTED_VALUE"""),"https://techcombank.com/thong-tin/blog/nhung-chi-phi-khong-duoc-tru-khi-tinh-thue-tndn")</f>
        <v>https://techcombank.com/thong-tin/blog/nhung-chi-phi-khong-duoc-tru-khi-tinh-thue-tndn</v>
      </c>
      <c r="DG13" s="17" t="str">
        <f>IFERROR(__xludf.DUMMYFUNCTION("""COMPUTED_VALUE"""),"thuế thu nhập cá nhân năm 2026")</f>
        <v>thuế thu nhập cá nhân năm 2026</v>
      </c>
      <c r="DH13" s="21" t="str">
        <f>IFERROR(__xludf.DUMMYFUNCTION("""COMPUTED_VALUE"""),"https://techcombank.com/thong-tin/blog/kiem-tra-ma-so-thue-doanh-nghiep")</f>
        <v>https://techcombank.com/thong-tin/blog/kiem-tra-ma-so-thue-doanh-nghiep</v>
      </c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17"/>
      <c r="JI13" s="17"/>
      <c r="JJ13" s="17"/>
      <c r="JK13" s="17"/>
      <c r="JL13" s="17"/>
      <c r="JM13" s="17"/>
      <c r="JN13" s="17"/>
      <c r="JO13" s="17"/>
      <c r="JP13" s="17"/>
      <c r="JQ13" s="17"/>
      <c r="JR13" s="17"/>
      <c r="JS13" s="17"/>
      <c r="JT13" s="17"/>
      <c r="JU13" s="17"/>
      <c r="JV13" s="17"/>
      <c r="JW13" s="17"/>
      <c r="JX13" s="17"/>
      <c r="JY13" s="17"/>
      <c r="JZ13" s="17"/>
      <c r="KA13" s="17"/>
      <c r="KB13" s="17"/>
      <c r="KC13" s="17"/>
      <c r="KD13" s="17"/>
      <c r="KE13" s="17"/>
      <c r="KF13" s="17"/>
      <c r="KG13" s="17"/>
      <c r="KH13" s="17"/>
      <c r="KI13" s="17"/>
      <c r="KJ13" s="17"/>
      <c r="KK13" s="17"/>
      <c r="KL13" s="17"/>
      <c r="KM13" s="17"/>
      <c r="KN13" s="17"/>
      <c r="KO13" s="17"/>
      <c r="KP13" s="17"/>
      <c r="KQ13" s="17"/>
      <c r="KR13" s="17"/>
      <c r="KS13" s="17"/>
      <c r="KT13" s="17"/>
      <c r="KU13" s="17"/>
      <c r="KV13" s="17"/>
      <c r="KW13" s="17"/>
      <c r="KX13" s="17"/>
      <c r="KY13" s="17"/>
      <c r="KZ13" s="17"/>
      <c r="LA13" s="17"/>
      <c r="LB13" s="17"/>
      <c r="LC13" s="17"/>
      <c r="LD13" s="17"/>
      <c r="LE13" s="17"/>
      <c r="LF13" s="17"/>
      <c r="LG13" s="17"/>
      <c r="LH13" s="17"/>
      <c r="LI13" s="17"/>
      <c r="LJ13" s="17"/>
      <c r="LK13" s="17"/>
      <c r="LL13" s="17"/>
      <c r="LM13" s="17"/>
      <c r="LN13" s="17"/>
      <c r="LO13" s="17"/>
      <c r="LP13" s="17"/>
      <c r="LQ13" s="17"/>
      <c r="LR13" s="17"/>
      <c r="LS13" s="17"/>
      <c r="LT13" s="17"/>
      <c r="LU13" s="17"/>
      <c r="LV13" s="17"/>
      <c r="LW13" s="17"/>
      <c r="LX13" s="17"/>
      <c r="LY13" s="17"/>
      <c r="LZ13" s="17"/>
      <c r="MA13" s="17"/>
      <c r="MB13" s="17"/>
      <c r="MC13" s="17"/>
      <c r="MD13" s="17"/>
      <c r="ME13" s="17"/>
      <c r="MF13" s="17"/>
      <c r="MG13" s="17"/>
      <c r="MH13" s="17"/>
      <c r="MI13" s="17"/>
      <c r="MJ13" s="17"/>
      <c r="MK13" s="17"/>
      <c r="ML13" s="17"/>
      <c r="MM13" s="17"/>
      <c r="MN13" s="17"/>
      <c r="MO13" s="17"/>
      <c r="MP13" s="17"/>
      <c r="MQ13" s="17"/>
      <c r="MR13" s="17"/>
      <c r="MS13" s="17"/>
      <c r="MT13" s="17"/>
      <c r="MU13" s="17"/>
      <c r="MV13" s="17"/>
      <c r="MW13" s="17"/>
      <c r="MX13" s="17"/>
      <c r="MY13" s="17"/>
      <c r="MZ13" s="17"/>
      <c r="NA13" s="17"/>
      <c r="NB13" s="17"/>
      <c r="NC13" s="17"/>
      <c r="ND13" s="17"/>
      <c r="NE13" s="17"/>
      <c r="NF13" s="17"/>
      <c r="NG13" s="17"/>
      <c r="NH13" s="17"/>
      <c r="NI13" s="17"/>
      <c r="NJ13" s="17"/>
      <c r="NK13" s="17"/>
      <c r="NL13" s="17"/>
      <c r="NM13" s="17"/>
      <c r="NN13" s="17"/>
      <c r="NO13" s="17"/>
      <c r="NP13" s="17"/>
      <c r="NQ13" s="17"/>
      <c r="NR13" s="17"/>
      <c r="NS13" s="17"/>
      <c r="NT13" s="17"/>
      <c r="NU13" s="17"/>
      <c r="NV13" s="17"/>
      <c r="NW13" s="17"/>
      <c r="NX13" s="17"/>
      <c r="NY13" s="17"/>
      <c r="NZ13" s="17"/>
      <c r="OA13" s="17"/>
      <c r="OB13" s="17"/>
      <c r="OC13" s="17"/>
      <c r="OD13" s="17"/>
      <c r="OE13" s="17"/>
      <c r="OF13" s="17"/>
      <c r="OG13" s="17"/>
      <c r="OH13" s="17"/>
      <c r="OI13" s="17"/>
      <c r="OJ13" s="17"/>
      <c r="OK13" s="17"/>
      <c r="OL13" s="17"/>
      <c r="OM13" s="17"/>
      <c r="ON13" s="17"/>
      <c r="OO13" s="17"/>
      <c r="OP13" s="17"/>
      <c r="OQ13" s="17"/>
      <c r="OR13" s="17"/>
      <c r="OS13" s="17"/>
      <c r="OT13" s="17"/>
      <c r="OU13" s="17"/>
      <c r="OV13" s="17"/>
    </row>
    <row r="14" ht="18.0" customHeight="1">
      <c r="A14" s="16">
        <v>13.0</v>
      </c>
      <c r="B14" s="17" t="s">
        <v>920</v>
      </c>
      <c r="C14" s="18" t="s">
        <v>1084</v>
      </c>
      <c r="D14" s="17" t="s">
        <v>334</v>
      </c>
      <c r="E14" s="16">
        <v>30.0</v>
      </c>
      <c r="F14" s="16">
        <f>COUNTIF('Tổng hợp 75 trang đích'!$B$2:$B$3400,$D14)</f>
        <v>30</v>
      </c>
      <c r="G14" s="16">
        <f>COUNTIFS('Tổng hợp 75 trang đích'!$B$2:$B$3400,$D14,'Tổng hợp 75 trang đích'!$K$2:$K$3400,"PHÙ HỢP CAO")</f>
        <v>2</v>
      </c>
      <c r="H14" s="16">
        <f>COUNTIFS('Tổng hợp 75 trang đích'!$B$2:$B$3400,$D14,'Tổng hợp 75 trang đích'!$K$2:$K$3400,"CÓ THỂ ĐI")</f>
        <v>3</v>
      </c>
      <c r="I14" s="16">
        <f>COUNTIFS('Tổng hợp 75 trang đích'!$B$2:$B$3400,$D14,'Tổng hợp 75 trang đích'!$K$2:$K$3400,"CẦN SOÁT")</f>
        <v>25</v>
      </c>
      <c r="J14" s="19" t="s">
        <v>555</v>
      </c>
      <c r="K14" s="19" t="b">
        <v>0</v>
      </c>
      <c r="L14" s="20" t="s">
        <v>333</v>
      </c>
      <c r="M14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đích'!$B$2:$B$3400=$D14),3,TR"&amp;"UE),1,2)),"""")"),"tra tài khoản ngân hàng")</f>
        <v>tra tài khoản ngân hàng</v>
      </c>
      <c r="N14" s="21" t="str">
        <f>IFERROR(__xludf.DUMMYFUNCTION("""COMPUTED_VALUE"""),"https://techcombank.com/thong-tin/blog/so-tai-khoan-ngan-hang")</f>
        <v>https://techcombank.com/thong-tin/blog/so-tai-khoan-ngan-hang</v>
      </c>
      <c r="O14" s="17" t="str">
        <f>IFERROR(__xludf.DUMMYFUNCTION("""COMPUTED_VALUE"""),"tra số tài khoản ngân hàng")</f>
        <v>tra số tài khoản ngân hàng</v>
      </c>
      <c r="P14" s="21" t="str">
        <f>IFERROR(__xludf.DUMMYFUNCTION("""COMPUTED_VALUE"""),"https://techcombank.com/thong-tin/blog/so-du-kha-dung")</f>
        <v>https://techcombank.com/thong-tin/blog/so-du-kha-dung</v>
      </c>
      <c r="Q14" s="17" t="str">
        <f>IFERROR(__xludf.DUMMYFUNCTION("""COMPUTED_VALUE"""),"tra tài khoản ngân hàng")</f>
        <v>tra tài khoản ngân hàng</v>
      </c>
      <c r="R14" s="21" t="str">
        <f>IFERROR(__xludf.DUMMYFUNCTION("""COMPUTED_VALUE"""),"https://techcombank.com/thong-tin/blog/ma-giao-dich-la-gi")</f>
        <v>https://techcombank.com/thong-tin/blog/ma-giao-dich-la-gi</v>
      </c>
      <c r="S14" s="17" t="str">
        <f>IFERROR(__xludf.DUMMYFUNCTION("""COMPUTED_VALUE"""),"tra số tài khoản ngân hàng")</f>
        <v>tra số tài khoản ngân hàng</v>
      </c>
      <c r="T14" s="21" t="str">
        <f>IFERROR(__xludf.DUMMYFUNCTION("""COMPUTED_VALUE"""),"https://techcombank.com/thong-tin/blog/sms-banking")</f>
        <v>https://techcombank.com/thong-tin/blog/sms-banking</v>
      </c>
      <c r="U14" s="17" t="str">
        <f>IFERROR(__xludf.DUMMYFUNCTION("""COMPUTED_VALUE"""),"tra tài khoản ngân hàng")</f>
        <v>tra tài khoản ngân hàng</v>
      </c>
      <c r="V14" s="21" t="str">
        <f>IFERROR(__xludf.DUMMYFUNCTION("""COMPUTED_VALUE"""),"https://techcombank.com/thong-tin/blog/cach-kiem-tra-tai-khoan-ngan-hang-cua-cong-ty")</f>
        <v>https://techcombank.com/thong-tin/blog/cach-kiem-tra-tai-khoan-ngan-hang-cua-cong-ty</v>
      </c>
      <c r="W14" s="17" t="str">
        <f>IFERROR(__xludf.DUMMYFUNCTION("""COMPUTED_VALUE"""),"tra số tài khoản ngân hàng")</f>
        <v>tra số tài khoản ngân hàng</v>
      </c>
      <c r="X14" s="21" t="str">
        <f>IFERROR(__xludf.DUMMYFUNCTION("""COMPUTED_VALUE"""),"https://techcombank.com/thong-tin/blog/co-nen-mua-so-tai-khoan-ngan-hang-dep")</f>
        <v>https://techcombank.com/thong-tin/blog/co-nen-mua-so-tai-khoan-ngan-hang-dep</v>
      </c>
      <c r="Y14" s="17" t="str">
        <f>IFERROR(__xludf.DUMMYFUNCTION("""COMPUTED_VALUE"""),"tra tài khoản ngân hàng")</f>
        <v>tra tài khoản ngân hàng</v>
      </c>
      <c r="Z14" s="21" t="str">
        <f>IFERROR(__xludf.DUMMYFUNCTION("""COMPUTED_VALUE"""),"https://techcombank.com/thong-tin/blog/cdm")</f>
        <v>https://techcombank.com/thong-tin/blog/cdm</v>
      </c>
      <c r="AA14" s="17" t="str">
        <f>IFERROR(__xludf.DUMMYFUNCTION("""COMPUTED_VALUE"""),"tra số tài khoản ngân hàng")</f>
        <v>tra số tài khoản ngân hàng</v>
      </c>
      <c r="AB14" s="21" t="str">
        <f>IFERROR(__xludf.DUMMYFUNCTION("""COMPUTED_VALUE"""),"https://techcombank.com/thong-tin/blog/lo-so-tai-khoan-ngan-hang-co-sao-khong")</f>
        <v>https://techcombank.com/thong-tin/blog/lo-so-tai-khoan-ngan-hang-co-sao-khong</v>
      </c>
      <c r="AC14" s="17" t="str">
        <f>IFERROR(__xludf.DUMMYFUNCTION("""COMPUTED_VALUE"""),"tra tài khoản ngân hàng")</f>
        <v>tra tài khoản ngân hàng</v>
      </c>
      <c r="AD14" s="21" t="str">
        <f>IFERROR(__xludf.DUMMYFUNCTION("""COMPUTED_VALUE"""),"https://techcombank.com/thong-tin/blog/cach-chon-so-tai-khoan-dep")</f>
        <v>https://techcombank.com/thong-tin/blog/cach-chon-so-tai-khoan-dep</v>
      </c>
      <c r="AE14" s="17" t="str">
        <f>IFERROR(__xludf.DUMMYFUNCTION("""COMPUTED_VALUE"""),"tra số tài khoản ngân hàng")</f>
        <v>tra số tài khoản ngân hàng</v>
      </c>
      <c r="AF14" s="21" t="str">
        <f>IFERROR(__xludf.DUMMYFUNCTION("""COMPUTED_VALUE"""),"https://techcombank.com/thong-tin/blog/8868")</f>
        <v>https://techcombank.com/thong-tin/blog/8868</v>
      </c>
      <c r="AG14" s="17" t="str">
        <f>IFERROR(__xludf.DUMMYFUNCTION("""COMPUTED_VALUE"""),"tra tài khoản ngân hàng")</f>
        <v>tra tài khoản ngân hàng</v>
      </c>
      <c r="AH14" s="21" t="str">
        <f>IFERROR(__xludf.DUMMYFUNCTION("""COMPUTED_VALUE"""),"https://techcombank.com/thong-tin/blog/day-so-phat-tai-phat-loc")</f>
        <v>https://techcombank.com/thong-tin/blog/day-so-phat-tai-phat-loc</v>
      </c>
      <c r="AI14" s="17" t="str">
        <f>IFERROR(__xludf.DUMMYFUNCTION("""COMPUTED_VALUE"""),"tra số tài khoản ngân hàng")</f>
        <v>tra số tài khoản ngân hàng</v>
      </c>
      <c r="AJ14" s="21" t="str">
        <f>IFERROR(__xludf.DUMMYFUNCTION("""COMPUTED_VALUE"""),"https://techcombank.com/thong-tin/blog/66666-co-y-nghia-gi")</f>
        <v>https://techcombank.com/thong-tin/blog/66666-co-y-nghia-gi</v>
      </c>
      <c r="AK14" s="17" t="str">
        <f>IFERROR(__xludf.DUMMYFUNCTION("""COMPUTED_VALUE"""),"tra tài khoản ngân hàng")</f>
        <v>tra tài khoản ngân hàng</v>
      </c>
      <c r="AL14" s="21" t="str">
        <f>IFERROR(__xludf.DUMMYFUNCTION("""COMPUTED_VALUE"""),"https://techcombank.com/thong-tin/blog/so-8386")</f>
        <v>https://techcombank.com/thong-tin/blog/so-8386</v>
      </c>
      <c r="AM14" s="17" t="str">
        <f>IFERROR(__xludf.DUMMYFUNCTION("""COMPUTED_VALUE"""),"tra số tài khoản ngân hàng")</f>
        <v>tra số tài khoản ngân hàng</v>
      </c>
      <c r="AN14" s="21" t="str">
        <f>IFERROR(__xludf.DUMMYFUNCTION("""COMPUTED_VALUE"""),"https://techcombank.com/thong-tin/blog/so-the-ngan-hang")</f>
        <v>https://techcombank.com/thong-tin/blog/so-the-ngan-hang</v>
      </c>
      <c r="AO14" s="17" t="str">
        <f>IFERROR(__xludf.DUMMYFUNCTION("""COMPUTED_VALUE"""),"tra tài khoản ngân hàng")</f>
        <v>tra tài khoản ngân hàng</v>
      </c>
      <c r="AP14" s="21" t="str">
        <f>IFERROR(__xludf.DUMMYFUNCTION("""COMPUTED_VALUE"""),"https://techcombank.com/thong-tin/blog/so-tai-khoan-dep")</f>
        <v>https://techcombank.com/thong-tin/blog/so-tai-khoan-dep</v>
      </c>
      <c r="AQ14" s="17" t="str">
        <f>IFERROR(__xludf.DUMMYFUNCTION("""COMPUTED_VALUE"""),"tra số tài khoản ngân hàng")</f>
        <v>tra số tài khoản ngân hàng</v>
      </c>
      <c r="AR14" s="21" t="str">
        <f>IFERROR(__xludf.DUMMYFUNCTION("""COMPUTED_VALUE"""),"https://techcombank.com/thong-tin/blog/99999-co-y-nghia-gi")</f>
        <v>https://techcombank.com/thong-tin/blog/99999-co-y-nghia-gi</v>
      </c>
      <c r="AS14" s="17" t="str">
        <f>IFERROR(__xludf.DUMMYFUNCTION("""COMPUTED_VALUE"""),"tra tài khoản ngân hàng")</f>
        <v>tra tài khoản ngân hàng</v>
      </c>
      <c r="AT14" s="21" t="str">
        <f>IFERROR(__xludf.DUMMYFUNCTION("""COMPUTED_VALUE"""),"https://techcombank.com/thong-tin/blog/so-du-tai-khoan-thanh-toan")</f>
        <v>https://techcombank.com/thong-tin/blog/so-du-tai-khoan-thanh-toan</v>
      </c>
      <c r="AU14" s="17" t="str">
        <f>IFERROR(__xludf.DUMMYFUNCTION("""COMPUTED_VALUE"""),"tra số tài khoản ngân hàng")</f>
        <v>tra số tài khoản ngân hàng</v>
      </c>
      <c r="AV14" s="21" t="str">
        <f>IFERROR(__xludf.DUMMYFUNCTION("""COMPUTED_VALUE"""),"https://techcombank.com/thong-tin/blog/so-du-tien-gui-la-gi")</f>
        <v>https://techcombank.com/thong-tin/blog/so-du-tien-gui-la-gi</v>
      </c>
      <c r="AW14" s="17" t="str">
        <f>IFERROR(__xludf.DUMMYFUNCTION("""COMPUTED_VALUE"""),"tra tài khoản ngân hàng")</f>
        <v>tra tài khoản ngân hàng</v>
      </c>
      <c r="AX14" s="21" t="str">
        <f>IFERROR(__xludf.DUMMYFUNCTION("""COMPUTED_VALUE"""),"https://techcombank.com/thong-tin/blog/so-6868")</f>
        <v>https://techcombank.com/thong-tin/blog/so-6868</v>
      </c>
      <c r="AY14" s="17" t="str">
        <f>IFERROR(__xludf.DUMMYFUNCTION("""COMPUTED_VALUE"""),"tra số tài khoản ngân hàng")</f>
        <v>tra số tài khoản ngân hàng</v>
      </c>
      <c r="AZ14" s="21" t="str">
        <f>IFERROR(__xludf.DUMMYFUNCTION("""COMPUTED_VALUE"""),"https://techcombank.com/thong-tin/blog/y-nghia-so-68")</f>
        <v>https://techcombank.com/thong-tin/blog/y-nghia-so-68</v>
      </c>
      <c r="BA14" s="17" t="str">
        <f>IFERROR(__xludf.DUMMYFUNCTION("""COMPUTED_VALUE"""),"tra tài khoản ngân hàng")</f>
        <v>tra tài khoản ngân hàng</v>
      </c>
      <c r="BB14" s="21" t="str">
        <f>IFERROR(__xludf.DUMMYFUNCTION("""COMPUTED_VALUE"""),"https://techcombank.com/thong-tin/blog/cach-chuyen-tien")</f>
        <v>https://techcombank.com/thong-tin/blog/cach-chuyen-tien</v>
      </c>
      <c r="BC14" s="17" t="str">
        <f>IFERROR(__xludf.DUMMYFUNCTION("""COMPUTED_VALUE"""),"tra số tài khoản ngân hàng")</f>
        <v>tra số tài khoản ngân hàng</v>
      </c>
      <c r="BD14" s="21" t="str">
        <f>IFERROR(__xludf.DUMMYFUNCTION("""COMPUTED_VALUE"""),"https://techcombank.com/thong-tin/blog/vip-ngan-hang")</f>
        <v>https://techcombank.com/thong-tin/blog/vip-ngan-hang</v>
      </c>
      <c r="BE14" s="17" t="str">
        <f>IFERROR(__xludf.DUMMYFUNCTION("""COMPUTED_VALUE"""),"tra tài khoản ngân hàng")</f>
        <v>tra tài khoản ngân hàng</v>
      </c>
      <c r="BF14" s="21" t="str">
        <f>IFERROR(__xludf.DUMMYFUNCTION("""COMPUTED_VALUE"""),"https://techcombank.com/thong-tin/blog/cach-chuyen-khoan-bang-dien-thoai")</f>
        <v>https://techcombank.com/thong-tin/blog/cach-chuyen-khoan-bang-dien-thoai</v>
      </c>
      <c r="BG14" s="17" t="str">
        <f>IFERROR(__xludf.DUMMYFUNCTION("""COMPUTED_VALUE"""),"tra số tài khoản ngân hàng")</f>
        <v>tra số tài khoản ngân hàng</v>
      </c>
      <c r="BH14" s="21" t="str">
        <f>IFERROR(__xludf.DUMMYFUNCTION("""COMPUTED_VALUE"""),"https://techcombank.com/thong-tin/blog/nap-tien-vao-tai-khoan-ngan-hang")</f>
        <v>https://techcombank.com/thong-tin/blog/nap-tien-vao-tai-khoan-ngan-hang</v>
      </c>
      <c r="BI14" s="17" t="str">
        <f>IFERROR(__xludf.DUMMYFUNCTION("""COMPUTED_VALUE"""),"tra tài khoản ngân hàng")</f>
        <v>tra tài khoản ngân hàng</v>
      </c>
      <c r="BJ14" s="21" t="str">
        <f>IFERROR(__xludf.DUMMYFUNCTION("""COMPUTED_VALUE"""),"https://techcombank.com/thong-tin/blog/1-cmnd-dang-ky-duoc-may-tai-khoan-ngan-hang")</f>
        <v>https://techcombank.com/thong-tin/blog/1-cmnd-dang-ky-duoc-may-tai-khoan-ngan-hang</v>
      </c>
      <c r="BK14" s="17" t="str">
        <f>IFERROR(__xludf.DUMMYFUNCTION("""COMPUTED_VALUE"""),"tra số tài khoản ngân hàng")</f>
        <v>tra số tài khoản ngân hàng</v>
      </c>
      <c r="BL14" s="21" t="str">
        <f>IFERROR(__xludf.DUMMYFUNCTION("""COMPUTED_VALUE"""),"https://techcombank.com/thong-tin/blog/cach-lay-lai-tien-da-chuyen-khoan-khi-bi-lua")</f>
        <v>https://techcombank.com/thong-tin/blog/cach-lay-lai-tien-da-chuyen-khoan-khi-bi-lua</v>
      </c>
      <c r="BM14" s="17" t="str">
        <f>IFERROR(__xludf.DUMMYFUNCTION("""COMPUTED_VALUE"""),"tra tài khoản ngân hàng")</f>
        <v>tra tài khoản ngân hàng</v>
      </c>
      <c r="BN14" s="21" t="str">
        <f>IFERROR(__xludf.DUMMYFUNCTION("""COMPUTED_VALUE"""),"https://techcombank.com/thong-tin/blog/cach-doi-mat-khau-tai-khoan-ngan-hang")</f>
        <v>https://techcombank.com/thong-tin/blog/cach-doi-mat-khau-tai-khoan-ngan-hang</v>
      </c>
      <c r="BO14" s="17" t="str">
        <f>IFERROR(__xludf.DUMMYFUNCTION("""COMPUTED_VALUE"""),"tra số tài khoản ngân hàng")</f>
        <v>tra số tài khoản ngân hàng</v>
      </c>
      <c r="BP14" s="21" t="str">
        <f>IFERROR(__xludf.DUMMYFUNCTION("""COMPUTED_VALUE"""),"https://techcombank.com/thong-tin/blog/lo-ma-qr-ngan-hang-co-sao-khong")</f>
        <v>https://techcombank.com/thong-tin/blog/lo-ma-qr-ngan-hang-co-sao-khong</v>
      </c>
      <c r="BQ14" s="17" t="str">
        <f>IFERROR(__xludf.DUMMYFUNCTION("""COMPUTED_VALUE"""),"tra tài khoản ngân hàng")</f>
        <v>tra tài khoản ngân hàng</v>
      </c>
      <c r="BR14" s="21" t="str">
        <f>IFERROR(__xludf.DUMMYFUNCTION("""COMPUTED_VALUE"""),"https://techcombank.com/thong-tin/blog/mo-tai-khoan-ngan-hang-online-co-an-toan-khong")</f>
        <v>https://techcombank.com/thong-tin/blog/mo-tai-khoan-ngan-hang-online-co-an-toan-khong</v>
      </c>
      <c r="BS14" s="17" t="str">
        <f>IFERROR(__xludf.DUMMYFUNCTION("""COMPUTED_VALUE"""),"tra số tài khoản ngân hàng")</f>
        <v>tra số tài khoản ngân hàng</v>
      </c>
      <c r="BT14" s="21" t="str">
        <f>IFERROR(__xludf.DUMMYFUNCTION("""COMPUTED_VALUE"""),"https://techcombank.com/thong-tin/blog/mo-tai-khoan-ngan-hang-co-mat-phi-khong")</f>
        <v>https://techcombank.com/thong-tin/blog/mo-tai-khoan-ngan-hang-co-mat-phi-khong</v>
      </c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  <c r="NC14" s="17"/>
      <c r="ND14" s="17"/>
      <c r="NE14" s="17"/>
      <c r="NF14" s="17"/>
      <c r="NG14" s="17"/>
      <c r="NH14" s="17"/>
      <c r="NI14" s="17"/>
      <c r="NJ14" s="17"/>
      <c r="NK14" s="17"/>
      <c r="NL14" s="17"/>
      <c r="NM14" s="17"/>
      <c r="NN14" s="17"/>
      <c r="NO14" s="17"/>
      <c r="NP14" s="17"/>
      <c r="NQ14" s="17"/>
      <c r="NR14" s="17"/>
      <c r="NS14" s="17"/>
      <c r="NT14" s="17"/>
      <c r="NU14" s="17"/>
      <c r="NV14" s="17"/>
      <c r="NW14" s="17"/>
      <c r="NX14" s="17"/>
      <c r="NY14" s="17"/>
      <c r="NZ14" s="17"/>
      <c r="OA14" s="17"/>
      <c r="OB14" s="17"/>
      <c r="OC14" s="17"/>
      <c r="OD14" s="17"/>
      <c r="OE14" s="17"/>
      <c r="OF14" s="17"/>
      <c r="OG14" s="17"/>
      <c r="OH14" s="17"/>
      <c r="OI14" s="17"/>
      <c r="OJ14" s="17"/>
      <c r="OK14" s="17"/>
      <c r="OL14" s="17"/>
      <c r="OM14" s="17"/>
      <c r="ON14" s="17"/>
      <c r="OO14" s="17"/>
      <c r="OP14" s="17"/>
      <c r="OQ14" s="17"/>
      <c r="OR14" s="17"/>
      <c r="OS14" s="17"/>
      <c r="OT14" s="17"/>
      <c r="OU14" s="17"/>
      <c r="OV14" s="17"/>
    </row>
    <row r="15" ht="18.0" customHeight="1">
      <c r="A15" s="16">
        <v>14.0</v>
      </c>
      <c r="B15" s="17" t="s">
        <v>920</v>
      </c>
      <c r="C15" s="18" t="s">
        <v>1099</v>
      </c>
      <c r="D15" s="17" t="s">
        <v>346</v>
      </c>
      <c r="E15" s="16">
        <v>30.0</v>
      </c>
      <c r="F15" s="16">
        <f>COUNTIF('Tổng hợp 75 trang đích'!$B$2:$B$3400,$D15)</f>
        <v>30</v>
      </c>
      <c r="G15" s="16">
        <f>COUNTIFS('Tổng hợp 75 trang đích'!$B$2:$B$3400,$D15,'Tổng hợp 75 trang đích'!$K$2:$K$3400,"PHÙ HỢP CAO")</f>
        <v>4</v>
      </c>
      <c r="H15" s="16">
        <f>COUNTIFS('Tổng hợp 75 trang đích'!$B$2:$B$3400,$D15,'Tổng hợp 75 trang đích'!$K$2:$K$3400,"CÓ THỂ ĐI")</f>
        <v>1</v>
      </c>
      <c r="I15" s="16">
        <f>COUNTIFS('Tổng hợp 75 trang đích'!$B$2:$B$3400,$D15,'Tổng hợp 75 trang đích'!$K$2:$K$3400,"CẦN SOÁT")</f>
        <v>25</v>
      </c>
      <c r="J15" s="19" t="s">
        <v>555</v>
      </c>
      <c r="K15" s="19" t="b">
        <v>0</v>
      </c>
      <c r="L15" s="20" t="s">
        <v>333</v>
      </c>
      <c r="M15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đích'!$B$2:$B$3400=$D15),3,TR"&amp;"UE),1,2)),"""")"),"cách tạo tài khoản ngân hàng")</f>
        <v>cách tạo tài khoản ngân hàng</v>
      </c>
      <c r="N15" s="21" t="str">
        <f>IFERROR(__xludf.DUMMYFUNCTION("""COMPUTED_VALUE"""),"https://techcombank.com/thong-tin/blog/tai-khoan-ngan-hang-la-gi")</f>
        <v>https://techcombank.com/thong-tin/blog/tai-khoan-ngan-hang-la-gi</v>
      </c>
      <c r="O15" s="17" t="str">
        <f>IFERROR(__xludf.DUMMYFUNCTION("""COMPUTED_VALUE"""),"mở tài khoản ngân hàng online")</f>
        <v>mở tài khoản ngân hàng online</v>
      </c>
      <c r="P15" s="21" t="str">
        <f>IFERROR(__xludf.DUMMYFUNCTION("""COMPUTED_VALUE"""),"https://techcombank.com/thong-tin/blog/tai-khoan-thanh-toan-la-gi")</f>
        <v>https://techcombank.com/thong-tin/blog/tai-khoan-thanh-toan-la-gi</v>
      </c>
      <c r="Q15" s="17" t="str">
        <f>IFERROR(__xludf.DUMMYFUNCTION("""COMPUTED_VALUE"""),"cách tạo tài khoản ngân hàng")</f>
        <v>cách tạo tài khoản ngân hàng</v>
      </c>
      <c r="R15" s="21" t="str">
        <f>IFERROR(__xludf.DUMMYFUNCTION("""COMPUTED_VALUE"""),"https://techcombank.com/thong-tin/blog/mo-tai-khoan-ngan-hang-online-co-an-toan-khong")</f>
        <v>https://techcombank.com/thong-tin/blog/mo-tai-khoan-ngan-hang-online-co-an-toan-khong</v>
      </c>
      <c r="S15" s="17" t="str">
        <f>IFERROR(__xludf.DUMMYFUNCTION("""COMPUTED_VALUE"""),"mở tài khoản ngân hàng online")</f>
        <v>mở tài khoản ngân hàng online</v>
      </c>
      <c r="T15" s="21" t="str">
        <f>IFERROR(__xludf.DUMMYFUNCTION("""COMPUTED_VALUE"""),"https://techcombank.com/thong-tin/blog/mo-tai-khoan-ngan-hang-co-mat-phi-khong")</f>
        <v>https://techcombank.com/thong-tin/blog/mo-tai-khoan-ngan-hang-co-mat-phi-khong</v>
      </c>
      <c r="U15" s="17" t="str">
        <f>IFERROR(__xludf.DUMMYFUNCTION("""COMPUTED_VALUE"""),"cách tạo tài khoản ngân hàng")</f>
        <v>cách tạo tài khoản ngân hàng</v>
      </c>
      <c r="V15" s="21" t="str">
        <f>IFERROR(__xludf.DUMMYFUNCTION("""COMPUTED_VALUE"""),"https://techcombank.com/thong-tin/blog/1-cmnd-dang-ky-duoc-may-tai-khoan-ngan-hang")</f>
        <v>https://techcombank.com/thong-tin/blog/1-cmnd-dang-ky-duoc-may-tai-khoan-ngan-hang</v>
      </c>
      <c r="W15" s="17" t="str">
        <f>IFERROR(__xludf.DUMMYFUNCTION("""COMPUTED_VALUE"""),"mở tài khoản ngân hàng online")</f>
        <v>mở tài khoản ngân hàng online</v>
      </c>
      <c r="X15" s="21" t="str">
        <f>IFERROR(__xludf.DUMMYFUNCTION("""COMPUTED_VALUE"""),"https://techcombank.com/thong-tin/blog/mo-tai-khoan-doanh-nghiep")</f>
        <v>https://techcombank.com/thong-tin/blog/mo-tai-khoan-doanh-nghiep</v>
      </c>
      <c r="Y15" s="17" t="str">
        <f>IFERROR(__xludf.DUMMYFUNCTION("""COMPUTED_VALUE"""),"cách tạo tài khoản ngân hàng")</f>
        <v>cách tạo tài khoản ngân hàng</v>
      </c>
      <c r="Z15" s="21" t="str">
        <f>IFERROR(__xludf.DUMMYFUNCTION("""COMPUTED_VALUE"""),"https://techcombank.com/thong-tin/blog/dong-tai-khoan-ngan-hang-cong-ty")</f>
        <v>https://techcombank.com/thong-tin/blog/dong-tai-khoan-ngan-hang-cong-ty</v>
      </c>
      <c r="AA15" s="17" t="str">
        <f>IFERROR(__xludf.DUMMYFUNCTION("""COMPUTED_VALUE"""),"mở tài khoản ngân hàng online")</f>
        <v>mở tài khoản ngân hàng online</v>
      </c>
      <c r="AB15" s="21" t="str">
        <f>IFERROR(__xludf.DUMMYFUNCTION("""COMPUTED_VALUE"""),"https://techcombank.com/thong-tin/blog/mo-tai-khoan-ho-kinh-doanh")</f>
        <v>https://techcombank.com/thong-tin/blog/mo-tai-khoan-ho-kinh-doanh</v>
      </c>
      <c r="AC15" s="17" t="str">
        <f>IFERROR(__xludf.DUMMYFUNCTION("""COMPUTED_VALUE"""),"cách tạo tài khoản ngân hàng")</f>
        <v>cách tạo tài khoản ngân hàng</v>
      </c>
      <c r="AD15" s="21" t="str">
        <f>IFERROR(__xludf.DUMMYFUNCTION("""COMPUTED_VALUE"""),"https://techcombank.com/thong-tin/blog/lien-ket-tai-khoan-ngan-hang-voi-etax-mobile")</f>
        <v>https://techcombank.com/thong-tin/blog/lien-ket-tai-khoan-ngan-hang-voi-etax-mobile</v>
      </c>
      <c r="AE15" s="17" t="str">
        <f>IFERROR(__xludf.DUMMYFUNCTION("""COMPUTED_VALUE"""),"mở tài khoản ngân hàng online")</f>
        <v>mở tài khoản ngân hàng online</v>
      </c>
      <c r="AF15" s="21" t="str">
        <f>IFERROR(__xludf.DUMMYFUNCTION("""COMPUTED_VALUE"""),"https://techcombank.com/thong-tin/blog/cach-kiem-tra-tai-khoan-ngan-hang-cua-cong-ty")</f>
        <v>https://techcombank.com/thong-tin/blog/cach-kiem-tra-tai-khoan-ngan-hang-cua-cong-ty</v>
      </c>
      <c r="AG15" s="17" t="str">
        <f>IFERROR(__xludf.DUMMYFUNCTION("""COMPUTED_VALUE"""),"cách tạo tài khoản ngân hàng")</f>
        <v>cách tạo tài khoản ngân hàng</v>
      </c>
      <c r="AH15" s="21" t="str">
        <f>IFERROR(__xludf.DUMMYFUNCTION("""COMPUTED_VALUE"""),"https://techcombank.com/thong-tin/blog/cach-lien-ket-epass-voi-tai-khoan-ngan-hang")</f>
        <v>https://techcombank.com/thong-tin/blog/cach-lien-ket-epass-voi-tai-khoan-ngan-hang</v>
      </c>
      <c r="AI15" s="17" t="str">
        <f>IFERROR(__xludf.DUMMYFUNCTION("""COMPUTED_VALUE"""),"mở tài khoản ngân hàng online")</f>
        <v>mở tài khoản ngân hàng online</v>
      </c>
      <c r="AJ15" s="21" t="str">
        <f>IFERROR(__xludf.DUMMYFUNCTION("""COMPUTED_VALUE"""),"https://techcombank.com/thong-tin/blog/co-nen-mua-so-tai-khoan-ngan-hang-dep")</f>
        <v>https://techcombank.com/thong-tin/blog/co-nen-mua-so-tai-khoan-ngan-hang-dep</v>
      </c>
      <c r="AK15" s="17" t="str">
        <f>IFERROR(__xludf.DUMMYFUNCTION("""COMPUTED_VALUE"""),"cách tạo tài khoản ngân hàng")</f>
        <v>cách tạo tài khoản ngân hàng</v>
      </c>
      <c r="AL15" s="21" t="str">
        <f>IFERROR(__xludf.DUMMYFUNCTION("""COMPUTED_VALUE"""),"https://techcombank.com/thong-tin/blog/khai-bao-tai-khoan-ngan-hang-voi-co-quan-thue")</f>
        <v>https://techcombank.com/thong-tin/blog/khai-bao-tai-khoan-ngan-hang-voi-co-quan-thue</v>
      </c>
      <c r="AM15" s="17" t="str">
        <f>IFERROR(__xludf.DUMMYFUNCTION("""COMPUTED_VALUE"""),"mở tài khoản ngân hàng online")</f>
        <v>mở tài khoản ngân hàng online</v>
      </c>
      <c r="AN15" s="21" t="str">
        <f>IFERROR(__xludf.DUMMYFUNCTION("""COMPUTED_VALUE"""),"https://techcombank.com/thong-tin/blog/nen-mo-tai-khoan-ngan-hang-nao-cho-doanh-nghiep")</f>
        <v>https://techcombank.com/thong-tin/blog/nen-mo-tai-khoan-ngan-hang-nao-cho-doanh-nghiep</v>
      </c>
      <c r="AO15" s="17" t="str">
        <f>IFERROR(__xludf.DUMMYFUNCTION("""COMPUTED_VALUE"""),"cách tạo tài khoản ngân hàng")</f>
        <v>cách tạo tài khoản ngân hàng</v>
      </c>
      <c r="AP15" s="21" t="str">
        <f>IFERROR(__xludf.DUMMYFUNCTION("""COMPUTED_VALUE"""),"https://techcombank.com/thong-tin/blog/mo-them-tai-khoan-ngan-hang-cho-cong-ty")</f>
        <v>https://techcombank.com/thong-tin/blog/mo-them-tai-khoan-ngan-hang-cho-cong-ty</v>
      </c>
      <c r="AQ15" s="17" t="str">
        <f>IFERROR(__xludf.DUMMYFUNCTION("""COMPUTED_VALUE"""),"mở tài khoản ngân hàng online")</f>
        <v>mở tài khoản ngân hàng online</v>
      </c>
      <c r="AR15" s="21" t="str">
        <f>IFERROR(__xludf.DUMMYFUNCTION("""COMPUTED_VALUE"""),"https://techcombank.com/thong-tin/blog/techcombank-sinh-loi-tu-dong")</f>
        <v>https://techcombank.com/thong-tin/blog/techcombank-sinh-loi-tu-dong</v>
      </c>
      <c r="AS15" s="17" t="str">
        <f>IFERROR(__xludf.DUMMYFUNCTION("""COMPUTED_VALUE"""),"cách tạo tài khoản ngân hàng")</f>
        <v>cách tạo tài khoản ngân hàng</v>
      </c>
      <c r="AT15" s="21" t="str">
        <f>IFERROR(__xludf.DUMMYFUNCTION("""COMPUTED_VALUE"""),"https://techcombank.com/thong-tin/blog/nap-tien-vao-tai-khoan-ngan-hang")</f>
        <v>https://techcombank.com/thong-tin/blog/nap-tien-vao-tai-khoan-ngan-hang</v>
      </c>
      <c r="AU15" s="17" t="str">
        <f>IFERROR(__xludf.DUMMYFUNCTION("""COMPUTED_VALUE"""),"mở tài khoản ngân hàng online")</f>
        <v>mở tài khoản ngân hàng online</v>
      </c>
      <c r="AV15" s="21" t="str">
        <f>IFERROR(__xludf.DUMMYFUNCTION("""COMPUTED_VALUE"""),"https://techcombank.com/thong-tin/blog/cach-doi-mat-khau-tai-khoan-ngan-hang")</f>
        <v>https://techcombank.com/thong-tin/blog/cach-doi-mat-khau-tai-khoan-ngan-hang</v>
      </c>
      <c r="AW15" s="17" t="str">
        <f>IFERROR(__xludf.DUMMYFUNCTION("""COMPUTED_VALUE"""),"cách tạo tài khoản ngân hàng")</f>
        <v>cách tạo tài khoản ngân hàng</v>
      </c>
      <c r="AX15" s="21" t="str">
        <f>IFERROR(__xludf.DUMMYFUNCTION("""COMPUTED_VALUE"""),"https://techcombank.com/thong-tin/blog/cach-lien-ket-tai-khoan-ngan-hang-voi-vneid")</f>
        <v>https://techcombank.com/thong-tin/blog/cach-lien-ket-tai-khoan-ngan-hang-voi-vneid</v>
      </c>
      <c r="AY15" s="17" t="str">
        <f>IFERROR(__xludf.DUMMYFUNCTION("""COMPUTED_VALUE"""),"mở tài khoản ngân hàng online")</f>
        <v>mở tài khoản ngân hàng online</v>
      </c>
      <c r="AZ15" s="21" t="str">
        <f>IFERROR(__xludf.DUMMYFUNCTION("""COMPUTED_VALUE"""),"https://techcombank.com/thong-tin/blog/lo-so-tai-khoan-ngan-hang-co-sao-khong")</f>
        <v>https://techcombank.com/thong-tin/blog/lo-so-tai-khoan-ngan-hang-co-sao-khong</v>
      </c>
      <c r="BA15" s="17" t="str">
        <f>IFERROR(__xludf.DUMMYFUNCTION("""COMPUTED_VALUE"""),"cách tạo tài khoản ngân hàng")</f>
        <v>cách tạo tài khoản ngân hàng</v>
      </c>
      <c r="BB15" s="21" t="str">
        <f>IFERROR(__xludf.DUMMYFUNCTION("""COMPUTED_VALUE"""),"https://techcombank.com/thong-tin/blog/tai-khoan-ngan-hang-chua-toi-da-bao-nhieu-tien")</f>
        <v>https://techcombank.com/thong-tin/blog/tai-khoan-ngan-hang-chua-toi-da-bao-nhieu-tien</v>
      </c>
      <c r="BC15" s="17" t="str">
        <f>IFERROR(__xludf.DUMMYFUNCTION("""COMPUTED_VALUE"""),"mở tài khoản ngân hàng online")</f>
        <v>mở tài khoản ngân hàng online</v>
      </c>
      <c r="BD15" s="21" t="str">
        <f>IFERROR(__xludf.DUMMYFUNCTION("""COMPUTED_VALUE"""),"https://techcombank.com/thong-tin/blog/88-la-gi")</f>
        <v>https://techcombank.com/thong-tin/blog/88-la-gi</v>
      </c>
      <c r="BE15" s="17" t="str">
        <f>IFERROR(__xludf.DUMMYFUNCTION("""COMPUTED_VALUE"""),"cách tạo tài khoản ngân hàng")</f>
        <v>cách tạo tài khoản ngân hàng</v>
      </c>
      <c r="BF15" s="21" t="str">
        <f>IFERROR(__xludf.DUMMYFUNCTION("""COMPUTED_VALUE"""),"https://techcombank.com/thong-tin/blog/dang-ky-nhieu-tai-khoan-ngan-hang-co-sao-khong")</f>
        <v>https://techcombank.com/thong-tin/blog/dang-ky-nhieu-tai-khoan-ngan-hang-co-sao-khong</v>
      </c>
      <c r="BG15" s="17" t="str">
        <f>IFERROR(__xludf.DUMMYFUNCTION("""COMPUTED_VALUE"""),"mở tài khoản ngân hàng online")</f>
        <v>mở tài khoản ngân hàng online</v>
      </c>
      <c r="BH15" s="21" t="str">
        <f>IFERROR(__xludf.DUMMYFUNCTION("""COMPUTED_VALUE"""),"https://techcombank.com/thong-tin/blog/thue-thu-nhap-ca-nhan")</f>
        <v>https://techcombank.com/thong-tin/blog/thue-thu-nhap-ca-nhan</v>
      </c>
      <c r="BI15" s="17" t="str">
        <f>IFERROR(__xludf.DUMMYFUNCTION("""COMPUTED_VALUE"""),"cách tạo tài khoản ngân hàng")</f>
        <v>cách tạo tài khoản ngân hàng</v>
      </c>
      <c r="BJ15" s="21" t="str">
        <f>IFERROR(__xludf.DUMMYFUNCTION("""COMPUTED_VALUE"""),"https://techcombank.com/thong-tin/blog/cach-chon-so-tai-khoan-dep")</f>
        <v>https://techcombank.com/thong-tin/blog/cach-chon-so-tai-khoan-dep</v>
      </c>
      <c r="BK15" s="17" t="str">
        <f>IFERROR(__xludf.DUMMYFUNCTION("""COMPUTED_VALUE"""),"mở tài khoản ngân hàng online")</f>
        <v>mở tài khoản ngân hàng online</v>
      </c>
      <c r="BL15" s="21" t="str">
        <f>IFERROR(__xludf.DUMMYFUNCTION("""COMPUTED_VALUE"""),"https://techcombank.com/thong-tin/blog/cach-dong-tien-dien-qua-tai-khoan-ngan-hang")</f>
        <v>https://techcombank.com/thong-tin/blog/cach-dong-tien-dien-qua-tai-khoan-ngan-hang</v>
      </c>
      <c r="BM15" s="17" t="str">
        <f>IFERROR(__xludf.DUMMYFUNCTION("""COMPUTED_VALUE"""),"cách tạo tài khoản ngân hàng")</f>
        <v>cách tạo tài khoản ngân hàng</v>
      </c>
      <c r="BN15" s="21" t="str">
        <f>IFERROR(__xludf.DUMMYFUNCTION("""COMPUTED_VALUE"""),"https://techcombank.com/thong-tin/blog/mau-mo-tai-khoan-doanh-nghiep-techcombank")</f>
        <v>https://techcombank.com/thong-tin/blog/mau-mo-tai-khoan-doanh-nghiep-techcombank</v>
      </c>
      <c r="BO15" s="17" t="str">
        <f>IFERROR(__xludf.DUMMYFUNCTION("""COMPUTED_VALUE"""),"mở tài khoản ngân hàng online")</f>
        <v>mở tài khoản ngân hàng online</v>
      </c>
      <c r="BP15" s="21" t="str">
        <f>IFERROR(__xludf.DUMMYFUNCTION("""COMPUTED_VALUE"""),"https://techcombank.com/thong-tin/blog/mo-tai-khoan-ngan-hang-duoi-18-tuoi")</f>
        <v>https://techcombank.com/thong-tin/blog/mo-tai-khoan-ngan-hang-duoi-18-tuoi</v>
      </c>
      <c r="BQ15" s="17" t="str">
        <f>IFERROR(__xludf.DUMMYFUNCTION("""COMPUTED_VALUE"""),"cách tạo tài khoản ngân hàng")</f>
        <v>cách tạo tài khoản ngân hàng</v>
      </c>
      <c r="BR15" s="21" t="str">
        <f>IFERROR(__xludf.DUMMYFUNCTION("""COMPUTED_VALUE"""),"https://techcombank.com/thong-tin/blog/mat-so-dien-thoai-dang-ky-tai-khoan-ngan-hang")</f>
        <v>https://techcombank.com/thong-tin/blog/mat-so-dien-thoai-dang-ky-tai-khoan-ngan-hang</v>
      </c>
      <c r="BS15" s="17" t="str">
        <f>IFERROR(__xludf.DUMMYFUNCTION("""COMPUTED_VALUE"""),"mở tài khoản ngân hàng online")</f>
        <v>mở tài khoản ngân hàng online</v>
      </c>
      <c r="BT15" s="21" t="str">
        <f>IFERROR(__xludf.DUMMYFUNCTION("""COMPUTED_VALUE"""),"https://techcombank.com/thong-tin/blog/mo-tai-khoan-tiet-kiem-cho-con")</f>
        <v>https://techcombank.com/thong-tin/blog/mo-tai-khoan-tiet-kiem-cho-con</v>
      </c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7"/>
      <c r="ME15" s="17"/>
      <c r="MF15" s="17"/>
      <c r="MG15" s="17"/>
      <c r="MH15" s="17"/>
      <c r="MI15" s="17"/>
      <c r="MJ15" s="17"/>
      <c r="MK15" s="17"/>
      <c r="ML15" s="17"/>
      <c r="MM15" s="17"/>
      <c r="MN15" s="17"/>
      <c r="MO15" s="17"/>
      <c r="MP15" s="17"/>
      <c r="MQ15" s="17"/>
      <c r="MR15" s="17"/>
      <c r="MS15" s="17"/>
      <c r="MT15" s="17"/>
      <c r="MU15" s="17"/>
      <c r="MV15" s="17"/>
      <c r="MW15" s="17"/>
      <c r="MX15" s="17"/>
      <c r="MY15" s="17"/>
      <c r="MZ15" s="17"/>
      <c r="NA15" s="17"/>
      <c r="NB15" s="17"/>
      <c r="NC15" s="17"/>
      <c r="ND15" s="17"/>
      <c r="NE15" s="17"/>
      <c r="NF15" s="17"/>
      <c r="NG15" s="17"/>
      <c r="NH15" s="17"/>
      <c r="NI15" s="17"/>
      <c r="NJ15" s="17"/>
      <c r="NK15" s="17"/>
      <c r="NL15" s="17"/>
      <c r="NM15" s="17"/>
      <c r="NN15" s="17"/>
      <c r="NO15" s="17"/>
      <c r="NP15" s="17"/>
      <c r="NQ15" s="17"/>
      <c r="NR15" s="17"/>
      <c r="NS15" s="17"/>
      <c r="NT15" s="17"/>
      <c r="NU15" s="17"/>
      <c r="NV15" s="17"/>
      <c r="NW15" s="17"/>
      <c r="NX15" s="17"/>
      <c r="NY15" s="17"/>
      <c r="NZ15" s="17"/>
      <c r="OA15" s="17"/>
      <c r="OB15" s="17"/>
      <c r="OC15" s="17"/>
      <c r="OD15" s="17"/>
      <c r="OE15" s="17"/>
      <c r="OF15" s="17"/>
      <c r="OG15" s="17"/>
      <c r="OH15" s="17"/>
      <c r="OI15" s="17"/>
      <c r="OJ15" s="17"/>
      <c r="OK15" s="17"/>
      <c r="OL15" s="17"/>
      <c r="OM15" s="17"/>
      <c r="ON15" s="17"/>
      <c r="OO15" s="17"/>
      <c r="OP15" s="17"/>
      <c r="OQ15" s="17"/>
      <c r="OR15" s="17"/>
      <c r="OS15" s="17"/>
      <c r="OT15" s="17"/>
      <c r="OU15" s="17"/>
      <c r="OV15" s="17"/>
    </row>
    <row r="16" ht="18.0" customHeight="1">
      <c r="A16" s="16">
        <v>15.0</v>
      </c>
      <c r="B16" s="17" t="s">
        <v>920</v>
      </c>
      <c r="C16" s="18" t="s">
        <v>1114</v>
      </c>
      <c r="D16" s="17" t="s">
        <v>359</v>
      </c>
      <c r="E16" s="16">
        <v>30.0</v>
      </c>
      <c r="F16" s="16">
        <f>COUNTIF('Tổng hợp 75 trang đích'!$B$2:$B$3400,$D16)</f>
        <v>30</v>
      </c>
      <c r="G16" s="16">
        <f>COUNTIFS('Tổng hợp 75 trang đích'!$B$2:$B$3400,$D16,'Tổng hợp 75 trang đích'!$K$2:$K$3400,"PHÙ HỢP CAO")</f>
        <v>2</v>
      </c>
      <c r="H16" s="16">
        <f>COUNTIFS('Tổng hợp 75 trang đích'!$B$2:$B$3400,$D16,'Tổng hợp 75 trang đích'!$K$2:$K$3400,"CÓ THỂ ĐI")</f>
        <v>3</v>
      </c>
      <c r="I16" s="16">
        <f>COUNTIFS('Tổng hợp 75 trang đích'!$B$2:$B$3400,$D16,'Tổng hợp 75 trang đích'!$K$2:$K$3400,"CẦN SOÁT")</f>
        <v>25</v>
      </c>
      <c r="J16" s="19" t="s">
        <v>555</v>
      </c>
      <c r="K16" s="19" t="b">
        <v>0</v>
      </c>
      <c r="L16" s="20" t="s">
        <v>333</v>
      </c>
      <c r="M16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đích'!$B$2:$B$3400=$D16),3,TR"&amp;"UE),1,2)),"""")"),"ngân hàng uy tín")</f>
        <v>ngân hàng uy tín</v>
      </c>
      <c r="N16" s="21" t="str">
        <f>IFERROR(__xludf.DUMMYFUNCTION("""COMPUTED_VALUE"""),"https://techcombank.com/thong-tin/blog/app-ngan-hang-uy-tin")</f>
        <v>https://techcombank.com/thong-tin/blog/app-ngan-hang-uy-tin</v>
      </c>
      <c r="O16" s="17" t="str">
        <f>IFERROR(__xludf.DUMMYFUNCTION("""COMPUTED_VALUE"""),"chọn ngân hàng uy tín")</f>
        <v>chọn ngân hàng uy tín</v>
      </c>
      <c r="P16" s="21" t="str">
        <f>IFERROR(__xludf.DUMMYFUNCTION("""COMPUTED_VALUE"""),"https://techcombank.com/thong-tin/blog/gui-tien-ngan-hang-co-an-toan-khong")</f>
        <v>https://techcombank.com/thong-tin/blog/gui-tien-ngan-hang-co-an-toan-khong</v>
      </c>
      <c r="Q16" s="17" t="str">
        <f>IFERROR(__xludf.DUMMYFUNCTION("""COMPUTED_VALUE"""),"ngân hàng uy tín")</f>
        <v>ngân hàng uy tín</v>
      </c>
      <c r="R16" s="21" t="str">
        <f>IFERROR(__xludf.DUMMYFUNCTION("""COMPUTED_VALUE"""),"https://techcombank.com/thong-tin/blog/nen-mo-tai-khoan-ngan-hang-nao-cho-doanh-nghiep")</f>
        <v>https://techcombank.com/thong-tin/blog/nen-mo-tai-khoan-ngan-hang-nao-cho-doanh-nghiep</v>
      </c>
      <c r="S16" s="17" t="str">
        <f>IFERROR(__xludf.DUMMYFUNCTION("""COMPUTED_VALUE"""),"chọn ngân hàng uy tín")</f>
        <v>chọn ngân hàng uy tín</v>
      </c>
      <c r="T16" s="21" t="str">
        <f>IFERROR(__xludf.DUMMYFUNCTION("""COMPUTED_VALUE"""),"https://techcombank.com/thong-tin/blog/gio-lam-viec-ngan-hang")</f>
        <v>https://techcombank.com/thong-tin/blog/gio-lam-viec-ngan-hang</v>
      </c>
      <c r="U16" s="17" t="str">
        <f>IFERROR(__xludf.DUMMYFUNCTION("""COMPUTED_VALUE"""),"ngân hàng uy tín")</f>
        <v>ngân hàng uy tín</v>
      </c>
      <c r="V16" s="21" t="str">
        <f>IFERROR(__xludf.DUMMYFUNCTION("""COMPUTED_VALUE"""),"https://techcombank.com/thong-tin/blog/gia-tri-thuong-hieu")</f>
        <v>https://techcombank.com/thong-tin/blog/gia-tri-thuong-hieu</v>
      </c>
      <c r="W16" s="17" t="str">
        <f>IFERROR(__xludf.DUMMYFUNCTION("""COMPUTED_VALUE"""),"chọn ngân hàng uy tín")</f>
        <v>chọn ngân hàng uy tín</v>
      </c>
      <c r="X16" s="21" t="str">
        <f>IFERROR(__xludf.DUMMYFUNCTION("""COMPUTED_VALUE"""),"https://techcombank.com/thong-tin/blog/dieu-kien-vay-von-ngan-hang")</f>
        <v>https://techcombank.com/thong-tin/blog/dieu-kien-vay-von-ngan-hang</v>
      </c>
      <c r="Y16" s="17" t="str">
        <f>IFERROR(__xludf.DUMMYFUNCTION("""COMPUTED_VALUE"""),"ngân hàng uy tín")</f>
        <v>ngân hàng uy tín</v>
      </c>
      <c r="Z16" s="21" t="str">
        <f>IFERROR(__xludf.DUMMYFUNCTION("""COMPUTED_VALUE"""),"https://techcombank.com/thong-tin/blog/nen-vay-tin-chap-o-dau")</f>
        <v>https://techcombank.com/thong-tin/blog/nen-vay-tin-chap-o-dau</v>
      </c>
      <c r="AA16" s="17" t="str">
        <f>IFERROR(__xludf.DUMMYFUNCTION("""COMPUTED_VALUE"""),"chọn ngân hàng uy tín")</f>
        <v>chọn ngân hàng uy tín</v>
      </c>
      <c r="AB16" s="21" t="str">
        <f>IFERROR(__xludf.DUMMYFUNCTION("""COMPUTED_VALUE"""),"https://techcombank.com/thong-tin/blog/nen-vay-the-chap-ngan-hang-nao")</f>
        <v>https://techcombank.com/thong-tin/blog/nen-vay-the-chap-ngan-hang-nao</v>
      </c>
      <c r="AC16" s="17" t="str">
        <f>IFERROR(__xludf.DUMMYFUNCTION("""COMPUTED_VALUE"""),"ngân hàng uy tín")</f>
        <v>ngân hàng uy tín</v>
      </c>
      <c r="AD16" s="21" t="str">
        <f>IFERROR(__xludf.DUMMYFUNCTION("""COMPUTED_VALUE"""),"https://techcombank.com/thong-tin/blog/su-hop-tac-cua-ngan-hang-va-fintech-tren-hanh-trinh-chuyen-doi-so")</f>
        <v>https://techcombank.com/thong-tin/blog/su-hop-tac-cua-ngan-hang-va-fintech-tren-hanh-trinh-chuyen-doi-so</v>
      </c>
      <c r="AE16" s="17" t="str">
        <f>IFERROR(__xludf.DUMMYFUNCTION("""COMPUTED_VALUE"""),"chọn ngân hàng uy tín")</f>
        <v>chọn ngân hàng uy tín</v>
      </c>
      <c r="AF16" s="21" t="str">
        <f>IFERROR(__xludf.DUMMYFUNCTION("""COMPUTED_VALUE"""),"https://techcombank.com/thong-tin/blog/vay-mua-xe-tra-gop-ngan-hang-nao-tot-nhat")</f>
        <v>https://techcombank.com/thong-tin/blog/vay-mua-xe-tra-gop-ngan-hang-nao-tot-nhat</v>
      </c>
      <c r="AG16" s="17" t="str">
        <f>IFERROR(__xludf.DUMMYFUNCTION("""COMPUTED_VALUE"""),"ngân hàng uy tín")</f>
        <v>ngân hàng uy tín</v>
      </c>
      <c r="AH16" s="21" t="str">
        <f>IFERROR(__xludf.DUMMYFUNCTION("""COMPUTED_VALUE"""),"https://techcombank.com/thong-tin/blog/lam-the-visa-o-dau")</f>
        <v>https://techcombank.com/thong-tin/blog/lam-the-visa-o-dau</v>
      </c>
      <c r="AI16" s="17" t="str">
        <f>IFERROR(__xludf.DUMMYFUNCTION("""COMPUTED_VALUE"""),"chọn ngân hàng uy tín")</f>
        <v>chọn ngân hàng uy tín</v>
      </c>
      <c r="AJ16" s="21" t="str">
        <f>IFERROR(__xludf.DUMMYFUNCTION("""COMPUTED_VALUE"""),"https://techcombank.com/thong-tin/blog/lai-suat-tiet-kiem")</f>
        <v>https://techcombank.com/thong-tin/blog/lai-suat-tiet-kiem</v>
      </c>
      <c r="AK16" s="17" t="str">
        <f>IFERROR(__xludf.DUMMYFUNCTION("""COMPUTED_VALUE"""),"ngân hàng uy tín")</f>
        <v>ngân hàng uy tín</v>
      </c>
      <c r="AL16" s="21" t="str">
        <f>IFERROR(__xludf.DUMMYFUNCTION("""COMPUTED_VALUE"""),"https://techcombank.com/thong-tin/blog/uu-dai-mo-the-tin-dung")</f>
        <v>https://techcombank.com/thong-tin/blog/uu-dai-mo-the-tin-dung</v>
      </c>
      <c r="AM16" s="17" t="str">
        <f>IFERROR(__xludf.DUMMYFUNCTION("""COMPUTED_VALUE"""),"chọn ngân hàng uy tín")</f>
        <v>chọn ngân hàng uy tín</v>
      </c>
      <c r="AN16" s="21" t="str">
        <f>IFERROR(__xludf.DUMMYFUNCTION("""COMPUTED_VALUE"""),"https://techcombank.com/thong-tin/blog/app-ngan-hang")</f>
        <v>https://techcombank.com/thong-tin/blog/app-ngan-hang</v>
      </c>
      <c r="AO16" s="17" t="str">
        <f>IFERROR(__xludf.DUMMYFUNCTION("""COMPUTED_VALUE"""),"ngân hàng uy tín")</f>
        <v>ngân hàng uy tín</v>
      </c>
      <c r="AP16" s="21" t="str">
        <f>IFERROR(__xludf.DUMMYFUNCTION("""COMPUTED_VALUE"""),"https://techcombank.com/thong-tin/blog/cach-tinh-lai-suat-tien-gui-tiet-kiem")</f>
        <v>https://techcombank.com/thong-tin/blog/cach-tinh-lai-suat-tien-gui-tiet-kiem</v>
      </c>
      <c r="AQ16" s="17" t="str">
        <f>IFERROR(__xludf.DUMMYFUNCTION("""COMPUTED_VALUE"""),"chọn ngân hàng uy tín")</f>
        <v>chọn ngân hàng uy tín</v>
      </c>
      <c r="AR16" s="21" t="str">
        <f>IFERROR(__xludf.DUMMYFUNCTION("""COMPUTED_VALUE"""),"https://techcombank.com/thong-tin/blog/vay-sinh-vien")</f>
        <v>https://techcombank.com/thong-tin/blog/vay-sinh-vien</v>
      </c>
      <c r="AS16" s="17" t="str">
        <f>IFERROR(__xludf.DUMMYFUNCTION("""COMPUTED_VALUE"""),"ngân hàng uy tín")</f>
        <v>ngân hàng uy tín</v>
      </c>
      <c r="AT16" s="21" t="str">
        <f>IFERROR(__xludf.DUMMYFUNCTION("""COMPUTED_VALUE"""),"https://techcombank.com/thong-tin/blog/lai-suat-vay-tieu-dung")</f>
        <v>https://techcombank.com/thong-tin/blog/lai-suat-vay-tieu-dung</v>
      </c>
      <c r="AU16" s="17" t="str">
        <f>IFERROR(__xludf.DUMMYFUNCTION("""COMPUTED_VALUE"""),"chọn ngân hàng uy tín")</f>
        <v>chọn ngân hàng uy tín</v>
      </c>
      <c r="AV16" s="21" t="str">
        <f>IFERROR(__xludf.DUMMYFUNCTION("""COMPUTED_VALUE"""),"https://techcombank.com/thong-tin/blog/hoc-sinh-sinh-vien-nen-lam-the-ngan-hang-nao")</f>
        <v>https://techcombank.com/thong-tin/blog/hoc-sinh-sinh-vien-nen-lam-the-ngan-hang-nao</v>
      </c>
      <c r="AW16" s="17" t="str">
        <f>IFERROR(__xludf.DUMMYFUNCTION("""COMPUTED_VALUE"""),"ngân hàng uy tín")</f>
        <v>ngân hàng uy tín</v>
      </c>
      <c r="AX16" s="21" t="str">
        <f>IFERROR(__xludf.DUMMYFUNCTION("""COMPUTED_VALUE"""),"https://techcombank.com/thong-tin/blog/gui-tiet-kiem-ngoai-te")</f>
        <v>https://techcombank.com/thong-tin/blog/gui-tiet-kiem-ngoai-te</v>
      </c>
      <c r="AY16" s="17" t="str">
        <f>IFERROR(__xludf.DUMMYFUNCTION("""COMPUTED_VALUE"""),"chọn ngân hàng uy tín")</f>
        <v>chọn ngân hàng uy tín</v>
      </c>
      <c r="AZ16" s="21" t="str">
        <f>IFERROR(__xludf.DUMMYFUNCTION("""COMPUTED_VALUE"""),"https://techcombank.com/thong-tin/blog/the-tin-dung-mien-lai-55-ngay")</f>
        <v>https://techcombank.com/thong-tin/blog/the-tin-dung-mien-lai-55-ngay</v>
      </c>
      <c r="BA16" s="17" t="str">
        <f>IFERROR(__xludf.DUMMYFUNCTION("""COMPUTED_VALUE"""),"ngân hàng uy tín")</f>
        <v>ngân hàng uy tín</v>
      </c>
      <c r="BB16" s="21" t="str">
        <f>IFERROR(__xludf.DUMMYFUNCTION("""COMPUTED_VALUE"""),"https://techcombank.com/thong-tin/blog/lai-suat-vay-ngan-hang")</f>
        <v>https://techcombank.com/thong-tin/blog/lai-suat-vay-ngan-hang</v>
      </c>
      <c r="BC16" s="17" t="str">
        <f>IFERROR(__xludf.DUMMYFUNCTION("""COMPUTED_VALUE"""),"chọn ngân hàng uy tín")</f>
        <v>chọn ngân hàng uy tín</v>
      </c>
      <c r="BD16" s="21" t="str">
        <f>IFERROR(__xludf.DUMMYFUNCTION("""COMPUTED_VALUE"""),"https://techcombank.com/thong-tin/blog/mat-the-tin-dung-co-lam-lai-duoc-khong")</f>
        <v>https://techcombank.com/thong-tin/blog/mat-the-tin-dung-co-lam-lai-duoc-khong</v>
      </c>
      <c r="BE16" s="17" t="str">
        <f>IFERROR(__xludf.DUMMYFUNCTION("""COMPUTED_VALUE"""),"ngân hàng uy tín")</f>
        <v>ngân hàng uy tín</v>
      </c>
      <c r="BF16" s="21" t="str">
        <f>IFERROR(__xludf.DUMMYFUNCTION("""COMPUTED_VALUE"""),"https://techcombank.com/thong-tin/blog/lai-suat-chung-chi-tien-gui-cac-ngan-hang")</f>
        <v>https://techcombank.com/thong-tin/blog/lai-suat-chung-chi-tien-gui-cac-ngan-hang</v>
      </c>
      <c r="BG16" s="17" t="str">
        <f>IFERROR(__xludf.DUMMYFUNCTION("""COMPUTED_VALUE"""),"chọn ngân hàng uy tín")</f>
        <v>chọn ngân hàng uy tín</v>
      </c>
      <c r="BH16" s="21" t="str">
        <f>IFERROR(__xludf.DUMMYFUNCTION("""COMPUTED_VALUE"""),"https://techcombank.com/thong-tin/blog/lai-suat-vay-mua-o-to")</f>
        <v>https://techcombank.com/thong-tin/blog/lai-suat-vay-mua-o-to</v>
      </c>
      <c r="BI16" s="17" t="str">
        <f>IFERROR(__xludf.DUMMYFUNCTION("""COMPUTED_VALUE"""),"ngân hàng uy tín")</f>
        <v>ngân hàng uy tín</v>
      </c>
      <c r="BJ16" s="21" t="str">
        <f>IFERROR(__xludf.DUMMYFUNCTION("""COMPUTED_VALUE"""),"https://techcombank.com/thong-tin/blog/lai-suat-vay-tin-chap")</f>
        <v>https://techcombank.com/thong-tin/blog/lai-suat-vay-tin-chap</v>
      </c>
      <c r="BK16" s="17" t="str">
        <f>IFERROR(__xludf.DUMMYFUNCTION("""COMPUTED_VALUE"""),"chọn ngân hàng uy tín")</f>
        <v>chọn ngân hàng uy tín</v>
      </c>
      <c r="BL16" s="21" t="str">
        <f>IFERROR(__xludf.DUMMYFUNCTION("""COMPUTED_VALUE"""),"https://techcombank.com/thong-tin/blog/bao-hiem-vat-chat-xe-o-to")</f>
        <v>https://techcombank.com/thong-tin/blog/bao-hiem-vat-chat-xe-o-to</v>
      </c>
      <c r="BM16" s="17" t="str">
        <f>IFERROR(__xludf.DUMMYFUNCTION("""COMPUTED_VALUE"""),"ngân hàng uy tín")</f>
        <v>ngân hàng uy tín</v>
      </c>
      <c r="BN16" s="21" t="str">
        <f>IFERROR(__xludf.DUMMYFUNCTION("""COMPUTED_VALUE"""),"https://techcombank.com/thong-tin/blog/vip-ngan-hang")</f>
        <v>https://techcombank.com/thong-tin/blog/vip-ngan-hang</v>
      </c>
      <c r="BO16" s="17" t="str">
        <f>IFERROR(__xludf.DUMMYFUNCTION("""COMPUTED_VALUE"""),"chọn ngân hàng uy tín")</f>
        <v>chọn ngân hàng uy tín</v>
      </c>
      <c r="BP16" s="21" t="str">
        <f>IFERROR(__xludf.DUMMYFUNCTION("""COMPUTED_VALUE"""),"https://techcombank.com/thong-tin/blog/viet-kieu-co-mo-duoc-tai-khoan-ngan-hang-khong")</f>
        <v>https://techcombank.com/thong-tin/blog/viet-kieu-co-mo-duoc-tai-khoan-ngan-hang-khong</v>
      </c>
      <c r="BQ16" s="17" t="str">
        <f>IFERROR(__xludf.DUMMYFUNCTION("""COMPUTED_VALUE"""),"ngân hàng uy tín")</f>
        <v>ngân hàng uy tín</v>
      </c>
      <c r="BR16" s="21" t="str">
        <f>IFERROR(__xludf.DUMMYFUNCTION("""COMPUTED_VALUE"""),"https://techcombank.com/thong-tin/blog/ty-gia-cac-ngan-hang")</f>
        <v>https://techcombank.com/thong-tin/blog/ty-gia-cac-ngan-hang</v>
      </c>
      <c r="BS16" s="17" t="str">
        <f>IFERROR(__xludf.DUMMYFUNCTION("""COMPUTED_VALUE"""),"chọn ngân hàng uy tín")</f>
        <v>chọn ngân hàng uy tín</v>
      </c>
      <c r="BT16" s="21" t="str">
        <f>IFERROR(__xludf.DUMMYFUNCTION("""COMPUTED_VALUE"""),"https://techcombank.com/thong-tin/blog/ty-gia-la-gi")</f>
        <v>https://techcombank.com/thong-tin/blog/ty-gia-la-gi</v>
      </c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  <c r="NC16" s="17"/>
      <c r="ND16" s="17"/>
      <c r="NE16" s="17"/>
      <c r="NF16" s="17"/>
      <c r="NG16" s="17"/>
      <c r="NH16" s="17"/>
      <c r="NI16" s="17"/>
      <c r="NJ16" s="17"/>
      <c r="NK16" s="17"/>
      <c r="NL16" s="17"/>
      <c r="NM16" s="17"/>
      <c r="NN16" s="17"/>
      <c r="NO16" s="17"/>
      <c r="NP16" s="17"/>
      <c r="NQ16" s="17"/>
      <c r="NR16" s="17"/>
      <c r="NS16" s="17"/>
      <c r="NT16" s="17"/>
      <c r="NU16" s="17"/>
      <c r="NV16" s="17"/>
      <c r="NW16" s="17"/>
      <c r="NX16" s="17"/>
      <c r="NY16" s="17"/>
      <c r="NZ16" s="17"/>
      <c r="OA16" s="17"/>
      <c r="OB16" s="17"/>
      <c r="OC16" s="17"/>
      <c r="OD16" s="17"/>
      <c r="OE16" s="17"/>
      <c r="OF16" s="17"/>
      <c r="OG16" s="17"/>
      <c r="OH16" s="17"/>
      <c r="OI16" s="17"/>
      <c r="OJ16" s="17"/>
      <c r="OK16" s="17"/>
      <c r="OL16" s="17"/>
      <c r="OM16" s="17"/>
      <c r="ON16" s="17"/>
      <c r="OO16" s="17"/>
      <c r="OP16" s="17"/>
      <c r="OQ16" s="17"/>
      <c r="OR16" s="17"/>
      <c r="OS16" s="17"/>
      <c r="OT16" s="17"/>
      <c r="OU16" s="17"/>
      <c r="OV16" s="17"/>
    </row>
    <row r="17" ht="18.0" customHeight="1">
      <c r="A17" s="16">
        <v>16.0</v>
      </c>
      <c r="B17" s="17" t="s">
        <v>920</v>
      </c>
      <c r="C17" s="18" t="s">
        <v>1127</v>
      </c>
      <c r="D17" s="17" t="s">
        <v>371</v>
      </c>
      <c r="E17" s="16">
        <v>30.0</v>
      </c>
      <c r="F17" s="16">
        <f>COUNTIF('Tổng hợp 75 trang đích'!$B$2:$B$3400,$D17)</f>
        <v>30</v>
      </c>
      <c r="G17" s="16">
        <f>COUNTIFS('Tổng hợp 75 trang đích'!$B$2:$B$3400,$D17,'Tổng hợp 75 trang đích'!$K$2:$K$3400,"PHÙ HỢP CAO")</f>
        <v>4</v>
      </c>
      <c r="H17" s="16">
        <f>COUNTIFS('Tổng hợp 75 trang đích'!$B$2:$B$3400,$D17,'Tổng hợp 75 trang đích'!$K$2:$K$3400,"CÓ THỂ ĐI")</f>
        <v>1</v>
      </c>
      <c r="I17" s="16">
        <f>COUNTIFS('Tổng hợp 75 trang đích'!$B$2:$B$3400,$D17,'Tổng hợp 75 trang đích'!$K$2:$K$3400,"CẦN SOÁT")</f>
        <v>25</v>
      </c>
      <c r="J17" s="19" t="s">
        <v>555</v>
      </c>
      <c r="K17" s="19" t="b">
        <v>0</v>
      </c>
      <c r="L17" s="20" t="s">
        <v>333</v>
      </c>
      <c r="M17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đích'!$B$2:$B$3400=$D17),3,TR"&amp;"UE),1,2)),"""")"),"chuyển khoản thành công nhưng không nhận được tiền")</f>
        <v>chuyển khoản thành công nhưng không nhận được tiền</v>
      </c>
      <c r="N17" s="21" t="str">
        <f>IFERROR(__xludf.DUMMYFUNCTION("""COMPUTED_VALUE"""),"https://techcombank.com/thong-tin/blog/cach-chuyen-tien")</f>
        <v>https://techcombank.com/thong-tin/blog/cach-chuyen-tien</v>
      </c>
      <c r="O17" s="17" t="str">
        <f>IFERROR(__xludf.DUMMYFUNCTION("""COMPUTED_VALUE"""),"chuyển tiền thành công nhưng chưa nhận được")</f>
        <v>chuyển tiền thành công nhưng chưa nhận được</v>
      </c>
      <c r="P17" s="21" t="str">
        <f>IFERROR(__xludf.DUMMYFUNCTION("""COMPUTED_VALUE"""),"https://techcombank.com/thong-tin/blog/chuyen-khoan-lien-ngan-hang")</f>
        <v>https://techcombank.com/thong-tin/blog/chuyen-khoan-lien-ngan-hang</v>
      </c>
      <c r="Q17" s="17" t="str">
        <f>IFERROR(__xludf.DUMMYFUNCTION("""COMPUTED_VALUE"""),"tiền chuyển khoản bị treo")</f>
        <v>tiền chuyển khoản bị treo</v>
      </c>
      <c r="R17" s="21" t="str">
        <f>IFERROR(__xludf.DUMMYFUNCTION("""COMPUTED_VALUE"""),"https://techcombank.com/thong-tin/blog/ma-giao-dich-la-gi")</f>
        <v>https://techcombank.com/thong-tin/blog/ma-giao-dich-la-gi</v>
      </c>
      <c r="S17" s="17" t="str">
        <f>IFERROR(__xludf.DUMMYFUNCTION("""COMPUTED_VALUE"""),"chuyển khoản thành công nhưng không nhận được tiền")</f>
        <v>chuyển khoản thành công nhưng không nhận được tiền</v>
      </c>
      <c r="T17" s="21" t="str">
        <f>IFERROR(__xludf.DUMMYFUNCTION("""COMPUTED_VALUE"""),"https://techcombank.com/thong-tin/blog/chuyen-nham-tien-co-lay-lai-duoc-khong")</f>
        <v>https://techcombank.com/thong-tin/blog/chuyen-nham-tien-co-lay-lai-duoc-khong</v>
      </c>
      <c r="U17" s="17" t="str">
        <f>IFERROR(__xludf.DUMMYFUNCTION("""COMPUTED_VALUE"""),"chuyển tiền thành công nhưng chưa nhận được")</f>
        <v>chuyển tiền thành công nhưng chưa nhận được</v>
      </c>
      <c r="V17" s="21" t="str">
        <f>IFERROR(__xludf.DUMMYFUNCTION("""COMPUTED_VALUE"""),"https://techcombank.com/thong-tin/blog/ngan-hang-thu-huong-la-gi")</f>
        <v>https://techcombank.com/thong-tin/blog/ngan-hang-thu-huong-la-gi</v>
      </c>
      <c r="W17" s="17" t="str">
        <f>IFERROR(__xludf.DUMMYFUNCTION("""COMPUTED_VALUE"""),"tiền chuyển khoản bị treo")</f>
        <v>tiền chuyển khoản bị treo</v>
      </c>
      <c r="X17" s="21" t="str">
        <f>IFERROR(__xludf.DUMMYFUNCTION("""COMPUTED_VALUE"""),"https://techcombank.com/thong-tin/blog/loa-thong-bao-chuyen-khoan")</f>
        <v>https://techcombank.com/thong-tin/blog/loa-thong-bao-chuyen-khoan</v>
      </c>
      <c r="Y17" s="17" t="str">
        <f>IFERROR(__xludf.DUMMYFUNCTION("""COMPUTED_VALUE"""),"chuyển khoản thành công nhưng không nhận được tiền")</f>
        <v>chuyển khoản thành công nhưng không nhận được tiền</v>
      </c>
      <c r="Z17" s="21" t="str">
        <f>IFERROR(__xludf.DUMMYFUNCTION("""COMPUTED_VALUE"""),"https://techcombank.com/thong-tin/blog/ma-qr-ngan-hang-khong-hop-le")</f>
        <v>https://techcombank.com/thong-tin/blog/ma-qr-ngan-hang-khong-hop-le</v>
      </c>
      <c r="AA17" s="17" t="str">
        <f>IFERROR(__xludf.DUMMYFUNCTION("""COMPUTED_VALUE"""),"chuyển tiền thành công nhưng chưa nhận được")</f>
        <v>chuyển tiền thành công nhưng chưa nhận được</v>
      </c>
      <c r="AB17" s="21" t="str">
        <f>IFERROR(__xludf.DUMMYFUNCTION("""COMPUTED_VALUE"""),"https://techcombank.com/thong-tin/blog/luu-y-khi-chuyen-tien-vao-tai-khoan-cong-ty")</f>
        <v>https://techcombank.com/thong-tin/blog/luu-y-khi-chuyen-tien-vao-tai-khoan-cong-ty</v>
      </c>
      <c r="AC17" s="17" t="str">
        <f>IFERROR(__xludf.DUMMYFUNCTION("""COMPUTED_VALUE"""),"tiền chuyển khoản bị treo")</f>
        <v>tiền chuyển khoản bị treo</v>
      </c>
      <c r="AD17" s="21" t="str">
        <f>IFERROR(__xludf.DUMMYFUNCTION("""COMPUTED_VALUE"""),"https://techcombank.com/thong-tin/blog/remittance-la-gi")</f>
        <v>https://techcombank.com/thong-tin/blog/remittance-la-gi</v>
      </c>
      <c r="AE17" s="17" t="str">
        <f>IFERROR(__xludf.DUMMYFUNCTION("""COMPUTED_VALUE"""),"chuyển khoản thành công nhưng không nhận được tiền")</f>
        <v>chuyển khoản thành công nhưng không nhận được tiền</v>
      </c>
      <c r="AF17" s="21" t="str">
        <f>IFERROR(__xludf.DUMMYFUNCTION("""COMPUTED_VALUE"""),"https://techcombank.com/thong-tin/blog/cdm")</f>
        <v>https://techcombank.com/thong-tin/blog/cdm</v>
      </c>
      <c r="AG17" s="17" t="str">
        <f>IFERROR(__xludf.DUMMYFUNCTION("""COMPUTED_VALUE"""),"chuyển tiền thành công nhưng chưa nhận được")</f>
        <v>chuyển tiền thành công nhưng chưa nhận được</v>
      </c>
      <c r="AH17" s="21" t="str">
        <f>IFERROR(__xludf.DUMMYFUNCTION("""COMPUTED_VALUE"""),"https://techcombank.com/thong-tin/blog/cach-su-dung-tai-khoan-cong-ty")</f>
        <v>https://techcombank.com/thong-tin/blog/cach-su-dung-tai-khoan-cong-ty</v>
      </c>
      <c r="AI17" s="17" t="str">
        <f>IFERROR(__xludf.DUMMYFUNCTION("""COMPUTED_VALUE"""),"tiền chuyển khoản bị treo")</f>
        <v>tiền chuyển khoản bị treo</v>
      </c>
      <c r="AJ17" s="21" t="str">
        <f>IFERROR(__xludf.DUMMYFUNCTION("""COMPUTED_VALUE"""),"https://techcombank.com/thong-tin/blog/cach-tao-ma-qr-code-mien-phi")</f>
        <v>https://techcombank.com/thong-tin/blog/cach-tao-ma-qr-code-mien-phi</v>
      </c>
      <c r="AK17" s="17" t="str">
        <f>IFERROR(__xludf.DUMMYFUNCTION("""COMPUTED_VALUE"""),"chuyển khoản thành công nhưng không nhận được tiền")</f>
        <v>chuyển khoản thành công nhưng không nhận được tiền</v>
      </c>
      <c r="AL17" s="21" t="str">
        <f>IFERROR(__xludf.DUMMYFUNCTION("""COMPUTED_VALUE"""),"https://techcombank.com/thong-tin/blog/loa-ting-ting")</f>
        <v>https://techcombank.com/thong-tin/blog/loa-ting-ting</v>
      </c>
      <c r="AM17" s="17" t="str">
        <f>IFERROR(__xludf.DUMMYFUNCTION("""COMPUTED_VALUE"""),"chuyển tiền thành công nhưng chưa nhận được")</f>
        <v>chuyển tiền thành công nhưng chưa nhận được</v>
      </c>
      <c r="AN17" s="21" t="str">
        <f>IFERROR(__xludf.DUMMYFUNCTION("""COMPUTED_VALUE"""),"https://techcombank.com/thong-tin/blog/cach-lay-lai-tien-da-chuyen-khoan-khi-bi-lua")</f>
        <v>https://techcombank.com/thong-tin/blog/cach-lay-lai-tien-da-chuyen-khoan-khi-bi-lua</v>
      </c>
      <c r="AO17" s="17" t="str">
        <f>IFERROR(__xludf.DUMMYFUNCTION("""COMPUTED_VALUE"""),"tiền chuyển khoản bị treo")</f>
        <v>tiền chuyển khoản bị treo</v>
      </c>
      <c r="AP17" s="21" t="str">
        <f>IFERROR(__xludf.DUMMYFUNCTION("""COMPUTED_VALUE"""),"https://techcombank.com/thong-tin/blog/uu-diem-cua-blockchain")</f>
        <v>https://techcombank.com/thong-tin/blog/uu-diem-cua-blockchain</v>
      </c>
      <c r="AQ17" s="17" t="str">
        <f>IFERROR(__xludf.DUMMYFUNCTION("""COMPUTED_VALUE"""),"chuyển khoản thành công nhưng không nhận được tiền")</f>
        <v>chuyển khoản thành công nhưng không nhận được tiền</v>
      </c>
      <c r="AR17" s="21" t="str">
        <f>IFERROR(__xludf.DUMMYFUNCTION("""COMPUTED_VALUE"""),"https://techcombank.com/thong-tin/blog/the-tin-dung-co-chuyen-khoan-duoc-khong")</f>
        <v>https://techcombank.com/thong-tin/blog/the-tin-dung-co-chuyen-khoan-duoc-khong</v>
      </c>
      <c r="AS17" s="17" t="str">
        <f>IFERROR(__xludf.DUMMYFUNCTION("""COMPUTED_VALUE"""),"chuyển tiền thành công nhưng chưa nhận được")</f>
        <v>chuyển tiền thành công nhưng chưa nhận được</v>
      </c>
      <c r="AT17" s="21" t="str">
        <f>IFERROR(__xludf.DUMMYFUNCTION("""COMPUTED_VALUE"""),"https://techcombank.com/thong-tin/blog/iban-la-gi")</f>
        <v>https://techcombank.com/thong-tin/blog/iban-la-gi</v>
      </c>
      <c r="AU17" s="17" t="str">
        <f>IFERROR(__xludf.DUMMYFUNCTION("""COMPUTED_VALUE"""),"tiền chuyển khoản bị treo")</f>
        <v>tiền chuyển khoản bị treo</v>
      </c>
      <c r="AV17" s="21" t="str">
        <f>IFERROR(__xludf.DUMMYFUNCTION("""COMPUTED_VALUE"""),"https://techcombank.com/thong-tin/blog/nguoi-duoc-bao-hiem-la-gi")</f>
        <v>https://techcombank.com/thong-tin/blog/nguoi-duoc-bao-hiem-la-gi</v>
      </c>
      <c r="AW17" s="17" t="str">
        <f>IFERROR(__xludf.DUMMYFUNCTION("""COMPUTED_VALUE"""),"chuyển khoản thành công nhưng không nhận được tiền")</f>
        <v>chuyển khoản thành công nhưng không nhận được tiền</v>
      </c>
      <c r="AX17" s="21" t="str">
        <f>IFERROR(__xludf.DUMMYFUNCTION("""COMPUTED_VALUE"""),"https://techcombank.com/thong-tin/blog/cach-chuyen-khoan-bang-dien-thoai")</f>
        <v>https://techcombank.com/thong-tin/blog/cach-chuyen-khoan-bang-dien-thoai</v>
      </c>
      <c r="AY17" s="17" t="str">
        <f>IFERROR(__xludf.DUMMYFUNCTION("""COMPUTED_VALUE"""),"chuyển tiền thành công nhưng chưa nhận được")</f>
        <v>chuyển tiền thành công nhưng chưa nhận được</v>
      </c>
      <c r="AZ17" s="21" t="str">
        <f>IFERROR(__xludf.DUMMYFUNCTION("""COMPUTED_VALUE"""),"https://techcombank.com/thong-tin/blog/cach-su-dung-the-visa-techcombank")</f>
        <v>https://techcombank.com/thong-tin/blog/cach-su-dung-the-visa-techcombank</v>
      </c>
      <c r="BA17" s="17" t="str">
        <f>IFERROR(__xludf.DUMMYFUNCTION("""COMPUTED_VALUE"""),"tiền chuyển khoản bị treo")</f>
        <v>tiền chuyển khoản bị treo</v>
      </c>
      <c r="BB17" s="21" t="str">
        <f>IFERROR(__xludf.DUMMYFUNCTION("""COMPUTED_VALUE"""),"https://techcombank.com/thong-tin/blog/ma-swift-ngan-hang")</f>
        <v>https://techcombank.com/thong-tin/blog/ma-swift-ngan-hang</v>
      </c>
      <c r="BC17" s="17" t="str">
        <f>IFERROR(__xludf.DUMMYFUNCTION("""COMPUTED_VALUE"""),"chuyển khoản thành công nhưng không nhận được tiền")</f>
        <v>chuyển khoản thành công nhưng không nhận được tiền</v>
      </c>
      <c r="BD17" s="21" t="str">
        <f>IFERROR(__xludf.DUMMYFUNCTION("""COMPUTED_VALUE"""),"https://techcombank.com/thong-tin/blog/vi-dien-tu-la-gi")</f>
        <v>https://techcombank.com/thong-tin/blog/vi-dien-tu-la-gi</v>
      </c>
      <c r="BE17" s="17" t="str">
        <f>IFERROR(__xludf.DUMMYFUNCTION("""COMPUTED_VALUE"""),"chuyển tiền thành công nhưng chưa nhận được")</f>
        <v>chuyển tiền thành công nhưng chưa nhận được</v>
      </c>
      <c r="BF17" s="21" t="str">
        <f>IFERROR(__xludf.DUMMYFUNCTION("""COMPUTED_VALUE"""),"https://techcombank.com/thong-tin/blog/mo-tai-khoan-ngan-hang-co-mat-phi-khong")</f>
        <v>https://techcombank.com/thong-tin/blog/mo-tai-khoan-ngan-hang-co-mat-phi-khong</v>
      </c>
      <c r="BG17" s="17" t="str">
        <f>IFERROR(__xludf.DUMMYFUNCTION("""COMPUTED_VALUE"""),"tiền chuyển khoản bị treo")</f>
        <v>tiền chuyển khoản bị treo</v>
      </c>
      <c r="BH17" s="21" t="str">
        <f>IFERROR(__xludf.DUMMYFUNCTION("""COMPUTED_VALUE"""),"https://techcombank.com/thong-tin/blog/xac-thuc-sinh-trac-hoc-khi-chuyen-tien")</f>
        <v>https://techcombank.com/thong-tin/blog/xac-thuc-sinh-trac-hoc-khi-chuyen-tien</v>
      </c>
      <c r="BI17" s="17" t="str">
        <f>IFERROR(__xludf.DUMMYFUNCTION("""COMPUTED_VALUE"""),"chuyển khoản thành công nhưng không nhận được tiền")</f>
        <v>chuyển khoản thành công nhưng không nhận được tiền</v>
      </c>
      <c r="BJ17" s="21" t="str">
        <f>IFERROR(__xludf.DUMMYFUNCTION("""COMPUTED_VALUE"""),"https://techcombank.com/thong-tin/blog/app-vay-tien-nhanh")</f>
        <v>https://techcombank.com/thong-tin/blog/app-vay-tien-nhanh</v>
      </c>
      <c r="BK17" s="17" t="str">
        <f>IFERROR(__xludf.DUMMYFUNCTION("""COMPUTED_VALUE"""),"chuyển tiền thành công nhưng chưa nhận được")</f>
        <v>chuyển tiền thành công nhưng chưa nhận được</v>
      </c>
      <c r="BL17" s="21" t="str">
        <f>IFERROR(__xludf.DUMMYFUNCTION("""COMPUTED_VALUE"""),"https://techcombank.com/thong-tin/blog/cach-chuyen-tien-qua-ma-qr-techcombank")</f>
        <v>https://techcombank.com/thong-tin/blog/cach-chuyen-tien-qua-ma-qr-techcombank</v>
      </c>
      <c r="BM17" s="17" t="str">
        <f>IFERROR(__xludf.DUMMYFUNCTION("""COMPUTED_VALUE"""),"tiền chuyển khoản bị treo")</f>
        <v>tiền chuyển khoản bị treo</v>
      </c>
      <c r="BN17" s="21" t="str">
        <f>IFERROR(__xludf.DUMMYFUNCTION("""COMPUTED_VALUE"""),"https://techcombank.com/thong-tin/blog/the-ghi-no-co-chuyen-khoan-duoc-khong")</f>
        <v>https://techcombank.com/thong-tin/blog/the-ghi-no-co-chuyen-khoan-duoc-khong</v>
      </c>
      <c r="BO17" s="17" t="str">
        <f>IFERROR(__xludf.DUMMYFUNCTION("""COMPUTED_VALUE"""),"chuyển khoản thành công nhưng không nhận được tiền")</f>
        <v>chuyển khoản thành công nhưng không nhận được tiền</v>
      </c>
      <c r="BP17" s="21" t="str">
        <f>IFERROR(__xludf.DUMMYFUNCTION("""COMPUTED_VALUE"""),"https://techcombank.com/thong-tin/blog/chuyen-tien-dinh-cu")</f>
        <v>https://techcombank.com/thong-tin/blog/chuyen-tien-dinh-cu</v>
      </c>
      <c r="BQ17" s="17" t="str">
        <f>IFERROR(__xludf.DUMMYFUNCTION("""COMPUTED_VALUE"""),"chuyển tiền thành công nhưng chưa nhận được")</f>
        <v>chuyển tiền thành công nhưng chưa nhận được</v>
      </c>
      <c r="BR17" s="21" t="str">
        <f>IFERROR(__xludf.DUMMYFUNCTION("""COMPUTED_VALUE"""),"https://techcombank.com/thong-tin/blog/dinh-cu-chau-au")</f>
        <v>https://techcombank.com/thong-tin/blog/dinh-cu-chau-au</v>
      </c>
      <c r="BS17" s="17" t="str">
        <f>IFERROR(__xludf.DUMMYFUNCTION("""COMPUTED_VALUE"""),"tiền chuyển khoản bị treo")</f>
        <v>tiền chuyển khoản bị treo</v>
      </c>
      <c r="BT17" s="21" t="str">
        <f>IFERROR(__xludf.DUMMYFUNCTION("""COMPUTED_VALUE"""),"https://techcombank.com/thong-tin/blog/cam-nang-dinh-cu-my")</f>
        <v>https://techcombank.com/thong-tin/blog/cam-nang-dinh-cu-my</v>
      </c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  <c r="IX17" s="17"/>
      <c r="IY17" s="17"/>
      <c r="IZ17" s="17"/>
      <c r="JA17" s="17"/>
      <c r="JB17" s="17"/>
      <c r="JC17" s="17"/>
      <c r="JD17" s="17"/>
      <c r="JE17" s="17"/>
      <c r="JF17" s="17"/>
      <c r="JG17" s="17"/>
      <c r="JH17" s="17"/>
      <c r="JI17" s="17"/>
      <c r="JJ17" s="17"/>
      <c r="JK17" s="17"/>
      <c r="JL17" s="17"/>
      <c r="JM17" s="17"/>
      <c r="JN17" s="17"/>
      <c r="JO17" s="17"/>
      <c r="JP17" s="17"/>
      <c r="JQ17" s="17"/>
      <c r="JR17" s="17"/>
      <c r="JS17" s="17"/>
      <c r="JT17" s="17"/>
      <c r="JU17" s="17"/>
      <c r="JV17" s="17"/>
      <c r="JW17" s="17"/>
      <c r="JX17" s="17"/>
      <c r="JY17" s="17"/>
      <c r="JZ17" s="17"/>
      <c r="KA17" s="17"/>
      <c r="KB17" s="17"/>
      <c r="KC17" s="17"/>
      <c r="KD17" s="17"/>
      <c r="KE17" s="17"/>
      <c r="KF17" s="17"/>
      <c r="KG17" s="17"/>
      <c r="KH17" s="17"/>
      <c r="KI17" s="17"/>
      <c r="KJ17" s="17"/>
      <c r="KK17" s="17"/>
      <c r="KL17" s="17"/>
      <c r="KM17" s="17"/>
      <c r="KN17" s="17"/>
      <c r="KO17" s="17"/>
      <c r="KP17" s="17"/>
      <c r="KQ17" s="17"/>
      <c r="KR17" s="17"/>
      <c r="KS17" s="17"/>
      <c r="KT17" s="17"/>
      <c r="KU17" s="17"/>
      <c r="KV17" s="17"/>
      <c r="KW17" s="17"/>
      <c r="KX17" s="17"/>
      <c r="KY17" s="17"/>
      <c r="KZ17" s="17"/>
      <c r="LA17" s="17"/>
      <c r="LB17" s="17"/>
      <c r="LC17" s="17"/>
      <c r="LD17" s="17"/>
      <c r="LE17" s="17"/>
      <c r="LF17" s="17"/>
      <c r="LG17" s="17"/>
      <c r="LH17" s="17"/>
      <c r="LI17" s="17"/>
      <c r="LJ17" s="17"/>
      <c r="LK17" s="17"/>
      <c r="LL17" s="17"/>
      <c r="LM17" s="17"/>
      <c r="LN17" s="17"/>
      <c r="LO17" s="17"/>
      <c r="LP17" s="17"/>
      <c r="LQ17" s="17"/>
      <c r="LR17" s="17"/>
      <c r="LS17" s="17"/>
      <c r="LT17" s="17"/>
      <c r="LU17" s="17"/>
      <c r="LV17" s="17"/>
      <c r="LW17" s="17"/>
      <c r="LX17" s="17"/>
      <c r="LY17" s="17"/>
      <c r="LZ17" s="17"/>
      <c r="MA17" s="17"/>
      <c r="MB17" s="17"/>
      <c r="MC17" s="17"/>
      <c r="MD17" s="17"/>
      <c r="ME17" s="17"/>
      <c r="MF17" s="17"/>
      <c r="MG17" s="17"/>
      <c r="MH17" s="17"/>
      <c r="MI17" s="17"/>
      <c r="MJ17" s="17"/>
      <c r="MK17" s="17"/>
      <c r="ML17" s="17"/>
      <c r="MM17" s="17"/>
      <c r="MN17" s="17"/>
      <c r="MO17" s="17"/>
      <c r="MP17" s="17"/>
      <c r="MQ17" s="17"/>
      <c r="MR17" s="17"/>
      <c r="MS17" s="17"/>
      <c r="MT17" s="17"/>
      <c r="MU17" s="17"/>
      <c r="MV17" s="17"/>
      <c r="MW17" s="17"/>
      <c r="MX17" s="17"/>
      <c r="MY17" s="17"/>
      <c r="MZ17" s="17"/>
      <c r="NA17" s="17"/>
      <c r="NB17" s="17"/>
      <c r="NC17" s="17"/>
      <c r="ND17" s="17"/>
      <c r="NE17" s="17"/>
      <c r="NF17" s="17"/>
      <c r="NG17" s="17"/>
      <c r="NH17" s="17"/>
      <c r="NI17" s="17"/>
      <c r="NJ17" s="17"/>
      <c r="NK17" s="17"/>
      <c r="NL17" s="17"/>
      <c r="NM17" s="17"/>
      <c r="NN17" s="17"/>
      <c r="NO17" s="17"/>
      <c r="NP17" s="17"/>
      <c r="NQ17" s="17"/>
      <c r="NR17" s="17"/>
      <c r="NS17" s="17"/>
      <c r="NT17" s="17"/>
      <c r="NU17" s="17"/>
      <c r="NV17" s="17"/>
      <c r="NW17" s="17"/>
      <c r="NX17" s="17"/>
      <c r="NY17" s="17"/>
      <c r="NZ17" s="17"/>
      <c r="OA17" s="17"/>
      <c r="OB17" s="17"/>
      <c r="OC17" s="17"/>
      <c r="OD17" s="17"/>
      <c r="OE17" s="17"/>
      <c r="OF17" s="17"/>
      <c r="OG17" s="17"/>
      <c r="OH17" s="17"/>
      <c r="OI17" s="17"/>
      <c r="OJ17" s="17"/>
      <c r="OK17" s="17"/>
      <c r="OL17" s="17"/>
      <c r="OM17" s="17"/>
      <c r="ON17" s="17"/>
      <c r="OO17" s="17"/>
      <c r="OP17" s="17"/>
      <c r="OQ17" s="17"/>
      <c r="OR17" s="17"/>
      <c r="OS17" s="17"/>
      <c r="OT17" s="17"/>
      <c r="OU17" s="17"/>
      <c r="OV17" s="17"/>
    </row>
    <row r="18" ht="18.0" customHeight="1">
      <c r="A18" s="16">
        <v>17.0</v>
      </c>
      <c r="B18" s="17" t="s">
        <v>920</v>
      </c>
      <c r="C18" s="18" t="s">
        <v>1140</v>
      </c>
      <c r="D18" s="17" t="s">
        <v>385</v>
      </c>
      <c r="E18" s="16">
        <v>30.0</v>
      </c>
      <c r="F18" s="16">
        <f>COUNTIF('Tổng hợp 75 trang đích'!$B$2:$B$3400,$D18)</f>
        <v>30</v>
      </c>
      <c r="G18" s="16">
        <f>COUNTIFS('Tổng hợp 75 trang đích'!$B$2:$B$3400,$D18,'Tổng hợp 75 trang đích'!$K$2:$K$3400,"PHÙ HỢP CAO")</f>
        <v>2</v>
      </c>
      <c r="H18" s="16">
        <f>COUNTIFS('Tổng hợp 75 trang đích'!$B$2:$B$3400,$D18,'Tổng hợp 75 trang đích'!$K$2:$K$3400,"CÓ THỂ ĐI")</f>
        <v>3</v>
      </c>
      <c r="I18" s="16">
        <f>COUNTIFS('Tổng hợp 75 trang đích'!$B$2:$B$3400,$D18,'Tổng hợp 75 trang đích'!$K$2:$K$3400,"CẦN SOÁT")</f>
        <v>25</v>
      </c>
      <c r="J18" s="19" t="s">
        <v>555</v>
      </c>
      <c r="K18" s="19" t="b">
        <v>0</v>
      </c>
      <c r="L18" s="20" t="s">
        <v>333</v>
      </c>
      <c r="M18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đích'!$B$2:$B$3400=$D18),3,TR"&amp;"UE),1,2)),"""")"),"bao nhiêu tuổi được mở tài khoản ngân hàng")</f>
        <v>bao nhiêu tuổi được mở tài khoản ngân hàng</v>
      </c>
      <c r="N18" s="21" t="str">
        <f>IFERROR(__xludf.DUMMYFUNCTION("""COMPUTED_VALUE"""),"https://techcombank.com/thong-tin/blog/mo-tai-khoan-ngan-hang-cho-tre-em")</f>
        <v>https://techcombank.com/thong-tin/blog/mo-tai-khoan-ngan-hang-cho-tre-em</v>
      </c>
      <c r="O18" s="17" t="str">
        <f>IFERROR(__xludf.DUMMYFUNCTION("""COMPUTED_VALUE"""),"độ tuổi mở tài khoản ngân hàng")</f>
        <v>độ tuổi mở tài khoản ngân hàng</v>
      </c>
      <c r="P18" s="21" t="str">
        <f>IFERROR(__xludf.DUMMYFUNCTION("""COMPUTED_VALUE"""),"https://techcombank.com/thong-tin/blog/hoc-sinh-sinh-vien-nen-lam-the-ngan-hang-nao")</f>
        <v>https://techcombank.com/thong-tin/blog/hoc-sinh-sinh-vien-nen-lam-the-ngan-hang-nao</v>
      </c>
      <c r="Q18" s="17" t="str">
        <f>IFERROR(__xludf.DUMMYFUNCTION("""COMPUTED_VALUE"""),"bao nhiêu tuổi được mở tài khoản ngân hàng")</f>
        <v>bao nhiêu tuổi được mở tài khoản ngân hàng</v>
      </c>
      <c r="R18" s="21" t="str">
        <f>IFERROR(__xludf.DUMMYFUNCTION("""COMPUTED_VALUE"""),"https://techcombank.com/thong-tin/blog/cach-lam-the-atm")</f>
        <v>https://techcombank.com/thong-tin/blog/cach-lam-the-atm</v>
      </c>
      <c r="S18" s="17" t="str">
        <f>IFERROR(__xludf.DUMMYFUNCTION("""COMPUTED_VALUE"""),"độ tuổi mở tài khoản ngân hàng")</f>
        <v>độ tuổi mở tài khoản ngân hàng</v>
      </c>
      <c r="T18" s="21" t="str">
        <f>IFERROR(__xludf.DUMMYFUNCTION("""COMPUTED_VALUE"""),"https://techcombank.com/thong-tin/blog/1-nguoi-co-the-lam-duoc-bao-nhieu-the-atm")</f>
        <v>https://techcombank.com/thong-tin/blog/1-nguoi-co-the-lam-duoc-bao-nhieu-the-atm</v>
      </c>
      <c r="U18" s="17" t="str">
        <f>IFERROR(__xludf.DUMMYFUNCTION("""COMPUTED_VALUE"""),"bao nhiêu tuổi được mở tài khoản ngân hàng")</f>
        <v>bao nhiêu tuổi được mở tài khoản ngân hàng</v>
      </c>
      <c r="V18" s="21" t="str">
        <f>IFERROR(__xludf.DUMMYFUNCTION("""COMPUTED_VALUE"""),"https://techcombank.com/thong-tin/blog/lam-the-atm-bao-lau-co")</f>
        <v>https://techcombank.com/thong-tin/blog/lam-the-atm-bao-lau-co</v>
      </c>
      <c r="W18" s="17" t="str">
        <f>IFERROR(__xludf.DUMMYFUNCTION("""COMPUTED_VALUE"""),"độ tuổi mở tài khoản ngân hàng")</f>
        <v>độ tuổi mở tài khoản ngân hàng</v>
      </c>
      <c r="X18" s="21" t="str">
        <f>IFERROR(__xludf.DUMMYFUNCTION("""COMPUTED_VALUE"""),"https://techcombank.com/thong-tin/blog/tap-doan-thanh-quang-khoi-sac-kinh-doanh-nho-nguon-von-vay-tin-dung-techcombank-tren-nen-tang-misa-lending")</f>
        <v>https://techcombank.com/thong-tin/blog/tap-doan-thanh-quang-khoi-sac-kinh-doanh-nho-nguon-von-vay-tin-dung-techcombank-tren-nen-tang-misa-lending</v>
      </c>
      <c r="Y18" s="17" t="str">
        <f>IFERROR(__xludf.DUMMYFUNCTION("""COMPUTED_VALUE"""),"bao nhiêu tuổi được mở tài khoản ngân hàng")</f>
        <v>bao nhiêu tuổi được mở tài khoản ngân hàng</v>
      </c>
      <c r="Z18" s="21" t="str">
        <f>IFERROR(__xludf.DUMMYFUNCTION("""COMPUTED_VALUE"""),"https://techcombank.com/thong-tin/blog/the-he-ke-can")</f>
        <v>https://techcombank.com/thong-tin/blog/the-he-ke-can</v>
      </c>
      <c r="AA18" s="17" t="str">
        <f>IFERROR(__xludf.DUMMYFUNCTION("""COMPUTED_VALUE"""),"độ tuổi mở tài khoản ngân hàng")</f>
        <v>độ tuổi mở tài khoản ngân hàng</v>
      </c>
      <c r="AB18" s="21" t="str">
        <f>IFERROR(__xludf.DUMMYFUNCTION("""COMPUTED_VALUE"""),"https://techcombank.com/thong-tin/blog/li-xi-so-dep")</f>
        <v>https://techcombank.com/thong-tin/blog/li-xi-so-dep</v>
      </c>
      <c r="AC18" s="17" t="str">
        <f>IFERROR(__xludf.DUMMYFUNCTION("""COMPUTED_VALUE"""),"bao nhiêu tuổi được mở tài khoản ngân hàng")</f>
        <v>bao nhiêu tuổi được mở tài khoản ngân hàng</v>
      </c>
      <c r="AD18" s="21" t="str">
        <f>IFERROR(__xludf.DUMMYFUNCTION("""COMPUTED_VALUE"""),"https://techcombank.com/thong-tin/blog/lam-the-atm-co-mat-phi-khong")</f>
        <v>https://techcombank.com/thong-tin/blog/lam-the-atm-co-mat-phi-khong</v>
      </c>
      <c r="AE18" s="17" t="str">
        <f>IFERROR(__xludf.DUMMYFUNCTION("""COMPUTED_VALUE"""),"độ tuổi mở tài khoản ngân hàng")</f>
        <v>độ tuổi mở tài khoản ngân hàng</v>
      </c>
      <c r="AF18" s="21" t="str">
        <f>IFERROR(__xludf.DUMMYFUNCTION("""COMPUTED_VALUE"""),"https://techcombank.com/thong-tin/blog/sai-lam-ve-tai-chinh-ca-nhan")</f>
        <v>https://techcombank.com/thong-tin/blog/sai-lam-ve-tai-chinh-ca-nhan</v>
      </c>
      <c r="AG18" s="17" t="str">
        <f>IFERROR(__xludf.DUMMYFUNCTION("""COMPUTED_VALUE"""),"bao nhiêu tuổi được mở tài khoản ngân hàng")</f>
        <v>bao nhiêu tuổi được mở tài khoản ngân hàng</v>
      </c>
      <c r="AH18" s="21" t="str">
        <f>IFERROR(__xludf.DUMMYFUNCTION("""COMPUTED_VALUE"""),"https://techcombank.com/thong-tin/blog/the-visa-de-lam-gi")</f>
        <v>https://techcombank.com/thong-tin/blog/the-visa-de-lam-gi</v>
      </c>
      <c r="AI18" s="17" t="str">
        <f>IFERROR(__xludf.DUMMYFUNCTION("""COMPUTED_VALUE"""),"độ tuổi mở tài khoản ngân hàng")</f>
        <v>độ tuổi mở tài khoản ngân hàng</v>
      </c>
      <c r="AJ18" s="21" t="str">
        <f>IFERROR(__xludf.DUMMYFUNCTION("""COMPUTED_VALUE"""),"https://techcombank.com/thong-tin/blog/cach-chon-so-tai-khoan-dep")</f>
        <v>https://techcombank.com/thong-tin/blog/cach-chon-so-tai-khoan-dep</v>
      </c>
      <c r="AK18" s="17" t="str">
        <f>IFERROR(__xludf.DUMMYFUNCTION("""COMPUTED_VALUE"""),"bao nhiêu tuổi được mở tài khoản ngân hàng")</f>
        <v>bao nhiêu tuổi được mở tài khoản ngân hàng</v>
      </c>
      <c r="AL18" s="21" t="str">
        <f>IFERROR(__xludf.DUMMYFUNCTION("""COMPUTED_VALUE"""),"https://techcombank.com/thong-tin/blog/co-nen-dung-the-tin-dung-khong")</f>
        <v>https://techcombank.com/thong-tin/blog/co-nen-dung-the-tin-dung-khong</v>
      </c>
      <c r="AM18" s="17" t="str">
        <f>IFERROR(__xludf.DUMMYFUNCTION("""COMPUTED_VALUE"""),"độ tuổi mở tài khoản ngân hàng")</f>
        <v>độ tuổi mở tài khoản ngân hàng</v>
      </c>
      <c r="AN18" s="21" t="str">
        <f>IFERROR(__xludf.DUMMYFUNCTION("""COMPUTED_VALUE"""),"https://techcombank.com/thong-tin/blog/lam-the-visa-o-dau")</f>
        <v>https://techcombank.com/thong-tin/blog/lam-the-visa-o-dau</v>
      </c>
      <c r="AO18" s="17" t="str">
        <f>IFERROR(__xludf.DUMMYFUNCTION("""COMPUTED_VALUE"""),"bao nhiêu tuổi được mở tài khoản ngân hàng")</f>
        <v>bao nhiêu tuổi được mở tài khoản ngân hàng</v>
      </c>
      <c r="AP18" s="21" t="str">
        <f>IFERROR(__xludf.DUMMYFUNCTION("""COMPUTED_VALUE"""),"https://techcombank.com/thong-tin/blog/mo-tai-khoan-ngan-hang-duoi-18-tuoi")</f>
        <v>https://techcombank.com/thong-tin/blog/mo-tai-khoan-ngan-hang-duoi-18-tuoi</v>
      </c>
      <c r="AQ18" s="17" t="str">
        <f>IFERROR(__xludf.DUMMYFUNCTION("""COMPUTED_VALUE"""),"độ tuổi mở tài khoản ngân hàng")</f>
        <v>độ tuổi mở tài khoản ngân hàng</v>
      </c>
      <c r="AR18" s="21" t="str">
        <f>IFERROR(__xludf.DUMMYFUNCTION("""COMPUTED_VALUE"""),"https://techcombank.com/thong-tin/blog/no-xau-co-lam-the-visa-duoc-khong")</f>
        <v>https://techcombank.com/thong-tin/blog/no-xau-co-lam-the-visa-duoc-khong</v>
      </c>
      <c r="AS18" s="17" t="str">
        <f>IFERROR(__xludf.DUMMYFUNCTION("""COMPUTED_VALUE"""),"bao nhiêu tuổi được mở tài khoản ngân hàng")</f>
        <v>bao nhiêu tuổi được mở tài khoản ngân hàng</v>
      </c>
      <c r="AT18" s="21" t="str">
        <f>IFERROR(__xludf.DUMMYFUNCTION("""COMPUTED_VALUE"""),"https://techcombank.com/thong-tin/blog/mo-tai-khoan-tiet-kiem-cho-con")</f>
        <v>https://techcombank.com/thong-tin/blog/mo-tai-khoan-tiet-kiem-cho-con</v>
      </c>
      <c r="AU18" s="17" t="str">
        <f>IFERROR(__xludf.DUMMYFUNCTION("""COMPUTED_VALUE"""),"độ tuổi mở tài khoản ngân hàng")</f>
        <v>độ tuổi mở tài khoản ngân hàng</v>
      </c>
      <c r="AV18" s="21" t="str">
        <f>IFERROR(__xludf.DUMMYFUNCTION("""COMPUTED_VALUE"""),"https://techcombank.com/thong-tin/blog/lam-the-visa-mat-bao-lau")</f>
        <v>https://techcombank.com/thong-tin/blog/lam-the-visa-mat-bao-lau</v>
      </c>
      <c r="AW18" s="17" t="str">
        <f>IFERROR(__xludf.DUMMYFUNCTION("""COMPUTED_VALUE"""),"bao nhiêu tuổi được mở tài khoản ngân hàng")</f>
        <v>bao nhiêu tuổi được mở tài khoản ngân hàng</v>
      </c>
      <c r="AX18" s="21" t="str">
        <f>IFERROR(__xludf.DUMMYFUNCTION("""COMPUTED_VALUE"""),"https://techcombank.com/thong-tin/blog/lam-the-tin-dung")</f>
        <v>https://techcombank.com/thong-tin/blog/lam-the-tin-dung</v>
      </c>
      <c r="AY18" s="17" t="str">
        <f>IFERROR(__xludf.DUMMYFUNCTION("""COMPUTED_VALUE"""),"độ tuổi mở tài khoản ngân hàng")</f>
        <v>độ tuổi mở tài khoản ngân hàng</v>
      </c>
      <c r="AZ18" s="21" t="str">
        <f>IFERROR(__xludf.DUMMYFUNCTION("""COMPUTED_VALUE"""),"https://techcombank.com/thong-tin/blog/shopeepay-la-gi")</f>
        <v>https://techcombank.com/thong-tin/blog/shopeepay-la-gi</v>
      </c>
      <c r="BA18" s="17" t="str">
        <f>IFERROR(__xludf.DUMMYFUNCTION("""COMPUTED_VALUE"""),"bao nhiêu tuổi được mở tài khoản ngân hàng")</f>
        <v>bao nhiêu tuổi được mở tài khoản ngân hàng</v>
      </c>
      <c r="BB18" s="21" t="str">
        <f>IFERROR(__xludf.DUMMYFUNCTION("""COMPUTED_VALUE"""),"https://techcombank.com/thong-tin/blog/vay-sinh-vien")</f>
        <v>https://techcombank.com/thong-tin/blog/vay-sinh-vien</v>
      </c>
      <c r="BC18" s="17" t="str">
        <f>IFERROR(__xludf.DUMMYFUNCTION("""COMPUTED_VALUE"""),"độ tuổi mở tài khoản ngân hàng")</f>
        <v>độ tuổi mở tài khoản ngân hàng</v>
      </c>
      <c r="BD18" s="21" t="str">
        <f>IFERROR(__xludf.DUMMYFUNCTION("""COMPUTED_VALUE"""),"https://techcombank.com/thong-tin/blog/the-mastercard-la-gi")</f>
        <v>https://techcombank.com/thong-tin/blog/the-mastercard-la-gi</v>
      </c>
      <c r="BE18" s="17" t="str">
        <f>IFERROR(__xludf.DUMMYFUNCTION("""COMPUTED_VALUE"""),"bao nhiêu tuổi được mở tài khoản ngân hàng")</f>
        <v>bao nhiêu tuổi được mở tài khoản ngân hàng</v>
      </c>
      <c r="BF18" s="21" t="str">
        <f>IFERROR(__xludf.DUMMYFUNCTION("""COMPUTED_VALUE"""),"https://techcombank.com/thong-tin/blog/lam-the-visa-online")</f>
        <v>https://techcombank.com/thong-tin/blog/lam-the-visa-online</v>
      </c>
      <c r="BG18" s="17" t="str">
        <f>IFERROR(__xludf.DUMMYFUNCTION("""COMPUTED_VALUE"""),"độ tuổi mở tài khoản ngân hàng")</f>
        <v>độ tuổi mở tài khoản ngân hàng</v>
      </c>
      <c r="BH18" s="21" t="str">
        <f>IFERROR(__xludf.DUMMYFUNCTION("""COMPUTED_VALUE"""),"https://techcombank.com/thong-tin/blog/lam-the-tin-dung-co-mat-phi-khong")</f>
        <v>https://techcombank.com/thong-tin/blog/lam-the-tin-dung-co-mat-phi-khong</v>
      </c>
      <c r="BI18" s="17" t="str">
        <f>IFERROR(__xludf.DUMMYFUNCTION("""COMPUTED_VALUE"""),"bao nhiêu tuổi được mở tài khoản ngân hàng")</f>
        <v>bao nhiêu tuổi được mở tài khoản ngân hàng</v>
      </c>
      <c r="BJ18" s="21" t="str">
        <f>IFERROR(__xludf.DUMMYFUNCTION("""COMPUTED_VALUE"""),"https://techcombank.com/thong-tin/blog/the-debit-cho-con")</f>
        <v>https://techcombank.com/thong-tin/blog/the-debit-cho-con</v>
      </c>
      <c r="BK18" s="17" t="str">
        <f>IFERROR(__xludf.DUMMYFUNCTION("""COMPUTED_VALUE"""),"độ tuổi mở tài khoản ngân hàng")</f>
        <v>độ tuổi mở tài khoản ngân hàng</v>
      </c>
      <c r="BL18" s="21" t="str">
        <f>IFERROR(__xludf.DUMMYFUNCTION("""COMPUTED_VALUE"""),"https://techcombank.com/thong-tin/blog/lam-the-thanh-toan-quoc-te")</f>
        <v>https://techcombank.com/thong-tin/blog/lam-the-thanh-toan-quoc-te</v>
      </c>
      <c r="BM18" s="17" t="str">
        <f>IFERROR(__xludf.DUMMYFUNCTION("""COMPUTED_VALUE"""),"bao nhiêu tuổi được mở tài khoản ngân hàng")</f>
        <v>bao nhiêu tuổi được mở tài khoản ngân hàng</v>
      </c>
      <c r="BN18" s="21" t="str">
        <f>IFERROR(__xludf.DUMMYFUNCTION("""COMPUTED_VALUE"""),"https://techcombank.com/thong-tin/blog/dieu-kien-vay-the-chap")</f>
        <v>https://techcombank.com/thong-tin/blog/dieu-kien-vay-the-chap</v>
      </c>
      <c r="BO18" s="17" t="str">
        <f>IFERROR(__xludf.DUMMYFUNCTION("""COMPUTED_VALUE"""),"độ tuổi mở tài khoản ngân hàng")</f>
        <v>độ tuổi mở tài khoản ngân hàng</v>
      </c>
      <c r="BP18" s="21" t="str">
        <f>IFERROR(__xludf.DUMMYFUNCTION("""COMPUTED_VALUE"""),"https://techcombank.com/thong-tin/blog/thanh-toan-hoc-phi-online")</f>
        <v>https://techcombank.com/thong-tin/blog/thanh-toan-hoc-phi-online</v>
      </c>
      <c r="BQ18" s="17" t="str">
        <f>IFERROR(__xludf.DUMMYFUNCTION("""COMPUTED_VALUE"""),"bao nhiêu tuổi được mở tài khoản ngân hàng")</f>
        <v>bao nhiêu tuổi được mở tài khoản ngân hàng</v>
      </c>
      <c r="BR18" s="21" t="str">
        <f>IFERROR(__xludf.DUMMYFUNCTION("""COMPUTED_VALUE"""),"https://techcombank.com/thong-tin/blog/cach-chuyen-tien")</f>
        <v>https://techcombank.com/thong-tin/blog/cach-chuyen-tien</v>
      </c>
      <c r="BS18" s="17" t="str">
        <f>IFERROR(__xludf.DUMMYFUNCTION("""COMPUTED_VALUE"""),"độ tuổi mở tài khoản ngân hàng")</f>
        <v>độ tuổi mở tài khoản ngân hàng</v>
      </c>
      <c r="BT18" s="21" t="str">
        <f>IFERROR(__xludf.DUMMYFUNCTION("""COMPUTED_VALUE"""),"https://techcombank.com/thong-tin/blog/tai-khoan-ngan-hang-con-0-dong-co-sao-khong")</f>
        <v>https://techcombank.com/thong-tin/blog/tai-khoan-ngan-hang-con-0-dong-co-sao-khong</v>
      </c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IK18" s="17"/>
      <c r="IL18" s="17"/>
      <c r="IM18" s="17"/>
      <c r="IN18" s="17"/>
      <c r="IO18" s="17"/>
      <c r="IP18" s="17"/>
      <c r="IQ18" s="17"/>
      <c r="IR18" s="17"/>
      <c r="IS18" s="17"/>
      <c r="IT18" s="17"/>
      <c r="IU18" s="17"/>
      <c r="IV18" s="17"/>
      <c r="IW18" s="17"/>
      <c r="IX18" s="17"/>
      <c r="IY18" s="17"/>
      <c r="IZ18" s="17"/>
      <c r="JA18" s="17"/>
      <c r="JB18" s="17"/>
      <c r="JC18" s="17"/>
      <c r="JD18" s="17"/>
      <c r="JE18" s="17"/>
      <c r="JF18" s="17"/>
      <c r="JG18" s="17"/>
      <c r="JH18" s="17"/>
      <c r="JI18" s="17"/>
      <c r="JJ18" s="17"/>
      <c r="JK18" s="17"/>
      <c r="JL18" s="17"/>
      <c r="JM18" s="17"/>
      <c r="JN18" s="17"/>
      <c r="JO18" s="17"/>
      <c r="JP18" s="17"/>
      <c r="JQ18" s="17"/>
      <c r="JR18" s="17"/>
      <c r="JS18" s="17"/>
      <c r="JT18" s="17"/>
      <c r="JU18" s="17"/>
      <c r="JV18" s="17"/>
      <c r="JW18" s="17"/>
      <c r="JX18" s="17"/>
      <c r="JY18" s="17"/>
      <c r="JZ18" s="17"/>
      <c r="KA18" s="17"/>
      <c r="KB18" s="17"/>
      <c r="KC18" s="17"/>
      <c r="KD18" s="17"/>
      <c r="KE18" s="17"/>
      <c r="KF18" s="17"/>
      <c r="KG18" s="17"/>
      <c r="KH18" s="17"/>
      <c r="KI18" s="17"/>
      <c r="KJ18" s="17"/>
      <c r="KK18" s="17"/>
      <c r="KL18" s="17"/>
      <c r="KM18" s="17"/>
      <c r="KN18" s="17"/>
      <c r="KO18" s="17"/>
      <c r="KP18" s="17"/>
      <c r="KQ18" s="17"/>
      <c r="KR18" s="17"/>
      <c r="KS18" s="17"/>
      <c r="KT18" s="17"/>
      <c r="KU18" s="17"/>
      <c r="KV18" s="17"/>
      <c r="KW18" s="17"/>
      <c r="KX18" s="17"/>
      <c r="KY18" s="17"/>
      <c r="KZ18" s="17"/>
      <c r="LA18" s="17"/>
      <c r="LB18" s="17"/>
      <c r="LC18" s="17"/>
      <c r="LD18" s="17"/>
      <c r="LE18" s="17"/>
      <c r="LF18" s="17"/>
      <c r="LG18" s="17"/>
      <c r="LH18" s="17"/>
      <c r="LI18" s="17"/>
      <c r="LJ18" s="17"/>
      <c r="LK18" s="17"/>
      <c r="LL18" s="17"/>
      <c r="LM18" s="17"/>
      <c r="LN18" s="17"/>
      <c r="LO18" s="17"/>
      <c r="LP18" s="17"/>
      <c r="LQ18" s="17"/>
      <c r="LR18" s="17"/>
      <c r="LS18" s="17"/>
      <c r="LT18" s="17"/>
      <c r="LU18" s="17"/>
      <c r="LV18" s="17"/>
      <c r="LW18" s="17"/>
      <c r="LX18" s="17"/>
      <c r="LY18" s="17"/>
      <c r="LZ18" s="17"/>
      <c r="MA18" s="17"/>
      <c r="MB18" s="17"/>
      <c r="MC18" s="17"/>
      <c r="MD18" s="17"/>
      <c r="ME18" s="17"/>
      <c r="MF18" s="17"/>
      <c r="MG18" s="17"/>
      <c r="MH18" s="17"/>
      <c r="MI18" s="17"/>
      <c r="MJ18" s="17"/>
      <c r="MK18" s="17"/>
      <c r="ML18" s="17"/>
      <c r="MM18" s="17"/>
      <c r="MN18" s="17"/>
      <c r="MO18" s="17"/>
      <c r="MP18" s="17"/>
      <c r="MQ18" s="17"/>
      <c r="MR18" s="17"/>
      <c r="MS18" s="17"/>
      <c r="MT18" s="17"/>
      <c r="MU18" s="17"/>
      <c r="MV18" s="17"/>
      <c r="MW18" s="17"/>
      <c r="MX18" s="17"/>
      <c r="MY18" s="17"/>
      <c r="MZ18" s="17"/>
      <c r="NA18" s="17"/>
      <c r="NB18" s="17"/>
      <c r="NC18" s="17"/>
      <c r="ND18" s="17"/>
      <c r="NE18" s="17"/>
      <c r="NF18" s="17"/>
      <c r="NG18" s="17"/>
      <c r="NH18" s="17"/>
      <c r="NI18" s="17"/>
      <c r="NJ18" s="17"/>
      <c r="NK18" s="17"/>
      <c r="NL18" s="17"/>
      <c r="NM18" s="17"/>
      <c r="NN18" s="17"/>
      <c r="NO18" s="17"/>
      <c r="NP18" s="17"/>
      <c r="NQ18" s="17"/>
      <c r="NR18" s="17"/>
      <c r="NS18" s="17"/>
      <c r="NT18" s="17"/>
      <c r="NU18" s="17"/>
      <c r="NV18" s="17"/>
      <c r="NW18" s="17"/>
      <c r="NX18" s="17"/>
      <c r="NY18" s="17"/>
      <c r="NZ18" s="17"/>
      <c r="OA18" s="17"/>
      <c r="OB18" s="17"/>
      <c r="OC18" s="17"/>
      <c r="OD18" s="17"/>
      <c r="OE18" s="17"/>
      <c r="OF18" s="17"/>
      <c r="OG18" s="17"/>
      <c r="OH18" s="17"/>
      <c r="OI18" s="17"/>
      <c r="OJ18" s="17"/>
      <c r="OK18" s="17"/>
      <c r="OL18" s="17"/>
      <c r="OM18" s="17"/>
      <c r="ON18" s="17"/>
      <c r="OO18" s="17"/>
      <c r="OP18" s="17"/>
      <c r="OQ18" s="17"/>
      <c r="OR18" s="17"/>
      <c r="OS18" s="17"/>
      <c r="OT18" s="17"/>
      <c r="OU18" s="17"/>
      <c r="OV18" s="17"/>
    </row>
    <row r="19" ht="18.0" customHeight="1">
      <c r="A19" s="16">
        <v>18.0</v>
      </c>
      <c r="B19" s="17" t="s">
        <v>920</v>
      </c>
      <c r="C19" s="18" t="s">
        <v>1153</v>
      </c>
      <c r="D19" s="17" t="s">
        <v>399</v>
      </c>
      <c r="E19" s="16">
        <v>30.0</v>
      </c>
      <c r="F19" s="16">
        <f>COUNTIF('Tổng hợp 75 trang đích'!$B$2:$B$3400,$D19)</f>
        <v>30</v>
      </c>
      <c r="G19" s="16">
        <f>COUNTIFS('Tổng hợp 75 trang đích'!$B$2:$B$3400,$D19,'Tổng hợp 75 trang đích'!$K$2:$K$3400,"PHÙ HỢP CAO")</f>
        <v>2</v>
      </c>
      <c r="H19" s="16">
        <f>COUNTIFS('Tổng hợp 75 trang đích'!$B$2:$B$3400,$D19,'Tổng hợp 75 trang đích'!$K$2:$K$3400,"CÓ THỂ ĐI")</f>
        <v>3</v>
      </c>
      <c r="I19" s="16">
        <f>COUNTIFS('Tổng hợp 75 trang đích'!$B$2:$B$3400,$D19,'Tổng hợp 75 trang đích'!$K$2:$K$3400,"CẦN SOÁT")</f>
        <v>25</v>
      </c>
      <c r="J19" s="19" t="s">
        <v>555</v>
      </c>
      <c r="K19" s="19" t="b">
        <v>0</v>
      </c>
      <c r="L19" s="20" t="s">
        <v>333</v>
      </c>
      <c r="M19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đích'!$B$2:$B$3400=$D19),3,TR"&amp;"UE),1,2)),"""")"),"mở tài khoản ngân hàng dưới 18 tuổi")</f>
        <v>mở tài khoản ngân hàng dưới 18 tuổi</v>
      </c>
      <c r="N19" s="21" t="str">
        <f>IFERROR(__xludf.DUMMYFUNCTION("""COMPUTED_VALUE"""),"https://techcombank.com/thong-tin/blog/the-debit-cho-con")</f>
        <v>https://techcombank.com/thong-tin/blog/the-debit-cho-con</v>
      </c>
      <c r="O19" s="17" t="str">
        <f>IFERROR(__xludf.DUMMYFUNCTION("""COMPUTED_VALUE"""),"mở tài khoản ngân hàng cho học sinh")</f>
        <v>mở tài khoản ngân hàng cho học sinh</v>
      </c>
      <c r="P19" s="21" t="str">
        <f>IFERROR(__xludf.DUMMYFUNCTION("""COMPUTED_VALUE"""),"https://techcombank.com/thong-tin/blog/mo-tai-khoan-tiet-kiem-cho-con")</f>
        <v>https://techcombank.com/thong-tin/blog/mo-tai-khoan-tiet-kiem-cho-con</v>
      </c>
      <c r="Q19" s="17" t="str">
        <f>IFERROR(__xludf.DUMMYFUNCTION("""COMPUTED_VALUE"""),"mở tài khoản ngân hàng dưới 18 tuổi")</f>
        <v>mở tài khoản ngân hàng dưới 18 tuổi</v>
      </c>
      <c r="R19" s="21" t="str">
        <f>IFERROR(__xludf.DUMMYFUNCTION("""COMPUTED_VALUE"""),"https://techcombank.com/thong-tin/blog/mo-tai-khoan-ngan-hang-bang-so-dien-thoai")</f>
        <v>https://techcombank.com/thong-tin/blog/mo-tai-khoan-ngan-hang-bang-so-dien-thoai</v>
      </c>
      <c r="S19" s="17" t="str">
        <f>IFERROR(__xludf.DUMMYFUNCTION("""COMPUTED_VALUE"""),"mở tài khoản ngân hàng cho học sinh")</f>
        <v>mở tài khoản ngân hàng cho học sinh</v>
      </c>
      <c r="T19" s="21" t="str">
        <f>IFERROR(__xludf.DUMMYFUNCTION("""COMPUTED_VALUE"""),"https://techcombank.com/thong-tin/blog/quy-gia-dinh")</f>
        <v>https://techcombank.com/thong-tin/blog/quy-gia-dinh</v>
      </c>
      <c r="U19" s="17" t="str">
        <f>IFERROR(__xludf.DUMMYFUNCTION("""COMPUTED_VALUE"""),"mở tài khoản ngân hàng dưới 18 tuổi")</f>
        <v>mở tài khoản ngân hàng dưới 18 tuổi</v>
      </c>
      <c r="V19" s="21" t="str">
        <f>IFERROR(__xludf.DUMMYFUNCTION("""COMPUTED_VALUE"""),"https://techcombank.com/thong-tin/blog/dao-tao-the-he-ke-can")</f>
        <v>https://techcombank.com/thong-tin/blog/dao-tao-the-he-ke-can</v>
      </c>
      <c r="W19" s="17" t="str">
        <f>IFERROR(__xludf.DUMMYFUNCTION("""COMPUTED_VALUE"""),"mở tài khoản ngân hàng cho học sinh")</f>
        <v>mở tài khoản ngân hàng cho học sinh</v>
      </c>
      <c r="X19" s="21" t="str">
        <f>IFERROR(__xludf.DUMMYFUNCTION("""COMPUTED_VALUE"""),"https://techcombank.com/thong-tin/blog/tap-doan-thanh-quang-khoi-sac-kinh-doanh-nho-nguon-von-vay-tin-dung-techcombank-tren-nen-tang-misa-lending")</f>
        <v>https://techcombank.com/thong-tin/blog/tap-doan-thanh-quang-khoi-sac-kinh-doanh-nho-nguon-von-vay-tin-dung-techcombank-tren-nen-tang-misa-lending</v>
      </c>
      <c r="Y19" s="17" t="str">
        <f>IFERROR(__xludf.DUMMYFUNCTION("""COMPUTED_VALUE"""),"mở tài khoản ngân hàng dưới 18 tuổi")</f>
        <v>mở tài khoản ngân hàng dưới 18 tuổi</v>
      </c>
      <c r="Z19" s="21" t="str">
        <f>IFERROR(__xludf.DUMMYFUNCTION("""COMPUTED_VALUE"""),"https://techcombank.com/thong-tin/blog/the-he-ke-can")</f>
        <v>https://techcombank.com/thong-tin/blog/the-he-ke-can</v>
      </c>
      <c r="AA19" s="17" t="str">
        <f>IFERROR(__xludf.DUMMYFUNCTION("""COMPUTED_VALUE"""),"mở tài khoản ngân hàng cho học sinh")</f>
        <v>mở tài khoản ngân hàng cho học sinh</v>
      </c>
      <c r="AB19" s="21" t="str">
        <f>IFERROR(__xludf.DUMMYFUNCTION("""COMPUTED_VALUE"""),"https://techcombank.com/thong-tin/blog/cho-vay-kinh-doanh-ho-gia-dinh")</f>
        <v>https://techcombank.com/thong-tin/blog/cho-vay-kinh-doanh-ho-gia-dinh</v>
      </c>
      <c r="AC19" s="17" t="str">
        <f>IFERROR(__xludf.DUMMYFUNCTION("""COMPUTED_VALUE"""),"mở tài khoản ngân hàng dưới 18 tuổi")</f>
        <v>mở tài khoản ngân hàng dưới 18 tuổi</v>
      </c>
      <c r="AD19" s="21" t="str">
        <f>IFERROR(__xludf.DUMMYFUNCTION("""COMPUTED_VALUE"""),"https://techcombank.com/thong-tin/blog/cach-tiet-kiem-tien-hieu-qua-cho-gia-dinh")</f>
        <v>https://techcombank.com/thong-tin/blog/cach-tiet-kiem-tien-hieu-qua-cho-gia-dinh</v>
      </c>
      <c r="AE19" s="17" t="str">
        <f>IFERROR(__xludf.DUMMYFUNCTION("""COMPUTED_VALUE"""),"mở tài khoản ngân hàng cho học sinh")</f>
        <v>mở tài khoản ngân hàng cho học sinh</v>
      </c>
      <c r="AF19" s="21" t="str">
        <f>IFERROR(__xludf.DUMMYFUNCTION("""COMPUTED_VALUE"""),"https://techcombank.com/thong-tin/blog/bao-hiem-suc-khoe-la-gi")</f>
        <v>https://techcombank.com/thong-tin/blog/bao-hiem-suc-khoe-la-gi</v>
      </c>
      <c r="AG19" s="17" t="str">
        <f>IFERROR(__xludf.DUMMYFUNCTION("""COMPUTED_VALUE"""),"mở tài khoản ngân hàng dưới 18 tuổi")</f>
        <v>mở tài khoản ngân hàng dưới 18 tuổi</v>
      </c>
      <c r="AH19" s="21" t="str">
        <f>IFERROR(__xludf.DUMMYFUNCTION("""COMPUTED_VALUE"""),"https://techcombank.com/thong-tin/blog/mo-tai-khoan-ngan-hang-cho-tre-em")</f>
        <v>https://techcombank.com/thong-tin/blog/mo-tai-khoan-ngan-hang-cho-tre-em</v>
      </c>
      <c r="AI19" s="17" t="str">
        <f>IFERROR(__xludf.DUMMYFUNCTION("""COMPUTED_VALUE"""),"mở tài khoản ngân hàng cho học sinh")</f>
        <v>mở tài khoản ngân hàng cho học sinh</v>
      </c>
      <c r="AJ19" s="21" t="str">
        <f>IFERROR(__xludf.DUMMYFUNCTION("""COMPUTED_VALUE"""),"https://techcombank.com/thong-tin/blog/bao-hiem-nhan-tho-la-gi")</f>
        <v>https://techcombank.com/thong-tin/blog/bao-hiem-nhan-tho-la-gi</v>
      </c>
      <c r="AK19" s="17" t="str">
        <f>IFERROR(__xludf.DUMMYFUNCTION("""COMPUTED_VALUE"""),"mở tài khoản ngân hàng dưới 18 tuổi")</f>
        <v>mở tài khoản ngân hàng dưới 18 tuổi</v>
      </c>
      <c r="AL19" s="21" t="str">
        <f>IFERROR(__xludf.DUMMYFUNCTION("""COMPUTED_VALUE"""),"https://techcombank.com/thong-tin/blog/hoc-sinh-sinh-vien-nen-lam-the-ngan-hang-nao")</f>
        <v>https://techcombank.com/thong-tin/blog/hoc-sinh-sinh-vien-nen-lam-the-ngan-hang-nao</v>
      </c>
      <c r="AM19" s="17" t="str">
        <f>IFERROR(__xludf.DUMMYFUNCTION("""COMPUTED_VALUE"""),"mở tài khoản ngân hàng cho học sinh")</f>
        <v>mở tài khoản ngân hàng cho học sinh</v>
      </c>
      <c r="AN19" s="21" t="str">
        <f>IFERROR(__xludf.DUMMYFUNCTION("""COMPUTED_VALUE"""),"https://techcombank.com/thong-tin/blog/cac-loai-hinh-bao-hiem-nhan-tho")</f>
        <v>https://techcombank.com/thong-tin/blog/cac-loai-hinh-bao-hiem-nhan-tho</v>
      </c>
      <c r="AO19" s="17" t="str">
        <f>IFERROR(__xludf.DUMMYFUNCTION("""COMPUTED_VALUE"""),"mở tài khoản ngân hàng dưới 18 tuổi")</f>
        <v>mở tài khoản ngân hàng dưới 18 tuổi</v>
      </c>
      <c r="AP19" s="21" t="str">
        <f>IFERROR(__xludf.DUMMYFUNCTION("""COMPUTED_VALUE"""),"https://techcombank.com/thong-tin/blog/thanh-toan-hoc-phi-online")</f>
        <v>https://techcombank.com/thong-tin/blog/thanh-toan-hoc-phi-online</v>
      </c>
      <c r="AQ19" s="17" t="str">
        <f>IFERROR(__xludf.DUMMYFUNCTION("""COMPUTED_VALUE"""),"mở tài khoản ngân hàng cho học sinh")</f>
        <v>mở tài khoản ngân hàng cho học sinh</v>
      </c>
      <c r="AR19" s="21" t="str">
        <f>IFERROR(__xludf.DUMMYFUNCTION("""COMPUTED_VALUE"""),"https://techcombank.com/thong-tin/blog/cach-chon-so-tai-khoan-dep")</f>
        <v>https://techcombank.com/thong-tin/blog/cach-chon-so-tai-khoan-dep</v>
      </c>
      <c r="AS19" s="17" t="str">
        <f>IFERROR(__xludf.DUMMYFUNCTION("""COMPUTED_VALUE"""),"mở tài khoản ngân hàng dưới 18 tuổi")</f>
        <v>mở tài khoản ngân hàng dưới 18 tuổi</v>
      </c>
      <c r="AT19" s="21" t="str">
        <f>IFERROR(__xludf.DUMMYFUNCTION("""COMPUTED_VALUE"""),"https://techcombank.com/thong-tin/blog/sai-lam-ve-tai-chinh-ca-nhan")</f>
        <v>https://techcombank.com/thong-tin/blog/sai-lam-ve-tai-chinh-ca-nhan</v>
      </c>
      <c r="AU19" s="17" t="str">
        <f>IFERROR(__xludf.DUMMYFUNCTION("""COMPUTED_VALUE"""),"mở tài khoản ngân hàng cho học sinh")</f>
        <v>mở tài khoản ngân hàng cho học sinh</v>
      </c>
      <c r="AV19" s="21" t="str">
        <f>IFERROR(__xludf.DUMMYFUNCTION("""COMPUTED_VALUE"""),"https://techcombank.com/thong-tin/blog/cach-chuyen-tien")</f>
        <v>https://techcombank.com/thong-tin/blog/cach-chuyen-tien</v>
      </c>
      <c r="AW19" s="17" t="str">
        <f>IFERROR(__xludf.DUMMYFUNCTION("""COMPUTED_VALUE"""),"mở tài khoản ngân hàng dưới 18 tuổi")</f>
        <v>mở tài khoản ngân hàng dưới 18 tuổi</v>
      </c>
      <c r="AX19" s="21" t="str">
        <f>IFERROR(__xludf.DUMMYFUNCTION("""COMPUTED_VALUE"""),"https://techcombank.com/thong-tin/blog/bao-nhieu-tuoi-duoc-mo-tai-khoan-ngan-hang")</f>
        <v>https://techcombank.com/thong-tin/blog/bao-nhieu-tuoi-duoc-mo-tai-khoan-ngan-hang</v>
      </c>
      <c r="AY19" s="17" t="str">
        <f>IFERROR(__xludf.DUMMYFUNCTION("""COMPUTED_VALUE"""),"mở tài khoản ngân hàng cho học sinh")</f>
        <v>mở tài khoản ngân hàng cho học sinh</v>
      </c>
      <c r="AZ19" s="21" t="str">
        <f>IFERROR(__xludf.DUMMYFUNCTION("""COMPUTED_VALUE"""),"https://techcombank.com/thong-tin/blog/8868")</f>
        <v>https://techcombank.com/thong-tin/blog/8868</v>
      </c>
      <c r="BA19" s="17" t="str">
        <f>IFERROR(__xludf.DUMMYFUNCTION("""COMPUTED_VALUE"""),"mở tài khoản ngân hàng dưới 18 tuổi")</f>
        <v>mở tài khoản ngân hàng dưới 18 tuổi</v>
      </c>
      <c r="BB19" s="21" t="str">
        <f>IFERROR(__xludf.DUMMYFUNCTION("""COMPUTED_VALUE"""),"https://techcombank.com/thong-tin/blog/tai-khoan-ngan-hang-con-0-dong-co-sao-khong")</f>
        <v>https://techcombank.com/thong-tin/blog/tai-khoan-ngan-hang-con-0-dong-co-sao-khong</v>
      </c>
      <c r="BC19" s="17" t="str">
        <f>IFERROR(__xludf.DUMMYFUNCTION("""COMPUTED_VALUE"""),"mở tài khoản ngân hàng cho học sinh")</f>
        <v>mở tài khoản ngân hàng cho học sinh</v>
      </c>
      <c r="BD19" s="21" t="str">
        <f>IFERROR(__xludf.DUMMYFUNCTION("""COMPUTED_VALUE"""),"https://techcombank.com/thong-tin/blog/so-tai-khoan-dep")</f>
        <v>https://techcombank.com/thong-tin/blog/so-tai-khoan-dep</v>
      </c>
      <c r="BE19" s="17" t="str">
        <f>IFERROR(__xludf.DUMMYFUNCTION("""COMPUTED_VALUE"""),"mở tài khoản ngân hàng dưới 18 tuổi")</f>
        <v>mở tài khoản ngân hàng dưới 18 tuổi</v>
      </c>
      <c r="BF19" s="21" t="str">
        <f>IFERROR(__xludf.DUMMYFUNCTION("""COMPUTED_VALUE"""),"https://techcombank.com/thong-tin/blog/the-ghi-no-co-chuyen-khoan-duoc-khong")</f>
        <v>https://techcombank.com/thong-tin/blog/the-ghi-no-co-chuyen-khoan-duoc-khong</v>
      </c>
      <c r="BG19" s="17" t="str">
        <f>IFERROR(__xludf.DUMMYFUNCTION("""COMPUTED_VALUE"""),"mở tài khoản ngân hàng cho học sinh")</f>
        <v>mở tài khoản ngân hàng cho học sinh</v>
      </c>
      <c r="BH19" s="21" t="str">
        <f>IFERROR(__xludf.DUMMYFUNCTION("""COMPUTED_VALUE"""),"https://techcombank.com/thong-tin/blog/cach-chuyen-khoan-bang-dien-thoai")</f>
        <v>https://techcombank.com/thong-tin/blog/cach-chuyen-khoan-bang-dien-thoai</v>
      </c>
      <c r="BI19" s="17" t="str">
        <f>IFERROR(__xludf.DUMMYFUNCTION("""COMPUTED_VALUE"""),"mở tài khoản ngân hàng dưới 18 tuổi")</f>
        <v>mở tài khoản ngân hàng dưới 18 tuổi</v>
      </c>
      <c r="BJ19" s="21" t="str">
        <f>IFERROR(__xludf.DUMMYFUNCTION("""COMPUTED_VALUE"""),"https://techcombank.com/thong-tin/blog/shopeepay-la-gi")</f>
        <v>https://techcombank.com/thong-tin/blog/shopeepay-la-gi</v>
      </c>
      <c r="BK19" s="17" t="str">
        <f>IFERROR(__xludf.DUMMYFUNCTION("""COMPUTED_VALUE"""),"mở tài khoản ngân hàng cho học sinh")</f>
        <v>mở tài khoản ngân hàng cho học sinh</v>
      </c>
      <c r="BL19" s="21" t="str">
        <f>IFERROR(__xludf.DUMMYFUNCTION("""COMPUTED_VALUE"""),"https://techcombank.com/thong-tin/blog/vay-sinh-vien")</f>
        <v>https://techcombank.com/thong-tin/blog/vay-sinh-vien</v>
      </c>
      <c r="BM19" s="17" t="str">
        <f>IFERROR(__xludf.DUMMYFUNCTION("""COMPUTED_VALUE"""),"mở tài khoản ngân hàng dưới 18 tuổi")</f>
        <v>mở tài khoản ngân hàng dưới 18 tuổi</v>
      </c>
      <c r="BN19" s="21" t="str">
        <f>IFERROR(__xludf.DUMMYFUNCTION("""COMPUTED_VALUE"""),"https://techcombank.com/thong-tin/blog/mobile-banking-la-gi")</f>
        <v>https://techcombank.com/thong-tin/blog/mobile-banking-la-gi</v>
      </c>
      <c r="BO19" s="17" t="str">
        <f>IFERROR(__xludf.DUMMYFUNCTION("""COMPUTED_VALUE"""),"mở tài khoản ngân hàng cho học sinh")</f>
        <v>mở tài khoản ngân hàng cho học sinh</v>
      </c>
      <c r="BP19" s="21" t="str">
        <f>IFERROR(__xludf.DUMMYFUNCTION("""COMPUTED_VALUE"""),"https://techcombank.com/thong-tin/blog/ngan-hang-thu-huong-la-gi")</f>
        <v>https://techcombank.com/thong-tin/blog/ngan-hang-thu-huong-la-gi</v>
      </c>
      <c r="BQ19" s="17" t="str">
        <f>IFERROR(__xludf.DUMMYFUNCTION("""COMPUTED_VALUE"""),"mở tài khoản ngân hàng dưới 18 tuổi")</f>
        <v>mở tài khoản ngân hàng dưới 18 tuổi</v>
      </c>
      <c r="BR19" s="21" t="str">
        <f>IFERROR(__xludf.DUMMYFUNCTION("""COMPUTED_VALUE"""),"https://techcombank.com/thong-tin/blog/cach-chuyen-tien-qua-ma-qr-techcombank")</f>
        <v>https://techcombank.com/thong-tin/blog/cach-chuyen-tien-qua-ma-qr-techcombank</v>
      </c>
      <c r="BS19" s="17" t="str">
        <f>IFERROR(__xludf.DUMMYFUNCTION("""COMPUTED_VALUE"""),"mở tài khoản ngân hàng cho học sinh")</f>
        <v>mở tài khoản ngân hàng cho học sinh</v>
      </c>
      <c r="BT19" s="21" t="str">
        <f>IFERROR(__xludf.DUMMYFUNCTION("""COMPUTED_VALUE"""),"https://techcombank.com/thong-tin/blog/nap-tien-vao-tai-khoan-ngan-hang")</f>
        <v>https://techcombank.com/thong-tin/blog/nap-tien-vao-tai-khoan-ngan-hang</v>
      </c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  <c r="IR19" s="17"/>
      <c r="IS19" s="17"/>
      <c r="IT19" s="17"/>
      <c r="IU19" s="17"/>
      <c r="IV19" s="17"/>
      <c r="IW19" s="17"/>
      <c r="IX19" s="17"/>
      <c r="IY19" s="17"/>
      <c r="IZ19" s="17"/>
      <c r="JA19" s="17"/>
      <c r="JB19" s="17"/>
      <c r="JC19" s="17"/>
      <c r="JD19" s="17"/>
      <c r="JE19" s="17"/>
      <c r="JF19" s="17"/>
      <c r="JG19" s="17"/>
      <c r="JH19" s="17"/>
      <c r="JI19" s="17"/>
      <c r="JJ19" s="17"/>
      <c r="JK19" s="17"/>
      <c r="JL19" s="17"/>
      <c r="JM19" s="17"/>
      <c r="JN19" s="17"/>
      <c r="JO19" s="17"/>
      <c r="JP19" s="17"/>
      <c r="JQ19" s="17"/>
      <c r="JR19" s="17"/>
      <c r="JS19" s="17"/>
      <c r="JT19" s="17"/>
      <c r="JU19" s="17"/>
      <c r="JV19" s="17"/>
      <c r="JW19" s="17"/>
      <c r="JX19" s="17"/>
      <c r="JY19" s="17"/>
      <c r="JZ19" s="17"/>
      <c r="KA19" s="17"/>
      <c r="KB19" s="17"/>
      <c r="KC19" s="17"/>
      <c r="KD19" s="17"/>
      <c r="KE19" s="17"/>
      <c r="KF19" s="17"/>
      <c r="KG19" s="17"/>
      <c r="KH19" s="17"/>
      <c r="KI19" s="17"/>
      <c r="KJ19" s="17"/>
      <c r="KK19" s="17"/>
      <c r="KL19" s="17"/>
      <c r="KM19" s="17"/>
      <c r="KN19" s="17"/>
      <c r="KO19" s="17"/>
      <c r="KP19" s="17"/>
      <c r="KQ19" s="17"/>
      <c r="KR19" s="17"/>
      <c r="KS19" s="17"/>
      <c r="KT19" s="17"/>
      <c r="KU19" s="17"/>
      <c r="KV19" s="17"/>
      <c r="KW19" s="17"/>
      <c r="KX19" s="17"/>
      <c r="KY19" s="17"/>
      <c r="KZ19" s="17"/>
      <c r="LA19" s="17"/>
      <c r="LB19" s="17"/>
      <c r="LC19" s="17"/>
      <c r="LD19" s="17"/>
      <c r="LE19" s="17"/>
      <c r="LF19" s="17"/>
      <c r="LG19" s="17"/>
      <c r="LH19" s="17"/>
      <c r="LI19" s="17"/>
      <c r="LJ19" s="17"/>
      <c r="LK19" s="17"/>
      <c r="LL19" s="17"/>
      <c r="LM19" s="17"/>
      <c r="LN19" s="17"/>
      <c r="LO19" s="17"/>
      <c r="LP19" s="17"/>
      <c r="LQ19" s="17"/>
      <c r="LR19" s="17"/>
      <c r="LS19" s="17"/>
      <c r="LT19" s="17"/>
      <c r="LU19" s="17"/>
      <c r="LV19" s="17"/>
      <c r="LW19" s="17"/>
      <c r="LX19" s="17"/>
      <c r="LY19" s="17"/>
      <c r="LZ19" s="17"/>
      <c r="MA19" s="17"/>
      <c r="MB19" s="17"/>
      <c r="MC19" s="17"/>
      <c r="MD19" s="17"/>
      <c r="ME19" s="17"/>
      <c r="MF19" s="17"/>
      <c r="MG19" s="17"/>
      <c r="MH19" s="17"/>
      <c r="MI19" s="17"/>
      <c r="MJ19" s="17"/>
      <c r="MK19" s="17"/>
      <c r="ML19" s="17"/>
      <c r="MM19" s="17"/>
      <c r="MN19" s="17"/>
      <c r="MO19" s="17"/>
      <c r="MP19" s="17"/>
      <c r="MQ19" s="17"/>
      <c r="MR19" s="17"/>
      <c r="MS19" s="17"/>
      <c r="MT19" s="17"/>
      <c r="MU19" s="17"/>
      <c r="MV19" s="17"/>
      <c r="MW19" s="17"/>
      <c r="MX19" s="17"/>
      <c r="MY19" s="17"/>
      <c r="MZ19" s="17"/>
      <c r="NA19" s="17"/>
      <c r="NB19" s="17"/>
      <c r="NC19" s="17"/>
      <c r="ND19" s="17"/>
      <c r="NE19" s="17"/>
      <c r="NF19" s="17"/>
      <c r="NG19" s="17"/>
      <c r="NH19" s="17"/>
      <c r="NI19" s="17"/>
      <c r="NJ19" s="17"/>
      <c r="NK19" s="17"/>
      <c r="NL19" s="17"/>
      <c r="NM19" s="17"/>
      <c r="NN19" s="17"/>
      <c r="NO19" s="17"/>
      <c r="NP19" s="17"/>
      <c r="NQ19" s="17"/>
      <c r="NR19" s="17"/>
      <c r="NS19" s="17"/>
      <c r="NT19" s="17"/>
      <c r="NU19" s="17"/>
      <c r="NV19" s="17"/>
      <c r="NW19" s="17"/>
      <c r="NX19" s="17"/>
      <c r="NY19" s="17"/>
      <c r="NZ19" s="17"/>
      <c r="OA19" s="17"/>
      <c r="OB19" s="17"/>
      <c r="OC19" s="17"/>
      <c r="OD19" s="17"/>
      <c r="OE19" s="17"/>
      <c r="OF19" s="17"/>
      <c r="OG19" s="17"/>
      <c r="OH19" s="17"/>
      <c r="OI19" s="17"/>
      <c r="OJ19" s="17"/>
      <c r="OK19" s="17"/>
      <c r="OL19" s="17"/>
      <c r="OM19" s="17"/>
      <c r="ON19" s="17"/>
      <c r="OO19" s="17"/>
      <c r="OP19" s="17"/>
      <c r="OQ19" s="17"/>
      <c r="OR19" s="17"/>
      <c r="OS19" s="17"/>
      <c r="OT19" s="17"/>
      <c r="OU19" s="17"/>
      <c r="OV19" s="17"/>
    </row>
    <row r="20" ht="18.0" customHeight="1">
      <c r="A20" s="16">
        <v>19.0</v>
      </c>
      <c r="B20" s="17" t="s">
        <v>920</v>
      </c>
      <c r="C20" s="18" t="s">
        <v>1163</v>
      </c>
      <c r="D20" s="17" t="s">
        <v>407</v>
      </c>
      <c r="E20" s="16">
        <v>30.0</v>
      </c>
      <c r="F20" s="16">
        <f>COUNTIF('Tổng hợp 75 trang đích'!$B$2:$B$3400,$D20)</f>
        <v>30</v>
      </c>
      <c r="G20" s="16">
        <f>COUNTIFS('Tổng hợp 75 trang đích'!$B$2:$B$3400,$D20,'Tổng hợp 75 trang đích'!$K$2:$K$3400,"PHÙ HỢP CAO")</f>
        <v>2</v>
      </c>
      <c r="H20" s="16">
        <f>COUNTIFS('Tổng hợp 75 trang đích'!$B$2:$B$3400,$D20,'Tổng hợp 75 trang đích'!$K$2:$K$3400,"CÓ THỂ ĐI")</f>
        <v>3</v>
      </c>
      <c r="I20" s="16">
        <f>COUNTIFS('Tổng hợp 75 trang đích'!$B$2:$B$3400,$D20,'Tổng hợp 75 trang đích'!$K$2:$K$3400,"CẦN SOÁT")</f>
        <v>25</v>
      </c>
      <c r="J20" s="19" t="s">
        <v>555</v>
      </c>
      <c r="K20" s="19" t="b">
        <v>0</v>
      </c>
      <c r="L20" s="20" t="s">
        <v>333</v>
      </c>
      <c r="M20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đích'!$B$2:$B$3400=$D20),3,TR"&amp;"UE),1,2)),"""")"),"nạp tiền vào tài khoản ngân hàng")</f>
        <v>nạp tiền vào tài khoản ngân hàng</v>
      </c>
      <c r="N20" s="21" t="str">
        <f>IFERROR(__xludf.DUMMYFUNCTION("""COMPUTED_VALUE"""),"https://techcombank.com/thong-tin/blog/cdm")</f>
        <v>https://techcombank.com/thong-tin/blog/cdm</v>
      </c>
      <c r="O20" s="17" t="str">
        <f>IFERROR(__xludf.DUMMYFUNCTION("""COMPUTED_VALUE"""),"nộp tiền vào tài khoản")</f>
        <v>nộp tiền vào tài khoản</v>
      </c>
      <c r="P20" s="21" t="str">
        <f>IFERROR(__xludf.DUMMYFUNCTION("""COMPUTED_VALUE"""),"https://techcombank.com/thong-tin/blog/cach-nap-tien-vao-the-ghi-no")</f>
        <v>https://techcombank.com/thong-tin/blog/cach-nap-tien-vao-the-ghi-no</v>
      </c>
      <c r="Q20" s="17" t="str">
        <f>IFERROR(__xludf.DUMMYFUNCTION("""COMPUTED_VALUE"""),"nạp tiền vào tài khoản ngân hàng")</f>
        <v>nạp tiền vào tài khoản ngân hàng</v>
      </c>
      <c r="R20" s="21" t="str">
        <f>IFERROR(__xludf.DUMMYFUNCTION("""COMPUTED_VALUE"""),"https://techcombank.com/thong-tin/blog/tai-khoan-ngan-hang-con-0-dong-co-sao-khong")</f>
        <v>https://techcombank.com/thong-tin/blog/tai-khoan-ngan-hang-con-0-dong-co-sao-khong</v>
      </c>
      <c r="S20" s="17" t="str">
        <f>IFERROR(__xludf.DUMMYFUNCTION("""COMPUTED_VALUE"""),"nộp tiền vào tài khoản")</f>
        <v>nộp tiền vào tài khoản</v>
      </c>
      <c r="T20" s="21" t="str">
        <f>IFERROR(__xludf.DUMMYFUNCTION("""COMPUTED_VALUE"""),"https://techcombank.com/thong-tin/blog/nop-tien-mat-vao-tai-khoan-cong-ty")</f>
        <v>https://techcombank.com/thong-tin/blog/nop-tien-mat-vao-tai-khoan-cong-ty</v>
      </c>
      <c r="U20" s="17" t="str">
        <f>IFERROR(__xludf.DUMMYFUNCTION("""COMPUTED_VALUE"""),"nạp tiền vào tài khoản ngân hàng")</f>
        <v>nạp tiền vào tài khoản ngân hàng</v>
      </c>
      <c r="V20" s="21" t="str">
        <f>IFERROR(__xludf.DUMMYFUNCTION("""COMPUTED_VALUE"""),"https://techcombank.com/thong-tin/blog/cay-atm-gan-day")</f>
        <v>https://techcombank.com/thong-tin/blog/cay-atm-gan-day</v>
      </c>
      <c r="W20" s="17" t="str">
        <f>IFERROR(__xludf.DUMMYFUNCTION("""COMPUTED_VALUE"""),"nộp tiền vào tài khoản")</f>
        <v>nộp tiền vào tài khoản</v>
      </c>
      <c r="X20" s="21" t="str">
        <f>IFERROR(__xludf.DUMMYFUNCTION("""COMPUTED_VALUE"""),"https://techcombank.com/thong-tin/blog/mm-yy-la-gi")</f>
        <v>https://techcombank.com/thong-tin/blog/mm-yy-la-gi</v>
      </c>
      <c r="Y20" s="17" t="str">
        <f>IFERROR(__xludf.DUMMYFUNCTION("""COMPUTED_VALUE"""),"nạp tiền vào tài khoản ngân hàng")</f>
        <v>nạp tiền vào tài khoản ngân hàng</v>
      </c>
      <c r="Z20" s="21" t="str">
        <f>IFERROR(__xludf.DUMMYFUNCTION("""COMPUTED_VALUE"""),"https://techcombank.com/thong-tin/blog/cach-su-dung-tai-khoan-cong-ty")</f>
        <v>https://techcombank.com/thong-tin/blog/cach-su-dung-tai-khoan-cong-ty</v>
      </c>
      <c r="AA20" s="17" t="str">
        <f>IFERROR(__xludf.DUMMYFUNCTION("""COMPUTED_VALUE"""),"nộp tiền vào tài khoản")</f>
        <v>nộp tiền vào tài khoản</v>
      </c>
      <c r="AB20" s="21" t="str">
        <f>IFERROR(__xludf.DUMMYFUNCTION("""COMPUTED_VALUE"""),"https://techcombank.com/thong-tin/blog/lam-the-atm-co-mat-phi-khong")</f>
        <v>https://techcombank.com/thong-tin/blog/lam-the-atm-co-mat-phi-khong</v>
      </c>
      <c r="AC20" s="17" t="str">
        <f>IFERROR(__xludf.DUMMYFUNCTION("""COMPUTED_VALUE"""),"nạp tiền vào tài khoản ngân hàng")</f>
        <v>nạp tiền vào tài khoản ngân hàng</v>
      </c>
      <c r="AD20" s="21" t="str">
        <f>IFERROR(__xludf.DUMMYFUNCTION("""COMPUTED_VALUE"""),"https://techcombank.com/thong-tin/blog/rut-tien-bang-ma-qr-khac-ngan-hang-duoc-khong")</f>
        <v>https://techcombank.com/thong-tin/blog/rut-tien-bang-ma-qr-khac-ngan-hang-duoc-khong</v>
      </c>
      <c r="AE20" s="17" t="str">
        <f>IFERROR(__xludf.DUMMYFUNCTION("""COMPUTED_VALUE"""),"nộp tiền vào tài khoản")</f>
        <v>nộp tiền vào tài khoản</v>
      </c>
      <c r="AF20" s="21" t="str">
        <f>IFERROR(__xludf.DUMMYFUNCTION("""COMPUTED_VALUE"""),"https://techcombank.com/thong-tin/blog/cach-lam-the-atm")</f>
        <v>https://techcombank.com/thong-tin/blog/cach-lam-the-atm</v>
      </c>
      <c r="AG20" s="17" t="str">
        <f>IFERROR(__xludf.DUMMYFUNCTION("""COMPUTED_VALUE"""),"nạp tiền vào tài khoản ngân hàng")</f>
        <v>nạp tiền vào tài khoản ngân hàng</v>
      </c>
      <c r="AH20" s="21" t="str">
        <f>IFERROR(__xludf.DUMMYFUNCTION("""COMPUTED_VALUE"""),"https://techcombank.com/thong-tin/blog/tra-cuu-han-muc-the-tin-dung")</f>
        <v>https://techcombank.com/thong-tin/blog/tra-cuu-han-muc-the-tin-dung</v>
      </c>
      <c r="AI20" s="17" t="str">
        <f>IFERROR(__xludf.DUMMYFUNCTION("""COMPUTED_VALUE"""),"nộp tiền vào tài khoản")</f>
        <v>nộp tiền vào tài khoản</v>
      </c>
      <c r="AJ20" s="21" t="str">
        <f>IFERROR(__xludf.DUMMYFUNCTION("""COMPUTED_VALUE"""),"https://techcombank.com/thong-tin/blog/the-visa-de-lam-gi")</f>
        <v>https://techcombank.com/thong-tin/blog/the-visa-de-lam-gi</v>
      </c>
      <c r="AK20" s="17" t="str">
        <f>IFERROR(__xludf.DUMMYFUNCTION("""COMPUTED_VALUE"""),"nạp tiền vào tài khoản ngân hàng")</f>
        <v>nạp tiền vào tài khoản ngân hàng</v>
      </c>
      <c r="AL20" s="21" t="str">
        <f>IFERROR(__xludf.DUMMYFUNCTION("""COMPUTED_VALUE"""),"https://techcombank.com/thong-tin/blog/the-atm-khong-rut-duoc-tien")</f>
        <v>https://techcombank.com/thong-tin/blog/the-atm-khong-rut-duoc-tien</v>
      </c>
      <c r="AM20" s="17" t="str">
        <f>IFERROR(__xludf.DUMMYFUNCTION("""COMPUTED_VALUE"""),"nộp tiền vào tài khoản")</f>
        <v>nộp tiền vào tài khoản</v>
      </c>
      <c r="AN20" s="21" t="str">
        <f>IFERROR(__xludf.DUMMYFUNCTION("""COMPUTED_VALUE"""),"https://techcombank.com/thong-tin/blog/lam-the-atm-bao-lau-co")</f>
        <v>https://techcombank.com/thong-tin/blog/lam-the-atm-bao-lau-co</v>
      </c>
      <c r="AO20" s="17" t="str">
        <f>IFERROR(__xludf.DUMMYFUNCTION("""COMPUTED_VALUE"""),"nạp tiền vào tài khoản ngân hàng")</f>
        <v>nạp tiền vào tài khoản ngân hàng</v>
      </c>
      <c r="AP20" s="21" t="str">
        <f>IFERROR(__xludf.DUMMYFUNCTION("""COMPUTED_VALUE"""),"https://techcombank.com/thong-tin/blog/cach-nap-the")</f>
        <v>https://techcombank.com/thong-tin/blog/cach-nap-the</v>
      </c>
      <c r="AQ20" s="17" t="str">
        <f>IFERROR(__xludf.DUMMYFUNCTION("""COMPUTED_VALUE"""),"nộp tiền vào tài khoản")</f>
        <v>nộp tiền vào tài khoản</v>
      </c>
      <c r="AR20" s="21" t="str">
        <f>IFERROR(__xludf.DUMMYFUNCTION("""COMPUTED_VALUE"""),"https://techcombank.com/thong-tin/blog/cach-thanh-toan-the-tin-dung")</f>
        <v>https://techcombank.com/thong-tin/blog/cach-thanh-toan-the-tin-dung</v>
      </c>
      <c r="AS20" s="17" t="str">
        <f>IFERROR(__xludf.DUMMYFUNCTION("""COMPUTED_VALUE"""),"nạp tiền vào tài khoản ngân hàng")</f>
        <v>nạp tiền vào tài khoản ngân hàng</v>
      </c>
      <c r="AT20" s="21" t="str">
        <f>IFERROR(__xludf.DUMMYFUNCTION("""COMPUTED_VALUE"""),"https://techcombank.com/thong-tin/blog/nap-tien-dien-thoai-online")</f>
        <v>https://techcombank.com/thong-tin/blog/nap-tien-dien-thoai-online</v>
      </c>
      <c r="AU20" s="17" t="str">
        <f>IFERROR(__xludf.DUMMYFUNCTION("""COMPUTED_VALUE"""),"nộp tiền vào tài khoản")</f>
        <v>nộp tiền vào tài khoản</v>
      </c>
      <c r="AV20" s="21" t="str">
        <f>IFERROR(__xludf.DUMMYFUNCTION("""COMPUTED_VALUE"""),"https://techcombank.com/thong-tin/blog/the-atm-gan-chip")</f>
        <v>https://techcombank.com/thong-tin/blog/the-atm-gan-chip</v>
      </c>
      <c r="AW20" s="17" t="str">
        <f>IFERROR(__xludf.DUMMYFUNCTION("""COMPUTED_VALUE"""),"nạp tiền vào tài khoản ngân hàng")</f>
        <v>nạp tiền vào tài khoản ngân hàng</v>
      </c>
      <c r="AX20" s="21" t="str">
        <f>IFERROR(__xludf.DUMMYFUNCTION("""COMPUTED_VALUE"""),"https://techcombank.com/thong-tin/blog/rut-tien-bang-ma-qr-la-gi-cach-thuc-hien-nhu-the-nao")</f>
        <v>https://techcombank.com/thong-tin/blog/rut-tien-bang-ma-qr-la-gi-cach-thuc-hien-nhu-the-nao</v>
      </c>
      <c r="AY20" s="17" t="str">
        <f>IFERROR(__xludf.DUMMYFUNCTION("""COMPUTED_VALUE"""),"nộp tiền vào tài khoản")</f>
        <v>nộp tiền vào tài khoản</v>
      </c>
      <c r="AZ20" s="21" t="str">
        <f>IFERROR(__xludf.DUMMYFUNCTION("""COMPUTED_VALUE"""),"https://techcombank.com/thong-tin/blog/bi-nuot-the-atm-phai-lam-sao")</f>
        <v>https://techcombank.com/thong-tin/blog/bi-nuot-the-atm-phai-lam-sao</v>
      </c>
      <c r="BA20" s="17" t="str">
        <f>IFERROR(__xludf.DUMMYFUNCTION("""COMPUTED_VALUE"""),"nạp tiền vào tài khoản ngân hàng")</f>
        <v>nạp tiền vào tài khoản ngân hàng</v>
      </c>
      <c r="BB20" s="21" t="str">
        <f>IFERROR(__xludf.DUMMYFUNCTION("""COMPUTED_VALUE"""),"https://techcombank.com/thong-tin/blog/ma-pin-the-atm")</f>
        <v>https://techcombank.com/thong-tin/blog/ma-pin-the-atm</v>
      </c>
      <c r="BC20" s="17" t="str">
        <f>IFERROR(__xludf.DUMMYFUNCTION("""COMPUTED_VALUE"""),"nộp tiền vào tài khoản")</f>
        <v>nộp tiền vào tài khoản</v>
      </c>
      <c r="BD20" s="21" t="str">
        <f>IFERROR(__xludf.DUMMYFUNCTION("""COMPUTED_VALUE"""),"https://techcombank.com/thong-tin/blog/1-nguoi-co-the-lam-duoc-bao-nhieu-the-atm")</f>
        <v>https://techcombank.com/thong-tin/blog/1-nguoi-co-the-lam-duoc-bao-nhieu-the-atm</v>
      </c>
      <c r="BE20" s="17" t="str">
        <f>IFERROR(__xludf.DUMMYFUNCTION("""COMPUTED_VALUE"""),"nạp tiền vào tài khoản ngân hàng")</f>
        <v>nạp tiền vào tài khoản ngân hàng</v>
      </c>
      <c r="BF20" s="21" t="str">
        <f>IFERROR(__xludf.DUMMYFUNCTION("""COMPUTED_VALUE"""),"https://techcombank.com/thong-tin/blog/cach-rut-tien-atm")</f>
        <v>https://techcombank.com/thong-tin/blog/cach-rut-tien-atm</v>
      </c>
      <c r="BG20" s="17" t="str">
        <f>IFERROR(__xludf.DUMMYFUNCTION("""COMPUTED_VALUE"""),"nộp tiền vào tài khoản")</f>
        <v>nộp tiền vào tài khoản</v>
      </c>
      <c r="BH20" s="21" t="str">
        <f>IFERROR(__xludf.DUMMYFUNCTION("""COMPUTED_VALUE"""),"https://techcombank.com/thong-tin/blog/cach-kich-hoat-the-atm")</f>
        <v>https://techcombank.com/thong-tin/blog/cach-kich-hoat-the-atm</v>
      </c>
      <c r="BI20" s="17" t="str">
        <f>IFERROR(__xludf.DUMMYFUNCTION("""COMPUTED_VALUE"""),"nạp tiền vào tài khoản ngân hàng")</f>
        <v>nạp tiền vào tài khoản ngân hàng</v>
      </c>
      <c r="BJ20" s="21" t="str">
        <f>IFERROR(__xludf.DUMMYFUNCTION("""COMPUTED_VALUE"""),"https://techcombank.com/thong-tin/blog/atm-la-gi")</f>
        <v>https://techcombank.com/thong-tin/blog/atm-la-gi</v>
      </c>
      <c r="BK20" s="17" t="str">
        <f>IFERROR(__xludf.DUMMYFUNCTION("""COMPUTED_VALUE"""),"nộp tiền vào tài khoản")</f>
        <v>nộp tiền vào tài khoản</v>
      </c>
      <c r="BL20" s="21" t="str">
        <f>IFERROR(__xludf.DUMMYFUNCTION("""COMPUTED_VALUE"""),"https://techcombank.com/thong-tin/blog/1-cmnd-dang-ky-duoc-may-tai-khoan-ngan-hang")</f>
        <v>https://techcombank.com/thong-tin/blog/1-cmnd-dang-ky-duoc-may-tai-khoan-ngan-hang</v>
      </c>
      <c r="BM20" s="17" t="str">
        <f>IFERROR(__xludf.DUMMYFUNCTION("""COMPUTED_VALUE"""),"nạp tiền vào tài khoản ngân hàng")</f>
        <v>nạp tiền vào tài khoản ngân hàng</v>
      </c>
      <c r="BN20" s="21" t="str">
        <f>IFERROR(__xludf.DUMMYFUNCTION("""COMPUTED_VALUE"""),"https://techcombank.com/thong-tin/blog/chuyen-doi-the-atm")</f>
        <v>https://techcombank.com/thong-tin/blog/chuyen-doi-the-atm</v>
      </c>
      <c r="BO20" s="17" t="str">
        <f>IFERROR(__xludf.DUMMYFUNCTION("""COMPUTED_VALUE"""),"nộp tiền vào tài khoản")</f>
        <v>nộp tiền vào tài khoản</v>
      </c>
      <c r="BP20" s="21" t="str">
        <f>IFERROR(__xludf.DUMMYFUNCTION("""COMPUTED_VALUE"""),"https://techcombank.com/thong-tin/blog/so-du-tien-gui-la-gi")</f>
        <v>https://techcombank.com/thong-tin/blog/so-du-tien-gui-la-gi</v>
      </c>
      <c r="BQ20" s="17" t="str">
        <f>IFERROR(__xludf.DUMMYFUNCTION("""COMPUTED_VALUE"""),"nạp tiền vào tài khoản ngân hàng")</f>
        <v>nạp tiền vào tài khoản ngân hàng</v>
      </c>
      <c r="BR20" s="21" t="str">
        <f>IFERROR(__xludf.DUMMYFUNCTION("""COMPUTED_VALUE"""),"https://techcombank.com/thong-tin/blog/the-visa-ao-la-gi")</f>
        <v>https://techcombank.com/thong-tin/blog/the-visa-ao-la-gi</v>
      </c>
      <c r="BS20" s="17" t="str">
        <f>IFERROR(__xludf.DUMMYFUNCTION("""COMPUTED_VALUE"""),"nộp tiền vào tài khoản")</f>
        <v>nộp tiền vào tài khoản</v>
      </c>
      <c r="BT20" s="21" t="str">
        <f>IFERROR(__xludf.DUMMYFUNCTION("""COMPUTED_VALUE"""),"https://techcombank.com/thong-tin/blog/the-atm-tu")</f>
        <v>https://techcombank.com/thong-tin/blog/the-atm-tu</v>
      </c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7"/>
      <c r="ME20" s="17"/>
      <c r="MF20" s="17"/>
      <c r="MG20" s="17"/>
      <c r="MH20" s="17"/>
      <c r="MI20" s="17"/>
      <c r="MJ20" s="17"/>
      <c r="MK20" s="17"/>
      <c r="ML20" s="17"/>
      <c r="MM20" s="17"/>
      <c r="MN20" s="17"/>
      <c r="MO20" s="17"/>
      <c r="MP20" s="17"/>
      <c r="MQ20" s="17"/>
      <c r="MR20" s="17"/>
      <c r="MS20" s="17"/>
      <c r="MT20" s="17"/>
      <c r="MU20" s="17"/>
      <c r="MV20" s="17"/>
      <c r="MW20" s="17"/>
      <c r="MX20" s="17"/>
      <c r="MY20" s="17"/>
      <c r="MZ20" s="17"/>
      <c r="NA20" s="17"/>
      <c r="NB20" s="17"/>
      <c r="NC20" s="17"/>
      <c r="ND20" s="17"/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  <c r="NX20" s="17"/>
      <c r="NY20" s="17"/>
      <c r="NZ20" s="17"/>
      <c r="OA20" s="17"/>
      <c r="OB20" s="17"/>
      <c r="OC20" s="17"/>
      <c r="OD20" s="17"/>
      <c r="OE20" s="17"/>
      <c r="OF20" s="17"/>
      <c r="OG20" s="17"/>
      <c r="OH20" s="17"/>
      <c r="OI20" s="17"/>
      <c r="OJ20" s="17"/>
      <c r="OK20" s="17"/>
      <c r="OL20" s="17"/>
      <c r="OM20" s="17"/>
      <c r="ON20" s="17"/>
      <c r="OO20" s="17"/>
      <c r="OP20" s="17"/>
      <c r="OQ20" s="17"/>
      <c r="OR20" s="17"/>
      <c r="OS20" s="17"/>
      <c r="OT20" s="17"/>
      <c r="OU20" s="17"/>
      <c r="OV20" s="17"/>
    </row>
    <row r="21" ht="18.0" customHeight="1">
      <c r="A21" s="16">
        <v>20.0</v>
      </c>
      <c r="B21" s="17" t="s">
        <v>920</v>
      </c>
      <c r="C21" s="18" t="s">
        <v>1172</v>
      </c>
      <c r="D21" s="17" t="s">
        <v>420</v>
      </c>
      <c r="E21" s="16">
        <v>30.0</v>
      </c>
      <c r="F21" s="16">
        <f>COUNTIF('Tổng hợp 75 trang đích'!$B$2:$B$3400,$D21)</f>
        <v>30</v>
      </c>
      <c r="G21" s="16">
        <f>COUNTIFS('Tổng hợp 75 trang đích'!$B$2:$B$3400,$D21,'Tổng hợp 75 trang đích'!$K$2:$K$3400,"PHÙ HỢP CAO")</f>
        <v>1</v>
      </c>
      <c r="H21" s="16">
        <f>COUNTIFS('Tổng hợp 75 trang đích'!$B$2:$B$3400,$D21,'Tổng hợp 75 trang đích'!$K$2:$K$3400,"CÓ THỂ ĐI")</f>
        <v>4</v>
      </c>
      <c r="I21" s="16">
        <f>COUNTIFS('Tổng hợp 75 trang đích'!$B$2:$B$3400,$D21,'Tổng hợp 75 trang đích'!$K$2:$K$3400,"CẦN SOÁT")</f>
        <v>25</v>
      </c>
      <c r="J21" s="19" t="s">
        <v>555</v>
      </c>
      <c r="K21" s="19" t="b">
        <v>0</v>
      </c>
      <c r="L21" s="20" t="s">
        <v>333</v>
      </c>
      <c r="M21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đích'!$B$2:$B$3400=$D21),3,TR"&amp;"UE),1,2)),"""")"),"cách sao kê tài khoản ngân hàng")</f>
        <v>cách sao kê tài khoản ngân hàng</v>
      </c>
      <c r="N21" s="21" t="str">
        <f>IFERROR(__xludf.DUMMYFUNCTION("""COMPUTED_VALUE"""),"https://techcombank.com/thong-tin/blog/sao-ke-luong")</f>
        <v>https://techcombank.com/thong-tin/blog/sao-ke-luong</v>
      </c>
      <c r="O21" s="17" t="str">
        <f>IFERROR(__xludf.DUMMYFUNCTION("""COMPUTED_VALUE"""),"sao kê tài khoản ngân hàng")</f>
        <v>sao kê tài khoản ngân hàng</v>
      </c>
      <c r="P21" s="21" t="str">
        <f>IFERROR(__xludf.DUMMYFUNCTION("""COMPUTED_VALUE"""),"https://techcombank.com/thong-tin/blog/sao-ke-tai-khoan-doanh-nghiep")</f>
        <v>https://techcombank.com/thong-tin/blog/sao-ke-tai-khoan-doanh-nghiep</v>
      </c>
      <c r="Q21" s="17" t="str">
        <f>IFERROR(__xludf.DUMMYFUNCTION("""COMPUTED_VALUE"""),"cách sao kê tài khoản ngân hàng")</f>
        <v>cách sao kê tài khoản ngân hàng</v>
      </c>
      <c r="R21" s="21" t="str">
        <f>IFERROR(__xludf.DUMMYFUNCTION("""COMPUTED_VALUE"""),"https://techcombank.com/thong-tin/blog/vay-the-chap-qua-luong")</f>
        <v>https://techcombank.com/thong-tin/blog/vay-the-chap-qua-luong</v>
      </c>
      <c r="S21" s="17" t="str">
        <f>IFERROR(__xludf.DUMMYFUNCTION("""COMPUTED_VALUE"""),"sao kê tài khoản ngân hàng")</f>
        <v>sao kê tài khoản ngân hàng</v>
      </c>
      <c r="T21" s="21" t="str">
        <f>IFERROR(__xludf.DUMMYFUNCTION("""COMPUTED_VALUE"""),"https://techcombank.com/thong-tin/blog/tien-chuyen-vao-tai-khoan-co-bi-tinh-thue-khong")</f>
        <v>https://techcombank.com/thong-tin/blog/tien-chuyen-vao-tai-khoan-co-bi-tinh-thue-khong</v>
      </c>
      <c r="U21" s="17" t="str">
        <f>IFERROR(__xludf.DUMMYFUNCTION("""COMPUTED_VALUE"""),"cách sao kê tài khoản ngân hàng")</f>
        <v>cách sao kê tài khoản ngân hàng</v>
      </c>
      <c r="V21" s="21" t="str">
        <f>IFERROR(__xludf.DUMMYFUNCTION("""COMPUTED_VALUE"""),"https://techcombank.com/thong-tin/blog/ghi-chep-chi-tieu")</f>
        <v>https://techcombank.com/thong-tin/blog/ghi-chep-chi-tieu</v>
      </c>
      <c r="W21" s="17" t="str">
        <f>IFERROR(__xludf.DUMMYFUNCTION("""COMPUTED_VALUE"""),"sao kê tài khoản ngân hàng")</f>
        <v>sao kê tài khoản ngân hàng</v>
      </c>
      <c r="X21" s="21" t="str">
        <f>IFERROR(__xludf.DUMMYFUNCTION("""COMPUTED_VALUE"""),"https://techcombank.com/thong-tin/blog/ma-mcc")</f>
        <v>https://techcombank.com/thong-tin/blog/ma-mcc</v>
      </c>
      <c r="Y21" s="17" t="str">
        <f>IFERROR(__xludf.DUMMYFUNCTION("""COMPUTED_VALUE"""),"cách sao kê tài khoản ngân hàng")</f>
        <v>cách sao kê tài khoản ngân hàng</v>
      </c>
      <c r="Z21" s="21" t="str">
        <f>IFERROR(__xludf.DUMMYFUNCTION("""COMPUTED_VALUE"""),"https://techcombank.com/thong-tin/blog/vi-tra-sau")</f>
        <v>https://techcombank.com/thong-tin/blog/vi-tra-sau</v>
      </c>
      <c r="AA21" s="17" t="str">
        <f>IFERROR(__xludf.DUMMYFUNCTION("""COMPUTED_VALUE"""),"sao kê tài khoản ngân hàng")</f>
        <v>sao kê tài khoản ngân hàng</v>
      </c>
      <c r="AB21" s="21" t="str">
        <f>IFERROR(__xludf.DUMMYFUNCTION("""COMPUTED_VALUE"""),"https://techcombank.com/thong-tin/blog/uu-dai-the-tin-dung-techcombank-signature")</f>
        <v>https://techcombank.com/thong-tin/blog/uu-dai-the-tin-dung-techcombank-signature</v>
      </c>
      <c r="AC21" s="17" t="str">
        <f>IFERROR(__xludf.DUMMYFUNCTION("""COMPUTED_VALUE"""),"cách sao kê tài khoản ngân hàng")</f>
        <v>cách sao kê tài khoản ngân hàng</v>
      </c>
      <c r="AD21" s="21" t="str">
        <f>IFERROR(__xludf.DUMMYFUNCTION("""COMPUTED_VALUE"""),"https://techcombank.com/thong-tin/blog/loi-ich-cua-viec-tiet-kiem-tien")</f>
        <v>https://techcombank.com/thong-tin/blog/loi-ich-cua-viec-tiet-kiem-tien</v>
      </c>
      <c r="AE21" s="17" t="str">
        <f>IFERROR(__xludf.DUMMYFUNCTION("""COMPUTED_VALUE"""),"sao kê tài khoản ngân hàng")</f>
        <v>sao kê tài khoản ngân hàng</v>
      </c>
      <c r="AF21" s="21" t="str">
        <f>IFERROR(__xludf.DUMMYFUNCTION("""COMPUTED_VALUE"""),"https://techcombank.com/thong-tin/blog/cach-tiet-kiem-tien-hieu-qua-cho-gia-dinh")</f>
        <v>https://techcombank.com/thong-tin/blog/cach-tiet-kiem-tien-hieu-qua-cho-gia-dinh</v>
      </c>
      <c r="AG21" s="17" t="str">
        <f>IFERROR(__xludf.DUMMYFUNCTION("""COMPUTED_VALUE"""),"cách sao kê tài khoản ngân hàng")</f>
        <v>cách sao kê tài khoản ngân hàng</v>
      </c>
      <c r="AH21" s="21" t="str">
        <f>IFERROR(__xludf.DUMMYFUNCTION("""COMPUTED_VALUE"""),"https://techcombank.com/thong-tin/blog/dau-chan-carbon")</f>
        <v>https://techcombank.com/thong-tin/blog/dau-chan-carbon</v>
      </c>
      <c r="AI21" s="17" t="str">
        <f>IFERROR(__xludf.DUMMYFUNCTION("""COMPUTED_VALUE"""),"sao kê tài khoản ngân hàng")</f>
        <v>sao kê tài khoản ngân hàng</v>
      </c>
      <c r="AJ21" s="21" t="str">
        <f>IFERROR(__xludf.DUMMYFUNCTION("""COMPUTED_VALUE"""),"https://techcombank.com/thong-tin/blog/app-mua-truoc-tra-sau")</f>
        <v>https://techcombank.com/thong-tin/blog/app-mua-truoc-tra-sau</v>
      </c>
      <c r="AK21" s="17" t="str">
        <f>IFERROR(__xludf.DUMMYFUNCTION("""COMPUTED_VALUE"""),"cách sao kê tài khoản ngân hàng")</f>
        <v>cách sao kê tài khoản ngân hàng</v>
      </c>
      <c r="AL21" s="21" t="str">
        <f>IFERROR(__xludf.DUMMYFUNCTION("""COMPUTED_VALUE"""),"https://techcombank.com/thong-tin/blog/tiet-kiem-khi-di-du-lich")</f>
        <v>https://techcombank.com/thong-tin/blog/tiet-kiem-khi-di-du-lich</v>
      </c>
      <c r="AM21" s="17" t="str">
        <f>IFERROR(__xludf.DUMMYFUNCTION("""COMPUTED_VALUE"""),"sao kê tài khoản ngân hàng")</f>
        <v>sao kê tài khoản ngân hàng</v>
      </c>
      <c r="AN21" s="21" t="str">
        <f>IFERROR(__xludf.DUMMYFUNCTION("""COMPUTED_VALUE"""),"https://techcombank.com/thong-tin/blog/cho-vay-tieu-dung-la-gi")</f>
        <v>https://techcombank.com/thong-tin/blog/cho-vay-tieu-dung-la-gi</v>
      </c>
      <c r="AO21" s="17" t="str">
        <f>IFERROR(__xludf.DUMMYFUNCTION("""COMPUTED_VALUE"""),"cách sao kê tài khoản ngân hàng")</f>
        <v>cách sao kê tài khoản ngân hàng</v>
      </c>
      <c r="AP21" s="21" t="str">
        <f>IFERROR(__xludf.DUMMYFUNCTION("""COMPUTED_VALUE"""),"https://techcombank.com/thong-tin/blog/phan-mem-lap-ke-hoach-tai-chinh-ca-nhan")</f>
        <v>https://techcombank.com/thong-tin/blog/phan-mem-lap-ke-hoach-tai-chinh-ca-nhan</v>
      </c>
      <c r="AQ21" s="17" t="str">
        <f>IFERROR(__xludf.DUMMYFUNCTION("""COMPUTED_VALUE"""),"sao kê tài khoản ngân hàng")</f>
        <v>sao kê tài khoản ngân hàng</v>
      </c>
      <c r="AR21" s="21" t="str">
        <f>IFERROR(__xludf.DUMMYFUNCTION("""COMPUTED_VALUE"""),"https://techcombank.com/thong-tin/blog/mo-the-tin-dung-han-muc-cao")</f>
        <v>https://techcombank.com/thong-tin/blog/mo-the-tin-dung-han-muc-cao</v>
      </c>
      <c r="AS21" s="17" t="str">
        <f>IFERROR(__xludf.DUMMYFUNCTION("""COMPUTED_VALUE"""),"cách sao kê tài khoản ngân hàng")</f>
        <v>cách sao kê tài khoản ngân hàng</v>
      </c>
      <c r="AT21" s="21" t="str">
        <f>IFERROR(__xludf.DUMMYFUNCTION("""COMPUTED_VALUE"""),"https://techcombank.com/thong-tin/blog/uu-dai-the-tin-dung")</f>
        <v>https://techcombank.com/thong-tin/blog/uu-dai-the-tin-dung</v>
      </c>
      <c r="AU21" s="17" t="str">
        <f>IFERROR(__xludf.DUMMYFUNCTION("""COMPUTED_VALUE"""),"sao kê tài khoản ngân hàng")</f>
        <v>sao kê tài khoản ngân hàng</v>
      </c>
      <c r="AV21" s="21" t="str">
        <f>IFERROR(__xludf.DUMMYFUNCTION("""COMPUTED_VALUE"""),"https://techcombank.com/thong-tin/blog/app-quan-ly-chi-tieu")</f>
        <v>https://techcombank.com/thong-tin/blog/app-quan-ly-chi-tieu</v>
      </c>
      <c r="AW21" s="17" t="str">
        <f>IFERROR(__xludf.DUMMYFUNCTION("""COMPUTED_VALUE"""),"cách sao kê tài khoản ngân hàng")</f>
        <v>cách sao kê tài khoản ngân hàng</v>
      </c>
      <c r="AX21" s="21" t="str">
        <f>IFERROR(__xludf.DUMMYFUNCTION("""COMPUTED_VALUE"""),"https://techcombank.com/thong-tin/blog/sao-ke-the-tin-dung-la-gi")</f>
        <v>https://techcombank.com/thong-tin/blog/sao-ke-the-tin-dung-la-gi</v>
      </c>
      <c r="AY21" s="17" t="str">
        <f>IFERROR(__xludf.DUMMYFUNCTION("""COMPUTED_VALUE"""),"sao kê tài khoản ngân hàng")</f>
        <v>sao kê tài khoản ngân hàng</v>
      </c>
      <c r="AZ21" s="21" t="str">
        <f>IFERROR(__xludf.DUMMYFUNCTION("""COMPUTED_VALUE"""),"https://techcombank.com/thong-tin/blog/cashback-the-thanh-toan")</f>
        <v>https://techcombank.com/thong-tin/blog/cashback-the-thanh-toan</v>
      </c>
      <c r="BA21" s="17" t="str">
        <f>IFERROR(__xludf.DUMMYFUNCTION("""COMPUTED_VALUE"""),"cách sao kê tài khoản ngân hàng")</f>
        <v>cách sao kê tài khoản ngân hàng</v>
      </c>
      <c r="BB21" s="21" t="str">
        <f>IFERROR(__xludf.DUMMYFUNCTION("""COMPUTED_VALUE"""),"https://techcombank.com/thong-tin/blog/nang-han-muc-tin-dung")</f>
        <v>https://techcombank.com/thong-tin/blog/nang-han-muc-tin-dung</v>
      </c>
      <c r="BC21" s="17" t="str">
        <f>IFERROR(__xludf.DUMMYFUNCTION("""COMPUTED_VALUE"""),"sao kê tài khoản ngân hàng")</f>
        <v>sao kê tài khoản ngân hàng</v>
      </c>
      <c r="BD21" s="21" t="str">
        <f>IFERROR(__xludf.DUMMYFUNCTION("""COMPUTED_VALUE"""),"https://techcombank.com/thong-tin/blog/cach-tiet-kiem-tien")</f>
        <v>https://techcombank.com/thong-tin/blog/cach-tiet-kiem-tien</v>
      </c>
      <c r="BE21" s="17" t="str">
        <f>IFERROR(__xludf.DUMMYFUNCTION("""COMPUTED_VALUE"""),"cách sao kê tài khoản ngân hàng")</f>
        <v>cách sao kê tài khoản ngân hàng</v>
      </c>
      <c r="BF21" s="21" t="str">
        <f>IFERROR(__xludf.DUMMYFUNCTION("""COMPUTED_VALUE"""),"https://techcombank.com/thong-tin/blog/mo-the-tin-dung-chi-can-cccd")</f>
        <v>https://techcombank.com/thong-tin/blog/mo-the-tin-dung-chi-can-cccd</v>
      </c>
      <c r="BG21" s="17" t="str">
        <f>IFERROR(__xludf.DUMMYFUNCTION("""COMPUTED_VALUE"""),"sao kê tài khoản ngân hàng")</f>
        <v>sao kê tài khoản ngân hàng</v>
      </c>
      <c r="BH21" s="21" t="str">
        <f>IFERROR(__xludf.DUMMYFUNCTION("""COMPUTED_VALUE"""),"https://techcombank.com/thong-tin/blog/the-debit-cho-con")</f>
        <v>https://techcombank.com/thong-tin/blog/the-debit-cho-con</v>
      </c>
      <c r="BI21" s="17" t="str">
        <f>IFERROR(__xludf.DUMMYFUNCTION("""COMPUTED_VALUE"""),"cách sao kê tài khoản ngân hàng")</f>
        <v>cách sao kê tài khoản ngân hàng</v>
      </c>
      <c r="BJ21" s="21" t="str">
        <f>IFERROR(__xludf.DUMMYFUNCTION("""COMPUTED_VALUE"""),"https://techcombank.com/thong-tin/blog/thoi-gian-hoan-tien-the-tin-dung")</f>
        <v>https://techcombank.com/thong-tin/blog/thoi-gian-hoan-tien-the-tin-dung</v>
      </c>
      <c r="BK21" s="17" t="str">
        <f>IFERROR(__xludf.DUMMYFUNCTION("""COMPUTED_VALUE"""),"sao kê tài khoản ngân hàng")</f>
        <v>sao kê tài khoản ngân hàng</v>
      </c>
      <c r="BL21" s="21" t="str">
        <f>IFERROR(__xludf.DUMMYFUNCTION("""COMPUTED_VALUE"""),"https://techcombank.com/thong-tin/blog/ung-dung-cong-nghe")</f>
        <v>https://techcombank.com/thong-tin/blog/ung-dung-cong-nghe</v>
      </c>
      <c r="BM21" s="17" t="str">
        <f>IFERROR(__xludf.DUMMYFUNCTION("""COMPUTED_VALUE"""),"cách sao kê tài khoản ngân hàng")</f>
        <v>cách sao kê tài khoản ngân hàng</v>
      </c>
      <c r="BN21" s="21" t="str">
        <f>IFERROR(__xludf.DUMMYFUNCTION("""COMPUTED_VALUE"""),"https://techcombank.com/thong-tin/blog/vay-tien-online")</f>
        <v>https://techcombank.com/thong-tin/blog/vay-tien-online</v>
      </c>
      <c r="BO21" s="17" t="str">
        <f>IFERROR(__xludf.DUMMYFUNCTION("""COMPUTED_VALUE"""),"sao kê tài khoản ngân hàng")</f>
        <v>sao kê tài khoản ngân hàng</v>
      </c>
      <c r="BP21" s="21" t="str">
        <f>IFERROR(__xludf.DUMMYFUNCTION("""COMPUTED_VALUE"""),"https://techcombank.com/thong-tin/blog/the-visa-co-may-loai")</f>
        <v>https://techcombank.com/thong-tin/blog/the-visa-co-may-loai</v>
      </c>
      <c r="BQ21" s="17" t="str">
        <f>IFERROR(__xludf.DUMMYFUNCTION("""COMPUTED_VALUE"""),"cách sao kê tài khoản ngân hàng")</f>
        <v>cách sao kê tài khoản ngân hàng</v>
      </c>
      <c r="BR21" s="21" t="str">
        <f>IFERROR(__xludf.DUMMYFUNCTION("""COMPUTED_VALUE"""),"https://techcombank.com/thong-tin/blog/mo-the-tin-dung-khong-can-chung-minh-thu-nhap")</f>
        <v>https://techcombank.com/thong-tin/blog/mo-the-tin-dung-khong-can-chung-minh-thu-nhap</v>
      </c>
      <c r="BS21" s="17" t="str">
        <f>IFERROR(__xludf.DUMMYFUNCTION("""COMPUTED_VALUE"""),"sao kê tài khoản ngân hàng")</f>
        <v>sao kê tài khoản ngân hàng</v>
      </c>
      <c r="BT21" s="21" t="str">
        <f>IFERROR(__xludf.DUMMYFUNCTION("""COMPUTED_VALUE"""),"https://techcombank.com/thong-tin/blog/6-chiec-lo-tai-chinh-ca-nhan")</f>
        <v>https://techcombank.com/thong-tin/blog/6-chiec-lo-tai-chinh-ca-nhan</v>
      </c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7"/>
      <c r="ME21" s="17"/>
      <c r="MF21" s="17"/>
      <c r="MG21" s="17"/>
      <c r="MH21" s="17"/>
      <c r="MI21" s="17"/>
      <c r="MJ21" s="17"/>
      <c r="MK21" s="17"/>
      <c r="ML21" s="17"/>
      <c r="MM21" s="17"/>
      <c r="MN21" s="17"/>
      <c r="MO21" s="17"/>
      <c r="MP21" s="17"/>
      <c r="MQ21" s="17"/>
      <c r="MR21" s="17"/>
      <c r="MS21" s="17"/>
      <c r="MT21" s="17"/>
      <c r="MU21" s="17"/>
      <c r="MV21" s="17"/>
      <c r="MW21" s="17"/>
      <c r="MX21" s="17"/>
      <c r="MY21" s="17"/>
      <c r="MZ21" s="17"/>
      <c r="NA21" s="17"/>
      <c r="NB21" s="17"/>
      <c r="NC21" s="17"/>
      <c r="ND21" s="17"/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  <c r="NX21" s="17"/>
      <c r="NY21" s="17"/>
      <c r="NZ21" s="17"/>
      <c r="OA21" s="17"/>
      <c r="OB21" s="17"/>
      <c r="OC21" s="17"/>
      <c r="OD21" s="17"/>
      <c r="OE21" s="17"/>
      <c r="OF21" s="17"/>
      <c r="OG21" s="17"/>
      <c r="OH21" s="17"/>
      <c r="OI21" s="17"/>
      <c r="OJ21" s="17"/>
      <c r="OK21" s="17"/>
      <c r="OL21" s="17"/>
      <c r="OM21" s="17"/>
      <c r="ON21" s="17"/>
      <c r="OO21" s="17"/>
      <c r="OP21" s="17"/>
      <c r="OQ21" s="17"/>
      <c r="OR21" s="17"/>
      <c r="OS21" s="17"/>
      <c r="OT21" s="17"/>
      <c r="OU21" s="17"/>
      <c r="OV21" s="17"/>
    </row>
    <row r="22" ht="18.0" customHeight="1">
      <c r="A22" s="16">
        <v>21.0</v>
      </c>
      <c r="B22" s="17" t="s">
        <v>920</v>
      </c>
      <c r="C22" s="18" t="s">
        <v>1181</v>
      </c>
      <c r="D22" s="17" t="s">
        <v>431</v>
      </c>
      <c r="E22" s="16">
        <v>30.0</v>
      </c>
      <c r="F22" s="16">
        <f>COUNTIF('Tổng hợp 75 trang đích'!$B$2:$B$3400,$D22)</f>
        <v>30</v>
      </c>
      <c r="G22" s="16">
        <f>COUNTIFS('Tổng hợp 75 trang đích'!$B$2:$B$3400,$D22,'Tổng hợp 75 trang đích'!$K$2:$K$3400,"PHÙ HỢP CAO")</f>
        <v>4</v>
      </c>
      <c r="H22" s="16">
        <f>COUNTIFS('Tổng hợp 75 trang đích'!$B$2:$B$3400,$D22,'Tổng hợp 75 trang đích'!$K$2:$K$3400,"CÓ THỂ ĐI")</f>
        <v>1</v>
      </c>
      <c r="I22" s="16">
        <f>COUNTIFS('Tổng hợp 75 trang đích'!$B$2:$B$3400,$D22,'Tổng hợp 75 trang đích'!$K$2:$K$3400,"CẦN SOÁT")</f>
        <v>25</v>
      </c>
      <c r="J22" s="19" t="s">
        <v>555</v>
      </c>
      <c r="K22" s="19" t="b">
        <v>0</v>
      </c>
      <c r="L22" s="20" t="s">
        <v>333</v>
      </c>
      <c r="M22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đích'!$B$2:$B$3400=$D22),3,TR"&amp;"UE),1,2)),"""")"),"dãy số phát tài phát lộc")</f>
        <v>dãy số phát tài phát lộc</v>
      </c>
      <c r="N22" s="21" t="str">
        <f>IFERROR(__xludf.DUMMYFUNCTION("""COMPUTED_VALUE"""),"https://techcombank.com/thong-tin/blog/88-la-gi")</f>
        <v>https://techcombank.com/thong-tin/blog/88-la-gi</v>
      </c>
      <c r="O22" s="17" t="str">
        <f>IFERROR(__xludf.DUMMYFUNCTION("""COMPUTED_VALUE"""),"số tài khoản phát tài phát lộc")</f>
        <v>số tài khoản phát tài phát lộc</v>
      </c>
      <c r="P22" s="21" t="str">
        <f>IFERROR(__xludf.DUMMYFUNCTION("""COMPUTED_VALUE"""),"https://techcombank.com/thong-tin/blog/so-6868")</f>
        <v>https://techcombank.com/thong-tin/blog/so-6868</v>
      </c>
      <c r="Q22" s="17" t="str">
        <f>IFERROR(__xludf.DUMMYFUNCTION("""COMPUTED_VALUE"""),"dãy số phát tài phát lộc")</f>
        <v>dãy số phát tài phát lộc</v>
      </c>
      <c r="R22" s="21" t="str">
        <f>IFERROR(__xludf.DUMMYFUNCTION("""COMPUTED_VALUE"""),"https://techcombank.com/thong-tin/blog/so-tai-khoan-dep")</f>
        <v>https://techcombank.com/thong-tin/blog/so-tai-khoan-dep</v>
      </c>
      <c r="S22" s="17" t="str">
        <f>IFERROR(__xludf.DUMMYFUNCTION("""COMPUTED_VALUE"""),"số tài khoản phát tài phát lộc")</f>
        <v>số tài khoản phát tài phát lộc</v>
      </c>
      <c r="T22" s="21" t="str">
        <f>IFERROR(__xludf.DUMMYFUNCTION("""COMPUTED_VALUE"""),"https://techcombank.com/thong-tin/blog/cach-chon-so-tai-khoan-dep")</f>
        <v>https://techcombank.com/thong-tin/blog/cach-chon-so-tai-khoan-dep</v>
      </c>
      <c r="U22" s="17" t="str">
        <f>IFERROR(__xludf.DUMMYFUNCTION("""COMPUTED_VALUE"""),"dãy số phát tài phát lộc")</f>
        <v>dãy số phát tài phát lộc</v>
      </c>
      <c r="V22" s="21" t="str">
        <f>IFERROR(__xludf.DUMMYFUNCTION("""COMPUTED_VALUE"""),"https://techcombank.com/thong-tin/blog/li-xi-so-dep")</f>
        <v>https://techcombank.com/thong-tin/blog/li-xi-so-dep</v>
      </c>
      <c r="W22" s="17" t="str">
        <f>IFERROR(__xludf.DUMMYFUNCTION("""COMPUTED_VALUE"""),"số tài khoản phát tài phát lộc")</f>
        <v>số tài khoản phát tài phát lộc</v>
      </c>
      <c r="X22" s="21" t="str">
        <f>IFERROR(__xludf.DUMMYFUNCTION("""COMPUTED_VALUE"""),"https://techcombank.com/thong-tin/blog/co-nen-mua-so-tai-khoan-ngan-hang-dep")</f>
        <v>https://techcombank.com/thong-tin/blog/co-nen-mua-so-tai-khoan-ngan-hang-dep</v>
      </c>
      <c r="Y22" s="17" t="str">
        <f>IFERROR(__xludf.DUMMYFUNCTION("""COMPUTED_VALUE"""),"dãy số phát tài phát lộc")</f>
        <v>dãy số phát tài phát lộc</v>
      </c>
      <c r="Z22" s="21" t="str">
        <f>IFERROR(__xludf.DUMMYFUNCTION("""COMPUTED_VALUE"""),"https://techcombank.com/thong-tin/blog/li-xi-tet")</f>
        <v>https://techcombank.com/thong-tin/blog/li-xi-tet</v>
      </c>
      <c r="AA22" s="17" t="str">
        <f>IFERROR(__xludf.DUMMYFUNCTION("""COMPUTED_VALUE"""),"số tài khoản phát tài phát lộc")</f>
        <v>số tài khoản phát tài phát lộc</v>
      </c>
      <c r="AB22" s="21" t="str">
        <f>IFERROR(__xludf.DUMMYFUNCTION("""COMPUTED_VALUE"""),"https://techcombank.com/thong-tin/blog/sinh-loi-rinh-loc")</f>
        <v>https://techcombank.com/thong-tin/blog/sinh-loi-rinh-loc</v>
      </c>
      <c r="AC22" s="17" t="str">
        <f>IFERROR(__xludf.DUMMYFUNCTION("""COMPUTED_VALUE"""),"dãy số phát tài phát lộc")</f>
        <v>dãy số phát tài phát lộc</v>
      </c>
      <c r="AD22" s="21" t="str">
        <f>IFERROR(__xludf.DUMMYFUNCTION("""COMPUTED_VALUE"""),"https://techcombank.com/thong-tin/blog/8868")</f>
        <v>https://techcombank.com/thong-tin/blog/8868</v>
      </c>
      <c r="AE22" s="17" t="str">
        <f>IFERROR(__xludf.DUMMYFUNCTION("""COMPUTED_VALUE"""),"số tài khoản phát tài phát lộc")</f>
        <v>số tài khoản phát tài phát lộc</v>
      </c>
      <c r="AF22" s="21" t="str">
        <f>IFERROR(__xludf.DUMMYFUNCTION("""COMPUTED_VALUE"""),"https://techcombank.com/thong-tin/blog/66666-co-y-nghia-gi")</f>
        <v>https://techcombank.com/thong-tin/blog/66666-co-y-nghia-gi</v>
      </c>
      <c r="AG22" s="17" t="str">
        <f>IFERROR(__xludf.DUMMYFUNCTION("""COMPUTED_VALUE"""),"dãy số phát tài phát lộc")</f>
        <v>dãy số phát tài phát lộc</v>
      </c>
      <c r="AH22" s="21" t="str">
        <f>IFERROR(__xludf.DUMMYFUNCTION("""COMPUTED_VALUE"""),"https://techcombank.com/thong-tin/blog/so-8386")</f>
        <v>https://techcombank.com/thong-tin/blog/so-8386</v>
      </c>
      <c r="AI22" s="17" t="str">
        <f>IFERROR(__xludf.DUMMYFUNCTION("""COMPUTED_VALUE"""),"số tài khoản phát tài phát lộc")</f>
        <v>số tài khoản phát tài phát lộc</v>
      </c>
      <c r="AJ22" s="21" t="str">
        <f>IFERROR(__xludf.DUMMYFUNCTION("""COMPUTED_VALUE"""),"https://techcombank.com/thong-tin/blog/y-nghia-so-68")</f>
        <v>https://techcombank.com/thong-tin/blog/y-nghia-so-68</v>
      </c>
      <c r="AK22" s="17" t="str">
        <f>IFERROR(__xludf.DUMMYFUNCTION("""COMPUTED_VALUE"""),"dãy số phát tài phát lộc")</f>
        <v>dãy số phát tài phát lộc</v>
      </c>
      <c r="AL22" s="21" t="str">
        <f>IFERROR(__xludf.DUMMYFUNCTION("""COMPUTED_VALUE"""),"https://techcombank.com/thong-tin/blog/cach-chuyen-tien")</f>
        <v>https://techcombank.com/thong-tin/blog/cach-chuyen-tien</v>
      </c>
      <c r="AM22" s="17" t="str">
        <f>IFERROR(__xludf.DUMMYFUNCTION("""COMPUTED_VALUE"""),"số tài khoản phát tài phát lộc")</f>
        <v>số tài khoản phát tài phát lộc</v>
      </c>
      <c r="AN22" s="21" t="str">
        <f>IFERROR(__xludf.DUMMYFUNCTION("""COMPUTED_VALUE"""),"https://techcombank.com/thong-tin/blog/the-ghi-no-co-chuyen-khoan-duoc-khong")</f>
        <v>https://techcombank.com/thong-tin/blog/the-ghi-no-co-chuyen-khoan-duoc-khong</v>
      </c>
      <c r="AO22" s="17" t="str">
        <f>IFERROR(__xludf.DUMMYFUNCTION("""COMPUTED_VALUE"""),"dãy số phát tài phát lộc")</f>
        <v>dãy số phát tài phát lộc</v>
      </c>
      <c r="AP22" s="21" t="str">
        <f>IFERROR(__xludf.DUMMYFUNCTION("""COMPUTED_VALUE"""),"https://techcombank.com/thong-tin/blog/cach-chuyen-khoan-bang-dien-thoai")</f>
        <v>https://techcombank.com/thong-tin/blog/cach-chuyen-khoan-bang-dien-thoai</v>
      </c>
      <c r="AQ22" s="17" t="str">
        <f>IFERROR(__xludf.DUMMYFUNCTION("""COMPUTED_VALUE"""),"số tài khoản phát tài phát lộc")</f>
        <v>số tài khoản phát tài phát lộc</v>
      </c>
      <c r="AR22" s="21" t="str">
        <f>IFERROR(__xludf.DUMMYFUNCTION("""COMPUTED_VALUE"""),"https://techcombank.com/thong-tin/blog/mobile-banking-la-gi")</f>
        <v>https://techcombank.com/thong-tin/blog/mobile-banking-la-gi</v>
      </c>
      <c r="AS22" s="17" t="str">
        <f>IFERROR(__xludf.DUMMYFUNCTION("""COMPUTED_VALUE"""),"dãy số phát tài phát lộc")</f>
        <v>dãy số phát tài phát lộc</v>
      </c>
      <c r="AT22" s="21" t="str">
        <f>IFERROR(__xludf.DUMMYFUNCTION("""COMPUTED_VALUE"""),"https://techcombank.com/thong-tin/blog/ngan-hang-thu-huong-la-gi")</f>
        <v>https://techcombank.com/thong-tin/blog/ngan-hang-thu-huong-la-gi</v>
      </c>
      <c r="AU22" s="17" t="str">
        <f>IFERROR(__xludf.DUMMYFUNCTION("""COMPUTED_VALUE"""),"số tài khoản phát tài phát lộc")</f>
        <v>số tài khoản phát tài phát lộc</v>
      </c>
      <c r="AV22" s="21" t="str">
        <f>IFERROR(__xludf.DUMMYFUNCTION("""COMPUTED_VALUE"""),"https://techcombank.com/thong-tin/blog/cach-chuyen-tien-qua-ma-qr-techcombank")</f>
        <v>https://techcombank.com/thong-tin/blog/cach-chuyen-tien-qua-ma-qr-techcombank</v>
      </c>
      <c r="AW22" s="17" t="str">
        <f>IFERROR(__xludf.DUMMYFUNCTION("""COMPUTED_VALUE"""),"dãy số phát tài phát lộc")</f>
        <v>dãy số phát tài phát lộc</v>
      </c>
      <c r="AX22" s="21" t="str">
        <f>IFERROR(__xludf.DUMMYFUNCTION("""COMPUTED_VALUE"""),"https://techcombank.com/thong-tin/blog/nap-tien-vao-tai-khoan-ngan-hang")</f>
        <v>https://techcombank.com/thong-tin/blog/nap-tien-vao-tai-khoan-ngan-hang</v>
      </c>
      <c r="AY22" s="17" t="str">
        <f>IFERROR(__xludf.DUMMYFUNCTION("""COMPUTED_VALUE"""),"số tài khoản phát tài phát lộc")</f>
        <v>số tài khoản phát tài phát lộc</v>
      </c>
      <c r="AZ22" s="21" t="str">
        <f>IFERROR(__xludf.DUMMYFUNCTION("""COMPUTED_VALUE"""),"https://techcombank.com/thong-tin/blog/1-cmnd-dang-ky-duoc-may-tai-khoan-ngan-hang")</f>
        <v>https://techcombank.com/thong-tin/blog/1-cmnd-dang-ky-duoc-may-tai-khoan-ngan-hang</v>
      </c>
      <c r="BA22" s="17" t="str">
        <f>IFERROR(__xludf.DUMMYFUNCTION("""COMPUTED_VALUE"""),"dãy số phát tài phát lộc")</f>
        <v>dãy số phát tài phát lộc</v>
      </c>
      <c r="BB22" s="21" t="str">
        <f>IFERROR(__xludf.DUMMYFUNCTION("""COMPUTED_VALUE"""),"https://techcombank.com/thong-tin/blog/99999-co-y-nghia-gi")</f>
        <v>https://techcombank.com/thong-tin/blog/99999-co-y-nghia-gi</v>
      </c>
      <c r="BC22" s="17" t="str">
        <f>IFERROR(__xludf.DUMMYFUNCTION("""COMPUTED_VALUE"""),"số tài khoản phát tài phát lộc")</f>
        <v>số tài khoản phát tài phát lộc</v>
      </c>
      <c r="BD22" s="21" t="str">
        <f>IFERROR(__xludf.DUMMYFUNCTION("""COMPUTED_VALUE"""),"https://techcombank.com/thong-tin/blog/chuyen-khoan-lien-ngan-hang")</f>
        <v>https://techcombank.com/thong-tin/blog/chuyen-khoan-lien-ngan-hang</v>
      </c>
      <c r="BE22" s="17" t="str">
        <f>IFERROR(__xludf.DUMMYFUNCTION("""COMPUTED_VALUE"""),"dãy số phát tài phát lộc")</f>
        <v>dãy số phát tài phát lộc</v>
      </c>
      <c r="BF22" s="21" t="str">
        <f>IFERROR(__xludf.DUMMYFUNCTION("""COMPUTED_VALUE"""),"https://techcombank.com/thong-tin/blog/cach-kiem-tra-tai-khoan-ngan-hang")</f>
        <v>https://techcombank.com/thong-tin/blog/cach-kiem-tra-tai-khoan-ngan-hang</v>
      </c>
      <c r="BG22" s="17" t="str">
        <f>IFERROR(__xludf.DUMMYFUNCTION("""COMPUTED_VALUE"""),"số tài khoản phát tài phát lộc")</f>
        <v>số tài khoản phát tài phát lộc</v>
      </c>
      <c r="BH22" s="21" t="str">
        <f>IFERROR(__xludf.DUMMYFUNCTION("""COMPUTED_VALUE"""),"https://techcombank.com/thong-tin/blog/so-tai-khoan-ngan-hang")</f>
        <v>https://techcombank.com/thong-tin/blog/so-tai-khoan-ngan-hang</v>
      </c>
      <c r="BI22" s="17" t="str">
        <f>IFERROR(__xludf.DUMMYFUNCTION("""COMPUTED_VALUE"""),"dãy số phát tài phát lộc")</f>
        <v>dãy số phát tài phát lộc</v>
      </c>
      <c r="BJ22" s="21" t="str">
        <f>IFERROR(__xludf.DUMMYFUNCTION("""COMPUTED_VALUE"""),"https://techcombank.com/thong-tin/blog/gui-ma-qr-ngan-hang")</f>
        <v>https://techcombank.com/thong-tin/blog/gui-ma-qr-ngan-hang</v>
      </c>
      <c r="BK22" s="17" t="str">
        <f>IFERROR(__xludf.DUMMYFUNCTION("""COMPUTED_VALUE"""),"số tài khoản phát tài phát lộc")</f>
        <v>số tài khoản phát tài phát lộc</v>
      </c>
      <c r="BL22" s="21" t="str">
        <f>IFERROR(__xludf.DUMMYFUNCTION("""COMPUTED_VALUE"""),"https://techcombank.com/thong-tin/blog/tao-ma-qr-thanh-toan-cho-cua-hang")</f>
        <v>https://techcombank.com/thong-tin/blog/tao-ma-qr-thanh-toan-cho-cua-hang</v>
      </c>
      <c r="BM22" s="17" t="str">
        <f>IFERROR(__xludf.DUMMYFUNCTION("""COMPUTED_VALUE"""),"dãy số phát tài phát lộc")</f>
        <v>dãy số phát tài phát lộc</v>
      </c>
      <c r="BN22" s="21" t="str">
        <f>IFERROR(__xludf.DUMMYFUNCTION("""COMPUTED_VALUE"""),"https://techcombank.com/thong-tin/blog/app-ngan-hang-uy-tin")</f>
        <v>https://techcombank.com/thong-tin/blog/app-ngan-hang-uy-tin</v>
      </c>
      <c r="BO22" s="17" t="str">
        <f>IFERROR(__xludf.DUMMYFUNCTION("""COMPUTED_VALUE"""),"số tài khoản phát tài phát lộc")</f>
        <v>số tài khoản phát tài phát lộc</v>
      </c>
      <c r="BP22" s="21" t="str">
        <f>IFERROR(__xludf.DUMMYFUNCTION("""COMPUTED_VALUE"""),"https://techcombank.com/thong-tin/blog/nap-tien-dien-thoai-online")</f>
        <v>https://techcombank.com/thong-tin/blog/nap-tien-dien-thoai-online</v>
      </c>
      <c r="BQ22" s="17" t="str">
        <f>IFERROR(__xludf.DUMMYFUNCTION("""COMPUTED_VALUE"""),"dãy số phát tài phát lộc")</f>
        <v>dãy số phát tài phát lộc</v>
      </c>
      <c r="BR22" s="21" t="str">
        <f>IFERROR(__xludf.DUMMYFUNCTION("""COMPUTED_VALUE"""),"https://techcombank.com/thong-tin/blog/app-ngan-hang")</f>
        <v>https://techcombank.com/thong-tin/blog/app-ngan-hang</v>
      </c>
      <c r="BS22" s="17" t="str">
        <f>IFERROR(__xludf.DUMMYFUNCTION("""COMPUTED_VALUE"""),"số tài khoản phát tài phát lộc")</f>
        <v>số tài khoản phát tài phát lộc</v>
      </c>
      <c r="BT22" s="21" t="str">
        <f>IFERROR(__xludf.DUMMYFUNCTION("""COMPUTED_VALUE"""),"https://techcombank.com/thong-tin/blog/so-the-ngan-hang")</f>
        <v>https://techcombank.com/thong-tin/blog/so-the-ngan-hang</v>
      </c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17"/>
      <c r="JQ22" s="17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17"/>
      <c r="KR22" s="17"/>
      <c r="KS22" s="17"/>
      <c r="KT22" s="17"/>
      <c r="KU22" s="17"/>
      <c r="KV22" s="17"/>
      <c r="KW22" s="17"/>
      <c r="KX22" s="17"/>
      <c r="KY22" s="17"/>
      <c r="KZ22" s="17"/>
      <c r="LA22" s="17"/>
      <c r="LB22" s="17"/>
      <c r="LC22" s="17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7"/>
      <c r="ME22" s="17"/>
      <c r="MF22" s="17"/>
      <c r="MG22" s="17"/>
      <c r="MH22" s="17"/>
      <c r="MI22" s="17"/>
      <c r="MJ22" s="17"/>
      <c r="MK22" s="17"/>
      <c r="ML22" s="17"/>
      <c r="MM22" s="17"/>
      <c r="MN22" s="17"/>
      <c r="MO22" s="17"/>
      <c r="MP22" s="17"/>
      <c r="MQ22" s="17"/>
      <c r="MR22" s="17"/>
      <c r="MS22" s="17"/>
      <c r="MT22" s="17"/>
      <c r="MU22" s="17"/>
      <c r="MV22" s="17"/>
      <c r="MW22" s="17"/>
      <c r="MX22" s="17"/>
      <c r="MY22" s="17"/>
      <c r="MZ22" s="17"/>
      <c r="NA22" s="17"/>
      <c r="NB22" s="17"/>
      <c r="NC22" s="17"/>
      <c r="ND22" s="17"/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  <c r="NX22" s="17"/>
      <c r="NY22" s="17"/>
      <c r="NZ22" s="17"/>
      <c r="OA22" s="17"/>
      <c r="OB22" s="17"/>
      <c r="OC22" s="17"/>
      <c r="OD22" s="17"/>
      <c r="OE22" s="17"/>
      <c r="OF22" s="17"/>
      <c r="OG22" s="17"/>
      <c r="OH22" s="17"/>
      <c r="OI22" s="17"/>
      <c r="OJ22" s="17"/>
      <c r="OK22" s="17"/>
      <c r="OL22" s="17"/>
      <c r="OM22" s="17"/>
      <c r="ON22" s="17"/>
      <c r="OO22" s="17"/>
      <c r="OP22" s="17"/>
      <c r="OQ22" s="17"/>
      <c r="OR22" s="17"/>
      <c r="OS22" s="17"/>
      <c r="OT22" s="17"/>
      <c r="OU22" s="17"/>
      <c r="OV22" s="17"/>
    </row>
    <row r="23" ht="18.0" customHeight="1">
      <c r="A23" s="16">
        <v>22.0</v>
      </c>
      <c r="B23" s="17" t="s">
        <v>920</v>
      </c>
      <c r="C23" s="18" t="s">
        <v>1197</v>
      </c>
      <c r="D23" s="17" t="s">
        <v>443</v>
      </c>
      <c r="E23" s="16">
        <v>30.0</v>
      </c>
      <c r="F23" s="16">
        <f>COUNTIF('Tổng hợp 75 trang đích'!$B$2:$B$3400,$D23)</f>
        <v>30</v>
      </c>
      <c r="G23" s="16">
        <f>COUNTIFS('Tổng hợp 75 trang đích'!$B$2:$B$3400,$D23,'Tổng hợp 75 trang đích'!$K$2:$K$3400,"PHÙ HỢP CAO")</f>
        <v>2</v>
      </c>
      <c r="H23" s="16">
        <f>COUNTIFS('Tổng hợp 75 trang đích'!$B$2:$B$3400,$D23,'Tổng hợp 75 trang đích'!$K$2:$K$3400,"CÓ THỂ ĐI")</f>
        <v>3</v>
      </c>
      <c r="I23" s="16">
        <f>COUNTIFS('Tổng hợp 75 trang đích'!$B$2:$B$3400,$D23,'Tổng hợp 75 trang đích'!$K$2:$K$3400,"CẦN SOÁT")</f>
        <v>25</v>
      </c>
      <c r="J23" s="19" t="s">
        <v>555</v>
      </c>
      <c r="K23" s="19" t="b">
        <v>0</v>
      </c>
      <c r="L23" s="20" t="s">
        <v>333</v>
      </c>
      <c r="M23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đích'!$B$2:$B$3400=$D23),3,TR"&amp;"UE),1,2)),"""")"),"kiểm tra thuế thu nhập cá nhân")</f>
        <v>kiểm tra thuế thu nhập cá nhân</v>
      </c>
      <c r="N23" s="21" t="str">
        <f>IFERROR(__xludf.DUMMYFUNCTION("""COMPUTED_VALUE"""),"https://techcombank.com/thong-tin/blog/tra-cuu-no-thue-ca-nhan")</f>
        <v>https://techcombank.com/thong-tin/blog/tra-cuu-no-thue-ca-nhan</v>
      </c>
      <c r="O23" s="17" t="str">
        <f>IFERROR(__xludf.DUMMYFUNCTION("""COMPUTED_VALUE"""),"kiểm tra thuế TNCN online")</f>
        <v>kiểm tra thuế TNCN online</v>
      </c>
      <c r="P23" s="21" t="str">
        <f>IFERROR(__xludf.DUMMYFUNCTION("""COMPUTED_VALUE"""),"https://techcombank.com/thong-tin/blog/dang-ky-ma-so-thue-ca-nhan")</f>
        <v>https://techcombank.com/thong-tin/blog/dang-ky-ma-so-thue-ca-nhan</v>
      </c>
      <c r="Q23" s="17" t="str">
        <f>IFERROR(__xludf.DUMMYFUNCTION("""COMPUTED_VALUE"""),"tra cứu thuế TNCN")</f>
        <v>tra cứu thuế TNCN</v>
      </c>
      <c r="R23" s="21" t="str">
        <f>IFERROR(__xludf.DUMMYFUNCTION("""COMPUTED_VALUE"""),"https://techcombank.com/thong-tin/blog/lien-ket-tai-khoan-ngan-hang-voi-etax-mobile")</f>
        <v>https://techcombank.com/thong-tin/blog/lien-ket-tai-khoan-ngan-hang-voi-etax-mobile</v>
      </c>
      <c r="S23" s="17" t="str">
        <f>IFERROR(__xludf.DUMMYFUNCTION("""COMPUTED_VALUE"""),"kiểm tra thuế thu nhập cá nhân")</f>
        <v>kiểm tra thuế thu nhập cá nhân</v>
      </c>
      <c r="T23" s="21" t="str">
        <f>IFERROR(__xludf.DUMMYFUNCTION("""COMPUTED_VALUE"""),"https://techcombank.com/thong-tin/blog/hoan-thue-thu-nhap-ca-nhan")</f>
        <v>https://techcombank.com/thong-tin/blog/hoan-thue-thu-nhap-ca-nhan</v>
      </c>
      <c r="U23" s="17" t="str">
        <f>IFERROR(__xludf.DUMMYFUNCTION("""COMPUTED_VALUE"""),"kiểm tra thuế TNCN online")</f>
        <v>kiểm tra thuế TNCN online</v>
      </c>
      <c r="V23" s="21" t="str">
        <f>IFERROR(__xludf.DUMMYFUNCTION("""COMPUTED_VALUE"""),"https://techcombank.com/thong-tin/blog/quyet-toan-thue-thu-nhap-ca-nhan")</f>
        <v>https://techcombank.com/thong-tin/blog/quyet-toan-thue-thu-nhap-ca-nhan</v>
      </c>
      <c r="W23" s="17" t="str">
        <f>IFERROR(__xludf.DUMMYFUNCTION("""COMPUTED_VALUE"""),"tra cứu thuế TNCN")</f>
        <v>tra cứu thuế TNCN</v>
      </c>
      <c r="X23" s="21" t="str">
        <f>IFERROR(__xludf.DUMMYFUNCTION("""COMPUTED_VALUE"""),"https://techcombank.com/thong-tin/blog/cach-tinh-thue-ho-kinh-doanh-nho-le")</f>
        <v>https://techcombank.com/thong-tin/blog/cach-tinh-thue-ho-kinh-doanh-nho-le</v>
      </c>
      <c r="Y23" s="17" t="str">
        <f>IFERROR(__xludf.DUMMYFUNCTION("""COMPUTED_VALUE"""),"kiểm tra thuế thu nhập cá nhân")</f>
        <v>kiểm tra thuế thu nhập cá nhân</v>
      </c>
      <c r="Z23" s="21" t="str">
        <f>IFERROR(__xludf.DUMMYFUNCTION("""COMPUTED_VALUE"""),"https://techcombank.com/thong-tin/blog/tra-cuu-no-thue-hai-quan")</f>
        <v>https://techcombank.com/thong-tin/blog/tra-cuu-no-thue-hai-quan</v>
      </c>
      <c r="AA23" s="17" t="str">
        <f>IFERROR(__xludf.DUMMYFUNCTION("""COMPUTED_VALUE"""),"kiểm tra thuế TNCN online")</f>
        <v>kiểm tra thuế TNCN online</v>
      </c>
      <c r="AB23" s="21" t="str">
        <f>IFERROR(__xludf.DUMMYFUNCTION("""COMPUTED_VALUE"""),"https://techcombank.com/thong-tin/blog/tra-cuu-no-thue-ho-kinh-doanh")</f>
        <v>https://techcombank.com/thong-tin/blog/tra-cuu-no-thue-ho-kinh-doanh</v>
      </c>
      <c r="AC23" s="17" t="str">
        <f>IFERROR(__xludf.DUMMYFUNCTION("""COMPUTED_VALUE"""),"tra cứu thuế TNCN")</f>
        <v>tra cứu thuế TNCN</v>
      </c>
      <c r="AD23" s="21" t="str">
        <f>IFERROR(__xludf.DUMMYFUNCTION("""COMPUTED_VALUE"""),"https://techcombank.com/thong-tin/blog/kiem-tra-thue-ho-kinh-doanh")</f>
        <v>https://techcombank.com/thong-tin/blog/kiem-tra-thue-ho-kinh-doanh</v>
      </c>
      <c r="AE23" s="17" t="str">
        <f>IFERROR(__xludf.DUMMYFUNCTION("""COMPUTED_VALUE"""),"kiểm tra thuế thu nhập cá nhân")</f>
        <v>kiểm tra thuế thu nhập cá nhân</v>
      </c>
      <c r="AF23" s="21" t="str">
        <f>IFERROR(__xludf.DUMMYFUNCTION("""COMPUTED_VALUE"""),"https://techcombank.com/thong-tin/blog/nhung-ho-kinh-doanh-duoc-mien-thue")</f>
        <v>https://techcombank.com/thong-tin/blog/nhung-ho-kinh-doanh-duoc-mien-thue</v>
      </c>
      <c r="AG23" s="17" t="str">
        <f>IFERROR(__xludf.DUMMYFUNCTION("""COMPUTED_VALUE"""),"kiểm tra thuế TNCN online")</f>
        <v>kiểm tra thuế TNCN online</v>
      </c>
      <c r="AH23" s="21" t="str">
        <f>IFERROR(__xludf.DUMMYFUNCTION("""COMPUTED_VALUE"""),"https://techcombank.com/thong-tin/blog/ke-khai-thue-ho-kinh-doanh-ca-the-online")</f>
        <v>https://techcombank.com/thong-tin/blog/ke-khai-thue-ho-kinh-doanh-ca-the-online</v>
      </c>
      <c r="AI23" s="17" t="str">
        <f>IFERROR(__xludf.DUMMYFUNCTION("""COMPUTED_VALUE"""),"tra cứu thuế TNCN")</f>
        <v>tra cứu thuế TNCN</v>
      </c>
      <c r="AJ23" s="21" t="str">
        <f>IFERROR(__xludf.DUMMYFUNCTION("""COMPUTED_VALUE"""),"https://techcombank.com/thong-tin/blog/ho-kinh-doanh-dong-thue-nhu-nao")</f>
        <v>https://techcombank.com/thong-tin/blog/ho-kinh-doanh-dong-thue-nhu-nao</v>
      </c>
      <c r="AK23" s="17" t="str">
        <f>IFERROR(__xludf.DUMMYFUNCTION("""COMPUTED_VALUE"""),"kiểm tra thuế thu nhập cá nhân")</f>
        <v>kiểm tra thuế thu nhập cá nhân</v>
      </c>
      <c r="AL23" s="21" t="str">
        <f>IFERROR(__xludf.DUMMYFUNCTION("""COMPUTED_VALUE"""),"https://techcombank.com/thong-tin/blog/tra-cuu-no-thue-doanh-nghiep")</f>
        <v>https://techcombank.com/thong-tin/blog/tra-cuu-no-thue-doanh-nghiep</v>
      </c>
      <c r="AM23" s="17" t="str">
        <f>IFERROR(__xludf.DUMMYFUNCTION("""COMPUTED_VALUE"""),"kiểm tra thuế TNCN online")</f>
        <v>kiểm tra thuế TNCN online</v>
      </c>
      <c r="AN23" s="21" t="str">
        <f>IFERROR(__xludf.DUMMYFUNCTION("""COMPUTED_VALUE"""),"https://techcombank.com/thong-tin/blog/tien-chuyen-vao-tai-khoan-co-bi-tinh-thue-khong")</f>
        <v>https://techcombank.com/thong-tin/blog/tien-chuyen-vao-tai-khoan-co-bi-tinh-thue-khong</v>
      </c>
      <c r="AO23" s="17" t="str">
        <f>IFERROR(__xludf.DUMMYFUNCTION("""COMPUTED_VALUE"""),"tra cứu thuế TNCN")</f>
        <v>tra cứu thuế TNCN</v>
      </c>
      <c r="AP23" s="21" t="str">
        <f>IFERROR(__xludf.DUMMYFUNCTION("""COMPUTED_VALUE"""),"https://techcombank.com/thong-tin/blog/cach-tinh-thue-thu-nhap-ca-nhan-2025")</f>
        <v>https://techcombank.com/thong-tin/blog/cach-tinh-thue-thu-nhap-ca-nhan-2025</v>
      </c>
      <c r="AQ23" s="17" t="str">
        <f>IFERROR(__xludf.DUMMYFUNCTION("""COMPUTED_VALUE"""),"kiểm tra thuế thu nhập cá nhân")</f>
        <v>kiểm tra thuế thu nhập cá nhân</v>
      </c>
      <c r="AR23" s="21" t="str">
        <f>IFERROR(__xludf.DUMMYFUNCTION("""COMPUTED_VALUE"""),"https://techcombank.com/thong-tin/blog/thue-thu-nhap-ca-nhan")</f>
        <v>https://techcombank.com/thong-tin/blog/thue-thu-nhap-ca-nhan</v>
      </c>
      <c r="AS23" s="17" t="str">
        <f>IFERROR(__xludf.DUMMYFUNCTION("""COMPUTED_VALUE"""),"kiểm tra thuế TNCN online")</f>
        <v>kiểm tra thuế TNCN online</v>
      </c>
      <c r="AT23" s="21" t="str">
        <f>IFERROR(__xludf.DUMMYFUNCTION("""COMPUTED_VALUE"""),"https://techcombank.com/thong-tin/blog/nop-thue-dat-qua-ngan-hang")</f>
        <v>https://techcombank.com/thong-tin/blog/nop-thue-dat-qua-ngan-hang</v>
      </c>
      <c r="AU23" s="17" t="str">
        <f>IFERROR(__xludf.DUMMYFUNCTION("""COMPUTED_VALUE"""),"tra cứu thuế TNCN")</f>
        <v>tra cứu thuế TNCN</v>
      </c>
      <c r="AV23" s="21" t="str">
        <f>IFERROR(__xludf.DUMMYFUNCTION("""COMPUTED_VALUE"""),"https://techcombank.com/thong-tin/blog/cach-nop-thue-dien-tu")</f>
        <v>https://techcombank.com/thong-tin/blog/cach-nop-thue-dien-tu</v>
      </c>
      <c r="AW23" s="17" t="str">
        <f>IFERROR(__xludf.DUMMYFUNCTION("""COMPUTED_VALUE"""),"kiểm tra thuế thu nhập cá nhân")</f>
        <v>kiểm tra thuế thu nhập cá nhân</v>
      </c>
      <c r="AX23" s="21" t="str">
        <f>IFERROR(__xludf.DUMMYFUNCTION("""COMPUTED_VALUE"""),"https://techcombank.com/thong-tin/blog/thue-thu-nhap-doanh-nghiep")</f>
        <v>https://techcombank.com/thong-tin/blog/thue-thu-nhap-doanh-nghiep</v>
      </c>
      <c r="AY23" s="17" t="str">
        <f>IFERROR(__xludf.DUMMYFUNCTION("""COMPUTED_VALUE"""),"kiểm tra thuế TNCN online")</f>
        <v>kiểm tra thuế TNCN online</v>
      </c>
      <c r="AZ23" s="21" t="str">
        <f>IFERROR(__xludf.DUMMYFUNCTION("""COMPUTED_VALUE"""),"https://techcombank.com/thong-tin/blog/cach-tinh-thue-thu-nhap-doanh-nghiep")</f>
        <v>https://techcombank.com/thong-tin/blog/cach-tinh-thue-thu-nhap-doanh-nghiep</v>
      </c>
      <c r="BA23" s="17" t="str">
        <f>IFERROR(__xludf.DUMMYFUNCTION("""COMPUTED_VALUE"""),"tra cứu thuế TNCN")</f>
        <v>tra cứu thuế TNCN</v>
      </c>
      <c r="BB23" s="21" t="str">
        <f>IFERROR(__xludf.DUMMYFUNCTION("""COMPUTED_VALUE"""),"https://techcombank.com/thong-tin/blog/ke-khai-thue-doanh-nghiep")</f>
        <v>https://techcombank.com/thong-tin/blog/ke-khai-thue-doanh-nghiep</v>
      </c>
      <c r="BC23" s="17" t="str">
        <f>IFERROR(__xludf.DUMMYFUNCTION("""COMPUTED_VALUE"""),"kiểm tra thuế thu nhập cá nhân")</f>
        <v>kiểm tra thuế thu nhập cá nhân</v>
      </c>
      <c r="BD23" s="21" t="str">
        <f>IFERROR(__xludf.DUMMYFUNCTION("""COMPUTED_VALUE"""),"https://techcombank.com/thong-tin/blog/tim-hieu-ve-chinh-sach-thue-moi")</f>
        <v>https://techcombank.com/thong-tin/blog/tim-hieu-ve-chinh-sach-thue-moi</v>
      </c>
      <c r="BE23" s="17" t="str">
        <f>IFERROR(__xludf.DUMMYFUNCTION("""COMPUTED_VALUE"""),"kiểm tra thuế TNCN online")</f>
        <v>kiểm tra thuế TNCN online</v>
      </c>
      <c r="BF23" s="21" t="str">
        <f>IFERROR(__xludf.DUMMYFUNCTION("""COMPUTED_VALUE"""),"https://techcombank.com/thong-tin/blog/app-tra-luong")</f>
        <v>https://techcombank.com/thong-tin/blog/app-tra-luong</v>
      </c>
      <c r="BG23" s="17" t="str">
        <f>IFERROR(__xludf.DUMMYFUNCTION("""COMPUTED_VALUE"""),"tra cứu thuế TNCN")</f>
        <v>tra cứu thuế TNCN</v>
      </c>
      <c r="BH23" s="21" t="str">
        <f>IFERROR(__xludf.DUMMYFUNCTION("""COMPUTED_VALUE"""),"https://techcombank.com/thong-tin/blog/tra-luong-tien-mat")</f>
        <v>https://techcombank.com/thong-tin/blog/tra-luong-tien-mat</v>
      </c>
      <c r="BI23" s="17" t="str">
        <f>IFERROR(__xludf.DUMMYFUNCTION("""COMPUTED_VALUE"""),"kiểm tra thuế thu nhập cá nhân")</f>
        <v>kiểm tra thuế thu nhập cá nhân</v>
      </c>
      <c r="BJ23" s="21" t="str">
        <f>IFERROR(__xludf.DUMMYFUNCTION("""COMPUTED_VALUE"""),"https://techcombank.com/thong-tin/blog/thue-thuong-mai-dien-tu")</f>
        <v>https://techcombank.com/thong-tin/blog/thue-thuong-mai-dien-tu</v>
      </c>
      <c r="BK23" s="17" t="str">
        <f>IFERROR(__xludf.DUMMYFUNCTION("""COMPUTED_VALUE"""),"kiểm tra thuế TNCN online")</f>
        <v>kiểm tra thuế TNCN online</v>
      </c>
      <c r="BL23" s="21" t="str">
        <f>IFERROR(__xludf.DUMMYFUNCTION("""COMPUTED_VALUE"""),"https://techcombank.com/thong-tin/blog/giai-dap-ve-thue-doanh-nghiep")</f>
        <v>https://techcombank.com/thong-tin/blog/giai-dap-ve-thue-doanh-nghiep</v>
      </c>
      <c r="BM23" s="17" t="str">
        <f>IFERROR(__xludf.DUMMYFUNCTION("""COMPUTED_VALUE"""),"tra cứu thuế TNCN")</f>
        <v>tra cứu thuế TNCN</v>
      </c>
      <c r="BN23" s="21" t="str">
        <f>IFERROR(__xludf.DUMMYFUNCTION("""COMPUTED_VALUE"""),"https://techcombank.com/thong-tin/blog/chuyen-doi-ho-kinh-doanh-len-doanh-nghiep")</f>
        <v>https://techcombank.com/thong-tin/blog/chuyen-doi-ho-kinh-doanh-len-doanh-nghiep</v>
      </c>
      <c r="BO23" s="17" t="str">
        <f>IFERROR(__xludf.DUMMYFUNCTION("""COMPUTED_VALUE"""),"kiểm tra thuế thu nhập cá nhân")</f>
        <v>kiểm tra thuế thu nhập cá nhân</v>
      </c>
      <c r="BP23" s="21" t="str">
        <f>IFERROR(__xludf.DUMMYFUNCTION("""COMPUTED_VALUE"""),"https://techcombank.com/thong-tin/blog/nen-thanh-lap-ho-kinh-doanh-ke-khai-hay-doanh-nghiep")</f>
        <v>https://techcombank.com/thong-tin/blog/nen-thanh-lap-ho-kinh-doanh-ke-khai-hay-doanh-nghiep</v>
      </c>
      <c r="BQ23" s="17" t="str">
        <f>IFERROR(__xludf.DUMMYFUNCTION("""COMPUTED_VALUE"""),"kiểm tra thuế TNCN online")</f>
        <v>kiểm tra thuế TNCN online</v>
      </c>
      <c r="BR23" s="21" t="str">
        <f>IFERROR(__xludf.DUMMYFUNCTION("""COMPUTED_VALUE"""),"https://techcombank.com/thong-tin/blog/bi-quyet-tiet-kiem-tien-mua-nha")</f>
        <v>https://techcombank.com/thong-tin/blog/bi-quyet-tiet-kiem-tien-mua-nha</v>
      </c>
      <c r="BS23" s="17" t="str">
        <f>IFERROR(__xludf.DUMMYFUNCTION("""COMPUTED_VALUE"""),"tra cứu thuế TNCN")</f>
        <v>tra cứu thuế TNCN</v>
      </c>
      <c r="BT23" s="21" t="str">
        <f>IFERROR(__xludf.DUMMYFUNCTION("""COMPUTED_VALUE"""),"https://techcombank.com/thong-tin/blog/bao-hiem-nhan-tho-bao-nhieu-tien")</f>
        <v>https://techcombank.com/thong-tin/blog/bao-hiem-nhan-tho-bao-nhieu-tien</v>
      </c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17"/>
      <c r="MY23" s="17"/>
      <c r="MZ23" s="17"/>
      <c r="NA23" s="17"/>
      <c r="NB23" s="17"/>
      <c r="NC23" s="17"/>
      <c r="ND23" s="17"/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</row>
    <row r="24" ht="18.0" customHeight="1">
      <c r="A24" s="16">
        <v>23.0</v>
      </c>
      <c r="B24" s="17" t="s">
        <v>920</v>
      </c>
      <c r="C24" s="18" t="s">
        <v>1206</v>
      </c>
      <c r="D24" s="17" t="s">
        <v>457</v>
      </c>
      <c r="E24" s="16">
        <v>30.0</v>
      </c>
      <c r="F24" s="16">
        <f>COUNTIF('Tổng hợp 75 trang đích'!$B$2:$B$3400,$D24)</f>
        <v>30</v>
      </c>
      <c r="G24" s="16">
        <f>COUNTIFS('Tổng hợp 75 trang đích'!$B$2:$B$3400,$D24,'Tổng hợp 75 trang đích'!$K$2:$K$3400,"PHÙ HỢP CAO")</f>
        <v>3</v>
      </c>
      <c r="H24" s="16">
        <f>COUNTIFS('Tổng hợp 75 trang đích'!$B$2:$B$3400,$D24,'Tổng hợp 75 trang đích'!$K$2:$K$3400,"CÓ THỂ ĐI")</f>
        <v>2</v>
      </c>
      <c r="I24" s="16">
        <f>COUNTIFS('Tổng hợp 75 trang đích'!$B$2:$B$3400,$D24,'Tổng hợp 75 trang đích'!$K$2:$K$3400,"CẦN SOÁT")</f>
        <v>25</v>
      </c>
      <c r="J24" s="19" t="s">
        <v>555</v>
      </c>
      <c r="K24" s="19" t="b">
        <v>0</v>
      </c>
      <c r="L24" s="20" t="s">
        <v>333</v>
      </c>
      <c r="M24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đích'!$B$2:$B$3400=$D24),3,TR"&amp;"UE),1,2)),"""")"),"tên đăng nhập tài khoản ngân hàng")</f>
        <v>tên đăng nhập tài khoản ngân hàng</v>
      </c>
      <c r="N24" s="21" t="str">
        <f>IFERROR(__xludf.DUMMYFUNCTION("""COMPUTED_VALUE"""),"https://techcombank.com/thong-tin/blog/cach-doi-mat-khau-tai-khoan-ngan-hang")</f>
        <v>https://techcombank.com/thong-tin/blog/cach-doi-mat-khau-tai-khoan-ngan-hang</v>
      </c>
      <c r="O24" s="17" t="str">
        <f>IFERROR(__xludf.DUMMYFUNCTION("""COMPUTED_VALUE"""),"tên đăng nhập")</f>
        <v>tên đăng nhập</v>
      </c>
      <c r="P24" s="21" t="str">
        <f>IFERROR(__xludf.DUMMYFUNCTION("""COMPUTED_VALUE"""),"https://techcombank.com/thong-tin/blog/internet-banking")</f>
        <v>https://techcombank.com/thong-tin/blog/internet-banking</v>
      </c>
      <c r="Q24" s="17" t="str">
        <f>IFERROR(__xludf.DUMMYFUNCTION("""COMPUTED_VALUE"""),"tên đăng nhập tài khoản ngân hàng")</f>
        <v>tên đăng nhập tài khoản ngân hàng</v>
      </c>
      <c r="R24" s="21" t="str">
        <f>IFERROR(__xludf.DUMMYFUNCTION("""COMPUTED_VALUE"""),"https://techcombank.com/thong-tin/blog/cach-bao-ve-tai-khoan")</f>
        <v>https://techcombank.com/thong-tin/blog/cach-bao-ve-tai-khoan</v>
      </c>
      <c r="S24" s="17" t="str">
        <f>IFERROR(__xludf.DUMMYFUNCTION("""COMPUTED_VALUE"""),"tên đăng nhập")</f>
        <v>tên đăng nhập</v>
      </c>
      <c r="T24" s="21" t="str">
        <f>IFERROR(__xludf.DUMMYFUNCTION("""COMPUTED_VALUE"""),"https://techcombank.com/thong-tin/blog/smart-otp-la-gi")</f>
        <v>https://techcombank.com/thong-tin/blog/smart-otp-la-gi</v>
      </c>
      <c r="U24" s="17" t="str">
        <f>IFERROR(__xludf.DUMMYFUNCTION("""COMPUTED_VALUE"""),"tên đăng nhập tài khoản ngân hàng")</f>
        <v>tên đăng nhập tài khoản ngân hàng</v>
      </c>
      <c r="V24" s="21" t="str">
        <f>IFERROR(__xludf.DUMMYFUNCTION("""COMPUTED_VALUE"""),"https://techcombank.com/thong-tin/blog/mat-so-dien-thoai-dang-ky-tai-khoan-ngan-hang")</f>
        <v>https://techcombank.com/thong-tin/blog/mat-so-dien-thoai-dang-ky-tai-khoan-ngan-hang</v>
      </c>
      <c r="W24" s="17" t="str">
        <f>IFERROR(__xludf.DUMMYFUNCTION("""COMPUTED_VALUE"""),"tên đăng nhập")</f>
        <v>tên đăng nhập</v>
      </c>
      <c r="X24" s="21" t="str">
        <f>IFERROR(__xludf.DUMMYFUNCTION("""COMPUTED_VALUE"""),"https://techcombank.com/thong-tin/blog/gui-ma-qr-ngan-hang")</f>
        <v>https://techcombank.com/thong-tin/blog/gui-ma-qr-ngan-hang</v>
      </c>
      <c r="Y24" s="17" t="str">
        <f>IFERROR(__xludf.DUMMYFUNCTION("""COMPUTED_VALUE"""),"tên đăng nhập tài khoản ngân hàng")</f>
        <v>tên đăng nhập tài khoản ngân hàng</v>
      </c>
      <c r="Z24" s="21" t="str">
        <f>IFERROR(__xludf.DUMMYFUNCTION("""COMPUTED_VALUE"""),"https://techcombank.com/thong-tin/blog/so-du-kha-dung")</f>
        <v>https://techcombank.com/thong-tin/blog/so-du-kha-dung</v>
      </c>
      <c r="AA24" s="17" t="str">
        <f>IFERROR(__xludf.DUMMYFUNCTION("""COMPUTED_VALUE"""),"tên đăng nhập")</f>
        <v>tên đăng nhập</v>
      </c>
      <c r="AB24" s="21" t="str">
        <f>IFERROR(__xludf.DUMMYFUNCTION("""COMPUTED_VALUE"""),"https://techcombank.com/thong-tin/blog/cach-kiem-tra-tai-khoan-ngan-hang-cua-cong-ty")</f>
        <v>https://techcombank.com/thong-tin/blog/cach-kiem-tra-tai-khoan-ngan-hang-cua-cong-ty</v>
      </c>
      <c r="AC24" s="17" t="str">
        <f>IFERROR(__xludf.DUMMYFUNCTION("""COMPUTED_VALUE"""),"tên đăng nhập tài khoản ngân hàng")</f>
        <v>tên đăng nhập tài khoản ngân hàng</v>
      </c>
      <c r="AD24" s="21" t="str">
        <f>IFERROR(__xludf.DUMMYFUNCTION("""COMPUTED_VALUE"""),"https://techcombank.com/thong-tin/blog/thanh-toan-ve-may-bay-online")</f>
        <v>https://techcombank.com/thong-tin/blog/thanh-toan-ve-may-bay-online</v>
      </c>
      <c r="AE24" s="17" t="str">
        <f>IFERROR(__xludf.DUMMYFUNCTION("""COMPUTED_VALUE"""),"tên đăng nhập")</f>
        <v>tên đăng nhập</v>
      </c>
      <c r="AF24" s="21" t="str">
        <f>IFERROR(__xludf.DUMMYFUNCTION("""COMPUTED_VALUE"""),"https://techcombank.com/thong-tin/blog/cach-lam-the-atm")</f>
        <v>https://techcombank.com/thong-tin/blog/cach-lam-the-atm</v>
      </c>
      <c r="AG24" s="17" t="str">
        <f>IFERROR(__xludf.DUMMYFUNCTION("""COMPUTED_VALUE"""),"tên đăng nhập tài khoản ngân hàng")</f>
        <v>tên đăng nhập tài khoản ngân hàng</v>
      </c>
      <c r="AH24" s="21" t="str">
        <f>IFERROR(__xludf.DUMMYFUNCTION("""COMPUTED_VALUE"""),"https://techcombank.com/thong-tin/blog/the-visa-co-can-mat-khau-khong")</f>
        <v>https://techcombank.com/thong-tin/blog/the-visa-co-can-mat-khau-khong</v>
      </c>
      <c r="AI24" s="17" t="str">
        <f>IFERROR(__xludf.DUMMYFUNCTION("""COMPUTED_VALUE"""),"tên đăng nhập")</f>
        <v>tên đăng nhập</v>
      </c>
      <c r="AJ24" s="21" t="str">
        <f>IFERROR(__xludf.DUMMYFUNCTION("""COMPUTED_VALUE"""),"https://techcombank.com/thong-tin/blog/lo-so-tai-khoan-ngan-hang-co-sao-khong")</f>
        <v>https://techcombank.com/thong-tin/blog/lo-so-tai-khoan-ngan-hang-co-sao-khong</v>
      </c>
      <c r="AK24" s="17" t="str">
        <f>IFERROR(__xludf.DUMMYFUNCTION("""COMPUTED_VALUE"""),"tên đăng nhập tài khoản ngân hàng")</f>
        <v>tên đăng nhập tài khoản ngân hàng</v>
      </c>
      <c r="AL24" s="21" t="str">
        <f>IFERROR(__xludf.DUMMYFUNCTION("""COMPUTED_VALUE"""),"https://techcombank.com/thong-tin/blog/lo-ma-qr-ngan-hang-co-sao-khong")</f>
        <v>https://techcombank.com/thong-tin/blog/lo-ma-qr-ngan-hang-co-sao-khong</v>
      </c>
      <c r="AM24" s="17" t="str">
        <f>IFERROR(__xludf.DUMMYFUNCTION("""COMPUTED_VALUE"""),"tên đăng nhập")</f>
        <v>tên đăng nhập</v>
      </c>
      <c r="AN24" s="21" t="str">
        <f>IFERROR(__xludf.DUMMYFUNCTION("""COMPUTED_VALUE"""),"https://techcombank.com/thong-tin/blog/ma-otp-la-gi")</f>
        <v>https://techcombank.com/thong-tin/blog/ma-otp-la-gi</v>
      </c>
      <c r="AO24" s="17" t="str">
        <f>IFERROR(__xludf.DUMMYFUNCTION("""COMPUTED_VALUE"""),"tên đăng nhập tài khoản ngân hàng")</f>
        <v>tên đăng nhập tài khoản ngân hàng</v>
      </c>
      <c r="AP24" s="21" t="str">
        <f>IFERROR(__xludf.DUMMYFUNCTION("""COMPUTED_VALUE"""),"https://techcombank.com/thong-tin/blog/ngan-hang-thu-huong-la-gi")</f>
        <v>https://techcombank.com/thong-tin/blog/ngan-hang-thu-huong-la-gi</v>
      </c>
      <c r="AQ24" s="17" t="str">
        <f>IFERROR(__xludf.DUMMYFUNCTION("""COMPUTED_VALUE"""),"tên đăng nhập")</f>
        <v>tên đăng nhập</v>
      </c>
      <c r="AR24" s="21" t="str">
        <f>IFERROR(__xludf.DUMMYFUNCTION("""COMPUTED_VALUE"""),"https://techcombank.com/thong-tin/blog/vay-ngan-hang-1-ty-moi-thang-tra-bao-nhieu")</f>
        <v>https://techcombank.com/thong-tin/blog/vay-ngan-hang-1-ty-moi-thang-tra-bao-nhieu</v>
      </c>
      <c r="AS24" s="17" t="str">
        <f>IFERROR(__xludf.DUMMYFUNCTION("""COMPUTED_VALUE"""),"tên đăng nhập tài khoản ngân hàng")</f>
        <v>tên đăng nhập tài khoản ngân hàng</v>
      </c>
      <c r="AT24" s="21" t="str">
        <f>IFERROR(__xludf.DUMMYFUNCTION("""COMPUTED_VALUE"""),"https://techcombank.com/thong-tin/blog/cach-thanh-toan-the-tin-dung")</f>
        <v>https://techcombank.com/thong-tin/blog/cach-thanh-toan-the-tin-dung</v>
      </c>
      <c r="AU24" s="17" t="str">
        <f>IFERROR(__xludf.DUMMYFUNCTION("""COMPUTED_VALUE"""),"tên đăng nhập")</f>
        <v>tên đăng nhập</v>
      </c>
      <c r="AV24" s="21" t="str">
        <f>IFERROR(__xludf.DUMMYFUNCTION("""COMPUTED_VALUE"""),"https://techcombank.com/thong-tin/blog/cach-gui-tiet-kiem-online")</f>
        <v>https://techcombank.com/thong-tin/blog/cach-gui-tiet-kiem-online</v>
      </c>
      <c r="AW24" s="17" t="str">
        <f>IFERROR(__xludf.DUMMYFUNCTION("""COMPUTED_VALUE"""),"tên đăng nhập tài khoản ngân hàng")</f>
        <v>tên đăng nhập tài khoản ngân hàng</v>
      </c>
      <c r="AX24" s="21" t="str">
        <f>IFERROR(__xludf.DUMMYFUNCTION("""COMPUTED_VALUE"""),"https://techcombank.com/thong-tin/blog/cach-nap-tien-vao-the-ghi-no")</f>
        <v>https://techcombank.com/thong-tin/blog/cach-nap-tien-vao-the-ghi-no</v>
      </c>
      <c r="AY24" s="17" t="str">
        <f>IFERROR(__xludf.DUMMYFUNCTION("""COMPUTED_VALUE"""),"tên đăng nhập")</f>
        <v>tên đăng nhập</v>
      </c>
      <c r="AZ24" s="21" t="str">
        <f>IFERROR(__xludf.DUMMYFUNCTION("""COMPUTED_VALUE"""),"https://techcombank.com/thong-tin/blog/cach-khoa-the-ngan-hang")</f>
        <v>https://techcombank.com/thong-tin/blog/cach-khoa-the-ngan-hang</v>
      </c>
      <c r="BA24" s="17" t="str">
        <f>IFERROR(__xludf.DUMMYFUNCTION("""COMPUTED_VALUE"""),"tên đăng nhập tài khoản ngân hàng")</f>
        <v>tên đăng nhập tài khoản ngân hàng</v>
      </c>
      <c r="BB24" s="21" t="str">
        <f>IFERROR(__xludf.DUMMYFUNCTION("""COMPUTED_VALUE"""),"https://techcombank.com/thong-tin/blog/thanh-toan-tien-dien-bang-the-tin-dung")</f>
        <v>https://techcombank.com/thong-tin/blog/thanh-toan-tien-dien-bang-the-tin-dung</v>
      </c>
      <c r="BC24" s="17" t="str">
        <f>IFERROR(__xludf.DUMMYFUNCTION("""COMPUTED_VALUE"""),"tên đăng nhập")</f>
        <v>tên đăng nhập</v>
      </c>
      <c r="BD24" s="21" t="str">
        <f>IFERROR(__xludf.DUMMYFUNCTION("""COMPUTED_VALUE"""),"https://techcombank.com/thong-tin/blog/thanh-toan-tra-gop-qua-the-tin-dung")</f>
        <v>https://techcombank.com/thong-tin/blog/thanh-toan-tra-gop-qua-the-tin-dung</v>
      </c>
      <c r="BE24" s="17" t="str">
        <f>IFERROR(__xludf.DUMMYFUNCTION("""COMPUTED_VALUE"""),"tên đăng nhập tài khoản ngân hàng")</f>
        <v>tên đăng nhập tài khoản ngân hàng</v>
      </c>
      <c r="BF24" s="21" t="str">
        <f>IFERROR(__xludf.DUMMYFUNCTION("""COMPUTED_VALUE"""),"https://techcombank.com/thong-tin/blog/tai-khoan-ngan-hang-bi-khoa")</f>
        <v>https://techcombank.com/thong-tin/blog/tai-khoan-ngan-hang-bi-khoa</v>
      </c>
      <c r="BG24" s="17" t="str">
        <f>IFERROR(__xludf.DUMMYFUNCTION("""COMPUTED_VALUE"""),"tên đăng nhập")</f>
        <v>tên đăng nhập</v>
      </c>
      <c r="BH24" s="21" t="str">
        <f>IFERROR(__xludf.DUMMYFUNCTION("""COMPUTED_VALUE"""),"https://techcombank.com/thong-tin/blog/cic-la-gi")</f>
        <v>https://techcombank.com/thong-tin/blog/cic-la-gi</v>
      </c>
      <c r="BI24" s="17" t="str">
        <f>IFERROR(__xludf.DUMMYFUNCTION("""COMPUTED_VALUE"""),"tên đăng nhập tài khoản ngân hàng")</f>
        <v>tên đăng nhập tài khoản ngân hàng</v>
      </c>
      <c r="BJ24" s="21" t="str">
        <f>IFERROR(__xludf.DUMMYFUNCTION("""COMPUTED_VALUE"""),"https://techcombank.com/thong-tin/blog/thanh-toan-tien-nuoc-online")</f>
        <v>https://techcombank.com/thong-tin/blog/thanh-toan-tien-nuoc-online</v>
      </c>
      <c r="BK24" s="17" t="str">
        <f>IFERROR(__xludf.DUMMYFUNCTION("""COMPUTED_VALUE"""),"tên đăng nhập")</f>
        <v>tên đăng nhập</v>
      </c>
      <c r="BL24" s="21" t="str">
        <f>IFERROR(__xludf.DUMMYFUNCTION("""COMPUTED_VALUE"""),"https://techcombank.com/thong-tin/blog/mobile-banking-la-gi")</f>
        <v>https://techcombank.com/thong-tin/blog/mobile-banking-la-gi</v>
      </c>
      <c r="BM24" s="17" t="str">
        <f>IFERROR(__xludf.DUMMYFUNCTION("""COMPUTED_VALUE"""),"tên đăng nhập tài khoản ngân hàng")</f>
        <v>tên đăng nhập tài khoản ngân hàng</v>
      </c>
      <c r="BN24" s="21" t="str">
        <f>IFERROR(__xludf.DUMMYFUNCTION("""COMPUTED_VALUE"""),"https://techcombank.com/thong-tin/blog/rui-ro-khi-gui-tiet-kiem-ngan-hang")</f>
        <v>https://techcombank.com/thong-tin/blog/rui-ro-khi-gui-tiet-kiem-ngan-hang</v>
      </c>
      <c r="BO24" s="17" t="str">
        <f>IFERROR(__xludf.DUMMYFUNCTION("""COMPUTED_VALUE"""),"tên đăng nhập")</f>
        <v>tên đăng nhập</v>
      </c>
      <c r="BP24" s="21" t="str">
        <f>IFERROR(__xludf.DUMMYFUNCTION("""COMPUTED_VALUE"""),"https://techcombank.com/thong-tin/blog/cach-kich-hoat-the-atm")</f>
        <v>https://techcombank.com/thong-tin/blog/cach-kich-hoat-the-atm</v>
      </c>
      <c r="BQ24" s="17" t="str">
        <f>IFERROR(__xludf.DUMMYFUNCTION("""COMPUTED_VALUE"""),"tên đăng nhập tài khoản ngân hàng")</f>
        <v>tên đăng nhập tài khoản ngân hàng</v>
      </c>
      <c r="BR24" s="21" t="str">
        <f>IFERROR(__xludf.DUMMYFUNCTION("""COMPUTED_VALUE"""),"https://techcombank.com/thong-tin/blog/thanh-toan-tra-sau-viettel-bang-tai-khoan-ngan-hang")</f>
        <v>https://techcombank.com/thong-tin/blog/thanh-toan-tra-sau-viettel-bang-tai-khoan-ngan-hang</v>
      </c>
      <c r="BS24" s="17" t="str">
        <f>IFERROR(__xludf.DUMMYFUNCTION("""COMPUTED_VALUE"""),"tên đăng nhập")</f>
        <v>tên đăng nhập</v>
      </c>
      <c r="BT24" s="21" t="str">
        <f>IFERROR(__xludf.DUMMYFUNCTION("""COMPUTED_VALUE"""),"https://techcombank.com/thong-tin/blog/thanh-toan-hoa-don-tieu-dung")</f>
        <v>https://techcombank.com/thong-tin/blog/thanh-toan-hoa-don-tieu-dung</v>
      </c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</row>
    <row r="25" ht="18.0" customHeight="1">
      <c r="A25" s="16">
        <v>24.0</v>
      </c>
      <c r="B25" s="17" t="s">
        <v>920</v>
      </c>
      <c r="C25" s="18" t="s">
        <v>851</v>
      </c>
      <c r="D25" s="17" t="s">
        <v>475</v>
      </c>
      <c r="E25" s="16">
        <v>30.0</v>
      </c>
      <c r="F25" s="16">
        <f>COUNTIF('Tổng hợp 75 trang đích'!$B$2:$B$3400,$D25)</f>
        <v>30</v>
      </c>
      <c r="G25" s="16">
        <f>COUNTIFS('Tổng hợp 75 trang đích'!$B$2:$B$3400,$D25,'Tổng hợp 75 trang đích'!$K$2:$K$3400,"PHÙ HỢP CAO")</f>
        <v>1</v>
      </c>
      <c r="H25" s="16">
        <f>COUNTIFS('Tổng hợp 75 trang đích'!$B$2:$B$3400,$D25,'Tổng hợp 75 trang đích'!$K$2:$K$3400,"CÓ THỂ ĐI")</f>
        <v>3</v>
      </c>
      <c r="I25" s="16">
        <f>COUNTIFS('Tổng hợp 75 trang đích'!$B$2:$B$3400,$D25,'Tổng hợp 75 trang đích'!$K$2:$K$3400,"CẦN SOÁT")</f>
        <v>26</v>
      </c>
      <c r="J25" s="19" t="s">
        <v>555</v>
      </c>
      <c r="K25" s="19" t="b">
        <v>0</v>
      </c>
      <c r="L25" s="20" t="s">
        <v>333</v>
      </c>
      <c r="M25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đích'!$B$2:$B$3400=$D25),3,TR"&amp;"UE),1,2)),"""")"),"thuế thu nhập cá nhân")</f>
        <v>thuế thu nhập cá nhân</v>
      </c>
      <c r="N25" s="21" t="str">
        <f>IFERROR(__xludf.DUMMYFUNCTION("""COMPUTED_VALUE"""),"https://techcombank.com/thong-tin/blog/tien-chuyen-vao-tai-khoan-co-bi-tinh-thue-khong")</f>
        <v>https://techcombank.com/thong-tin/blog/tien-chuyen-vao-tai-khoan-co-bi-tinh-thue-khong</v>
      </c>
      <c r="O25" s="17" t="str">
        <f>IFERROR(__xludf.DUMMYFUNCTION("""COMPUTED_VALUE"""),"thuế TNCN")</f>
        <v>thuế TNCN</v>
      </c>
      <c r="P25" s="21" t="str">
        <f>IFERROR(__xludf.DUMMYFUNCTION("""COMPUTED_VALUE"""),"https://techcombank.com/thong-tin/blog/tra-cuu-no-thue-ca-nhan")</f>
        <v>https://techcombank.com/thong-tin/blog/tra-cuu-no-thue-ca-nhan</v>
      </c>
      <c r="Q25" s="17" t="str">
        <f>IFERROR(__xludf.DUMMYFUNCTION("""COMPUTED_VALUE"""),"mức đóng thuế thu nhập cá nhân")</f>
        <v>mức đóng thuế thu nhập cá nhân</v>
      </c>
      <c r="R25" s="21" t="str">
        <f>IFERROR(__xludf.DUMMYFUNCTION("""COMPUTED_VALUE"""),"https://techcombank.com/thong-tin/blog/luong-huu")</f>
        <v>https://techcombank.com/thong-tin/blog/luong-huu</v>
      </c>
      <c r="S25" s="17" t="str">
        <f>IFERROR(__xludf.DUMMYFUNCTION("""COMPUTED_VALUE"""),"thuế thu nhập cá nhân")</f>
        <v>thuế thu nhập cá nhân</v>
      </c>
      <c r="T25" s="21" t="str">
        <f>IFERROR(__xludf.DUMMYFUNCTION("""COMPUTED_VALUE"""),"https://techcombank.com/thong-tin/blog/sao-ke-luong")</f>
        <v>https://techcombank.com/thong-tin/blog/sao-ke-luong</v>
      </c>
      <c r="U25" s="17" t="str">
        <f>IFERROR(__xludf.DUMMYFUNCTION("""COMPUTED_VALUE"""),"thuế TNCN")</f>
        <v>thuế TNCN</v>
      </c>
      <c r="V25" s="21" t="str">
        <f>IFERROR(__xludf.DUMMYFUNCTION("""COMPUTED_VALUE"""),"https://techcombank.com/thong-tin/blog/cach-tinh-thue-ho-kinh-doanh-nho-le")</f>
        <v>https://techcombank.com/thong-tin/blog/cach-tinh-thue-ho-kinh-doanh-nho-le</v>
      </c>
      <c r="W25" s="17" t="str">
        <f>IFERROR(__xludf.DUMMYFUNCTION("""COMPUTED_VALUE"""),"mức đóng thuế thu nhập cá nhân")</f>
        <v>mức đóng thuế thu nhập cá nhân</v>
      </c>
      <c r="X25" s="21" t="str">
        <f>IFERROR(__xludf.DUMMYFUNCTION("""COMPUTED_VALUE"""),"https://techcombank.com/thong-tin/blog/quyet-toan-thue-thu-nhap-ca-nhan")</f>
        <v>https://techcombank.com/thong-tin/blog/quyet-toan-thue-thu-nhap-ca-nhan</v>
      </c>
      <c r="Y25" s="17" t="str">
        <f>IFERROR(__xludf.DUMMYFUNCTION("""COMPUTED_VALUE"""),"thuế thu nhập cá nhân")</f>
        <v>thuế thu nhập cá nhân</v>
      </c>
      <c r="Z25" s="21" t="str">
        <f>IFERROR(__xludf.DUMMYFUNCTION("""COMPUTED_VALUE"""),"https://techcombank.com/thong-tin/blog/hoan-thue-thu-nhap-ca-nhan")</f>
        <v>https://techcombank.com/thong-tin/blog/hoan-thue-thu-nhap-ca-nhan</v>
      </c>
      <c r="AA25" s="17" t="str">
        <f>IFERROR(__xludf.DUMMYFUNCTION("""COMPUTED_VALUE"""),"thuế TNCN")</f>
        <v>thuế TNCN</v>
      </c>
      <c r="AB25" s="21" t="str">
        <f>IFERROR(__xludf.DUMMYFUNCTION("""COMPUTED_VALUE"""),"https://techcombank.com/thong-tin/blog/nhung-ho-kinh-doanh-duoc-mien-thue")</f>
        <v>https://techcombank.com/thong-tin/blog/nhung-ho-kinh-doanh-duoc-mien-thue</v>
      </c>
      <c r="AC25" s="17" t="str">
        <f>IFERROR(__xludf.DUMMYFUNCTION("""COMPUTED_VALUE"""),"mức đóng thuế thu nhập cá nhân")</f>
        <v>mức đóng thuế thu nhập cá nhân</v>
      </c>
      <c r="AD25" s="21" t="str">
        <f>IFERROR(__xludf.DUMMYFUNCTION("""COMPUTED_VALUE"""),"https://techcombank.com/thong-tin/blog/app-tra-luong")</f>
        <v>https://techcombank.com/thong-tin/blog/app-tra-luong</v>
      </c>
      <c r="AE25" s="17" t="str">
        <f>IFERROR(__xludf.DUMMYFUNCTION("""COMPUTED_VALUE"""),"thuế thu nhập cá nhân")</f>
        <v>thuế thu nhập cá nhân</v>
      </c>
      <c r="AF25" s="21" t="str">
        <f>IFERROR(__xludf.DUMMYFUNCTION("""COMPUTED_VALUE"""),"https://techcombank.com/thong-tin/blog/ho-kinh-doanh-dong-thue-nhu-nao")</f>
        <v>https://techcombank.com/thong-tin/blog/ho-kinh-doanh-dong-thue-nhu-nao</v>
      </c>
      <c r="AG25" s="17" t="str">
        <f>IFERROR(__xludf.DUMMYFUNCTION("""COMPUTED_VALUE"""),"thuế TNCN")</f>
        <v>thuế TNCN</v>
      </c>
      <c r="AH25" s="21" t="str">
        <f>IFERROR(__xludf.DUMMYFUNCTION("""COMPUTED_VALUE"""),"https://techcombank.com/thong-tin/blog/chinh-sach-tang-luong-huu")</f>
        <v>https://techcombank.com/thong-tin/blog/chinh-sach-tang-luong-huu</v>
      </c>
      <c r="AI25" s="17" t="str">
        <f>IFERROR(__xludf.DUMMYFUNCTION("""COMPUTED_VALUE"""),"mức đóng thuế thu nhập cá nhân")</f>
        <v>mức đóng thuế thu nhập cá nhân</v>
      </c>
      <c r="AJ25" s="21" t="str">
        <f>IFERROR(__xludf.DUMMYFUNCTION("""COMPUTED_VALUE"""),"https://techcombank.com/thong-tin/blog/dang-ky-ma-so-thue-ca-nhan")</f>
        <v>https://techcombank.com/thong-tin/blog/dang-ky-ma-so-thue-ca-nhan</v>
      </c>
      <c r="AK25" s="17" t="str">
        <f>IFERROR(__xludf.DUMMYFUNCTION("""COMPUTED_VALUE"""),"thuế thu nhập cá nhân")</f>
        <v>thuế thu nhập cá nhân</v>
      </c>
      <c r="AL25" s="21" t="str">
        <f>IFERROR(__xludf.DUMMYFUNCTION("""COMPUTED_VALUE"""),"https://techcombank.com/thong-tin/blog/cach-tinh-thue-thu-nhap-ca-nhan-2025")</f>
        <v>https://techcombank.com/thong-tin/blog/cach-tinh-thue-thu-nhap-ca-nhan-2025</v>
      </c>
      <c r="AM25" s="17" t="str">
        <f>IFERROR(__xludf.DUMMYFUNCTION("""COMPUTED_VALUE"""),"thuế TNCN")</f>
        <v>thuế TNCN</v>
      </c>
      <c r="AN25" s="21" t="str">
        <f>IFERROR(__xludf.DUMMYFUNCTION("""COMPUTED_VALUE"""),"https://techcombank.com/thong-tin/blog/vay-the-chap-qua-luong")</f>
        <v>https://techcombank.com/thong-tin/blog/vay-the-chap-qua-luong</v>
      </c>
      <c r="AO25" s="17" t="str">
        <f>IFERROR(__xludf.DUMMYFUNCTION("""COMPUTED_VALUE"""),"mức đóng thuế thu nhập cá nhân")</f>
        <v>mức đóng thuế thu nhập cá nhân</v>
      </c>
      <c r="AP25" s="21" t="str">
        <f>IFERROR(__xludf.DUMMYFUNCTION("""COMPUTED_VALUE"""),"https://techcombank.com/thong-tin/blog/kiem-tra-thue-thu-nhap-ca-nhan")</f>
        <v>https://techcombank.com/thong-tin/blog/kiem-tra-thue-thu-nhap-ca-nhan</v>
      </c>
      <c r="AQ25" s="17" t="str">
        <f>IFERROR(__xludf.DUMMYFUNCTION("""COMPUTED_VALUE"""),"thuế thu nhập cá nhân")</f>
        <v>thuế thu nhập cá nhân</v>
      </c>
      <c r="AR25" s="21" t="str">
        <f>IFERROR(__xludf.DUMMYFUNCTION("""COMPUTED_VALUE"""),"https://techcombank.com/thong-tin/blog/chi-tra-luong-huu")</f>
        <v>https://techcombank.com/thong-tin/blog/chi-tra-luong-huu</v>
      </c>
      <c r="AS25" s="17" t="str">
        <f>IFERROR(__xludf.DUMMYFUNCTION("""COMPUTED_VALUE"""),"thuế TNCN")</f>
        <v>thuế TNCN</v>
      </c>
      <c r="AT25" s="21" t="str">
        <f>IFERROR(__xludf.DUMMYFUNCTION("""COMPUTED_VALUE"""),"https://techcombank.com/thong-tin/blog/hoc-cach-tiet-kiem-tien-luong")</f>
        <v>https://techcombank.com/thong-tin/blog/hoc-cach-tiet-kiem-tien-luong</v>
      </c>
      <c r="AU25" s="17" t="str">
        <f>IFERROR(__xludf.DUMMYFUNCTION("""COMPUTED_VALUE"""),"mức đóng thuế thu nhập cá nhân")</f>
        <v>mức đóng thuế thu nhập cá nhân</v>
      </c>
      <c r="AV25" s="21" t="str">
        <f>IFERROR(__xludf.DUMMYFUNCTION("""COMPUTED_VALUE"""),"https://techcombank.com/thong-tin/blog/thue-thu-nhap-doanh-nghiep")</f>
        <v>https://techcombank.com/thong-tin/blog/thue-thu-nhap-doanh-nghiep</v>
      </c>
      <c r="AW25" s="17" t="str">
        <f>IFERROR(__xludf.DUMMYFUNCTION("""COMPUTED_VALUE"""),"thuế thu nhập cá nhân")</f>
        <v>thuế thu nhập cá nhân</v>
      </c>
      <c r="AX25" s="21" t="str">
        <f>IFERROR(__xludf.DUMMYFUNCTION("""COMPUTED_VALUE"""),"https://techcombank.com/thong-tin/blog/cach-tinh-thue-thu-nhap-doanh-nghiep")</f>
        <v>https://techcombank.com/thong-tin/blog/cach-tinh-thue-thu-nhap-doanh-nghiep</v>
      </c>
      <c r="AY25" s="17" t="str">
        <f>IFERROR(__xludf.DUMMYFUNCTION("""COMPUTED_VALUE"""),"thuế TNCN")</f>
        <v>thuế TNCN</v>
      </c>
      <c r="AZ25" s="21" t="str">
        <f>IFERROR(__xludf.DUMMYFUNCTION("""COMPUTED_VALUE"""),"https://techcombank.com/thong-tin/blog/cach-nop-thue-dien-tu")</f>
        <v>https://techcombank.com/thong-tin/blog/cach-nop-thue-dien-tu</v>
      </c>
      <c r="BA25" s="17" t="str">
        <f>IFERROR(__xludf.DUMMYFUNCTION("""COMPUTED_VALUE"""),"mức đóng thuế thu nhập cá nhân")</f>
        <v>mức đóng thuế thu nhập cá nhân</v>
      </c>
      <c r="BB25" s="21" t="str">
        <f>IFERROR(__xludf.DUMMYFUNCTION("""COMPUTED_VALUE"""),"https://techcombank.com/thong-tin/blog/ke-khai-thue-doanh-nghiep")</f>
        <v>https://techcombank.com/thong-tin/blog/ke-khai-thue-doanh-nghiep</v>
      </c>
      <c r="BC25" s="17" t="str">
        <f>IFERROR(__xludf.DUMMYFUNCTION("""COMPUTED_VALUE"""),"thuế thu nhập cá nhân")</f>
        <v>thuế thu nhập cá nhân</v>
      </c>
      <c r="BD25" s="21" t="str">
        <f>IFERROR(__xludf.DUMMYFUNCTION("""COMPUTED_VALUE"""),"https://techcombank.com/thong-tin/blog/tim-hieu-ve-chinh-sach-thue-moi")</f>
        <v>https://techcombank.com/thong-tin/blog/tim-hieu-ve-chinh-sach-thue-moi</v>
      </c>
      <c r="BE25" s="17" t="str">
        <f>IFERROR(__xludf.DUMMYFUNCTION("""COMPUTED_VALUE"""),"thuế TNCN")</f>
        <v>thuế TNCN</v>
      </c>
      <c r="BF25" s="21" t="str">
        <f>IFERROR(__xludf.DUMMYFUNCTION("""COMPUTED_VALUE"""),"https://techcombank.com/thong-tin/blog/tra-luong-tien-mat")</f>
        <v>https://techcombank.com/thong-tin/blog/tra-luong-tien-mat</v>
      </c>
      <c r="BG25" s="17" t="str">
        <f>IFERROR(__xludf.DUMMYFUNCTION("""COMPUTED_VALUE"""),"mức đóng thuế thu nhập cá nhân")</f>
        <v>mức đóng thuế thu nhập cá nhân</v>
      </c>
      <c r="BH25" s="21" t="str">
        <f>IFERROR(__xludf.DUMMYFUNCTION("""COMPUTED_VALUE"""),"https://techcombank.com/thong-tin/blog/thue-thuong-mai-dien-tu")</f>
        <v>https://techcombank.com/thong-tin/blog/thue-thuong-mai-dien-tu</v>
      </c>
      <c r="BI25" s="17" t="str">
        <f>IFERROR(__xludf.DUMMYFUNCTION("""COMPUTED_VALUE"""),"thuế thu nhập cá nhân")</f>
        <v>thuế thu nhập cá nhân</v>
      </c>
      <c r="BJ25" s="21" t="str">
        <f>IFERROR(__xludf.DUMMYFUNCTION("""COMPUTED_VALUE"""),"https://techcombank.com/thong-tin/blog/tra-cuu-no-thue-doanh-nghiep")</f>
        <v>https://techcombank.com/thong-tin/blog/tra-cuu-no-thue-doanh-nghiep</v>
      </c>
      <c r="BK25" s="17" t="str">
        <f>IFERROR(__xludf.DUMMYFUNCTION("""COMPUTED_VALUE"""),"thuế TNCN")</f>
        <v>thuế TNCN</v>
      </c>
      <c r="BL25" s="21" t="str">
        <f>IFERROR(__xludf.DUMMYFUNCTION("""COMPUTED_VALUE"""),"https://techcombank.com/thong-tin/blog/ke-khai-thue-ho-kinh-doanh-ca-the-online")</f>
        <v>https://techcombank.com/thong-tin/blog/ke-khai-thue-ho-kinh-doanh-ca-the-online</v>
      </c>
      <c r="BM25" s="17" t="str">
        <f>IFERROR(__xludf.DUMMYFUNCTION("""COMPUTED_VALUE"""),"mức đóng thuế thu nhập cá nhân")</f>
        <v>mức đóng thuế thu nhập cá nhân</v>
      </c>
      <c r="BN25" s="21" t="str">
        <f>IFERROR(__xludf.DUMMYFUNCTION("""COMPUTED_VALUE"""),"https://techcombank.com/thong-tin/blog/giai-dap-ve-thue-doanh-nghiep")</f>
        <v>https://techcombank.com/thong-tin/blog/giai-dap-ve-thue-doanh-nghiep</v>
      </c>
      <c r="BO25" s="17" t="str">
        <f>IFERROR(__xludf.DUMMYFUNCTION("""COMPUTED_VALUE"""),"thuế thu nhập cá nhân")</f>
        <v>thuế thu nhập cá nhân</v>
      </c>
      <c r="BP25" s="21" t="str">
        <f>IFERROR(__xludf.DUMMYFUNCTION("""COMPUTED_VALUE"""),"https://techcombank.com/thong-tin/blog/kiem-tra-thue-ho-kinh-doanh")</f>
        <v>https://techcombank.com/thong-tin/blog/kiem-tra-thue-ho-kinh-doanh</v>
      </c>
      <c r="BQ25" s="17" t="str">
        <f>IFERROR(__xludf.DUMMYFUNCTION("""COMPUTED_VALUE"""),"thuế TNCN")</f>
        <v>thuế TNCN</v>
      </c>
      <c r="BR25" s="21" t="str">
        <f>IFERROR(__xludf.DUMMYFUNCTION("""COMPUTED_VALUE"""),"https://techcombank.com/thong-tin/blog/chuyen-doi-ho-kinh-doanh-len-doanh-nghiep")</f>
        <v>https://techcombank.com/thong-tin/blog/chuyen-doi-ho-kinh-doanh-len-doanh-nghiep</v>
      </c>
      <c r="BS25" s="17" t="str">
        <f>IFERROR(__xludf.DUMMYFUNCTION("""COMPUTED_VALUE"""),"mức đóng thuế thu nhập cá nhân")</f>
        <v>mức đóng thuế thu nhập cá nhân</v>
      </c>
      <c r="BT25" s="21" t="str">
        <f>IFERROR(__xludf.DUMMYFUNCTION("""COMPUTED_VALUE"""),"https://techcombank.com/thong-tin/blog/nen-thanh-lap-ho-kinh-doanh-ke-khai-hay-doanh-nghiep")</f>
        <v>https://techcombank.com/thong-tin/blog/nen-thanh-lap-ho-kinh-doanh-ke-khai-hay-doanh-nghiep</v>
      </c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</row>
    <row r="26" ht="18.0" customHeight="1">
      <c r="A26" s="16">
        <v>25.0</v>
      </c>
      <c r="B26" s="17" t="s">
        <v>920</v>
      </c>
      <c r="C26" s="18" t="s">
        <v>1224</v>
      </c>
      <c r="D26" s="17" t="s">
        <v>484</v>
      </c>
      <c r="E26" s="16">
        <v>30.0</v>
      </c>
      <c r="F26" s="16">
        <f>COUNTIF('Tổng hợp 75 trang đích'!$B$2:$B$3400,$D26)</f>
        <v>30</v>
      </c>
      <c r="G26" s="16">
        <f>COUNTIFS('Tổng hợp 75 trang đích'!$B$2:$B$3400,$D26,'Tổng hợp 75 trang đích'!$K$2:$K$3400,"PHÙ HỢP CAO")</f>
        <v>3</v>
      </c>
      <c r="H26" s="16">
        <f>COUNTIFS('Tổng hợp 75 trang đích'!$B$2:$B$3400,$D26,'Tổng hợp 75 trang đích'!$K$2:$K$3400,"CÓ THỂ ĐI")</f>
        <v>2</v>
      </c>
      <c r="I26" s="16">
        <f>COUNTIFS('Tổng hợp 75 trang đích'!$B$2:$B$3400,$D26,'Tổng hợp 75 trang đích'!$K$2:$K$3400,"CẦN SOÁT")</f>
        <v>25</v>
      </c>
      <c r="J26" s="19" t="s">
        <v>555</v>
      </c>
      <c r="K26" s="19" t="b">
        <v>0</v>
      </c>
      <c r="L26" s="20" t="s">
        <v>333</v>
      </c>
      <c r="M26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đích'!$B$2:$B$3400=$D26),3,TR"&amp;"UE),1,2)),"""")"),"rút tiền bằng mã QR")</f>
        <v>rút tiền bằng mã QR</v>
      </c>
      <c r="N26" s="21" t="str">
        <f>IFERROR(__xludf.DUMMYFUNCTION("""COMPUTED_VALUE"""),"https://techcombank.com/thong-tin/blog/rut-tien-bang-ma-qr-khac-ngan-hang-duoc-khong")</f>
        <v>https://techcombank.com/thong-tin/blog/rut-tien-bang-ma-qr-khac-ngan-hang-duoc-khong</v>
      </c>
      <c r="O26" s="17" t="str">
        <f>IFERROR(__xludf.DUMMYFUNCTION("""COMPUTED_VALUE"""),"cách rút tiền bằng mã QR")</f>
        <v>cách rút tiền bằng mã QR</v>
      </c>
      <c r="P26" s="21" t="str">
        <f>IFERROR(__xludf.DUMMYFUNCTION("""COMPUTED_VALUE"""),"https://techcombank.com/thong-tin/blog/cach-rut-tien-atm")</f>
        <v>https://techcombank.com/thong-tin/blog/cach-rut-tien-atm</v>
      </c>
      <c r="Q26" s="17" t="str">
        <f>IFERROR(__xludf.DUMMYFUNCTION("""COMPUTED_VALUE"""),"rút tiền không cần thẻ")</f>
        <v>rút tiền không cần thẻ</v>
      </c>
      <c r="R26" s="21" t="str">
        <f>IFERROR(__xludf.DUMMYFUNCTION("""COMPUTED_VALUE"""),"https://techcombank.com/thong-tin/blog/the-atm-khong-rut-duoc-tien")</f>
        <v>https://techcombank.com/thong-tin/blog/the-atm-khong-rut-duoc-tien</v>
      </c>
      <c r="S26" s="17" t="str">
        <f>IFERROR(__xludf.DUMMYFUNCTION("""COMPUTED_VALUE"""),"rút tiền bằng mã QR")</f>
        <v>rút tiền bằng mã QR</v>
      </c>
      <c r="T26" s="21" t="str">
        <f>IFERROR(__xludf.DUMMYFUNCTION("""COMPUTED_VALUE"""),"https://techcombank.com/thong-tin/blog/bi-nuot-the-atm-phai-lam-sao")</f>
        <v>https://techcombank.com/thong-tin/blog/bi-nuot-the-atm-phai-lam-sao</v>
      </c>
      <c r="U26" s="17" t="str">
        <f>IFERROR(__xludf.DUMMYFUNCTION("""COMPUTED_VALUE"""),"cách rút tiền bằng mã QR")</f>
        <v>cách rút tiền bằng mã QR</v>
      </c>
      <c r="V26" s="21" t="str">
        <f>IFERROR(__xludf.DUMMYFUNCTION("""COMPUTED_VALUE"""),"https://techcombank.com/thong-tin/blog/cay-atm-gan-day")</f>
        <v>https://techcombank.com/thong-tin/blog/cay-atm-gan-day</v>
      </c>
      <c r="W26" s="17" t="str">
        <f>IFERROR(__xludf.DUMMYFUNCTION("""COMPUTED_VALUE"""),"rút tiền không cần thẻ")</f>
        <v>rút tiền không cần thẻ</v>
      </c>
      <c r="X26" s="21" t="str">
        <f>IFERROR(__xludf.DUMMYFUNCTION("""COMPUTED_VALUE"""),"https://techcombank.com/thong-tin/blog/quet-ma-qr-techcombank")</f>
        <v>https://techcombank.com/thong-tin/blog/quet-ma-qr-techcombank</v>
      </c>
      <c r="Y26" s="17" t="str">
        <f>IFERROR(__xludf.DUMMYFUNCTION("""COMPUTED_VALUE"""),"rút tiền bằng mã QR")</f>
        <v>rút tiền bằng mã QR</v>
      </c>
      <c r="Z26" s="21" t="str">
        <f>IFERROR(__xludf.DUMMYFUNCTION("""COMPUTED_VALUE"""),"https://techcombank.com/thong-tin/blog/gui-ma-qr-ngan-hang")</f>
        <v>https://techcombank.com/thong-tin/blog/gui-ma-qr-ngan-hang</v>
      </c>
      <c r="AA26" s="17" t="str">
        <f>IFERROR(__xludf.DUMMYFUNCTION("""COMPUTED_VALUE"""),"cách rút tiền bằng mã QR")</f>
        <v>cách rút tiền bằng mã QR</v>
      </c>
      <c r="AB26" s="21" t="str">
        <f>IFERROR(__xludf.DUMMYFUNCTION("""COMPUTED_VALUE"""),"https://techcombank.com/thong-tin/blog/cach-tao-ma-qr")</f>
        <v>https://techcombank.com/thong-tin/blog/cach-tao-ma-qr</v>
      </c>
      <c r="AC26" s="17" t="str">
        <f>IFERROR(__xludf.DUMMYFUNCTION("""COMPUTED_VALUE"""),"rút tiền không cần thẻ")</f>
        <v>rút tiền không cần thẻ</v>
      </c>
      <c r="AD26" s="21" t="str">
        <f>IFERROR(__xludf.DUMMYFUNCTION("""COMPUTED_VALUE"""),"https://techcombank.com/thong-tin/blog/tao-ma-qr-thanh-toan-cho-cua-hang")</f>
        <v>https://techcombank.com/thong-tin/blog/tao-ma-qr-thanh-toan-cho-cua-hang</v>
      </c>
      <c r="AE26" s="17" t="str">
        <f>IFERROR(__xludf.DUMMYFUNCTION("""COMPUTED_VALUE"""),"rút tiền bằng mã QR")</f>
        <v>rút tiền bằng mã QR</v>
      </c>
      <c r="AF26" s="21" t="str">
        <f>IFERROR(__xludf.DUMMYFUNCTION("""COMPUTED_VALUE"""),"https://techcombank.com/thong-tin/blog/pos")</f>
        <v>https://techcombank.com/thong-tin/blog/pos</v>
      </c>
      <c r="AG26" s="17" t="str">
        <f>IFERROR(__xludf.DUMMYFUNCTION("""COMPUTED_VALUE"""),"cách rút tiền bằng mã QR")</f>
        <v>cách rút tiền bằng mã QR</v>
      </c>
      <c r="AH26" s="21" t="str">
        <f>IFERROR(__xludf.DUMMYFUNCTION("""COMPUTED_VALUE"""),"https://techcombank.com/thong-tin/blog/softpos")</f>
        <v>https://techcombank.com/thong-tin/blog/softpos</v>
      </c>
      <c r="AI26" s="17" t="str">
        <f>IFERROR(__xludf.DUMMYFUNCTION("""COMPUTED_VALUE"""),"rút tiền không cần thẻ")</f>
        <v>rút tiền không cần thẻ</v>
      </c>
      <c r="AJ26" s="21" t="str">
        <f>IFERROR(__xludf.DUMMYFUNCTION("""COMPUTED_VALUE"""),"https://techcombank.com/thong-tin/blog/ma-qr-ngan-hang-khong-hop-le")</f>
        <v>https://techcombank.com/thong-tin/blog/ma-qr-ngan-hang-khong-hop-le</v>
      </c>
      <c r="AK26" s="17" t="str">
        <f>IFERROR(__xludf.DUMMYFUNCTION("""COMPUTED_VALUE"""),"rút tiền bằng mã QR")</f>
        <v>rút tiền bằng mã QR</v>
      </c>
      <c r="AL26" s="21" t="str">
        <f>IFERROR(__xludf.DUMMYFUNCTION("""COMPUTED_VALUE"""),"https://techcombank.com/thong-tin/blog/rut-tien-mat-tu-tai-khoan-doanh-nghiep")</f>
        <v>https://techcombank.com/thong-tin/blog/rut-tien-mat-tu-tai-khoan-doanh-nghiep</v>
      </c>
      <c r="AM26" s="17" t="str">
        <f>IFERROR(__xludf.DUMMYFUNCTION("""COMPUTED_VALUE"""),"cách rút tiền bằng mã QR")</f>
        <v>cách rút tiền bằng mã QR</v>
      </c>
      <c r="AN26" s="21" t="str">
        <f>IFERROR(__xludf.DUMMYFUNCTION("""COMPUTED_VALUE"""),"https://techcombank.com/thong-tin/blog/in-ma-qr-ngan-hang")</f>
        <v>https://techcombank.com/thong-tin/blog/in-ma-qr-ngan-hang</v>
      </c>
      <c r="AO26" s="17" t="str">
        <f>IFERROR(__xludf.DUMMYFUNCTION("""COMPUTED_VALUE"""),"rút tiền không cần thẻ")</f>
        <v>rút tiền không cần thẻ</v>
      </c>
      <c r="AP26" s="21" t="str">
        <f>IFERROR(__xludf.DUMMYFUNCTION("""COMPUTED_VALUE"""),"https://techcombank.com/thong-tin/blog/mm-yy-la-gi")</f>
        <v>https://techcombank.com/thong-tin/blog/mm-yy-la-gi</v>
      </c>
      <c r="AQ26" s="17" t="str">
        <f>IFERROR(__xludf.DUMMYFUNCTION("""COMPUTED_VALUE"""),"rút tiền bằng mã QR")</f>
        <v>rút tiền bằng mã QR</v>
      </c>
      <c r="AR26" s="21" t="str">
        <f>IFERROR(__xludf.DUMMYFUNCTION("""COMPUTED_VALUE"""),"https://techcombank.com/thong-tin/blog/cdm")</f>
        <v>https://techcombank.com/thong-tin/blog/cdm</v>
      </c>
      <c r="AS26" s="17" t="str">
        <f>IFERROR(__xludf.DUMMYFUNCTION("""COMPUTED_VALUE"""),"cách rút tiền bằng mã QR")</f>
        <v>cách rút tiền bằng mã QR</v>
      </c>
      <c r="AT26" s="21" t="str">
        <f>IFERROR(__xludf.DUMMYFUNCTION("""COMPUTED_VALUE"""),"https://techcombank.com/thong-tin/blog/ma-qr-lam-gia-duoc-khong")</f>
        <v>https://techcombank.com/thong-tin/blog/ma-qr-lam-gia-duoc-khong</v>
      </c>
      <c r="AU26" s="17" t="str">
        <f>IFERROR(__xludf.DUMMYFUNCTION("""COMPUTED_VALUE"""),"rút tiền không cần thẻ")</f>
        <v>rút tiền không cần thẻ</v>
      </c>
      <c r="AV26" s="21" t="str">
        <f>IFERROR(__xludf.DUMMYFUNCTION("""COMPUTED_VALUE"""),"https://techcombank.com/thong-tin/blog/ma-qr-techcombank")</f>
        <v>https://techcombank.com/thong-tin/blog/ma-qr-techcombank</v>
      </c>
      <c r="AW26" s="17" t="str">
        <f>IFERROR(__xludf.DUMMYFUNCTION("""COMPUTED_VALUE"""),"rút tiền bằng mã QR")</f>
        <v>rút tiền bằng mã QR</v>
      </c>
      <c r="AX26" s="21" t="str">
        <f>IFERROR(__xludf.DUMMYFUNCTION("""COMPUTED_VALUE"""),"https://techcombank.com/thong-tin/blog/so-sanh-ma-qr-va-ma-vach")</f>
        <v>https://techcombank.com/thong-tin/blog/so-sanh-ma-qr-va-ma-vach</v>
      </c>
      <c r="AY26" s="17" t="str">
        <f>IFERROR(__xludf.DUMMYFUNCTION("""COMPUTED_VALUE"""),"cách rút tiền bằng mã QR")</f>
        <v>cách rút tiền bằng mã QR</v>
      </c>
      <c r="AZ26" s="21" t="str">
        <f>IFERROR(__xludf.DUMMYFUNCTION("""COMPUTED_VALUE"""),"https://techcombank.com/thong-tin/blog/cach-su-dung-tai-khoan-cong-ty")</f>
        <v>https://techcombank.com/thong-tin/blog/cach-su-dung-tai-khoan-cong-ty</v>
      </c>
      <c r="BA26" s="17" t="str">
        <f>IFERROR(__xludf.DUMMYFUNCTION("""COMPUTED_VALUE"""),"rút tiền không cần thẻ")</f>
        <v>rút tiền không cần thẻ</v>
      </c>
      <c r="BB26" s="21" t="str">
        <f>IFERROR(__xludf.DUMMYFUNCTION("""COMPUTED_VALUE"""),"https://techcombank.com/thong-tin/blog/qr-code-doanh-nghiep")</f>
        <v>https://techcombank.com/thong-tin/blog/qr-code-doanh-nghiep</v>
      </c>
      <c r="BC26" s="17" t="str">
        <f>IFERROR(__xludf.DUMMYFUNCTION("""COMPUTED_VALUE"""),"rút tiền bằng mã QR")</f>
        <v>rút tiền bằng mã QR</v>
      </c>
      <c r="BD26" s="21" t="str">
        <f>IFERROR(__xludf.DUMMYFUNCTION("""COMPUTED_VALUE"""),"https://techcombank.com/thong-tin/blog/thanh-toan-bang-ma-qr")</f>
        <v>https://techcombank.com/thong-tin/blog/thanh-toan-bang-ma-qr</v>
      </c>
      <c r="BE26" s="17" t="str">
        <f>IFERROR(__xludf.DUMMYFUNCTION("""COMPUTED_VALUE"""),"cách rút tiền bằng mã QR")</f>
        <v>cách rút tiền bằng mã QR</v>
      </c>
      <c r="BF26" s="21" t="str">
        <f>IFERROR(__xludf.DUMMYFUNCTION("""COMPUTED_VALUE"""),"https://techcombank.com/thong-tin/blog/lam-ma-qr-ngan-hang-co-mat-phi-khong")</f>
        <v>https://techcombank.com/thong-tin/blog/lam-ma-qr-ngan-hang-co-mat-phi-khong</v>
      </c>
      <c r="BG26" s="17" t="str">
        <f>IFERROR(__xludf.DUMMYFUNCTION("""COMPUTED_VALUE"""),"rút tiền không cần thẻ")</f>
        <v>rút tiền không cần thẻ</v>
      </c>
      <c r="BH26" s="21" t="str">
        <f>IFERROR(__xludf.DUMMYFUNCTION("""COMPUTED_VALUE"""),"https://techcombank.com/thong-tin/blog/cach-tao-ma-qr-code-mien-phi")</f>
        <v>https://techcombank.com/thong-tin/blog/cach-tao-ma-qr-code-mien-phi</v>
      </c>
      <c r="BI26" s="17" t="str">
        <f>IFERROR(__xludf.DUMMYFUNCTION("""COMPUTED_VALUE"""),"rút tiền bằng mã QR")</f>
        <v>rút tiền bằng mã QR</v>
      </c>
      <c r="BJ26" s="21" t="str">
        <f>IFERROR(__xludf.DUMMYFUNCTION("""COMPUTED_VALUE"""),"https://techcombank.com/thong-tin/blog/qr-dong")</f>
        <v>https://techcombank.com/thong-tin/blog/qr-dong</v>
      </c>
      <c r="BK26" s="17" t="str">
        <f>IFERROR(__xludf.DUMMYFUNCTION("""COMPUTED_VALUE"""),"cách rút tiền bằng mã QR")</f>
        <v>cách rút tiền bằng mã QR</v>
      </c>
      <c r="BL26" s="21" t="str">
        <f>IFERROR(__xludf.DUMMYFUNCTION("""COMPUTED_VALUE"""),"https://techcombank.com/thong-tin/blog/lam-the-atm-co-mat-phi-khong")</f>
        <v>https://techcombank.com/thong-tin/blog/lam-the-atm-co-mat-phi-khong</v>
      </c>
      <c r="BM26" s="17" t="str">
        <f>IFERROR(__xludf.DUMMYFUNCTION("""COMPUTED_VALUE"""),"rút tiền không cần thẻ")</f>
        <v>rút tiền không cần thẻ</v>
      </c>
      <c r="BN26" s="21" t="str">
        <f>IFERROR(__xludf.DUMMYFUNCTION("""COMPUTED_VALUE"""),"https://techcombank.com/thong-tin/blog/nap-tien-vao-tai-khoan-ngan-hang")</f>
        <v>https://techcombank.com/thong-tin/blog/nap-tien-vao-tai-khoan-ngan-hang</v>
      </c>
      <c r="BO26" s="17" t="str">
        <f>IFERROR(__xludf.DUMMYFUNCTION("""COMPUTED_VALUE"""),"rút tiền bằng mã QR")</f>
        <v>rút tiền bằng mã QR</v>
      </c>
      <c r="BP26" s="21" t="str">
        <f>IFERROR(__xludf.DUMMYFUNCTION("""COMPUTED_VALUE"""),"https://techcombank.com/thong-tin/blog/thanh-toan-ma-qr-tro-thanh-phuong-thuc-duoc-ua-chuong-va-trien-khai-manh-me")</f>
        <v>https://techcombank.com/thong-tin/blog/thanh-toan-ma-qr-tro-thanh-phuong-thuc-duoc-ua-chuong-va-trien-khai-manh-me</v>
      </c>
      <c r="BQ26" s="17" t="str">
        <f>IFERROR(__xludf.DUMMYFUNCTION("""COMPUTED_VALUE"""),"cách rút tiền bằng mã QR")</f>
        <v>cách rút tiền bằng mã QR</v>
      </c>
      <c r="BR26" s="21" t="str">
        <f>IFERROR(__xludf.DUMMYFUNCTION("""COMPUTED_VALUE"""),"https://techcombank.com/thong-tin/blog/cach-lam-the-atm")</f>
        <v>https://techcombank.com/thong-tin/blog/cach-lam-the-atm</v>
      </c>
      <c r="BS26" s="17" t="str">
        <f>IFERROR(__xludf.DUMMYFUNCTION("""COMPUTED_VALUE"""),"rút tiền không cần thẻ")</f>
        <v>rút tiền không cần thẻ</v>
      </c>
      <c r="BT26" s="21" t="str">
        <f>IFERROR(__xludf.DUMMYFUNCTION("""COMPUTED_VALUE"""),"https://techcombank.com/thong-tin/blog/tra-cuu-han-muc-the-tin-dung")</f>
        <v>https://techcombank.com/thong-tin/blog/tra-cuu-han-muc-the-tin-dung</v>
      </c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  <c r="MT26" s="17"/>
      <c r="MU26" s="17"/>
      <c r="MV26" s="17"/>
      <c r="MW26" s="17"/>
      <c r="MX26" s="17"/>
      <c r="MY26" s="17"/>
      <c r="MZ26" s="17"/>
      <c r="NA26" s="17"/>
      <c r="NB26" s="17"/>
      <c r="NC26" s="17"/>
      <c r="ND26" s="17"/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</row>
    <row r="27" ht="18.0" customHeight="1">
      <c r="A27" s="16">
        <v>26.0</v>
      </c>
      <c r="B27" s="17" t="s">
        <v>920</v>
      </c>
      <c r="C27" s="18" t="s">
        <v>1243</v>
      </c>
      <c r="D27" s="17" t="s">
        <v>493</v>
      </c>
      <c r="E27" s="16">
        <v>30.0</v>
      </c>
      <c r="F27" s="16">
        <f>COUNTIF('Tổng hợp 75 trang đích'!$B$2:$B$3400,$D27)</f>
        <v>30</v>
      </c>
      <c r="G27" s="16">
        <f>COUNTIFS('Tổng hợp 75 trang đích'!$B$2:$B$3400,$D27,'Tổng hợp 75 trang đích'!$K$2:$K$3400,"PHÙ HỢP CAO")</f>
        <v>4</v>
      </c>
      <c r="H27" s="16">
        <f>COUNTIFS('Tổng hợp 75 trang đích'!$B$2:$B$3400,$D27,'Tổng hợp 75 trang đích'!$K$2:$K$3400,"CÓ THỂ ĐI")</f>
        <v>1</v>
      </c>
      <c r="I27" s="16">
        <f>COUNTIFS('Tổng hợp 75 trang đích'!$B$2:$B$3400,$D27,'Tổng hợp 75 trang đích'!$K$2:$K$3400,"CẦN SOÁT")</f>
        <v>25</v>
      </c>
      <c r="J27" s="19" t="s">
        <v>555</v>
      </c>
      <c r="K27" s="19" t="b">
        <v>0</v>
      </c>
      <c r="L27" s="20" t="s">
        <v>333</v>
      </c>
      <c r="M27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đích'!$B$2:$B$3400=$D27),3,TR"&amp;"UE),1,2)),"""")"),"quét NFC CCCD trên iPhone")</f>
        <v>quét NFC CCCD trên iPhone</v>
      </c>
      <c r="N27" s="21" t="str">
        <f>IFERROR(__xludf.DUMMYFUNCTION("""COMPUTED_VALUE"""),"https://techcombank.com/thong-tin/blog/xac-thuc-sinh-trac-hoc-khi-chuyen-tien")</f>
        <v>https://techcombank.com/thong-tin/blog/xac-thuc-sinh-trac-hoc-khi-chuyen-tien</v>
      </c>
      <c r="O27" s="17" t="str">
        <f>IFERROR(__xludf.DUMMYFUNCTION("""COMPUTED_VALUE"""),"quét NFC CCCD")</f>
        <v>quét NFC CCCD</v>
      </c>
      <c r="P27" s="21" t="str">
        <f>IFERROR(__xludf.DUMMYFUNCTION("""COMPUTED_VALUE"""),"https://techcombank.com/thong-tin/blog/cach-lien-ket-tai-khoan-ngan-hang-voi-vneid")</f>
        <v>https://techcombank.com/thong-tin/blog/cach-lien-ket-tai-khoan-ngan-hang-voi-vneid</v>
      </c>
      <c r="Q27" s="17" t="str">
        <f>IFERROR(__xludf.DUMMYFUNCTION("""COMPUTED_VALUE"""),"cách quét NFC căn cước")</f>
        <v>cách quét NFC căn cước</v>
      </c>
      <c r="R27" s="21" t="str">
        <f>IFERROR(__xludf.DUMMYFUNCTION("""COMPUTED_VALUE"""),"https://techcombank.com/thong-tin/blog/ekyc-la-gi")</f>
        <v>https://techcombank.com/thong-tin/blog/ekyc-la-gi</v>
      </c>
      <c r="S27" s="17" t="str">
        <f>IFERROR(__xludf.DUMMYFUNCTION("""COMPUTED_VALUE"""),"quét NFC CCCD trên iPhone")</f>
        <v>quét NFC CCCD trên iPhone</v>
      </c>
      <c r="T27" s="21" t="str">
        <f>IFERROR(__xludf.DUMMYFUNCTION("""COMPUTED_VALUE"""),"https://techcombank.com/thong-tin/blog/cach-dang-ky-dinh-danh-muc-2")</f>
        <v>https://techcombank.com/thong-tin/blog/cach-dang-ky-dinh-danh-muc-2</v>
      </c>
      <c r="U27" s="17" t="str">
        <f>IFERROR(__xludf.DUMMYFUNCTION("""COMPUTED_VALUE"""),"quét NFC CCCD")</f>
        <v>quét NFC CCCD</v>
      </c>
      <c r="V27" s="21" t="str">
        <f>IFERROR(__xludf.DUMMYFUNCTION("""COMPUTED_VALUE"""),"https://techcombank.com/thong-tin/blog/mo-tai-khoan-ngan-hang-bang-so-dien-thoai")</f>
        <v>https://techcombank.com/thong-tin/blog/mo-tai-khoan-ngan-hang-bang-so-dien-thoai</v>
      </c>
      <c r="W27" s="17" t="str">
        <f>IFERROR(__xludf.DUMMYFUNCTION("""COMPUTED_VALUE"""),"cách quét NFC căn cước")</f>
        <v>cách quét NFC căn cước</v>
      </c>
      <c r="X27" s="21" t="str">
        <f>IFERROR(__xludf.DUMMYFUNCTION("""COMPUTED_VALUE"""),"https://techcombank.com/thong-tin/blog/tra-cuu-ma-so-thue-ho-kinh-doanh")</f>
        <v>https://techcombank.com/thong-tin/blog/tra-cuu-ma-so-thue-ho-kinh-doanh</v>
      </c>
      <c r="Y27" s="17" t="str">
        <f>IFERROR(__xludf.DUMMYFUNCTION("""COMPUTED_VALUE"""),"quét NFC CCCD trên iPhone")</f>
        <v>quét NFC CCCD trên iPhone</v>
      </c>
      <c r="Z27" s="21" t="str">
        <f>IFERROR(__xludf.DUMMYFUNCTION("""COMPUTED_VALUE"""),"https://techcombank.com/thong-tin/blog/dang-ky-ma-so-thue-ca-nhan")</f>
        <v>https://techcombank.com/thong-tin/blog/dang-ky-ma-so-thue-ca-nhan</v>
      </c>
      <c r="AA27" s="17" t="str">
        <f>IFERROR(__xludf.DUMMYFUNCTION("""COMPUTED_VALUE"""),"quét NFC CCCD")</f>
        <v>quét NFC CCCD</v>
      </c>
      <c r="AB27" s="21" t="str">
        <f>IFERROR(__xludf.DUMMYFUNCTION("""COMPUTED_VALUE"""),"https://techcombank.com/thong-tin/blog/kiem-tra-no-xau")</f>
        <v>https://techcombank.com/thong-tin/blog/kiem-tra-no-xau</v>
      </c>
      <c r="AC27" s="17" t="str">
        <f>IFERROR(__xludf.DUMMYFUNCTION("""COMPUTED_VALUE"""),"cách quét NFC căn cước")</f>
        <v>cách quét NFC căn cước</v>
      </c>
      <c r="AD27" s="21" t="str">
        <f>IFERROR(__xludf.DUMMYFUNCTION("""COMPUTED_VALUE"""),"https://techcombank.com/thong-tin/blog/no-xau-la-gi")</f>
        <v>https://techcombank.com/thong-tin/blog/no-xau-la-gi</v>
      </c>
      <c r="AE27" s="17" t="str">
        <f>IFERROR(__xludf.DUMMYFUNCTION("""COMPUTED_VALUE"""),"quét NFC CCCD trên iPhone")</f>
        <v>quét NFC CCCD trên iPhone</v>
      </c>
      <c r="AF27" s="21" t="str">
        <f>IFERROR(__xludf.DUMMYFUNCTION("""COMPUTED_VALUE"""),"https://techcombank.com/thong-tin/blog/vay-ngan-hang-chi-can-cccd")</f>
        <v>https://techcombank.com/thong-tin/blog/vay-ngan-hang-chi-can-cccd</v>
      </c>
      <c r="AG27" s="17" t="str">
        <f>IFERROR(__xludf.DUMMYFUNCTION("""COMPUTED_VALUE"""),"quét NFC CCCD")</f>
        <v>quét NFC CCCD</v>
      </c>
      <c r="AH27" s="21" t="str">
        <f>IFERROR(__xludf.DUMMYFUNCTION("""COMPUTED_VALUE"""),"https://techcombank.com/thong-tin/blog/mo-the-tin-dung-chi-can-cccd")</f>
        <v>https://techcombank.com/thong-tin/blog/mo-the-tin-dung-chi-can-cccd</v>
      </c>
      <c r="AI27" s="17" t="str">
        <f>IFERROR(__xludf.DUMMYFUNCTION("""COMPUTED_VALUE"""),"cách quét NFC căn cước")</f>
        <v>cách quét NFC căn cước</v>
      </c>
      <c r="AJ27" s="21" t="str">
        <f>IFERROR(__xludf.DUMMYFUNCTION("""COMPUTED_VALUE"""),"https://techcombank.com/thong-tin/blog/vay-50-trieu")</f>
        <v>https://techcombank.com/thong-tin/blog/vay-50-trieu</v>
      </c>
      <c r="AK27" s="17" t="str">
        <f>IFERROR(__xludf.DUMMYFUNCTION("""COMPUTED_VALUE"""),"quét NFC CCCD trên iPhone")</f>
        <v>quét NFC CCCD trên iPhone</v>
      </c>
      <c r="AL27" s="21" t="str">
        <f>IFERROR(__xludf.DUMMYFUNCTION("""COMPUTED_VALUE"""),"https://techcombank.com/thong-tin/blog/1-cmnd-dang-ky-duoc-may-tai-khoan-ngan-hang")</f>
        <v>https://techcombank.com/thong-tin/blog/1-cmnd-dang-ky-duoc-may-tai-khoan-ngan-hang</v>
      </c>
      <c r="AM27" s="17" t="str">
        <f>IFERROR(__xludf.DUMMYFUNCTION("""COMPUTED_VALUE"""),"quét NFC CCCD")</f>
        <v>quét NFC CCCD</v>
      </c>
      <c r="AN27" s="21" t="str">
        <f>IFERROR(__xludf.DUMMYFUNCTION("""COMPUTED_VALUE"""),"https://techcombank.com/thong-tin/blog/app-vay-tien-nhanh")</f>
        <v>https://techcombank.com/thong-tin/blog/app-vay-tien-nhanh</v>
      </c>
      <c r="AO27" s="17" t="str">
        <f>IFERROR(__xludf.DUMMYFUNCTION("""COMPUTED_VALUE"""),"cách quét NFC căn cước")</f>
        <v>cách quét NFC căn cước</v>
      </c>
      <c r="AP27" s="21" t="str">
        <f>IFERROR(__xludf.DUMMYFUNCTION("""COMPUTED_VALUE"""),"https://techcombank.com/thong-tin/blog/cach-chuyen-tien")</f>
        <v>https://techcombank.com/thong-tin/blog/cach-chuyen-tien</v>
      </c>
      <c r="AQ27" s="17" t="str">
        <f>IFERROR(__xludf.DUMMYFUNCTION("""COMPUTED_VALUE"""),"quét NFC CCCD trên iPhone")</f>
        <v>quét NFC CCCD trên iPhone</v>
      </c>
      <c r="AR27" s="21" t="str">
        <f>IFERROR(__xludf.DUMMYFUNCTION("""COMPUTED_VALUE"""),"https://techcombank.com/thong-tin/blog/the-ghi-no-co-chuyen-khoan-duoc-khong")</f>
        <v>https://techcombank.com/thong-tin/blog/the-ghi-no-co-chuyen-khoan-duoc-khong</v>
      </c>
      <c r="AS27" s="17" t="str">
        <f>IFERROR(__xludf.DUMMYFUNCTION("""COMPUTED_VALUE"""),"quét NFC CCCD")</f>
        <v>quét NFC CCCD</v>
      </c>
      <c r="AT27" s="21" t="str">
        <f>IFERROR(__xludf.DUMMYFUNCTION("""COMPUTED_VALUE"""),"https://techcombank.com/thong-tin/blog/cach-chuyen-khoan-bang-dien-thoai")</f>
        <v>https://techcombank.com/thong-tin/blog/cach-chuyen-khoan-bang-dien-thoai</v>
      </c>
      <c r="AU27" s="17" t="str">
        <f>IFERROR(__xludf.DUMMYFUNCTION("""COMPUTED_VALUE"""),"cách quét NFC căn cước")</f>
        <v>cách quét NFC căn cước</v>
      </c>
      <c r="AV27" s="21" t="str">
        <f>IFERROR(__xludf.DUMMYFUNCTION("""COMPUTED_VALUE"""),"https://techcombank.com/thong-tin/blog/mobile-banking-la-gi")</f>
        <v>https://techcombank.com/thong-tin/blog/mobile-banking-la-gi</v>
      </c>
      <c r="AW27" s="17" t="str">
        <f>IFERROR(__xludf.DUMMYFUNCTION("""COMPUTED_VALUE"""),"quét NFC CCCD trên iPhone")</f>
        <v>quét NFC CCCD trên iPhone</v>
      </c>
      <c r="AX27" s="21" t="str">
        <f>IFERROR(__xludf.DUMMYFUNCTION("""COMPUTED_VALUE"""),"https://techcombank.com/thong-tin/blog/ngan-hang-thu-huong-la-gi")</f>
        <v>https://techcombank.com/thong-tin/blog/ngan-hang-thu-huong-la-gi</v>
      </c>
      <c r="AY27" s="17" t="str">
        <f>IFERROR(__xludf.DUMMYFUNCTION("""COMPUTED_VALUE"""),"quét NFC CCCD")</f>
        <v>quét NFC CCCD</v>
      </c>
      <c r="AZ27" s="21" t="str">
        <f>IFERROR(__xludf.DUMMYFUNCTION("""COMPUTED_VALUE"""),"https://techcombank.com/thong-tin/blog/cach-chuyen-tien-qua-ma-qr-techcombank")</f>
        <v>https://techcombank.com/thong-tin/blog/cach-chuyen-tien-qua-ma-qr-techcombank</v>
      </c>
      <c r="BA27" s="17" t="str">
        <f>IFERROR(__xludf.DUMMYFUNCTION("""COMPUTED_VALUE"""),"cách quét NFC căn cước")</f>
        <v>cách quét NFC căn cước</v>
      </c>
      <c r="BB27" s="21" t="str">
        <f>IFERROR(__xludf.DUMMYFUNCTION("""COMPUTED_VALUE"""),"https://techcombank.com/thong-tin/blog/nap-tien-vao-tai-khoan-ngan-hang")</f>
        <v>https://techcombank.com/thong-tin/blog/nap-tien-vao-tai-khoan-ngan-hang</v>
      </c>
      <c r="BC27" s="17" t="str">
        <f>IFERROR(__xludf.DUMMYFUNCTION("""COMPUTED_VALUE"""),"quét NFC CCCD trên iPhone")</f>
        <v>quét NFC CCCD trên iPhone</v>
      </c>
      <c r="BD27" s="21" t="str">
        <f>IFERROR(__xludf.DUMMYFUNCTION("""COMPUTED_VALUE"""),"https://techcombank.com/thong-tin/blog/cach-chon-so-tai-khoan-dep")</f>
        <v>https://techcombank.com/thong-tin/blog/cach-chon-so-tai-khoan-dep</v>
      </c>
      <c r="BE27" s="17" t="str">
        <f>IFERROR(__xludf.DUMMYFUNCTION("""COMPUTED_VALUE"""),"quét NFC CCCD")</f>
        <v>quét NFC CCCD</v>
      </c>
      <c r="BF27" s="21" t="str">
        <f>IFERROR(__xludf.DUMMYFUNCTION("""COMPUTED_VALUE"""),"https://techcombank.com/thong-tin/blog/uu-dai-mua-iphone-18")</f>
        <v>https://techcombank.com/thong-tin/blog/uu-dai-mua-iphone-18</v>
      </c>
      <c r="BG27" s="17" t="str">
        <f>IFERROR(__xludf.DUMMYFUNCTION("""COMPUTED_VALUE"""),"cách quét NFC căn cước")</f>
        <v>cách quét NFC căn cước</v>
      </c>
      <c r="BH27" s="21" t="str">
        <f>IFERROR(__xludf.DUMMYFUNCTION("""COMPUTED_VALUE"""),"https://techcombank.com/thong-tin/blog/99999-co-y-nghia-gi")</f>
        <v>https://techcombank.com/thong-tin/blog/99999-co-y-nghia-gi</v>
      </c>
      <c r="BI27" s="17" t="str">
        <f>IFERROR(__xludf.DUMMYFUNCTION("""COMPUTED_VALUE"""),"quét NFC CCCD trên iPhone")</f>
        <v>quét NFC CCCD trên iPhone</v>
      </c>
      <c r="BJ27" s="21" t="str">
        <f>IFERROR(__xludf.DUMMYFUNCTION("""COMPUTED_VALUE"""),"https://techcombank.com/thong-tin/blog/chuyen-khoan-lien-ngan-hang")</f>
        <v>https://techcombank.com/thong-tin/blog/chuyen-khoan-lien-ngan-hang</v>
      </c>
      <c r="BK27" s="17" t="str">
        <f>IFERROR(__xludf.DUMMYFUNCTION("""COMPUTED_VALUE"""),"quét NFC CCCD")</f>
        <v>quét NFC CCCD</v>
      </c>
      <c r="BL27" s="21" t="str">
        <f>IFERROR(__xludf.DUMMYFUNCTION("""COMPUTED_VALUE"""),"https://techcombank.com/thong-tin/blog/cach-kiem-tra-tai-khoan-ngan-hang")</f>
        <v>https://techcombank.com/thong-tin/blog/cach-kiem-tra-tai-khoan-ngan-hang</v>
      </c>
      <c r="BM27" s="17" t="str">
        <f>IFERROR(__xludf.DUMMYFUNCTION("""COMPUTED_VALUE"""),"cách quét NFC căn cước")</f>
        <v>cách quét NFC căn cước</v>
      </c>
      <c r="BN27" s="21" t="str">
        <f>IFERROR(__xludf.DUMMYFUNCTION("""COMPUTED_VALUE"""),"https://techcombank.com/thong-tin/blog/thanh-toan-tra-sau-viettel-bang-tai-khoan-ngan-hang")</f>
        <v>https://techcombank.com/thong-tin/blog/thanh-toan-tra-sau-viettel-bang-tai-khoan-ngan-hang</v>
      </c>
      <c r="BO27" s="17" t="str">
        <f>IFERROR(__xludf.DUMMYFUNCTION("""COMPUTED_VALUE"""),"quét NFC CCCD trên iPhone")</f>
        <v>quét NFC CCCD trên iPhone</v>
      </c>
      <c r="BP27" s="21" t="str">
        <f>IFERROR(__xludf.DUMMYFUNCTION("""COMPUTED_VALUE"""),"https://techcombank.com/thong-tin/blog/so-tai-khoan-ngan-hang")</f>
        <v>https://techcombank.com/thong-tin/blog/so-tai-khoan-ngan-hang</v>
      </c>
      <c r="BQ27" s="17" t="str">
        <f>IFERROR(__xludf.DUMMYFUNCTION("""COMPUTED_VALUE"""),"quét NFC CCCD")</f>
        <v>quét NFC CCCD</v>
      </c>
      <c r="BR27" s="21" t="str">
        <f>IFERROR(__xludf.DUMMYFUNCTION("""COMPUTED_VALUE"""),"https://techcombank.com/thong-tin/blog/gui-ma-qr-ngan-hang")</f>
        <v>https://techcombank.com/thong-tin/blog/gui-ma-qr-ngan-hang</v>
      </c>
      <c r="BS27" s="17" t="str">
        <f>IFERROR(__xludf.DUMMYFUNCTION("""COMPUTED_VALUE"""),"cách quét NFC căn cước")</f>
        <v>cách quét NFC căn cước</v>
      </c>
      <c r="BT27" s="21" t="str">
        <f>IFERROR(__xludf.DUMMYFUNCTION("""COMPUTED_VALUE"""),"https://techcombank.com/thong-tin/blog/tao-ma-qr-thanh-toan-cho-cua-hang")</f>
        <v>https://techcombank.com/thong-tin/blog/tao-ma-qr-thanh-toan-cho-cua-hang</v>
      </c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7"/>
      <c r="JG27" s="17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/>
      <c r="MC27" s="17"/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MN27" s="17"/>
      <c r="MO27" s="17"/>
      <c r="MP27" s="17"/>
      <c r="MQ27" s="17"/>
      <c r="MR27" s="17"/>
      <c r="MS27" s="17"/>
      <c r="MT27" s="17"/>
      <c r="MU27" s="17"/>
      <c r="MV27" s="17"/>
      <c r="MW27" s="17"/>
      <c r="MX27" s="17"/>
      <c r="MY27" s="17"/>
      <c r="MZ27" s="17"/>
      <c r="NA27" s="17"/>
      <c r="NB27" s="17"/>
      <c r="NC27" s="17"/>
      <c r="ND27" s="17"/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</row>
    <row r="28" ht="18.0" customHeight="1">
      <c r="A28" s="16">
        <v>27.0</v>
      </c>
      <c r="B28" s="17" t="s">
        <v>920</v>
      </c>
      <c r="C28" s="18" t="s">
        <v>1255</v>
      </c>
      <c r="D28" s="17" t="s">
        <v>501</v>
      </c>
      <c r="E28" s="16">
        <v>30.0</v>
      </c>
      <c r="F28" s="16">
        <f>COUNTIF('Tổng hợp 75 trang đích'!$B$2:$B$3400,$D28)</f>
        <v>30</v>
      </c>
      <c r="G28" s="16">
        <f>COUNTIFS('Tổng hợp 75 trang đích'!$B$2:$B$3400,$D28,'Tổng hợp 75 trang đích'!$K$2:$K$3400,"PHÙ HỢP CAO")</f>
        <v>3</v>
      </c>
      <c r="H28" s="16">
        <f>COUNTIFS('Tổng hợp 75 trang đích'!$B$2:$B$3400,$D28,'Tổng hợp 75 trang đích'!$K$2:$K$3400,"CÓ THỂ ĐI")</f>
        <v>2</v>
      </c>
      <c r="I28" s="16">
        <f>COUNTIFS('Tổng hợp 75 trang đích'!$B$2:$B$3400,$D28,'Tổng hợp 75 trang đích'!$K$2:$K$3400,"CẦN SOÁT")</f>
        <v>25</v>
      </c>
      <c r="J28" s="19" t="s">
        <v>555</v>
      </c>
      <c r="K28" s="19" t="b">
        <v>0</v>
      </c>
      <c r="L28" s="20" t="s">
        <v>333</v>
      </c>
      <c r="M28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đích'!$B$2:$B$3400=$D28),3,TR"&amp;"UE),1,2)),"""")"),"eco card")</f>
        <v>eco card</v>
      </c>
      <c r="N28" s="21" t="str">
        <f>IFERROR(__xludf.DUMMYFUNCTION("""COMPUTED_VALUE"""),"https://techcombank.com/thong-tin/blog/dau-chan-carbon")</f>
        <v>https://techcombank.com/thong-tin/blog/dau-chan-carbon</v>
      </c>
      <c r="O28" s="17" t="str">
        <f>IFERROR(__xludf.DUMMYFUNCTION("""COMPUTED_VALUE"""),"thẻ Eco")</f>
        <v>thẻ Eco</v>
      </c>
      <c r="P28" s="21" t="str">
        <f>IFERROR(__xludf.DUMMYFUNCTION("""COMPUTED_VALUE"""),"https://techcombank.com/thong-tin/blog/san-pham-xanh")</f>
        <v>https://techcombank.com/thong-tin/blog/san-pham-xanh</v>
      </c>
      <c r="Q28" s="17" t="str">
        <f>IFERROR(__xludf.DUMMYFUNCTION("""COMPUTED_VALUE"""),"Techcombank Eco")</f>
        <v>Techcombank Eco</v>
      </c>
      <c r="R28" s="21" t="str">
        <f>IFERROR(__xludf.DUMMYFUNCTION("""COMPUTED_VALUE"""),"https://techcombank.com/thong-tin/blog/xu-huong-song-xanh")</f>
        <v>https://techcombank.com/thong-tin/blog/xu-huong-song-xanh</v>
      </c>
      <c r="S28" s="17" t="str">
        <f>IFERROR(__xludf.DUMMYFUNCTION("""COMPUTED_VALUE"""),"eco card")</f>
        <v>eco card</v>
      </c>
      <c r="T28" s="21" t="str">
        <f>IFERROR(__xludf.DUMMYFUNCTION("""COMPUTED_VALUE"""),"https://techcombank.com/thong-tin/blog/the-ghi-no-visa-la-gi")</f>
        <v>https://techcombank.com/thong-tin/blog/the-ghi-no-visa-la-gi</v>
      </c>
      <c r="U28" s="17" t="str">
        <f>IFERROR(__xludf.DUMMYFUNCTION("""COMPUTED_VALUE"""),"thẻ Eco")</f>
        <v>thẻ Eco</v>
      </c>
      <c r="V28" s="21" t="str">
        <f>IFERROR(__xludf.DUMMYFUNCTION("""COMPUTED_VALUE"""),"https://techcombank.com/thong-tin/blog/tieu-dung-xanh")</f>
        <v>https://techcombank.com/thong-tin/blog/tieu-dung-xanh</v>
      </c>
      <c r="W28" s="17" t="str">
        <f>IFERROR(__xludf.DUMMYFUNCTION("""COMPUTED_VALUE"""),"Techcombank Eco")</f>
        <v>Techcombank Eco</v>
      </c>
      <c r="X28" s="21" t="str">
        <f>IFERROR(__xludf.DUMMYFUNCTION("""COMPUTED_VALUE"""),"https://techcombank.com/thong-tin/blog/tap-doan-thanh-quang-khoi-sac-kinh-doanh-nho-nguon-von-vay-tin-dung-techcombank-tren-nen-tang-misa-lending")</f>
        <v>https://techcombank.com/thong-tin/blog/tap-doan-thanh-quang-khoi-sac-kinh-doanh-nho-nguon-von-vay-tin-dung-techcombank-tren-nen-tang-misa-lending</v>
      </c>
      <c r="Y28" s="17" t="str">
        <f>IFERROR(__xludf.DUMMYFUNCTION("""COMPUTED_VALUE"""),"eco card")</f>
        <v>eco card</v>
      </c>
      <c r="Z28" s="21" t="str">
        <f>IFERROR(__xludf.DUMMYFUNCTION("""COMPUTED_VALUE"""),"https://techcombank.com/thong-tin/blog/tai-khoan-doanh-nghiep-co-the-khong")</f>
        <v>https://techcombank.com/thong-tin/blog/tai-khoan-doanh-nghiep-co-the-khong</v>
      </c>
      <c r="AA28" s="17" t="str">
        <f>IFERROR(__xludf.DUMMYFUNCTION("""COMPUTED_VALUE"""),"thẻ Eco")</f>
        <v>thẻ Eco</v>
      </c>
      <c r="AB28" s="21" t="str">
        <f>IFERROR(__xludf.DUMMYFUNCTION("""COMPUTED_VALUE"""),"https://techcombank.com/thong-tin/blog/loi-nhuan-rong")</f>
        <v>https://techcombank.com/thong-tin/blog/loi-nhuan-rong</v>
      </c>
      <c r="AC28" s="17" t="str">
        <f>IFERROR(__xludf.DUMMYFUNCTION("""COMPUTED_VALUE"""),"Techcombank Eco")</f>
        <v>Techcombank Eco</v>
      </c>
      <c r="AD28" s="21" t="str">
        <f>IFERROR(__xludf.DUMMYFUNCTION("""COMPUTED_VALUE"""),"https://techcombank.com/thong-tin/blog/luu-y-khi-chuyen-doi-tu-ho-kinh-doanh-len-doanh-nghiep")</f>
        <v>https://techcombank.com/thong-tin/blog/luu-y-khi-chuyen-doi-tu-ho-kinh-doanh-len-doanh-nghiep</v>
      </c>
      <c r="AE28" s="17" t="str">
        <f>IFERROR(__xludf.DUMMYFUNCTION("""COMPUTED_VALUE"""),"eco card")</f>
        <v>eco card</v>
      </c>
      <c r="AF28" s="21" t="str">
        <f>IFERROR(__xludf.DUMMYFUNCTION("""COMPUTED_VALUE"""),"https://techcombank.com/thong-tin/blog/cach-quan-ly-tai-san")</f>
        <v>https://techcombank.com/thong-tin/blog/cach-quan-ly-tai-san</v>
      </c>
      <c r="AG28" s="17" t="str">
        <f>IFERROR(__xludf.DUMMYFUNCTION("""COMPUTED_VALUE"""),"thẻ Eco")</f>
        <v>thẻ Eco</v>
      </c>
      <c r="AH28" s="21" t="str">
        <f>IFERROR(__xludf.DUMMYFUNCTION("""COMPUTED_VALUE"""),"https://techcombank.com/thong-tin/blog/chinh-sach-thue-moi")</f>
        <v>https://techcombank.com/thong-tin/blog/chinh-sach-thue-moi</v>
      </c>
      <c r="AI28" s="17" t="str">
        <f>IFERROR(__xludf.DUMMYFUNCTION("""COMPUTED_VALUE"""),"Techcombank Eco")</f>
        <v>Techcombank Eco</v>
      </c>
      <c r="AJ28" s="21" t="str">
        <f>IFERROR(__xludf.DUMMYFUNCTION("""COMPUTED_VALUE"""),"https://techcombank.com/thong-tin/blog/mr-eco")</f>
        <v>https://techcombank.com/thong-tin/blog/mr-eco</v>
      </c>
      <c r="AK28" s="17" t="str">
        <f>IFERROR(__xludf.DUMMYFUNCTION("""COMPUTED_VALUE"""),"eco card")</f>
        <v>eco card</v>
      </c>
      <c r="AL28" s="21" t="str">
        <f>IFERROR(__xludf.DUMMYFUNCTION("""COMPUTED_VALUE"""),"https://techcombank.com/thong-tin/blog/dat-xe-xanh-sm")</f>
        <v>https://techcombank.com/thong-tin/blog/dat-xe-xanh-sm</v>
      </c>
      <c r="AM28" s="17" t="str">
        <f>IFERROR(__xludf.DUMMYFUNCTION("""COMPUTED_VALUE"""),"thẻ Eco")</f>
        <v>thẻ Eco</v>
      </c>
      <c r="AN28" s="21" t="str">
        <f>IFERROR(__xludf.DUMMYFUNCTION("""COMPUTED_VALUE"""),"https://techcombank.com/thong-tin/blog/thuc-day-thi-truong-the-noi-dia-va-xu-huong-thanh-toan-tuong-lai")</f>
        <v>https://techcombank.com/thong-tin/blog/thuc-day-thi-truong-the-noi-dia-va-xu-huong-thanh-toan-tuong-lai</v>
      </c>
      <c r="AO28" s="17" t="str">
        <f>IFERROR(__xludf.DUMMYFUNCTION("""COMPUTED_VALUE"""),"Techcombank Eco")</f>
        <v>Techcombank Eco</v>
      </c>
      <c r="AP28" s="21" t="str">
        <f>IFERROR(__xludf.DUMMYFUNCTION("""COMPUTED_VALUE"""),"https://techcombank.com/thong-tin/blog/ngan-hang-so-cho-doanh-nghiep")</f>
        <v>https://techcombank.com/thong-tin/blog/ngan-hang-so-cho-doanh-nghiep</v>
      </c>
      <c r="AQ28" s="17" t="str">
        <f>IFERROR(__xludf.DUMMYFUNCTION("""COMPUTED_VALUE"""),"eco card")</f>
        <v>eco card</v>
      </c>
      <c r="AR28" s="21" t="str">
        <f>IFERROR(__xludf.DUMMYFUNCTION("""COMPUTED_VALUE"""),"https://techcombank.com/thong-tin/blog/voucher-xanh-sm")</f>
        <v>https://techcombank.com/thong-tin/blog/voucher-xanh-sm</v>
      </c>
      <c r="AS28" s="17" t="str">
        <f>IFERROR(__xludf.DUMMYFUNCTION("""COMPUTED_VALUE"""),"thẻ Eco")</f>
        <v>thẻ Eco</v>
      </c>
      <c r="AT28" s="21" t="str">
        <f>IFERROR(__xludf.DUMMYFUNCTION("""COMPUTED_VALUE"""),"https://techcombank.com/thong-tin/blog/bao-hiem-pin-xe-dien")</f>
        <v>https://techcombank.com/thong-tin/blog/bao-hiem-pin-xe-dien</v>
      </c>
      <c r="AU28" s="17" t="str">
        <f>IFERROR(__xludf.DUMMYFUNCTION("""COMPUTED_VALUE"""),"Techcombank Eco")</f>
        <v>Techcombank Eco</v>
      </c>
      <c r="AV28" s="21" t="str">
        <f>IFERROR(__xludf.DUMMYFUNCTION("""COMPUTED_VALUE"""),"https://techcombank.com/thong-tin/blog/phan-bo-tai-san")</f>
        <v>https://techcombank.com/thong-tin/blog/phan-bo-tai-san</v>
      </c>
      <c r="AW28" s="17" t="str">
        <f>IFERROR(__xludf.DUMMYFUNCTION("""COMPUTED_VALUE"""),"eco card")</f>
        <v>eco card</v>
      </c>
      <c r="AX28" s="21" t="str">
        <f>IFERROR(__xludf.DUMMYFUNCTION("""COMPUTED_VALUE"""),"https://techcombank.com/thong-tin/blog/xu-huong-tieu-dung")</f>
        <v>https://techcombank.com/thong-tin/blog/xu-huong-tieu-dung</v>
      </c>
      <c r="AY28" s="17" t="str">
        <f>IFERROR(__xludf.DUMMYFUNCTION("""COMPUTED_VALUE"""),"thẻ Eco")</f>
        <v>thẻ Eco</v>
      </c>
      <c r="AZ28" s="21" t="str">
        <f>IFERROR(__xludf.DUMMYFUNCTION("""COMPUTED_VALUE"""),"https://techcombank.com/thong-tin/blog/cach-lam-the-ngan-hang-chay-quang-cao-facebook")</f>
        <v>https://techcombank.com/thong-tin/blog/cach-lam-the-ngan-hang-chay-quang-cao-facebook</v>
      </c>
      <c r="BA28" s="17" t="str">
        <f>IFERROR(__xludf.DUMMYFUNCTION("""COMPUTED_VALUE"""),"Techcombank Eco")</f>
        <v>Techcombank Eco</v>
      </c>
      <c r="BB28" s="21" t="str">
        <f>IFERROR(__xludf.DUMMYFUNCTION("""COMPUTED_VALUE"""),"https://techcombank.com/thong-tin/blog/cach-tiet-kiem-tien-hieu-qua-cho-gia-dinh")</f>
        <v>https://techcombank.com/thong-tin/blog/cach-tiet-kiem-tien-hieu-qua-cho-gia-dinh</v>
      </c>
      <c r="BC28" s="17" t="str">
        <f>IFERROR(__xludf.DUMMYFUNCTION("""COMPUTED_VALUE"""),"eco card")</f>
        <v>eco card</v>
      </c>
      <c r="BD28" s="21" t="str">
        <f>IFERROR(__xludf.DUMMYFUNCTION("""COMPUTED_VALUE"""),"https://techcombank.com/thong-tin/blog/the-ghi-no-va-the-tin-dung")</f>
        <v>https://techcombank.com/thong-tin/blog/the-ghi-no-va-the-tin-dung</v>
      </c>
      <c r="BE28" s="17" t="str">
        <f>IFERROR(__xludf.DUMMYFUNCTION("""COMPUTED_VALUE"""),"thẻ Eco")</f>
        <v>thẻ Eco</v>
      </c>
      <c r="BF28" s="21" t="str">
        <f>IFERROR(__xludf.DUMMYFUNCTION("""COMPUTED_VALUE"""),"https://techcombank.com/thong-tin/blog/khau-vi-nha-dau-tu-tpdn-thay-doi-the-nao-sau-nhung-bien-dong-vua-qua")</f>
        <v>https://techcombank.com/thong-tin/blog/khau-vi-nha-dau-tu-tpdn-thay-doi-the-nao-sau-nhung-bien-dong-vua-qua</v>
      </c>
      <c r="BG28" s="17" t="str">
        <f>IFERROR(__xludf.DUMMYFUNCTION("""COMPUTED_VALUE"""),"Techcombank Eco")</f>
        <v>Techcombank Eco</v>
      </c>
      <c r="BH28" s="21" t="str">
        <f>IFERROR(__xludf.DUMMYFUNCTION("""COMPUTED_VALUE"""),"https://techcombank.com/thong-tin/blog/gia-tri-tai-san-rong")</f>
        <v>https://techcombank.com/thong-tin/blog/gia-tri-tai-san-rong</v>
      </c>
      <c r="BI28" s="17" t="str">
        <f>IFERROR(__xludf.DUMMYFUNCTION("""COMPUTED_VALUE"""),"eco card")</f>
        <v>eco card</v>
      </c>
      <c r="BJ28" s="21" t="str">
        <f>IFERROR(__xludf.DUMMYFUNCTION("""COMPUTED_VALUE"""),"https://techcombank.com/thong-tin/blog/the-ghi-no-la-gi")</f>
        <v>https://techcombank.com/thong-tin/blog/the-ghi-no-la-gi</v>
      </c>
      <c r="BK28" s="17" t="str">
        <f>IFERROR(__xludf.DUMMYFUNCTION("""COMPUTED_VALUE"""),"thẻ Eco")</f>
        <v>thẻ Eco</v>
      </c>
      <c r="BL28" s="21" t="str">
        <f>IFERROR(__xludf.DUMMYFUNCTION("""COMPUTED_VALUE"""),"https://techcombank.com/thong-tin/blog/mo-the-ghi-no")</f>
        <v>https://techcombank.com/thong-tin/blog/mo-the-ghi-no</v>
      </c>
      <c r="BM28" s="17" t="str">
        <f>IFERROR(__xludf.DUMMYFUNCTION("""COMPUTED_VALUE"""),"Techcombank Eco")</f>
        <v>Techcombank Eco</v>
      </c>
      <c r="BN28" s="21" t="str">
        <f>IFERROR(__xludf.DUMMYFUNCTION("""COMPUTED_VALUE"""),"https://techcombank.com/thong-tin/blog/the-tin-dung-techcombank-visa-eco")</f>
        <v>https://techcombank.com/thong-tin/blog/the-tin-dung-techcombank-visa-eco</v>
      </c>
      <c r="BO28" s="17" t="str">
        <f>IFERROR(__xludf.DUMMYFUNCTION("""COMPUTED_VALUE"""),"eco card")</f>
        <v>eco card</v>
      </c>
      <c r="BP28" s="21" t="str">
        <f>IFERROR(__xludf.DUMMYFUNCTION("""COMPUTED_VALUE"""),"https://techcombank.com/thong-tin/blog/the-ghi-no-noi-dia")</f>
        <v>https://techcombank.com/thong-tin/blog/the-ghi-no-noi-dia</v>
      </c>
      <c r="BQ28" s="17" t="str">
        <f>IFERROR(__xludf.DUMMYFUNCTION("""COMPUTED_VALUE"""),"thẻ Eco")</f>
        <v>thẻ Eco</v>
      </c>
      <c r="BR28" s="21" t="str">
        <f>IFERROR(__xludf.DUMMYFUNCTION("""COMPUTED_VALUE"""),"https://techcombank.com/thong-tin/blog/cach-nap-tien-vao-the-ghi-no")</f>
        <v>https://techcombank.com/thong-tin/blog/cach-nap-tien-vao-the-ghi-no</v>
      </c>
      <c r="BS28" s="17" t="str">
        <f>IFERROR(__xludf.DUMMYFUNCTION("""COMPUTED_VALUE"""),"Techcombank Eco")</f>
        <v>Techcombank Eco</v>
      </c>
      <c r="BT28" s="21" t="str">
        <f>IFERROR(__xludf.DUMMYFUNCTION("""COMPUTED_VALUE"""),"https://techcombank.com/thong-tin/blog/giao-thong-xanh")</f>
        <v>https://techcombank.com/thong-tin/blog/giao-thong-xanh</v>
      </c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</row>
    <row r="29" ht="18.0" customHeight="1">
      <c r="A29" s="16">
        <v>28.0</v>
      </c>
      <c r="B29" s="17" t="s">
        <v>1268</v>
      </c>
      <c r="C29" s="18" t="s">
        <v>1273</v>
      </c>
      <c r="D29" s="17" t="s">
        <v>513</v>
      </c>
      <c r="E29" s="16">
        <v>200.0</v>
      </c>
      <c r="F29" s="16">
        <f>COUNTIF('Tổng hợp 75 trang đích'!$B$2:$B$3400,$D29)</f>
        <v>200</v>
      </c>
      <c r="G29" s="16">
        <f>COUNTIFS('Tổng hợp 75 trang đích'!$B$2:$B$3400,$D29,'Tổng hợp 75 trang đích'!$K$2:$K$3400,"PHÙ HỢP CAO")</f>
        <v>3</v>
      </c>
      <c r="H29" s="16">
        <f>COUNTIFS('Tổng hợp 75 trang đích'!$B$2:$B$3400,$D29,'Tổng hợp 75 trang đích'!$K$2:$K$3400,"CÓ THỂ ĐI")</f>
        <v>2</v>
      </c>
      <c r="I29" s="16">
        <f>COUNTIFS('Tổng hợp 75 trang đích'!$B$2:$B$3400,$D29,'Tổng hợp 75 trang đích'!$K$2:$K$3400,"CẦN SOÁT")</f>
        <v>195</v>
      </c>
      <c r="J29" s="19" t="s">
        <v>555</v>
      </c>
      <c r="K29" s="19" t="b">
        <v>0</v>
      </c>
      <c r="L29" s="20" t="s">
        <v>333</v>
      </c>
      <c r="M29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đích'!$B$2:$B$3400=$D29),3,TR"&amp;"UE),1,2)),"""")"),"tra cứu cic miễn phí")</f>
        <v>tra cứu cic miễn phí</v>
      </c>
      <c r="N29" s="21" t="str">
        <f>IFERROR(__xludf.DUMMYFUNCTION("""COMPUTED_VALUE"""),"https://techcombank.com/thong-tin/blog/diem-tin-dung")</f>
        <v>https://techcombank.com/thong-tin/blog/diem-tin-dung</v>
      </c>
      <c r="O29" s="17" t="str">
        <f>IFERROR(__xludf.DUMMYFUNCTION("""COMPUTED_VALUE"""),"tra cứu cic")</f>
        <v>tra cứu cic</v>
      </c>
      <c r="P29" s="21" t="str">
        <f>IFERROR(__xludf.DUMMYFUNCTION("""COMPUTED_VALUE"""),"https://techcombank.com/thong-tin/blog/lich-su-tin-dung")</f>
        <v>https://techcombank.com/thong-tin/blog/lich-su-tin-dung</v>
      </c>
      <c r="Q29" s="17" t="str">
        <f>IFERROR(__xludf.DUMMYFUNCTION("""COMPUTED_VALUE"""),"kiểm tra cic")</f>
        <v>kiểm tra cic</v>
      </c>
      <c r="R29" s="21" t="str">
        <f>IFERROR(__xludf.DUMMYFUNCTION("""COMPUTED_VALUE"""),"https://techcombank.com/thong-tin/blog/no-nhom-3")</f>
        <v>https://techcombank.com/thong-tin/blog/no-nhom-3</v>
      </c>
      <c r="S29" s="17" t="str">
        <f>IFERROR(__xludf.DUMMYFUNCTION("""COMPUTED_VALUE"""),"cic là gì")</f>
        <v>cic là gì</v>
      </c>
      <c r="T29" s="21" t="str">
        <f>IFERROR(__xludf.DUMMYFUNCTION("""COMPUTED_VALUE"""),"https://techcombank.com/thong-tin/blog/no-chu-y-la-gi")</f>
        <v>https://techcombank.com/thong-tin/blog/no-chu-y-la-gi</v>
      </c>
      <c r="U29" s="17" t="str">
        <f>IFERROR(__xludf.DUMMYFUNCTION("""COMPUTED_VALUE"""),"tra cứu cic miễn phí")</f>
        <v>tra cứu cic miễn phí</v>
      </c>
      <c r="V29" s="21" t="str">
        <f>IFERROR(__xludf.DUMMYFUNCTION("""COMPUTED_VALUE"""),"https://techcombank.com/thong-tin/blog/no-xau-nhom-2")</f>
        <v>https://techcombank.com/thong-tin/blog/no-xau-nhom-2</v>
      </c>
      <c r="W29" s="17" t="str">
        <f>IFERROR(__xludf.DUMMYFUNCTION("""COMPUTED_VALUE"""),"tra cứu cic")</f>
        <v>tra cứu cic</v>
      </c>
      <c r="X29" s="21" t="str">
        <f>IFERROR(__xludf.DUMMYFUNCTION("""COMPUTED_VALUE"""),"https://techcombank.com/thong-tin/blog/vay-the-chap-khong-tra-duoc")</f>
        <v>https://techcombank.com/thong-tin/blog/vay-the-chap-khong-tra-duoc</v>
      </c>
      <c r="Y29" s="17" t="str">
        <f>IFERROR(__xludf.DUMMYFUNCTION("""COMPUTED_VALUE"""),"kiểm tra cic")</f>
        <v>kiểm tra cic</v>
      </c>
      <c r="Z29" s="21" t="str">
        <f>IFERROR(__xludf.DUMMYFUNCTION("""COMPUTED_VALUE"""),"https://techcombank.com/thong-tin/blog/kiem-tra-no-xau")</f>
        <v>https://techcombank.com/thong-tin/blog/kiem-tra-no-xau</v>
      </c>
      <c r="AA29" s="17" t="str">
        <f>IFERROR(__xludf.DUMMYFUNCTION("""COMPUTED_VALUE"""),"cic là gì")</f>
        <v>cic là gì</v>
      </c>
      <c r="AB29" s="21" t="str">
        <f>IFERROR(__xludf.DUMMYFUNCTION("""COMPUTED_VALUE"""),"https://techcombank.com/thong-tin/blog/no-xau")</f>
        <v>https://techcombank.com/thong-tin/blog/no-xau</v>
      </c>
      <c r="AC29" s="17" t="str">
        <f>IFERROR(__xludf.DUMMYFUNCTION("""COMPUTED_VALUE"""),"tra cứu cic miễn phí")</f>
        <v>tra cứu cic miễn phí</v>
      </c>
      <c r="AD29" s="21" t="str">
        <f>IFERROR(__xludf.DUMMYFUNCTION("""COMPUTED_VALUE"""),"https://techcombank.com/thong-tin/blog/no-xau-la-gi")</f>
        <v>https://techcombank.com/thong-tin/blog/no-xau-la-gi</v>
      </c>
      <c r="AE29" s="17" t="str">
        <f>IFERROR(__xludf.DUMMYFUNCTION("""COMPUTED_VALUE"""),"tra cứu cic")</f>
        <v>tra cứu cic</v>
      </c>
      <c r="AF29" s="21" t="str">
        <f>IFERROR(__xludf.DUMMYFUNCTION("""COMPUTED_VALUE"""),"https://techcombank.com/thong-tin/blog/han-muc-thau-chi-la-gi")</f>
        <v>https://techcombank.com/thong-tin/blog/han-muc-thau-chi-la-gi</v>
      </c>
      <c r="AG29" s="17" t="str">
        <f>IFERROR(__xludf.DUMMYFUNCTION("""COMPUTED_VALUE"""),"kiểm tra cic")</f>
        <v>kiểm tra cic</v>
      </c>
      <c r="AH29" s="21" t="str">
        <f>IFERROR(__xludf.DUMMYFUNCTION("""COMPUTED_VALUE"""),"https://techcombank.com/thong-tin/blog/qua-han-thanh-toan-the-tin-dung-1-ngay")</f>
        <v>https://techcombank.com/thong-tin/blog/qua-han-thanh-toan-the-tin-dung-1-ngay</v>
      </c>
      <c r="AI29" s="17" t="str">
        <f>IFERROR(__xludf.DUMMYFUNCTION("""COMPUTED_VALUE"""),"cic là gì")</f>
        <v>cic là gì</v>
      </c>
      <c r="AJ29" s="21" t="str">
        <f>IFERROR(__xludf.DUMMYFUNCTION("""COMPUTED_VALUE"""),"https://techcombank.com/thong-tin/blog/no-xau-co-lam-the-visa-duoc-khong")</f>
        <v>https://techcombank.com/thong-tin/blog/no-xau-co-lam-the-visa-duoc-khong</v>
      </c>
      <c r="AK29" s="17" t="str">
        <f>IFERROR(__xludf.DUMMYFUNCTION("""COMPUTED_VALUE"""),"tra cứu cic miễn phí")</f>
        <v>tra cứu cic miễn phí</v>
      </c>
      <c r="AL29" s="21" t="str">
        <f>IFERROR(__xludf.DUMMYFUNCTION("""COMPUTED_VALUE"""),"https://techcombank.com/thong-tin/blog/thanh-toan-toi-thieu-the-tin-dung")</f>
        <v>https://techcombank.com/thong-tin/blog/thanh-toan-toi-thieu-the-tin-dung</v>
      </c>
      <c r="AM29" s="17" t="str">
        <f>IFERROR(__xludf.DUMMYFUNCTION("""COMPUTED_VALUE"""),"tra cứu cic")</f>
        <v>tra cứu cic</v>
      </c>
      <c r="AN29" s="21" t="str">
        <f>IFERROR(__xludf.DUMMYFUNCTION("""COMPUTED_VALUE"""),"https://techcombank.com/thong-tin/blog/spaylater")</f>
        <v>https://techcombank.com/thong-tin/blog/spaylater</v>
      </c>
      <c r="AO29" s="17" t="str">
        <f>IFERROR(__xludf.DUMMYFUNCTION("""COMPUTED_VALUE"""),"kiểm tra cic")</f>
        <v>kiểm tra cic</v>
      </c>
      <c r="AP29" s="21" t="str">
        <f>IFERROR(__xludf.DUMMYFUNCTION("""COMPUTED_VALUE"""),"https://techcombank.com/thong-tin/blog/the-tin-dung-bi-khoa")</f>
        <v>https://techcombank.com/thong-tin/blog/the-tin-dung-bi-khoa</v>
      </c>
      <c r="AQ29" s="17" t="str">
        <f>IFERROR(__xludf.DUMMYFUNCTION("""COMPUTED_VALUE"""),"cic là gì")</f>
        <v>cic là gì</v>
      </c>
      <c r="AR29" s="21" t="str">
        <f>IFERROR(__xludf.DUMMYFUNCTION("""COMPUTED_VALUE"""),"https://techcombank.com/thong-tin/blog/no-xau-mo-the-tin-dung-duoc-khong")</f>
        <v>https://techcombank.com/thong-tin/blog/no-xau-mo-the-tin-dung-duoc-khong</v>
      </c>
      <c r="AS29" s="17" t="str">
        <f>IFERROR(__xludf.DUMMYFUNCTION("""COMPUTED_VALUE"""),"tra cứu cic miễn phí")</f>
        <v>tra cứu cic miễn phí</v>
      </c>
      <c r="AT29" s="21" t="str">
        <f>IFERROR(__xludf.DUMMYFUNCTION("""COMPUTED_VALUE"""),"https://techcombank.com/thong-tin/blog/no-the-tin-dung-qua-han")</f>
        <v>https://techcombank.com/thong-tin/blog/no-the-tin-dung-qua-han</v>
      </c>
      <c r="AU29" s="17" t="str">
        <f>IFERROR(__xludf.DUMMYFUNCTION("""COMPUTED_VALUE"""),"tra cứu cic")</f>
        <v>tra cứu cic</v>
      </c>
      <c r="AV29" s="21" t="str">
        <f>IFERROR(__xludf.DUMMYFUNCTION("""COMPUTED_VALUE"""),"https://techcombank.com/thong-tin/blog/luu-y-khi-su-dung-the-tin-dung")</f>
        <v>https://techcombank.com/thong-tin/blog/luu-y-khi-su-dung-the-tin-dung</v>
      </c>
      <c r="AW29" s="17" t="str">
        <f>IFERROR(__xludf.DUMMYFUNCTION("""COMPUTED_VALUE"""),"kiểm tra cic")</f>
        <v>kiểm tra cic</v>
      </c>
      <c r="AX29" s="21" t="str">
        <f>IFERROR(__xludf.DUMMYFUNCTION("""COMPUTED_VALUE"""),"https://techcombank.com/thong-tin/blog/no-xau-co-vay-the-chap-duoc-khong")</f>
        <v>https://techcombank.com/thong-tin/blog/no-xau-co-vay-the-chap-duoc-khong</v>
      </c>
      <c r="AY29" s="17" t="str">
        <f>IFERROR(__xludf.DUMMYFUNCTION("""COMPUTED_VALUE"""),"cic là gì")</f>
        <v>cic là gì</v>
      </c>
      <c r="AZ29" s="21" t="str">
        <f>IFERROR(__xludf.DUMMYFUNCTION("""COMPUTED_VALUE"""),"https://techcombank.com/thong-tin/blog/han-muc-vay-the-chap-so-do")</f>
        <v>https://techcombank.com/thong-tin/blog/han-muc-vay-the-chap-so-do</v>
      </c>
      <c r="BA29" s="17" t="str">
        <f>IFERROR(__xludf.DUMMYFUNCTION("""COMPUTED_VALUE"""),"tra cứu cic miễn phí")</f>
        <v>tra cứu cic miễn phí</v>
      </c>
      <c r="BB29" s="21" t="str">
        <f>IFERROR(__xludf.DUMMYFUNCTION("""COMPUTED_VALUE"""),"https://techcombank.com/thong-tin/blog/vay-tin-chap-no-xau")</f>
        <v>https://techcombank.com/thong-tin/blog/vay-tin-chap-no-xau</v>
      </c>
      <c r="BC29" s="17" t="str">
        <f>IFERROR(__xludf.DUMMYFUNCTION("""COMPUTED_VALUE"""),"tra cứu cic")</f>
        <v>tra cứu cic</v>
      </c>
      <c r="BD29" s="21" t="str">
        <f>IFERROR(__xludf.DUMMYFUNCTION("""COMPUTED_VALUE"""),"https://techcombank.com/thong-tin/blog/dieu-kien-vay-the-chap")</f>
        <v>https://techcombank.com/thong-tin/blog/dieu-kien-vay-the-chap</v>
      </c>
      <c r="BE29" s="17" t="str">
        <f>IFERROR(__xludf.DUMMYFUNCTION("""COMPUTED_VALUE"""),"kiểm tra cic")</f>
        <v>kiểm tra cic</v>
      </c>
      <c r="BF29" s="21" t="str">
        <f>IFERROR(__xludf.DUMMYFUNCTION("""COMPUTED_VALUE"""),"https://techcombank.com/thong-tin/blog/han-muc-tra-gop-the-tin-dung")</f>
        <v>https://techcombank.com/thong-tin/blog/han-muc-tra-gop-the-tin-dung</v>
      </c>
      <c r="BG29" s="17" t="str">
        <f>IFERROR(__xludf.DUMMYFUNCTION("""COMPUTED_VALUE"""),"cic là gì")</f>
        <v>cic là gì</v>
      </c>
      <c r="BH29" s="21" t="str">
        <f>IFERROR(__xludf.DUMMYFUNCTION("""COMPUTED_VALUE"""),"https://techcombank.com/thong-tin/blog/sao-ke-the-tin-dung-la-gi")</f>
        <v>https://techcombank.com/thong-tin/blog/sao-ke-the-tin-dung-la-gi</v>
      </c>
      <c r="BI29" s="17" t="str">
        <f>IFERROR(__xludf.DUMMYFUNCTION("""COMPUTED_VALUE"""),"tra cứu cic miễn phí")</f>
        <v>tra cứu cic miễn phí</v>
      </c>
      <c r="BJ29" s="21" t="str">
        <f>IFERROR(__xludf.DUMMYFUNCTION("""COMPUTED_VALUE"""),"https://techcombank.com/thong-tin/blog/the-tin-dung-phu-la-gi")</f>
        <v>https://techcombank.com/thong-tin/blog/the-tin-dung-phu-la-gi</v>
      </c>
      <c r="BK29" s="17" t="str">
        <f>IFERROR(__xludf.DUMMYFUNCTION("""COMPUTED_VALUE"""),"tra cứu cic")</f>
        <v>tra cứu cic</v>
      </c>
      <c r="BL29" s="21" t="str">
        <f>IFERROR(__xludf.DUMMYFUNCTION("""COMPUTED_VALUE"""),"https://techcombank.com/thong-tin/blog/rut-tien-mat-tu-the-tin-dung")</f>
        <v>https://techcombank.com/thong-tin/blog/rut-tien-mat-tu-the-tin-dung</v>
      </c>
      <c r="BM29" s="17" t="str">
        <f>IFERROR(__xludf.DUMMYFUNCTION("""COMPUTED_VALUE"""),"kiểm tra cic")</f>
        <v>kiểm tra cic</v>
      </c>
      <c r="BN29" s="21" t="str">
        <f>IFERROR(__xludf.DUMMYFUNCTION("""COMPUTED_VALUE"""),"https://techcombank.com/thong-tin/blog/han-muc-the-tin-dung")</f>
        <v>https://techcombank.com/thong-tin/blog/han-muc-the-tin-dung</v>
      </c>
      <c r="BO29" s="17" t="str">
        <f>IFERROR(__xludf.DUMMYFUNCTION("""COMPUTED_VALUE"""),"cic là gì")</f>
        <v>cic là gì</v>
      </c>
      <c r="BP29" s="21" t="str">
        <f>IFERROR(__xludf.DUMMYFUNCTION("""COMPUTED_VALUE"""),"https://techcombank.com/thong-tin/blog/mo-the-tin-dung-han-muc-cao")</f>
        <v>https://techcombank.com/thong-tin/blog/mo-the-tin-dung-han-muc-cao</v>
      </c>
      <c r="BQ29" s="17" t="str">
        <f>IFERROR(__xludf.DUMMYFUNCTION("""COMPUTED_VALUE"""),"tra cứu cic miễn phí")</f>
        <v>tra cứu cic miễn phí</v>
      </c>
      <c r="BR29" s="21" t="str">
        <f>IFERROR(__xludf.DUMMYFUNCTION("""COMPUTED_VALUE"""),"https://techcombank.com/thong-tin/blog/the-tin-dung-noi-dia")</f>
        <v>https://techcombank.com/thong-tin/blog/the-tin-dung-noi-dia</v>
      </c>
      <c r="BS29" s="17" t="str">
        <f>IFERROR(__xludf.DUMMYFUNCTION("""COMPUTED_VALUE"""),"tra cứu cic")</f>
        <v>tra cứu cic</v>
      </c>
      <c r="BT29" s="21" t="str">
        <f>IFERROR(__xludf.DUMMYFUNCTION("""COMPUTED_VALUE"""),"https://techcombank.com/thong-tin/blog/nang-han-muc-tin-dung")</f>
        <v>https://techcombank.com/thong-tin/blog/nang-han-muc-tin-dung</v>
      </c>
      <c r="BU29" s="17" t="str">
        <f>IFERROR(__xludf.DUMMYFUNCTION("""COMPUTED_VALUE"""),"kiểm tra cic")</f>
        <v>kiểm tra cic</v>
      </c>
      <c r="BV29" s="21" t="str">
        <f>IFERROR(__xludf.DUMMYFUNCTION("""COMPUTED_VALUE"""),"https://techcombank.com/thong-tin/blog/vay-tin-chap-theo-luong")</f>
        <v>https://techcombank.com/thong-tin/blog/vay-tin-chap-theo-luong</v>
      </c>
      <c r="BW29" s="17" t="str">
        <f>IFERROR(__xludf.DUMMYFUNCTION("""COMPUTED_VALUE"""),"cic là gì")</f>
        <v>cic là gì</v>
      </c>
      <c r="BX29" s="21" t="str">
        <f>IFERROR(__xludf.DUMMYFUNCTION("""COMPUTED_VALUE"""),"https://techcombank.com/thong-tin/blog/tra-gop-qua-the-tin-dung")</f>
        <v>https://techcombank.com/thong-tin/blog/tra-gop-qua-the-tin-dung</v>
      </c>
      <c r="BY29" s="17" t="str">
        <f>IFERROR(__xludf.DUMMYFUNCTION("""COMPUTED_VALUE"""),"tra cứu cic miễn phí")</f>
        <v>tra cứu cic miễn phí</v>
      </c>
      <c r="BZ29" s="21" t="str">
        <f>IFERROR(__xludf.DUMMYFUNCTION("""COMPUTED_VALUE"""),"https://techcombank.com/thong-tin/blog/the-ghi-no-visa-la-gi")</f>
        <v>https://techcombank.com/thong-tin/blog/the-ghi-no-visa-la-gi</v>
      </c>
      <c r="CA29" s="17" t="str">
        <f>IFERROR(__xludf.DUMMYFUNCTION("""COMPUTED_VALUE"""),"tra cứu cic")</f>
        <v>tra cứu cic</v>
      </c>
      <c r="CB29" s="21" t="str">
        <f>IFERROR(__xludf.DUMMYFUNCTION("""COMPUTED_VALUE"""),"https://techcombank.com/thong-tin/blog/tra-gop-lazada")</f>
        <v>https://techcombank.com/thong-tin/blog/tra-gop-lazada</v>
      </c>
      <c r="CC29" s="17" t="str">
        <f>IFERROR(__xludf.DUMMYFUNCTION("""COMPUTED_VALUE"""),"kiểm tra cic")</f>
        <v>kiểm tra cic</v>
      </c>
      <c r="CD29" s="21" t="str">
        <f>IFERROR(__xludf.DUMMYFUNCTION("""COMPUTED_VALUE"""),"https://techcombank.com/thong-tin/blog/lam-ho-so-tra-gop-dien-thoai")</f>
        <v>https://techcombank.com/thong-tin/blog/lam-ho-so-tra-gop-dien-thoai</v>
      </c>
      <c r="CE29" s="17" t="str">
        <f>IFERROR(__xludf.DUMMYFUNCTION("""COMPUTED_VALUE"""),"cic là gì")</f>
        <v>cic là gì</v>
      </c>
      <c r="CF29" s="21" t="str">
        <f>IFERROR(__xludf.DUMMYFUNCTION("""COMPUTED_VALUE"""),"https://techcombank.com/thong-tin/blog/tra-gop-shopee")</f>
        <v>https://techcombank.com/thong-tin/blog/tra-gop-shopee</v>
      </c>
      <c r="CG29" s="17" t="str">
        <f>IFERROR(__xludf.DUMMYFUNCTION("""COMPUTED_VALUE"""),"tra cứu cic miễn phí")</f>
        <v>tra cứu cic miễn phí</v>
      </c>
      <c r="CH29" s="21" t="str">
        <f>IFERROR(__xludf.DUMMYFUNCTION("""COMPUTED_VALUE"""),"https://techcombank.com/thong-tin/blog/thanh-toan-tra-gop-qua-the-tin-dung")</f>
        <v>https://techcombank.com/thong-tin/blog/thanh-toan-tra-gop-qua-the-tin-dung</v>
      </c>
      <c r="CI29" s="17" t="str">
        <f>IFERROR(__xludf.DUMMYFUNCTION("""COMPUTED_VALUE"""),"tra cứu cic")</f>
        <v>tra cứu cic</v>
      </c>
      <c r="CJ29" s="21" t="str">
        <f>IFERROR(__xludf.DUMMYFUNCTION("""COMPUTED_VALUE"""),"https://techcombank.com/thong-tin/blog/cach-su-dung-the-tin-dung")</f>
        <v>https://techcombank.com/thong-tin/blog/cach-su-dung-the-tin-dung</v>
      </c>
      <c r="CK29" s="17" t="str">
        <f>IFERROR(__xludf.DUMMYFUNCTION("""COMPUTED_VALUE"""),"kiểm tra cic")</f>
        <v>kiểm tra cic</v>
      </c>
      <c r="CL29" s="21" t="str">
        <f>IFERROR(__xludf.DUMMYFUNCTION("""COMPUTED_VALUE"""),"https://techcombank.com/thong-tin/blog/du-no-tin-dung-la-gi")</f>
        <v>https://techcombank.com/thong-tin/blog/du-no-tin-dung-la-gi</v>
      </c>
      <c r="CM29" s="17" t="str">
        <f>IFERROR(__xludf.DUMMYFUNCTION("""COMPUTED_VALUE"""),"cic là gì")</f>
        <v>cic là gì</v>
      </c>
      <c r="CN29" s="21" t="str">
        <f>IFERROR(__xludf.DUMMYFUNCTION("""COMPUTED_VALUE"""),"https://techcombank.com/thong-tin/blog/the-tin-dung-mien-phi-thuong-nien")</f>
        <v>https://techcombank.com/thong-tin/blog/the-tin-dung-mien-phi-thuong-nien</v>
      </c>
      <c r="CO29" s="17" t="str">
        <f>IFERROR(__xludf.DUMMYFUNCTION("""COMPUTED_VALUE"""),"tra cứu cic miễn phí")</f>
        <v>tra cứu cic miễn phí</v>
      </c>
      <c r="CP29" s="21" t="str">
        <f>IFERROR(__xludf.DUMMYFUNCTION("""COMPUTED_VALUE"""),"https://techcombank.com/thong-tin/blog/the-visa-co-can-mat-khau-khong")</f>
        <v>https://techcombank.com/thong-tin/blog/the-visa-co-can-mat-khau-khong</v>
      </c>
      <c r="CQ29" s="17" t="str">
        <f>IFERROR(__xludf.DUMMYFUNCTION("""COMPUTED_VALUE"""),"tra cứu cic")</f>
        <v>tra cứu cic</v>
      </c>
      <c r="CR29" s="21" t="str">
        <f>IFERROR(__xludf.DUMMYFUNCTION("""COMPUTED_VALUE"""),"https://techcombank.com/thong-tin/blog/the-ghi-no-va-the-tin-dung")</f>
        <v>https://techcombank.com/thong-tin/blog/the-ghi-no-va-the-tin-dung</v>
      </c>
      <c r="CS29" s="17" t="str">
        <f>IFERROR(__xludf.DUMMYFUNCTION("""COMPUTED_VALUE"""),"kiểm tra cic")</f>
        <v>kiểm tra cic</v>
      </c>
      <c r="CT29" s="21" t="str">
        <f>IFERROR(__xludf.DUMMYFUNCTION("""COMPUTED_VALUE"""),"https://techcombank.com/thong-tin/blog/the-tin-dung-quoc-te")</f>
        <v>https://techcombank.com/thong-tin/blog/the-tin-dung-quoc-te</v>
      </c>
      <c r="CU29" s="17" t="str">
        <f>IFERROR(__xludf.DUMMYFUNCTION("""COMPUTED_VALUE"""),"cic là gì")</f>
        <v>cic là gì</v>
      </c>
      <c r="CV29" s="21" t="str">
        <f>IFERROR(__xludf.DUMMYFUNCTION("""COMPUTED_VALUE"""),"https://techcombank.com/thong-tin/blog/vay-ngan-hang-1-ty-moi-thang-tra-bao-nhieu")</f>
        <v>https://techcombank.com/thong-tin/blog/vay-ngan-hang-1-ty-moi-thang-tra-bao-nhieu</v>
      </c>
      <c r="CW29" s="17" t="str">
        <f>IFERROR(__xludf.DUMMYFUNCTION("""COMPUTED_VALUE"""),"tra cứu cic miễn phí")</f>
        <v>tra cứu cic miễn phí</v>
      </c>
      <c r="CX29" s="21" t="str">
        <f>IFERROR(__xludf.DUMMYFUNCTION("""COMPUTED_VALUE"""),"https://techcombank.com/thong-tin/blog/cach-thanh-toan-the-tin-dung")</f>
        <v>https://techcombank.com/thong-tin/blog/cach-thanh-toan-the-tin-dung</v>
      </c>
      <c r="CY29" s="17" t="str">
        <f>IFERROR(__xludf.DUMMYFUNCTION("""COMPUTED_VALUE"""),"tra cứu cic")</f>
        <v>tra cứu cic</v>
      </c>
      <c r="CZ29" s="21" t="str">
        <f>IFERROR(__xludf.DUMMYFUNCTION("""COMPUTED_VALUE"""),"https://techcombank.com/thong-tin/blog/mua-truoc-tra-sau")</f>
        <v>https://techcombank.com/thong-tin/blog/mua-truoc-tra-sau</v>
      </c>
      <c r="DA29" s="17" t="str">
        <f>IFERROR(__xludf.DUMMYFUNCTION("""COMPUTED_VALUE"""),"kiểm tra cic")</f>
        <v>kiểm tra cic</v>
      </c>
      <c r="DB29" s="21" t="str">
        <f>IFERROR(__xludf.DUMMYFUNCTION("""COMPUTED_VALUE"""),"https://techcombank.com/thong-tin/blog/tra-cuu-han-muc-the-tin-dung")</f>
        <v>https://techcombank.com/thong-tin/blog/tra-cuu-han-muc-the-tin-dung</v>
      </c>
      <c r="DC29" s="17" t="str">
        <f>IFERROR(__xludf.DUMMYFUNCTION("""COMPUTED_VALUE"""),"cic là gì")</f>
        <v>cic là gì</v>
      </c>
      <c r="DD29" s="21" t="str">
        <f>IFERROR(__xludf.DUMMYFUNCTION("""COMPUTED_VALUE"""),"https://techcombank.com/thong-tin/blog/kich-hoat-the-tin-dung-techcombank")</f>
        <v>https://techcombank.com/thong-tin/blog/kich-hoat-the-tin-dung-techcombank</v>
      </c>
      <c r="DE29" s="17" t="str">
        <f>IFERROR(__xludf.DUMMYFUNCTION("""COMPUTED_VALUE"""),"tra cứu cic miễn phí")</f>
        <v>tra cứu cic miễn phí</v>
      </c>
      <c r="DF29" s="21" t="str">
        <f>IFERROR(__xludf.DUMMYFUNCTION("""COMPUTED_VALUE"""),"https://techcombank.com/thong-tin/blog/the-tin-dung-vip")</f>
        <v>https://techcombank.com/thong-tin/blog/the-tin-dung-vip</v>
      </c>
      <c r="DG29" s="17" t="str">
        <f>IFERROR(__xludf.DUMMYFUNCTION("""COMPUTED_VALUE"""),"tra cứu cic")</f>
        <v>tra cứu cic</v>
      </c>
      <c r="DH29" s="21" t="str">
        <f>IFERROR(__xludf.DUMMYFUNCTION("""COMPUTED_VALUE"""),"https://techcombank.com/thong-tin/blog/so-luong-the-tin-dung-noi-dia-dang-luu-hanh-da-tang-42-so-voi-cung-ky-nam-2022")</f>
        <v>https://techcombank.com/thong-tin/blog/so-luong-the-tin-dung-noi-dia-dang-luu-hanh-da-tang-42-so-voi-cung-ky-nam-2022</v>
      </c>
      <c r="DI29" s="17" t="str">
        <f>IFERROR(__xludf.DUMMYFUNCTION("""COMPUTED_VALUE"""),"kiểm tra cic")</f>
        <v>kiểm tra cic</v>
      </c>
      <c r="DJ29" s="21" t="str">
        <f>IFERROR(__xludf.DUMMYFUNCTION("""COMPUTED_VALUE"""),"https://techcombank.com/thong-tin/blog/so-the-tin-dung")</f>
        <v>https://techcombank.com/thong-tin/blog/so-the-tin-dung</v>
      </c>
      <c r="DK29" s="17" t="str">
        <f>IFERROR(__xludf.DUMMYFUNCTION("""COMPUTED_VALUE"""),"cic là gì")</f>
        <v>cic là gì</v>
      </c>
      <c r="DL29" s="21" t="str">
        <f>IFERROR(__xludf.DUMMYFUNCTION("""COMPUTED_VALUE"""),"https://techcombank.com/thong-tin/blog/the-tin-dung-hoan-tien")</f>
        <v>https://techcombank.com/thong-tin/blog/the-tin-dung-hoan-tien</v>
      </c>
      <c r="DM29" s="17" t="str">
        <f>IFERROR(__xludf.DUMMYFUNCTION("""COMPUTED_VALUE"""),"tra cứu cic miễn phí")</f>
        <v>tra cứu cic miễn phí</v>
      </c>
      <c r="DN29" s="21" t="str">
        <f>IFERROR(__xludf.DUMMYFUNCTION("""COMPUTED_VALUE"""),"https://techcombank.com/thong-tin/blog/sang-ngang-the-tin-dung")</f>
        <v>https://techcombank.com/thong-tin/blog/sang-ngang-the-tin-dung</v>
      </c>
      <c r="DO29" s="17" t="str">
        <f>IFERROR(__xludf.DUMMYFUNCTION("""COMPUTED_VALUE"""),"tra cứu cic")</f>
        <v>tra cứu cic</v>
      </c>
      <c r="DP29" s="21" t="str">
        <f>IFERROR(__xludf.DUMMYFUNCTION("""COMPUTED_VALUE"""),"https://techcombank.com/thong-tin/blog/thanh-toan-online-bang-the-tin-dung")</f>
        <v>https://techcombank.com/thong-tin/blog/thanh-toan-online-bang-the-tin-dung</v>
      </c>
      <c r="DQ29" s="17" t="str">
        <f>IFERROR(__xludf.DUMMYFUNCTION("""COMPUTED_VALUE"""),"kiểm tra cic")</f>
        <v>kiểm tra cic</v>
      </c>
      <c r="DR29" s="21" t="str">
        <f>IFERROR(__xludf.DUMMYFUNCTION("""COMPUTED_VALUE"""),"https://techcombank.com/thong-tin/blog/3d-secure")</f>
        <v>https://techcombank.com/thong-tin/blog/3d-secure</v>
      </c>
      <c r="DS29" s="17" t="str">
        <f>IFERROR(__xludf.DUMMYFUNCTION("""COMPUTED_VALUE"""),"cic là gì")</f>
        <v>cic là gì</v>
      </c>
      <c r="DT29" s="21" t="str">
        <f>IFERROR(__xludf.DUMMYFUNCTION("""COMPUTED_VALUE"""),"https://techcombank.com/thong-tin/blog/the-tin-dung-ao")</f>
        <v>https://techcombank.com/thong-tin/blog/the-tin-dung-ao</v>
      </c>
      <c r="DU29" s="17" t="str">
        <f>IFERROR(__xludf.DUMMYFUNCTION("""COMPUTED_VALUE"""),"tra cứu cic miễn phí")</f>
        <v>tra cứu cic miễn phí</v>
      </c>
      <c r="DV29" s="21" t="str">
        <f>IFERROR(__xludf.DUMMYFUNCTION("""COMPUTED_VALUE"""),"https://techcombank.com/thong-tin/blog/the-tin-dung-co-ma-pin-khong")</f>
        <v>https://techcombank.com/thong-tin/blog/the-tin-dung-co-ma-pin-khong</v>
      </c>
      <c r="DW29" s="17" t="str">
        <f>IFERROR(__xludf.DUMMYFUNCTION("""COMPUTED_VALUE"""),"tra cứu cic")</f>
        <v>tra cứu cic</v>
      </c>
      <c r="DX29" s="21" t="str">
        <f>IFERROR(__xludf.DUMMYFUNCTION("""COMPUTED_VALUE"""),"https://techcombank.com/thong-tin/blog/mat-the-tin-dung-co-lam-lai-duoc-khong")</f>
        <v>https://techcombank.com/thong-tin/blog/mat-the-tin-dung-co-lam-lai-duoc-khong</v>
      </c>
      <c r="DY29" s="17" t="str">
        <f>IFERROR(__xludf.DUMMYFUNCTION("""COMPUTED_VALUE"""),"kiểm tra cic")</f>
        <v>kiểm tra cic</v>
      </c>
      <c r="DZ29" s="21" t="str">
        <f>IFERROR(__xludf.DUMMYFUNCTION("""COMPUTED_VALUE"""),"https://techcombank.com/thong-tin/blog/uu-dai-mua-iphone-18")</f>
        <v>https://techcombank.com/thong-tin/blog/uu-dai-mua-iphone-18</v>
      </c>
      <c r="EA29" s="17" t="str">
        <f>IFERROR(__xludf.DUMMYFUNCTION("""COMPUTED_VALUE"""),"cic là gì")</f>
        <v>cic là gì</v>
      </c>
      <c r="EB29" s="21" t="str">
        <f>IFERROR(__xludf.DUMMYFUNCTION("""COMPUTED_VALUE"""),"https://techcombank.com/thong-tin/blog/khong-su-dung-the-tin-dung-co-mat-phi-khong")</f>
        <v>https://techcombank.com/thong-tin/blog/khong-su-dung-the-tin-dung-co-mat-phi-khong</v>
      </c>
      <c r="EC29" s="17" t="str">
        <f>IFERROR(__xludf.DUMMYFUNCTION("""COMPUTED_VALUE"""),"tra cứu cic miễn phí")</f>
        <v>tra cứu cic miễn phí</v>
      </c>
      <c r="ED29" s="21" t="str">
        <f>IFERROR(__xludf.DUMMYFUNCTION("""COMPUTED_VALUE"""),"https://techcombank.com/thong-tin/blog/thanh-toan-khoan-vay")</f>
        <v>https://techcombank.com/thong-tin/blog/thanh-toan-khoan-vay</v>
      </c>
      <c r="EE29" s="17" t="str">
        <f>IFERROR(__xludf.DUMMYFUNCTION("""COMPUTED_VALUE"""),"tra cứu cic")</f>
        <v>tra cứu cic</v>
      </c>
      <c r="EF29" s="21" t="str">
        <f>IFERROR(__xludf.DUMMYFUNCTION("""COMPUTED_VALUE"""),"https://techcombank.com/thong-tin/blog/dao-han-the-tin-dung")</f>
        <v>https://techcombank.com/thong-tin/blog/dao-han-the-tin-dung</v>
      </c>
      <c r="EG29" s="17" t="str">
        <f>IFERROR(__xludf.DUMMYFUNCTION("""COMPUTED_VALUE"""),"kiểm tra cic")</f>
        <v>kiểm tra cic</v>
      </c>
      <c r="EH29" s="21" t="str">
        <f>IFERROR(__xludf.DUMMYFUNCTION("""COMPUTED_VALUE"""),"https://techcombank.com/thong-tin/blog/the-tin-dung-techcombank-visa-eco")</f>
        <v>https://techcombank.com/thong-tin/blog/the-tin-dung-techcombank-visa-eco</v>
      </c>
      <c r="EI29" s="17" t="str">
        <f>IFERROR(__xludf.DUMMYFUNCTION("""COMPUTED_VALUE"""),"cic là gì")</f>
        <v>cic là gì</v>
      </c>
      <c r="EJ29" s="21" t="str">
        <f>IFERROR(__xludf.DUMMYFUNCTION("""COMPUTED_VALUE"""),"https://techcombank.com/thong-tin/blog/mo-the-tin-dung-co-loi-ich-gi")</f>
        <v>https://techcombank.com/thong-tin/blog/mo-the-tin-dung-co-loi-ich-gi</v>
      </c>
      <c r="EK29" s="17" t="str">
        <f>IFERROR(__xludf.DUMMYFUNCTION("""COMPUTED_VALUE"""),"tra cứu cic miễn phí")</f>
        <v>tra cứu cic miễn phí</v>
      </c>
      <c r="EL29" s="21" t="str">
        <f>IFERROR(__xludf.DUMMYFUNCTION("""COMPUTED_VALUE"""),"https://techcombank.com/thong-tin/blog/lam-the-tin-dung")</f>
        <v>https://techcombank.com/thong-tin/blog/lam-the-tin-dung</v>
      </c>
      <c r="EM29" s="17" t="str">
        <f>IFERROR(__xludf.DUMMYFUNCTION("""COMPUTED_VALUE"""),"tra cứu cic")</f>
        <v>tra cứu cic</v>
      </c>
      <c r="EN29" s="21" t="str">
        <f>IFERROR(__xludf.DUMMYFUNCTION("""COMPUTED_VALUE"""),"https://techcombank.com/thong-tin/blog/the-tin-dung-mien-lai-55-ngay")</f>
        <v>https://techcombank.com/thong-tin/blog/the-tin-dung-mien-lai-55-ngay</v>
      </c>
      <c r="EO29" s="17" t="str">
        <f>IFERROR(__xludf.DUMMYFUNCTION("""COMPUTED_VALUE"""),"kiểm tra cic")</f>
        <v>kiểm tra cic</v>
      </c>
      <c r="EP29" s="21" t="str">
        <f>IFERROR(__xludf.DUMMYFUNCTION("""COMPUTED_VALUE"""),"https://techcombank.com/thong-tin/blog/lam-the-tin-dung-co-mat-phi-khong")</f>
        <v>https://techcombank.com/thong-tin/blog/lam-the-tin-dung-co-mat-phi-khong</v>
      </c>
      <c r="EQ29" s="17" t="str">
        <f>IFERROR(__xludf.DUMMYFUNCTION("""COMPUTED_VALUE"""),"cic là gì")</f>
        <v>cic là gì</v>
      </c>
      <c r="ER29" s="21" t="str">
        <f>IFERROR(__xludf.DUMMYFUNCTION("""COMPUTED_VALUE"""),"https://techcombank.com/thong-tin/blog/thoi-gian-hoan-tien-the-tin-dung")</f>
        <v>https://techcombank.com/thong-tin/blog/thoi-gian-hoan-tien-the-tin-dung</v>
      </c>
      <c r="ES29" s="17" t="str">
        <f>IFERROR(__xludf.DUMMYFUNCTION("""COMPUTED_VALUE"""),"tra cứu cic miễn phí")</f>
        <v>tra cứu cic miễn phí</v>
      </c>
      <c r="ET29" s="21" t="str">
        <f>IFERROR(__xludf.DUMMYFUNCTION("""COMPUTED_VALUE"""),"https://techcombank.com/thong-tin/blog/uu-dai-mo-the-tin-dung")</f>
        <v>https://techcombank.com/thong-tin/blog/uu-dai-mo-the-tin-dung</v>
      </c>
      <c r="EU29" s="17" t="str">
        <f>IFERROR(__xludf.DUMMYFUNCTION("""COMPUTED_VALUE"""),"tra cứu cic")</f>
        <v>tra cứu cic</v>
      </c>
      <c r="EV29" s="21" t="str">
        <f>IFERROR(__xludf.DUMMYFUNCTION("""COMPUTED_VALUE"""),"https://techcombank.com/thong-tin/blog/uu-dai-the-tin-dung")</f>
        <v>https://techcombank.com/thong-tin/blog/uu-dai-the-tin-dung</v>
      </c>
      <c r="EW29" s="17" t="str">
        <f>IFERROR(__xludf.DUMMYFUNCTION("""COMPUTED_VALUE"""),"kiểm tra cic")</f>
        <v>kiểm tra cic</v>
      </c>
      <c r="EX29" s="21" t="str">
        <f>IFERROR(__xludf.DUMMYFUNCTION("""COMPUTED_VALUE"""),"https://techcombank.com/thong-tin/blog/the-tin-dung-la-gi")</f>
        <v>https://techcombank.com/thong-tin/blog/the-tin-dung-la-gi</v>
      </c>
      <c r="EY29" s="17" t="str">
        <f>IFERROR(__xludf.DUMMYFUNCTION("""COMPUTED_VALUE"""),"cic là gì")</f>
        <v>cic là gì</v>
      </c>
      <c r="EZ29" s="21" t="str">
        <f>IFERROR(__xludf.DUMMYFUNCTION("""COMPUTED_VALUE"""),"https://techcombank.com/thong-tin/blog/tai-khoan-ngan-hang-la-gi")</f>
        <v>https://techcombank.com/thong-tin/blog/tai-khoan-ngan-hang-la-gi</v>
      </c>
      <c r="FA29" s="17" t="str">
        <f>IFERROR(__xludf.DUMMYFUNCTION("""COMPUTED_VALUE"""),"tra cứu cic miễn phí")</f>
        <v>tra cứu cic miễn phí</v>
      </c>
      <c r="FB29" s="21" t="str">
        <f>IFERROR(__xludf.DUMMYFUNCTION("""COMPUTED_VALUE"""),"https://techcombank.com/thong-tin/blog/cach-huy-the-tin-dung")</f>
        <v>https://techcombank.com/thong-tin/blog/cach-huy-the-tin-dung</v>
      </c>
      <c r="FC29" s="17" t="str">
        <f>IFERROR(__xludf.DUMMYFUNCTION("""COMPUTED_VALUE"""),"tra cứu cic")</f>
        <v>tra cứu cic</v>
      </c>
      <c r="FD29" s="21" t="str">
        <f>IFERROR(__xludf.DUMMYFUNCTION("""COMPUTED_VALUE"""),"https://techcombank.com/thong-tin/blog/the-tin-dung-den")</f>
        <v>https://techcombank.com/thong-tin/blog/the-tin-dung-den</v>
      </c>
      <c r="FE29" s="17" t="str">
        <f>IFERROR(__xludf.DUMMYFUNCTION("""COMPUTED_VALUE"""),"kiểm tra cic")</f>
        <v>kiểm tra cic</v>
      </c>
      <c r="FF29" s="21" t="str">
        <f>IFERROR(__xludf.DUMMYFUNCTION("""COMPUTED_VALUE"""),"https://techcombank.com/thong-tin/blog/lai-suat-the-tin-dung")</f>
        <v>https://techcombank.com/thong-tin/blog/lai-suat-the-tin-dung</v>
      </c>
      <c r="FG29" s="17" t="str">
        <f>IFERROR(__xludf.DUMMYFUNCTION("""COMPUTED_VALUE"""),"cic là gì")</f>
        <v>cic là gì</v>
      </c>
      <c r="FH29" s="21" t="str">
        <f>IFERROR(__xludf.DUMMYFUNCTION("""COMPUTED_VALUE"""),"https://techcombank.com/thong-tin/blog/thanh-toan-tien-dien-bang-the-tin-dung")</f>
        <v>https://techcombank.com/thong-tin/blog/thanh-toan-tien-dien-bang-the-tin-dung</v>
      </c>
      <c r="FI29" s="17" t="str">
        <f>IFERROR(__xludf.DUMMYFUNCTION("""COMPUTED_VALUE"""),"tra cứu cic miễn phí")</f>
        <v>tra cứu cic miễn phí</v>
      </c>
      <c r="FJ29" s="21" t="str">
        <f>IFERROR(__xludf.DUMMYFUNCTION("""COMPUTED_VALUE"""),"https://techcombank.com/thong-tin/blog/mo-the-tin-dung-chi-can-cccd")</f>
        <v>https://techcombank.com/thong-tin/blog/mo-the-tin-dung-chi-can-cccd</v>
      </c>
      <c r="FK29" s="17" t="str">
        <f>IFERROR(__xludf.DUMMYFUNCTION("""COMPUTED_VALUE"""),"tra cứu cic")</f>
        <v>tra cứu cic</v>
      </c>
      <c r="FL29" s="21" t="str">
        <f>IFERROR(__xludf.DUMMYFUNCTION("""COMPUTED_VALUE"""),"https://techcombank.com/thong-tin/blog/mo-the-tin-dung-khong-can-chung-minh-thu-nhap")</f>
        <v>https://techcombank.com/thong-tin/blog/mo-the-tin-dung-khong-can-chung-minh-thu-nhap</v>
      </c>
      <c r="FM29" s="17" t="str">
        <f>IFERROR(__xludf.DUMMYFUNCTION("""COMPUTED_VALUE"""),"kiểm tra cic")</f>
        <v>kiểm tra cic</v>
      </c>
      <c r="FN29" s="21" t="str">
        <f>IFERROR(__xludf.DUMMYFUNCTION("""COMPUTED_VALUE"""),"https://techcombank.com/thong-tin/blog/cac-loai-the-tin-dung")</f>
        <v>https://techcombank.com/thong-tin/blog/cac-loai-the-tin-dung</v>
      </c>
      <c r="FO29" s="17" t="str">
        <f>IFERROR(__xludf.DUMMYFUNCTION("""COMPUTED_VALUE"""),"cic là gì")</f>
        <v>cic là gì</v>
      </c>
      <c r="FP29" s="21" t="str">
        <f>IFERROR(__xludf.DUMMYFUNCTION("""COMPUTED_VALUE"""),"https://techcombank.com/thong-tin/blog/so-cvv-la-gi")</f>
        <v>https://techcombank.com/thong-tin/blog/so-cvv-la-gi</v>
      </c>
      <c r="FQ29" s="17" t="str">
        <f>IFERROR(__xludf.DUMMYFUNCTION("""COMPUTED_VALUE"""),"tra cứu cic miễn phí")</f>
        <v>tra cứu cic miễn phí</v>
      </c>
      <c r="FR29" s="21" t="str">
        <f>IFERROR(__xludf.DUMMYFUNCTION("""COMPUTED_VALUE"""),"https://techcombank.com/thong-tin/blog/the-tin-dung-nao-nhieu-uu-dai-nhat")</f>
        <v>https://techcombank.com/thong-tin/blog/the-tin-dung-nao-nhieu-uu-dai-nhat</v>
      </c>
      <c r="FS29" s="17" t="str">
        <f>IFERROR(__xludf.DUMMYFUNCTION("""COMPUTED_VALUE"""),"tra cứu cic")</f>
        <v>tra cứu cic</v>
      </c>
      <c r="FT29" s="21" t="str">
        <f>IFERROR(__xludf.DUMMYFUNCTION("""COMPUTED_VALUE"""),"https://techcombank.com/thong-tin/blog/mua-iphone-17")</f>
        <v>https://techcombank.com/thong-tin/blog/mua-iphone-17</v>
      </c>
      <c r="FU29" s="17" t="str">
        <f>IFERROR(__xludf.DUMMYFUNCTION("""COMPUTED_VALUE"""),"kiểm tra cic")</f>
        <v>kiểm tra cic</v>
      </c>
      <c r="FV29" s="21" t="str">
        <f>IFERROR(__xludf.DUMMYFUNCTION("""COMPUTED_VALUE"""),"https://techcombank.com/thong-tin/blog/the-tin-dung-het-han")</f>
        <v>https://techcombank.com/thong-tin/blog/the-tin-dung-het-han</v>
      </c>
      <c r="FW29" s="17" t="str">
        <f>IFERROR(__xludf.DUMMYFUNCTION("""COMPUTED_VALUE"""),"cic là gì")</f>
        <v>cic là gì</v>
      </c>
      <c r="FX29" s="21" t="str">
        <f>IFERROR(__xludf.DUMMYFUNCTION("""COMPUTED_VALUE"""),"https://techcombank.com/thong-tin/blog/phi-rut-tien-mat-the-tin-dung")</f>
        <v>https://techcombank.com/thong-tin/blog/phi-rut-tien-mat-the-tin-dung</v>
      </c>
      <c r="FY29" s="17" t="str">
        <f>IFERROR(__xludf.DUMMYFUNCTION("""COMPUTED_VALUE"""),"tra cứu cic miễn phí")</f>
        <v>tra cứu cic miễn phí</v>
      </c>
      <c r="FZ29" s="21" t="str">
        <f>IFERROR(__xludf.DUMMYFUNCTION("""COMPUTED_VALUE"""),"https://techcombank.com/thong-tin/blog/the-tin-dung-co-chuyen-khoan-duoc-khong")</f>
        <v>https://techcombank.com/thong-tin/blog/the-tin-dung-co-chuyen-khoan-duoc-khong</v>
      </c>
      <c r="GA29" s="17" t="str">
        <f>IFERROR(__xludf.DUMMYFUNCTION("""COMPUTED_VALUE"""),"tra cứu cic")</f>
        <v>tra cứu cic</v>
      </c>
      <c r="GB29" s="21" t="str">
        <f>IFERROR(__xludf.DUMMYFUNCTION("""COMPUTED_VALUE"""),"https://techcombank.com/thong-tin/blog/uu-dai-mua-ve-may-bay-bang-the-tin-dung")</f>
        <v>https://techcombank.com/thong-tin/blog/uu-dai-mua-ve-may-bay-bang-the-tin-dung</v>
      </c>
      <c r="GC29" s="17" t="str">
        <f>IFERROR(__xludf.DUMMYFUNCTION("""COMPUTED_VALUE"""),"kiểm tra cic")</f>
        <v>kiểm tra cic</v>
      </c>
      <c r="GD29" s="21" t="str">
        <f>IFERROR(__xludf.DUMMYFUNCTION("""COMPUTED_VALUE"""),"https://techcombank.com/thong-tin/blog/mat-the-tin-dung-co-bi-mat-tien-khong")</f>
        <v>https://techcombank.com/thong-tin/blog/mat-the-tin-dung-co-bi-mat-tien-khong</v>
      </c>
      <c r="GE29" s="17" t="str">
        <f>IFERROR(__xludf.DUMMYFUNCTION("""COMPUTED_VALUE"""),"cic là gì")</f>
        <v>cic là gì</v>
      </c>
      <c r="GF29" s="21" t="str">
        <f>IFERROR(__xludf.DUMMYFUNCTION("""COMPUTED_VALUE"""),"https://techcombank.com/thong-tin/blog/cach-lam-the-ngan-hang-chay-quang-cao-facebook")</f>
        <v>https://techcombank.com/thong-tin/blog/cach-lam-the-ngan-hang-chay-quang-cao-facebook</v>
      </c>
      <c r="GG29" s="17" t="str">
        <f>IFERROR(__xludf.DUMMYFUNCTION("""COMPUTED_VALUE"""),"tra cứu cic miễn phí")</f>
        <v>tra cứu cic miễn phí</v>
      </c>
      <c r="GH29" s="21" t="str">
        <f>IFERROR(__xludf.DUMMYFUNCTION("""COMPUTED_VALUE"""),"https://techcombank.com/thong-tin/blog/co-nen-dung-the-tin-dung-khong")</f>
        <v>https://techcombank.com/thong-tin/blog/co-nen-dung-the-tin-dung-khong</v>
      </c>
      <c r="GI29" s="17" t="str">
        <f>IFERROR(__xludf.DUMMYFUNCTION("""COMPUTED_VALUE"""),"tra cứu cic")</f>
        <v>tra cứu cic</v>
      </c>
      <c r="GJ29" s="21" t="str">
        <f>IFERROR(__xludf.DUMMYFUNCTION("""COMPUTED_VALUE"""),"https://techcombank.com/thong-tin/blog/ma-buu-chinh-the-tin-dung")</f>
        <v>https://techcombank.com/thong-tin/blog/ma-buu-chinh-the-tin-dung</v>
      </c>
      <c r="GK29" s="17" t="str">
        <f>IFERROR(__xludf.DUMMYFUNCTION("""COMPUTED_VALUE"""),"kiểm tra cic")</f>
        <v>kiểm tra cic</v>
      </c>
      <c r="GL29" s="21" t="str">
        <f>IFERROR(__xludf.DUMMYFUNCTION("""COMPUTED_VALUE"""),"https://techcombank.com/thong-tin/blog/tai-khoan-doanh-nghiep-co-the-khong")</f>
        <v>https://techcombank.com/thong-tin/blog/tai-khoan-doanh-nghiep-co-the-khong</v>
      </c>
      <c r="GM29" s="17" t="str">
        <f>IFERROR(__xludf.DUMMYFUNCTION("""COMPUTED_VALUE"""),"cic là gì")</f>
        <v>cic là gì</v>
      </c>
      <c r="GN29" s="21" t="str">
        <f>IFERROR(__xludf.DUMMYFUNCTION("""COMPUTED_VALUE"""),"https://techcombank.com/thong-tin/blog/mm-yy-la-gi")</f>
        <v>https://techcombank.com/thong-tin/blog/mm-yy-la-gi</v>
      </c>
      <c r="GO29" s="17" t="str">
        <f>IFERROR(__xludf.DUMMYFUNCTION("""COMPUTED_VALUE"""),"tra cứu cic miễn phí")</f>
        <v>tra cứu cic miễn phí</v>
      </c>
      <c r="GP29" s="21" t="str">
        <f>IFERROR(__xludf.DUMMYFUNCTION("""COMPUTED_VALUE"""),"https://techcombank.com/thong-tin/blog/uu-dai-the-tin-dung-techcombank-signature")</f>
        <v>https://techcombank.com/thong-tin/blog/uu-dai-the-tin-dung-techcombank-signature</v>
      </c>
      <c r="GQ29" s="17" t="str">
        <f>IFERROR(__xludf.DUMMYFUNCTION("""COMPUTED_VALUE"""),"tra cứu cic")</f>
        <v>tra cứu cic</v>
      </c>
      <c r="GR29" s="21" t="str">
        <f>IFERROR(__xludf.DUMMYFUNCTION("""COMPUTED_VALUE"""),"https://techcombank.com/thong-tin/blog/tin-dung-tieu-dung")</f>
        <v>https://techcombank.com/thong-tin/blog/tin-dung-tieu-dung</v>
      </c>
      <c r="GS29" s="17" t="str">
        <f>IFERROR(__xludf.DUMMYFUNCTION("""COMPUTED_VALUE"""),"kiểm tra cic")</f>
        <v>kiểm tra cic</v>
      </c>
      <c r="GT29" s="21" t="str">
        <f>IFERROR(__xludf.DUMMYFUNCTION("""COMPUTED_VALUE"""),"https://techcombank.com/thong-tin/blog/tin-dung-doanh-nghiep")</f>
        <v>https://techcombank.com/thong-tin/blog/tin-dung-doanh-nghiep</v>
      </c>
      <c r="GU29" s="17" t="str">
        <f>IFERROR(__xludf.DUMMYFUNCTION("""COMPUTED_VALUE"""),"cic là gì")</f>
        <v>cic là gì</v>
      </c>
      <c r="GV29" s="21" t="str">
        <f>IFERROR(__xludf.DUMMYFUNCTION("""COMPUTED_VALUE"""),"https://techcombank.com/thong-tin/blog/cho-vay-hop-von-la-gi")</f>
        <v>https://techcombank.com/thong-tin/blog/cho-vay-hop-von-la-gi</v>
      </c>
      <c r="GW29" s="17" t="str">
        <f>IFERROR(__xludf.DUMMYFUNCTION("""COMPUTED_VALUE"""),"tra cứu cic miễn phí")</f>
        <v>tra cứu cic miễn phí</v>
      </c>
      <c r="GX29" s="21" t="str">
        <f>IFERROR(__xludf.DUMMYFUNCTION("""COMPUTED_VALUE"""),"https://techcombank.com/thong-tin/blog/nhu-cau-vay-tieu-dung-cua-nguoi-viet-du-kien-tang-manh-trong-thoi-gian-toi")</f>
        <v>https://techcombank.com/thong-tin/blog/nhu-cau-vay-tieu-dung-cua-nguoi-viet-du-kien-tang-manh-trong-thoi-gian-toi</v>
      </c>
      <c r="GY29" s="17" t="str">
        <f>IFERROR(__xludf.DUMMYFUNCTION("""COMPUTED_VALUE"""),"tra cứu cic")</f>
        <v>tra cứu cic</v>
      </c>
      <c r="GZ29" s="21" t="str">
        <f>IFERROR(__xludf.DUMMYFUNCTION("""COMPUTED_VALUE"""),"https://techcombank.com/thong-tin/blog/san-pham-xanh")</f>
        <v>https://techcombank.com/thong-tin/blog/san-pham-xanh</v>
      </c>
      <c r="HA29" s="17" t="str">
        <f>IFERROR(__xludf.DUMMYFUNCTION("""COMPUTED_VALUE"""),"kiểm tra cic")</f>
        <v>kiểm tra cic</v>
      </c>
      <c r="HB29" s="21" t="str">
        <f>IFERROR(__xludf.DUMMYFUNCTION("""COMPUTED_VALUE"""),"https://techcombank.com/thong-tin/blog/tap-doan-thanh-quang-khoi-sac-kinh-doanh-nho-nguon-von-vay-tin-dung-techcombank-tren-nen-tang-misa-lending")</f>
        <v>https://techcombank.com/thong-tin/blog/tap-doan-thanh-quang-khoi-sac-kinh-doanh-nho-nguon-von-vay-tin-dung-techcombank-tren-nen-tang-misa-lending</v>
      </c>
      <c r="HC29" s="17" t="str">
        <f>IFERROR(__xludf.DUMMYFUNCTION("""COMPUTED_VALUE"""),"cic là gì")</f>
        <v>cic là gì</v>
      </c>
      <c r="HD29" s="21" t="str">
        <f>IFERROR(__xludf.DUMMYFUNCTION("""COMPUTED_VALUE"""),"https://techcombank.com/thong-tin/blog/du-no-la-gi")</f>
        <v>https://techcombank.com/thong-tin/blog/du-no-la-gi</v>
      </c>
      <c r="HE29" s="17" t="str">
        <f>IFERROR(__xludf.DUMMYFUNCTION("""COMPUTED_VALUE"""),"tra cứu cic miễn phí")</f>
        <v>tra cứu cic miễn phí</v>
      </c>
      <c r="HF29" s="21" t="str">
        <f>IFERROR(__xludf.DUMMYFUNCTION("""COMPUTED_VALUE"""),"https://techcombank.com/thong-tin/blog/cam-ket-tin-dung")</f>
        <v>https://techcombank.com/thong-tin/blog/cam-ket-tin-dung</v>
      </c>
      <c r="HG29" s="17" t="str">
        <f>IFERROR(__xludf.DUMMYFUNCTION("""COMPUTED_VALUE"""),"tra cứu cic")</f>
        <v>tra cứu cic</v>
      </c>
      <c r="HH29" s="21" t="str">
        <f>IFERROR(__xludf.DUMMYFUNCTION("""COMPUTED_VALUE"""),"https://techcombank.com/thong-tin/blog/xep-hang-tin-dung")</f>
        <v>https://techcombank.com/thong-tin/blog/xep-hang-tin-dung</v>
      </c>
      <c r="HI29" s="17" t="str">
        <f>IFERROR(__xludf.DUMMYFUNCTION("""COMPUTED_VALUE"""),"kiểm tra cic")</f>
        <v>kiểm tra cic</v>
      </c>
      <c r="HJ29" s="21" t="str">
        <f>IFERROR(__xludf.DUMMYFUNCTION("""COMPUTED_VALUE"""),"https://techcombank.com/thong-tin/blog/thanh-toan-quoc-te")</f>
        <v>https://techcombank.com/thong-tin/blog/thanh-toan-quoc-te</v>
      </c>
      <c r="HK29" s="17" t="str">
        <f>IFERROR(__xludf.DUMMYFUNCTION("""COMPUTED_VALUE"""),"cic là gì")</f>
        <v>cic là gì</v>
      </c>
      <c r="HL29" s="21" t="str">
        <f>IFERROR(__xludf.DUMMYFUNCTION("""COMPUTED_VALUE"""),"https://techcombank.com/thong-tin/blog/tin-dung-la-gi")</f>
        <v>https://techcombank.com/thong-tin/blog/tin-dung-la-gi</v>
      </c>
      <c r="HM29" s="17" t="str">
        <f>IFERROR(__xludf.DUMMYFUNCTION("""COMPUTED_VALUE"""),"tra cứu cic miễn phí")</f>
        <v>tra cứu cic miễn phí</v>
      </c>
      <c r="HN29" s="21" t="str">
        <f>IFERROR(__xludf.DUMMYFUNCTION("""COMPUTED_VALUE"""),"https://techcombank.com/thong-tin/blog/the-mastercard-la-gi")</f>
        <v>https://techcombank.com/thong-tin/blog/the-mastercard-la-gi</v>
      </c>
      <c r="HO29" s="17" t="str">
        <f>IFERROR(__xludf.DUMMYFUNCTION("""COMPUTED_VALUE"""),"tra cứu cic")</f>
        <v>tra cứu cic</v>
      </c>
      <c r="HP29" s="21" t="str">
        <f>IFERROR(__xludf.DUMMYFUNCTION("""COMPUTED_VALUE"""),"https://techcombank.com/thong-tin/blog/the-visa-co-rut-tien-duoc-khong")</f>
        <v>https://techcombank.com/thong-tin/blog/the-visa-co-rut-tien-duoc-khong</v>
      </c>
      <c r="HQ29" s="17" t="str">
        <f>IFERROR(__xludf.DUMMYFUNCTION("""COMPUTED_VALUE"""),"kiểm tra cic")</f>
        <v>kiểm tra cic</v>
      </c>
      <c r="HR29" s="21" t="str">
        <f>IFERROR(__xludf.DUMMYFUNCTION("""COMPUTED_VALUE"""),"https://techcombank.com/thong-tin/blog/vay-han-muc-la-gi")</f>
        <v>https://techcombank.com/thong-tin/blog/vay-han-muc-la-gi</v>
      </c>
      <c r="HS29" s="17" t="str">
        <f>IFERROR(__xludf.DUMMYFUNCTION("""COMPUTED_VALUE"""),"cic là gì")</f>
        <v>cic là gì</v>
      </c>
      <c r="HT29" s="21" t="str">
        <f>IFERROR(__xludf.DUMMYFUNCTION("""COMPUTED_VALUE"""),"https://techcombank.com/thong-tin/blog/co-100-trieu-co-mua-nen-mua-tra-gop")</f>
        <v>https://techcombank.com/thong-tin/blog/co-100-trieu-co-mua-nen-mua-tra-gop</v>
      </c>
      <c r="HU29" s="17" t="str">
        <f>IFERROR(__xludf.DUMMYFUNCTION("""COMPUTED_VALUE"""),"tra cứu cic miễn phí")</f>
        <v>tra cứu cic miễn phí</v>
      </c>
      <c r="HV29" s="21" t="str">
        <f>IFERROR(__xludf.DUMMYFUNCTION("""COMPUTED_VALUE"""),"https://techcombank.com/thong-tin/blog/doanh-nghiep-moi-thanh-lap-duoc-uu-dai-gi")</f>
        <v>https://techcombank.com/thong-tin/blog/doanh-nghiep-moi-thanh-lap-duoc-uu-dai-gi</v>
      </c>
      <c r="HW29" s="17" t="str">
        <f>IFERROR(__xludf.DUMMYFUNCTION("""COMPUTED_VALUE"""),"tra cứu cic")</f>
        <v>tra cứu cic</v>
      </c>
      <c r="HX29" s="21" t="str">
        <f>IFERROR(__xludf.DUMMYFUNCTION("""COMPUTED_VALUE"""),"https://techcombank.com/thong-tin/blog/vay-mua-nha-o-xa-hoi")</f>
        <v>https://techcombank.com/thong-tin/blog/vay-mua-nha-o-xa-hoi</v>
      </c>
      <c r="HY29" s="17" t="str">
        <f>IFERROR(__xludf.DUMMYFUNCTION("""COMPUTED_VALUE"""),"kiểm tra cic")</f>
        <v>kiểm tra cic</v>
      </c>
      <c r="HZ29" s="21" t="str">
        <f>IFERROR(__xludf.DUMMYFUNCTION("""COMPUTED_VALUE"""),"https://techcombank.com/thong-tin/blog/cach-su-dung-the-visa-techcombank")</f>
        <v>https://techcombank.com/thong-tin/blog/cach-su-dung-the-visa-techcombank</v>
      </c>
      <c r="IA29" s="17" t="str">
        <f>IFERROR(__xludf.DUMMYFUNCTION("""COMPUTED_VALUE"""),"cic là gì")</f>
        <v>cic là gì</v>
      </c>
      <c r="IB29" s="21" t="str">
        <f>IFERROR(__xludf.DUMMYFUNCTION("""COMPUTED_VALUE"""),"https://techcombank.com/thong-tin/blog/mua-nha-tra-gop-dua-truoc-100-trieu")</f>
        <v>https://techcombank.com/thong-tin/blog/mua-nha-tra-gop-dua-truoc-100-trieu</v>
      </c>
      <c r="IC29" s="17" t="str">
        <f>IFERROR(__xludf.DUMMYFUNCTION("""COMPUTED_VALUE"""),"tra cứu cic miễn phí")</f>
        <v>tra cứu cic miễn phí</v>
      </c>
      <c r="ID29" s="21" t="str">
        <f>IFERROR(__xludf.DUMMYFUNCTION("""COMPUTED_VALUE"""),"https://techcombank.com/thong-tin/blog/nen-mua-xe-tra-gop-hay-tra-thang")</f>
        <v>https://techcombank.com/thong-tin/blog/nen-mua-xe-tra-gop-hay-tra-thang</v>
      </c>
      <c r="IE29" s="17" t="str">
        <f>IFERROR(__xludf.DUMMYFUNCTION("""COMPUTED_VALUE"""),"tra cứu cic")</f>
        <v>tra cứu cic</v>
      </c>
      <c r="IF29" s="21" t="str">
        <f>IFERROR(__xludf.DUMMYFUNCTION("""COMPUTED_VALUE"""),"https://techcombank.com/thong-tin/blog/vay-200-trieu")</f>
        <v>https://techcombank.com/thong-tin/blog/vay-200-trieu</v>
      </c>
      <c r="IG29" s="17" t="str">
        <f>IFERROR(__xludf.DUMMYFUNCTION("""COMPUTED_VALUE"""),"kiểm tra cic")</f>
        <v>kiểm tra cic</v>
      </c>
      <c r="IH29" s="21" t="str">
        <f>IFERROR(__xludf.DUMMYFUNCTION("""COMPUTED_VALUE"""),"https://techcombank.com/thong-tin/blog/the-visa-de-lam-gi")</f>
        <v>https://techcombank.com/thong-tin/blog/the-visa-de-lam-gi</v>
      </c>
      <c r="II29" s="17" t="str">
        <f>IFERROR(__xludf.DUMMYFUNCTION("""COMPUTED_VALUE"""),"cic là gì")</f>
        <v>cic là gì</v>
      </c>
      <c r="IJ29" s="21" t="str">
        <f>IFERROR(__xludf.DUMMYFUNCTION("""COMPUTED_VALUE"""),"https://techcombank.com/thong-tin/blog/the-visa-khong-thanh-toan-duoc")</f>
        <v>https://techcombank.com/thong-tin/blog/the-visa-khong-thanh-toan-duoc</v>
      </c>
      <c r="IK29" s="17" t="str">
        <f>IFERROR(__xludf.DUMMYFUNCTION("""COMPUTED_VALUE"""),"tra cứu cic miễn phí")</f>
        <v>tra cứu cic miễn phí</v>
      </c>
      <c r="IL29" s="21" t="str">
        <f>IFERROR(__xludf.DUMMYFUNCTION("""COMPUTED_VALUE"""),"https://techcombank.com/thong-tin/blog/cach-dang-ky-the-visa")</f>
        <v>https://techcombank.com/thong-tin/blog/cach-dang-ky-the-visa</v>
      </c>
      <c r="IM29" s="17" t="str">
        <f>IFERROR(__xludf.DUMMYFUNCTION("""COMPUTED_VALUE"""),"tra cứu cic")</f>
        <v>tra cứu cic</v>
      </c>
      <c r="IN29" s="21" t="str">
        <f>IFERROR(__xludf.DUMMYFUNCTION("""COMPUTED_VALUE"""),"https://techcombank.com/thong-tin/blog/the-visa")</f>
        <v>https://techcombank.com/thong-tin/blog/the-visa</v>
      </c>
      <c r="IO29" s="17" t="str">
        <f>IFERROR(__xludf.DUMMYFUNCTION("""COMPUTED_VALUE"""),"kiểm tra cic")</f>
        <v>kiểm tra cic</v>
      </c>
      <c r="IP29" s="21" t="str">
        <f>IFERROR(__xludf.DUMMYFUNCTION("""COMPUTED_VALUE"""),"https://techcombank.com/thong-tin/blog/so-the-visa-hop-le")</f>
        <v>https://techcombank.com/thong-tin/blog/so-the-visa-hop-le</v>
      </c>
      <c r="IQ29" s="17" t="str">
        <f>IFERROR(__xludf.DUMMYFUNCTION("""COMPUTED_VALUE"""),"cic là gì")</f>
        <v>cic là gì</v>
      </c>
      <c r="IR29" s="21" t="str">
        <f>IFERROR(__xludf.DUMMYFUNCTION("""COMPUTED_VALUE"""),"https://techcombank.com/thong-tin/blog/cho-vay-kinh-doanh-ho-gia-dinh")</f>
        <v>https://techcombank.com/thong-tin/blog/cho-vay-kinh-doanh-ho-gia-dinh</v>
      </c>
      <c r="IS29" s="17" t="str">
        <f>IFERROR(__xludf.DUMMYFUNCTION("""COMPUTED_VALUE"""),"tra cứu cic miễn phí")</f>
        <v>tra cứu cic miễn phí</v>
      </c>
      <c r="IT29" s="21" t="str">
        <f>IFERROR(__xludf.DUMMYFUNCTION("""COMPUTED_VALUE"""),"https://techcombank.com/thong-tin/blog/vay-von-doanh-nghiep-nho")</f>
        <v>https://techcombank.com/thong-tin/blog/vay-von-doanh-nghiep-nho</v>
      </c>
      <c r="IU29" s="17" t="str">
        <f>IFERROR(__xludf.DUMMYFUNCTION("""COMPUTED_VALUE"""),"tra cứu cic")</f>
        <v>tra cứu cic</v>
      </c>
      <c r="IV29" s="21" t="str">
        <f>IFERROR(__xludf.DUMMYFUNCTION("""COMPUTED_VALUE"""),"https://techcombank.com/thong-tin/blog/lam-the-visa-mat-bao-lau")</f>
        <v>https://techcombank.com/thong-tin/blog/lam-the-visa-mat-bao-lau</v>
      </c>
      <c r="IW29" s="17" t="str">
        <f>IFERROR(__xludf.DUMMYFUNCTION("""COMPUTED_VALUE"""),"kiểm tra cic")</f>
        <v>kiểm tra cic</v>
      </c>
      <c r="IX29" s="21" t="str">
        <f>IFERROR(__xludf.DUMMYFUNCTION("""COMPUTED_VALUE"""),"https://techcombank.com/thong-tin/blog/lam-the-visa-online")</f>
        <v>https://techcombank.com/thong-tin/blog/lam-the-visa-online</v>
      </c>
      <c r="IY29" s="17" t="str">
        <f>IFERROR(__xludf.DUMMYFUNCTION("""COMPUTED_VALUE"""),"cic là gì")</f>
        <v>cic là gì</v>
      </c>
      <c r="IZ29" s="21" t="str">
        <f>IFERROR(__xludf.DUMMYFUNCTION("""COMPUTED_VALUE"""),"https://techcombank.com/thong-tin/blog/the-visa-co-may-loai")</f>
        <v>https://techcombank.com/thong-tin/blog/the-visa-co-may-loai</v>
      </c>
      <c r="JA29" s="17" t="str">
        <f>IFERROR(__xludf.DUMMYFUNCTION("""COMPUTED_VALUE"""),"tra cứu cic miễn phí")</f>
        <v>tra cứu cic miễn phí</v>
      </c>
      <c r="JB29" s="21" t="str">
        <f>IFERROR(__xludf.DUMMYFUNCTION("""COMPUTED_VALUE"""),"https://techcombank.com/thong-tin/blog/vay-the-chap-toi-da-duoc-bao-nhieu")</f>
        <v>https://techcombank.com/thong-tin/blog/vay-the-chap-toi-da-duoc-bao-nhieu</v>
      </c>
      <c r="JC29" s="17" t="str">
        <f>IFERROR(__xludf.DUMMYFUNCTION("""COMPUTED_VALUE"""),"tra cứu cic")</f>
        <v>tra cứu cic</v>
      </c>
      <c r="JD29" s="21" t="str">
        <f>IFERROR(__xludf.DUMMYFUNCTION("""COMPUTED_VALUE"""),"https://techcombank.com/thong-tin/blog/the-visa-ao-la-gi")</f>
        <v>https://techcombank.com/thong-tin/blog/the-visa-ao-la-gi</v>
      </c>
      <c r="JE29" s="17" t="str">
        <f>IFERROR(__xludf.DUMMYFUNCTION("""COMPUTED_VALUE"""),"kiểm tra cic")</f>
        <v>kiểm tra cic</v>
      </c>
      <c r="JF29" s="21" t="str">
        <f>IFERROR(__xludf.DUMMYFUNCTION("""COMPUTED_VALUE"""),"https://techcombank.com/thong-tin/blog/the-visa-co-thanh-toan-quoc-te-duoc-khong")</f>
        <v>https://techcombank.com/thong-tin/blog/the-visa-co-thanh-toan-quoc-te-duoc-khong</v>
      </c>
      <c r="JG29" s="17" t="str">
        <f>IFERROR(__xludf.DUMMYFUNCTION("""COMPUTED_VALUE"""),"cic là gì")</f>
        <v>cic là gì</v>
      </c>
      <c r="JH29" s="21" t="str">
        <f>IFERROR(__xludf.DUMMYFUNCTION("""COMPUTED_VALUE"""),"https://techcombank.com/thong-tin/blog/vay-mua-dien-thoai")</f>
        <v>https://techcombank.com/thong-tin/blog/vay-mua-dien-thoai</v>
      </c>
      <c r="JI29" s="17" t="str">
        <f>IFERROR(__xludf.DUMMYFUNCTION("""COMPUTED_VALUE"""),"tra cứu cic miễn phí")</f>
        <v>tra cứu cic miễn phí</v>
      </c>
      <c r="JJ29" s="21" t="str">
        <f>IFERROR(__xludf.DUMMYFUNCTION("""COMPUTED_VALUE"""),"https://techcombank.com/thong-tin/blog/nen-lam-the-visa-hay-noi-dia")</f>
        <v>https://techcombank.com/thong-tin/blog/nen-lam-the-visa-hay-noi-dia</v>
      </c>
      <c r="JK29" s="17" t="str">
        <f>IFERROR(__xludf.DUMMYFUNCTION("""COMPUTED_VALUE"""),"tra cứu cic")</f>
        <v>tra cứu cic</v>
      </c>
      <c r="JL29" s="21" t="str">
        <f>IFERROR(__xludf.DUMMYFUNCTION("""COMPUTED_VALUE"""),"https://techcombank.com/thong-tin/blog/lam-the-visa-o-dau")</f>
        <v>https://techcombank.com/thong-tin/blog/lam-the-visa-o-dau</v>
      </c>
      <c r="JM29" s="17" t="str">
        <f>IFERROR(__xludf.DUMMYFUNCTION("""COMPUTED_VALUE"""),"kiểm tra cic")</f>
        <v>kiểm tra cic</v>
      </c>
      <c r="JN29" s="21" t="str">
        <f>IFERROR(__xludf.DUMMYFUNCTION("""COMPUTED_VALUE"""),"https://techcombank.com/thong-tin/blog/vay-15-trieu")</f>
        <v>https://techcombank.com/thong-tin/blog/vay-15-trieu</v>
      </c>
      <c r="JO29" s="17" t="str">
        <f>IFERROR(__xludf.DUMMYFUNCTION("""COMPUTED_VALUE"""),"cic là gì")</f>
        <v>cic là gì</v>
      </c>
      <c r="JP29" s="21" t="str">
        <f>IFERROR(__xludf.DUMMYFUNCTION("""COMPUTED_VALUE"""),"https://techcombank.com/thong-tin/blog/thu-tuc-vay-von-ngan-hang-de-xay-nha")</f>
        <v>https://techcombank.com/thong-tin/blog/thu-tuc-vay-von-ngan-hang-de-xay-nha</v>
      </c>
      <c r="JQ29" s="17" t="str">
        <f>IFERROR(__xludf.DUMMYFUNCTION("""COMPUTED_VALUE"""),"tra cứu cic miễn phí")</f>
        <v>tra cứu cic miễn phí</v>
      </c>
      <c r="JR29" s="21" t="str">
        <f>IFERROR(__xludf.DUMMYFUNCTION("""COMPUTED_VALUE"""),"https://techcombank.com/thong-tin/blog/vay-the-chap-hop-dong-mua-ban-can-ho")</f>
        <v>https://techcombank.com/thong-tin/blog/vay-the-chap-hop-dong-mua-ban-can-ho</v>
      </c>
      <c r="JS29" s="17" t="str">
        <f>IFERROR(__xludf.DUMMYFUNCTION("""COMPUTED_VALUE"""),"tra cứu cic")</f>
        <v>tra cứu cic</v>
      </c>
      <c r="JT29" s="21" t="str">
        <f>IFERROR(__xludf.DUMMYFUNCTION("""COMPUTED_VALUE"""),"https://techcombank.com/thong-tin/blog/tin-chap-doanh-nghiep")</f>
        <v>https://techcombank.com/thong-tin/blog/tin-chap-doanh-nghiep</v>
      </c>
      <c r="JU29" s="17" t="str">
        <f>IFERROR(__xludf.DUMMYFUNCTION("""COMPUTED_VALUE"""),"kiểm tra cic")</f>
        <v>kiểm tra cic</v>
      </c>
      <c r="JV29" s="21" t="str">
        <f>IFERROR(__xludf.DUMMYFUNCTION("""COMPUTED_VALUE"""),"https://techcombank.com/thong-tin/blog/vay-40-trieu")</f>
        <v>https://techcombank.com/thong-tin/blog/vay-40-trieu</v>
      </c>
      <c r="JW29" s="17" t="str">
        <f>IFERROR(__xludf.DUMMYFUNCTION("""COMPUTED_VALUE"""),"cic là gì")</f>
        <v>cic là gì</v>
      </c>
      <c r="JX29" s="21" t="str">
        <f>IFERROR(__xludf.DUMMYFUNCTION("""COMPUTED_VALUE"""),"https://techcombank.com/thong-tin/blog/vay-sinh-vien")</f>
        <v>https://techcombank.com/thong-tin/blog/vay-sinh-vien</v>
      </c>
      <c r="JY29" s="17" t="str">
        <f>IFERROR(__xludf.DUMMYFUNCTION("""COMPUTED_VALUE"""),"tra cứu cic miễn phí")</f>
        <v>tra cứu cic miễn phí</v>
      </c>
      <c r="JZ29" s="21" t="str">
        <f>IFERROR(__xludf.DUMMYFUNCTION("""COMPUTED_VALUE"""),"https://techcombank.com/thong-tin/blog/vay-the-chap-so-hong")</f>
        <v>https://techcombank.com/thong-tin/blog/vay-the-chap-so-hong</v>
      </c>
      <c r="KA29" s="17" t="str">
        <f>IFERROR(__xludf.DUMMYFUNCTION("""COMPUTED_VALUE"""),"tra cứu cic")</f>
        <v>tra cứu cic</v>
      </c>
      <c r="KB29" s="21" t="str">
        <f>IFERROR(__xludf.DUMMYFUNCTION("""COMPUTED_VALUE"""),"https://techcombank.com/thong-tin/blog/vay-tin-chap-toi-da-duoc-bao-nhieu")</f>
        <v>https://techcombank.com/thong-tin/blog/vay-tin-chap-toi-da-duoc-bao-nhieu</v>
      </c>
      <c r="KC29" s="17" t="str">
        <f>IFERROR(__xludf.DUMMYFUNCTION("""COMPUTED_VALUE"""),"kiểm tra cic")</f>
        <v>kiểm tra cic</v>
      </c>
      <c r="KD29" s="21" t="str">
        <f>IFERROR(__xludf.DUMMYFUNCTION("""COMPUTED_VALUE"""),"https://techcombank.com/thong-tin/blog/bao-hiem-vat-chat-xe-o-to")</f>
        <v>https://techcombank.com/thong-tin/blog/bao-hiem-vat-chat-xe-o-to</v>
      </c>
      <c r="KE29" s="17" t="str">
        <f>IFERROR(__xludf.DUMMYFUNCTION("""COMPUTED_VALUE"""),"cic là gì")</f>
        <v>cic là gì</v>
      </c>
      <c r="KF29" s="21" t="str">
        <f>IFERROR(__xludf.DUMMYFUNCTION("""COMPUTED_VALUE"""),"https://techcombank.com/thong-tin/blog/quy-trinh-cho-vay-tieu-dung")</f>
        <v>https://techcombank.com/thong-tin/blog/quy-trinh-cho-vay-tieu-dung</v>
      </c>
      <c r="KG29" s="17" t="str">
        <f>IFERROR(__xludf.DUMMYFUNCTION("""COMPUTED_VALUE"""),"tra cứu cic miễn phí")</f>
        <v>tra cứu cic miễn phí</v>
      </c>
      <c r="KH29" s="21" t="str">
        <f>IFERROR(__xludf.DUMMYFUNCTION("""COMPUTED_VALUE"""),"https://techcombank.com/thong-tin/blog/lai-suat-cho-vay-doanh-nghiep")</f>
        <v>https://techcombank.com/thong-tin/blog/lai-suat-cho-vay-doanh-nghiep</v>
      </c>
      <c r="KI29" s="17" t="str">
        <f>IFERROR(__xludf.DUMMYFUNCTION("""COMPUTED_VALUE"""),"tra cứu cic")</f>
        <v>tra cứu cic</v>
      </c>
      <c r="KJ29" s="21" t="str">
        <f>IFERROR(__xludf.DUMMYFUNCTION("""COMPUTED_VALUE"""),"https://techcombank.com/thong-tin/blog/co-nen-mua-o-to-tra-gop")</f>
        <v>https://techcombank.com/thong-tin/blog/co-nen-mua-o-to-tra-gop</v>
      </c>
      <c r="KK29" s="17" t="str">
        <f>IFERROR(__xludf.DUMMYFUNCTION("""COMPUTED_VALUE"""),"kiểm tra cic")</f>
        <v>kiểm tra cic</v>
      </c>
      <c r="KL29" s="21" t="str">
        <f>IFERROR(__xludf.DUMMYFUNCTION("""COMPUTED_VALUE"""),"https://techcombank.com/thong-tin/blog/vay-300-trieu")</f>
        <v>https://techcombank.com/thong-tin/blog/vay-300-trieu</v>
      </c>
      <c r="KM29" s="17" t="str">
        <f>IFERROR(__xludf.DUMMYFUNCTION("""COMPUTED_VALUE"""),"cic là gì")</f>
        <v>cic là gì</v>
      </c>
      <c r="KN29" s="21" t="str">
        <f>IFERROR(__xludf.DUMMYFUNCTION("""COMPUTED_VALUE"""),"https://techcombank.com/thong-tin/blog/vay-mua-nha-tra-gop")</f>
        <v>https://techcombank.com/thong-tin/blog/vay-mua-nha-tra-gop</v>
      </c>
      <c r="KO29" s="17" t="str">
        <f>IFERROR(__xludf.DUMMYFUNCTION("""COMPUTED_VALUE"""),"tra cứu cic miễn phí")</f>
        <v>tra cứu cic miễn phí</v>
      </c>
      <c r="KP29" s="21" t="str">
        <f>IFERROR(__xludf.DUMMYFUNCTION("""COMPUTED_VALUE"""),"https://techcombank.com/thong-tin/blog/vay-the-chap-xe-o-to-cu")</f>
        <v>https://techcombank.com/thong-tin/blog/vay-the-chap-xe-o-to-cu</v>
      </c>
      <c r="KQ29" s="17" t="str">
        <f>IFERROR(__xludf.DUMMYFUNCTION("""COMPUTED_VALUE"""),"tra cứu cic")</f>
        <v>tra cứu cic</v>
      </c>
      <c r="KR29" s="21" t="str">
        <f>IFERROR(__xludf.DUMMYFUNCTION("""COMPUTED_VALUE"""),"https://techcombank.com/thong-tin/blog/thu-tuc-mua-xe-tra-gop")</f>
        <v>https://techcombank.com/thong-tin/blog/thu-tuc-mua-xe-tra-gop</v>
      </c>
      <c r="KS29" s="17" t="str">
        <f>IFERROR(__xludf.DUMMYFUNCTION("""COMPUTED_VALUE"""),"kiểm tra cic")</f>
        <v>kiểm tra cic</v>
      </c>
      <c r="KT29" s="21" t="str">
        <f>IFERROR(__xludf.DUMMYFUNCTION("""COMPUTED_VALUE"""),"https://techcombank.com/thong-tin/blog/vay-100-trieu")</f>
        <v>https://techcombank.com/thong-tin/blog/vay-100-trieu</v>
      </c>
      <c r="KU29" s="17" t="str">
        <f>IFERROR(__xludf.DUMMYFUNCTION("""COMPUTED_VALUE"""),"cic là gì")</f>
        <v>cic là gì</v>
      </c>
      <c r="KV29" s="21" t="str">
        <f>IFERROR(__xludf.DUMMYFUNCTION("""COMPUTED_VALUE"""),"https://techcombank.com/thong-tin/blog/vay-30-trieu")</f>
        <v>https://techcombank.com/thong-tin/blog/vay-30-trieu</v>
      </c>
      <c r="KW29" s="17" t="str">
        <f>IFERROR(__xludf.DUMMYFUNCTION("""COMPUTED_VALUE"""),"tra cứu cic miễn phí")</f>
        <v>tra cứu cic miễn phí</v>
      </c>
      <c r="KX29" s="21" t="str">
        <f>IFERROR(__xludf.DUMMYFUNCTION("""COMPUTED_VALUE"""),"https://techcombank.com/thong-tin/blog/lai-suat-ngan-hang-cho-vay-xay-nha")</f>
        <v>https://techcombank.com/thong-tin/blog/lai-suat-ngan-hang-cho-vay-xay-nha</v>
      </c>
      <c r="KY29" s="17" t="str">
        <f>IFERROR(__xludf.DUMMYFUNCTION("""COMPUTED_VALUE"""),"tra cứu cic")</f>
        <v>tra cứu cic</v>
      </c>
      <c r="KZ29" s="21" t="str">
        <f>IFERROR(__xludf.DUMMYFUNCTION("""COMPUTED_VALUE"""),"https://techcombank.com/thong-tin/blog/kinh-nghiem-vay-tien-ngan-hang-xay-nha")</f>
        <v>https://techcombank.com/thong-tin/blog/kinh-nghiem-vay-tien-ngan-hang-xay-nha</v>
      </c>
      <c r="LA29" s="17" t="str">
        <f>IFERROR(__xludf.DUMMYFUNCTION("""COMPUTED_VALUE"""),"kiểm tra cic")</f>
        <v>kiểm tra cic</v>
      </c>
      <c r="LB29" s="21" t="str">
        <f>IFERROR(__xludf.DUMMYFUNCTION("""COMPUTED_VALUE"""),"https://techcombank.com/thong-tin/blog/dang-vay-tra-gop-co-vay-them-duoc-khong")</f>
        <v>https://techcombank.com/thong-tin/blog/dang-vay-tra-gop-co-vay-them-duoc-khong</v>
      </c>
      <c r="LC29" s="17" t="str">
        <f>IFERROR(__xludf.DUMMYFUNCTION("""COMPUTED_VALUE"""),"cic là gì")</f>
        <v>cic là gì</v>
      </c>
      <c r="LD29" s="21" t="str">
        <f>IFERROR(__xludf.DUMMYFUNCTION("""COMPUTED_VALUE"""),"https://techcombank.com/thong-tin/blog/kinh-nghiem-vay-tien-mua-nha")</f>
        <v>https://techcombank.com/thong-tin/blog/kinh-nghiem-vay-tien-mua-nha</v>
      </c>
      <c r="LE29" s="17" t="str">
        <f>IFERROR(__xludf.DUMMYFUNCTION("""COMPUTED_VALUE"""),"tra cứu cic miễn phí")</f>
        <v>tra cứu cic miễn phí</v>
      </c>
      <c r="LF29" s="21" t="str">
        <f>IFERROR(__xludf.DUMMYFUNCTION("""COMPUTED_VALUE"""),"https://techcombank.com/thong-tin/blog/dao-han-la-gi")</f>
        <v>https://techcombank.com/thong-tin/blog/dao-han-la-gi</v>
      </c>
      <c r="LG29" s="17" t="str">
        <f>IFERROR(__xludf.DUMMYFUNCTION("""COMPUTED_VALUE"""),"tra cứu cic")</f>
        <v>tra cứu cic</v>
      </c>
      <c r="LH29" s="21" t="str">
        <f>IFERROR(__xludf.DUMMYFUNCTION("""COMPUTED_VALUE"""),"https://techcombank.com/thong-tin/blog/vay-mua-xe-tra-gop-ngan-hang-nao-tot-nhat")</f>
        <v>https://techcombank.com/thong-tin/blog/vay-mua-xe-tra-gop-ngan-hang-nao-tot-nhat</v>
      </c>
      <c r="LI29" s="17" t="str">
        <f>IFERROR(__xludf.DUMMYFUNCTION("""COMPUTED_VALUE"""),"kiểm tra cic")</f>
        <v>kiểm tra cic</v>
      </c>
      <c r="LJ29" s="21" t="str">
        <f>IFERROR(__xludf.DUMMYFUNCTION("""COMPUTED_VALUE"""),"https://techcombank.com/thong-tin/blog/vay-ngan-hang-chi-can-cccd")</f>
        <v>https://techcombank.com/thong-tin/blog/vay-ngan-hang-chi-can-cccd</v>
      </c>
      <c r="LK29" s="17" t="str">
        <f>IFERROR(__xludf.DUMMYFUNCTION("""COMPUTED_VALUE"""),"cic là gì")</f>
        <v>cic là gì</v>
      </c>
      <c r="LL29" s="21" t="str">
        <f>IFERROR(__xludf.DUMMYFUNCTION("""COMPUTED_VALUE"""),"https://techcombank.com/thong-tin/blog/vay-thau-chi-bang-so-tiet-kiem")</f>
        <v>https://techcombank.com/thong-tin/blog/vay-thau-chi-bang-so-tiet-kiem</v>
      </c>
      <c r="LM29" s="17" t="str">
        <f>IFERROR(__xludf.DUMMYFUNCTION("""COMPUTED_VALUE"""),"tra cứu cic miễn phí")</f>
        <v>tra cứu cic miễn phí</v>
      </c>
      <c r="LN29" s="21" t="str">
        <f>IFERROR(__xludf.DUMMYFUNCTION("""COMPUTED_VALUE"""),"https://techcombank.com/thong-tin/blog/vay-tra-gop")</f>
        <v>https://techcombank.com/thong-tin/blog/vay-tra-gop</v>
      </c>
      <c r="LO29" s="17" t="str">
        <f>IFERROR(__xludf.DUMMYFUNCTION("""COMPUTED_VALUE"""),"tra cứu cic")</f>
        <v>tra cứu cic</v>
      </c>
      <c r="LP29" s="21" t="str">
        <f>IFERROR(__xludf.DUMMYFUNCTION("""COMPUTED_VALUE"""),"https://techcombank.com/thong-tin/blog/vay-20-trieu")</f>
        <v>https://techcombank.com/thong-tin/blog/vay-20-trieu</v>
      </c>
      <c r="LQ29" s="17" t="str">
        <f>IFERROR(__xludf.DUMMYFUNCTION("""COMPUTED_VALUE"""),"kiểm tra cic")</f>
        <v>kiểm tra cic</v>
      </c>
      <c r="LR29" s="21" t="str">
        <f>IFERROR(__xludf.DUMMYFUNCTION("""COMPUTED_VALUE"""),"https://techcombank.com/thong-tin/blog/vay-the-chap-kinh-doanh")</f>
        <v>https://techcombank.com/thong-tin/blog/vay-the-chap-kinh-doanh</v>
      </c>
      <c r="LS29" s="17" t="str">
        <f>IFERROR(__xludf.DUMMYFUNCTION("""COMPUTED_VALUE"""),"cic là gì")</f>
        <v>cic là gì</v>
      </c>
      <c r="LT29" s="21" t="str">
        <f>IFERROR(__xludf.DUMMYFUNCTION("""COMPUTED_VALUE"""),"https://techcombank.com/thong-tin/blog/tat-toan")</f>
        <v>https://techcombank.com/thong-tin/blog/tat-toan</v>
      </c>
      <c r="LU29" s="17" t="str">
        <f>IFERROR(__xludf.DUMMYFUNCTION("""COMPUTED_VALUE"""),"tra cứu cic miễn phí")</f>
        <v>tra cứu cic miễn phí</v>
      </c>
      <c r="LV29" s="21" t="str">
        <f>IFERROR(__xludf.DUMMYFUNCTION("""COMPUTED_VALUE"""),"https://techcombank.com/thong-tin/blog/quy-trinh-tat-toan-khoan-vay-the-chap")</f>
        <v>https://techcombank.com/thong-tin/blog/quy-trinh-tat-toan-khoan-vay-the-chap</v>
      </c>
      <c r="LW29" s="17" t="str">
        <f>IFERROR(__xludf.DUMMYFUNCTION("""COMPUTED_VALUE"""),"tra cứu cic")</f>
        <v>tra cứu cic</v>
      </c>
      <c r="LX29" s="21" t="str">
        <f>IFERROR(__xludf.DUMMYFUNCTION("""COMPUTED_VALUE"""),"https://techcombank.com/thong-tin/blog/cach-tinh-lai-vay-ngan-hang")</f>
        <v>https://techcombank.com/thong-tin/blog/cach-tinh-lai-vay-ngan-hang</v>
      </c>
      <c r="LY29" s="17" t="str">
        <f>IFERROR(__xludf.DUMMYFUNCTION("""COMPUTED_VALUE"""),"kiểm tra cic")</f>
        <v>kiểm tra cic</v>
      </c>
      <c r="LZ29" s="21" t="str">
        <f>IFERROR(__xludf.DUMMYFUNCTION("""COMPUTED_VALUE"""),"https://techcombank.com/thong-tin/blog/vay-san-xuat-kinh-doanh")</f>
        <v>https://techcombank.com/thong-tin/blog/vay-san-xuat-kinh-doanh</v>
      </c>
      <c r="MA29" s="17" t="str">
        <f>IFERROR(__xludf.DUMMYFUNCTION("""COMPUTED_VALUE"""),"cic là gì")</f>
        <v>cic là gì</v>
      </c>
      <c r="MB29" s="21" t="str">
        <f>IFERROR(__xludf.DUMMYFUNCTION("""COMPUTED_VALUE"""),"https://techcombank.com/thong-tin/blog/lai-suat-vay-tin-chap")</f>
        <v>https://techcombank.com/thong-tin/blog/lai-suat-vay-tin-chap</v>
      </c>
      <c r="MC29" s="17" t="str">
        <f>IFERROR(__xludf.DUMMYFUNCTION("""COMPUTED_VALUE"""),"tra cứu cic miễn phí")</f>
        <v>tra cứu cic miễn phí</v>
      </c>
      <c r="MD29" s="21" t="str">
        <f>IFERROR(__xludf.DUMMYFUNCTION("""COMPUTED_VALUE"""),"https://techcombank.com/thong-tin/blog/rui-ro-khi-vay-the-chap-ngan-hang")</f>
        <v>https://techcombank.com/thong-tin/blog/rui-ro-khi-vay-the-chap-ngan-hang</v>
      </c>
      <c r="ME29" s="17" t="str">
        <f>IFERROR(__xludf.DUMMYFUNCTION("""COMPUTED_VALUE"""),"tra cứu cic")</f>
        <v>tra cứu cic</v>
      </c>
      <c r="MF29" s="21" t="str">
        <f>IFERROR(__xludf.DUMMYFUNCTION("""COMPUTED_VALUE"""),"https://techcombank.com/thong-tin/blog/cac-hinh-thuc-vay-von-ngan-hang")</f>
        <v>https://techcombank.com/thong-tin/blog/cac-hinh-thuc-vay-von-ngan-hang</v>
      </c>
      <c r="MG29" s="17" t="str">
        <f>IFERROR(__xludf.DUMMYFUNCTION("""COMPUTED_VALUE"""),"kiểm tra cic")</f>
        <v>kiểm tra cic</v>
      </c>
      <c r="MH29" s="21" t="str">
        <f>IFERROR(__xludf.DUMMYFUNCTION("""COMPUTED_VALUE"""),"https://techcombank.com/thong-tin/blog/lai-suat-vay-the-chap-so-do")</f>
        <v>https://techcombank.com/thong-tin/blog/lai-suat-vay-the-chap-so-do</v>
      </c>
      <c r="MI29" s="17" t="str">
        <f>IFERROR(__xludf.DUMMYFUNCTION("""COMPUTED_VALUE"""),"cic là gì")</f>
        <v>cic là gì</v>
      </c>
      <c r="MJ29" s="21" t="str">
        <f>IFERROR(__xludf.DUMMYFUNCTION("""COMPUTED_VALUE"""),"https://techcombank.com/thong-tin/blog/bao-lanh-vay-von")</f>
        <v>https://techcombank.com/thong-tin/blog/bao-lanh-vay-von</v>
      </c>
      <c r="MK29" s="17" t="str">
        <f>IFERROR(__xludf.DUMMYFUNCTION("""COMPUTED_VALUE"""),"tra cứu cic miễn phí")</f>
        <v>tra cứu cic miễn phí</v>
      </c>
      <c r="ML29" s="21" t="str">
        <f>IFERROR(__xludf.DUMMYFUNCTION("""COMPUTED_VALUE"""),"https://techcombank.com/thong-tin/blog/thu-tuc-vay-von-doanh-nghiep")</f>
        <v>https://techcombank.com/thong-tin/blog/thu-tuc-vay-von-doanh-nghiep</v>
      </c>
      <c r="MM29" s="17" t="str">
        <f>IFERROR(__xludf.DUMMYFUNCTION("""COMPUTED_VALUE"""),"tra cứu cic")</f>
        <v>tra cứu cic</v>
      </c>
      <c r="MN29" s="21" t="str">
        <f>IFERROR(__xludf.DUMMYFUNCTION("""COMPUTED_VALUE"""),"https://techcombank.com/thong-tin/blog/nap-xu-tiktok")</f>
        <v>https://techcombank.com/thong-tin/blog/nap-xu-tiktok</v>
      </c>
      <c r="MO29" s="17" t="str">
        <f>IFERROR(__xludf.DUMMYFUNCTION("""COMPUTED_VALUE"""),"kiểm tra cic")</f>
        <v>kiểm tra cic</v>
      </c>
      <c r="MP29" s="21" t="str">
        <f>IFERROR(__xludf.DUMMYFUNCTION("""COMPUTED_VALUE"""),"https://techcombank.com/thong-tin/blog/ho-so-vay-von-cua-doanh-nghiep-gom-nhung-gi")</f>
        <v>https://techcombank.com/thong-tin/blog/ho-so-vay-von-cua-doanh-nghiep-gom-nhung-gi</v>
      </c>
      <c r="MQ29" s="17" t="str">
        <f>IFERROR(__xludf.DUMMYFUNCTION("""COMPUTED_VALUE"""),"cic là gì")</f>
        <v>cic là gì</v>
      </c>
      <c r="MR29" s="21" t="str">
        <f>IFERROR(__xludf.DUMMYFUNCTION("""COMPUTED_VALUE"""),"https://techcombank.com/thong-tin/blog/cac-loai-the-ngan-hang")</f>
        <v>https://techcombank.com/thong-tin/blog/cac-loai-the-ngan-hang</v>
      </c>
      <c r="MS29" s="17" t="str">
        <f>IFERROR(__xludf.DUMMYFUNCTION("""COMPUTED_VALUE"""),"tra cứu cic miễn phí")</f>
        <v>tra cứu cic miễn phí</v>
      </c>
      <c r="MT29" s="21" t="str">
        <f>IFERROR(__xludf.DUMMYFUNCTION("""COMPUTED_VALUE"""),"https://techcombank.com/thong-tin/blog/vay-thau-chi-la-gi")</f>
        <v>https://techcombank.com/thong-tin/blog/vay-thau-chi-la-gi</v>
      </c>
      <c r="MU29" s="17" t="str">
        <f>IFERROR(__xludf.DUMMYFUNCTION("""COMPUTED_VALUE"""),"tra cứu cic")</f>
        <v>tra cứu cic</v>
      </c>
      <c r="MV29" s="21" t="str">
        <f>IFERROR(__xludf.DUMMYFUNCTION("""COMPUTED_VALUE"""),"https://techcombank.com/thong-tin/blog/cho-vay-tung-lan")</f>
        <v>https://techcombank.com/thong-tin/blog/cho-vay-tung-lan</v>
      </c>
      <c r="MW29" s="17" t="str">
        <f>IFERROR(__xludf.DUMMYFUNCTION("""COMPUTED_VALUE"""),"kiểm tra cic")</f>
        <v>kiểm tra cic</v>
      </c>
      <c r="MX29" s="21" t="str">
        <f>IFERROR(__xludf.DUMMYFUNCTION("""COMPUTED_VALUE"""),"https://techcombank.com/thong-tin/blog/cach-thanh-toan-quang-cao-tiktok")</f>
        <v>https://techcombank.com/thong-tin/blog/cach-thanh-toan-quang-cao-tiktok</v>
      </c>
      <c r="MY29" s="17" t="str">
        <f>IFERROR(__xludf.DUMMYFUNCTION("""COMPUTED_VALUE"""),"cic là gì")</f>
        <v>cic là gì</v>
      </c>
      <c r="MZ29" s="21" t="str">
        <f>IFERROR(__xludf.DUMMYFUNCTION("""COMPUTED_VALUE"""),"https://techcombank.com/thong-tin/blog/cach-sao-ke-tai-khoan-ngan-hang")</f>
        <v>https://techcombank.com/thong-tin/blog/cach-sao-ke-tai-khoan-ngan-hang</v>
      </c>
      <c r="NA29" s="17" t="str">
        <f>IFERROR(__xludf.DUMMYFUNCTION("""COMPUTED_VALUE"""),"tra cứu cic miễn phí")</f>
        <v>tra cứu cic miễn phí</v>
      </c>
      <c r="NB29" s="21" t="str">
        <f>IFERROR(__xludf.DUMMYFUNCTION("""COMPUTED_VALUE"""),"https://techcombank.com/thong-tin/blog/cach-nap-the-viettel")</f>
        <v>https://techcombank.com/thong-tin/blog/cach-nap-the-viettel</v>
      </c>
      <c r="NC29" s="17" t="str">
        <f>IFERROR(__xludf.DUMMYFUNCTION("""COMPUTED_VALUE"""),"tra cứu cic")</f>
        <v>tra cứu cic</v>
      </c>
      <c r="ND29" s="21" t="str">
        <f>IFERROR(__xludf.DUMMYFUNCTION("""COMPUTED_VALUE"""),"https://techcombank.com/thong-tin/blog/the-debit")</f>
        <v>https://techcombank.com/thong-tin/blog/the-debit</v>
      </c>
      <c r="NE29" s="17" t="str">
        <f>IFERROR(__xludf.DUMMYFUNCTION("""COMPUTED_VALUE"""),"kiểm tra cic")</f>
        <v>kiểm tra cic</v>
      </c>
      <c r="NF29" s="21" t="str">
        <f>IFERROR(__xludf.DUMMYFUNCTION("""COMPUTED_VALUE"""),"https://techcombank.com/thong-tin/blog/thanh-toan-khi-du-lich-hong-kong")</f>
        <v>https://techcombank.com/thong-tin/blog/thanh-toan-khi-du-lich-hong-kong</v>
      </c>
      <c r="NG29" s="17" t="str">
        <f>IFERROR(__xludf.DUMMYFUNCTION("""COMPUTED_VALUE"""),"cic là gì")</f>
        <v>cic là gì</v>
      </c>
      <c r="NH29" s="21" t="str">
        <f>IFERROR(__xludf.DUMMYFUNCTION("""COMPUTED_VALUE"""),"https://techcombank.com/thong-tin/blog/thanh-toan-khi-du-lich-singapore")</f>
        <v>https://techcombank.com/thong-tin/blog/thanh-toan-khi-du-lich-singapore</v>
      </c>
      <c r="NI29" s="17" t="str">
        <f>IFERROR(__xludf.DUMMYFUNCTION("""COMPUTED_VALUE"""),"tra cứu cic miễn phí")</f>
        <v>tra cứu cic miễn phí</v>
      </c>
      <c r="NJ29" s="21" t="str">
        <f>IFERROR(__xludf.DUMMYFUNCTION("""COMPUTED_VALUE"""),"https://techcombank.com/thong-tin/blog/bao-lanh-bao-hanh")</f>
        <v>https://techcombank.com/thong-tin/blog/bao-lanh-bao-hanh</v>
      </c>
      <c r="NK29" s="17" t="str">
        <f>IFERROR(__xludf.DUMMYFUNCTION("""COMPUTED_VALUE"""),"tra cứu cic")</f>
        <v>tra cứu cic</v>
      </c>
      <c r="NL29" s="21" t="str">
        <f>IFERROR(__xludf.DUMMYFUNCTION("""COMPUTED_VALUE"""),"https://techcombank.com/thong-tin/blog/vay-bo-sung-von-luu-dong")</f>
        <v>https://techcombank.com/thong-tin/blog/vay-bo-sung-von-luu-dong</v>
      </c>
      <c r="NM29" s="17" t="str">
        <f>IFERROR(__xludf.DUMMYFUNCTION("""COMPUTED_VALUE"""),"kiểm tra cic")</f>
        <v>kiểm tra cic</v>
      </c>
      <c r="NN29" s="21" t="str">
        <f>IFERROR(__xludf.DUMMYFUNCTION("""COMPUTED_VALUE"""),"https://techcombank.com/thong-tin/blog/von-luu-dong-la-gi")</f>
        <v>https://techcombank.com/thong-tin/blog/von-luu-dong-la-gi</v>
      </c>
      <c r="NO29" s="17" t="str">
        <f>IFERROR(__xludf.DUMMYFUNCTION("""COMPUTED_VALUE"""),"cic là gì")</f>
        <v>cic là gì</v>
      </c>
      <c r="NP29" s="21" t="str">
        <f>IFERROR(__xludf.DUMMYFUNCTION("""COMPUTED_VALUE"""),"https://techcombank.com/thong-tin/blog/thuc-day-thi-truong-the-noi-dia-va-xu-huong-thanh-toan-tuong-lai")</f>
        <v>https://techcombank.com/thong-tin/blog/thuc-day-thi-truong-the-noi-dia-va-xu-huong-thanh-toan-tuong-lai</v>
      </c>
      <c r="NQ29" s="17" t="str">
        <f>IFERROR(__xludf.DUMMYFUNCTION("""COMPUTED_VALUE"""),"tra cứu cic miễn phí")</f>
        <v>tra cứu cic miễn phí</v>
      </c>
      <c r="NR29" s="21" t="str">
        <f>IFERROR(__xludf.DUMMYFUNCTION("""COMPUTED_VALUE"""),"https://techcombank.com/thong-tin/blog/tai-khoan-ngan-hang-chua-toi-da-bao-nhieu-tien")</f>
        <v>https://techcombank.com/thong-tin/blog/tai-khoan-ngan-hang-chua-toi-da-bao-nhieu-tien</v>
      </c>
      <c r="NS29" s="17" t="str">
        <f>IFERROR(__xludf.DUMMYFUNCTION("""COMPUTED_VALUE"""),"tra cứu cic")</f>
        <v>tra cứu cic</v>
      </c>
      <c r="NT29" s="21" t="str">
        <f>IFERROR(__xludf.DUMMYFUNCTION("""COMPUTED_VALUE"""),"https://techcombank.com/thong-tin/blog/the-napas-la-gi")</f>
        <v>https://techcombank.com/thong-tin/blog/the-napas-la-gi</v>
      </c>
      <c r="NU29" s="17" t="str">
        <f>IFERROR(__xludf.DUMMYFUNCTION("""COMPUTED_VALUE"""),"kiểm tra cic")</f>
        <v>kiểm tra cic</v>
      </c>
      <c r="NV29" s="21" t="str">
        <f>IFERROR(__xludf.DUMMYFUNCTION("""COMPUTED_VALUE"""),"https://techcombank.com/thong-tin/blog/cach-nap-the-vina")</f>
        <v>https://techcombank.com/thong-tin/blog/cach-nap-the-vina</v>
      </c>
      <c r="NW29" s="17" t="str">
        <f>IFERROR(__xludf.DUMMYFUNCTION("""COMPUTED_VALUE"""),"cic là gì")</f>
        <v>cic là gì</v>
      </c>
      <c r="NX29" s="21" t="str">
        <f>IFERROR(__xludf.DUMMYFUNCTION("""COMPUTED_VALUE"""),"https://techcombank.com/thong-tin/blog/co-nen-vay-ngan-hang-mua-nha")</f>
        <v>https://techcombank.com/thong-tin/blog/co-nen-vay-ngan-hang-mua-nha</v>
      </c>
      <c r="NY29" s="17" t="str">
        <f>IFERROR(__xludf.DUMMYFUNCTION("""COMPUTED_VALUE"""),"tra cứu cic miễn phí")</f>
        <v>tra cứu cic miễn phí</v>
      </c>
      <c r="NZ29" s="21" t="str">
        <f>IFERROR(__xludf.DUMMYFUNCTION("""COMPUTED_VALUE"""),"https://techcombank.com/thong-tin/blog/the-ghi-no-la-gi")</f>
        <v>https://techcombank.com/thong-tin/blog/the-ghi-no-la-gi</v>
      </c>
      <c r="OA29" s="17" t="str">
        <f>IFERROR(__xludf.DUMMYFUNCTION("""COMPUTED_VALUE"""),"tra cứu cic")</f>
        <v>tra cứu cic</v>
      </c>
      <c r="OB29" s="21" t="str">
        <f>IFERROR(__xludf.DUMMYFUNCTION("""COMPUTED_VALUE"""),"https://techcombank.com/thong-tin/blog/mo-the-ghi-no")</f>
        <v>https://techcombank.com/thong-tin/blog/mo-the-ghi-no</v>
      </c>
      <c r="OC29" s="17" t="str">
        <f>IFERROR(__xludf.DUMMYFUNCTION("""COMPUTED_VALUE"""),"kiểm tra cic")</f>
        <v>kiểm tra cic</v>
      </c>
      <c r="OD29" s="21" t="str">
        <f>IFERROR(__xludf.DUMMYFUNCTION("""COMPUTED_VALUE"""),"https://techcombank.com/thong-tin/blog/cach-nap-the-mobi")</f>
        <v>https://techcombank.com/thong-tin/blog/cach-nap-the-mobi</v>
      </c>
      <c r="OE29" s="17" t="str">
        <f>IFERROR(__xludf.DUMMYFUNCTION("""COMPUTED_VALUE"""),"cic là gì")</f>
        <v>cic là gì</v>
      </c>
      <c r="OF29" s="21" t="str">
        <f>IFERROR(__xludf.DUMMYFUNCTION("""COMPUTED_VALUE"""),"https://techcombank.com/thong-tin/blog/the-atm-gan-chip")</f>
        <v>https://techcombank.com/thong-tin/blog/the-atm-gan-chip</v>
      </c>
      <c r="OG29" s="17" t="str">
        <f>IFERROR(__xludf.DUMMYFUNCTION("""COMPUTED_VALUE"""),"tra cứu cic miễn phí")</f>
        <v>tra cứu cic miễn phí</v>
      </c>
      <c r="OH29" s="21" t="str">
        <f>IFERROR(__xludf.DUMMYFUNCTION("""COMPUTED_VALUE"""),"https://techcombank.com/thong-tin/blog/vay-mua-chung-cu")</f>
        <v>https://techcombank.com/thong-tin/blog/vay-mua-chung-cu</v>
      </c>
      <c r="OI29" s="17" t="str">
        <f>IFERROR(__xludf.DUMMYFUNCTION("""COMPUTED_VALUE"""),"tra cứu cic")</f>
        <v>tra cứu cic</v>
      </c>
      <c r="OJ29" s="21" t="str">
        <f>IFERROR(__xludf.DUMMYFUNCTION("""COMPUTED_VALUE"""),"https://techcombank.com/thong-tin/blog/thoi-han-vay-thau-chi")</f>
        <v>https://techcombank.com/thong-tin/blog/thoi-han-vay-thau-chi</v>
      </c>
      <c r="OK29" s="17" t="str">
        <f>IFERROR(__xludf.DUMMYFUNCTION("""COMPUTED_VALUE"""),"kiểm tra cic")</f>
        <v>kiểm tra cic</v>
      </c>
      <c r="OL29" s="21" t="str">
        <f>IFERROR(__xludf.DUMMYFUNCTION("""COMPUTED_VALUE"""),"https://techcombank.com/thong-tin/blog/ma-pin-the-atm")</f>
        <v>https://techcombank.com/thong-tin/blog/ma-pin-the-atm</v>
      </c>
      <c r="OM29" s="17" t="str">
        <f>IFERROR(__xludf.DUMMYFUNCTION("""COMPUTED_VALUE"""),"cic là gì")</f>
        <v>cic là gì</v>
      </c>
      <c r="ON29" s="21" t="str">
        <f>IFERROR(__xludf.DUMMYFUNCTION("""COMPUTED_VALUE"""),"https://techcombank.com/thong-tin/blog/atm-la-gi")</f>
        <v>https://techcombank.com/thong-tin/blog/atm-la-gi</v>
      </c>
      <c r="OO29" s="17" t="str">
        <f>IFERROR(__xludf.DUMMYFUNCTION("""COMPUTED_VALUE"""),"tra cứu cic miễn phí")</f>
        <v>tra cứu cic miễn phí</v>
      </c>
      <c r="OP29" s="21" t="str">
        <f>IFERROR(__xludf.DUMMYFUNCTION("""COMPUTED_VALUE"""),"https://techcombank.com/thong-tin/blog/chuyen-doi-the-atm")</f>
        <v>https://techcombank.com/thong-tin/blog/chuyen-doi-the-atm</v>
      </c>
      <c r="OQ29" s="17" t="str">
        <f>IFERROR(__xludf.DUMMYFUNCTION("""COMPUTED_VALUE"""),"tra cứu cic")</f>
        <v>tra cứu cic</v>
      </c>
      <c r="OR29" s="21" t="str">
        <f>IFERROR(__xludf.DUMMYFUNCTION("""COMPUTED_VALUE"""),"https://techcombank.com/thong-tin/blog/vay-sieu-toc")</f>
        <v>https://techcombank.com/thong-tin/blog/vay-sieu-toc</v>
      </c>
      <c r="OS29" s="17" t="str">
        <f>IFERROR(__xludf.DUMMYFUNCTION("""COMPUTED_VALUE"""),"kiểm tra cic")</f>
        <v>kiểm tra cic</v>
      </c>
      <c r="OT29" s="21" t="str">
        <f>IFERROR(__xludf.DUMMYFUNCTION("""COMPUTED_VALUE"""),"https://techcombank.com/thong-tin/blog/phi-thuong-nien-la-gi")</f>
        <v>https://techcombank.com/thong-tin/blog/phi-thuong-nien-la-gi</v>
      </c>
      <c r="OU29" s="17" t="str">
        <f>IFERROR(__xludf.DUMMYFUNCTION("""COMPUTED_VALUE"""),"cic là gì")</f>
        <v>cic là gì</v>
      </c>
      <c r="OV29" s="21" t="str">
        <f>IFERROR(__xludf.DUMMYFUNCTION("""COMPUTED_VALUE"""),"https://techcombank.com/thong-tin/blog/the-atm-tu")</f>
        <v>https://techcombank.com/thong-tin/blog/the-atm-tu</v>
      </c>
    </row>
    <row r="30" ht="18.0" customHeight="1">
      <c r="A30" s="16">
        <v>29.0</v>
      </c>
      <c r="B30" s="17" t="s">
        <v>1268</v>
      </c>
      <c r="C30" s="18" t="s">
        <v>1291</v>
      </c>
      <c r="D30" s="17" t="s">
        <v>523</v>
      </c>
      <c r="E30" s="16">
        <v>50.0</v>
      </c>
      <c r="F30" s="16">
        <f>COUNTIF('Tổng hợp 75 trang đích'!$B$2:$B$3400,$D30)</f>
        <v>50</v>
      </c>
      <c r="G30" s="16">
        <f>COUNTIFS('Tổng hợp 75 trang đích'!$B$2:$B$3400,$D30,'Tổng hợp 75 trang đích'!$K$2:$K$3400,"PHÙ HỢP CAO")</f>
        <v>3</v>
      </c>
      <c r="H30" s="16">
        <f>COUNTIFS('Tổng hợp 75 trang đích'!$B$2:$B$3400,$D30,'Tổng hợp 75 trang đích'!$K$2:$K$3400,"CÓ THỂ ĐI")</f>
        <v>2</v>
      </c>
      <c r="I30" s="16">
        <f>COUNTIFS('Tổng hợp 75 trang đích'!$B$2:$B$3400,$D30,'Tổng hợp 75 trang đích'!$K$2:$K$3400,"CẦN SOÁT")</f>
        <v>45</v>
      </c>
      <c r="J30" s="19" t="s">
        <v>555</v>
      </c>
      <c r="K30" s="19" t="b">
        <v>0</v>
      </c>
      <c r="L30" s="20" t="s">
        <v>333</v>
      </c>
      <c r="M30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đích'!$B$2:$B$3400=$D30),3,TR"&amp;"UE),1,2)),"""")"),"rút tiền thẻ tín dụng")</f>
        <v>rút tiền thẻ tín dụng</v>
      </c>
      <c r="N30" s="21" t="str">
        <f>IFERROR(__xludf.DUMMYFUNCTION("""COMPUTED_VALUE"""),"https://techcombank.com/thong-tin/blog/phi-rut-tien-mat-the-tin-dung")</f>
        <v>https://techcombank.com/thong-tin/blog/phi-rut-tien-mat-the-tin-dung</v>
      </c>
      <c r="O30" s="17" t="str">
        <f>IFERROR(__xludf.DUMMYFUNCTION("""COMPUTED_VALUE"""),"quẹt thẻ tín dụng lấy tiền mặt")</f>
        <v>quẹt thẻ tín dụng lấy tiền mặt</v>
      </c>
      <c r="P30" s="21" t="str">
        <f>IFERROR(__xludf.DUMMYFUNCTION("""COMPUTED_VALUE"""),"https://techcombank.com/thong-tin/blog/the-visa-co-rut-tien-duoc-khong")</f>
        <v>https://techcombank.com/thong-tin/blog/the-visa-co-rut-tien-duoc-khong</v>
      </c>
      <c r="Q30" s="17" t="str">
        <f>IFERROR(__xludf.DUMMYFUNCTION("""COMPUTED_VALUE"""),"rút tiền thẻ tín dụng")</f>
        <v>rút tiền thẻ tín dụng</v>
      </c>
      <c r="R30" s="21" t="str">
        <f>IFERROR(__xludf.DUMMYFUNCTION("""COMPUTED_VALUE"""),"https://techcombank.com/thong-tin/blog/the-tin-dung-co-chuyen-khoan-duoc-khong")</f>
        <v>https://techcombank.com/thong-tin/blog/the-tin-dung-co-chuyen-khoan-duoc-khong</v>
      </c>
      <c r="S30" s="17" t="str">
        <f>IFERROR(__xludf.DUMMYFUNCTION("""COMPUTED_VALUE"""),"quẹt thẻ tín dụng lấy tiền mặt")</f>
        <v>quẹt thẻ tín dụng lấy tiền mặt</v>
      </c>
      <c r="T30" s="21" t="str">
        <f>IFERROR(__xludf.DUMMYFUNCTION("""COMPUTED_VALUE"""),"https://techcombank.com/thong-tin/blog/han-muc-the-tin-dung")</f>
        <v>https://techcombank.com/thong-tin/blog/han-muc-the-tin-dung</v>
      </c>
      <c r="U30" s="17" t="str">
        <f>IFERROR(__xludf.DUMMYFUNCTION("""COMPUTED_VALUE"""),"rút tiền thẻ tín dụng")</f>
        <v>rút tiền thẻ tín dụng</v>
      </c>
      <c r="V30" s="21" t="str">
        <f>IFERROR(__xludf.DUMMYFUNCTION("""COMPUTED_VALUE"""),"https://techcombank.com/thong-tin/blog/lai-suat-the-tin-dung")</f>
        <v>https://techcombank.com/thong-tin/blog/lai-suat-the-tin-dung</v>
      </c>
      <c r="W30" s="17" t="str">
        <f>IFERROR(__xludf.DUMMYFUNCTION("""COMPUTED_VALUE"""),"quẹt thẻ tín dụng lấy tiền mặt")</f>
        <v>quẹt thẻ tín dụng lấy tiền mặt</v>
      </c>
      <c r="X30" s="21" t="str">
        <f>IFERROR(__xludf.DUMMYFUNCTION("""COMPUTED_VALUE"""),"https://techcombank.com/thong-tin/blog/nop-tien-mat-vao-tai-khoan-cong-ty")</f>
        <v>https://techcombank.com/thong-tin/blog/nop-tien-mat-vao-tai-khoan-cong-ty</v>
      </c>
      <c r="Y30" s="17" t="str">
        <f>IFERROR(__xludf.DUMMYFUNCTION("""COMPUTED_VALUE"""),"rút tiền thẻ tín dụng")</f>
        <v>rút tiền thẻ tín dụng</v>
      </c>
      <c r="Z30" s="21" t="str">
        <f>IFERROR(__xludf.DUMMYFUNCTION("""COMPUTED_VALUE"""),"https://techcombank.com/thong-tin/blog/vi-dien-tu")</f>
        <v>https://techcombank.com/thong-tin/blog/vi-dien-tu</v>
      </c>
      <c r="AA30" s="17" t="str">
        <f>IFERROR(__xludf.DUMMYFUNCTION("""COMPUTED_VALUE"""),"quẹt thẻ tín dụng lấy tiền mặt")</f>
        <v>quẹt thẻ tín dụng lấy tiền mặt</v>
      </c>
      <c r="AB30" s="21" t="str">
        <f>IFERROR(__xludf.DUMMYFUNCTION("""COMPUTED_VALUE"""),"https://techcombank.com/thong-tin/blog/tra-luong-tien-mat")</f>
        <v>https://techcombank.com/thong-tin/blog/tra-luong-tien-mat</v>
      </c>
      <c r="AC30" s="17" t="str">
        <f>IFERROR(__xludf.DUMMYFUNCTION("""COMPUTED_VALUE"""),"rút tiền thẻ tín dụng")</f>
        <v>rút tiền thẻ tín dụng</v>
      </c>
      <c r="AD30" s="21" t="str">
        <f>IFERROR(__xludf.DUMMYFUNCTION("""COMPUTED_VALUE"""),"https://techcombank.com/thong-tin/blog/thanh-toan-khong-dung-tien-mat")</f>
        <v>https://techcombank.com/thong-tin/blog/thanh-toan-khong-dung-tien-mat</v>
      </c>
      <c r="AE30" s="17" t="str">
        <f>IFERROR(__xludf.DUMMYFUNCTION("""COMPUTED_VALUE"""),"quẹt thẻ tín dụng lấy tiền mặt")</f>
        <v>quẹt thẻ tín dụng lấy tiền mặt</v>
      </c>
      <c r="AF30" s="21" t="str">
        <f>IFERROR(__xludf.DUMMYFUNCTION("""COMPUTED_VALUE"""),"https://techcombank.com/thong-tin/blog/rut-tien-mat-tu-tai-khoan-doanh-nghiep")</f>
        <v>https://techcombank.com/thong-tin/blog/rut-tien-mat-tu-tai-khoan-doanh-nghiep</v>
      </c>
      <c r="AG30" s="17" t="str">
        <f>IFERROR(__xludf.DUMMYFUNCTION("""COMPUTED_VALUE"""),"rút tiền thẻ tín dụng")</f>
        <v>rút tiền thẻ tín dụng</v>
      </c>
      <c r="AH30" s="21" t="str">
        <f>IFERROR(__xludf.DUMMYFUNCTION("""COMPUTED_VALUE"""),"https://techcombank.com/thong-tin/blog/cdm")</f>
        <v>https://techcombank.com/thong-tin/blog/cdm</v>
      </c>
      <c r="AI30" s="17" t="str">
        <f>IFERROR(__xludf.DUMMYFUNCTION("""COMPUTED_VALUE"""),"quẹt thẻ tín dụng lấy tiền mặt")</f>
        <v>quẹt thẻ tín dụng lấy tiền mặt</v>
      </c>
      <c r="AJ30" s="21" t="str">
        <f>IFERROR(__xludf.DUMMYFUNCTION("""COMPUTED_VALUE"""),"https://techcombank.com/thong-tin/blog/cach-su-dung-tai-khoan-cong-ty")</f>
        <v>https://techcombank.com/thong-tin/blog/cach-su-dung-tai-khoan-cong-ty</v>
      </c>
      <c r="AK30" s="17" t="str">
        <f>IFERROR(__xludf.DUMMYFUNCTION("""COMPUTED_VALUE"""),"rút tiền thẻ tín dụng")</f>
        <v>rút tiền thẻ tín dụng</v>
      </c>
      <c r="AL30" s="21" t="str">
        <f>IFERROR(__xludf.DUMMYFUNCTION("""COMPUTED_VALUE"""),"https://techcombank.com/thong-tin/blog/rut-tien-bang-ma-qr-khac-ngan-hang-duoc-khong")</f>
        <v>https://techcombank.com/thong-tin/blog/rut-tien-bang-ma-qr-khac-ngan-hang-duoc-khong</v>
      </c>
      <c r="AM30" s="17" t="str">
        <f>IFERROR(__xludf.DUMMYFUNCTION("""COMPUTED_VALUE"""),"quẹt thẻ tín dụng lấy tiền mặt")</f>
        <v>quẹt thẻ tín dụng lấy tiền mặt</v>
      </c>
      <c r="AN30" s="21" t="str">
        <f>IFERROR(__xludf.DUMMYFUNCTION("""COMPUTED_VALUE"""),"https://techcombank.com/thong-tin/blog/tra-cuu-han-muc-the-tin-dung")</f>
        <v>https://techcombank.com/thong-tin/blog/tra-cuu-han-muc-the-tin-dung</v>
      </c>
      <c r="AO30" s="17" t="str">
        <f>IFERROR(__xludf.DUMMYFUNCTION("""COMPUTED_VALUE"""),"rút tiền thẻ tín dụng")</f>
        <v>rút tiền thẻ tín dụng</v>
      </c>
      <c r="AP30" s="21" t="str">
        <f>IFERROR(__xludf.DUMMYFUNCTION("""COMPUTED_VALUE"""),"https://techcombank.com/thong-tin/blog/the-visa-de-lam-gi")</f>
        <v>https://techcombank.com/thong-tin/blog/the-visa-de-lam-gi</v>
      </c>
      <c r="AQ30" s="17" t="str">
        <f>IFERROR(__xludf.DUMMYFUNCTION("""COMPUTED_VALUE"""),"quẹt thẻ tín dụng lấy tiền mặt")</f>
        <v>quẹt thẻ tín dụng lấy tiền mặt</v>
      </c>
      <c r="AR30" s="21" t="str">
        <f>IFERROR(__xludf.DUMMYFUNCTION("""COMPUTED_VALUE"""),"https://techcombank.com/thong-tin/blog/the-atm-khong-rut-duoc-tien")</f>
        <v>https://techcombank.com/thong-tin/blog/the-atm-khong-rut-duoc-tien</v>
      </c>
      <c r="AS30" s="17" t="str">
        <f>IFERROR(__xludf.DUMMYFUNCTION("""COMPUTED_VALUE"""),"rút tiền thẻ tín dụng")</f>
        <v>rút tiền thẻ tín dụng</v>
      </c>
      <c r="AT30" s="21" t="str">
        <f>IFERROR(__xludf.DUMMYFUNCTION("""COMPUTED_VALUE"""),"https://techcombank.com/thong-tin/blog/rut-tien-tiet-kiem-truoc-thoi-han")</f>
        <v>https://techcombank.com/thong-tin/blog/rut-tien-tiet-kiem-truoc-thoi-han</v>
      </c>
      <c r="AU30" s="17" t="str">
        <f>IFERROR(__xludf.DUMMYFUNCTION("""COMPUTED_VALUE"""),"quẹt thẻ tín dụng lấy tiền mặt")</f>
        <v>quẹt thẻ tín dụng lấy tiền mặt</v>
      </c>
      <c r="AV30" s="21" t="str">
        <f>IFERROR(__xludf.DUMMYFUNCTION("""COMPUTED_VALUE"""),"https://techcombank.com/thong-tin/blog/rut-tien-bang-ma-qr-la-gi-cach-thuc-hien-nhu-the-nao")</f>
        <v>https://techcombank.com/thong-tin/blog/rut-tien-bang-ma-qr-la-gi-cach-thuc-hien-nhu-the-nao</v>
      </c>
      <c r="AW30" s="17" t="str">
        <f>IFERROR(__xludf.DUMMYFUNCTION("""COMPUTED_VALUE"""),"rút tiền thẻ tín dụng")</f>
        <v>rút tiền thẻ tín dụng</v>
      </c>
      <c r="AX30" s="21" t="str">
        <f>IFERROR(__xludf.DUMMYFUNCTION("""COMPUTED_VALUE"""),"https://techcombank.com/thong-tin/blog/ty-le-thanh-toan-khong-dung-tien-mat-trong-linh-vuc-y-te-con-han-che")</f>
        <v>https://techcombank.com/thong-tin/blog/ty-le-thanh-toan-khong-dung-tien-mat-trong-linh-vuc-y-te-con-han-che</v>
      </c>
      <c r="AY30" s="17" t="str">
        <f>IFERROR(__xludf.DUMMYFUNCTION("""COMPUTED_VALUE"""),"quẹt thẻ tín dụng lấy tiền mặt")</f>
        <v>quẹt thẻ tín dụng lấy tiền mặt</v>
      </c>
      <c r="AZ30" s="21" t="str">
        <f>IFERROR(__xludf.DUMMYFUNCTION("""COMPUTED_VALUE"""),"https://techcombank.com/thong-tin/blog/thanh-toan-khong-dung-tien-mat-tro-thanh-xu-huong-tang-truong-chong-mat")</f>
        <v>https://techcombank.com/thong-tin/blog/thanh-toan-khong-dung-tien-mat-tro-thanh-xu-huong-tang-truong-chong-mat</v>
      </c>
      <c r="BA30" s="17" t="str">
        <f>IFERROR(__xludf.DUMMYFUNCTION("""COMPUTED_VALUE"""),"rút tiền thẻ tín dụng")</f>
        <v>rút tiền thẻ tín dụng</v>
      </c>
      <c r="BB30" s="21" t="str">
        <f>IFERROR(__xludf.DUMMYFUNCTION("""COMPUTED_VALUE"""),"https://techcombank.com/thong-tin/blog/bi-nuot-the-atm-phai-lam-sao")</f>
        <v>https://techcombank.com/thong-tin/blog/bi-nuot-the-atm-phai-lam-sao</v>
      </c>
      <c r="BC30" s="17" t="str">
        <f>IFERROR(__xludf.DUMMYFUNCTION("""COMPUTED_VALUE"""),"quẹt thẻ tín dụng lấy tiền mặt")</f>
        <v>quẹt thẻ tín dụng lấy tiền mặt</v>
      </c>
      <c r="BD30" s="21" t="str">
        <f>IFERROR(__xludf.DUMMYFUNCTION("""COMPUTED_VALUE"""),"https://techcombank.com/thong-tin/blog/vay-tien-mat")</f>
        <v>https://techcombank.com/thong-tin/blog/vay-tien-mat</v>
      </c>
      <c r="BE30" s="17" t="str">
        <f>IFERROR(__xludf.DUMMYFUNCTION("""COMPUTED_VALUE"""),"rút tiền thẻ tín dụng")</f>
        <v>rút tiền thẻ tín dụng</v>
      </c>
      <c r="BF30" s="21" t="str">
        <f>IFERROR(__xludf.DUMMYFUNCTION("""COMPUTED_VALUE"""),"https://techcombank.com/thong-tin/blog/the-tin-dung-la-gi")</f>
        <v>https://techcombank.com/thong-tin/blog/the-tin-dung-la-gi</v>
      </c>
      <c r="BG30" s="17" t="str">
        <f>IFERROR(__xludf.DUMMYFUNCTION("""COMPUTED_VALUE"""),"quẹt thẻ tín dụng lấy tiền mặt")</f>
        <v>quẹt thẻ tín dụng lấy tiền mặt</v>
      </c>
      <c r="BH30" s="21" t="str">
        <f>IFERROR(__xludf.DUMMYFUNCTION("""COMPUTED_VALUE"""),"https://techcombank.com/thong-tin/blog/cach-su-dung-the-tin-dung")</f>
        <v>https://techcombank.com/thong-tin/blog/cach-su-dung-the-tin-dung</v>
      </c>
      <c r="BI30" s="17" t="str">
        <f>IFERROR(__xludf.DUMMYFUNCTION("""COMPUTED_VALUE"""),"rút tiền thẻ tín dụng")</f>
        <v>rút tiền thẻ tín dụng</v>
      </c>
      <c r="BJ30" s="21" t="str">
        <f>IFERROR(__xludf.DUMMYFUNCTION("""COMPUTED_VALUE"""),"https://techcombank.com/thong-tin/blog/nang-han-muc-tin-dung")</f>
        <v>https://techcombank.com/thong-tin/blog/nang-han-muc-tin-dung</v>
      </c>
      <c r="BK30" s="17" t="str">
        <f>IFERROR(__xludf.DUMMYFUNCTION("""COMPUTED_VALUE"""),"quẹt thẻ tín dụng lấy tiền mặt")</f>
        <v>quẹt thẻ tín dụng lấy tiền mặt</v>
      </c>
      <c r="BL30" s="21" t="str">
        <f>IFERROR(__xludf.DUMMYFUNCTION("""COMPUTED_VALUE"""),"https://techcombank.com/thong-tin/blog/xu-huong-thanh-toan-khong-dung-tien-mat-tai-viet-nam")</f>
        <v>https://techcombank.com/thong-tin/blog/xu-huong-thanh-toan-khong-dung-tien-mat-tai-viet-nam</v>
      </c>
      <c r="BM30" s="17" t="str">
        <f>IFERROR(__xludf.DUMMYFUNCTION("""COMPUTED_VALUE"""),"rút tiền thẻ tín dụng")</f>
        <v>rút tiền thẻ tín dụng</v>
      </c>
      <c r="BN30" s="21" t="str">
        <f>IFERROR(__xludf.DUMMYFUNCTION("""COMPUTED_VALUE"""),"https://techcombank.com/thong-tin/blog/cach-rut-tien-atm")</f>
        <v>https://techcombank.com/thong-tin/blog/cach-rut-tien-atm</v>
      </c>
      <c r="BO30" s="17" t="str">
        <f>IFERROR(__xludf.DUMMYFUNCTION("""COMPUTED_VALUE"""),"quẹt thẻ tín dụng lấy tiền mặt")</f>
        <v>quẹt thẻ tín dụng lấy tiền mặt</v>
      </c>
      <c r="BP30" s="21" t="str">
        <f>IFERROR(__xludf.DUMMYFUNCTION("""COMPUTED_VALUE"""),"https://techcombank.com/thong-tin/blog/rut-tien-bao-hiem-nhan-tho-khi-het-han")</f>
        <v>https://techcombank.com/thong-tin/blog/rut-tien-bao-hiem-nhan-tho-khi-het-han</v>
      </c>
      <c r="BQ30" s="17" t="str">
        <f>IFERROR(__xludf.DUMMYFUNCTION("""COMPUTED_VALUE"""),"rút tiền thẻ tín dụng")</f>
        <v>rút tiền thẻ tín dụng</v>
      </c>
      <c r="BR30" s="21" t="str">
        <f>IFERROR(__xludf.DUMMYFUNCTION("""COMPUTED_VALUE"""),"https://techcombank.com/thong-tin/blog/cach-su-dung-the-visa-techcombank")</f>
        <v>https://techcombank.com/thong-tin/blog/cach-su-dung-the-visa-techcombank</v>
      </c>
      <c r="BS30" s="17" t="str">
        <f>IFERROR(__xludf.DUMMYFUNCTION("""COMPUTED_VALUE"""),"quẹt thẻ tín dụng lấy tiền mặt")</f>
        <v>quẹt thẻ tín dụng lấy tiền mặt</v>
      </c>
      <c r="BT30" s="21" t="str">
        <f>IFERROR(__xludf.DUMMYFUNCTION("""COMPUTED_VALUE"""),"https://techcombank.com/thong-tin/blog/thanh-toan-khong-tien-mat-trong-nganh-giao-duc-co-hoi-va-thach-thuc")</f>
        <v>https://techcombank.com/thong-tin/blog/thanh-toan-khong-tien-mat-trong-nganh-giao-duc-co-hoi-va-thach-thuc</v>
      </c>
      <c r="BU30" s="17" t="str">
        <f>IFERROR(__xludf.DUMMYFUNCTION("""COMPUTED_VALUE"""),"rút tiền thẻ tín dụng")</f>
        <v>rút tiền thẻ tín dụng</v>
      </c>
      <c r="BV30" s="21" t="str">
        <f>IFERROR(__xludf.DUMMYFUNCTION("""COMPUTED_VALUE"""),"https://techcombank.com/thong-tin/blog/the-he-tre-day-manh-xu-huong-thanh-toan-khong-dung-tien-mat")</f>
        <v>https://techcombank.com/thong-tin/blog/the-he-tre-day-manh-xu-huong-thanh-toan-khong-dung-tien-mat</v>
      </c>
      <c r="BW30" s="17" t="str">
        <f>IFERROR(__xludf.DUMMYFUNCTION("""COMPUTED_VALUE"""),"quẹt thẻ tín dụng lấy tiền mặt")</f>
        <v>quẹt thẻ tín dụng lấy tiền mặt</v>
      </c>
      <c r="BX30" s="21" t="str">
        <f>IFERROR(__xludf.DUMMYFUNCTION("""COMPUTED_VALUE"""),"https://techcombank.com/thong-tin/blog/cay-atm-gan-day")</f>
        <v>https://techcombank.com/thong-tin/blog/cay-atm-gan-day</v>
      </c>
      <c r="BY30" s="17" t="str">
        <f>IFERROR(__xludf.DUMMYFUNCTION("""COMPUTED_VALUE"""),"rút tiền thẻ tín dụng")</f>
        <v>rút tiền thẻ tín dụng</v>
      </c>
      <c r="BZ30" s="21" t="str">
        <f>IFERROR(__xludf.DUMMYFUNCTION("""COMPUTED_VALUE"""),"https://techcombank.com/thong-tin/blog/dang-vay-tra-gop-co-vay-them-duoc-khong")</f>
        <v>https://techcombank.com/thong-tin/blog/dang-vay-tra-gop-co-vay-them-duoc-khong</v>
      </c>
      <c r="CA30" s="17" t="str">
        <f>IFERROR(__xludf.DUMMYFUNCTION("""COMPUTED_VALUE"""),"quẹt thẻ tín dụng lấy tiền mặt")</f>
        <v>quẹt thẻ tín dụng lấy tiền mặt</v>
      </c>
      <c r="CB30" s="21" t="str">
        <f>IFERROR(__xludf.DUMMYFUNCTION("""COMPUTED_VALUE"""),"https://techcombank.com/thong-tin/blog/cach-su-dung-the-ghi-no")</f>
        <v>https://techcombank.com/thong-tin/blog/cach-su-dung-the-ghi-no</v>
      </c>
      <c r="CC30" s="17" t="str">
        <f>IFERROR(__xludf.DUMMYFUNCTION("""COMPUTED_VALUE"""),"rút tiền thẻ tín dụng")</f>
        <v>rút tiền thẻ tín dụng</v>
      </c>
      <c r="CD30" s="21" t="str">
        <f>IFERROR(__xludf.DUMMYFUNCTION("""COMPUTED_VALUE"""),"https://techcombank.com/thong-tin/blog/the-ghi-no-co-rut-tien-duoc-khong")</f>
        <v>https://techcombank.com/thong-tin/blog/the-ghi-no-co-rut-tien-duoc-khong</v>
      </c>
      <c r="CE30" s="17" t="str">
        <f>IFERROR(__xludf.DUMMYFUNCTION("""COMPUTED_VALUE"""),"quẹt thẻ tín dụng lấy tiền mặt")</f>
        <v>quẹt thẻ tín dụng lấy tiền mặt</v>
      </c>
      <c r="CF30" s="21" t="str">
        <f>IFERROR(__xludf.DUMMYFUNCTION("""COMPUTED_VALUE"""),"https://techcombank.com/thong-tin/blog/tien-gui-co-ky-han")</f>
        <v>https://techcombank.com/thong-tin/blog/tien-gui-co-ky-han</v>
      </c>
      <c r="CG30" s="17" t="str">
        <f>IFERROR(__xludf.DUMMYFUNCTION("""COMPUTED_VALUE"""),"rút tiền thẻ tín dụng")</f>
        <v>rút tiền thẻ tín dụng</v>
      </c>
      <c r="CH30" s="21" t="str">
        <f>IFERROR(__xludf.DUMMYFUNCTION("""COMPUTED_VALUE"""),"https://techcombank.com/thong-tin/blog/cic-la-gi")</f>
        <v>https://techcombank.com/thong-tin/blog/cic-la-gi</v>
      </c>
      <c r="CI30" s="17" t="str">
        <f>IFERROR(__xludf.DUMMYFUNCTION("""COMPUTED_VALUE"""),"quẹt thẻ tín dụng lấy tiền mặt")</f>
        <v>quẹt thẻ tín dụng lấy tiền mặt</v>
      </c>
      <c r="CJ30" s="21" t="str">
        <f>IFERROR(__xludf.DUMMYFUNCTION("""COMPUTED_VALUE"""),"https://techcombank.com/thong-tin/blog/no-xau-nhom-2")</f>
        <v>https://techcombank.com/thong-tin/blog/no-xau-nhom-2</v>
      </c>
      <c r="CK30" s="17" t="str">
        <f>IFERROR(__xludf.DUMMYFUNCTION("""COMPUTED_VALUE"""),"rút tiền thẻ tín dụng")</f>
        <v>rút tiền thẻ tín dụng</v>
      </c>
      <c r="CL30" s="21" t="str">
        <f>IFERROR(__xludf.DUMMYFUNCTION("""COMPUTED_VALUE"""),"https://techcombank.com/thong-tin/blog/han-muc-tra-gop-the-tin-dung")</f>
        <v>https://techcombank.com/thong-tin/blog/han-muc-tra-gop-the-tin-dung</v>
      </c>
      <c r="CM30" s="17" t="str">
        <f>IFERROR(__xludf.DUMMYFUNCTION("""COMPUTED_VALUE"""),"quẹt thẻ tín dụng lấy tiền mặt")</f>
        <v>quẹt thẻ tín dụng lấy tiền mặt</v>
      </c>
      <c r="CN30" s="21" t="str">
        <f>IFERROR(__xludf.DUMMYFUNCTION("""COMPUTED_VALUE"""),"https://techcombank.com/thong-tin/blog/sao-ke-the-tin-dung-la-gi")</f>
        <v>https://techcombank.com/thong-tin/blog/sao-ke-the-tin-dung-la-gi</v>
      </c>
      <c r="CO30" s="17" t="str">
        <f>IFERROR(__xludf.DUMMYFUNCTION("""COMPUTED_VALUE"""),"rút tiền thẻ tín dụng")</f>
        <v>rút tiền thẻ tín dụng</v>
      </c>
      <c r="CP30" s="21" t="str">
        <f>IFERROR(__xludf.DUMMYFUNCTION("""COMPUTED_VALUE"""),"https://techcombank.com/thong-tin/blog/no-xau-mo-the-tin-dung-duoc-khong")</f>
        <v>https://techcombank.com/thong-tin/blog/no-xau-mo-the-tin-dung-duoc-khong</v>
      </c>
      <c r="CQ30" s="17" t="str">
        <f>IFERROR(__xludf.DUMMYFUNCTION("""COMPUTED_VALUE"""),"quẹt thẻ tín dụng lấy tiền mặt")</f>
        <v>quẹt thẻ tín dụng lấy tiền mặt</v>
      </c>
      <c r="CR30" s="21" t="str">
        <f>IFERROR(__xludf.DUMMYFUNCTION("""COMPUTED_VALUE"""),"https://techcombank.com/thong-tin/blog/the-tin-dung-phu-la-gi")</f>
        <v>https://techcombank.com/thong-tin/blog/the-tin-dung-phu-la-gi</v>
      </c>
      <c r="CS30" s="17" t="str">
        <f>IFERROR(__xludf.DUMMYFUNCTION("""COMPUTED_VALUE"""),"rút tiền thẻ tín dụng")</f>
        <v>rút tiền thẻ tín dụng</v>
      </c>
      <c r="CT30" s="21" t="str">
        <f>IFERROR(__xludf.DUMMYFUNCTION("""COMPUTED_VALUE"""),"https://techcombank.com/thong-tin/blog/luu-y-khi-su-dung-the-tin-dung")</f>
        <v>https://techcombank.com/thong-tin/blog/luu-y-khi-su-dung-the-tin-dung</v>
      </c>
      <c r="CU30" s="17" t="str">
        <f>IFERROR(__xludf.DUMMYFUNCTION("""COMPUTED_VALUE"""),"quẹt thẻ tín dụng lấy tiền mặt")</f>
        <v>quẹt thẻ tín dụng lấy tiền mặt</v>
      </c>
      <c r="CV30" s="21" t="str">
        <f>IFERROR(__xludf.DUMMYFUNCTION("""COMPUTED_VALUE"""),"https://techcombank.com/thong-tin/blog/mo-the-tin-dung-han-muc-cao")</f>
        <v>https://techcombank.com/thong-tin/blog/mo-the-tin-dung-han-muc-cao</v>
      </c>
      <c r="CW30" s="17" t="str">
        <f>IFERROR(__xludf.DUMMYFUNCTION("""COMPUTED_VALUE"""),"rút tiền thẻ tín dụng")</f>
        <v>rút tiền thẻ tín dụng</v>
      </c>
      <c r="CX30" s="21" t="str">
        <f>IFERROR(__xludf.DUMMYFUNCTION("""COMPUTED_VALUE"""),"https://techcombank.com/thong-tin/blog/the-tin-dung-noi-dia")</f>
        <v>https://techcombank.com/thong-tin/blog/the-tin-dung-noi-dia</v>
      </c>
      <c r="CY30" s="17" t="str">
        <f>IFERROR(__xludf.DUMMYFUNCTION("""COMPUTED_VALUE"""),"quẹt thẻ tín dụng lấy tiền mặt")</f>
        <v>quẹt thẻ tín dụng lấy tiền mặt</v>
      </c>
      <c r="CZ30" s="21" t="str">
        <f>IFERROR(__xludf.DUMMYFUNCTION("""COMPUTED_VALUE"""),"https://techcombank.com/thong-tin/blog/tra-gop-qua-the-tin-dung")</f>
        <v>https://techcombank.com/thong-tin/blog/tra-gop-qua-the-tin-dung</v>
      </c>
      <c r="DA30" s="17" t="str">
        <f>IFERROR(__xludf.DUMMYFUNCTION("""COMPUTED_VALUE"""),"rút tiền thẻ tín dụng")</f>
        <v>rút tiền thẻ tín dụng</v>
      </c>
      <c r="DB30" s="21" t="str">
        <f>IFERROR(__xludf.DUMMYFUNCTION("""COMPUTED_VALUE"""),"https://techcombank.com/thong-tin/blog/the-ghi-no-visa-la-gi")</f>
        <v>https://techcombank.com/thong-tin/blog/the-ghi-no-visa-la-gi</v>
      </c>
      <c r="DC30" s="17" t="str">
        <f>IFERROR(__xludf.DUMMYFUNCTION("""COMPUTED_VALUE"""),"quẹt thẻ tín dụng lấy tiền mặt")</f>
        <v>quẹt thẻ tín dụng lấy tiền mặt</v>
      </c>
      <c r="DD30" s="21" t="str">
        <f>IFERROR(__xludf.DUMMYFUNCTION("""COMPUTED_VALUE"""),"https://techcombank.com/thong-tin/blog/tra-gop-lazada")</f>
        <v>https://techcombank.com/thong-tin/blog/tra-gop-lazada</v>
      </c>
      <c r="DE30" s="17" t="str">
        <f>IFERROR(__xludf.DUMMYFUNCTION("""COMPUTED_VALUE"""),"rút tiền thẻ tín dụng")</f>
        <v>rút tiền thẻ tín dụng</v>
      </c>
      <c r="DF30" s="21" t="str">
        <f>IFERROR(__xludf.DUMMYFUNCTION("""COMPUTED_VALUE"""),"https://techcombank.com/thong-tin/blog/lam-ho-so-tra-gop-dien-thoai")</f>
        <v>https://techcombank.com/thong-tin/blog/lam-ho-so-tra-gop-dien-thoai</v>
      </c>
      <c r="DG30" s="17" t="str">
        <f>IFERROR(__xludf.DUMMYFUNCTION("""COMPUTED_VALUE"""),"quẹt thẻ tín dụng lấy tiền mặt")</f>
        <v>quẹt thẻ tín dụng lấy tiền mặt</v>
      </c>
      <c r="DH30" s="21" t="str">
        <f>IFERROR(__xludf.DUMMYFUNCTION("""COMPUTED_VALUE"""),"https://techcombank.com/thong-tin/blog/tra-gop-shopee")</f>
        <v>https://techcombank.com/thong-tin/blog/tra-gop-shopee</v>
      </c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7"/>
      <c r="FU30" s="17"/>
      <c r="FV30" s="17"/>
      <c r="FW30" s="17"/>
      <c r="FX30" s="17"/>
      <c r="FY30" s="17"/>
      <c r="FZ30" s="17"/>
      <c r="GA30" s="17"/>
      <c r="GB30" s="17"/>
      <c r="GC30" s="17"/>
      <c r="GD30" s="17"/>
      <c r="GE30" s="17"/>
      <c r="GF30" s="17"/>
      <c r="GG30" s="17"/>
      <c r="GH30" s="17"/>
      <c r="GI30" s="17"/>
      <c r="GJ30" s="17"/>
      <c r="GK30" s="17"/>
      <c r="GL30" s="17"/>
      <c r="GM30" s="17"/>
      <c r="GN30" s="17"/>
      <c r="GO30" s="17"/>
      <c r="GP30" s="17"/>
      <c r="GQ30" s="17"/>
      <c r="GR30" s="17"/>
      <c r="GS30" s="17"/>
      <c r="GT30" s="17"/>
      <c r="GU30" s="17"/>
      <c r="GV30" s="17"/>
      <c r="GW30" s="17"/>
      <c r="GX30" s="17"/>
      <c r="GY30" s="17"/>
      <c r="GZ30" s="17"/>
      <c r="HA30" s="17"/>
      <c r="HB30" s="17"/>
      <c r="HC30" s="17"/>
      <c r="HD30" s="17"/>
      <c r="HE30" s="17"/>
      <c r="HF30" s="17"/>
      <c r="HG30" s="17"/>
      <c r="HH30" s="17"/>
      <c r="HI30" s="17"/>
      <c r="HJ30" s="17"/>
      <c r="HK30" s="17"/>
      <c r="HL30" s="17"/>
      <c r="HM30" s="17"/>
      <c r="HN30" s="17"/>
      <c r="HO30" s="17"/>
      <c r="HP30" s="17"/>
      <c r="HQ30" s="17"/>
      <c r="HR30" s="17"/>
      <c r="HS30" s="17"/>
      <c r="HT30" s="17"/>
      <c r="HU30" s="17"/>
      <c r="HV30" s="17"/>
      <c r="HW30" s="17"/>
      <c r="HX30" s="17"/>
      <c r="HY30" s="17"/>
      <c r="HZ30" s="17"/>
      <c r="IA30" s="17"/>
      <c r="IB30" s="17"/>
      <c r="IC30" s="17"/>
      <c r="ID30" s="17"/>
      <c r="IE30" s="17"/>
      <c r="IF30" s="17"/>
      <c r="IG30" s="17"/>
      <c r="IH30" s="17"/>
      <c r="II30" s="17"/>
      <c r="IJ30" s="17"/>
      <c r="IK30" s="17"/>
      <c r="IL30" s="17"/>
      <c r="IM30" s="17"/>
      <c r="IN30" s="17"/>
      <c r="IO30" s="17"/>
      <c r="IP30" s="17"/>
      <c r="IQ30" s="17"/>
      <c r="IR30" s="17"/>
      <c r="IS30" s="17"/>
      <c r="IT30" s="17"/>
      <c r="IU30" s="17"/>
      <c r="IV30" s="17"/>
      <c r="IW30" s="17"/>
      <c r="IX30" s="17"/>
      <c r="IY30" s="17"/>
      <c r="IZ30" s="17"/>
      <c r="JA30" s="17"/>
      <c r="JB30" s="17"/>
      <c r="JC30" s="17"/>
      <c r="JD30" s="17"/>
      <c r="JE30" s="17"/>
      <c r="JF30" s="17"/>
      <c r="JG30" s="17"/>
      <c r="JH30" s="17"/>
      <c r="JI30" s="17"/>
      <c r="JJ30" s="17"/>
      <c r="JK30" s="17"/>
      <c r="JL30" s="17"/>
      <c r="JM30" s="17"/>
      <c r="JN30" s="17"/>
      <c r="JO30" s="17"/>
      <c r="JP30" s="17"/>
      <c r="JQ30" s="17"/>
      <c r="JR30" s="17"/>
      <c r="JS30" s="17"/>
      <c r="JT30" s="17"/>
      <c r="JU30" s="17"/>
      <c r="JV30" s="17"/>
      <c r="JW30" s="17"/>
      <c r="JX30" s="17"/>
      <c r="JY30" s="17"/>
      <c r="JZ30" s="17"/>
      <c r="KA30" s="17"/>
      <c r="KB30" s="17"/>
      <c r="KC30" s="17"/>
      <c r="KD30" s="17"/>
      <c r="KE30" s="17"/>
      <c r="KF30" s="17"/>
      <c r="KG30" s="17"/>
      <c r="KH30" s="17"/>
      <c r="KI30" s="17"/>
      <c r="KJ30" s="17"/>
      <c r="KK30" s="17"/>
      <c r="KL30" s="17"/>
      <c r="KM30" s="17"/>
      <c r="KN30" s="17"/>
      <c r="KO30" s="17"/>
      <c r="KP30" s="17"/>
      <c r="KQ30" s="17"/>
      <c r="KR30" s="17"/>
      <c r="KS30" s="17"/>
      <c r="KT30" s="17"/>
      <c r="KU30" s="17"/>
      <c r="KV30" s="17"/>
      <c r="KW30" s="17"/>
      <c r="KX30" s="17"/>
      <c r="KY30" s="17"/>
      <c r="KZ30" s="17"/>
      <c r="LA30" s="17"/>
      <c r="LB30" s="17"/>
      <c r="LC30" s="17"/>
      <c r="LD30" s="17"/>
      <c r="LE30" s="17"/>
      <c r="LF30" s="17"/>
      <c r="LG30" s="17"/>
      <c r="LH30" s="17"/>
      <c r="LI30" s="17"/>
      <c r="LJ30" s="17"/>
      <c r="LK30" s="17"/>
      <c r="LL30" s="17"/>
      <c r="LM30" s="17"/>
      <c r="LN30" s="17"/>
      <c r="LO30" s="17"/>
      <c r="LP30" s="17"/>
      <c r="LQ30" s="17"/>
      <c r="LR30" s="17"/>
      <c r="LS30" s="17"/>
      <c r="LT30" s="17"/>
      <c r="LU30" s="17"/>
      <c r="LV30" s="17"/>
      <c r="LW30" s="17"/>
      <c r="LX30" s="17"/>
      <c r="LY30" s="17"/>
      <c r="LZ30" s="17"/>
      <c r="MA30" s="17"/>
      <c r="MB30" s="17"/>
      <c r="MC30" s="17"/>
      <c r="MD30" s="17"/>
      <c r="ME30" s="17"/>
      <c r="MF30" s="17"/>
      <c r="MG30" s="17"/>
      <c r="MH30" s="17"/>
      <c r="MI30" s="17"/>
      <c r="MJ30" s="17"/>
      <c r="MK30" s="17"/>
      <c r="ML30" s="17"/>
      <c r="MM30" s="17"/>
      <c r="MN30" s="17"/>
      <c r="MO30" s="17"/>
      <c r="MP30" s="17"/>
      <c r="MQ30" s="17"/>
      <c r="MR30" s="17"/>
      <c r="MS30" s="17"/>
      <c r="MT30" s="17"/>
      <c r="MU30" s="17"/>
      <c r="MV30" s="17"/>
      <c r="MW30" s="17"/>
      <c r="MX30" s="17"/>
      <c r="MY30" s="17"/>
      <c r="MZ30" s="17"/>
      <c r="NA30" s="17"/>
      <c r="NB30" s="17"/>
      <c r="NC30" s="17"/>
      <c r="ND30" s="17"/>
      <c r="NE30" s="17"/>
      <c r="NF30" s="17"/>
      <c r="NG30" s="17"/>
      <c r="NH30" s="17"/>
      <c r="NI30" s="17"/>
      <c r="NJ30" s="17"/>
      <c r="NK30" s="17"/>
      <c r="NL30" s="17"/>
      <c r="NM30" s="17"/>
      <c r="NN30" s="17"/>
      <c r="NO30" s="17"/>
      <c r="NP30" s="17"/>
      <c r="NQ30" s="17"/>
      <c r="NR30" s="17"/>
      <c r="NS30" s="17"/>
      <c r="NT30" s="17"/>
      <c r="NU30" s="17"/>
      <c r="NV30" s="17"/>
      <c r="NW30" s="17"/>
      <c r="NX30" s="17"/>
      <c r="NY30" s="17"/>
      <c r="NZ30" s="17"/>
      <c r="OA30" s="17"/>
      <c r="OB30" s="17"/>
      <c r="OC30" s="17"/>
      <c r="OD30" s="17"/>
      <c r="OE30" s="17"/>
      <c r="OF30" s="17"/>
      <c r="OG30" s="17"/>
      <c r="OH30" s="17"/>
      <c r="OI30" s="17"/>
      <c r="OJ30" s="17"/>
      <c r="OK30" s="17"/>
      <c r="OL30" s="17"/>
      <c r="OM30" s="17"/>
      <c r="ON30" s="17"/>
      <c r="OO30" s="17"/>
      <c r="OP30" s="17"/>
      <c r="OQ30" s="17"/>
      <c r="OR30" s="17"/>
      <c r="OS30" s="17"/>
      <c r="OT30" s="17"/>
      <c r="OU30" s="17"/>
      <c r="OV30" s="17"/>
    </row>
    <row r="31" ht="18.0" customHeight="1">
      <c r="A31" s="16">
        <v>30.0</v>
      </c>
      <c r="B31" s="17" t="s">
        <v>1268</v>
      </c>
      <c r="C31" s="18" t="s">
        <v>1306</v>
      </c>
      <c r="D31" s="17" t="s">
        <v>536</v>
      </c>
      <c r="E31" s="16">
        <v>30.0</v>
      </c>
      <c r="F31" s="16">
        <f>COUNTIF('Tổng hợp 75 trang đích'!$B$2:$B$3400,$D31)</f>
        <v>30</v>
      </c>
      <c r="G31" s="16">
        <f>COUNTIFS('Tổng hợp 75 trang đích'!$B$2:$B$3400,$D31,'Tổng hợp 75 trang đích'!$K$2:$K$3400,"PHÙ HỢP CAO")</f>
        <v>4</v>
      </c>
      <c r="H31" s="16">
        <f>COUNTIFS('Tổng hợp 75 trang đích'!$B$2:$B$3400,$D31,'Tổng hợp 75 trang đích'!$K$2:$K$3400,"CÓ THỂ ĐI")</f>
        <v>1</v>
      </c>
      <c r="I31" s="16">
        <f>COUNTIFS('Tổng hợp 75 trang đích'!$B$2:$B$3400,$D31,'Tổng hợp 75 trang đích'!$K$2:$K$3400,"CẦN SOÁT")</f>
        <v>25</v>
      </c>
      <c r="J31" s="19" t="s">
        <v>555</v>
      </c>
      <c r="K31" s="19" t="b">
        <v>0</v>
      </c>
      <c r="L31" s="20" t="s">
        <v>333</v>
      </c>
      <c r="M31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đích'!$B$2:$B$3400=$D31),3,TR"&amp;"UE),1,2)),"""")"),"làm thẻ tín dụng")</f>
        <v>làm thẻ tín dụng</v>
      </c>
      <c r="N31" s="21" t="str">
        <f>IFERROR(__xludf.DUMMYFUNCTION("""COMPUTED_VALUE"""),"https://techcombank.com/thong-tin/blog/the-tin-dung-la-gi")</f>
        <v>https://techcombank.com/thong-tin/blog/the-tin-dung-la-gi</v>
      </c>
      <c r="O31" s="17" t="str">
        <f>IFERROR(__xludf.DUMMYFUNCTION("""COMPUTED_VALUE"""),"mở thẻ tín dụng")</f>
        <v>mở thẻ tín dụng</v>
      </c>
      <c r="P31" s="21" t="str">
        <f>IFERROR(__xludf.DUMMYFUNCTION("""COMPUTED_VALUE"""),"https://techcombank.com/thong-tin/blog/mo-the-tin-dung-chi-can-cccd")</f>
        <v>https://techcombank.com/thong-tin/blog/mo-the-tin-dung-chi-can-cccd</v>
      </c>
      <c r="Q31" s="17" t="str">
        <f>IFERROR(__xludf.DUMMYFUNCTION("""COMPUTED_VALUE"""),"làm thẻ tín dụng")</f>
        <v>làm thẻ tín dụng</v>
      </c>
      <c r="R31" s="21" t="str">
        <f>IFERROR(__xludf.DUMMYFUNCTION("""COMPUTED_VALUE"""),"https://techcombank.com/thong-tin/blog/lam-the-tin-dung-co-mat-phi-khong")</f>
        <v>https://techcombank.com/thong-tin/blog/lam-the-tin-dung-co-mat-phi-khong</v>
      </c>
      <c r="S31" s="17" t="str">
        <f>IFERROR(__xludf.DUMMYFUNCTION("""COMPUTED_VALUE"""),"mở thẻ tín dụng")</f>
        <v>mở thẻ tín dụng</v>
      </c>
      <c r="T31" s="21" t="str">
        <f>IFERROR(__xludf.DUMMYFUNCTION("""COMPUTED_VALUE"""),"https://techcombank.com/thong-tin/blog/mo-the-tin-dung-khong-can-chung-minh-thu-nhap")</f>
        <v>https://techcombank.com/thong-tin/blog/mo-the-tin-dung-khong-can-chung-minh-thu-nhap</v>
      </c>
      <c r="U31" s="17" t="str">
        <f>IFERROR(__xludf.DUMMYFUNCTION("""COMPUTED_VALUE"""),"làm thẻ tín dụng")</f>
        <v>làm thẻ tín dụng</v>
      </c>
      <c r="V31" s="21" t="str">
        <f>IFERROR(__xludf.DUMMYFUNCTION("""COMPUTED_VALUE"""),"https://techcombank.com/thong-tin/blog/co-nen-dung-the-tin-dung-khong")</f>
        <v>https://techcombank.com/thong-tin/blog/co-nen-dung-the-tin-dung-khong</v>
      </c>
      <c r="W31" s="17" t="str">
        <f>IFERROR(__xludf.DUMMYFUNCTION("""COMPUTED_VALUE"""),"mở thẻ tín dụng")</f>
        <v>mở thẻ tín dụng</v>
      </c>
      <c r="X31" s="21" t="str">
        <f>IFERROR(__xludf.DUMMYFUNCTION("""COMPUTED_VALUE"""),"https://techcombank.com/thong-tin/blog/tai-khoan-doanh-nghiep-co-the-khong")</f>
        <v>https://techcombank.com/thong-tin/blog/tai-khoan-doanh-nghiep-co-the-khong</v>
      </c>
      <c r="Y31" s="17" t="str">
        <f>IFERROR(__xludf.DUMMYFUNCTION("""COMPUTED_VALUE"""),"làm thẻ tín dụng")</f>
        <v>làm thẻ tín dụng</v>
      </c>
      <c r="Z31" s="21" t="str">
        <f>IFERROR(__xludf.DUMMYFUNCTION("""COMPUTED_VALUE"""),"https://techcombank.com/thong-tin/blog/mm-yy-la-gi")</f>
        <v>https://techcombank.com/thong-tin/blog/mm-yy-la-gi</v>
      </c>
      <c r="AA31" s="17" t="str">
        <f>IFERROR(__xludf.DUMMYFUNCTION("""COMPUTED_VALUE"""),"mở thẻ tín dụng")</f>
        <v>mở thẻ tín dụng</v>
      </c>
      <c r="AB31" s="21" t="str">
        <f>IFERROR(__xludf.DUMMYFUNCTION("""COMPUTED_VALUE"""),"https://techcombank.com/thong-tin/blog/uu-dai-the-tin-dung-techcombank-signature")</f>
        <v>https://techcombank.com/thong-tin/blog/uu-dai-the-tin-dung-techcombank-signature</v>
      </c>
      <c r="AC31" s="17" t="str">
        <f>IFERROR(__xludf.DUMMYFUNCTION("""COMPUTED_VALUE"""),"làm thẻ tín dụng")</f>
        <v>làm thẻ tín dụng</v>
      </c>
      <c r="AD31" s="21" t="str">
        <f>IFERROR(__xludf.DUMMYFUNCTION("""COMPUTED_VALUE"""),"https://techcombank.com/thong-tin/blog/cac-loai-the-tin-dung")</f>
        <v>https://techcombank.com/thong-tin/blog/cac-loai-the-tin-dung</v>
      </c>
      <c r="AE31" s="17" t="str">
        <f>IFERROR(__xludf.DUMMYFUNCTION("""COMPUTED_VALUE"""),"mở thẻ tín dụng")</f>
        <v>mở thẻ tín dụng</v>
      </c>
      <c r="AF31" s="21" t="str">
        <f>IFERROR(__xludf.DUMMYFUNCTION("""COMPUTED_VALUE"""),"https://techcombank.com/thong-tin/blog/the-tin-dung-mien-phi-thuong-nien")</f>
        <v>https://techcombank.com/thong-tin/blog/the-tin-dung-mien-phi-thuong-nien</v>
      </c>
      <c r="AG31" s="17" t="str">
        <f>IFERROR(__xludf.DUMMYFUNCTION("""COMPUTED_VALUE"""),"làm thẻ tín dụng")</f>
        <v>làm thẻ tín dụng</v>
      </c>
      <c r="AH31" s="21" t="str">
        <f>IFERROR(__xludf.DUMMYFUNCTION("""COMPUTED_VALUE"""),"https://techcombank.com/thong-tin/blog/uu-dai-mua-ve-may-bay-bang-the-tin-dung")</f>
        <v>https://techcombank.com/thong-tin/blog/uu-dai-mua-ve-may-bay-bang-the-tin-dung</v>
      </c>
      <c r="AI31" s="17" t="str">
        <f>IFERROR(__xludf.DUMMYFUNCTION("""COMPUTED_VALUE"""),"mở thẻ tín dụng")</f>
        <v>mở thẻ tín dụng</v>
      </c>
      <c r="AJ31" s="21" t="str">
        <f>IFERROR(__xludf.DUMMYFUNCTION("""COMPUTED_VALUE"""),"https://techcombank.com/thong-tin/blog/mat-the-tin-dung-co-bi-mat-tien-khong")</f>
        <v>https://techcombank.com/thong-tin/blog/mat-the-tin-dung-co-bi-mat-tien-khong</v>
      </c>
      <c r="AK31" s="17" t="str">
        <f>IFERROR(__xludf.DUMMYFUNCTION("""COMPUTED_VALUE"""),"làm thẻ tín dụng")</f>
        <v>làm thẻ tín dụng</v>
      </c>
      <c r="AL31" s="21" t="str">
        <f>IFERROR(__xludf.DUMMYFUNCTION("""COMPUTED_VALUE"""),"https://techcombank.com/thong-tin/blog/so-cvv-la-gi")</f>
        <v>https://techcombank.com/thong-tin/blog/so-cvv-la-gi</v>
      </c>
      <c r="AM31" s="17" t="str">
        <f>IFERROR(__xludf.DUMMYFUNCTION("""COMPUTED_VALUE"""),"mở thẻ tín dụng")</f>
        <v>mở thẻ tín dụng</v>
      </c>
      <c r="AN31" s="21" t="str">
        <f>IFERROR(__xludf.DUMMYFUNCTION("""COMPUTED_VALUE"""),"https://techcombank.com/thong-tin/blog/lam-the-atm-co-mat-phi-khong")</f>
        <v>https://techcombank.com/thong-tin/blog/lam-the-atm-co-mat-phi-khong</v>
      </c>
      <c r="AO31" s="17" t="str">
        <f>IFERROR(__xludf.DUMMYFUNCTION("""COMPUTED_VALUE"""),"làm thẻ tín dụng")</f>
        <v>làm thẻ tín dụng</v>
      </c>
      <c r="AP31" s="21" t="str">
        <f>IFERROR(__xludf.DUMMYFUNCTION("""COMPUTED_VALUE"""),"https://techcombank.com/thong-tin/blog/the-tin-dung-nao-nhieu-uu-dai-nhat")</f>
        <v>https://techcombank.com/thong-tin/blog/the-tin-dung-nao-nhieu-uu-dai-nhat</v>
      </c>
      <c r="AQ31" s="17" t="str">
        <f>IFERROR(__xludf.DUMMYFUNCTION("""COMPUTED_VALUE"""),"mở thẻ tín dụng")</f>
        <v>mở thẻ tín dụng</v>
      </c>
      <c r="AR31" s="21" t="str">
        <f>IFERROR(__xludf.DUMMYFUNCTION("""COMPUTED_VALUE"""),"https://techcombank.com/thong-tin/blog/cach-lam-the-ngan-hang-chay-quang-cao-facebook")</f>
        <v>https://techcombank.com/thong-tin/blog/cach-lam-the-ngan-hang-chay-quang-cao-facebook</v>
      </c>
      <c r="AS31" s="17" t="str">
        <f>IFERROR(__xludf.DUMMYFUNCTION("""COMPUTED_VALUE"""),"làm thẻ tín dụng")</f>
        <v>làm thẻ tín dụng</v>
      </c>
      <c r="AT31" s="21" t="str">
        <f>IFERROR(__xludf.DUMMYFUNCTION("""COMPUTED_VALUE"""),"https://techcombank.com/thong-tin/blog/eco-card")</f>
        <v>https://techcombank.com/thong-tin/blog/eco-card</v>
      </c>
      <c r="AU31" s="17" t="str">
        <f>IFERROR(__xludf.DUMMYFUNCTION("""COMPUTED_VALUE"""),"mở thẻ tín dụng")</f>
        <v>mở thẻ tín dụng</v>
      </c>
      <c r="AV31" s="21" t="str">
        <f>IFERROR(__xludf.DUMMYFUNCTION("""COMPUTED_VALUE"""),"https://techcombank.com/thong-tin/blog/mua-iphone-17")</f>
        <v>https://techcombank.com/thong-tin/blog/mua-iphone-17</v>
      </c>
      <c r="AW31" s="17" t="str">
        <f>IFERROR(__xludf.DUMMYFUNCTION("""COMPUTED_VALUE"""),"làm thẻ tín dụng")</f>
        <v>làm thẻ tín dụng</v>
      </c>
      <c r="AX31" s="21" t="str">
        <f>IFERROR(__xludf.DUMMYFUNCTION("""COMPUTED_VALUE"""),"https://techcombank.com/thong-tin/blog/cach-lam-the-atm")</f>
        <v>https://techcombank.com/thong-tin/blog/cach-lam-the-atm</v>
      </c>
      <c r="AY31" s="17" t="str">
        <f>IFERROR(__xludf.DUMMYFUNCTION("""COMPUTED_VALUE"""),"mở thẻ tín dụng")</f>
        <v>mở thẻ tín dụng</v>
      </c>
      <c r="AZ31" s="21" t="str">
        <f>IFERROR(__xludf.DUMMYFUNCTION("""COMPUTED_VALUE"""),"https://techcombank.com/thong-tin/blog/the-visa-co-can-mat-khau-khong")</f>
        <v>https://techcombank.com/thong-tin/blog/the-visa-co-can-mat-khau-khong</v>
      </c>
      <c r="BA31" s="17" t="str">
        <f>IFERROR(__xludf.DUMMYFUNCTION("""COMPUTED_VALUE"""),"làm thẻ tín dụng")</f>
        <v>làm thẻ tín dụng</v>
      </c>
      <c r="BB31" s="21" t="str">
        <f>IFERROR(__xludf.DUMMYFUNCTION("""COMPUTED_VALUE"""),"https://techcombank.com/thong-tin/blog/mua-truoc-tra-sau")</f>
        <v>https://techcombank.com/thong-tin/blog/mua-truoc-tra-sau</v>
      </c>
      <c r="BC31" s="17" t="str">
        <f>IFERROR(__xludf.DUMMYFUNCTION("""COMPUTED_VALUE"""),"mở thẻ tín dụng")</f>
        <v>mở thẻ tín dụng</v>
      </c>
      <c r="BD31" s="21" t="str">
        <f>IFERROR(__xludf.DUMMYFUNCTION("""COMPUTED_VALUE"""),"https://techcombank.com/thong-tin/blog/tra-cuu-han-muc-the-tin-dung")</f>
        <v>https://techcombank.com/thong-tin/blog/tra-cuu-han-muc-the-tin-dung</v>
      </c>
      <c r="BE31" s="17" t="str">
        <f>IFERROR(__xludf.DUMMYFUNCTION("""COMPUTED_VALUE"""),"làm thẻ tín dụng")</f>
        <v>làm thẻ tín dụng</v>
      </c>
      <c r="BF31" s="21" t="str">
        <f>IFERROR(__xludf.DUMMYFUNCTION("""COMPUTED_VALUE"""),"https://techcombank.com/thong-tin/blog/the-visa-de-lam-gi")</f>
        <v>https://techcombank.com/thong-tin/blog/the-visa-de-lam-gi</v>
      </c>
      <c r="BG31" s="17" t="str">
        <f>IFERROR(__xludf.DUMMYFUNCTION("""COMPUTED_VALUE"""),"mở thẻ tín dụng")</f>
        <v>mở thẻ tín dụng</v>
      </c>
      <c r="BH31" s="21" t="str">
        <f>IFERROR(__xludf.DUMMYFUNCTION("""COMPUTED_VALUE"""),"https://techcombank.com/thong-tin/blog/the-ghi-no-va-the-tin-dung")</f>
        <v>https://techcombank.com/thong-tin/blog/the-ghi-no-va-the-tin-dung</v>
      </c>
      <c r="BI31" s="17" t="str">
        <f>IFERROR(__xludf.DUMMYFUNCTION("""COMPUTED_VALUE"""),"làm thẻ tín dụng")</f>
        <v>làm thẻ tín dụng</v>
      </c>
      <c r="BJ31" s="21" t="str">
        <f>IFERROR(__xludf.DUMMYFUNCTION("""COMPUTED_VALUE"""),"https://techcombank.com/thong-tin/blog/the-tin-dung-het-han")</f>
        <v>https://techcombank.com/thong-tin/blog/the-tin-dung-het-han</v>
      </c>
      <c r="BK31" s="17" t="str">
        <f>IFERROR(__xludf.DUMMYFUNCTION("""COMPUTED_VALUE"""),"mở thẻ tín dụng")</f>
        <v>mở thẻ tín dụng</v>
      </c>
      <c r="BL31" s="21" t="str">
        <f>IFERROR(__xludf.DUMMYFUNCTION("""COMPUTED_VALUE"""),"https://techcombank.com/thong-tin/blog/cach-huy-the-tin-dung")</f>
        <v>https://techcombank.com/thong-tin/blog/cach-huy-the-tin-dung</v>
      </c>
      <c r="BM31" s="17" t="str">
        <f>IFERROR(__xludf.DUMMYFUNCTION("""COMPUTED_VALUE"""),"làm thẻ tín dụng")</f>
        <v>làm thẻ tín dụng</v>
      </c>
      <c r="BN31" s="21" t="str">
        <f>IFERROR(__xludf.DUMMYFUNCTION("""COMPUTED_VALUE"""),"https://techcombank.com/thong-tin/blog/lam-the-atm-bao-lau-co")</f>
        <v>https://techcombank.com/thong-tin/blog/lam-the-atm-bao-lau-co</v>
      </c>
      <c r="BO31" s="17" t="str">
        <f>IFERROR(__xludf.DUMMYFUNCTION("""COMPUTED_VALUE"""),"mở thẻ tín dụng")</f>
        <v>mở thẻ tín dụng</v>
      </c>
      <c r="BP31" s="21" t="str">
        <f>IFERROR(__xludf.DUMMYFUNCTION("""COMPUTED_VALUE"""),"https://techcombank.com/thong-tin/blog/the-napas-la-gi")</f>
        <v>https://techcombank.com/thong-tin/blog/the-napas-la-gi</v>
      </c>
      <c r="BQ31" s="17" t="str">
        <f>IFERROR(__xludf.DUMMYFUNCTION("""COMPUTED_VALUE"""),"làm thẻ tín dụng")</f>
        <v>làm thẻ tín dụng</v>
      </c>
      <c r="BR31" s="21" t="str">
        <f>IFERROR(__xludf.DUMMYFUNCTION("""COMPUTED_VALUE"""),"https://techcombank.com/thong-tin/blog/ma-buu-chinh-the-tin-dung")</f>
        <v>https://techcombank.com/thong-tin/blog/ma-buu-chinh-the-tin-dung</v>
      </c>
      <c r="BS31" s="17" t="str">
        <f>IFERROR(__xludf.DUMMYFUNCTION("""COMPUTED_VALUE"""),"mở thẻ tín dụng")</f>
        <v>mở thẻ tín dụng</v>
      </c>
      <c r="BT31" s="21" t="str">
        <f>IFERROR(__xludf.DUMMYFUNCTION("""COMPUTED_VALUE"""),"https://techcombank.com/thong-tin/blog/the-tin-dung-quoc-te")</f>
        <v>https://techcombank.com/thong-tin/blog/the-tin-dung-quoc-te</v>
      </c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7"/>
      <c r="HW31" s="17"/>
      <c r="HX31" s="17"/>
      <c r="HY31" s="17"/>
      <c r="HZ31" s="17"/>
      <c r="IA31" s="17"/>
      <c r="IB31" s="17"/>
      <c r="IC31" s="17"/>
      <c r="ID31" s="17"/>
      <c r="IE31" s="17"/>
      <c r="IF31" s="17"/>
      <c r="IG31" s="17"/>
      <c r="IH31" s="17"/>
      <c r="II31" s="17"/>
      <c r="IJ31" s="17"/>
      <c r="IK31" s="17"/>
      <c r="IL31" s="17"/>
      <c r="IM31" s="17"/>
      <c r="IN31" s="17"/>
      <c r="IO31" s="17"/>
      <c r="IP31" s="17"/>
      <c r="IQ31" s="17"/>
      <c r="IR31" s="17"/>
      <c r="IS31" s="17"/>
      <c r="IT31" s="17"/>
      <c r="IU31" s="17"/>
      <c r="IV31" s="17"/>
      <c r="IW31" s="17"/>
      <c r="IX31" s="17"/>
      <c r="IY31" s="17"/>
      <c r="IZ31" s="17"/>
      <c r="JA31" s="17"/>
      <c r="JB31" s="17"/>
      <c r="JC31" s="17"/>
      <c r="JD31" s="17"/>
      <c r="JE31" s="17"/>
      <c r="JF31" s="17"/>
      <c r="JG31" s="17"/>
      <c r="JH31" s="17"/>
      <c r="JI31" s="17"/>
      <c r="JJ31" s="17"/>
      <c r="JK31" s="17"/>
      <c r="JL31" s="17"/>
      <c r="JM31" s="17"/>
      <c r="JN31" s="17"/>
      <c r="JO31" s="17"/>
      <c r="JP31" s="17"/>
      <c r="JQ31" s="17"/>
      <c r="JR31" s="17"/>
      <c r="JS31" s="17"/>
      <c r="JT31" s="17"/>
      <c r="JU31" s="17"/>
      <c r="JV31" s="17"/>
      <c r="JW31" s="17"/>
      <c r="JX31" s="17"/>
      <c r="JY31" s="17"/>
      <c r="JZ31" s="17"/>
      <c r="KA31" s="17"/>
      <c r="KB31" s="17"/>
      <c r="KC31" s="17"/>
      <c r="KD31" s="17"/>
      <c r="KE31" s="17"/>
      <c r="KF31" s="17"/>
      <c r="KG31" s="17"/>
      <c r="KH31" s="17"/>
      <c r="KI31" s="17"/>
      <c r="KJ31" s="17"/>
      <c r="KK31" s="17"/>
      <c r="KL31" s="17"/>
      <c r="KM31" s="17"/>
      <c r="KN31" s="17"/>
      <c r="KO31" s="17"/>
      <c r="KP31" s="17"/>
      <c r="KQ31" s="17"/>
      <c r="KR31" s="17"/>
      <c r="KS31" s="17"/>
      <c r="KT31" s="17"/>
      <c r="KU31" s="17"/>
      <c r="KV31" s="17"/>
      <c r="KW31" s="17"/>
      <c r="KX31" s="17"/>
      <c r="KY31" s="17"/>
      <c r="KZ31" s="17"/>
      <c r="LA31" s="17"/>
      <c r="LB31" s="17"/>
      <c r="LC31" s="17"/>
      <c r="LD31" s="17"/>
      <c r="LE31" s="17"/>
      <c r="LF31" s="17"/>
      <c r="LG31" s="17"/>
      <c r="LH31" s="17"/>
      <c r="LI31" s="17"/>
      <c r="LJ31" s="17"/>
      <c r="LK31" s="17"/>
      <c r="LL31" s="17"/>
      <c r="LM31" s="17"/>
      <c r="LN31" s="17"/>
      <c r="LO31" s="17"/>
      <c r="LP31" s="17"/>
      <c r="LQ31" s="17"/>
      <c r="LR31" s="17"/>
      <c r="LS31" s="17"/>
      <c r="LT31" s="17"/>
      <c r="LU31" s="17"/>
      <c r="LV31" s="17"/>
      <c r="LW31" s="17"/>
      <c r="LX31" s="17"/>
      <c r="LY31" s="17"/>
      <c r="LZ31" s="17"/>
      <c r="MA31" s="17"/>
      <c r="MB31" s="17"/>
      <c r="MC31" s="17"/>
      <c r="MD31" s="17"/>
      <c r="ME31" s="17"/>
      <c r="MF31" s="17"/>
      <c r="MG31" s="17"/>
      <c r="MH31" s="17"/>
      <c r="MI31" s="17"/>
      <c r="MJ31" s="17"/>
      <c r="MK31" s="17"/>
      <c r="ML31" s="17"/>
      <c r="MM31" s="17"/>
      <c r="MN31" s="17"/>
      <c r="MO31" s="17"/>
      <c r="MP31" s="17"/>
      <c r="MQ31" s="17"/>
      <c r="MR31" s="17"/>
      <c r="MS31" s="17"/>
      <c r="MT31" s="17"/>
      <c r="MU31" s="17"/>
      <c r="MV31" s="17"/>
      <c r="MW31" s="17"/>
      <c r="MX31" s="17"/>
      <c r="MY31" s="17"/>
      <c r="MZ31" s="17"/>
      <c r="NA31" s="17"/>
      <c r="NB31" s="17"/>
      <c r="NC31" s="17"/>
      <c r="ND31" s="17"/>
      <c r="NE31" s="17"/>
      <c r="NF31" s="17"/>
      <c r="NG31" s="17"/>
      <c r="NH31" s="17"/>
      <c r="NI31" s="17"/>
      <c r="NJ31" s="17"/>
      <c r="NK31" s="17"/>
      <c r="NL31" s="17"/>
      <c r="NM31" s="17"/>
      <c r="NN31" s="17"/>
      <c r="NO31" s="17"/>
      <c r="NP31" s="17"/>
      <c r="NQ31" s="17"/>
      <c r="NR31" s="17"/>
      <c r="NS31" s="17"/>
      <c r="NT31" s="17"/>
      <c r="NU31" s="17"/>
      <c r="NV31" s="17"/>
      <c r="NW31" s="17"/>
      <c r="NX31" s="17"/>
      <c r="NY31" s="17"/>
      <c r="NZ31" s="17"/>
      <c r="OA31" s="17"/>
      <c r="OB31" s="17"/>
      <c r="OC31" s="17"/>
      <c r="OD31" s="17"/>
      <c r="OE31" s="17"/>
      <c r="OF31" s="17"/>
      <c r="OG31" s="17"/>
      <c r="OH31" s="17"/>
      <c r="OI31" s="17"/>
      <c r="OJ31" s="17"/>
      <c r="OK31" s="17"/>
      <c r="OL31" s="17"/>
      <c r="OM31" s="17"/>
      <c r="ON31" s="17"/>
      <c r="OO31" s="17"/>
      <c r="OP31" s="17"/>
      <c r="OQ31" s="17"/>
      <c r="OR31" s="17"/>
      <c r="OS31" s="17"/>
      <c r="OT31" s="17"/>
      <c r="OU31" s="17"/>
      <c r="OV31" s="17"/>
    </row>
    <row r="32" ht="18.0" customHeight="1">
      <c r="A32" s="16">
        <v>31.0</v>
      </c>
      <c r="B32" s="17" t="s">
        <v>1268</v>
      </c>
      <c r="C32" s="18" t="s">
        <v>1316</v>
      </c>
      <c r="D32" s="17" t="s">
        <v>544</v>
      </c>
      <c r="E32" s="16">
        <v>30.0</v>
      </c>
      <c r="F32" s="16">
        <f>COUNTIF('Tổng hợp 75 trang đích'!$B$2:$B$3400,$D32)</f>
        <v>30</v>
      </c>
      <c r="G32" s="16">
        <f>COUNTIFS('Tổng hợp 75 trang đích'!$B$2:$B$3400,$D32,'Tổng hợp 75 trang đích'!$K$2:$K$3400,"PHÙ HỢP CAO")</f>
        <v>2</v>
      </c>
      <c r="H32" s="16">
        <f>COUNTIFS('Tổng hợp 75 trang đích'!$B$2:$B$3400,$D32,'Tổng hợp 75 trang đích'!$K$2:$K$3400,"CÓ THỂ ĐI")</f>
        <v>3</v>
      </c>
      <c r="I32" s="16">
        <f>COUNTIFS('Tổng hợp 75 trang đích'!$B$2:$B$3400,$D32,'Tổng hợp 75 trang đích'!$K$2:$K$3400,"CẦN SOÁT")</f>
        <v>25</v>
      </c>
      <c r="J32" s="19" t="s">
        <v>555</v>
      </c>
      <c r="K32" s="19" t="b">
        <v>0</v>
      </c>
      <c r="L32" s="20" t="s">
        <v>333</v>
      </c>
      <c r="M32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đích'!$B$2:$B$3400=$D32),3,TR"&amp;"UE),1,2)),"""")"),"thẻ tín dụng Techcombank Everyday")</f>
        <v>thẻ tín dụng Techcombank Everyday</v>
      </c>
      <c r="N32" s="21" t="str">
        <f>IFERROR(__xludf.DUMMYFUNCTION("""COMPUTED_VALUE"""),"https://techcombank.com/thong-tin/blog/the-tin-dung-nao-nhieu-uu-dai-nhat")</f>
        <v>https://techcombank.com/thong-tin/blog/the-tin-dung-nao-nhieu-uu-dai-nhat</v>
      </c>
      <c r="O32" s="17" t="str">
        <f>IFERROR(__xludf.DUMMYFUNCTION("""COMPUTED_VALUE"""),"Techcombank Everyday")</f>
        <v>Techcombank Everyday</v>
      </c>
      <c r="P32" s="21" t="str">
        <f>IFERROR(__xludf.DUMMYFUNCTION("""COMPUTED_VALUE"""),"https://techcombank.com/thong-tin/blog/thoi-gian-hoan-tien-the-tin-dung")</f>
        <v>https://techcombank.com/thong-tin/blog/thoi-gian-hoan-tien-the-tin-dung</v>
      </c>
      <c r="Q32" s="17" t="str">
        <f>IFERROR(__xludf.DUMMYFUNCTION("""COMPUTED_VALUE"""),"thẻ tín dụng Techcombank Everyday")</f>
        <v>thẻ tín dụng Techcombank Everyday</v>
      </c>
      <c r="R32" s="21" t="str">
        <f>IFERROR(__xludf.DUMMYFUNCTION("""COMPUTED_VALUE"""),"https://techcombank.com/thong-tin/blog/uu-dai-the-tin-dung")</f>
        <v>https://techcombank.com/thong-tin/blog/uu-dai-the-tin-dung</v>
      </c>
      <c r="S32" s="17" t="str">
        <f>IFERROR(__xludf.DUMMYFUNCTION("""COMPUTED_VALUE"""),"Techcombank Everyday")</f>
        <v>Techcombank Everyday</v>
      </c>
      <c r="T32" s="21" t="str">
        <f>IFERROR(__xludf.DUMMYFUNCTION("""COMPUTED_VALUE"""),"https://techcombank.com/thong-tin/blog/cac-loai-the-tin-dung")</f>
        <v>https://techcombank.com/thong-tin/blog/cac-loai-the-tin-dung</v>
      </c>
      <c r="U32" s="17" t="str">
        <f>IFERROR(__xludf.DUMMYFUNCTION("""COMPUTED_VALUE"""),"thẻ tín dụng Techcombank Everyday")</f>
        <v>thẻ tín dụng Techcombank Everyday</v>
      </c>
      <c r="V32" s="21" t="str">
        <f>IFERROR(__xludf.DUMMYFUNCTION("""COMPUTED_VALUE"""),"https://techcombank.com/thong-tin/blog/mo-the-tin-dung-co-loi-ich-gi")</f>
        <v>https://techcombank.com/thong-tin/blog/mo-the-tin-dung-co-loi-ich-gi</v>
      </c>
      <c r="W32" s="17" t="str">
        <f>IFERROR(__xludf.DUMMYFUNCTION("""COMPUTED_VALUE"""),"Techcombank Everyday")</f>
        <v>Techcombank Everyday</v>
      </c>
      <c r="X32" s="21" t="str">
        <f>IFERROR(__xludf.DUMMYFUNCTION("""COMPUTED_VALUE"""),"https://techcombank.com/thong-tin/blog/tai-khoan-doanh-nghiep-co-the-khong")</f>
        <v>https://techcombank.com/thong-tin/blog/tai-khoan-doanh-nghiep-co-the-khong</v>
      </c>
      <c r="Y32" s="17" t="str">
        <f>IFERROR(__xludf.DUMMYFUNCTION("""COMPUTED_VALUE"""),"thẻ tín dụng Techcombank Everyday")</f>
        <v>thẻ tín dụng Techcombank Everyday</v>
      </c>
      <c r="Z32" s="21" t="str">
        <f>IFERROR(__xludf.DUMMYFUNCTION("""COMPUTED_VALUE"""),"https://techcombank.com/thong-tin/blog/mm-yy-la-gi")</f>
        <v>https://techcombank.com/thong-tin/blog/mm-yy-la-gi</v>
      </c>
      <c r="AA32" s="17" t="str">
        <f>IFERROR(__xludf.DUMMYFUNCTION("""COMPUTED_VALUE"""),"Techcombank Everyday")</f>
        <v>Techcombank Everyday</v>
      </c>
      <c r="AB32" s="21" t="str">
        <f>IFERROR(__xludf.DUMMYFUNCTION("""COMPUTED_VALUE"""),"https://techcombank.com/thong-tin/blog/uu-dai-the-tin-dung-techcombank-signature")</f>
        <v>https://techcombank.com/thong-tin/blog/uu-dai-the-tin-dung-techcombank-signature</v>
      </c>
      <c r="AC32" s="17" t="str">
        <f>IFERROR(__xludf.DUMMYFUNCTION("""COMPUTED_VALUE"""),"thẻ tín dụng Techcombank Everyday")</f>
        <v>thẻ tín dụng Techcombank Everyday</v>
      </c>
      <c r="AD32" s="21" t="str">
        <f>IFERROR(__xludf.DUMMYFUNCTION("""COMPUTED_VALUE"""),"https://techcombank.com/thong-tin/blog/the-tin-dung-mien-phi-thuong-nien")</f>
        <v>https://techcombank.com/thong-tin/blog/the-tin-dung-mien-phi-thuong-nien</v>
      </c>
      <c r="AE32" s="17" t="str">
        <f>IFERROR(__xludf.DUMMYFUNCTION("""COMPUTED_VALUE"""),"Techcombank Everyday")</f>
        <v>Techcombank Everyday</v>
      </c>
      <c r="AF32" s="21" t="str">
        <f>IFERROR(__xludf.DUMMYFUNCTION("""COMPUTED_VALUE"""),"https://techcombank.com/thong-tin/blog/uu-dai-mua-ve-may-bay-bang-the-tin-dung")</f>
        <v>https://techcombank.com/thong-tin/blog/uu-dai-mua-ve-may-bay-bang-the-tin-dung</v>
      </c>
      <c r="AG32" s="17" t="str">
        <f>IFERROR(__xludf.DUMMYFUNCTION("""COMPUTED_VALUE"""),"thẻ tín dụng Techcombank Everyday")</f>
        <v>thẻ tín dụng Techcombank Everyday</v>
      </c>
      <c r="AH32" s="21" t="str">
        <f>IFERROR(__xludf.DUMMYFUNCTION("""COMPUTED_VALUE"""),"https://techcombank.com/thong-tin/blog/mat-the-tin-dung-co-bi-mat-tien-khong")</f>
        <v>https://techcombank.com/thong-tin/blog/mat-the-tin-dung-co-bi-mat-tien-khong</v>
      </c>
      <c r="AI32" s="17" t="str">
        <f>IFERROR(__xludf.DUMMYFUNCTION("""COMPUTED_VALUE"""),"Techcombank Everyday")</f>
        <v>Techcombank Everyday</v>
      </c>
      <c r="AJ32" s="21" t="str">
        <f>IFERROR(__xludf.DUMMYFUNCTION("""COMPUTED_VALUE"""),"https://techcombank.com/thong-tin/blog/so-cvv-la-gi")</f>
        <v>https://techcombank.com/thong-tin/blog/so-cvv-la-gi</v>
      </c>
      <c r="AK32" s="17" t="str">
        <f>IFERROR(__xludf.DUMMYFUNCTION("""COMPUTED_VALUE"""),"thẻ tín dụng Techcombank Everyday")</f>
        <v>thẻ tín dụng Techcombank Everyday</v>
      </c>
      <c r="AL32" s="21" t="str">
        <f>IFERROR(__xludf.DUMMYFUNCTION("""COMPUTED_VALUE"""),"https://techcombank.com/thong-tin/blog/cach-lam-the-ngan-hang-chay-quang-cao-facebook")</f>
        <v>https://techcombank.com/thong-tin/blog/cach-lam-the-ngan-hang-chay-quang-cao-facebook</v>
      </c>
      <c r="AM32" s="17" t="str">
        <f>IFERROR(__xludf.DUMMYFUNCTION("""COMPUTED_VALUE"""),"Techcombank Everyday")</f>
        <v>Techcombank Everyday</v>
      </c>
      <c r="AN32" s="21" t="str">
        <f>IFERROR(__xludf.DUMMYFUNCTION("""COMPUTED_VALUE"""),"https://techcombank.com/thong-tin/blog/mua-iphone-17")</f>
        <v>https://techcombank.com/thong-tin/blog/mua-iphone-17</v>
      </c>
      <c r="AO32" s="17" t="str">
        <f>IFERROR(__xludf.DUMMYFUNCTION("""COMPUTED_VALUE"""),"thẻ tín dụng Techcombank Everyday")</f>
        <v>thẻ tín dụng Techcombank Everyday</v>
      </c>
      <c r="AP32" s="21" t="str">
        <f>IFERROR(__xludf.DUMMYFUNCTION("""COMPUTED_VALUE"""),"https://techcombank.com/thong-tin/blog/the-visa-co-can-mat-khau-khong")</f>
        <v>https://techcombank.com/thong-tin/blog/the-visa-co-can-mat-khau-khong</v>
      </c>
      <c r="AQ32" s="17" t="str">
        <f>IFERROR(__xludf.DUMMYFUNCTION("""COMPUTED_VALUE"""),"Techcombank Everyday")</f>
        <v>Techcombank Everyday</v>
      </c>
      <c r="AR32" s="21" t="str">
        <f>IFERROR(__xludf.DUMMYFUNCTION("""COMPUTED_VALUE"""),"https://techcombank.com/thong-tin/blog/mua-truoc-tra-sau")</f>
        <v>https://techcombank.com/thong-tin/blog/mua-truoc-tra-sau</v>
      </c>
      <c r="AS32" s="17" t="str">
        <f>IFERROR(__xludf.DUMMYFUNCTION("""COMPUTED_VALUE"""),"thẻ tín dụng Techcombank Everyday")</f>
        <v>thẻ tín dụng Techcombank Everyday</v>
      </c>
      <c r="AT32" s="21" t="str">
        <f>IFERROR(__xludf.DUMMYFUNCTION("""COMPUTED_VALUE"""),"https://techcombank.com/thong-tin/blog/tra-cuu-han-muc-the-tin-dung")</f>
        <v>https://techcombank.com/thong-tin/blog/tra-cuu-han-muc-the-tin-dung</v>
      </c>
      <c r="AU32" s="17" t="str">
        <f>IFERROR(__xludf.DUMMYFUNCTION("""COMPUTED_VALUE"""),"Techcombank Everyday")</f>
        <v>Techcombank Everyday</v>
      </c>
      <c r="AV32" s="21" t="str">
        <f>IFERROR(__xludf.DUMMYFUNCTION("""COMPUTED_VALUE"""),"https://techcombank.com/thong-tin/blog/the-ghi-no-va-the-tin-dung")</f>
        <v>https://techcombank.com/thong-tin/blog/the-ghi-no-va-the-tin-dung</v>
      </c>
      <c r="AW32" s="17" t="str">
        <f>IFERROR(__xludf.DUMMYFUNCTION("""COMPUTED_VALUE"""),"thẻ tín dụng Techcombank Everyday")</f>
        <v>thẻ tín dụng Techcombank Everyday</v>
      </c>
      <c r="AX32" s="21" t="str">
        <f>IFERROR(__xludf.DUMMYFUNCTION("""COMPUTED_VALUE"""),"https://techcombank.com/thong-tin/blog/the-tin-dung-het-han")</f>
        <v>https://techcombank.com/thong-tin/blog/the-tin-dung-het-han</v>
      </c>
      <c r="AY32" s="17" t="str">
        <f>IFERROR(__xludf.DUMMYFUNCTION("""COMPUTED_VALUE"""),"Techcombank Everyday")</f>
        <v>Techcombank Everyday</v>
      </c>
      <c r="AZ32" s="21" t="str">
        <f>IFERROR(__xludf.DUMMYFUNCTION("""COMPUTED_VALUE"""),"https://techcombank.com/thong-tin/blog/cach-huy-the-tin-dung")</f>
        <v>https://techcombank.com/thong-tin/blog/cach-huy-the-tin-dung</v>
      </c>
      <c r="BA32" s="17" t="str">
        <f>IFERROR(__xludf.DUMMYFUNCTION("""COMPUTED_VALUE"""),"thẻ tín dụng Techcombank Everyday")</f>
        <v>thẻ tín dụng Techcombank Everyday</v>
      </c>
      <c r="BB32" s="21" t="str">
        <f>IFERROR(__xludf.DUMMYFUNCTION("""COMPUTED_VALUE"""),"https://techcombank.com/thong-tin/blog/co-nen-dung-the-tin-dung-khong")</f>
        <v>https://techcombank.com/thong-tin/blog/co-nen-dung-the-tin-dung-khong</v>
      </c>
      <c r="BC32" s="17" t="str">
        <f>IFERROR(__xludf.DUMMYFUNCTION("""COMPUTED_VALUE"""),"Techcombank Everyday")</f>
        <v>Techcombank Everyday</v>
      </c>
      <c r="BD32" s="21" t="str">
        <f>IFERROR(__xludf.DUMMYFUNCTION("""COMPUTED_VALUE"""),"https://techcombank.com/thong-tin/blog/ma-buu-chinh-the-tin-dung")</f>
        <v>https://techcombank.com/thong-tin/blog/ma-buu-chinh-the-tin-dung</v>
      </c>
      <c r="BE32" s="17" t="str">
        <f>IFERROR(__xludf.DUMMYFUNCTION("""COMPUTED_VALUE"""),"thẻ tín dụng Techcombank Everyday")</f>
        <v>thẻ tín dụng Techcombank Everyday</v>
      </c>
      <c r="BF32" s="21" t="str">
        <f>IFERROR(__xludf.DUMMYFUNCTION("""COMPUTED_VALUE"""),"https://techcombank.com/thong-tin/blog/the-tin-dung-quoc-te")</f>
        <v>https://techcombank.com/thong-tin/blog/the-tin-dung-quoc-te</v>
      </c>
      <c r="BG32" s="17" t="str">
        <f>IFERROR(__xludf.DUMMYFUNCTION("""COMPUTED_VALUE"""),"Techcombank Everyday")</f>
        <v>Techcombank Everyday</v>
      </c>
      <c r="BH32" s="21" t="str">
        <f>IFERROR(__xludf.DUMMYFUNCTION("""COMPUTED_VALUE"""),"https://techcombank.com/thong-tin/blog/qua-han-thanh-toan-the-tin-dung-1-ngay")</f>
        <v>https://techcombank.com/thong-tin/blog/qua-han-thanh-toan-the-tin-dung-1-ngay</v>
      </c>
      <c r="BI32" s="17" t="str">
        <f>IFERROR(__xludf.DUMMYFUNCTION("""COMPUTED_VALUE"""),"thẻ tín dụng Techcombank Everyday")</f>
        <v>thẻ tín dụng Techcombank Everyday</v>
      </c>
      <c r="BJ32" s="21" t="str">
        <f>IFERROR(__xludf.DUMMYFUNCTION("""COMPUTED_VALUE"""),"https://techcombank.com/thong-tin/blog/phi-rut-tien-mat-the-tin-dung")</f>
        <v>https://techcombank.com/thong-tin/blog/phi-rut-tien-mat-the-tin-dung</v>
      </c>
      <c r="BK32" s="17" t="str">
        <f>IFERROR(__xludf.DUMMYFUNCTION("""COMPUTED_VALUE"""),"Techcombank Everyday")</f>
        <v>Techcombank Everyday</v>
      </c>
      <c r="BL32" s="21" t="str">
        <f>IFERROR(__xludf.DUMMYFUNCTION("""COMPUTED_VALUE"""),"https://techcombank.com/thong-tin/blog/tiet-kiem-khi-di-du-lich")</f>
        <v>https://techcombank.com/thong-tin/blog/tiet-kiem-khi-di-du-lich</v>
      </c>
      <c r="BM32" s="17" t="str">
        <f>IFERROR(__xludf.DUMMYFUNCTION("""COMPUTED_VALUE"""),"thẻ tín dụng Techcombank Everyday")</f>
        <v>thẻ tín dụng Techcombank Everyday</v>
      </c>
      <c r="BN32" s="21" t="str">
        <f>IFERROR(__xludf.DUMMYFUNCTION("""COMPUTED_VALUE"""),"https://techcombank.com/thong-tin/blog/vay-ngan-hang-1-ty-moi-thang-tra-bao-nhieu")</f>
        <v>https://techcombank.com/thong-tin/blog/vay-ngan-hang-1-ty-moi-thang-tra-bao-nhieu</v>
      </c>
      <c r="BO32" s="17" t="str">
        <f>IFERROR(__xludf.DUMMYFUNCTION("""COMPUTED_VALUE"""),"Techcombank Everyday")</f>
        <v>Techcombank Everyday</v>
      </c>
      <c r="BP32" s="21" t="str">
        <f>IFERROR(__xludf.DUMMYFUNCTION("""COMPUTED_VALUE"""),"https://techcombank.com/thong-tin/blog/cach-thanh-toan-the-tin-dung")</f>
        <v>https://techcombank.com/thong-tin/blog/cach-thanh-toan-the-tin-dung</v>
      </c>
      <c r="BQ32" s="17" t="str">
        <f>IFERROR(__xludf.DUMMYFUNCTION("""COMPUTED_VALUE"""),"thẻ tín dụng Techcombank Everyday")</f>
        <v>thẻ tín dụng Techcombank Everyday</v>
      </c>
      <c r="BR32" s="21" t="str">
        <f>IFERROR(__xludf.DUMMYFUNCTION("""COMPUTED_VALUE"""),"https://techcombank.com/thong-tin/blog/the-tin-dung-den")</f>
        <v>https://techcombank.com/thong-tin/blog/the-tin-dung-den</v>
      </c>
      <c r="BS32" s="17" t="str">
        <f>IFERROR(__xludf.DUMMYFUNCTION("""COMPUTED_VALUE"""),"Techcombank Everyday")</f>
        <v>Techcombank Everyday</v>
      </c>
      <c r="BT32" s="21" t="str">
        <f>IFERROR(__xludf.DUMMYFUNCTION("""COMPUTED_VALUE"""),"https://techcombank.com/thong-tin/blog/dao-han-the-tin-dung")</f>
        <v>https://techcombank.com/thong-tin/blog/dao-han-the-tin-dung</v>
      </c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  <c r="FU32" s="17"/>
      <c r="FV32" s="17"/>
      <c r="FW32" s="17"/>
      <c r="FX32" s="17"/>
      <c r="FY32" s="17"/>
      <c r="FZ32" s="17"/>
      <c r="GA32" s="17"/>
      <c r="GB32" s="17"/>
      <c r="GC32" s="17"/>
      <c r="GD32" s="17"/>
      <c r="GE32" s="17"/>
      <c r="GF32" s="17"/>
      <c r="GG32" s="17"/>
      <c r="GH32" s="17"/>
      <c r="GI32" s="17"/>
      <c r="GJ32" s="17"/>
      <c r="GK32" s="17"/>
      <c r="GL32" s="17"/>
      <c r="GM32" s="17"/>
      <c r="GN32" s="17"/>
      <c r="GO32" s="17"/>
      <c r="GP32" s="17"/>
      <c r="GQ32" s="17"/>
      <c r="GR32" s="17"/>
      <c r="GS32" s="17"/>
      <c r="GT32" s="17"/>
      <c r="GU32" s="17"/>
      <c r="GV32" s="17"/>
      <c r="GW32" s="17"/>
      <c r="GX32" s="17"/>
      <c r="GY32" s="17"/>
      <c r="GZ32" s="17"/>
      <c r="HA32" s="17"/>
      <c r="HB32" s="17"/>
      <c r="HC32" s="17"/>
      <c r="HD32" s="17"/>
      <c r="HE32" s="17"/>
      <c r="HF32" s="17"/>
      <c r="HG32" s="17"/>
      <c r="HH32" s="17"/>
      <c r="HI32" s="17"/>
      <c r="HJ32" s="17"/>
      <c r="HK32" s="17"/>
      <c r="HL32" s="17"/>
      <c r="HM32" s="17"/>
      <c r="HN32" s="17"/>
      <c r="HO32" s="17"/>
      <c r="HP32" s="17"/>
      <c r="HQ32" s="17"/>
      <c r="HR32" s="17"/>
      <c r="HS32" s="17"/>
      <c r="HT32" s="17"/>
      <c r="HU32" s="17"/>
      <c r="HV32" s="17"/>
      <c r="HW32" s="17"/>
      <c r="HX32" s="17"/>
      <c r="HY32" s="17"/>
      <c r="HZ32" s="17"/>
      <c r="IA32" s="17"/>
      <c r="IB32" s="17"/>
      <c r="IC32" s="17"/>
      <c r="ID32" s="17"/>
      <c r="IE32" s="17"/>
      <c r="IF32" s="17"/>
      <c r="IG32" s="17"/>
      <c r="IH32" s="17"/>
      <c r="II32" s="17"/>
      <c r="IJ32" s="17"/>
      <c r="IK32" s="17"/>
      <c r="IL32" s="17"/>
      <c r="IM32" s="17"/>
      <c r="IN32" s="17"/>
      <c r="IO32" s="17"/>
      <c r="IP32" s="17"/>
      <c r="IQ32" s="17"/>
      <c r="IR32" s="17"/>
      <c r="IS32" s="17"/>
      <c r="IT32" s="17"/>
      <c r="IU32" s="17"/>
      <c r="IV32" s="17"/>
      <c r="IW32" s="17"/>
      <c r="IX32" s="17"/>
      <c r="IY32" s="17"/>
      <c r="IZ32" s="17"/>
      <c r="JA32" s="17"/>
      <c r="JB32" s="17"/>
      <c r="JC32" s="17"/>
      <c r="JD32" s="17"/>
      <c r="JE32" s="17"/>
      <c r="JF32" s="17"/>
      <c r="JG32" s="17"/>
      <c r="JH32" s="17"/>
      <c r="JI32" s="17"/>
      <c r="JJ32" s="17"/>
      <c r="JK32" s="17"/>
      <c r="JL32" s="17"/>
      <c r="JM32" s="17"/>
      <c r="JN32" s="17"/>
      <c r="JO32" s="17"/>
      <c r="JP32" s="17"/>
      <c r="JQ32" s="17"/>
      <c r="JR32" s="17"/>
      <c r="JS32" s="17"/>
      <c r="JT32" s="17"/>
      <c r="JU32" s="17"/>
      <c r="JV32" s="17"/>
      <c r="JW32" s="17"/>
      <c r="JX32" s="17"/>
      <c r="JY32" s="17"/>
      <c r="JZ32" s="17"/>
      <c r="KA32" s="17"/>
      <c r="KB32" s="17"/>
      <c r="KC32" s="17"/>
      <c r="KD32" s="17"/>
      <c r="KE32" s="17"/>
      <c r="KF32" s="17"/>
      <c r="KG32" s="17"/>
      <c r="KH32" s="17"/>
      <c r="KI32" s="17"/>
      <c r="KJ32" s="17"/>
      <c r="KK32" s="17"/>
      <c r="KL32" s="17"/>
      <c r="KM32" s="17"/>
      <c r="KN32" s="17"/>
      <c r="KO32" s="17"/>
      <c r="KP32" s="17"/>
      <c r="KQ32" s="17"/>
      <c r="KR32" s="17"/>
      <c r="KS32" s="17"/>
      <c r="KT32" s="17"/>
      <c r="KU32" s="17"/>
      <c r="KV32" s="17"/>
      <c r="KW32" s="17"/>
      <c r="KX32" s="17"/>
      <c r="KY32" s="17"/>
      <c r="KZ32" s="17"/>
      <c r="LA32" s="17"/>
      <c r="LB32" s="17"/>
      <c r="LC32" s="17"/>
      <c r="LD32" s="17"/>
      <c r="LE32" s="17"/>
      <c r="LF32" s="17"/>
      <c r="LG32" s="17"/>
      <c r="LH32" s="17"/>
      <c r="LI32" s="17"/>
      <c r="LJ32" s="17"/>
      <c r="LK32" s="17"/>
      <c r="LL32" s="17"/>
      <c r="LM32" s="17"/>
      <c r="LN32" s="17"/>
      <c r="LO32" s="17"/>
      <c r="LP32" s="17"/>
      <c r="LQ32" s="17"/>
      <c r="LR32" s="17"/>
      <c r="LS32" s="17"/>
      <c r="LT32" s="17"/>
      <c r="LU32" s="17"/>
      <c r="LV32" s="17"/>
      <c r="LW32" s="17"/>
      <c r="LX32" s="17"/>
      <c r="LY32" s="17"/>
      <c r="LZ32" s="17"/>
      <c r="MA32" s="17"/>
      <c r="MB32" s="17"/>
      <c r="MC32" s="17"/>
      <c r="MD32" s="17"/>
      <c r="ME32" s="17"/>
      <c r="MF32" s="17"/>
      <c r="MG32" s="17"/>
      <c r="MH32" s="17"/>
      <c r="MI32" s="17"/>
      <c r="MJ32" s="17"/>
      <c r="MK32" s="17"/>
      <c r="ML32" s="17"/>
      <c r="MM32" s="17"/>
      <c r="MN32" s="17"/>
      <c r="MO32" s="17"/>
      <c r="MP32" s="17"/>
      <c r="MQ32" s="17"/>
      <c r="MR32" s="17"/>
      <c r="MS32" s="17"/>
      <c r="MT32" s="17"/>
      <c r="MU32" s="17"/>
      <c r="MV32" s="17"/>
      <c r="MW32" s="17"/>
      <c r="MX32" s="17"/>
      <c r="MY32" s="17"/>
      <c r="MZ32" s="17"/>
      <c r="NA32" s="17"/>
      <c r="NB32" s="17"/>
      <c r="NC32" s="17"/>
      <c r="ND32" s="17"/>
      <c r="NE32" s="17"/>
      <c r="NF32" s="17"/>
      <c r="NG32" s="17"/>
      <c r="NH32" s="17"/>
      <c r="NI32" s="17"/>
      <c r="NJ32" s="17"/>
      <c r="NK32" s="17"/>
      <c r="NL32" s="17"/>
      <c r="NM32" s="17"/>
      <c r="NN32" s="17"/>
      <c r="NO32" s="17"/>
      <c r="NP32" s="17"/>
      <c r="NQ32" s="17"/>
      <c r="NR32" s="17"/>
      <c r="NS32" s="17"/>
      <c r="NT32" s="17"/>
      <c r="NU32" s="17"/>
      <c r="NV32" s="17"/>
      <c r="NW32" s="17"/>
      <c r="NX32" s="17"/>
      <c r="NY32" s="17"/>
      <c r="NZ32" s="17"/>
      <c r="OA32" s="17"/>
      <c r="OB32" s="17"/>
      <c r="OC32" s="17"/>
      <c r="OD32" s="17"/>
      <c r="OE32" s="17"/>
      <c r="OF32" s="17"/>
      <c r="OG32" s="17"/>
      <c r="OH32" s="17"/>
      <c r="OI32" s="17"/>
      <c r="OJ32" s="17"/>
      <c r="OK32" s="17"/>
      <c r="OL32" s="17"/>
      <c r="OM32" s="17"/>
      <c r="ON32" s="17"/>
      <c r="OO32" s="17"/>
      <c r="OP32" s="17"/>
      <c r="OQ32" s="17"/>
      <c r="OR32" s="17"/>
      <c r="OS32" s="17"/>
      <c r="OT32" s="17"/>
      <c r="OU32" s="17"/>
      <c r="OV32" s="17"/>
    </row>
    <row r="33" ht="18.0" customHeight="1">
      <c r="A33" s="16">
        <v>32.0</v>
      </c>
      <c r="B33" s="17" t="s">
        <v>1268</v>
      </c>
      <c r="C33" s="18" t="s">
        <v>1335</v>
      </c>
      <c r="D33" s="17" t="s">
        <v>546</v>
      </c>
      <c r="E33" s="16">
        <v>30.0</v>
      </c>
      <c r="F33" s="16">
        <f>COUNTIF('Tổng hợp 75 trang đích'!$B$2:$B$3400,$D33)</f>
        <v>30</v>
      </c>
      <c r="G33" s="16">
        <f>COUNTIFS('Tổng hợp 75 trang đích'!$B$2:$B$3400,$D33,'Tổng hợp 75 trang đích'!$K$2:$K$3400,"PHÙ HỢP CAO")</f>
        <v>1</v>
      </c>
      <c r="H33" s="16">
        <f>COUNTIFS('Tổng hợp 75 trang đích'!$B$2:$B$3400,$D33,'Tổng hợp 75 trang đích'!$K$2:$K$3400,"CÓ THỂ ĐI")</f>
        <v>4</v>
      </c>
      <c r="I33" s="16">
        <f>COUNTIFS('Tổng hợp 75 trang đích'!$B$2:$B$3400,$D33,'Tổng hợp 75 trang đích'!$K$2:$K$3400,"CẦN SOÁT")</f>
        <v>25</v>
      </c>
      <c r="J33" s="19" t="s">
        <v>555</v>
      </c>
      <c r="K33" s="19" t="b">
        <v>0</v>
      </c>
      <c r="L33" s="20" t="s">
        <v>333</v>
      </c>
      <c r="M33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đích'!$B$2:$B$3400=$D33),3,TR"&amp;"UE),1,2)),"""")"),"thẻ tín dụng hoàn tiền")</f>
        <v>thẻ tín dụng hoàn tiền</v>
      </c>
      <c r="N33" s="21" t="str">
        <f>IFERROR(__xludf.DUMMYFUNCTION("""COMPUTED_VALUE"""),"https://techcombank.com/thong-tin/blog/thanh-toan-tien-dien-bang-the-tin-dung")</f>
        <v>https://techcombank.com/thong-tin/blog/thanh-toan-tien-dien-bang-the-tin-dung</v>
      </c>
      <c r="O33" s="17" t="str">
        <f>IFERROR(__xludf.DUMMYFUNCTION("""COMPUTED_VALUE"""),"thẻ hoàn tiền")</f>
        <v>thẻ hoàn tiền</v>
      </c>
      <c r="P33" s="21" t="str">
        <f>IFERROR(__xludf.DUMMYFUNCTION("""COMPUTED_VALUE"""),"https://techcombank.com/thong-tin/blog/cashback-the-thanh-toan")</f>
        <v>https://techcombank.com/thong-tin/blog/cashback-the-thanh-toan</v>
      </c>
      <c r="Q33" s="17" t="str">
        <f>IFERROR(__xludf.DUMMYFUNCTION("""COMPUTED_VALUE"""),"thẻ cashback")</f>
        <v>thẻ cashback</v>
      </c>
      <c r="R33" s="21" t="str">
        <f>IFERROR(__xludf.DUMMYFUNCTION("""COMPUTED_VALUE"""),"https://techcombank.com/thong-tin/blog/uu-dai-mo-the-tin-dung")</f>
        <v>https://techcombank.com/thong-tin/blog/uu-dai-mo-the-tin-dung</v>
      </c>
      <c r="S33" s="17" t="str">
        <f>IFERROR(__xludf.DUMMYFUNCTION("""COMPUTED_VALUE"""),"thẻ tín dụng hoàn tiền")</f>
        <v>thẻ tín dụng hoàn tiền</v>
      </c>
      <c r="T33" s="21" t="str">
        <f>IFERROR(__xludf.DUMMYFUNCTION("""COMPUTED_VALUE"""),"https://techcombank.com/thong-tin/blog/the-tin-dung-mien-phi-thuong-nien")</f>
        <v>https://techcombank.com/thong-tin/blog/the-tin-dung-mien-phi-thuong-nien</v>
      </c>
      <c r="U33" s="17" t="str">
        <f>IFERROR(__xludf.DUMMYFUNCTION("""COMPUTED_VALUE"""),"thẻ hoàn tiền")</f>
        <v>thẻ hoàn tiền</v>
      </c>
      <c r="V33" s="21" t="str">
        <f>IFERROR(__xludf.DUMMYFUNCTION("""COMPUTED_VALUE"""),"https://techcombank.com/thong-tin/blog/cach-su-dung-the-tin-dung")</f>
        <v>https://techcombank.com/thong-tin/blog/cach-su-dung-the-tin-dung</v>
      </c>
      <c r="W33" s="17" t="str">
        <f>IFERROR(__xludf.DUMMYFUNCTION("""COMPUTED_VALUE"""),"thẻ cashback")</f>
        <v>thẻ cashback</v>
      </c>
      <c r="X33" s="21" t="str">
        <f>IFERROR(__xludf.DUMMYFUNCTION("""COMPUTED_VALUE"""),"https://techcombank.com/thong-tin/blog/tai-khoan-doanh-nghiep-co-the-khong")</f>
        <v>https://techcombank.com/thong-tin/blog/tai-khoan-doanh-nghiep-co-the-khong</v>
      </c>
      <c r="Y33" s="17" t="str">
        <f>IFERROR(__xludf.DUMMYFUNCTION("""COMPUTED_VALUE"""),"thẻ tín dụng hoàn tiền")</f>
        <v>thẻ tín dụng hoàn tiền</v>
      </c>
      <c r="Z33" s="21" t="str">
        <f>IFERROR(__xludf.DUMMYFUNCTION("""COMPUTED_VALUE"""),"https://techcombank.com/thong-tin/blog/mm-yy-la-gi")</f>
        <v>https://techcombank.com/thong-tin/blog/mm-yy-la-gi</v>
      </c>
      <c r="AA33" s="17" t="str">
        <f>IFERROR(__xludf.DUMMYFUNCTION("""COMPUTED_VALUE"""),"thẻ hoàn tiền")</f>
        <v>thẻ hoàn tiền</v>
      </c>
      <c r="AB33" s="21" t="str">
        <f>IFERROR(__xludf.DUMMYFUNCTION("""COMPUTED_VALUE"""),"https://techcombank.com/thong-tin/blog/uu-dai-the-tin-dung-techcombank-signature")</f>
        <v>https://techcombank.com/thong-tin/blog/uu-dai-the-tin-dung-techcombank-signature</v>
      </c>
      <c r="AC33" s="17" t="str">
        <f>IFERROR(__xludf.DUMMYFUNCTION("""COMPUTED_VALUE"""),"thẻ cashback")</f>
        <v>thẻ cashback</v>
      </c>
      <c r="AD33" s="21" t="str">
        <f>IFERROR(__xludf.DUMMYFUNCTION("""COMPUTED_VALUE"""),"https://techcombank.com/thong-tin/blog/cac-loai-the-tin-dung")</f>
        <v>https://techcombank.com/thong-tin/blog/cac-loai-the-tin-dung</v>
      </c>
      <c r="AE33" s="17" t="str">
        <f>IFERROR(__xludf.DUMMYFUNCTION("""COMPUTED_VALUE"""),"thẻ tín dụng hoàn tiền")</f>
        <v>thẻ tín dụng hoàn tiền</v>
      </c>
      <c r="AF33" s="21" t="str">
        <f>IFERROR(__xludf.DUMMYFUNCTION("""COMPUTED_VALUE"""),"https://techcombank.com/thong-tin/blog/uu-dai-mua-ve-may-bay-bang-the-tin-dung")</f>
        <v>https://techcombank.com/thong-tin/blog/uu-dai-mua-ve-may-bay-bang-the-tin-dung</v>
      </c>
      <c r="AG33" s="17" t="str">
        <f>IFERROR(__xludf.DUMMYFUNCTION("""COMPUTED_VALUE"""),"thẻ hoàn tiền")</f>
        <v>thẻ hoàn tiền</v>
      </c>
      <c r="AH33" s="21" t="str">
        <f>IFERROR(__xludf.DUMMYFUNCTION("""COMPUTED_VALUE"""),"https://techcombank.com/thong-tin/blog/mat-the-tin-dung-co-bi-mat-tien-khong")</f>
        <v>https://techcombank.com/thong-tin/blog/mat-the-tin-dung-co-bi-mat-tien-khong</v>
      </c>
      <c r="AI33" s="17" t="str">
        <f>IFERROR(__xludf.DUMMYFUNCTION("""COMPUTED_VALUE"""),"thẻ cashback")</f>
        <v>thẻ cashback</v>
      </c>
      <c r="AJ33" s="21" t="str">
        <f>IFERROR(__xludf.DUMMYFUNCTION("""COMPUTED_VALUE"""),"https://techcombank.com/thong-tin/blog/so-cvv-la-gi")</f>
        <v>https://techcombank.com/thong-tin/blog/so-cvv-la-gi</v>
      </c>
      <c r="AK33" s="17" t="str">
        <f>IFERROR(__xludf.DUMMYFUNCTION("""COMPUTED_VALUE"""),"thẻ tín dụng hoàn tiền")</f>
        <v>thẻ tín dụng hoàn tiền</v>
      </c>
      <c r="AL33" s="21" t="str">
        <f>IFERROR(__xludf.DUMMYFUNCTION("""COMPUTED_VALUE"""),"https://techcombank.com/thong-tin/blog/the-tin-dung-nao-nhieu-uu-dai-nhat")</f>
        <v>https://techcombank.com/thong-tin/blog/the-tin-dung-nao-nhieu-uu-dai-nhat</v>
      </c>
      <c r="AM33" s="17" t="str">
        <f>IFERROR(__xludf.DUMMYFUNCTION("""COMPUTED_VALUE"""),"thẻ hoàn tiền")</f>
        <v>thẻ hoàn tiền</v>
      </c>
      <c r="AN33" s="21" t="str">
        <f>IFERROR(__xludf.DUMMYFUNCTION("""COMPUTED_VALUE"""),"https://techcombank.com/thong-tin/blog/cach-lam-the-ngan-hang-chay-quang-cao-facebook")</f>
        <v>https://techcombank.com/thong-tin/blog/cach-lam-the-ngan-hang-chay-quang-cao-facebook</v>
      </c>
      <c r="AO33" s="17" t="str">
        <f>IFERROR(__xludf.DUMMYFUNCTION("""COMPUTED_VALUE"""),"thẻ cashback")</f>
        <v>thẻ cashback</v>
      </c>
      <c r="AP33" s="21" t="str">
        <f>IFERROR(__xludf.DUMMYFUNCTION("""COMPUTED_VALUE"""),"https://techcombank.com/thong-tin/blog/mua-iphone-17")</f>
        <v>https://techcombank.com/thong-tin/blog/mua-iphone-17</v>
      </c>
      <c r="AQ33" s="17" t="str">
        <f>IFERROR(__xludf.DUMMYFUNCTION("""COMPUTED_VALUE"""),"thẻ tín dụng hoàn tiền")</f>
        <v>thẻ tín dụng hoàn tiền</v>
      </c>
      <c r="AR33" s="21" t="str">
        <f>IFERROR(__xludf.DUMMYFUNCTION("""COMPUTED_VALUE"""),"https://techcombank.com/thong-tin/blog/the-visa-co-can-mat-khau-khong")</f>
        <v>https://techcombank.com/thong-tin/blog/the-visa-co-can-mat-khau-khong</v>
      </c>
      <c r="AS33" s="17" t="str">
        <f>IFERROR(__xludf.DUMMYFUNCTION("""COMPUTED_VALUE"""),"thẻ hoàn tiền")</f>
        <v>thẻ hoàn tiền</v>
      </c>
      <c r="AT33" s="21" t="str">
        <f>IFERROR(__xludf.DUMMYFUNCTION("""COMPUTED_VALUE"""),"https://techcombank.com/thong-tin/blog/mua-truoc-tra-sau")</f>
        <v>https://techcombank.com/thong-tin/blog/mua-truoc-tra-sau</v>
      </c>
      <c r="AU33" s="17" t="str">
        <f>IFERROR(__xludf.DUMMYFUNCTION("""COMPUTED_VALUE"""),"thẻ cashback")</f>
        <v>thẻ cashback</v>
      </c>
      <c r="AV33" s="21" t="str">
        <f>IFERROR(__xludf.DUMMYFUNCTION("""COMPUTED_VALUE"""),"https://techcombank.com/thong-tin/blog/tra-cuu-han-muc-the-tin-dung")</f>
        <v>https://techcombank.com/thong-tin/blog/tra-cuu-han-muc-the-tin-dung</v>
      </c>
      <c r="AW33" s="17" t="str">
        <f>IFERROR(__xludf.DUMMYFUNCTION("""COMPUTED_VALUE"""),"thẻ tín dụng hoàn tiền")</f>
        <v>thẻ tín dụng hoàn tiền</v>
      </c>
      <c r="AX33" s="21" t="str">
        <f>IFERROR(__xludf.DUMMYFUNCTION("""COMPUTED_VALUE"""),"https://techcombank.com/thong-tin/blog/the-ghi-no-va-the-tin-dung")</f>
        <v>https://techcombank.com/thong-tin/blog/the-ghi-no-va-the-tin-dung</v>
      </c>
      <c r="AY33" s="17" t="str">
        <f>IFERROR(__xludf.DUMMYFUNCTION("""COMPUTED_VALUE"""),"thẻ hoàn tiền")</f>
        <v>thẻ hoàn tiền</v>
      </c>
      <c r="AZ33" s="21" t="str">
        <f>IFERROR(__xludf.DUMMYFUNCTION("""COMPUTED_VALUE"""),"https://techcombank.com/thong-tin/blog/the-tin-dung-het-han")</f>
        <v>https://techcombank.com/thong-tin/blog/the-tin-dung-het-han</v>
      </c>
      <c r="BA33" s="17" t="str">
        <f>IFERROR(__xludf.DUMMYFUNCTION("""COMPUTED_VALUE"""),"thẻ cashback")</f>
        <v>thẻ cashback</v>
      </c>
      <c r="BB33" s="21" t="str">
        <f>IFERROR(__xludf.DUMMYFUNCTION("""COMPUTED_VALUE"""),"https://techcombank.com/thong-tin/blog/cach-huy-the-tin-dung")</f>
        <v>https://techcombank.com/thong-tin/blog/cach-huy-the-tin-dung</v>
      </c>
      <c r="BC33" s="17" t="str">
        <f>IFERROR(__xludf.DUMMYFUNCTION("""COMPUTED_VALUE"""),"thẻ tín dụng hoàn tiền")</f>
        <v>thẻ tín dụng hoàn tiền</v>
      </c>
      <c r="BD33" s="21" t="str">
        <f>IFERROR(__xludf.DUMMYFUNCTION("""COMPUTED_VALUE"""),"https://techcombank.com/thong-tin/blog/co-nen-dung-the-tin-dung-khong")</f>
        <v>https://techcombank.com/thong-tin/blog/co-nen-dung-the-tin-dung-khong</v>
      </c>
      <c r="BE33" s="17" t="str">
        <f>IFERROR(__xludf.DUMMYFUNCTION("""COMPUTED_VALUE"""),"thẻ hoàn tiền")</f>
        <v>thẻ hoàn tiền</v>
      </c>
      <c r="BF33" s="21" t="str">
        <f>IFERROR(__xludf.DUMMYFUNCTION("""COMPUTED_VALUE"""),"https://techcombank.com/thong-tin/blog/ma-buu-chinh-the-tin-dung")</f>
        <v>https://techcombank.com/thong-tin/blog/ma-buu-chinh-the-tin-dung</v>
      </c>
      <c r="BG33" s="17" t="str">
        <f>IFERROR(__xludf.DUMMYFUNCTION("""COMPUTED_VALUE"""),"thẻ cashback")</f>
        <v>thẻ cashback</v>
      </c>
      <c r="BH33" s="21" t="str">
        <f>IFERROR(__xludf.DUMMYFUNCTION("""COMPUTED_VALUE"""),"https://techcombank.com/thong-tin/blog/the-tin-dung-quoc-te")</f>
        <v>https://techcombank.com/thong-tin/blog/the-tin-dung-quoc-te</v>
      </c>
      <c r="BI33" s="17" t="str">
        <f>IFERROR(__xludf.DUMMYFUNCTION("""COMPUTED_VALUE"""),"thẻ tín dụng hoàn tiền")</f>
        <v>thẻ tín dụng hoàn tiền</v>
      </c>
      <c r="BJ33" s="21" t="str">
        <f>IFERROR(__xludf.DUMMYFUNCTION("""COMPUTED_VALUE"""),"https://techcombank.com/thong-tin/blog/qua-han-thanh-toan-the-tin-dung-1-ngay")</f>
        <v>https://techcombank.com/thong-tin/blog/qua-han-thanh-toan-the-tin-dung-1-ngay</v>
      </c>
      <c r="BK33" s="17" t="str">
        <f>IFERROR(__xludf.DUMMYFUNCTION("""COMPUTED_VALUE"""),"thẻ hoàn tiền")</f>
        <v>thẻ hoàn tiền</v>
      </c>
      <c r="BL33" s="21" t="str">
        <f>IFERROR(__xludf.DUMMYFUNCTION("""COMPUTED_VALUE"""),"https://techcombank.com/thong-tin/blog/phi-rut-tien-mat-the-tin-dung")</f>
        <v>https://techcombank.com/thong-tin/blog/phi-rut-tien-mat-the-tin-dung</v>
      </c>
      <c r="BM33" s="17" t="str">
        <f>IFERROR(__xludf.DUMMYFUNCTION("""COMPUTED_VALUE"""),"thẻ cashback")</f>
        <v>thẻ cashback</v>
      </c>
      <c r="BN33" s="21" t="str">
        <f>IFERROR(__xludf.DUMMYFUNCTION("""COMPUTED_VALUE"""),"https://techcombank.com/thong-tin/blog/tiet-kiem-khi-di-du-lich")</f>
        <v>https://techcombank.com/thong-tin/blog/tiet-kiem-khi-di-du-lich</v>
      </c>
      <c r="BO33" s="17" t="str">
        <f>IFERROR(__xludf.DUMMYFUNCTION("""COMPUTED_VALUE"""),"thẻ tín dụng hoàn tiền")</f>
        <v>thẻ tín dụng hoàn tiền</v>
      </c>
      <c r="BP33" s="21" t="str">
        <f>IFERROR(__xludf.DUMMYFUNCTION("""COMPUTED_VALUE"""),"https://techcombank.com/thong-tin/blog/vay-ngan-hang-1-ty-moi-thang-tra-bao-nhieu")</f>
        <v>https://techcombank.com/thong-tin/blog/vay-ngan-hang-1-ty-moi-thang-tra-bao-nhieu</v>
      </c>
      <c r="BQ33" s="17" t="str">
        <f>IFERROR(__xludf.DUMMYFUNCTION("""COMPUTED_VALUE"""),"thẻ hoàn tiền")</f>
        <v>thẻ hoàn tiền</v>
      </c>
      <c r="BR33" s="21" t="str">
        <f>IFERROR(__xludf.DUMMYFUNCTION("""COMPUTED_VALUE"""),"https://techcombank.com/thong-tin/blog/cach-thanh-toan-the-tin-dung")</f>
        <v>https://techcombank.com/thong-tin/blog/cach-thanh-toan-the-tin-dung</v>
      </c>
      <c r="BS33" s="17" t="str">
        <f>IFERROR(__xludf.DUMMYFUNCTION("""COMPUTED_VALUE"""),"thẻ cashback")</f>
        <v>thẻ cashback</v>
      </c>
      <c r="BT33" s="21" t="str">
        <f>IFERROR(__xludf.DUMMYFUNCTION("""COMPUTED_VALUE"""),"https://techcombank.com/thong-tin/blog/the-tin-dung-den")</f>
        <v>https://techcombank.com/thong-tin/blog/the-tin-dung-den</v>
      </c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7"/>
      <c r="FU33" s="17"/>
      <c r="FV33" s="17"/>
      <c r="FW33" s="17"/>
      <c r="FX33" s="17"/>
      <c r="FY33" s="17"/>
      <c r="FZ33" s="17"/>
      <c r="GA33" s="17"/>
      <c r="GB33" s="17"/>
      <c r="GC33" s="17"/>
      <c r="GD33" s="17"/>
      <c r="GE33" s="17"/>
      <c r="GF33" s="17"/>
      <c r="GG33" s="17"/>
      <c r="GH33" s="17"/>
      <c r="GI33" s="17"/>
      <c r="GJ33" s="17"/>
      <c r="GK33" s="17"/>
      <c r="GL33" s="17"/>
      <c r="GM33" s="17"/>
      <c r="GN33" s="17"/>
      <c r="GO33" s="17"/>
      <c r="GP33" s="17"/>
      <c r="GQ33" s="17"/>
      <c r="GR33" s="17"/>
      <c r="GS33" s="17"/>
      <c r="GT33" s="17"/>
      <c r="GU33" s="17"/>
      <c r="GV33" s="17"/>
      <c r="GW33" s="17"/>
      <c r="GX33" s="17"/>
      <c r="GY33" s="17"/>
      <c r="GZ33" s="17"/>
      <c r="HA33" s="17"/>
      <c r="HB33" s="17"/>
      <c r="HC33" s="17"/>
      <c r="HD33" s="17"/>
      <c r="HE33" s="17"/>
      <c r="HF33" s="17"/>
      <c r="HG33" s="17"/>
      <c r="HH33" s="17"/>
      <c r="HI33" s="17"/>
      <c r="HJ33" s="17"/>
      <c r="HK33" s="17"/>
      <c r="HL33" s="17"/>
      <c r="HM33" s="17"/>
      <c r="HN33" s="17"/>
      <c r="HO33" s="17"/>
      <c r="HP33" s="17"/>
      <c r="HQ33" s="17"/>
      <c r="HR33" s="17"/>
      <c r="HS33" s="17"/>
      <c r="HT33" s="17"/>
      <c r="HU33" s="17"/>
      <c r="HV33" s="17"/>
      <c r="HW33" s="17"/>
      <c r="HX33" s="17"/>
      <c r="HY33" s="17"/>
      <c r="HZ33" s="17"/>
      <c r="IA33" s="17"/>
      <c r="IB33" s="17"/>
      <c r="IC33" s="17"/>
      <c r="ID33" s="17"/>
      <c r="IE33" s="17"/>
      <c r="IF33" s="17"/>
      <c r="IG33" s="17"/>
      <c r="IH33" s="17"/>
      <c r="II33" s="17"/>
      <c r="IJ33" s="17"/>
      <c r="IK33" s="17"/>
      <c r="IL33" s="17"/>
      <c r="IM33" s="17"/>
      <c r="IN33" s="17"/>
      <c r="IO33" s="17"/>
      <c r="IP33" s="17"/>
      <c r="IQ33" s="17"/>
      <c r="IR33" s="17"/>
      <c r="IS33" s="17"/>
      <c r="IT33" s="17"/>
      <c r="IU33" s="17"/>
      <c r="IV33" s="17"/>
      <c r="IW33" s="17"/>
      <c r="IX33" s="17"/>
      <c r="IY33" s="17"/>
      <c r="IZ33" s="17"/>
      <c r="JA33" s="17"/>
      <c r="JB33" s="17"/>
      <c r="JC33" s="17"/>
      <c r="JD33" s="17"/>
      <c r="JE33" s="17"/>
      <c r="JF33" s="17"/>
      <c r="JG33" s="17"/>
      <c r="JH33" s="17"/>
      <c r="JI33" s="17"/>
      <c r="JJ33" s="17"/>
      <c r="JK33" s="17"/>
      <c r="JL33" s="17"/>
      <c r="JM33" s="17"/>
      <c r="JN33" s="17"/>
      <c r="JO33" s="17"/>
      <c r="JP33" s="17"/>
      <c r="JQ33" s="17"/>
      <c r="JR33" s="17"/>
      <c r="JS33" s="17"/>
      <c r="JT33" s="17"/>
      <c r="JU33" s="17"/>
      <c r="JV33" s="17"/>
      <c r="JW33" s="17"/>
      <c r="JX33" s="17"/>
      <c r="JY33" s="17"/>
      <c r="JZ33" s="17"/>
      <c r="KA33" s="17"/>
      <c r="KB33" s="17"/>
      <c r="KC33" s="17"/>
      <c r="KD33" s="17"/>
      <c r="KE33" s="17"/>
      <c r="KF33" s="17"/>
      <c r="KG33" s="17"/>
      <c r="KH33" s="17"/>
      <c r="KI33" s="17"/>
      <c r="KJ33" s="17"/>
      <c r="KK33" s="17"/>
      <c r="KL33" s="17"/>
      <c r="KM33" s="17"/>
      <c r="KN33" s="17"/>
      <c r="KO33" s="17"/>
      <c r="KP33" s="17"/>
      <c r="KQ33" s="17"/>
      <c r="KR33" s="17"/>
      <c r="KS33" s="17"/>
      <c r="KT33" s="17"/>
      <c r="KU33" s="17"/>
      <c r="KV33" s="17"/>
      <c r="KW33" s="17"/>
      <c r="KX33" s="17"/>
      <c r="KY33" s="17"/>
      <c r="KZ33" s="17"/>
      <c r="LA33" s="17"/>
      <c r="LB33" s="17"/>
      <c r="LC33" s="17"/>
      <c r="LD33" s="17"/>
      <c r="LE33" s="17"/>
      <c r="LF33" s="17"/>
      <c r="LG33" s="17"/>
      <c r="LH33" s="17"/>
      <c r="LI33" s="17"/>
      <c r="LJ33" s="17"/>
      <c r="LK33" s="17"/>
      <c r="LL33" s="17"/>
      <c r="LM33" s="17"/>
      <c r="LN33" s="17"/>
      <c r="LO33" s="17"/>
      <c r="LP33" s="17"/>
      <c r="LQ33" s="17"/>
      <c r="LR33" s="17"/>
      <c r="LS33" s="17"/>
      <c r="LT33" s="17"/>
      <c r="LU33" s="17"/>
      <c r="LV33" s="17"/>
      <c r="LW33" s="17"/>
      <c r="LX33" s="17"/>
      <c r="LY33" s="17"/>
      <c r="LZ33" s="17"/>
      <c r="MA33" s="17"/>
      <c r="MB33" s="17"/>
      <c r="MC33" s="17"/>
      <c r="MD33" s="17"/>
      <c r="ME33" s="17"/>
      <c r="MF33" s="17"/>
      <c r="MG33" s="17"/>
      <c r="MH33" s="17"/>
      <c r="MI33" s="17"/>
      <c r="MJ33" s="17"/>
      <c r="MK33" s="17"/>
      <c r="ML33" s="17"/>
      <c r="MM33" s="17"/>
      <c r="MN33" s="17"/>
      <c r="MO33" s="17"/>
      <c r="MP33" s="17"/>
      <c r="MQ33" s="17"/>
      <c r="MR33" s="17"/>
      <c r="MS33" s="17"/>
      <c r="MT33" s="17"/>
      <c r="MU33" s="17"/>
      <c r="MV33" s="17"/>
      <c r="MW33" s="17"/>
      <c r="MX33" s="17"/>
      <c r="MY33" s="17"/>
      <c r="MZ33" s="17"/>
      <c r="NA33" s="17"/>
      <c r="NB33" s="17"/>
      <c r="NC33" s="17"/>
      <c r="ND33" s="17"/>
      <c r="NE33" s="17"/>
      <c r="NF33" s="17"/>
      <c r="NG33" s="17"/>
      <c r="NH33" s="17"/>
      <c r="NI33" s="17"/>
      <c r="NJ33" s="17"/>
      <c r="NK33" s="17"/>
      <c r="NL33" s="17"/>
      <c r="NM33" s="17"/>
      <c r="NN33" s="17"/>
      <c r="NO33" s="17"/>
      <c r="NP33" s="17"/>
      <c r="NQ33" s="17"/>
      <c r="NR33" s="17"/>
      <c r="NS33" s="17"/>
      <c r="NT33" s="17"/>
      <c r="NU33" s="17"/>
      <c r="NV33" s="17"/>
      <c r="NW33" s="17"/>
      <c r="NX33" s="17"/>
      <c r="NY33" s="17"/>
      <c r="NZ33" s="17"/>
      <c r="OA33" s="17"/>
      <c r="OB33" s="17"/>
      <c r="OC33" s="17"/>
      <c r="OD33" s="17"/>
      <c r="OE33" s="17"/>
      <c r="OF33" s="17"/>
      <c r="OG33" s="17"/>
      <c r="OH33" s="17"/>
      <c r="OI33" s="17"/>
      <c r="OJ33" s="17"/>
      <c r="OK33" s="17"/>
      <c r="OL33" s="17"/>
      <c r="OM33" s="17"/>
      <c r="ON33" s="17"/>
      <c r="OO33" s="17"/>
      <c r="OP33" s="17"/>
      <c r="OQ33" s="17"/>
      <c r="OR33" s="17"/>
      <c r="OS33" s="17"/>
      <c r="OT33" s="17"/>
      <c r="OU33" s="17"/>
      <c r="OV33" s="17"/>
    </row>
    <row r="34" ht="18.0" customHeight="1">
      <c r="A34" s="16">
        <v>33.0</v>
      </c>
      <c r="B34" s="17" t="s">
        <v>1268</v>
      </c>
      <c r="C34" s="18" t="s">
        <v>1358</v>
      </c>
      <c r="D34" s="17" t="s">
        <v>547</v>
      </c>
      <c r="E34" s="16">
        <v>50.0</v>
      </c>
      <c r="F34" s="16">
        <f>COUNTIF('Tổng hợp 75 trang đích'!$B$2:$B$3400,$D34)</f>
        <v>50</v>
      </c>
      <c r="G34" s="16">
        <f>COUNTIFS('Tổng hợp 75 trang đích'!$B$2:$B$3400,$D34,'Tổng hợp 75 trang đích'!$K$2:$K$3400,"PHÙ HỢP CAO")</f>
        <v>3</v>
      </c>
      <c r="H34" s="16">
        <f>COUNTIFS('Tổng hợp 75 trang đích'!$B$2:$B$3400,$D34,'Tổng hợp 75 trang đích'!$K$2:$K$3400,"CÓ THỂ ĐI")</f>
        <v>2</v>
      </c>
      <c r="I34" s="16">
        <f>COUNTIFS('Tổng hợp 75 trang đích'!$B$2:$B$3400,$D34,'Tổng hợp 75 trang đích'!$K$2:$K$3400,"CẦN SOÁT")</f>
        <v>45</v>
      </c>
      <c r="J34" s="19" t="s">
        <v>555</v>
      </c>
      <c r="K34" s="19" t="b">
        <v>0</v>
      </c>
      <c r="L34" s="20" t="s">
        <v>333</v>
      </c>
      <c r="M34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đích'!$B$2:$B$3400=$D34),3,TR"&amp;"UE),1,2)),"""")"),"cách hủy thẻ tín dụng")</f>
        <v>cách hủy thẻ tín dụng</v>
      </c>
      <c r="N34" s="21" t="str">
        <f>IFERROR(__xludf.DUMMYFUNCTION("""COMPUTED_VALUE"""),"https://techcombank.com/thong-tin/blog/phi-thuong-nien-la-gi")</f>
        <v>https://techcombank.com/thong-tin/blog/phi-thuong-nien-la-gi</v>
      </c>
      <c r="O34" s="17" t="str">
        <f>IFERROR(__xludf.DUMMYFUNCTION("""COMPUTED_VALUE"""),"hủy thẻ tín dụng")</f>
        <v>hủy thẻ tín dụng</v>
      </c>
      <c r="P34" s="21" t="str">
        <f>IFERROR(__xludf.DUMMYFUNCTION("""COMPUTED_VALUE"""),"https://techcombank.com/thong-tin/blog/khong-su-dung-the-tin-dung-co-mat-phi-khong")</f>
        <v>https://techcombank.com/thong-tin/blog/khong-su-dung-the-tin-dung-co-mat-phi-khong</v>
      </c>
      <c r="Q34" s="17" t="str">
        <f>IFERROR(__xludf.DUMMYFUNCTION("""COMPUTED_VALUE"""),"cách hủy thẻ tín dụng")</f>
        <v>cách hủy thẻ tín dụng</v>
      </c>
      <c r="R34" s="21" t="str">
        <f>IFERROR(__xludf.DUMMYFUNCTION("""COMPUTED_VALUE"""),"https://techcombank.com/thong-tin/blog/cach-khoa-the-ngan-hang")</f>
        <v>https://techcombank.com/thong-tin/blog/cach-khoa-the-ngan-hang</v>
      </c>
      <c r="S34" s="17" t="str">
        <f>IFERROR(__xludf.DUMMYFUNCTION("""COMPUTED_VALUE"""),"hủy thẻ tín dụng")</f>
        <v>hủy thẻ tín dụng</v>
      </c>
      <c r="T34" s="21" t="str">
        <f>IFERROR(__xludf.DUMMYFUNCTION("""COMPUTED_VALUE"""),"https://techcombank.com/thong-tin/blog/the-tin-dung-bi-khoa")</f>
        <v>https://techcombank.com/thong-tin/blog/the-tin-dung-bi-khoa</v>
      </c>
      <c r="U34" s="17" t="str">
        <f>IFERROR(__xludf.DUMMYFUNCTION("""COMPUTED_VALUE"""),"cách hủy thẻ tín dụng")</f>
        <v>cách hủy thẻ tín dụng</v>
      </c>
      <c r="V34" s="21" t="str">
        <f>IFERROR(__xludf.DUMMYFUNCTION("""COMPUTED_VALUE"""),"https://techcombank.com/thong-tin/blog/the-tin-dung-het-han")</f>
        <v>https://techcombank.com/thong-tin/blog/the-tin-dung-het-han</v>
      </c>
      <c r="W34" s="17" t="str">
        <f>IFERROR(__xludf.DUMMYFUNCTION("""COMPUTED_VALUE"""),"hủy thẻ tín dụng")</f>
        <v>hủy thẻ tín dụng</v>
      </c>
      <c r="X34" s="21" t="str">
        <f>IFERROR(__xludf.DUMMYFUNCTION("""COMPUTED_VALUE"""),"https://techcombank.com/thong-tin/blog/tai-khoan-doanh-nghiep-co-the-khong")</f>
        <v>https://techcombank.com/thong-tin/blog/tai-khoan-doanh-nghiep-co-the-khong</v>
      </c>
      <c r="Y34" s="17" t="str">
        <f>IFERROR(__xludf.DUMMYFUNCTION("""COMPUTED_VALUE"""),"cách hủy thẻ tín dụng")</f>
        <v>cách hủy thẻ tín dụng</v>
      </c>
      <c r="Z34" s="21" t="str">
        <f>IFERROR(__xludf.DUMMYFUNCTION("""COMPUTED_VALUE"""),"https://techcombank.com/thong-tin/blog/mm-yy-la-gi")</f>
        <v>https://techcombank.com/thong-tin/blog/mm-yy-la-gi</v>
      </c>
      <c r="AA34" s="17" t="str">
        <f>IFERROR(__xludf.DUMMYFUNCTION("""COMPUTED_VALUE"""),"hủy thẻ tín dụng")</f>
        <v>hủy thẻ tín dụng</v>
      </c>
      <c r="AB34" s="21" t="str">
        <f>IFERROR(__xludf.DUMMYFUNCTION("""COMPUTED_VALUE"""),"https://techcombank.com/thong-tin/blog/uu-dai-the-tin-dung-techcombank-signature")</f>
        <v>https://techcombank.com/thong-tin/blog/uu-dai-the-tin-dung-techcombank-signature</v>
      </c>
      <c r="AC34" s="17" t="str">
        <f>IFERROR(__xludf.DUMMYFUNCTION("""COMPUTED_VALUE"""),"cách hủy thẻ tín dụng")</f>
        <v>cách hủy thẻ tín dụng</v>
      </c>
      <c r="AD34" s="21" t="str">
        <f>IFERROR(__xludf.DUMMYFUNCTION("""COMPUTED_VALUE"""),"https://techcombank.com/thong-tin/blog/cac-loai-the-tin-dung")</f>
        <v>https://techcombank.com/thong-tin/blog/cac-loai-the-tin-dung</v>
      </c>
      <c r="AE34" s="17" t="str">
        <f>IFERROR(__xludf.DUMMYFUNCTION("""COMPUTED_VALUE"""),"hủy thẻ tín dụng")</f>
        <v>hủy thẻ tín dụng</v>
      </c>
      <c r="AF34" s="21" t="str">
        <f>IFERROR(__xludf.DUMMYFUNCTION("""COMPUTED_VALUE"""),"https://techcombank.com/thong-tin/blog/the-tin-dung-mien-phi-thuong-nien")</f>
        <v>https://techcombank.com/thong-tin/blog/the-tin-dung-mien-phi-thuong-nien</v>
      </c>
      <c r="AG34" s="17" t="str">
        <f>IFERROR(__xludf.DUMMYFUNCTION("""COMPUTED_VALUE"""),"cách hủy thẻ tín dụng")</f>
        <v>cách hủy thẻ tín dụng</v>
      </c>
      <c r="AH34" s="21" t="str">
        <f>IFERROR(__xludf.DUMMYFUNCTION("""COMPUTED_VALUE"""),"https://techcombank.com/thong-tin/blog/uu-dai-mua-ve-may-bay-bang-the-tin-dung")</f>
        <v>https://techcombank.com/thong-tin/blog/uu-dai-mua-ve-may-bay-bang-the-tin-dung</v>
      </c>
      <c r="AI34" s="17" t="str">
        <f>IFERROR(__xludf.DUMMYFUNCTION("""COMPUTED_VALUE"""),"hủy thẻ tín dụng")</f>
        <v>hủy thẻ tín dụng</v>
      </c>
      <c r="AJ34" s="21" t="str">
        <f>IFERROR(__xludf.DUMMYFUNCTION("""COMPUTED_VALUE"""),"https://techcombank.com/thong-tin/blog/mat-the-tin-dung-co-bi-mat-tien-khong")</f>
        <v>https://techcombank.com/thong-tin/blog/mat-the-tin-dung-co-bi-mat-tien-khong</v>
      </c>
      <c r="AK34" s="17" t="str">
        <f>IFERROR(__xludf.DUMMYFUNCTION("""COMPUTED_VALUE"""),"cách hủy thẻ tín dụng")</f>
        <v>cách hủy thẻ tín dụng</v>
      </c>
      <c r="AL34" s="21" t="str">
        <f>IFERROR(__xludf.DUMMYFUNCTION("""COMPUTED_VALUE"""),"https://techcombank.com/thong-tin/blog/so-cvv-la-gi")</f>
        <v>https://techcombank.com/thong-tin/blog/so-cvv-la-gi</v>
      </c>
      <c r="AM34" s="17" t="str">
        <f>IFERROR(__xludf.DUMMYFUNCTION("""COMPUTED_VALUE"""),"hủy thẻ tín dụng")</f>
        <v>hủy thẻ tín dụng</v>
      </c>
      <c r="AN34" s="21" t="str">
        <f>IFERROR(__xludf.DUMMYFUNCTION("""COMPUTED_VALUE"""),"https://techcombank.com/thong-tin/blog/the-tin-dung-nao-nhieu-uu-dai-nhat")</f>
        <v>https://techcombank.com/thong-tin/blog/the-tin-dung-nao-nhieu-uu-dai-nhat</v>
      </c>
      <c r="AO34" s="17" t="str">
        <f>IFERROR(__xludf.DUMMYFUNCTION("""COMPUTED_VALUE"""),"cách hủy thẻ tín dụng")</f>
        <v>cách hủy thẻ tín dụng</v>
      </c>
      <c r="AP34" s="21" t="str">
        <f>IFERROR(__xludf.DUMMYFUNCTION("""COMPUTED_VALUE"""),"https://techcombank.com/thong-tin/blog/cach-lam-the-ngan-hang-chay-quang-cao-facebook")</f>
        <v>https://techcombank.com/thong-tin/blog/cach-lam-the-ngan-hang-chay-quang-cao-facebook</v>
      </c>
      <c r="AQ34" s="17" t="str">
        <f>IFERROR(__xludf.DUMMYFUNCTION("""COMPUTED_VALUE"""),"hủy thẻ tín dụng")</f>
        <v>hủy thẻ tín dụng</v>
      </c>
      <c r="AR34" s="21" t="str">
        <f>IFERROR(__xludf.DUMMYFUNCTION("""COMPUTED_VALUE"""),"https://techcombank.com/thong-tin/blog/mua-iphone-17")</f>
        <v>https://techcombank.com/thong-tin/blog/mua-iphone-17</v>
      </c>
      <c r="AS34" s="17" t="str">
        <f>IFERROR(__xludf.DUMMYFUNCTION("""COMPUTED_VALUE"""),"cách hủy thẻ tín dụng")</f>
        <v>cách hủy thẻ tín dụng</v>
      </c>
      <c r="AT34" s="21" t="str">
        <f>IFERROR(__xludf.DUMMYFUNCTION("""COMPUTED_VALUE"""),"https://techcombank.com/thong-tin/blog/the-visa-co-can-mat-khau-khong")</f>
        <v>https://techcombank.com/thong-tin/blog/the-visa-co-can-mat-khau-khong</v>
      </c>
      <c r="AU34" s="17" t="str">
        <f>IFERROR(__xludf.DUMMYFUNCTION("""COMPUTED_VALUE"""),"hủy thẻ tín dụng")</f>
        <v>hủy thẻ tín dụng</v>
      </c>
      <c r="AV34" s="21" t="str">
        <f>IFERROR(__xludf.DUMMYFUNCTION("""COMPUTED_VALUE"""),"https://techcombank.com/thong-tin/blog/mua-truoc-tra-sau")</f>
        <v>https://techcombank.com/thong-tin/blog/mua-truoc-tra-sau</v>
      </c>
      <c r="AW34" s="17" t="str">
        <f>IFERROR(__xludf.DUMMYFUNCTION("""COMPUTED_VALUE"""),"cách hủy thẻ tín dụng")</f>
        <v>cách hủy thẻ tín dụng</v>
      </c>
      <c r="AX34" s="21" t="str">
        <f>IFERROR(__xludf.DUMMYFUNCTION("""COMPUTED_VALUE"""),"https://techcombank.com/thong-tin/blog/tra-cuu-han-muc-the-tin-dung")</f>
        <v>https://techcombank.com/thong-tin/blog/tra-cuu-han-muc-the-tin-dung</v>
      </c>
      <c r="AY34" s="17" t="str">
        <f>IFERROR(__xludf.DUMMYFUNCTION("""COMPUTED_VALUE"""),"hủy thẻ tín dụng")</f>
        <v>hủy thẻ tín dụng</v>
      </c>
      <c r="AZ34" s="21" t="str">
        <f>IFERROR(__xludf.DUMMYFUNCTION("""COMPUTED_VALUE"""),"https://techcombank.com/thong-tin/blog/the-ghi-no-va-the-tin-dung")</f>
        <v>https://techcombank.com/thong-tin/blog/the-ghi-no-va-the-tin-dung</v>
      </c>
      <c r="BA34" s="17" t="str">
        <f>IFERROR(__xludf.DUMMYFUNCTION("""COMPUTED_VALUE"""),"cách hủy thẻ tín dụng")</f>
        <v>cách hủy thẻ tín dụng</v>
      </c>
      <c r="BB34" s="21" t="str">
        <f>IFERROR(__xludf.DUMMYFUNCTION("""COMPUTED_VALUE"""),"https://techcombank.com/thong-tin/blog/co-nen-dung-the-tin-dung-khong")</f>
        <v>https://techcombank.com/thong-tin/blog/co-nen-dung-the-tin-dung-khong</v>
      </c>
      <c r="BC34" s="17" t="str">
        <f>IFERROR(__xludf.DUMMYFUNCTION("""COMPUTED_VALUE"""),"hủy thẻ tín dụng")</f>
        <v>hủy thẻ tín dụng</v>
      </c>
      <c r="BD34" s="21" t="str">
        <f>IFERROR(__xludf.DUMMYFUNCTION("""COMPUTED_VALUE"""),"https://techcombank.com/thong-tin/blog/ma-buu-chinh-the-tin-dung")</f>
        <v>https://techcombank.com/thong-tin/blog/ma-buu-chinh-the-tin-dung</v>
      </c>
      <c r="BE34" s="17" t="str">
        <f>IFERROR(__xludf.DUMMYFUNCTION("""COMPUTED_VALUE"""),"cách hủy thẻ tín dụng")</f>
        <v>cách hủy thẻ tín dụng</v>
      </c>
      <c r="BF34" s="21" t="str">
        <f>IFERROR(__xludf.DUMMYFUNCTION("""COMPUTED_VALUE"""),"https://techcombank.com/thong-tin/blog/the-tin-dung-quoc-te")</f>
        <v>https://techcombank.com/thong-tin/blog/the-tin-dung-quoc-te</v>
      </c>
      <c r="BG34" s="17" t="str">
        <f>IFERROR(__xludf.DUMMYFUNCTION("""COMPUTED_VALUE"""),"hủy thẻ tín dụng")</f>
        <v>hủy thẻ tín dụng</v>
      </c>
      <c r="BH34" s="21" t="str">
        <f>IFERROR(__xludf.DUMMYFUNCTION("""COMPUTED_VALUE"""),"https://techcombank.com/thong-tin/blog/qua-han-thanh-toan-the-tin-dung-1-ngay")</f>
        <v>https://techcombank.com/thong-tin/blog/qua-han-thanh-toan-the-tin-dung-1-ngay</v>
      </c>
      <c r="BI34" s="17" t="str">
        <f>IFERROR(__xludf.DUMMYFUNCTION("""COMPUTED_VALUE"""),"cách hủy thẻ tín dụng")</f>
        <v>cách hủy thẻ tín dụng</v>
      </c>
      <c r="BJ34" s="21" t="str">
        <f>IFERROR(__xludf.DUMMYFUNCTION("""COMPUTED_VALUE"""),"https://techcombank.com/thong-tin/blog/phi-rut-tien-mat-the-tin-dung")</f>
        <v>https://techcombank.com/thong-tin/blog/phi-rut-tien-mat-the-tin-dung</v>
      </c>
      <c r="BK34" s="17" t="str">
        <f>IFERROR(__xludf.DUMMYFUNCTION("""COMPUTED_VALUE"""),"hủy thẻ tín dụng")</f>
        <v>hủy thẻ tín dụng</v>
      </c>
      <c r="BL34" s="21" t="str">
        <f>IFERROR(__xludf.DUMMYFUNCTION("""COMPUTED_VALUE"""),"https://techcombank.com/thong-tin/blog/vay-ngan-hang-1-ty-moi-thang-tra-bao-nhieu")</f>
        <v>https://techcombank.com/thong-tin/blog/vay-ngan-hang-1-ty-moi-thang-tra-bao-nhieu</v>
      </c>
      <c r="BM34" s="17" t="str">
        <f>IFERROR(__xludf.DUMMYFUNCTION("""COMPUTED_VALUE"""),"cách hủy thẻ tín dụng")</f>
        <v>cách hủy thẻ tín dụng</v>
      </c>
      <c r="BN34" s="21" t="str">
        <f>IFERROR(__xludf.DUMMYFUNCTION("""COMPUTED_VALUE"""),"https://techcombank.com/thong-tin/blog/cach-thanh-toan-the-tin-dung")</f>
        <v>https://techcombank.com/thong-tin/blog/cach-thanh-toan-the-tin-dung</v>
      </c>
      <c r="BO34" s="17" t="str">
        <f>IFERROR(__xludf.DUMMYFUNCTION("""COMPUTED_VALUE"""),"hủy thẻ tín dụng")</f>
        <v>hủy thẻ tín dụng</v>
      </c>
      <c r="BP34" s="21" t="str">
        <f>IFERROR(__xludf.DUMMYFUNCTION("""COMPUTED_VALUE"""),"https://techcombank.com/thong-tin/blog/the-tin-dung-den")</f>
        <v>https://techcombank.com/thong-tin/blog/the-tin-dung-den</v>
      </c>
      <c r="BQ34" s="17" t="str">
        <f>IFERROR(__xludf.DUMMYFUNCTION("""COMPUTED_VALUE"""),"cách hủy thẻ tín dụng")</f>
        <v>cách hủy thẻ tín dụng</v>
      </c>
      <c r="BR34" s="21" t="str">
        <f>IFERROR(__xludf.DUMMYFUNCTION("""COMPUTED_VALUE"""),"https://techcombank.com/thong-tin/blog/dao-han-the-tin-dung")</f>
        <v>https://techcombank.com/thong-tin/blog/dao-han-the-tin-dung</v>
      </c>
      <c r="BS34" s="17" t="str">
        <f>IFERROR(__xludf.DUMMYFUNCTION("""COMPUTED_VALUE"""),"hủy thẻ tín dụng")</f>
        <v>hủy thẻ tín dụng</v>
      </c>
      <c r="BT34" s="21" t="str">
        <f>IFERROR(__xludf.DUMMYFUNCTION("""COMPUTED_VALUE"""),"https://techcombank.com/thong-tin/blog/thanh-toan-online-bang-the-tin-dung")</f>
        <v>https://techcombank.com/thong-tin/blog/thanh-toan-online-bang-the-tin-dung</v>
      </c>
      <c r="BU34" s="17" t="str">
        <f>IFERROR(__xludf.DUMMYFUNCTION("""COMPUTED_VALUE"""),"cách hủy thẻ tín dụng")</f>
        <v>cách hủy thẻ tín dụng</v>
      </c>
      <c r="BV34" s="21" t="str">
        <f>IFERROR(__xludf.DUMMYFUNCTION("""COMPUTED_VALUE"""),"https://techcombank.com/thong-tin/blog/uu-dai-mo-the-tin-dung")</f>
        <v>https://techcombank.com/thong-tin/blog/uu-dai-mo-the-tin-dung</v>
      </c>
      <c r="BW34" s="17" t="str">
        <f>IFERROR(__xludf.DUMMYFUNCTION("""COMPUTED_VALUE"""),"hủy thẻ tín dụng")</f>
        <v>hủy thẻ tín dụng</v>
      </c>
      <c r="BX34" s="21" t="str">
        <f>IFERROR(__xludf.DUMMYFUNCTION("""COMPUTED_VALUE"""),"https://techcombank.com/thong-tin/blog/the-tin-dung-co-chuyen-khoan-duoc-khong")</f>
        <v>https://techcombank.com/thong-tin/blog/the-tin-dung-co-chuyen-khoan-duoc-khong</v>
      </c>
      <c r="BY34" s="17" t="str">
        <f>IFERROR(__xludf.DUMMYFUNCTION("""COMPUTED_VALUE"""),"cách hủy thẻ tín dụng")</f>
        <v>cách hủy thẻ tín dụng</v>
      </c>
      <c r="BZ34" s="21" t="str">
        <f>IFERROR(__xludf.DUMMYFUNCTION("""COMPUTED_VALUE"""),"https://techcombank.com/thong-tin/blog/the-tin-dung-techcombank-visa-eco")</f>
        <v>https://techcombank.com/thong-tin/blog/the-tin-dung-techcombank-visa-eco</v>
      </c>
      <c r="CA34" s="17" t="str">
        <f>IFERROR(__xludf.DUMMYFUNCTION("""COMPUTED_VALUE"""),"hủy thẻ tín dụng")</f>
        <v>hủy thẻ tín dụng</v>
      </c>
      <c r="CB34" s="21" t="str">
        <f>IFERROR(__xludf.DUMMYFUNCTION("""COMPUTED_VALUE"""),"https://techcombank.com/thong-tin/blog/mo-the-tin-dung-han-muc-cao")</f>
        <v>https://techcombank.com/thong-tin/blog/mo-the-tin-dung-han-muc-cao</v>
      </c>
      <c r="CC34" s="17" t="str">
        <f>IFERROR(__xludf.DUMMYFUNCTION("""COMPUTED_VALUE"""),"cách hủy thẻ tín dụng")</f>
        <v>cách hủy thẻ tín dụng</v>
      </c>
      <c r="CD34" s="21" t="str">
        <f>IFERROR(__xludf.DUMMYFUNCTION("""COMPUTED_VALUE"""),"https://techcombank.com/thong-tin/blog/uu-dai-the-tin-dung")</f>
        <v>https://techcombank.com/thong-tin/blog/uu-dai-the-tin-dung</v>
      </c>
      <c r="CE34" s="17" t="str">
        <f>IFERROR(__xludf.DUMMYFUNCTION("""COMPUTED_VALUE"""),"hủy thẻ tín dụng")</f>
        <v>hủy thẻ tín dụng</v>
      </c>
      <c r="CF34" s="21" t="str">
        <f>IFERROR(__xludf.DUMMYFUNCTION("""COMPUTED_VALUE"""),"https://techcombank.com/thong-tin/blog/3d-secure")</f>
        <v>https://techcombank.com/thong-tin/blog/3d-secure</v>
      </c>
      <c r="CG34" s="17" t="str">
        <f>IFERROR(__xludf.DUMMYFUNCTION("""COMPUTED_VALUE"""),"cách hủy thẻ tín dụng")</f>
        <v>cách hủy thẻ tín dụng</v>
      </c>
      <c r="CH34" s="21" t="str">
        <f>IFERROR(__xludf.DUMMYFUNCTION("""COMPUTED_VALUE"""),"https://techcombank.com/thong-tin/blog/lai-suat-the-tin-dung")</f>
        <v>https://techcombank.com/thong-tin/blog/lai-suat-the-tin-dung</v>
      </c>
      <c r="CI34" s="17" t="str">
        <f>IFERROR(__xludf.DUMMYFUNCTION("""COMPUTED_VALUE"""),"hủy thẻ tín dụng")</f>
        <v>hủy thẻ tín dụng</v>
      </c>
      <c r="CJ34" s="21" t="str">
        <f>IFERROR(__xludf.DUMMYFUNCTION("""COMPUTED_VALUE"""),"https://techcombank.com/thong-tin/blog/mo-the-tin-dung-co-loi-ich-gi")</f>
        <v>https://techcombank.com/thong-tin/blog/mo-the-tin-dung-co-loi-ich-gi</v>
      </c>
      <c r="CK34" s="17" t="str">
        <f>IFERROR(__xludf.DUMMYFUNCTION("""COMPUTED_VALUE"""),"cách hủy thẻ tín dụng")</f>
        <v>cách hủy thẻ tín dụng</v>
      </c>
      <c r="CL34" s="21" t="str">
        <f>IFERROR(__xludf.DUMMYFUNCTION("""COMPUTED_VALUE"""),"https://techcombank.com/thong-tin/blog/the-tin-dung-ao")</f>
        <v>https://techcombank.com/thong-tin/blog/the-tin-dung-ao</v>
      </c>
      <c r="CM34" s="17" t="str">
        <f>IFERROR(__xludf.DUMMYFUNCTION("""COMPUTED_VALUE"""),"hủy thẻ tín dụng")</f>
        <v>hủy thẻ tín dụng</v>
      </c>
      <c r="CN34" s="21" t="str">
        <f>IFERROR(__xludf.DUMMYFUNCTION("""COMPUTED_VALUE"""),"https://techcombank.com/thong-tin/blog/thanh-toan-toi-thieu-the-tin-dung")</f>
        <v>https://techcombank.com/thong-tin/blog/thanh-toan-toi-thieu-the-tin-dung</v>
      </c>
      <c r="CO34" s="17" t="str">
        <f>IFERROR(__xludf.DUMMYFUNCTION("""COMPUTED_VALUE"""),"cách hủy thẻ tín dụng")</f>
        <v>cách hủy thẻ tín dụng</v>
      </c>
      <c r="CP34" s="21" t="str">
        <f>IFERROR(__xludf.DUMMYFUNCTION("""COMPUTED_VALUE"""),"https://techcombank.com/thong-tin/blog/tra-gop-shopee")</f>
        <v>https://techcombank.com/thong-tin/blog/tra-gop-shopee</v>
      </c>
      <c r="CQ34" s="17" t="str">
        <f>IFERROR(__xludf.DUMMYFUNCTION("""COMPUTED_VALUE"""),"hủy thẻ tín dụng")</f>
        <v>hủy thẻ tín dụng</v>
      </c>
      <c r="CR34" s="21" t="str">
        <f>IFERROR(__xludf.DUMMYFUNCTION("""COMPUTED_VALUE"""),"https://techcombank.com/thong-tin/blog/thanh-toan-tien-dien-bang-the-tin-dung")</f>
        <v>https://techcombank.com/thong-tin/blog/thanh-toan-tien-dien-bang-the-tin-dung</v>
      </c>
      <c r="CS34" s="17" t="str">
        <f>IFERROR(__xludf.DUMMYFUNCTION("""COMPUTED_VALUE"""),"cách hủy thẻ tín dụng")</f>
        <v>cách hủy thẻ tín dụng</v>
      </c>
      <c r="CT34" s="21" t="str">
        <f>IFERROR(__xludf.DUMMYFUNCTION("""COMPUTED_VALUE"""),"https://techcombank.com/thong-tin/blog/thanh-toan-tra-gop-qua-the-tin-dung")</f>
        <v>https://techcombank.com/thong-tin/blog/thanh-toan-tra-gop-qua-the-tin-dung</v>
      </c>
      <c r="CU34" s="17" t="str">
        <f>IFERROR(__xludf.DUMMYFUNCTION("""COMPUTED_VALUE"""),"hủy thẻ tín dụng")</f>
        <v>hủy thẻ tín dụng</v>
      </c>
      <c r="CV34" s="21" t="str">
        <f>IFERROR(__xludf.DUMMYFUNCTION("""COMPUTED_VALUE"""),"https://techcombank.com/thong-tin/blog/tra-gop-lazada")</f>
        <v>https://techcombank.com/thong-tin/blog/tra-gop-lazada</v>
      </c>
      <c r="CW34" s="17" t="str">
        <f>IFERROR(__xludf.DUMMYFUNCTION("""COMPUTED_VALUE"""),"cách hủy thẻ tín dụng")</f>
        <v>cách hủy thẻ tín dụng</v>
      </c>
      <c r="CX34" s="21" t="str">
        <f>IFERROR(__xludf.DUMMYFUNCTION("""COMPUTED_VALUE"""),"https://techcombank.com/thong-tin/blog/lam-the-tin-dung")</f>
        <v>https://techcombank.com/thong-tin/blog/lam-the-tin-dung</v>
      </c>
      <c r="CY34" s="17" t="str">
        <f>IFERROR(__xludf.DUMMYFUNCTION("""COMPUTED_VALUE"""),"hủy thẻ tín dụng")</f>
        <v>hủy thẻ tín dụng</v>
      </c>
      <c r="CZ34" s="21" t="str">
        <f>IFERROR(__xludf.DUMMYFUNCTION("""COMPUTED_VALUE"""),"https://techcombank.com/thong-tin/blog/the-tin-dung-co-ma-pin-khong")</f>
        <v>https://techcombank.com/thong-tin/blog/the-tin-dung-co-ma-pin-khong</v>
      </c>
      <c r="DA34" s="17" t="str">
        <f>IFERROR(__xludf.DUMMYFUNCTION("""COMPUTED_VALUE"""),"cách hủy thẻ tín dụng")</f>
        <v>cách hủy thẻ tín dụng</v>
      </c>
      <c r="DB34" s="21" t="str">
        <f>IFERROR(__xludf.DUMMYFUNCTION("""COMPUTED_VALUE"""),"https://techcombank.com/thong-tin/blog/cic-la-gi")</f>
        <v>https://techcombank.com/thong-tin/blog/cic-la-gi</v>
      </c>
      <c r="DC34" s="17" t="str">
        <f>IFERROR(__xludf.DUMMYFUNCTION("""COMPUTED_VALUE"""),"hủy thẻ tín dụng")</f>
        <v>hủy thẻ tín dụng</v>
      </c>
      <c r="DD34" s="21" t="str">
        <f>IFERROR(__xludf.DUMMYFUNCTION("""COMPUTED_VALUE"""),"https://techcombank.com/thong-tin/blog/sao-ke-the-tin-dung-la-gi")</f>
        <v>https://techcombank.com/thong-tin/blog/sao-ke-the-tin-dung-la-gi</v>
      </c>
      <c r="DE34" s="17" t="str">
        <f>IFERROR(__xludf.DUMMYFUNCTION("""COMPUTED_VALUE"""),"cách hủy thẻ tín dụng")</f>
        <v>cách hủy thẻ tín dụng</v>
      </c>
      <c r="DF34" s="21" t="str">
        <f>IFERROR(__xludf.DUMMYFUNCTION("""COMPUTED_VALUE"""),"https://techcombank.com/thong-tin/blog/the-tin-dung-noi-dia")</f>
        <v>https://techcombank.com/thong-tin/blog/the-tin-dung-noi-dia</v>
      </c>
      <c r="DG34" s="17" t="str">
        <f>IFERROR(__xludf.DUMMYFUNCTION("""COMPUTED_VALUE"""),"hủy thẻ tín dụng")</f>
        <v>hủy thẻ tín dụng</v>
      </c>
      <c r="DH34" s="21" t="str">
        <f>IFERROR(__xludf.DUMMYFUNCTION("""COMPUTED_VALUE"""),"https://techcombank.com/thong-tin/blog/lam-ho-so-tra-gop-dien-thoai")</f>
        <v>https://techcombank.com/thong-tin/blog/lam-ho-so-tra-gop-dien-thoai</v>
      </c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7"/>
      <c r="FU34" s="17"/>
      <c r="FV34" s="17"/>
      <c r="FW34" s="17"/>
      <c r="FX34" s="17"/>
      <c r="FY34" s="17"/>
      <c r="FZ34" s="17"/>
      <c r="GA34" s="17"/>
      <c r="GB34" s="17"/>
      <c r="GC34" s="17"/>
      <c r="GD34" s="17"/>
      <c r="GE34" s="17"/>
      <c r="GF34" s="17"/>
      <c r="GG34" s="17"/>
      <c r="GH34" s="17"/>
      <c r="GI34" s="17"/>
      <c r="GJ34" s="17"/>
      <c r="GK34" s="17"/>
      <c r="GL34" s="17"/>
      <c r="GM34" s="17"/>
      <c r="GN34" s="17"/>
      <c r="GO34" s="17"/>
      <c r="GP34" s="17"/>
      <c r="GQ34" s="17"/>
      <c r="GR34" s="17"/>
      <c r="GS34" s="17"/>
      <c r="GT34" s="17"/>
      <c r="GU34" s="17"/>
      <c r="GV34" s="17"/>
      <c r="GW34" s="17"/>
      <c r="GX34" s="17"/>
      <c r="GY34" s="17"/>
      <c r="GZ34" s="17"/>
      <c r="HA34" s="17"/>
      <c r="HB34" s="17"/>
      <c r="HC34" s="17"/>
      <c r="HD34" s="17"/>
      <c r="HE34" s="17"/>
      <c r="HF34" s="17"/>
      <c r="HG34" s="17"/>
      <c r="HH34" s="17"/>
      <c r="HI34" s="17"/>
      <c r="HJ34" s="17"/>
      <c r="HK34" s="17"/>
      <c r="HL34" s="17"/>
      <c r="HM34" s="17"/>
      <c r="HN34" s="17"/>
      <c r="HO34" s="17"/>
      <c r="HP34" s="17"/>
      <c r="HQ34" s="17"/>
      <c r="HR34" s="17"/>
      <c r="HS34" s="17"/>
      <c r="HT34" s="17"/>
      <c r="HU34" s="17"/>
      <c r="HV34" s="17"/>
      <c r="HW34" s="17"/>
      <c r="HX34" s="17"/>
      <c r="HY34" s="17"/>
      <c r="HZ34" s="17"/>
      <c r="IA34" s="17"/>
      <c r="IB34" s="17"/>
      <c r="IC34" s="17"/>
      <c r="ID34" s="17"/>
      <c r="IE34" s="17"/>
      <c r="IF34" s="17"/>
      <c r="IG34" s="17"/>
      <c r="IH34" s="17"/>
      <c r="II34" s="17"/>
      <c r="IJ34" s="17"/>
      <c r="IK34" s="17"/>
      <c r="IL34" s="17"/>
      <c r="IM34" s="17"/>
      <c r="IN34" s="17"/>
      <c r="IO34" s="17"/>
      <c r="IP34" s="17"/>
      <c r="IQ34" s="17"/>
      <c r="IR34" s="17"/>
      <c r="IS34" s="17"/>
      <c r="IT34" s="17"/>
      <c r="IU34" s="17"/>
      <c r="IV34" s="17"/>
      <c r="IW34" s="17"/>
      <c r="IX34" s="17"/>
      <c r="IY34" s="17"/>
      <c r="IZ34" s="17"/>
      <c r="JA34" s="17"/>
      <c r="JB34" s="17"/>
      <c r="JC34" s="17"/>
      <c r="JD34" s="17"/>
      <c r="JE34" s="17"/>
      <c r="JF34" s="17"/>
      <c r="JG34" s="17"/>
      <c r="JH34" s="17"/>
      <c r="JI34" s="17"/>
      <c r="JJ34" s="17"/>
      <c r="JK34" s="17"/>
      <c r="JL34" s="17"/>
      <c r="JM34" s="17"/>
      <c r="JN34" s="17"/>
      <c r="JO34" s="17"/>
      <c r="JP34" s="17"/>
      <c r="JQ34" s="17"/>
      <c r="JR34" s="17"/>
      <c r="JS34" s="17"/>
      <c r="JT34" s="17"/>
      <c r="JU34" s="17"/>
      <c r="JV34" s="17"/>
      <c r="JW34" s="17"/>
      <c r="JX34" s="17"/>
      <c r="JY34" s="17"/>
      <c r="JZ34" s="17"/>
      <c r="KA34" s="17"/>
      <c r="KB34" s="17"/>
      <c r="KC34" s="17"/>
      <c r="KD34" s="17"/>
      <c r="KE34" s="17"/>
      <c r="KF34" s="17"/>
      <c r="KG34" s="17"/>
      <c r="KH34" s="17"/>
      <c r="KI34" s="17"/>
      <c r="KJ34" s="17"/>
      <c r="KK34" s="17"/>
      <c r="KL34" s="17"/>
      <c r="KM34" s="17"/>
      <c r="KN34" s="17"/>
      <c r="KO34" s="17"/>
      <c r="KP34" s="17"/>
      <c r="KQ34" s="17"/>
      <c r="KR34" s="17"/>
      <c r="KS34" s="17"/>
      <c r="KT34" s="17"/>
      <c r="KU34" s="17"/>
      <c r="KV34" s="17"/>
      <c r="KW34" s="17"/>
      <c r="KX34" s="17"/>
      <c r="KY34" s="17"/>
      <c r="KZ34" s="17"/>
      <c r="LA34" s="17"/>
      <c r="LB34" s="17"/>
      <c r="LC34" s="17"/>
      <c r="LD34" s="17"/>
      <c r="LE34" s="17"/>
      <c r="LF34" s="17"/>
      <c r="LG34" s="17"/>
      <c r="LH34" s="17"/>
      <c r="LI34" s="17"/>
      <c r="LJ34" s="17"/>
      <c r="LK34" s="17"/>
      <c r="LL34" s="17"/>
      <c r="LM34" s="17"/>
      <c r="LN34" s="17"/>
      <c r="LO34" s="17"/>
      <c r="LP34" s="17"/>
      <c r="LQ34" s="17"/>
      <c r="LR34" s="17"/>
      <c r="LS34" s="17"/>
      <c r="LT34" s="17"/>
      <c r="LU34" s="17"/>
      <c r="LV34" s="17"/>
      <c r="LW34" s="17"/>
      <c r="LX34" s="17"/>
      <c r="LY34" s="17"/>
      <c r="LZ34" s="17"/>
      <c r="MA34" s="17"/>
      <c r="MB34" s="17"/>
      <c r="MC34" s="17"/>
      <c r="MD34" s="17"/>
      <c r="ME34" s="17"/>
      <c r="MF34" s="17"/>
      <c r="MG34" s="17"/>
      <c r="MH34" s="17"/>
      <c r="MI34" s="17"/>
      <c r="MJ34" s="17"/>
      <c r="MK34" s="17"/>
      <c r="ML34" s="17"/>
      <c r="MM34" s="17"/>
      <c r="MN34" s="17"/>
      <c r="MO34" s="17"/>
      <c r="MP34" s="17"/>
      <c r="MQ34" s="17"/>
      <c r="MR34" s="17"/>
      <c r="MS34" s="17"/>
      <c r="MT34" s="17"/>
      <c r="MU34" s="17"/>
      <c r="MV34" s="17"/>
      <c r="MW34" s="17"/>
      <c r="MX34" s="17"/>
      <c r="MY34" s="17"/>
      <c r="MZ34" s="17"/>
      <c r="NA34" s="17"/>
      <c r="NB34" s="17"/>
      <c r="NC34" s="17"/>
      <c r="ND34" s="17"/>
      <c r="NE34" s="17"/>
      <c r="NF34" s="17"/>
      <c r="NG34" s="17"/>
      <c r="NH34" s="17"/>
      <c r="NI34" s="17"/>
      <c r="NJ34" s="17"/>
      <c r="NK34" s="17"/>
      <c r="NL34" s="17"/>
      <c r="NM34" s="17"/>
      <c r="NN34" s="17"/>
      <c r="NO34" s="17"/>
      <c r="NP34" s="17"/>
      <c r="NQ34" s="17"/>
      <c r="NR34" s="17"/>
      <c r="NS34" s="17"/>
      <c r="NT34" s="17"/>
      <c r="NU34" s="17"/>
      <c r="NV34" s="17"/>
      <c r="NW34" s="17"/>
      <c r="NX34" s="17"/>
      <c r="NY34" s="17"/>
      <c r="NZ34" s="17"/>
      <c r="OA34" s="17"/>
      <c r="OB34" s="17"/>
      <c r="OC34" s="17"/>
      <c r="OD34" s="17"/>
      <c r="OE34" s="17"/>
      <c r="OF34" s="17"/>
      <c r="OG34" s="17"/>
      <c r="OH34" s="17"/>
      <c r="OI34" s="17"/>
      <c r="OJ34" s="17"/>
      <c r="OK34" s="17"/>
      <c r="OL34" s="17"/>
      <c r="OM34" s="17"/>
      <c r="ON34" s="17"/>
      <c r="OO34" s="17"/>
      <c r="OP34" s="17"/>
      <c r="OQ34" s="17"/>
      <c r="OR34" s="17"/>
      <c r="OS34" s="17"/>
      <c r="OT34" s="17"/>
      <c r="OU34" s="17"/>
      <c r="OV34" s="17"/>
    </row>
    <row r="35" ht="18.0" customHeight="1">
      <c r="A35" s="16">
        <v>34.0</v>
      </c>
      <c r="B35" s="17" t="s">
        <v>1268</v>
      </c>
      <c r="C35" s="18" t="s">
        <v>1372</v>
      </c>
      <c r="D35" s="17" t="s">
        <v>548</v>
      </c>
      <c r="E35" s="16">
        <v>30.0</v>
      </c>
      <c r="F35" s="16">
        <f>COUNTIF('Tổng hợp 75 trang đích'!$B$2:$B$3400,$D35)</f>
        <v>30</v>
      </c>
      <c r="G35" s="16">
        <f>COUNTIFS('Tổng hợp 75 trang đích'!$B$2:$B$3400,$D35,'Tổng hợp 75 trang đích'!$K$2:$K$3400,"PHÙ HỢP CAO")</f>
        <v>1</v>
      </c>
      <c r="H35" s="16">
        <f>COUNTIFS('Tổng hợp 75 trang đích'!$B$2:$B$3400,$D35,'Tổng hợp 75 trang đích'!$K$2:$K$3400,"CÓ THỂ ĐI")</f>
        <v>4</v>
      </c>
      <c r="I35" s="16">
        <f>COUNTIFS('Tổng hợp 75 trang đích'!$B$2:$B$3400,$D35,'Tổng hợp 75 trang đích'!$K$2:$K$3400,"CẦN SOÁT")</f>
        <v>25</v>
      </c>
      <c r="J35" s="19" t="s">
        <v>555</v>
      </c>
      <c r="K35" s="19" t="b">
        <v>0</v>
      </c>
      <c r="L35" s="20" t="s">
        <v>333</v>
      </c>
      <c r="M35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đích'!$B$2:$B$3400=$D35),3,TR"&amp;"UE),1,2)),"""")"),"xếp hạng tín dụng")</f>
        <v>xếp hạng tín dụng</v>
      </c>
      <c r="N35" s="21" t="str">
        <f>IFERROR(__xludf.DUMMYFUNCTION("""COMPUTED_VALUE"""),"https://techcombank.com/thong-tin/blog/lich-su-tin-dung")</f>
        <v>https://techcombank.com/thong-tin/blog/lich-su-tin-dung</v>
      </c>
      <c r="O35" s="17" t="str">
        <f>IFERROR(__xludf.DUMMYFUNCTION("""COMPUTED_VALUE"""),"xếp hạng tín dụng cá nhân")</f>
        <v>xếp hạng tín dụng cá nhân</v>
      </c>
      <c r="P35" s="21" t="str">
        <f>IFERROR(__xludf.DUMMYFUNCTION("""COMPUTED_VALUE"""),"https://techcombank.com/thong-tin/blog/dieu-kien-vay-von-ngan-hang")</f>
        <v>https://techcombank.com/thong-tin/blog/dieu-kien-vay-von-ngan-hang</v>
      </c>
      <c r="Q35" s="17" t="str">
        <f>IFERROR(__xludf.DUMMYFUNCTION("""COMPUTED_VALUE"""),"xếp hạng tín dụng")</f>
        <v>xếp hạng tín dụng</v>
      </c>
      <c r="R35" s="21" t="str">
        <f>IFERROR(__xludf.DUMMYFUNCTION("""COMPUTED_VALUE"""),"https://techcombank.com/thong-tin/blog/no-xau-co-vay-the-chap-duoc-khong")</f>
        <v>https://techcombank.com/thong-tin/blog/no-xau-co-vay-the-chap-duoc-khong</v>
      </c>
      <c r="S35" s="17" t="str">
        <f>IFERROR(__xludf.DUMMYFUNCTION("""COMPUTED_VALUE"""),"xếp hạng tín dụng cá nhân")</f>
        <v>xếp hạng tín dụng cá nhân</v>
      </c>
      <c r="T35" s="21" t="str">
        <f>IFERROR(__xludf.DUMMYFUNCTION("""COMPUTED_VALUE"""),"https://techcombank.com/thong-tin/blog/tin-dung-la-gi")</f>
        <v>https://techcombank.com/thong-tin/blog/tin-dung-la-gi</v>
      </c>
      <c r="U35" s="17" t="str">
        <f>IFERROR(__xludf.DUMMYFUNCTION("""COMPUTED_VALUE"""),"xếp hạng tín dụng")</f>
        <v>xếp hạng tín dụng</v>
      </c>
      <c r="V35" s="21" t="str">
        <f>IFERROR(__xludf.DUMMYFUNCTION("""COMPUTED_VALUE"""),"https://techcombank.com/thong-tin/blog/du-no-tin-dung-la-gi")</f>
        <v>https://techcombank.com/thong-tin/blog/du-no-tin-dung-la-gi</v>
      </c>
      <c r="W35" s="17" t="str">
        <f>IFERROR(__xludf.DUMMYFUNCTION("""COMPUTED_VALUE"""),"xếp hạng tín dụng cá nhân")</f>
        <v>xếp hạng tín dụng cá nhân</v>
      </c>
      <c r="X35" s="21" t="str">
        <f>IFERROR(__xludf.DUMMYFUNCTION("""COMPUTED_VALUE"""),"https://techcombank.com/thong-tin/blog/vay-san-xuat-kinh-doanh")</f>
        <v>https://techcombank.com/thong-tin/blog/vay-san-xuat-kinh-doanh</v>
      </c>
      <c r="Y35" s="17" t="str">
        <f>IFERROR(__xludf.DUMMYFUNCTION("""COMPUTED_VALUE"""),"xếp hạng tín dụng")</f>
        <v>xếp hạng tín dụng</v>
      </c>
      <c r="Z35" s="21" t="str">
        <f>IFERROR(__xludf.DUMMYFUNCTION("""COMPUTED_VALUE"""),"https://techcombank.com/thong-tin/blog/vay-the-chap-khong-tra-duoc")</f>
        <v>https://techcombank.com/thong-tin/blog/vay-the-chap-khong-tra-duoc</v>
      </c>
      <c r="AA35" s="17" t="str">
        <f>IFERROR(__xludf.DUMMYFUNCTION("""COMPUTED_VALUE"""),"xếp hạng tín dụng cá nhân")</f>
        <v>xếp hạng tín dụng cá nhân</v>
      </c>
      <c r="AB35" s="21" t="str">
        <f>IFERROR(__xludf.DUMMYFUNCTION("""COMPUTED_VALUE"""),"https://techcombank.com/thong-tin/blog/no-chu-y-la-gi")</f>
        <v>https://techcombank.com/thong-tin/blog/no-chu-y-la-gi</v>
      </c>
      <c r="AC35" s="17" t="str">
        <f>IFERROR(__xludf.DUMMYFUNCTION("""COMPUTED_VALUE"""),"xếp hạng tín dụng")</f>
        <v>xếp hạng tín dụng</v>
      </c>
      <c r="AD35" s="21" t="str">
        <f>IFERROR(__xludf.DUMMYFUNCTION("""COMPUTED_VALUE"""),"https://techcombank.com/thong-tin/blog/diem-tin-dung")</f>
        <v>https://techcombank.com/thong-tin/blog/diem-tin-dung</v>
      </c>
      <c r="AE35" s="17" t="str">
        <f>IFERROR(__xludf.DUMMYFUNCTION("""COMPUTED_VALUE"""),"xếp hạng tín dụng cá nhân")</f>
        <v>xếp hạng tín dụng cá nhân</v>
      </c>
      <c r="AF35" s="21" t="str">
        <f>IFERROR(__xludf.DUMMYFUNCTION("""COMPUTED_VALUE"""),"https://techcombank.com/thong-tin/blog/kiem-tra-no-xau")</f>
        <v>https://techcombank.com/thong-tin/blog/kiem-tra-no-xau</v>
      </c>
      <c r="AG35" s="17" t="str">
        <f>IFERROR(__xludf.DUMMYFUNCTION("""COMPUTED_VALUE"""),"xếp hạng tín dụng")</f>
        <v>xếp hạng tín dụng</v>
      </c>
      <c r="AH35" s="21" t="str">
        <f>IFERROR(__xludf.DUMMYFUNCTION("""COMPUTED_VALUE"""),"https://techcombank.com/thong-tin/blog/no-xau")</f>
        <v>https://techcombank.com/thong-tin/blog/no-xau</v>
      </c>
      <c r="AI35" s="17" t="str">
        <f>IFERROR(__xludf.DUMMYFUNCTION("""COMPUTED_VALUE"""),"xếp hạng tín dụng cá nhân")</f>
        <v>xếp hạng tín dụng cá nhân</v>
      </c>
      <c r="AJ35" s="21" t="str">
        <f>IFERROR(__xludf.DUMMYFUNCTION("""COMPUTED_VALUE"""),"https://techcombank.com/thong-tin/blog/no-xau-la-gi")</f>
        <v>https://techcombank.com/thong-tin/blog/no-xau-la-gi</v>
      </c>
      <c r="AK35" s="17" t="str">
        <f>IFERROR(__xludf.DUMMYFUNCTION("""COMPUTED_VALUE"""),"xếp hạng tín dụng")</f>
        <v>xếp hạng tín dụng</v>
      </c>
      <c r="AL35" s="21" t="str">
        <f>IFERROR(__xludf.DUMMYFUNCTION("""COMPUTED_VALUE"""),"https://techcombank.com/thong-tin/blog/han-muc-thau-chi-la-gi")</f>
        <v>https://techcombank.com/thong-tin/blog/han-muc-thau-chi-la-gi</v>
      </c>
      <c r="AM35" s="17" t="str">
        <f>IFERROR(__xludf.DUMMYFUNCTION("""COMPUTED_VALUE"""),"xếp hạng tín dụng cá nhân")</f>
        <v>xếp hạng tín dụng cá nhân</v>
      </c>
      <c r="AN35" s="21" t="str">
        <f>IFERROR(__xludf.DUMMYFUNCTION("""COMPUTED_VALUE"""),"https://techcombank.com/thong-tin/blog/qua-han-thanh-toan-the-tin-dung-1-ngay")</f>
        <v>https://techcombank.com/thong-tin/blog/qua-han-thanh-toan-the-tin-dung-1-ngay</v>
      </c>
      <c r="AO35" s="17" t="str">
        <f>IFERROR(__xludf.DUMMYFUNCTION("""COMPUTED_VALUE"""),"xếp hạng tín dụng")</f>
        <v>xếp hạng tín dụng</v>
      </c>
      <c r="AP35" s="21" t="str">
        <f>IFERROR(__xludf.DUMMYFUNCTION("""COMPUTED_VALUE"""),"https://techcombank.com/thong-tin/blog/cho-vay-tieu-dung-la-gi")</f>
        <v>https://techcombank.com/thong-tin/blog/cho-vay-tieu-dung-la-gi</v>
      </c>
      <c r="AQ35" s="17" t="str">
        <f>IFERROR(__xludf.DUMMYFUNCTION("""COMPUTED_VALUE"""),"xếp hạng tín dụng cá nhân")</f>
        <v>xếp hạng tín dụng cá nhân</v>
      </c>
      <c r="AR35" s="21" t="str">
        <f>IFERROR(__xludf.DUMMYFUNCTION("""COMPUTED_VALUE"""),"https://techcombank.com/thong-tin/blog/no-xau-co-lam-the-visa-duoc-khong")</f>
        <v>https://techcombank.com/thong-tin/blog/no-xau-co-lam-the-visa-duoc-khong</v>
      </c>
      <c r="AS35" s="17" t="str">
        <f>IFERROR(__xludf.DUMMYFUNCTION("""COMPUTED_VALUE"""),"xếp hạng tín dụng")</f>
        <v>xếp hạng tín dụng</v>
      </c>
      <c r="AT35" s="21" t="str">
        <f>IFERROR(__xludf.DUMMYFUNCTION("""COMPUTED_VALUE"""),"https://techcombank.com/thong-tin/blog/thu-tuc-vay-ngan-hang-mua-nha")</f>
        <v>https://techcombank.com/thong-tin/blog/thu-tuc-vay-ngan-hang-mua-nha</v>
      </c>
      <c r="AU35" s="17" t="str">
        <f>IFERROR(__xludf.DUMMYFUNCTION("""COMPUTED_VALUE"""),"xếp hạng tín dụng cá nhân")</f>
        <v>xếp hạng tín dụng cá nhân</v>
      </c>
      <c r="AV35" s="21" t="str">
        <f>IFERROR(__xludf.DUMMYFUNCTION("""COMPUTED_VALUE"""),"https://techcombank.com/thong-tin/blog/thanh-toan-toi-thieu-the-tin-dung")</f>
        <v>https://techcombank.com/thong-tin/blog/thanh-toan-toi-thieu-the-tin-dung</v>
      </c>
      <c r="AW35" s="17" t="str">
        <f>IFERROR(__xludf.DUMMYFUNCTION("""COMPUTED_VALUE"""),"xếp hạng tín dụng")</f>
        <v>xếp hạng tín dụng</v>
      </c>
      <c r="AX35" s="21" t="str">
        <f>IFERROR(__xludf.DUMMYFUNCTION("""COMPUTED_VALUE"""),"https://techcombank.com/thong-tin/blog/spaylater")</f>
        <v>https://techcombank.com/thong-tin/blog/spaylater</v>
      </c>
      <c r="AY35" s="17" t="str">
        <f>IFERROR(__xludf.DUMMYFUNCTION("""COMPUTED_VALUE"""),"xếp hạng tín dụng cá nhân")</f>
        <v>xếp hạng tín dụng cá nhân</v>
      </c>
      <c r="AZ35" s="21" t="str">
        <f>IFERROR(__xludf.DUMMYFUNCTION("""COMPUTED_VALUE"""),"https://techcombank.com/thong-tin/blog/lai-suat-vay-the-chap-so-do")</f>
        <v>https://techcombank.com/thong-tin/blog/lai-suat-vay-the-chap-so-do</v>
      </c>
      <c r="BA35" s="17" t="str">
        <f>IFERROR(__xludf.DUMMYFUNCTION("""COMPUTED_VALUE"""),"xếp hạng tín dụng")</f>
        <v>xếp hạng tín dụng</v>
      </c>
      <c r="BB35" s="21" t="str">
        <f>IFERROR(__xludf.DUMMYFUNCTION("""COMPUTED_VALUE"""),"https://techcombank.com/thong-tin/blog/no-nhom-3")</f>
        <v>https://techcombank.com/thong-tin/blog/no-nhom-3</v>
      </c>
      <c r="BC35" s="17" t="str">
        <f>IFERROR(__xludf.DUMMYFUNCTION("""COMPUTED_VALUE"""),"xếp hạng tín dụng cá nhân")</f>
        <v>xếp hạng tín dụng cá nhân</v>
      </c>
      <c r="BD35" s="21" t="str">
        <f>IFERROR(__xludf.DUMMYFUNCTION("""COMPUTED_VALUE"""),"https://techcombank.com/thong-tin/blog/cic-la-gi")</f>
        <v>https://techcombank.com/thong-tin/blog/cic-la-gi</v>
      </c>
      <c r="BE35" s="17" t="str">
        <f>IFERROR(__xludf.DUMMYFUNCTION("""COMPUTED_VALUE"""),"xếp hạng tín dụng")</f>
        <v>xếp hạng tín dụng</v>
      </c>
      <c r="BF35" s="21" t="str">
        <f>IFERROR(__xludf.DUMMYFUNCTION("""COMPUTED_VALUE"""),"https://techcombank.com/thong-tin/blog/the-tin-dung-bi-khoa")</f>
        <v>https://techcombank.com/thong-tin/blog/the-tin-dung-bi-khoa</v>
      </c>
      <c r="BG35" s="17" t="str">
        <f>IFERROR(__xludf.DUMMYFUNCTION("""COMPUTED_VALUE"""),"xếp hạng tín dụng cá nhân")</f>
        <v>xếp hạng tín dụng cá nhân</v>
      </c>
      <c r="BH35" s="21" t="str">
        <f>IFERROR(__xludf.DUMMYFUNCTION("""COMPUTED_VALUE"""),"https://techcombank.com/thong-tin/blog/no-xau-mo-the-tin-dung-duoc-khong")</f>
        <v>https://techcombank.com/thong-tin/blog/no-xau-mo-the-tin-dung-duoc-khong</v>
      </c>
      <c r="BI35" s="17" t="str">
        <f>IFERROR(__xludf.DUMMYFUNCTION("""COMPUTED_VALUE"""),"xếp hạng tín dụng")</f>
        <v>xếp hạng tín dụng</v>
      </c>
      <c r="BJ35" s="21" t="str">
        <f>IFERROR(__xludf.DUMMYFUNCTION("""COMPUTED_VALUE"""),"https://techcombank.com/thong-tin/blog/no-the-tin-dung-qua-han")</f>
        <v>https://techcombank.com/thong-tin/blog/no-the-tin-dung-qua-han</v>
      </c>
      <c r="BK35" s="17" t="str">
        <f>IFERROR(__xludf.DUMMYFUNCTION("""COMPUTED_VALUE"""),"xếp hạng tín dụng cá nhân")</f>
        <v>xếp hạng tín dụng cá nhân</v>
      </c>
      <c r="BL35" s="21" t="str">
        <f>IFERROR(__xludf.DUMMYFUNCTION("""COMPUTED_VALUE"""),"https://techcombank.com/thong-tin/blog/luu-y-khi-su-dung-the-tin-dung")</f>
        <v>https://techcombank.com/thong-tin/blog/luu-y-khi-su-dung-the-tin-dung</v>
      </c>
      <c r="BM35" s="17" t="str">
        <f>IFERROR(__xludf.DUMMYFUNCTION("""COMPUTED_VALUE"""),"xếp hạng tín dụng")</f>
        <v>xếp hạng tín dụng</v>
      </c>
      <c r="BN35" s="21" t="str">
        <f>IFERROR(__xludf.DUMMYFUNCTION("""COMPUTED_VALUE"""),"https://techcombank.com/thong-tin/blog/han-muc-vay-the-chap-so-do")</f>
        <v>https://techcombank.com/thong-tin/blog/han-muc-vay-the-chap-so-do</v>
      </c>
      <c r="BO35" s="17" t="str">
        <f>IFERROR(__xludf.DUMMYFUNCTION("""COMPUTED_VALUE"""),"xếp hạng tín dụng cá nhân")</f>
        <v>xếp hạng tín dụng cá nhân</v>
      </c>
      <c r="BP35" s="21" t="str">
        <f>IFERROR(__xludf.DUMMYFUNCTION("""COMPUTED_VALUE"""),"https://techcombank.com/thong-tin/blog/vay-tin-chap-no-xau")</f>
        <v>https://techcombank.com/thong-tin/blog/vay-tin-chap-no-xau</v>
      </c>
      <c r="BQ35" s="17" t="str">
        <f>IFERROR(__xludf.DUMMYFUNCTION("""COMPUTED_VALUE"""),"xếp hạng tín dụng")</f>
        <v>xếp hạng tín dụng</v>
      </c>
      <c r="BR35" s="21" t="str">
        <f>IFERROR(__xludf.DUMMYFUNCTION("""COMPUTED_VALUE"""),"https://techcombank.com/thong-tin/blog/mua-nha-tra-gop-dua-truoc-100-trieu")</f>
        <v>https://techcombank.com/thong-tin/blog/mua-nha-tra-gop-dua-truoc-100-trieu</v>
      </c>
      <c r="BS35" s="17" t="str">
        <f>IFERROR(__xludf.DUMMYFUNCTION("""COMPUTED_VALUE"""),"xếp hạng tín dụng cá nhân")</f>
        <v>xếp hạng tín dụng cá nhân</v>
      </c>
      <c r="BT35" s="21" t="str">
        <f>IFERROR(__xludf.DUMMYFUNCTION("""COMPUTED_VALUE"""),"https://techcombank.com/thong-tin/blog/dieu-kien-vay-the-chap")</f>
        <v>https://techcombank.com/thong-tin/blog/dieu-kien-vay-the-chap</v>
      </c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7"/>
      <c r="FU35" s="17"/>
      <c r="FV35" s="17"/>
      <c r="FW35" s="17"/>
      <c r="FX35" s="17"/>
      <c r="FY35" s="17"/>
      <c r="FZ35" s="17"/>
      <c r="GA35" s="17"/>
      <c r="GB35" s="17"/>
      <c r="GC35" s="17"/>
      <c r="GD35" s="17"/>
      <c r="GE35" s="17"/>
      <c r="GF35" s="17"/>
      <c r="GG35" s="17"/>
      <c r="GH35" s="17"/>
      <c r="GI35" s="17"/>
      <c r="GJ35" s="17"/>
      <c r="GK35" s="17"/>
      <c r="GL35" s="17"/>
      <c r="GM35" s="17"/>
      <c r="GN35" s="17"/>
      <c r="GO35" s="17"/>
      <c r="GP35" s="17"/>
      <c r="GQ35" s="17"/>
      <c r="GR35" s="17"/>
      <c r="GS35" s="17"/>
      <c r="GT35" s="17"/>
      <c r="GU35" s="17"/>
      <c r="GV35" s="17"/>
      <c r="GW35" s="17"/>
      <c r="GX35" s="17"/>
      <c r="GY35" s="17"/>
      <c r="GZ35" s="17"/>
      <c r="HA35" s="17"/>
      <c r="HB35" s="17"/>
      <c r="HC35" s="17"/>
      <c r="HD35" s="17"/>
      <c r="HE35" s="17"/>
      <c r="HF35" s="17"/>
      <c r="HG35" s="17"/>
      <c r="HH35" s="17"/>
      <c r="HI35" s="17"/>
      <c r="HJ35" s="17"/>
      <c r="HK35" s="17"/>
      <c r="HL35" s="17"/>
      <c r="HM35" s="17"/>
      <c r="HN35" s="17"/>
      <c r="HO35" s="17"/>
      <c r="HP35" s="17"/>
      <c r="HQ35" s="17"/>
      <c r="HR35" s="17"/>
      <c r="HS35" s="17"/>
      <c r="HT35" s="17"/>
      <c r="HU35" s="17"/>
      <c r="HV35" s="17"/>
      <c r="HW35" s="17"/>
      <c r="HX35" s="17"/>
      <c r="HY35" s="17"/>
      <c r="HZ35" s="17"/>
      <c r="IA35" s="17"/>
      <c r="IB35" s="17"/>
      <c r="IC35" s="17"/>
      <c r="ID35" s="17"/>
      <c r="IE35" s="17"/>
      <c r="IF35" s="17"/>
      <c r="IG35" s="17"/>
      <c r="IH35" s="17"/>
      <c r="II35" s="17"/>
      <c r="IJ35" s="17"/>
      <c r="IK35" s="17"/>
      <c r="IL35" s="17"/>
      <c r="IM35" s="17"/>
      <c r="IN35" s="17"/>
      <c r="IO35" s="17"/>
      <c r="IP35" s="17"/>
      <c r="IQ35" s="17"/>
      <c r="IR35" s="17"/>
      <c r="IS35" s="17"/>
      <c r="IT35" s="17"/>
      <c r="IU35" s="17"/>
      <c r="IV35" s="17"/>
      <c r="IW35" s="17"/>
      <c r="IX35" s="17"/>
      <c r="IY35" s="17"/>
      <c r="IZ35" s="17"/>
      <c r="JA35" s="17"/>
      <c r="JB35" s="17"/>
      <c r="JC35" s="17"/>
      <c r="JD35" s="17"/>
      <c r="JE35" s="17"/>
      <c r="JF35" s="17"/>
      <c r="JG35" s="17"/>
      <c r="JH35" s="17"/>
      <c r="JI35" s="17"/>
      <c r="JJ35" s="17"/>
      <c r="JK35" s="17"/>
      <c r="JL35" s="17"/>
      <c r="JM35" s="17"/>
      <c r="JN35" s="17"/>
      <c r="JO35" s="17"/>
      <c r="JP35" s="17"/>
      <c r="JQ35" s="17"/>
      <c r="JR35" s="17"/>
      <c r="JS35" s="17"/>
      <c r="JT35" s="17"/>
      <c r="JU35" s="17"/>
      <c r="JV35" s="17"/>
      <c r="JW35" s="17"/>
      <c r="JX35" s="17"/>
      <c r="JY35" s="17"/>
      <c r="JZ35" s="17"/>
      <c r="KA35" s="17"/>
      <c r="KB35" s="17"/>
      <c r="KC35" s="17"/>
      <c r="KD35" s="17"/>
      <c r="KE35" s="17"/>
      <c r="KF35" s="17"/>
      <c r="KG35" s="17"/>
      <c r="KH35" s="17"/>
      <c r="KI35" s="17"/>
      <c r="KJ35" s="17"/>
      <c r="KK35" s="17"/>
      <c r="KL35" s="17"/>
      <c r="KM35" s="17"/>
      <c r="KN35" s="17"/>
      <c r="KO35" s="17"/>
      <c r="KP35" s="17"/>
      <c r="KQ35" s="17"/>
      <c r="KR35" s="17"/>
      <c r="KS35" s="17"/>
      <c r="KT35" s="17"/>
      <c r="KU35" s="17"/>
      <c r="KV35" s="17"/>
      <c r="KW35" s="17"/>
      <c r="KX35" s="17"/>
      <c r="KY35" s="17"/>
      <c r="KZ35" s="17"/>
      <c r="LA35" s="17"/>
      <c r="LB35" s="17"/>
      <c r="LC35" s="17"/>
      <c r="LD35" s="17"/>
      <c r="LE35" s="17"/>
      <c r="LF35" s="17"/>
      <c r="LG35" s="17"/>
      <c r="LH35" s="17"/>
      <c r="LI35" s="17"/>
      <c r="LJ35" s="17"/>
      <c r="LK35" s="17"/>
      <c r="LL35" s="17"/>
      <c r="LM35" s="17"/>
      <c r="LN35" s="17"/>
      <c r="LO35" s="17"/>
      <c r="LP35" s="17"/>
      <c r="LQ35" s="17"/>
      <c r="LR35" s="17"/>
      <c r="LS35" s="17"/>
      <c r="LT35" s="17"/>
      <c r="LU35" s="17"/>
      <c r="LV35" s="17"/>
      <c r="LW35" s="17"/>
      <c r="LX35" s="17"/>
      <c r="LY35" s="17"/>
      <c r="LZ35" s="17"/>
      <c r="MA35" s="17"/>
      <c r="MB35" s="17"/>
      <c r="MC35" s="17"/>
      <c r="MD35" s="17"/>
      <c r="ME35" s="17"/>
      <c r="MF35" s="17"/>
      <c r="MG35" s="17"/>
      <c r="MH35" s="17"/>
      <c r="MI35" s="17"/>
      <c r="MJ35" s="17"/>
      <c r="MK35" s="17"/>
      <c r="ML35" s="17"/>
      <c r="MM35" s="17"/>
      <c r="MN35" s="17"/>
      <c r="MO35" s="17"/>
      <c r="MP35" s="17"/>
      <c r="MQ35" s="17"/>
      <c r="MR35" s="17"/>
      <c r="MS35" s="17"/>
      <c r="MT35" s="17"/>
      <c r="MU35" s="17"/>
      <c r="MV35" s="17"/>
      <c r="MW35" s="17"/>
      <c r="MX35" s="17"/>
      <c r="MY35" s="17"/>
      <c r="MZ35" s="17"/>
      <c r="NA35" s="17"/>
      <c r="NB35" s="17"/>
      <c r="NC35" s="17"/>
      <c r="ND35" s="17"/>
      <c r="NE35" s="17"/>
      <c r="NF35" s="17"/>
      <c r="NG35" s="17"/>
      <c r="NH35" s="17"/>
      <c r="NI35" s="17"/>
      <c r="NJ35" s="17"/>
      <c r="NK35" s="17"/>
      <c r="NL35" s="17"/>
      <c r="NM35" s="17"/>
      <c r="NN35" s="17"/>
      <c r="NO35" s="17"/>
      <c r="NP35" s="17"/>
      <c r="NQ35" s="17"/>
      <c r="NR35" s="17"/>
      <c r="NS35" s="17"/>
      <c r="NT35" s="17"/>
      <c r="NU35" s="17"/>
      <c r="NV35" s="17"/>
      <c r="NW35" s="17"/>
      <c r="NX35" s="17"/>
      <c r="NY35" s="17"/>
      <c r="NZ35" s="17"/>
      <c r="OA35" s="17"/>
      <c r="OB35" s="17"/>
      <c r="OC35" s="17"/>
      <c r="OD35" s="17"/>
      <c r="OE35" s="17"/>
      <c r="OF35" s="17"/>
      <c r="OG35" s="17"/>
      <c r="OH35" s="17"/>
      <c r="OI35" s="17"/>
      <c r="OJ35" s="17"/>
      <c r="OK35" s="17"/>
      <c r="OL35" s="17"/>
      <c r="OM35" s="17"/>
      <c r="ON35" s="17"/>
      <c r="OO35" s="17"/>
      <c r="OP35" s="17"/>
      <c r="OQ35" s="17"/>
      <c r="OR35" s="17"/>
      <c r="OS35" s="17"/>
      <c r="OT35" s="17"/>
      <c r="OU35" s="17"/>
      <c r="OV35" s="17"/>
    </row>
    <row r="36" ht="18.0" customHeight="1">
      <c r="A36" s="16">
        <v>35.0</v>
      </c>
      <c r="B36" s="17" t="s">
        <v>1268</v>
      </c>
      <c r="C36" s="18" t="s">
        <v>1383</v>
      </c>
      <c r="D36" s="17" t="s">
        <v>549</v>
      </c>
      <c r="E36" s="16">
        <v>30.0</v>
      </c>
      <c r="F36" s="16">
        <f>COUNTIF('Tổng hợp 75 trang đích'!$B$2:$B$3400,$D36)</f>
        <v>30</v>
      </c>
      <c r="G36" s="16">
        <f>COUNTIFS('Tổng hợp 75 trang đích'!$B$2:$B$3400,$D36,'Tổng hợp 75 trang đích'!$K$2:$K$3400,"PHÙ HỢP CAO")</f>
        <v>5</v>
      </c>
      <c r="H36" s="16">
        <f>COUNTIFS('Tổng hợp 75 trang đích'!$B$2:$B$3400,$D36,'Tổng hợp 75 trang đích'!$K$2:$K$3400,"CÓ THỂ ĐI")</f>
        <v>0</v>
      </c>
      <c r="I36" s="16">
        <f>COUNTIFS('Tổng hợp 75 trang đích'!$B$2:$B$3400,$D36,'Tổng hợp 75 trang đích'!$K$2:$K$3400,"CẦN SOÁT")</f>
        <v>25</v>
      </c>
      <c r="J36" s="19" t="s">
        <v>555</v>
      </c>
      <c r="K36" s="19" t="b">
        <v>0</v>
      </c>
      <c r="L36" s="20" t="s">
        <v>333</v>
      </c>
      <c r="M36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đích'!$B$2:$B$3400=$D36),3,TR"&amp;"UE),1,2)),"""")"),"cách thanh toán thẻ tín dụng")</f>
        <v>cách thanh toán thẻ tín dụng</v>
      </c>
      <c r="N36" s="21" t="str">
        <f>IFERROR(__xludf.DUMMYFUNCTION("""COMPUTED_VALUE"""),"https://techcombank.com/thong-tin/blog/thanh-toan-toi-thieu-the-tin-dung")</f>
        <v>https://techcombank.com/thong-tin/blog/thanh-toan-toi-thieu-the-tin-dung</v>
      </c>
      <c r="O36" s="17" t="str">
        <f>IFERROR(__xludf.DUMMYFUNCTION("""COMPUTED_VALUE"""),"thanh toán dư nợ thẻ tín dụng")</f>
        <v>thanh toán dư nợ thẻ tín dụng</v>
      </c>
      <c r="P36" s="21" t="str">
        <f>IFERROR(__xludf.DUMMYFUNCTION("""COMPUTED_VALUE"""),"https://techcombank.com/thong-tin/blog/qua-han-thanh-toan-the-tin-dung-1-ngay")</f>
        <v>https://techcombank.com/thong-tin/blog/qua-han-thanh-toan-the-tin-dung-1-ngay</v>
      </c>
      <c r="Q36" s="17" t="str">
        <f>IFERROR(__xludf.DUMMYFUNCTION("""COMPUTED_VALUE"""),"trả nợ thẻ tín dụng")</f>
        <v>trả nợ thẻ tín dụng</v>
      </c>
      <c r="R36" s="21" t="str">
        <f>IFERROR(__xludf.DUMMYFUNCTION("""COMPUTED_VALUE"""),"https://techcombank.com/thong-tin/blog/sao-ke-the-tin-dung-la-gi")</f>
        <v>https://techcombank.com/thong-tin/blog/sao-ke-the-tin-dung-la-gi</v>
      </c>
      <c r="S36" s="17" t="str">
        <f>IFERROR(__xludf.DUMMYFUNCTION("""COMPUTED_VALUE"""),"cách thanh toán thẻ tín dụng")</f>
        <v>cách thanh toán thẻ tín dụng</v>
      </c>
      <c r="T36" s="21" t="str">
        <f>IFERROR(__xludf.DUMMYFUNCTION("""COMPUTED_VALUE"""),"https://techcombank.com/thong-tin/blog/no-the-tin-dung-qua-han")</f>
        <v>https://techcombank.com/thong-tin/blog/no-the-tin-dung-qua-han</v>
      </c>
      <c r="U36" s="17" t="str">
        <f>IFERROR(__xludf.DUMMYFUNCTION("""COMPUTED_VALUE"""),"thanh toán dư nợ thẻ tín dụng")</f>
        <v>thanh toán dư nợ thẻ tín dụng</v>
      </c>
      <c r="V36" s="21" t="str">
        <f>IFERROR(__xludf.DUMMYFUNCTION("""COMPUTED_VALUE"""),"https://techcombank.com/thong-tin/blog/the-tin-dung-mien-lai-55-ngay")</f>
        <v>https://techcombank.com/thong-tin/blog/the-tin-dung-mien-lai-55-ngay</v>
      </c>
      <c r="W36" s="17" t="str">
        <f>IFERROR(__xludf.DUMMYFUNCTION("""COMPUTED_VALUE"""),"trả nợ thẻ tín dụng")</f>
        <v>trả nợ thẻ tín dụng</v>
      </c>
      <c r="X36" s="21" t="str">
        <f>IFERROR(__xludf.DUMMYFUNCTION("""COMPUTED_VALUE"""),"https://techcombank.com/thong-tin/blog/du-no-la-gi")</f>
        <v>https://techcombank.com/thong-tin/blog/du-no-la-gi</v>
      </c>
      <c r="Y36" s="17" t="str">
        <f>IFERROR(__xludf.DUMMYFUNCTION("""COMPUTED_VALUE"""),"cách thanh toán thẻ tín dụng")</f>
        <v>cách thanh toán thẻ tín dụng</v>
      </c>
      <c r="Z36" s="21" t="str">
        <f>IFERROR(__xludf.DUMMYFUNCTION("""COMPUTED_VALUE"""),"https://techcombank.com/thong-tin/blog/tai-khoan-doanh-nghiep-co-the-khong")</f>
        <v>https://techcombank.com/thong-tin/blog/tai-khoan-doanh-nghiep-co-the-khong</v>
      </c>
      <c r="AA36" s="17" t="str">
        <f>IFERROR(__xludf.DUMMYFUNCTION("""COMPUTED_VALUE"""),"thanh toán dư nợ thẻ tín dụng")</f>
        <v>thanh toán dư nợ thẻ tín dụng</v>
      </c>
      <c r="AB36" s="21" t="str">
        <f>IFERROR(__xludf.DUMMYFUNCTION("""COMPUTED_VALUE"""),"https://techcombank.com/thong-tin/blog/mm-yy-la-gi")</f>
        <v>https://techcombank.com/thong-tin/blog/mm-yy-la-gi</v>
      </c>
      <c r="AC36" s="17" t="str">
        <f>IFERROR(__xludf.DUMMYFUNCTION("""COMPUTED_VALUE"""),"trả nợ thẻ tín dụng")</f>
        <v>trả nợ thẻ tín dụng</v>
      </c>
      <c r="AD36" s="21" t="str">
        <f>IFERROR(__xludf.DUMMYFUNCTION("""COMPUTED_VALUE"""),"https://techcombank.com/thong-tin/blog/sao-ke-tai-khoan-doanh-nghiep")</f>
        <v>https://techcombank.com/thong-tin/blog/sao-ke-tai-khoan-doanh-nghiep</v>
      </c>
      <c r="AE36" s="17" t="str">
        <f>IFERROR(__xludf.DUMMYFUNCTION("""COMPUTED_VALUE"""),"cách thanh toán thẻ tín dụng")</f>
        <v>cách thanh toán thẻ tín dụng</v>
      </c>
      <c r="AF36" s="21" t="str">
        <f>IFERROR(__xludf.DUMMYFUNCTION("""COMPUTED_VALUE"""),"https://techcombank.com/thong-tin/blog/uu-dai-the-tin-dung-techcombank-signature")</f>
        <v>https://techcombank.com/thong-tin/blog/uu-dai-the-tin-dung-techcombank-signature</v>
      </c>
      <c r="AG36" s="17" t="str">
        <f>IFERROR(__xludf.DUMMYFUNCTION("""COMPUTED_VALUE"""),"thanh toán dư nợ thẻ tín dụng")</f>
        <v>thanh toán dư nợ thẻ tín dụng</v>
      </c>
      <c r="AH36" s="21" t="str">
        <f>IFERROR(__xludf.DUMMYFUNCTION("""COMPUTED_VALUE"""),"https://techcombank.com/thong-tin/blog/cac-loai-the-tin-dung")</f>
        <v>https://techcombank.com/thong-tin/blog/cac-loai-the-tin-dung</v>
      </c>
      <c r="AI36" s="17" t="str">
        <f>IFERROR(__xludf.DUMMYFUNCTION("""COMPUTED_VALUE"""),"trả nợ thẻ tín dụng")</f>
        <v>trả nợ thẻ tín dụng</v>
      </c>
      <c r="AJ36" s="21" t="str">
        <f>IFERROR(__xludf.DUMMYFUNCTION("""COMPUTED_VALUE"""),"https://techcombank.com/thong-tin/blog/the-tin-dung-mien-phi-thuong-nien")</f>
        <v>https://techcombank.com/thong-tin/blog/the-tin-dung-mien-phi-thuong-nien</v>
      </c>
      <c r="AK36" s="17" t="str">
        <f>IFERROR(__xludf.DUMMYFUNCTION("""COMPUTED_VALUE"""),"cách thanh toán thẻ tín dụng")</f>
        <v>cách thanh toán thẻ tín dụng</v>
      </c>
      <c r="AL36" s="21" t="str">
        <f>IFERROR(__xludf.DUMMYFUNCTION("""COMPUTED_VALUE"""),"https://techcombank.com/thong-tin/blog/uu-dai-mua-ve-may-bay-bang-the-tin-dung")</f>
        <v>https://techcombank.com/thong-tin/blog/uu-dai-mua-ve-may-bay-bang-the-tin-dung</v>
      </c>
      <c r="AM36" s="17" t="str">
        <f>IFERROR(__xludf.DUMMYFUNCTION("""COMPUTED_VALUE"""),"thanh toán dư nợ thẻ tín dụng")</f>
        <v>thanh toán dư nợ thẻ tín dụng</v>
      </c>
      <c r="AN36" s="21" t="str">
        <f>IFERROR(__xludf.DUMMYFUNCTION("""COMPUTED_VALUE"""),"https://techcombank.com/thong-tin/blog/mat-the-tin-dung-co-bi-mat-tien-khong")</f>
        <v>https://techcombank.com/thong-tin/blog/mat-the-tin-dung-co-bi-mat-tien-khong</v>
      </c>
      <c r="AO36" s="17" t="str">
        <f>IFERROR(__xludf.DUMMYFUNCTION("""COMPUTED_VALUE"""),"trả nợ thẻ tín dụng")</f>
        <v>trả nợ thẻ tín dụng</v>
      </c>
      <c r="AP36" s="21" t="str">
        <f>IFERROR(__xludf.DUMMYFUNCTION("""COMPUTED_VALUE"""),"https://techcombank.com/thong-tin/blog/so-cvv-la-gi")</f>
        <v>https://techcombank.com/thong-tin/blog/so-cvv-la-gi</v>
      </c>
      <c r="AQ36" s="17" t="str">
        <f>IFERROR(__xludf.DUMMYFUNCTION("""COMPUTED_VALUE"""),"cách thanh toán thẻ tín dụng")</f>
        <v>cách thanh toán thẻ tín dụng</v>
      </c>
      <c r="AR36" s="21" t="str">
        <f>IFERROR(__xludf.DUMMYFUNCTION("""COMPUTED_VALUE"""),"https://techcombank.com/thong-tin/blog/the-tin-dung-nao-nhieu-uu-dai-nhat")</f>
        <v>https://techcombank.com/thong-tin/blog/the-tin-dung-nao-nhieu-uu-dai-nhat</v>
      </c>
      <c r="AS36" s="17" t="str">
        <f>IFERROR(__xludf.DUMMYFUNCTION("""COMPUTED_VALUE"""),"thanh toán dư nợ thẻ tín dụng")</f>
        <v>thanh toán dư nợ thẻ tín dụng</v>
      </c>
      <c r="AT36" s="21" t="str">
        <f>IFERROR(__xludf.DUMMYFUNCTION("""COMPUTED_VALUE"""),"https://techcombank.com/thong-tin/blog/cach-lam-the-ngan-hang-chay-quang-cao-facebook")</f>
        <v>https://techcombank.com/thong-tin/blog/cach-lam-the-ngan-hang-chay-quang-cao-facebook</v>
      </c>
      <c r="AU36" s="17" t="str">
        <f>IFERROR(__xludf.DUMMYFUNCTION("""COMPUTED_VALUE"""),"trả nợ thẻ tín dụng")</f>
        <v>trả nợ thẻ tín dụng</v>
      </c>
      <c r="AV36" s="21" t="str">
        <f>IFERROR(__xludf.DUMMYFUNCTION("""COMPUTED_VALUE"""),"https://techcombank.com/thong-tin/blog/mua-iphone-17")</f>
        <v>https://techcombank.com/thong-tin/blog/mua-iphone-17</v>
      </c>
      <c r="AW36" s="17" t="str">
        <f>IFERROR(__xludf.DUMMYFUNCTION("""COMPUTED_VALUE"""),"cách thanh toán thẻ tín dụng")</f>
        <v>cách thanh toán thẻ tín dụng</v>
      </c>
      <c r="AX36" s="21" t="str">
        <f>IFERROR(__xludf.DUMMYFUNCTION("""COMPUTED_VALUE"""),"https://techcombank.com/thong-tin/blog/the-visa-co-can-mat-khau-khong")</f>
        <v>https://techcombank.com/thong-tin/blog/the-visa-co-can-mat-khau-khong</v>
      </c>
      <c r="AY36" s="17" t="str">
        <f>IFERROR(__xludf.DUMMYFUNCTION("""COMPUTED_VALUE"""),"thanh toán dư nợ thẻ tín dụng")</f>
        <v>thanh toán dư nợ thẻ tín dụng</v>
      </c>
      <c r="AZ36" s="21" t="str">
        <f>IFERROR(__xludf.DUMMYFUNCTION("""COMPUTED_VALUE"""),"https://techcombank.com/thong-tin/blog/mua-truoc-tra-sau")</f>
        <v>https://techcombank.com/thong-tin/blog/mua-truoc-tra-sau</v>
      </c>
      <c r="BA36" s="17" t="str">
        <f>IFERROR(__xludf.DUMMYFUNCTION("""COMPUTED_VALUE"""),"trả nợ thẻ tín dụng")</f>
        <v>trả nợ thẻ tín dụng</v>
      </c>
      <c r="BB36" s="21" t="str">
        <f>IFERROR(__xludf.DUMMYFUNCTION("""COMPUTED_VALUE"""),"https://techcombank.com/thong-tin/blog/tra-cuu-han-muc-the-tin-dung")</f>
        <v>https://techcombank.com/thong-tin/blog/tra-cuu-han-muc-the-tin-dung</v>
      </c>
      <c r="BC36" s="17" t="str">
        <f>IFERROR(__xludf.DUMMYFUNCTION("""COMPUTED_VALUE"""),"cách thanh toán thẻ tín dụng")</f>
        <v>cách thanh toán thẻ tín dụng</v>
      </c>
      <c r="BD36" s="21" t="str">
        <f>IFERROR(__xludf.DUMMYFUNCTION("""COMPUTED_VALUE"""),"https://techcombank.com/thong-tin/blog/the-ghi-no-va-the-tin-dung")</f>
        <v>https://techcombank.com/thong-tin/blog/the-ghi-no-va-the-tin-dung</v>
      </c>
      <c r="BE36" s="17" t="str">
        <f>IFERROR(__xludf.DUMMYFUNCTION("""COMPUTED_VALUE"""),"thanh toán dư nợ thẻ tín dụng")</f>
        <v>thanh toán dư nợ thẻ tín dụng</v>
      </c>
      <c r="BF36" s="21" t="str">
        <f>IFERROR(__xludf.DUMMYFUNCTION("""COMPUTED_VALUE"""),"https://techcombank.com/thong-tin/blog/the-tin-dung-het-han")</f>
        <v>https://techcombank.com/thong-tin/blog/the-tin-dung-het-han</v>
      </c>
      <c r="BG36" s="17" t="str">
        <f>IFERROR(__xludf.DUMMYFUNCTION("""COMPUTED_VALUE"""),"trả nợ thẻ tín dụng")</f>
        <v>trả nợ thẻ tín dụng</v>
      </c>
      <c r="BH36" s="21" t="str">
        <f>IFERROR(__xludf.DUMMYFUNCTION("""COMPUTED_VALUE"""),"https://techcombank.com/thong-tin/blog/cach-huy-the-tin-dung")</f>
        <v>https://techcombank.com/thong-tin/blog/cach-huy-the-tin-dung</v>
      </c>
      <c r="BI36" s="17" t="str">
        <f>IFERROR(__xludf.DUMMYFUNCTION("""COMPUTED_VALUE"""),"cách thanh toán thẻ tín dụng")</f>
        <v>cách thanh toán thẻ tín dụng</v>
      </c>
      <c r="BJ36" s="21" t="str">
        <f>IFERROR(__xludf.DUMMYFUNCTION("""COMPUTED_VALUE"""),"https://techcombank.com/thong-tin/blog/co-nen-dung-the-tin-dung-khong")</f>
        <v>https://techcombank.com/thong-tin/blog/co-nen-dung-the-tin-dung-khong</v>
      </c>
      <c r="BK36" s="17" t="str">
        <f>IFERROR(__xludf.DUMMYFUNCTION("""COMPUTED_VALUE"""),"thanh toán dư nợ thẻ tín dụng")</f>
        <v>thanh toán dư nợ thẻ tín dụng</v>
      </c>
      <c r="BL36" s="21" t="str">
        <f>IFERROR(__xludf.DUMMYFUNCTION("""COMPUTED_VALUE"""),"https://techcombank.com/thong-tin/blog/ma-buu-chinh-the-tin-dung")</f>
        <v>https://techcombank.com/thong-tin/blog/ma-buu-chinh-the-tin-dung</v>
      </c>
      <c r="BM36" s="17" t="str">
        <f>IFERROR(__xludf.DUMMYFUNCTION("""COMPUTED_VALUE"""),"trả nợ thẻ tín dụng")</f>
        <v>trả nợ thẻ tín dụng</v>
      </c>
      <c r="BN36" s="21" t="str">
        <f>IFERROR(__xludf.DUMMYFUNCTION("""COMPUTED_VALUE"""),"https://techcombank.com/thong-tin/blog/the-tin-dung-quoc-te")</f>
        <v>https://techcombank.com/thong-tin/blog/the-tin-dung-quoc-te</v>
      </c>
      <c r="BO36" s="17" t="str">
        <f>IFERROR(__xludf.DUMMYFUNCTION("""COMPUTED_VALUE"""),"cách thanh toán thẻ tín dụng")</f>
        <v>cách thanh toán thẻ tín dụng</v>
      </c>
      <c r="BP36" s="21" t="str">
        <f>IFERROR(__xludf.DUMMYFUNCTION("""COMPUTED_VALUE"""),"https://techcombank.com/thong-tin/blog/phi-rut-tien-mat-the-tin-dung")</f>
        <v>https://techcombank.com/thong-tin/blog/phi-rut-tien-mat-the-tin-dung</v>
      </c>
      <c r="BQ36" s="17" t="str">
        <f>IFERROR(__xludf.DUMMYFUNCTION("""COMPUTED_VALUE"""),"thanh toán dư nợ thẻ tín dụng")</f>
        <v>thanh toán dư nợ thẻ tín dụng</v>
      </c>
      <c r="BR36" s="21" t="str">
        <f>IFERROR(__xludf.DUMMYFUNCTION("""COMPUTED_VALUE"""),"https://techcombank.com/thong-tin/blog/vay-ngan-hang-1-ty-moi-thang-tra-bao-nhieu")</f>
        <v>https://techcombank.com/thong-tin/blog/vay-ngan-hang-1-ty-moi-thang-tra-bao-nhieu</v>
      </c>
      <c r="BS36" s="17" t="str">
        <f>IFERROR(__xludf.DUMMYFUNCTION("""COMPUTED_VALUE"""),"trả nợ thẻ tín dụng")</f>
        <v>trả nợ thẻ tín dụng</v>
      </c>
      <c r="BT36" s="21" t="str">
        <f>IFERROR(__xludf.DUMMYFUNCTION("""COMPUTED_VALUE"""),"https://techcombank.com/thong-tin/blog/the-tin-dung-den")</f>
        <v>https://techcombank.com/thong-tin/blog/the-tin-dung-den</v>
      </c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  <c r="FS36" s="17"/>
      <c r="FT36" s="17"/>
      <c r="FU36" s="17"/>
      <c r="FV36" s="17"/>
      <c r="FW36" s="17"/>
      <c r="FX36" s="17"/>
      <c r="FY36" s="17"/>
      <c r="FZ36" s="17"/>
      <c r="GA36" s="17"/>
      <c r="GB36" s="17"/>
      <c r="GC36" s="17"/>
      <c r="GD36" s="17"/>
      <c r="GE36" s="17"/>
      <c r="GF36" s="17"/>
      <c r="GG36" s="17"/>
      <c r="GH36" s="17"/>
      <c r="GI36" s="17"/>
      <c r="GJ36" s="17"/>
      <c r="GK36" s="17"/>
      <c r="GL36" s="17"/>
      <c r="GM36" s="17"/>
      <c r="GN36" s="17"/>
      <c r="GO36" s="17"/>
      <c r="GP36" s="17"/>
      <c r="GQ36" s="17"/>
      <c r="GR36" s="17"/>
      <c r="GS36" s="17"/>
      <c r="GT36" s="17"/>
      <c r="GU36" s="17"/>
      <c r="GV36" s="17"/>
      <c r="GW36" s="17"/>
      <c r="GX36" s="17"/>
      <c r="GY36" s="17"/>
      <c r="GZ36" s="17"/>
      <c r="HA36" s="17"/>
      <c r="HB36" s="17"/>
      <c r="HC36" s="17"/>
      <c r="HD36" s="17"/>
      <c r="HE36" s="17"/>
      <c r="HF36" s="17"/>
      <c r="HG36" s="17"/>
      <c r="HH36" s="17"/>
      <c r="HI36" s="17"/>
      <c r="HJ36" s="17"/>
      <c r="HK36" s="17"/>
      <c r="HL36" s="17"/>
      <c r="HM36" s="17"/>
      <c r="HN36" s="17"/>
      <c r="HO36" s="17"/>
      <c r="HP36" s="17"/>
      <c r="HQ36" s="17"/>
      <c r="HR36" s="17"/>
      <c r="HS36" s="17"/>
      <c r="HT36" s="17"/>
      <c r="HU36" s="17"/>
      <c r="HV36" s="17"/>
      <c r="HW36" s="17"/>
      <c r="HX36" s="17"/>
      <c r="HY36" s="17"/>
      <c r="HZ36" s="17"/>
      <c r="IA36" s="17"/>
      <c r="IB36" s="17"/>
      <c r="IC36" s="17"/>
      <c r="ID36" s="17"/>
      <c r="IE36" s="17"/>
      <c r="IF36" s="17"/>
      <c r="IG36" s="17"/>
      <c r="IH36" s="17"/>
      <c r="II36" s="17"/>
      <c r="IJ36" s="17"/>
      <c r="IK36" s="17"/>
      <c r="IL36" s="17"/>
      <c r="IM36" s="17"/>
      <c r="IN36" s="17"/>
      <c r="IO36" s="17"/>
      <c r="IP36" s="17"/>
      <c r="IQ36" s="17"/>
      <c r="IR36" s="17"/>
      <c r="IS36" s="17"/>
      <c r="IT36" s="17"/>
      <c r="IU36" s="17"/>
      <c r="IV36" s="17"/>
      <c r="IW36" s="17"/>
      <c r="IX36" s="17"/>
      <c r="IY36" s="17"/>
      <c r="IZ36" s="17"/>
      <c r="JA36" s="17"/>
      <c r="JB36" s="17"/>
      <c r="JC36" s="17"/>
      <c r="JD36" s="17"/>
      <c r="JE36" s="17"/>
      <c r="JF36" s="17"/>
      <c r="JG36" s="17"/>
      <c r="JH36" s="17"/>
      <c r="JI36" s="17"/>
      <c r="JJ36" s="17"/>
      <c r="JK36" s="17"/>
      <c r="JL36" s="17"/>
      <c r="JM36" s="17"/>
      <c r="JN36" s="17"/>
      <c r="JO36" s="17"/>
      <c r="JP36" s="17"/>
      <c r="JQ36" s="17"/>
      <c r="JR36" s="17"/>
      <c r="JS36" s="17"/>
      <c r="JT36" s="17"/>
      <c r="JU36" s="17"/>
      <c r="JV36" s="17"/>
      <c r="JW36" s="17"/>
      <c r="JX36" s="17"/>
      <c r="JY36" s="17"/>
      <c r="JZ36" s="17"/>
      <c r="KA36" s="17"/>
      <c r="KB36" s="17"/>
      <c r="KC36" s="17"/>
      <c r="KD36" s="17"/>
      <c r="KE36" s="17"/>
      <c r="KF36" s="17"/>
      <c r="KG36" s="17"/>
      <c r="KH36" s="17"/>
      <c r="KI36" s="17"/>
      <c r="KJ36" s="17"/>
      <c r="KK36" s="17"/>
      <c r="KL36" s="17"/>
      <c r="KM36" s="17"/>
      <c r="KN36" s="17"/>
      <c r="KO36" s="17"/>
      <c r="KP36" s="17"/>
      <c r="KQ36" s="17"/>
      <c r="KR36" s="17"/>
      <c r="KS36" s="17"/>
      <c r="KT36" s="17"/>
      <c r="KU36" s="17"/>
      <c r="KV36" s="17"/>
      <c r="KW36" s="17"/>
      <c r="KX36" s="17"/>
      <c r="KY36" s="17"/>
      <c r="KZ36" s="17"/>
      <c r="LA36" s="17"/>
      <c r="LB36" s="17"/>
      <c r="LC36" s="17"/>
      <c r="LD36" s="17"/>
      <c r="LE36" s="17"/>
      <c r="LF36" s="17"/>
      <c r="LG36" s="17"/>
      <c r="LH36" s="17"/>
      <c r="LI36" s="17"/>
      <c r="LJ36" s="17"/>
      <c r="LK36" s="17"/>
      <c r="LL36" s="17"/>
      <c r="LM36" s="17"/>
      <c r="LN36" s="17"/>
      <c r="LO36" s="17"/>
      <c r="LP36" s="17"/>
      <c r="LQ36" s="17"/>
      <c r="LR36" s="17"/>
      <c r="LS36" s="17"/>
      <c r="LT36" s="17"/>
      <c r="LU36" s="17"/>
      <c r="LV36" s="17"/>
      <c r="LW36" s="17"/>
      <c r="LX36" s="17"/>
      <c r="LY36" s="17"/>
      <c r="LZ36" s="17"/>
      <c r="MA36" s="17"/>
      <c r="MB36" s="17"/>
      <c r="MC36" s="17"/>
      <c r="MD36" s="17"/>
      <c r="ME36" s="17"/>
      <c r="MF36" s="17"/>
      <c r="MG36" s="17"/>
      <c r="MH36" s="17"/>
      <c r="MI36" s="17"/>
      <c r="MJ36" s="17"/>
      <c r="MK36" s="17"/>
      <c r="ML36" s="17"/>
      <c r="MM36" s="17"/>
      <c r="MN36" s="17"/>
      <c r="MO36" s="17"/>
      <c r="MP36" s="17"/>
      <c r="MQ36" s="17"/>
      <c r="MR36" s="17"/>
      <c r="MS36" s="17"/>
      <c r="MT36" s="17"/>
      <c r="MU36" s="17"/>
      <c r="MV36" s="17"/>
      <c r="MW36" s="17"/>
      <c r="MX36" s="17"/>
      <c r="MY36" s="17"/>
      <c r="MZ36" s="17"/>
      <c r="NA36" s="17"/>
      <c r="NB36" s="17"/>
      <c r="NC36" s="17"/>
      <c r="ND36" s="17"/>
      <c r="NE36" s="17"/>
      <c r="NF36" s="17"/>
      <c r="NG36" s="17"/>
      <c r="NH36" s="17"/>
      <c r="NI36" s="17"/>
      <c r="NJ36" s="17"/>
      <c r="NK36" s="17"/>
      <c r="NL36" s="17"/>
      <c r="NM36" s="17"/>
      <c r="NN36" s="17"/>
      <c r="NO36" s="17"/>
      <c r="NP36" s="17"/>
      <c r="NQ36" s="17"/>
      <c r="NR36" s="17"/>
      <c r="NS36" s="17"/>
      <c r="NT36" s="17"/>
      <c r="NU36" s="17"/>
      <c r="NV36" s="17"/>
      <c r="NW36" s="17"/>
      <c r="NX36" s="17"/>
      <c r="NY36" s="17"/>
      <c r="NZ36" s="17"/>
      <c r="OA36" s="17"/>
      <c r="OB36" s="17"/>
      <c r="OC36" s="17"/>
      <c r="OD36" s="17"/>
      <c r="OE36" s="17"/>
      <c r="OF36" s="17"/>
      <c r="OG36" s="17"/>
      <c r="OH36" s="17"/>
      <c r="OI36" s="17"/>
      <c r="OJ36" s="17"/>
      <c r="OK36" s="17"/>
      <c r="OL36" s="17"/>
      <c r="OM36" s="17"/>
      <c r="ON36" s="17"/>
      <c r="OO36" s="17"/>
      <c r="OP36" s="17"/>
      <c r="OQ36" s="17"/>
      <c r="OR36" s="17"/>
      <c r="OS36" s="17"/>
      <c r="OT36" s="17"/>
      <c r="OU36" s="17"/>
      <c r="OV36" s="17"/>
    </row>
    <row r="37" ht="18.0" customHeight="1">
      <c r="A37" s="16">
        <v>36.0</v>
      </c>
      <c r="B37" s="17" t="s">
        <v>1397</v>
      </c>
      <c r="C37" s="18" t="s">
        <v>1402</v>
      </c>
      <c r="D37" s="17" t="s">
        <v>550</v>
      </c>
      <c r="E37" s="16">
        <v>30.0</v>
      </c>
      <c r="F37" s="16">
        <f>COUNTIF('Tổng hợp 75 trang đích'!$B$2:$B$3400,$D37)</f>
        <v>30</v>
      </c>
      <c r="G37" s="16">
        <f>COUNTIFS('Tổng hợp 75 trang đích'!$B$2:$B$3400,$D37,'Tổng hợp 75 trang đích'!$K$2:$K$3400,"PHÙ HỢP CAO")</f>
        <v>4</v>
      </c>
      <c r="H37" s="16">
        <f>COUNTIFS('Tổng hợp 75 trang đích'!$B$2:$B$3400,$D37,'Tổng hợp 75 trang đích'!$K$2:$K$3400,"CÓ THỂ ĐI")</f>
        <v>1</v>
      </c>
      <c r="I37" s="16">
        <f>COUNTIFS('Tổng hợp 75 trang đích'!$B$2:$B$3400,$D37,'Tổng hợp 75 trang đích'!$K$2:$K$3400,"CẦN SOÁT")</f>
        <v>25</v>
      </c>
      <c r="J37" s="19" t="s">
        <v>555</v>
      </c>
      <c r="K37" s="19" t="b">
        <v>0</v>
      </c>
      <c r="L37" s="20" t="s">
        <v>333</v>
      </c>
      <c r="M37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đích'!$B$2:$B$3400=$D37),3,TR"&amp;"UE),1,2)),"""")"),"chứng chỉ tiền gửi là gì")</f>
        <v>chứng chỉ tiền gửi là gì</v>
      </c>
      <c r="N37" s="21" t="str">
        <f>IFERROR(__xludf.DUMMYFUNCTION("""COMPUTED_VALUE"""),"https://techcombank.com/thong-tin/blog/chung-chi-tien-gui-khac-gi-so-tiet-kiem")</f>
        <v>https://techcombank.com/thong-tin/blog/chung-chi-tien-gui-khac-gi-so-tiet-kiem</v>
      </c>
      <c r="O37" s="17" t="str">
        <f>IFERROR(__xludf.DUMMYFUNCTION("""COMPUTED_VALUE"""),"chứng chỉ tiền gửi")</f>
        <v>chứng chỉ tiền gửi</v>
      </c>
      <c r="P37" s="21" t="str">
        <f>IFERROR(__xludf.DUMMYFUNCTION("""COMPUTED_VALUE"""),"https://techcombank.com/thong-tin/blog/chung-chi-tien-gui-co-phai-la-trai-phieu-khong")</f>
        <v>https://techcombank.com/thong-tin/blog/chung-chi-tien-gui-co-phai-la-trai-phieu-khong</v>
      </c>
      <c r="Q37" s="17" t="str">
        <f>IFERROR(__xludf.DUMMYFUNCTION("""COMPUTED_VALUE"""),"chứng chỉ tiền gửi là gì")</f>
        <v>chứng chỉ tiền gửi là gì</v>
      </c>
      <c r="R37" s="21" t="str">
        <f>IFERROR(__xludf.DUMMYFUNCTION("""COMPUTED_VALUE"""),"https://techcombank.com/thong-tin/blog/co-nen-gui-chung-chi-tien-gui")</f>
        <v>https://techcombank.com/thong-tin/blog/co-nen-gui-chung-chi-tien-gui</v>
      </c>
      <c r="S37" s="17" t="str">
        <f>IFERROR(__xludf.DUMMYFUNCTION("""COMPUTED_VALUE"""),"chứng chỉ tiền gửi")</f>
        <v>chứng chỉ tiền gửi</v>
      </c>
      <c r="T37" s="21" t="str">
        <f>IFERROR(__xludf.DUMMYFUNCTION("""COMPUTED_VALUE"""),"https://techcombank.com/thong-tin/blog/chung-chi-tien-gui-co-an-toan-khong")</f>
        <v>https://techcombank.com/thong-tin/blog/chung-chi-tien-gui-co-an-toan-khong</v>
      </c>
      <c r="U37" s="17" t="str">
        <f>IFERROR(__xludf.DUMMYFUNCTION("""COMPUTED_VALUE"""),"chứng chỉ tiền gửi là gì")</f>
        <v>chứng chỉ tiền gửi là gì</v>
      </c>
      <c r="V37" s="21" t="str">
        <f>IFERROR(__xludf.DUMMYFUNCTION("""COMPUTED_VALUE"""),"https://techcombank.com/thong-tin/blog/tien-nhan-roi-nen-lam-gi")</f>
        <v>https://techcombank.com/thong-tin/blog/tien-nhan-roi-nen-lam-gi</v>
      </c>
      <c r="W37" s="17" t="str">
        <f>IFERROR(__xludf.DUMMYFUNCTION("""COMPUTED_VALUE"""),"chứng chỉ tiền gửi")</f>
        <v>chứng chỉ tiền gửi</v>
      </c>
      <c r="X37" s="21" t="str">
        <f>IFERROR(__xludf.DUMMYFUNCTION("""COMPUTED_VALUE"""),"https://techcombank.com/thong-tin/blog/chuyen-doi-so-ho-kinh-doanh")</f>
        <v>https://techcombank.com/thong-tin/blog/chuyen-doi-so-ho-kinh-doanh</v>
      </c>
      <c r="Y37" s="17" t="str">
        <f>IFERROR(__xludf.DUMMYFUNCTION("""COMPUTED_VALUE"""),"chứng chỉ tiền gửi là gì")</f>
        <v>chứng chỉ tiền gửi là gì</v>
      </c>
      <c r="Z37" s="21" t="str">
        <f>IFERROR(__xludf.DUMMYFUNCTION("""COMPUTED_VALUE"""),"https://techcombank.com/thong-tin/blog/quy-trinh-gui-tien-tiet-kiem")</f>
        <v>https://techcombank.com/thong-tin/blog/quy-trinh-gui-tien-tiet-kiem</v>
      </c>
      <c r="AA37" s="17" t="str">
        <f>IFERROR(__xludf.DUMMYFUNCTION("""COMPUTED_VALUE"""),"chứng chỉ tiền gửi")</f>
        <v>chứng chỉ tiền gửi</v>
      </c>
      <c r="AB37" s="21" t="str">
        <f>IFERROR(__xludf.DUMMYFUNCTION("""COMPUTED_VALUE"""),"https://techcombank.com/thong-tin/blog/gui-tiet-kiem-theo-ngay")</f>
        <v>https://techcombank.com/thong-tin/blog/gui-tiet-kiem-theo-ngay</v>
      </c>
      <c r="AC37" s="17" t="str">
        <f>IFERROR(__xludf.DUMMYFUNCTION("""COMPUTED_VALUE"""),"chứng chỉ tiền gửi là gì")</f>
        <v>chứng chỉ tiền gửi là gì</v>
      </c>
      <c r="AD37" s="21" t="str">
        <f>IFERROR(__xludf.DUMMYFUNCTION("""COMPUTED_VALUE"""),"https://techcombank.com/thong-tin/blog/gui-tiet-kiem-vang")</f>
        <v>https://techcombank.com/thong-tin/blog/gui-tiet-kiem-vang</v>
      </c>
      <c r="AE37" s="17" t="str">
        <f>IFERROR(__xludf.DUMMYFUNCTION("""COMPUTED_VALUE"""),"chứng chỉ tiền gửi")</f>
        <v>chứng chỉ tiền gửi</v>
      </c>
      <c r="AF37" s="21" t="str">
        <f>IFERROR(__xludf.DUMMYFUNCTION("""COMPUTED_VALUE"""),"https://techcombank.com/thong-tin/blog/nen-gui-tiet-kiem-thong-thuong-hay-tich-luy")</f>
        <v>https://techcombank.com/thong-tin/blog/nen-gui-tiet-kiem-thong-thuong-hay-tich-luy</v>
      </c>
      <c r="AG37" s="17" t="str">
        <f>IFERROR(__xludf.DUMMYFUNCTION("""COMPUTED_VALUE"""),"chứng chỉ tiền gửi là gì")</f>
        <v>chứng chỉ tiền gửi là gì</v>
      </c>
      <c r="AH37" s="21" t="str">
        <f>IFERROR(__xludf.DUMMYFUNCTION("""COMPUTED_VALUE"""),"https://techcombank.com/thong-tin/blog/tai-sao-gui-tiet-kiem-online-lai-suat-cao-hon")</f>
        <v>https://techcombank.com/thong-tin/blog/tai-sao-gui-tiet-kiem-online-lai-suat-cao-hon</v>
      </c>
      <c r="AI37" s="17" t="str">
        <f>IFERROR(__xludf.DUMMYFUNCTION("""COMPUTED_VALUE"""),"chứng chỉ tiền gửi")</f>
        <v>chứng chỉ tiền gửi</v>
      </c>
      <c r="AJ37" s="21" t="str">
        <f>IFERROR(__xludf.DUMMYFUNCTION("""COMPUTED_VALUE"""),"https://techcombank.com/thong-tin/blog/chung-chi-tien-gui-co-duoc-bao-hiem-khong")</f>
        <v>https://techcombank.com/thong-tin/blog/chung-chi-tien-gui-co-duoc-bao-hiem-khong</v>
      </c>
      <c r="AK37" s="17" t="str">
        <f>IFERROR(__xludf.DUMMYFUNCTION("""COMPUTED_VALUE"""),"chứng chỉ tiền gửi là gì")</f>
        <v>chứng chỉ tiền gửi là gì</v>
      </c>
      <c r="AL37" s="21" t="str">
        <f>IFERROR(__xludf.DUMMYFUNCTION("""COMPUTED_VALUE"""),"https://techcombank.com/thong-tin/blog/nen-de-tien-trong-the-hay-gui-tiet-kiem")</f>
        <v>https://techcombank.com/thong-tin/blog/nen-de-tien-trong-the-hay-gui-tiet-kiem</v>
      </c>
      <c r="AM37" s="17" t="str">
        <f>IFERROR(__xludf.DUMMYFUNCTION("""COMPUTED_VALUE"""),"chứng chỉ tiền gửi")</f>
        <v>chứng chỉ tiền gửi</v>
      </c>
      <c r="AN37" s="21" t="str">
        <f>IFERROR(__xludf.DUMMYFUNCTION("""COMPUTED_VALUE"""),"https://techcombank.com/thong-tin/blog/quan-ly-tai-chinh-cho-dan-van-phong")</f>
        <v>https://techcombank.com/thong-tin/blog/quan-ly-tai-chinh-cho-dan-van-phong</v>
      </c>
      <c r="AO37" s="17" t="str">
        <f>IFERROR(__xludf.DUMMYFUNCTION("""COMPUTED_VALUE"""),"chứng chỉ tiền gửi là gì")</f>
        <v>chứng chỉ tiền gửi là gì</v>
      </c>
      <c r="AP37" s="21" t="str">
        <f>IFERROR(__xludf.DUMMYFUNCTION("""COMPUTED_VALUE"""),"https://techcombank.com/thong-tin/blog/co-nen-gui-tiet-kiem-ngan-hang")</f>
        <v>https://techcombank.com/thong-tin/blog/co-nen-gui-tiet-kiem-ngan-hang</v>
      </c>
      <c r="AQ37" s="17" t="str">
        <f>IFERROR(__xludf.DUMMYFUNCTION("""COMPUTED_VALUE"""),"chứng chỉ tiền gửi")</f>
        <v>chứng chỉ tiền gửi</v>
      </c>
      <c r="AR37" s="21" t="str">
        <f>IFERROR(__xludf.DUMMYFUNCTION("""COMPUTED_VALUE"""),"https://techcombank.com/thong-tin/blog/lai-suat-tiet-kiem")</f>
        <v>https://techcombank.com/thong-tin/blog/lai-suat-tiet-kiem</v>
      </c>
      <c r="AS37" s="17" t="str">
        <f>IFERROR(__xludf.DUMMYFUNCTION("""COMPUTED_VALUE"""),"chứng chỉ tiền gửi là gì")</f>
        <v>chứng chỉ tiền gửi là gì</v>
      </c>
      <c r="AT37" s="21" t="str">
        <f>IFERROR(__xludf.DUMMYFUNCTION("""COMPUTED_VALUE"""),"https://techcombank.com/thong-tin/blog/chung-chi-quy-va-chung-khoan")</f>
        <v>https://techcombank.com/thong-tin/blog/chung-chi-quy-va-chung-khoan</v>
      </c>
      <c r="AU37" s="17" t="str">
        <f>IFERROR(__xludf.DUMMYFUNCTION("""COMPUTED_VALUE"""),"chứng chỉ tiền gửi")</f>
        <v>chứng chỉ tiền gửi</v>
      </c>
      <c r="AV37" s="21" t="str">
        <f>IFERROR(__xludf.DUMMYFUNCTION("""COMPUTED_VALUE"""),"https://techcombank.com/thong-tin/blog/co-nen-gui-tiet-kiem-online")</f>
        <v>https://techcombank.com/thong-tin/blog/co-nen-gui-tiet-kiem-online</v>
      </c>
      <c r="AW37" s="17" t="str">
        <f>IFERROR(__xludf.DUMMYFUNCTION("""COMPUTED_VALUE"""),"chứng chỉ tiền gửi là gì")</f>
        <v>chứng chỉ tiền gửi là gì</v>
      </c>
      <c r="AX37" s="21" t="str">
        <f>IFERROR(__xludf.DUMMYFUNCTION("""COMPUTED_VALUE"""),"https://techcombank.com/thong-tin/blog/gui-tiet-kiem-ngan-hang-van-la-lua-chon-an-toan-trong-thoi-ky-kinh-te-con-nhieu-bien-dong")</f>
        <v>https://techcombank.com/thong-tin/blog/gui-tiet-kiem-ngan-hang-van-la-lua-chon-an-toan-trong-thoi-ky-kinh-te-con-nhieu-bien-dong</v>
      </c>
      <c r="AY37" s="17" t="str">
        <f>IFERROR(__xludf.DUMMYFUNCTION("""COMPUTED_VALUE"""),"chứng chỉ tiền gửi")</f>
        <v>chứng chỉ tiền gửi</v>
      </c>
      <c r="AZ37" s="21" t="str">
        <f>IFERROR(__xludf.DUMMYFUNCTION("""COMPUTED_VALUE"""),"https://techcombank.com/thong-tin/blog/cach-gui-tiet-kiem-online")</f>
        <v>https://techcombank.com/thong-tin/blog/cach-gui-tiet-kiem-online</v>
      </c>
      <c r="BA37" s="17" t="str">
        <f>IFERROR(__xludf.DUMMYFUNCTION("""COMPUTED_VALUE"""),"chứng chỉ tiền gửi là gì")</f>
        <v>chứng chỉ tiền gửi là gì</v>
      </c>
      <c r="BB37" s="21" t="str">
        <f>IFERROR(__xludf.DUMMYFUNCTION("""COMPUTED_VALUE"""),"https://techcombank.com/thong-tin/blog/gui-tien-ngan-hang-co-an-toan-khong")</f>
        <v>https://techcombank.com/thong-tin/blog/gui-tien-ngan-hang-co-an-toan-khong</v>
      </c>
      <c r="BC37" s="17" t="str">
        <f>IFERROR(__xludf.DUMMYFUNCTION("""COMPUTED_VALUE"""),"chứng chỉ tiền gửi")</f>
        <v>chứng chỉ tiền gửi</v>
      </c>
      <c r="BD37" s="21" t="str">
        <f>IFERROR(__xludf.DUMMYFUNCTION("""COMPUTED_VALUE"""),"https://techcombank.com/thong-tin/blog/dau-tu-trai-phieu-doanh-nghiep-dung-ham-lai-suat-cao")</f>
        <v>https://techcombank.com/thong-tin/blog/dau-tu-trai-phieu-doanh-nghiep-dung-ham-lai-suat-cao</v>
      </c>
      <c r="BE37" s="17" t="str">
        <f>IFERROR(__xludf.DUMMYFUNCTION("""COMPUTED_VALUE"""),"chứng chỉ tiền gửi là gì")</f>
        <v>chứng chỉ tiền gửi là gì</v>
      </c>
      <c r="BF37" s="21" t="str">
        <f>IFERROR(__xludf.DUMMYFUNCTION("""COMPUTED_VALUE"""),"https://techcombank.com/thong-tin/blog/nen-gui-tiet-kiem-6-thang-hay-1-nam")</f>
        <v>https://techcombank.com/thong-tin/blog/nen-gui-tiet-kiem-6-thang-hay-1-nam</v>
      </c>
      <c r="BG37" s="17" t="str">
        <f>IFERROR(__xludf.DUMMYFUNCTION("""COMPUTED_VALUE"""),"chứng chỉ tiền gửi")</f>
        <v>chứng chỉ tiền gửi</v>
      </c>
      <c r="BH37" s="21" t="str">
        <f>IFERROR(__xludf.DUMMYFUNCTION("""COMPUTED_VALUE"""),"https://techcombank.com/thong-tin/blog/dau-tu-ngan-han")</f>
        <v>https://techcombank.com/thong-tin/blog/dau-tu-ngan-han</v>
      </c>
      <c r="BI37" s="17" t="str">
        <f>IFERROR(__xludf.DUMMYFUNCTION("""COMPUTED_VALUE"""),"chứng chỉ tiền gửi là gì")</f>
        <v>chứng chỉ tiền gửi là gì</v>
      </c>
      <c r="BJ37" s="21" t="str">
        <f>IFERROR(__xludf.DUMMYFUNCTION("""COMPUTED_VALUE"""),"https://techcombank.com/thong-tin/blog/ho-kinh-doanh-can-gi-o-tai-khoan-ngan-hang")</f>
        <v>https://techcombank.com/thong-tin/blog/ho-kinh-doanh-can-gi-o-tai-khoan-ngan-hang</v>
      </c>
      <c r="BK37" s="17" t="str">
        <f>IFERROR(__xludf.DUMMYFUNCTION("""COMPUTED_VALUE"""),"chứng chỉ tiền gửi")</f>
        <v>chứng chỉ tiền gửi</v>
      </c>
      <c r="BL37" s="21" t="str">
        <f>IFERROR(__xludf.DUMMYFUNCTION("""COMPUTED_VALUE"""),"https://techcombank.com/thong-tin/blog/gui-tiet-kiem-tich-luy-la-gi")</f>
        <v>https://techcombank.com/thong-tin/blog/gui-tiet-kiem-tich-luy-la-gi</v>
      </c>
      <c r="BM37" s="17" t="str">
        <f>IFERROR(__xludf.DUMMYFUNCTION("""COMPUTED_VALUE"""),"chứng chỉ tiền gửi là gì")</f>
        <v>chứng chỉ tiền gửi là gì</v>
      </c>
      <c r="BN37" s="21" t="str">
        <f>IFERROR(__xludf.DUMMYFUNCTION("""COMPUTED_VALUE"""),"https://techcombank.com/thong-tin/blog/gui-tiet-kiem-lay-lai-hang-thang")</f>
        <v>https://techcombank.com/thong-tin/blog/gui-tiet-kiem-lay-lai-hang-thang</v>
      </c>
      <c r="BO37" s="17" t="str">
        <f>IFERROR(__xludf.DUMMYFUNCTION("""COMPUTED_VALUE"""),"chứng chỉ tiền gửi")</f>
        <v>chứng chỉ tiền gửi</v>
      </c>
      <c r="BP37" s="21" t="str">
        <f>IFERROR(__xludf.DUMMYFUNCTION("""COMPUTED_VALUE"""),"https://techcombank.com/thong-tin/blog/rui-ro-khi-gui-tiet-kiem-online")</f>
        <v>https://techcombank.com/thong-tin/blog/rui-ro-khi-gui-tiet-kiem-online</v>
      </c>
      <c r="BQ37" s="17" t="str">
        <f>IFERROR(__xludf.DUMMYFUNCTION("""COMPUTED_VALUE"""),"chứng chỉ tiền gửi là gì")</f>
        <v>chứng chỉ tiền gửi là gì</v>
      </c>
      <c r="BR37" s="21" t="str">
        <f>IFERROR(__xludf.DUMMYFUNCTION("""COMPUTED_VALUE"""),"https://techcombank.com/thong-tin/blog/tat-toan-chung-chi-tien-gui")</f>
        <v>https://techcombank.com/thong-tin/blog/tat-toan-chung-chi-tien-gui</v>
      </c>
      <c r="BS37" s="17" t="str">
        <f>IFERROR(__xludf.DUMMYFUNCTION("""COMPUTED_VALUE"""),"chứng chỉ tiền gửi")</f>
        <v>chứng chỉ tiền gửi</v>
      </c>
      <c r="BT37" s="21" t="str">
        <f>IFERROR(__xludf.DUMMYFUNCTION("""COMPUTED_VALUE"""),"https://techcombank.com/thong-tin/blog/cach-tinh-lai-suat-tien-gui-tiet-kiem")</f>
        <v>https://techcombank.com/thong-tin/blog/cach-tinh-lai-suat-tien-gui-tiet-kiem</v>
      </c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7"/>
      <c r="FU37" s="17"/>
      <c r="FV37" s="17"/>
      <c r="FW37" s="17"/>
      <c r="FX37" s="17"/>
      <c r="FY37" s="17"/>
      <c r="FZ37" s="17"/>
      <c r="GA37" s="17"/>
      <c r="GB37" s="17"/>
      <c r="GC37" s="17"/>
      <c r="GD37" s="17"/>
      <c r="GE37" s="17"/>
      <c r="GF37" s="17"/>
      <c r="GG37" s="17"/>
      <c r="GH37" s="17"/>
      <c r="GI37" s="17"/>
      <c r="GJ37" s="17"/>
      <c r="GK37" s="17"/>
      <c r="GL37" s="17"/>
      <c r="GM37" s="17"/>
      <c r="GN37" s="17"/>
      <c r="GO37" s="17"/>
      <c r="GP37" s="17"/>
      <c r="GQ37" s="17"/>
      <c r="GR37" s="17"/>
      <c r="GS37" s="17"/>
      <c r="GT37" s="17"/>
      <c r="GU37" s="17"/>
      <c r="GV37" s="17"/>
      <c r="GW37" s="17"/>
      <c r="GX37" s="17"/>
      <c r="GY37" s="17"/>
      <c r="GZ37" s="17"/>
      <c r="HA37" s="17"/>
      <c r="HB37" s="17"/>
      <c r="HC37" s="17"/>
      <c r="HD37" s="17"/>
      <c r="HE37" s="17"/>
      <c r="HF37" s="17"/>
      <c r="HG37" s="17"/>
      <c r="HH37" s="17"/>
      <c r="HI37" s="17"/>
      <c r="HJ37" s="17"/>
      <c r="HK37" s="17"/>
      <c r="HL37" s="17"/>
      <c r="HM37" s="17"/>
      <c r="HN37" s="17"/>
      <c r="HO37" s="17"/>
      <c r="HP37" s="17"/>
      <c r="HQ37" s="17"/>
      <c r="HR37" s="17"/>
      <c r="HS37" s="17"/>
      <c r="HT37" s="17"/>
      <c r="HU37" s="17"/>
      <c r="HV37" s="17"/>
      <c r="HW37" s="17"/>
      <c r="HX37" s="17"/>
      <c r="HY37" s="17"/>
      <c r="HZ37" s="17"/>
      <c r="IA37" s="17"/>
      <c r="IB37" s="17"/>
      <c r="IC37" s="17"/>
      <c r="ID37" s="17"/>
      <c r="IE37" s="17"/>
      <c r="IF37" s="17"/>
      <c r="IG37" s="17"/>
      <c r="IH37" s="17"/>
      <c r="II37" s="17"/>
      <c r="IJ37" s="17"/>
      <c r="IK37" s="17"/>
      <c r="IL37" s="17"/>
      <c r="IM37" s="17"/>
      <c r="IN37" s="17"/>
      <c r="IO37" s="17"/>
      <c r="IP37" s="17"/>
      <c r="IQ37" s="17"/>
      <c r="IR37" s="17"/>
      <c r="IS37" s="17"/>
      <c r="IT37" s="17"/>
      <c r="IU37" s="17"/>
      <c r="IV37" s="17"/>
      <c r="IW37" s="17"/>
      <c r="IX37" s="17"/>
      <c r="IY37" s="17"/>
      <c r="IZ37" s="17"/>
      <c r="JA37" s="17"/>
      <c r="JB37" s="17"/>
      <c r="JC37" s="17"/>
      <c r="JD37" s="17"/>
      <c r="JE37" s="17"/>
      <c r="JF37" s="17"/>
      <c r="JG37" s="17"/>
      <c r="JH37" s="17"/>
      <c r="JI37" s="17"/>
      <c r="JJ37" s="17"/>
      <c r="JK37" s="17"/>
      <c r="JL37" s="17"/>
      <c r="JM37" s="17"/>
      <c r="JN37" s="17"/>
      <c r="JO37" s="17"/>
      <c r="JP37" s="17"/>
      <c r="JQ37" s="17"/>
      <c r="JR37" s="17"/>
      <c r="JS37" s="17"/>
      <c r="JT37" s="17"/>
      <c r="JU37" s="17"/>
      <c r="JV37" s="17"/>
      <c r="JW37" s="17"/>
      <c r="JX37" s="17"/>
      <c r="JY37" s="17"/>
      <c r="JZ37" s="17"/>
      <c r="KA37" s="17"/>
      <c r="KB37" s="17"/>
      <c r="KC37" s="17"/>
      <c r="KD37" s="17"/>
      <c r="KE37" s="17"/>
      <c r="KF37" s="17"/>
      <c r="KG37" s="17"/>
      <c r="KH37" s="17"/>
      <c r="KI37" s="17"/>
      <c r="KJ37" s="17"/>
      <c r="KK37" s="17"/>
      <c r="KL37" s="17"/>
      <c r="KM37" s="17"/>
      <c r="KN37" s="17"/>
      <c r="KO37" s="17"/>
      <c r="KP37" s="17"/>
      <c r="KQ37" s="17"/>
      <c r="KR37" s="17"/>
      <c r="KS37" s="17"/>
      <c r="KT37" s="17"/>
      <c r="KU37" s="17"/>
      <c r="KV37" s="17"/>
      <c r="KW37" s="17"/>
      <c r="KX37" s="17"/>
      <c r="KY37" s="17"/>
      <c r="KZ37" s="17"/>
      <c r="LA37" s="17"/>
      <c r="LB37" s="17"/>
      <c r="LC37" s="17"/>
      <c r="LD37" s="17"/>
      <c r="LE37" s="17"/>
      <c r="LF37" s="17"/>
      <c r="LG37" s="17"/>
      <c r="LH37" s="17"/>
      <c r="LI37" s="17"/>
      <c r="LJ37" s="17"/>
      <c r="LK37" s="17"/>
      <c r="LL37" s="17"/>
      <c r="LM37" s="17"/>
      <c r="LN37" s="17"/>
      <c r="LO37" s="17"/>
      <c r="LP37" s="17"/>
      <c r="LQ37" s="17"/>
      <c r="LR37" s="17"/>
      <c r="LS37" s="17"/>
      <c r="LT37" s="17"/>
      <c r="LU37" s="17"/>
      <c r="LV37" s="17"/>
      <c r="LW37" s="17"/>
      <c r="LX37" s="17"/>
      <c r="LY37" s="17"/>
      <c r="LZ37" s="17"/>
      <c r="MA37" s="17"/>
      <c r="MB37" s="17"/>
      <c r="MC37" s="17"/>
      <c r="MD37" s="17"/>
      <c r="ME37" s="17"/>
      <c r="MF37" s="17"/>
      <c r="MG37" s="17"/>
      <c r="MH37" s="17"/>
      <c r="MI37" s="17"/>
      <c r="MJ37" s="17"/>
      <c r="MK37" s="17"/>
      <c r="ML37" s="17"/>
      <c r="MM37" s="17"/>
      <c r="MN37" s="17"/>
      <c r="MO37" s="17"/>
      <c r="MP37" s="17"/>
      <c r="MQ37" s="17"/>
      <c r="MR37" s="17"/>
      <c r="MS37" s="17"/>
      <c r="MT37" s="17"/>
      <c r="MU37" s="17"/>
      <c r="MV37" s="17"/>
      <c r="MW37" s="17"/>
      <c r="MX37" s="17"/>
      <c r="MY37" s="17"/>
      <c r="MZ37" s="17"/>
      <c r="NA37" s="17"/>
      <c r="NB37" s="17"/>
      <c r="NC37" s="17"/>
      <c r="ND37" s="17"/>
      <c r="NE37" s="17"/>
      <c r="NF37" s="17"/>
      <c r="NG37" s="17"/>
      <c r="NH37" s="17"/>
      <c r="NI37" s="17"/>
      <c r="NJ37" s="17"/>
      <c r="NK37" s="17"/>
      <c r="NL37" s="17"/>
      <c r="NM37" s="17"/>
      <c r="NN37" s="17"/>
      <c r="NO37" s="17"/>
      <c r="NP37" s="17"/>
      <c r="NQ37" s="17"/>
      <c r="NR37" s="17"/>
      <c r="NS37" s="17"/>
      <c r="NT37" s="17"/>
      <c r="NU37" s="17"/>
      <c r="NV37" s="17"/>
      <c r="NW37" s="17"/>
      <c r="NX37" s="17"/>
      <c r="NY37" s="17"/>
      <c r="NZ37" s="17"/>
      <c r="OA37" s="17"/>
      <c r="OB37" s="17"/>
      <c r="OC37" s="17"/>
      <c r="OD37" s="17"/>
      <c r="OE37" s="17"/>
      <c r="OF37" s="17"/>
      <c r="OG37" s="17"/>
      <c r="OH37" s="17"/>
      <c r="OI37" s="17"/>
      <c r="OJ37" s="17"/>
      <c r="OK37" s="17"/>
      <c r="OL37" s="17"/>
      <c r="OM37" s="17"/>
      <c r="ON37" s="17"/>
      <c r="OO37" s="17"/>
      <c r="OP37" s="17"/>
      <c r="OQ37" s="17"/>
      <c r="OR37" s="17"/>
      <c r="OS37" s="17"/>
      <c r="OT37" s="17"/>
      <c r="OU37" s="17"/>
      <c r="OV37" s="17"/>
    </row>
    <row r="38" ht="18.0" customHeight="1">
      <c r="A38" s="16">
        <v>37.0</v>
      </c>
      <c r="B38" s="17" t="s">
        <v>1397</v>
      </c>
      <c r="C38" s="18" t="s">
        <v>1422</v>
      </c>
      <c r="D38" s="17" t="s">
        <v>551</v>
      </c>
      <c r="E38" s="16">
        <v>30.0</v>
      </c>
      <c r="F38" s="16">
        <f>COUNTIF('Tổng hợp 75 trang đích'!$B$2:$B$3400,$D38)</f>
        <v>30</v>
      </c>
      <c r="G38" s="16">
        <f>COUNTIFS('Tổng hợp 75 trang đích'!$B$2:$B$3400,$D38,'Tổng hợp 75 trang đích'!$K$2:$K$3400,"PHÙ HỢP CAO")</f>
        <v>1</v>
      </c>
      <c r="H38" s="16">
        <f>COUNTIFS('Tổng hợp 75 trang đích'!$B$2:$B$3400,$D38,'Tổng hợp 75 trang đích'!$K$2:$K$3400,"CÓ THỂ ĐI")</f>
        <v>4</v>
      </c>
      <c r="I38" s="16">
        <f>COUNTIFS('Tổng hợp 75 trang đích'!$B$2:$B$3400,$D38,'Tổng hợp 75 trang đích'!$K$2:$K$3400,"CẦN SOÁT")</f>
        <v>25</v>
      </c>
      <c r="J38" s="19" t="s">
        <v>555</v>
      </c>
      <c r="K38" s="19" t="b">
        <v>0</v>
      </c>
      <c r="L38" s="20" t="s">
        <v>333</v>
      </c>
      <c r="M38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đích'!$B$2:$B$3400=$D38),3,TR"&amp;"UE),1,2)),"""")"),"lãi suất chứng chỉ tiền gửi các ngân hàng")</f>
        <v>lãi suất chứng chỉ tiền gửi các ngân hàng</v>
      </c>
      <c r="N38" s="21" t="str">
        <f>IFERROR(__xludf.DUMMYFUNCTION("""COMPUTED_VALUE"""),"https://techcombank.com/thong-tin/blog/cach-tinh-loi-nhuan-chung-chi-tien-gui")</f>
        <v>https://techcombank.com/thong-tin/blog/cach-tinh-loi-nhuan-chung-chi-tien-gui</v>
      </c>
      <c r="O38" s="17" t="str">
        <f>IFERROR(__xludf.DUMMYFUNCTION("""COMPUTED_VALUE"""),"lãi suất chứng chỉ tiền gửi")</f>
        <v>lãi suất chứng chỉ tiền gửi</v>
      </c>
      <c r="P38" s="21" t="str">
        <f>IFERROR(__xludf.DUMMYFUNCTION("""COMPUTED_VALUE"""),"https://techcombank.com/thong-tin/blog/tat-toan-chung-chi-tien-gui")</f>
        <v>https://techcombank.com/thong-tin/blog/tat-toan-chung-chi-tien-gui</v>
      </c>
      <c r="Q38" s="17" t="str">
        <f>IFERROR(__xludf.DUMMYFUNCTION("""COMPUTED_VALUE"""),"lợi suất chứng chỉ tiền gửi")</f>
        <v>lợi suất chứng chỉ tiền gửi</v>
      </c>
      <c r="R38" s="21" t="str">
        <f>IFERROR(__xludf.DUMMYFUNCTION("""COMPUTED_VALUE"""),"https://techcombank.com/thong-tin/blog/chung-chi-tien-gui-co-duoc-rut-truoc-han")</f>
        <v>https://techcombank.com/thong-tin/blog/chung-chi-tien-gui-co-duoc-rut-truoc-han</v>
      </c>
      <c r="S38" s="17" t="str">
        <f>IFERROR(__xludf.DUMMYFUNCTION("""COMPUTED_VALUE"""),"lãi suất chứng chỉ tiền gửi các ngân hàng")</f>
        <v>lãi suất chứng chỉ tiền gửi các ngân hàng</v>
      </c>
      <c r="T38" s="21" t="str">
        <f>IFERROR(__xludf.DUMMYFUNCTION("""COMPUTED_VALUE"""),"https://techcombank.com/thong-tin/blog/chuyen-nhuong-chung-chi-tien-gui")</f>
        <v>https://techcombank.com/thong-tin/blog/chuyen-nhuong-chung-chi-tien-gui</v>
      </c>
      <c r="U38" s="17" t="str">
        <f>IFERROR(__xludf.DUMMYFUNCTION("""COMPUTED_VALUE"""),"lãi suất chứng chỉ tiền gửi")</f>
        <v>lãi suất chứng chỉ tiền gửi</v>
      </c>
      <c r="V38" s="21" t="str">
        <f>IFERROR(__xludf.DUMMYFUNCTION("""COMPUTED_VALUE"""),"https://techcombank.com/thong-tin/blog/chung-chi-tien-gui-co-duoc-bao-hiem-khong")</f>
        <v>https://techcombank.com/thong-tin/blog/chung-chi-tien-gui-co-duoc-bao-hiem-khong</v>
      </c>
      <c r="W38" s="17" t="str">
        <f>IFERROR(__xludf.DUMMYFUNCTION("""COMPUTED_VALUE"""),"lợi suất chứng chỉ tiền gửi")</f>
        <v>lợi suất chứng chỉ tiền gửi</v>
      </c>
      <c r="X38" s="21" t="str">
        <f>IFERROR(__xludf.DUMMYFUNCTION("""COMPUTED_VALUE"""),"https://techcombank.com/thong-tin/blog/chung-chi-tien-gui-la-gi")</f>
        <v>https://techcombank.com/thong-tin/blog/chung-chi-tien-gui-la-gi</v>
      </c>
      <c r="Y38" s="17" t="str">
        <f>IFERROR(__xludf.DUMMYFUNCTION("""COMPUTED_VALUE"""),"lãi suất chứng chỉ tiền gửi các ngân hàng")</f>
        <v>lãi suất chứng chỉ tiền gửi các ngân hàng</v>
      </c>
      <c r="Z38" s="21" t="str">
        <f>IFERROR(__xludf.DUMMYFUNCTION("""COMPUTED_VALUE"""),"https://techcombank.com/thong-tin/blog/lai-suat-tiet-kiem")</f>
        <v>https://techcombank.com/thong-tin/blog/lai-suat-tiet-kiem</v>
      </c>
      <c r="AA38" s="17" t="str">
        <f>IFERROR(__xludf.DUMMYFUNCTION("""COMPUTED_VALUE"""),"lãi suất chứng chỉ tiền gửi")</f>
        <v>lãi suất chứng chỉ tiền gửi</v>
      </c>
      <c r="AB38" s="21" t="str">
        <f>IFERROR(__xludf.DUMMYFUNCTION("""COMPUTED_VALUE"""),"https://techcombank.com/thong-tin/blog/co-nen-gui-chung-chi-tien-gui")</f>
        <v>https://techcombank.com/thong-tin/blog/co-nen-gui-chung-chi-tien-gui</v>
      </c>
      <c r="AC38" s="17" t="str">
        <f>IFERROR(__xludf.DUMMYFUNCTION("""COMPUTED_VALUE"""),"lợi suất chứng chỉ tiền gửi")</f>
        <v>lợi suất chứng chỉ tiền gửi</v>
      </c>
      <c r="AD38" s="21" t="str">
        <f>IFERROR(__xludf.DUMMYFUNCTION("""COMPUTED_VALUE"""),"https://techcombank.com/thong-tin/blog/dau-tu-trai-phieu-doanh-nghiep-dung-ham-lai-suat-cao")</f>
        <v>https://techcombank.com/thong-tin/blog/dau-tu-trai-phieu-doanh-nghiep-dung-ham-lai-suat-cao</v>
      </c>
      <c r="AE38" s="17" t="str">
        <f>IFERROR(__xludf.DUMMYFUNCTION("""COMPUTED_VALUE"""),"lãi suất chứng chỉ tiền gửi các ngân hàng")</f>
        <v>lãi suất chứng chỉ tiền gửi các ngân hàng</v>
      </c>
      <c r="AF38" s="21" t="str">
        <f>IFERROR(__xludf.DUMMYFUNCTION("""COMPUTED_VALUE"""),"https://techcombank.com/thong-tin/blog/cach-tinh-lai-suat-tien-gui-tiet-kiem")</f>
        <v>https://techcombank.com/thong-tin/blog/cach-tinh-lai-suat-tien-gui-tiet-kiem</v>
      </c>
      <c r="AG38" s="17" t="str">
        <f>IFERROR(__xludf.DUMMYFUNCTION("""COMPUTED_VALUE"""),"lãi suất chứng chỉ tiền gửi")</f>
        <v>lãi suất chứng chỉ tiền gửi</v>
      </c>
      <c r="AH38" s="21" t="str">
        <f>IFERROR(__xludf.DUMMYFUNCTION("""COMPUTED_VALUE"""),"https://techcombank.com/thong-tin/blog/chon-kenh-dau-tu-an-toan-trong-boi-canh-thi-truong-bien-dong")</f>
        <v>https://techcombank.com/thong-tin/blog/chon-kenh-dau-tu-an-toan-trong-boi-canh-thi-truong-bien-dong</v>
      </c>
      <c r="AI38" s="17" t="str">
        <f>IFERROR(__xludf.DUMMYFUNCTION("""COMPUTED_VALUE"""),"lợi suất chứng chỉ tiền gửi")</f>
        <v>lợi suất chứng chỉ tiền gửi</v>
      </c>
      <c r="AJ38" s="21" t="str">
        <f>IFERROR(__xludf.DUMMYFUNCTION("""COMPUTED_VALUE"""),"https://techcombank.com/thong-tin/blog/chung-chi-tien-gui-khac-gi-so-tiet-kiem")</f>
        <v>https://techcombank.com/thong-tin/blog/chung-chi-tien-gui-khac-gi-so-tiet-kiem</v>
      </c>
      <c r="AK38" s="17" t="str">
        <f>IFERROR(__xludf.DUMMYFUNCTION("""COMPUTED_VALUE"""),"lãi suất chứng chỉ tiền gửi các ngân hàng")</f>
        <v>lãi suất chứng chỉ tiền gửi các ngân hàng</v>
      </c>
      <c r="AL38" s="21" t="str">
        <f>IFERROR(__xludf.DUMMYFUNCTION("""COMPUTED_VALUE"""),"https://techcombank.com/thong-tin/blog/chung-chi-tien-gui-co-phai-la-trai-phieu-khong")</f>
        <v>https://techcombank.com/thong-tin/blog/chung-chi-tien-gui-co-phai-la-trai-phieu-khong</v>
      </c>
      <c r="AM38" s="17" t="str">
        <f>IFERROR(__xludf.DUMMYFUNCTION("""COMPUTED_VALUE"""),"lãi suất chứng chỉ tiền gửi")</f>
        <v>lãi suất chứng chỉ tiền gửi</v>
      </c>
      <c r="AN38" s="21" t="str">
        <f>IFERROR(__xludf.DUMMYFUNCTION("""COMPUTED_VALUE"""),"https://techcombank.com/thong-tin/blog/chung-chi-tien-gui-co-an-toan-khong")</f>
        <v>https://techcombank.com/thong-tin/blog/chung-chi-tien-gui-co-an-toan-khong</v>
      </c>
      <c r="AO38" s="17" t="str">
        <f>IFERROR(__xludf.DUMMYFUNCTION("""COMPUTED_VALUE"""),"lợi suất chứng chỉ tiền gửi")</f>
        <v>lợi suất chứng chỉ tiền gửi</v>
      </c>
      <c r="AP38" s="21" t="str">
        <f>IFERROR(__xludf.DUMMYFUNCTION("""COMPUTED_VALUE"""),"https://techcombank.com/thong-tin/blog/so-tiet-kiem-ngan-hang")</f>
        <v>https://techcombank.com/thong-tin/blog/so-tiet-kiem-ngan-hang</v>
      </c>
      <c r="AQ38" s="17" t="str">
        <f>IFERROR(__xludf.DUMMYFUNCTION("""COMPUTED_VALUE"""),"lãi suất chứng chỉ tiền gửi các ngân hàng")</f>
        <v>lãi suất chứng chỉ tiền gửi các ngân hàng</v>
      </c>
      <c r="AR38" s="21" t="str">
        <f>IFERROR(__xludf.DUMMYFUNCTION("""COMPUTED_VALUE"""),"https://techcombank.com/thong-tin/blog/tien-gui-khong-ky-han")</f>
        <v>https://techcombank.com/thong-tin/blog/tien-gui-khong-ky-han</v>
      </c>
      <c r="AS38" s="17" t="str">
        <f>IFERROR(__xludf.DUMMYFUNCTION("""COMPUTED_VALUE"""),"lãi suất chứng chỉ tiền gửi")</f>
        <v>lãi suất chứng chỉ tiền gửi</v>
      </c>
      <c r="AT38" s="21" t="str">
        <f>IFERROR(__xludf.DUMMYFUNCTION("""COMPUTED_VALUE"""),"https://techcombank.com/thong-tin/blog/tien-gui-co-ky-han")</f>
        <v>https://techcombank.com/thong-tin/blog/tien-gui-co-ky-han</v>
      </c>
      <c r="AU38" s="17" t="str">
        <f>IFERROR(__xludf.DUMMYFUNCTION("""COMPUTED_VALUE"""),"lợi suất chứng chỉ tiền gửi")</f>
        <v>lợi suất chứng chỉ tiền gửi</v>
      </c>
      <c r="AV38" s="21" t="str">
        <f>IFERROR(__xludf.DUMMYFUNCTION("""COMPUTED_VALUE"""),"https://techcombank.com/thong-tin/blog/gui-tiet-kiem-theo-ngay")</f>
        <v>https://techcombank.com/thong-tin/blog/gui-tiet-kiem-theo-ngay</v>
      </c>
      <c r="AW38" s="17" t="str">
        <f>IFERROR(__xludf.DUMMYFUNCTION("""COMPUTED_VALUE"""),"lãi suất chứng chỉ tiền gửi các ngân hàng")</f>
        <v>lãi suất chứng chỉ tiền gửi các ngân hàng</v>
      </c>
      <c r="AX38" s="21" t="str">
        <f>IFERROR(__xludf.DUMMYFUNCTION("""COMPUTED_VALUE"""),"https://techcombank.com/thong-tin/blog/nen-gui-tiet-kiem-6-thang-hay-1-nam")</f>
        <v>https://techcombank.com/thong-tin/blog/nen-gui-tiet-kiem-6-thang-hay-1-nam</v>
      </c>
      <c r="AY38" s="17" t="str">
        <f>IFERROR(__xludf.DUMMYFUNCTION("""COMPUTED_VALUE"""),"lãi suất chứng chỉ tiền gửi")</f>
        <v>lãi suất chứng chỉ tiền gửi</v>
      </c>
      <c r="AZ38" s="21" t="str">
        <f>IFERROR(__xludf.DUMMYFUNCTION("""COMPUTED_VALUE"""),"https://techcombank.com/thong-tin/blog/so-sanh-gui-tiet-kiem-online-va-tai-quay")</f>
        <v>https://techcombank.com/thong-tin/blog/so-sanh-gui-tiet-kiem-online-va-tai-quay</v>
      </c>
      <c r="BA38" s="17" t="str">
        <f>IFERROR(__xludf.DUMMYFUNCTION("""COMPUTED_VALUE"""),"lợi suất chứng chỉ tiền gửi")</f>
        <v>lợi suất chứng chỉ tiền gửi</v>
      </c>
      <c r="BB38" s="21" t="str">
        <f>IFERROR(__xludf.DUMMYFUNCTION("""COMPUTED_VALUE"""),"https://techcombank.com/thong-tin/blog/cach-tiet-kiem-tien-sinh-loi")</f>
        <v>https://techcombank.com/thong-tin/blog/cach-tiet-kiem-tien-sinh-loi</v>
      </c>
      <c r="BC38" s="17" t="str">
        <f>IFERROR(__xludf.DUMMYFUNCTION("""COMPUTED_VALUE"""),"lãi suất chứng chỉ tiền gửi các ngân hàng")</f>
        <v>lãi suất chứng chỉ tiền gửi các ngân hàng</v>
      </c>
      <c r="BD38" s="21" t="str">
        <f>IFERROR(__xludf.DUMMYFUNCTION("""COMPUTED_VALUE"""),"https://techcombank.com/thong-tin/blog/gui-tiet-kiem-hang-thang")</f>
        <v>https://techcombank.com/thong-tin/blog/gui-tiet-kiem-hang-thang</v>
      </c>
      <c r="BE38" s="17" t="str">
        <f>IFERROR(__xludf.DUMMYFUNCTION("""COMPUTED_VALUE"""),"lãi suất chứng chỉ tiền gửi")</f>
        <v>lãi suất chứng chỉ tiền gửi</v>
      </c>
      <c r="BF38" s="21" t="str">
        <f>IFERROR(__xludf.DUMMYFUNCTION("""COMPUTED_VALUE"""),"https://techcombank.com/thong-tin/blog/nghich-ly-nha-dau-tu-che-trai-phieu-lai-suat-cao-ua-ma-an-toan-du-lai-suat-thap-hon-05-1")</f>
        <v>https://techcombank.com/thong-tin/blog/nghich-ly-nha-dau-tu-che-trai-phieu-lai-suat-cao-ua-ma-an-toan-du-lai-suat-thap-hon-05-1</v>
      </c>
      <c r="BG38" s="17" t="str">
        <f>IFERROR(__xludf.DUMMYFUNCTION("""COMPUTED_VALUE"""),"lợi suất chứng chỉ tiền gửi")</f>
        <v>lợi suất chứng chỉ tiền gửi</v>
      </c>
      <c r="BH38" s="21" t="str">
        <f>IFERROR(__xludf.DUMMYFUNCTION("""COMPUTED_VALUE"""),"https://techcombank.com/thong-tin/blog/thi-truong-trai-phieu-co-hoi-dau-tu-trai-phieu-vang-du-lai-suat-thap")</f>
        <v>https://techcombank.com/thong-tin/blog/thi-truong-trai-phieu-co-hoi-dau-tu-trai-phieu-vang-du-lai-suat-thap</v>
      </c>
      <c r="BI38" s="17" t="str">
        <f>IFERROR(__xludf.DUMMYFUNCTION("""COMPUTED_VALUE"""),"lãi suất chứng chỉ tiền gửi các ngân hàng")</f>
        <v>lãi suất chứng chỉ tiền gửi các ngân hàng</v>
      </c>
      <c r="BJ38" s="21" t="str">
        <f>IFERROR(__xludf.DUMMYFUNCTION("""COMPUTED_VALUE"""),"https://techcombank.com/thong-tin/blog/techcombank-sinh-loi-tu-dong")</f>
        <v>https://techcombank.com/thong-tin/blog/techcombank-sinh-loi-tu-dong</v>
      </c>
      <c r="BK38" s="17" t="str">
        <f>IFERROR(__xludf.DUMMYFUNCTION("""COMPUTED_VALUE"""),"lãi suất chứng chỉ tiền gửi")</f>
        <v>lãi suất chứng chỉ tiền gửi</v>
      </c>
      <c r="BL38" s="21" t="str">
        <f>IFERROR(__xludf.DUMMYFUNCTION("""COMPUTED_VALUE"""),"https://techcombank.com/thong-tin/blog/lai-kep-ngan-hang")</f>
        <v>https://techcombank.com/thong-tin/blog/lai-kep-ngan-hang</v>
      </c>
      <c r="BM38" s="17" t="str">
        <f>IFERROR(__xludf.DUMMYFUNCTION("""COMPUTED_VALUE"""),"lợi suất chứng chỉ tiền gửi")</f>
        <v>lợi suất chứng chỉ tiền gửi</v>
      </c>
      <c r="BN38" s="21" t="str">
        <f>IFERROR(__xludf.DUMMYFUNCTION("""COMPUTED_VALUE"""),"https://techcombank.com/thong-tin/blog/bi-quyet-tiet-kiem-tien-mua-nha")</f>
        <v>https://techcombank.com/thong-tin/blog/bi-quyet-tiet-kiem-tien-mua-nha</v>
      </c>
      <c r="BO38" s="17" t="str">
        <f>IFERROR(__xludf.DUMMYFUNCTION("""COMPUTED_VALUE"""),"lãi suất chứng chỉ tiền gửi các ngân hàng")</f>
        <v>lãi suất chứng chỉ tiền gửi các ngân hàng</v>
      </c>
      <c r="BP38" s="21" t="str">
        <f>IFERROR(__xludf.DUMMYFUNCTION("""COMPUTED_VALUE"""),"https://techcombank.com/thong-tin/blog/tat-toan-so-tiet-kiem")</f>
        <v>https://techcombank.com/thong-tin/blog/tat-toan-so-tiet-kiem</v>
      </c>
      <c r="BQ38" s="17" t="str">
        <f>IFERROR(__xludf.DUMMYFUNCTION("""COMPUTED_VALUE"""),"lãi suất chứng chỉ tiền gửi")</f>
        <v>lãi suất chứng chỉ tiền gửi</v>
      </c>
      <c r="BR38" s="21" t="str">
        <f>IFERROR(__xludf.DUMMYFUNCTION("""COMPUTED_VALUE"""),"https://techcombank.com/thong-tin/blog/lai-suat-chung-chi-quy")</f>
        <v>https://techcombank.com/thong-tin/blog/lai-suat-chung-chi-quy</v>
      </c>
      <c r="BS38" s="17" t="str">
        <f>IFERROR(__xludf.DUMMYFUNCTION("""COMPUTED_VALUE"""),"lợi suất chứng chỉ tiền gửi")</f>
        <v>lợi suất chứng chỉ tiền gửi</v>
      </c>
      <c r="BT38" s="21" t="str">
        <f>IFERROR(__xludf.DUMMYFUNCTION("""COMPUTED_VALUE"""),"https://techcombank.com/thong-tin/blog/lai-suat-cho-vay-doanh-nghiep")</f>
        <v>https://techcombank.com/thong-tin/blog/lai-suat-cho-vay-doanh-nghiep</v>
      </c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7"/>
      <c r="FU38" s="17"/>
      <c r="FV38" s="17"/>
      <c r="FW38" s="17"/>
      <c r="FX38" s="17"/>
      <c r="FY38" s="17"/>
      <c r="FZ38" s="17"/>
      <c r="GA38" s="17"/>
      <c r="GB38" s="17"/>
      <c r="GC38" s="17"/>
      <c r="GD38" s="17"/>
      <c r="GE38" s="17"/>
      <c r="GF38" s="17"/>
      <c r="GG38" s="17"/>
      <c r="GH38" s="17"/>
      <c r="GI38" s="17"/>
      <c r="GJ38" s="17"/>
      <c r="GK38" s="17"/>
      <c r="GL38" s="17"/>
      <c r="GM38" s="17"/>
      <c r="GN38" s="17"/>
      <c r="GO38" s="17"/>
      <c r="GP38" s="17"/>
      <c r="GQ38" s="17"/>
      <c r="GR38" s="17"/>
      <c r="GS38" s="17"/>
      <c r="GT38" s="17"/>
      <c r="GU38" s="17"/>
      <c r="GV38" s="17"/>
      <c r="GW38" s="17"/>
      <c r="GX38" s="17"/>
      <c r="GY38" s="17"/>
      <c r="GZ38" s="17"/>
      <c r="HA38" s="17"/>
      <c r="HB38" s="17"/>
      <c r="HC38" s="17"/>
      <c r="HD38" s="17"/>
      <c r="HE38" s="17"/>
      <c r="HF38" s="17"/>
      <c r="HG38" s="17"/>
      <c r="HH38" s="17"/>
      <c r="HI38" s="17"/>
      <c r="HJ38" s="17"/>
      <c r="HK38" s="17"/>
      <c r="HL38" s="17"/>
      <c r="HM38" s="17"/>
      <c r="HN38" s="17"/>
      <c r="HO38" s="17"/>
      <c r="HP38" s="17"/>
      <c r="HQ38" s="17"/>
      <c r="HR38" s="17"/>
      <c r="HS38" s="17"/>
      <c r="HT38" s="17"/>
      <c r="HU38" s="17"/>
      <c r="HV38" s="17"/>
      <c r="HW38" s="17"/>
      <c r="HX38" s="17"/>
      <c r="HY38" s="17"/>
      <c r="HZ38" s="17"/>
      <c r="IA38" s="17"/>
      <c r="IB38" s="17"/>
      <c r="IC38" s="17"/>
      <c r="ID38" s="17"/>
      <c r="IE38" s="17"/>
      <c r="IF38" s="17"/>
      <c r="IG38" s="17"/>
      <c r="IH38" s="17"/>
      <c r="II38" s="17"/>
      <c r="IJ38" s="17"/>
      <c r="IK38" s="17"/>
      <c r="IL38" s="17"/>
      <c r="IM38" s="17"/>
      <c r="IN38" s="17"/>
      <c r="IO38" s="17"/>
      <c r="IP38" s="17"/>
      <c r="IQ38" s="17"/>
      <c r="IR38" s="17"/>
      <c r="IS38" s="17"/>
      <c r="IT38" s="17"/>
      <c r="IU38" s="17"/>
      <c r="IV38" s="17"/>
      <c r="IW38" s="17"/>
      <c r="IX38" s="17"/>
      <c r="IY38" s="17"/>
      <c r="IZ38" s="17"/>
      <c r="JA38" s="17"/>
      <c r="JB38" s="17"/>
      <c r="JC38" s="17"/>
      <c r="JD38" s="17"/>
      <c r="JE38" s="17"/>
      <c r="JF38" s="17"/>
      <c r="JG38" s="17"/>
      <c r="JH38" s="17"/>
      <c r="JI38" s="17"/>
      <c r="JJ38" s="17"/>
      <c r="JK38" s="17"/>
      <c r="JL38" s="17"/>
      <c r="JM38" s="17"/>
      <c r="JN38" s="17"/>
      <c r="JO38" s="17"/>
      <c r="JP38" s="17"/>
      <c r="JQ38" s="17"/>
      <c r="JR38" s="17"/>
      <c r="JS38" s="17"/>
      <c r="JT38" s="17"/>
      <c r="JU38" s="17"/>
      <c r="JV38" s="17"/>
      <c r="JW38" s="17"/>
      <c r="JX38" s="17"/>
      <c r="JY38" s="17"/>
      <c r="JZ38" s="17"/>
      <c r="KA38" s="17"/>
      <c r="KB38" s="17"/>
      <c r="KC38" s="17"/>
      <c r="KD38" s="17"/>
      <c r="KE38" s="17"/>
      <c r="KF38" s="17"/>
      <c r="KG38" s="17"/>
      <c r="KH38" s="17"/>
      <c r="KI38" s="17"/>
      <c r="KJ38" s="17"/>
      <c r="KK38" s="17"/>
      <c r="KL38" s="17"/>
      <c r="KM38" s="17"/>
      <c r="KN38" s="17"/>
      <c r="KO38" s="17"/>
      <c r="KP38" s="17"/>
      <c r="KQ38" s="17"/>
      <c r="KR38" s="17"/>
      <c r="KS38" s="17"/>
      <c r="KT38" s="17"/>
      <c r="KU38" s="17"/>
      <c r="KV38" s="17"/>
      <c r="KW38" s="17"/>
      <c r="KX38" s="17"/>
      <c r="KY38" s="17"/>
      <c r="KZ38" s="17"/>
      <c r="LA38" s="17"/>
      <c r="LB38" s="17"/>
      <c r="LC38" s="17"/>
      <c r="LD38" s="17"/>
      <c r="LE38" s="17"/>
      <c r="LF38" s="17"/>
      <c r="LG38" s="17"/>
      <c r="LH38" s="17"/>
      <c r="LI38" s="17"/>
      <c r="LJ38" s="17"/>
      <c r="LK38" s="17"/>
      <c r="LL38" s="17"/>
      <c r="LM38" s="17"/>
      <c r="LN38" s="17"/>
      <c r="LO38" s="17"/>
      <c r="LP38" s="17"/>
      <c r="LQ38" s="17"/>
      <c r="LR38" s="17"/>
      <c r="LS38" s="17"/>
      <c r="LT38" s="17"/>
      <c r="LU38" s="17"/>
      <c r="LV38" s="17"/>
      <c r="LW38" s="17"/>
      <c r="LX38" s="17"/>
      <c r="LY38" s="17"/>
      <c r="LZ38" s="17"/>
      <c r="MA38" s="17"/>
      <c r="MB38" s="17"/>
      <c r="MC38" s="17"/>
      <c r="MD38" s="17"/>
      <c r="ME38" s="17"/>
      <c r="MF38" s="17"/>
      <c r="MG38" s="17"/>
      <c r="MH38" s="17"/>
      <c r="MI38" s="17"/>
      <c r="MJ38" s="17"/>
      <c r="MK38" s="17"/>
      <c r="ML38" s="17"/>
      <c r="MM38" s="17"/>
      <c r="MN38" s="17"/>
      <c r="MO38" s="17"/>
      <c r="MP38" s="17"/>
      <c r="MQ38" s="17"/>
      <c r="MR38" s="17"/>
      <c r="MS38" s="17"/>
      <c r="MT38" s="17"/>
      <c r="MU38" s="17"/>
      <c r="MV38" s="17"/>
      <c r="MW38" s="17"/>
      <c r="MX38" s="17"/>
      <c r="MY38" s="17"/>
      <c r="MZ38" s="17"/>
      <c r="NA38" s="17"/>
      <c r="NB38" s="17"/>
      <c r="NC38" s="17"/>
      <c r="ND38" s="17"/>
      <c r="NE38" s="17"/>
      <c r="NF38" s="17"/>
      <c r="NG38" s="17"/>
      <c r="NH38" s="17"/>
      <c r="NI38" s="17"/>
      <c r="NJ38" s="17"/>
      <c r="NK38" s="17"/>
      <c r="NL38" s="17"/>
      <c r="NM38" s="17"/>
      <c r="NN38" s="17"/>
      <c r="NO38" s="17"/>
      <c r="NP38" s="17"/>
      <c r="NQ38" s="17"/>
      <c r="NR38" s="17"/>
      <c r="NS38" s="17"/>
      <c r="NT38" s="17"/>
      <c r="NU38" s="17"/>
      <c r="NV38" s="17"/>
      <c r="NW38" s="17"/>
      <c r="NX38" s="17"/>
      <c r="NY38" s="17"/>
      <c r="NZ38" s="17"/>
      <c r="OA38" s="17"/>
      <c r="OB38" s="17"/>
      <c r="OC38" s="17"/>
      <c r="OD38" s="17"/>
      <c r="OE38" s="17"/>
      <c r="OF38" s="17"/>
      <c r="OG38" s="17"/>
      <c r="OH38" s="17"/>
      <c r="OI38" s="17"/>
      <c r="OJ38" s="17"/>
      <c r="OK38" s="17"/>
      <c r="OL38" s="17"/>
      <c r="OM38" s="17"/>
      <c r="ON38" s="17"/>
      <c r="OO38" s="17"/>
      <c r="OP38" s="17"/>
      <c r="OQ38" s="17"/>
      <c r="OR38" s="17"/>
      <c r="OS38" s="17"/>
      <c r="OT38" s="17"/>
      <c r="OU38" s="17"/>
      <c r="OV38" s="17"/>
    </row>
    <row r="39" ht="18.0" customHeight="1">
      <c r="A39" s="16">
        <v>38.0</v>
      </c>
      <c r="B39" s="17" t="s">
        <v>1435</v>
      </c>
      <c r="C39" s="18" t="s">
        <v>1439</v>
      </c>
      <c r="D39" s="17" t="s">
        <v>552</v>
      </c>
      <c r="E39" s="16">
        <v>30.0</v>
      </c>
      <c r="F39" s="16">
        <f>COUNTIF('Tổng hợp 75 trang đích'!$B$2:$B$3400,$D39)</f>
        <v>30</v>
      </c>
      <c r="G39" s="16">
        <f>COUNTIFS('Tổng hợp 75 trang đích'!$B$2:$B$3400,$D39,'Tổng hợp 75 trang đích'!$K$2:$K$3400,"PHÙ HỢP CAO")</f>
        <v>4</v>
      </c>
      <c r="H39" s="16">
        <f>COUNTIFS('Tổng hợp 75 trang đích'!$B$2:$B$3400,$D39,'Tổng hợp 75 trang đích'!$K$2:$K$3400,"CÓ THỂ ĐI")</f>
        <v>0</v>
      </c>
      <c r="I39" s="16">
        <f>COUNTIFS('Tổng hợp 75 trang đích'!$B$2:$B$3400,$D39,'Tổng hợp 75 trang đích'!$K$2:$K$3400,"CẦN SOÁT")</f>
        <v>26</v>
      </c>
      <c r="J39" s="19" t="s">
        <v>555</v>
      </c>
      <c r="K39" s="19" t="b">
        <v>0</v>
      </c>
      <c r="L39" s="20" t="s">
        <v>333</v>
      </c>
      <c r="M39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đích'!$B$2:$B$3400=$D39),3,TR"&amp;"UE),1,2)),"""")"),"1 Tệ bằng bao nhiêu tiền Việt")</f>
        <v>1 Tệ bằng bao nhiêu tiền Việt</v>
      </c>
      <c r="N39" s="21" t="str">
        <f>IFERROR(__xludf.DUMMYFUNCTION("""COMPUTED_VALUE"""),"https://techcombank.com/thong-tin/blog/tien-trung-quoc")</f>
        <v>https://techcombank.com/thong-tin/blog/tien-trung-quoc</v>
      </c>
      <c r="O39" s="17" t="str">
        <f>IFERROR(__xludf.DUMMYFUNCTION("""COMPUTED_VALUE"""),"tỷ giá Nhân dân tệ")</f>
        <v>tỷ giá Nhân dân tệ</v>
      </c>
      <c r="P39" s="21" t="str">
        <f>IFERROR(__xludf.DUMMYFUNCTION("""COMPUTED_VALUE"""),"https://techcombank.com/thong-tin/blog/1-van-te-bang-bao-nhieu-tien-viet")</f>
        <v>https://techcombank.com/thong-tin/blog/1-van-te-bang-bao-nhieu-tien-viet</v>
      </c>
      <c r="Q39" s="17" t="str">
        <f>IFERROR(__xludf.DUMMYFUNCTION("""COMPUTED_VALUE"""),"1 Tệ bằng bao nhiêu tiền Việt")</f>
        <v>1 Tệ bằng bao nhiêu tiền Việt</v>
      </c>
      <c r="R39" s="21" t="str">
        <f>IFERROR(__xludf.DUMMYFUNCTION("""COMPUTED_VALUE"""),"https://techcombank.com/thong-tin/blog/1000-te-bang-bao-nhieu-tien-viet")</f>
        <v>https://techcombank.com/thong-tin/blog/1000-te-bang-bao-nhieu-tien-viet</v>
      </c>
      <c r="S39" s="17" t="str">
        <f>IFERROR(__xludf.DUMMYFUNCTION("""COMPUTED_VALUE"""),"tỷ giá Nhân dân tệ")</f>
        <v>tỷ giá Nhân dân tệ</v>
      </c>
      <c r="T39" s="21" t="str">
        <f>IFERROR(__xludf.DUMMYFUNCTION("""COMPUTED_VALUE"""),"https://techcombank.com/thong-tin/blog/thanh-toan-khi-du-lich-trung-quoc")</f>
        <v>https://techcombank.com/thong-tin/blog/thanh-toan-khi-du-lich-trung-quoc</v>
      </c>
      <c r="U39" s="17" t="str">
        <f>IFERROR(__xludf.DUMMYFUNCTION("""COMPUTED_VALUE"""),"1 Tệ bằng bao nhiêu tiền Việt")</f>
        <v>1 Tệ bằng bao nhiêu tiền Việt</v>
      </c>
      <c r="V39" s="21" t="str">
        <f>IFERROR(__xludf.DUMMYFUNCTION("""COMPUTED_VALUE"""),"https://techcombank.com/thong-tin/blog/gui-tiet-kiem-ngoai-te")</f>
        <v>https://techcombank.com/thong-tin/blog/gui-tiet-kiem-ngoai-te</v>
      </c>
      <c r="W39" s="17" t="str">
        <f>IFERROR(__xludf.DUMMYFUNCTION("""COMPUTED_VALUE"""),"tỷ giá Nhân dân tệ")</f>
        <v>tỷ giá Nhân dân tệ</v>
      </c>
      <c r="X39" s="21" t="str">
        <f>IFERROR(__xludf.DUMMYFUNCTION("""COMPUTED_VALUE"""),"https://techcombank.com/thong-tin/blog/chuyen-tien-dinh-cu")</f>
        <v>https://techcombank.com/thong-tin/blog/chuyen-tien-dinh-cu</v>
      </c>
      <c r="Y39" s="17" t="str">
        <f>IFERROR(__xludf.DUMMYFUNCTION("""COMPUTED_VALUE"""),"1 Tệ bằng bao nhiêu tiền Việt")</f>
        <v>1 Tệ bằng bao nhiêu tiền Việt</v>
      </c>
      <c r="Z39" s="21" t="str">
        <f>IFERROR(__xludf.DUMMYFUNCTION("""COMPUTED_VALUE"""),"https://techcombank.com/thong-tin/blog/han-muc-mua-ngoai-te-khi-di-du-lich")</f>
        <v>https://techcombank.com/thong-tin/blog/han-muc-mua-ngoai-te-khi-di-du-lich</v>
      </c>
      <c r="AA39" s="17" t="str">
        <f>IFERROR(__xludf.DUMMYFUNCTION("""COMPUTED_VALUE"""),"tỷ giá Nhân dân tệ")</f>
        <v>tỷ giá Nhân dân tệ</v>
      </c>
      <c r="AB39" s="21" t="str">
        <f>IFERROR(__xludf.DUMMYFUNCTION("""COMPUTED_VALUE"""),"https://techcombank.com/thong-tin/blog/ngoai-te-la-gi")</f>
        <v>https://techcombank.com/thong-tin/blog/ngoai-te-la-gi</v>
      </c>
      <c r="AC39" s="17" t="str">
        <f>IFERROR(__xludf.DUMMYFUNCTION("""COMPUTED_VALUE"""),"1 Tệ bằng bao nhiêu tiền Việt")</f>
        <v>1 Tệ bằng bao nhiêu tiền Việt</v>
      </c>
      <c r="AD39" s="21" t="str">
        <f>IFERROR(__xludf.DUMMYFUNCTION("""COMPUTED_VALUE"""),"https://techcombank.com/thong-tin/blog/tai-khoan-ngan-hang-la-gi")</f>
        <v>https://techcombank.com/thong-tin/blog/tai-khoan-ngan-hang-la-gi</v>
      </c>
      <c r="AE39" s="17" t="str">
        <f>IFERROR(__xludf.DUMMYFUNCTION("""COMPUTED_VALUE"""),"tỷ giá Nhân dân tệ")</f>
        <v>tỷ giá Nhân dân tệ</v>
      </c>
      <c r="AF39" s="21" t="str">
        <f>IFERROR(__xludf.DUMMYFUNCTION("""COMPUTED_VALUE"""),"https://techcombank.com/thong-tin/blog/di-du-lich-nuoc-ngoai-can-chuan-bi-gi")</f>
        <v>https://techcombank.com/thong-tin/blog/di-du-lich-nuoc-ngoai-can-chuan-bi-gi</v>
      </c>
      <c r="AG39" s="17" t="str">
        <f>IFERROR(__xludf.DUMMYFUNCTION("""COMPUTED_VALUE"""),"1 Tệ bằng bao nhiêu tiền Việt")</f>
        <v>1 Tệ bằng bao nhiêu tiền Việt</v>
      </c>
      <c r="AH39" s="21" t="str">
        <f>IFERROR(__xludf.DUMMYFUNCTION("""COMPUTED_VALUE"""),"https://techcombank.com/thong-tin/blog/quy-dinh-ve-mua-ban-ngoai-te-cua-doanh-nghiep")</f>
        <v>https://techcombank.com/thong-tin/blog/quy-dinh-ve-mua-ban-ngoai-te-cua-doanh-nghiep</v>
      </c>
      <c r="AI39" s="17" t="str">
        <f>IFERROR(__xludf.DUMMYFUNCTION("""COMPUTED_VALUE"""),"tỷ giá Nhân dân tệ")</f>
        <v>tỷ giá Nhân dân tệ</v>
      </c>
      <c r="AJ39" s="21" t="str">
        <f>IFERROR(__xludf.DUMMYFUNCTION("""COMPUTED_VALUE"""),"https://techcombank.com/thong-tin/blog/chuyen-tien-tu-duc-ve-viet-nam")</f>
        <v>https://techcombank.com/thong-tin/blog/chuyen-tien-tu-duc-ve-viet-nam</v>
      </c>
      <c r="AK39" s="17" t="str">
        <f>IFERROR(__xludf.DUMMYFUNCTION("""COMPUTED_VALUE"""),"1 Tệ bằng bao nhiêu tiền Việt")</f>
        <v>1 Tệ bằng bao nhiêu tiền Việt</v>
      </c>
      <c r="AL39" s="21" t="str">
        <f>IFERROR(__xludf.DUMMYFUNCTION("""COMPUTED_VALUE"""),"https://techcombank.com/thong-tin/blog/cach-nhan-tien-tu-nuoc-ngoai-ve-viet-nam")</f>
        <v>https://techcombank.com/thong-tin/blog/cach-nhan-tien-tu-nuoc-ngoai-ve-viet-nam</v>
      </c>
      <c r="AM39" s="17" t="str">
        <f>IFERROR(__xludf.DUMMYFUNCTION("""COMPUTED_VALUE"""),"tỷ giá Nhân dân tệ")</f>
        <v>tỷ giá Nhân dân tệ</v>
      </c>
      <c r="AN39" s="21" t="str">
        <f>IFERROR(__xludf.DUMMYFUNCTION("""COMPUTED_VALUE"""),"https://techcombank.com/thong-tin/blog/ngoai-hoi-la-gi")</f>
        <v>https://techcombank.com/thong-tin/blog/ngoai-hoi-la-gi</v>
      </c>
      <c r="AO39" s="17" t="str">
        <f>IFERROR(__xludf.DUMMYFUNCTION("""COMPUTED_VALUE"""),"1 Tệ bằng bao nhiêu tiền Việt")</f>
        <v>1 Tệ bằng bao nhiêu tiền Việt</v>
      </c>
      <c r="AP39" s="21" t="str">
        <f>IFERROR(__xludf.DUMMYFUNCTION("""COMPUTED_VALUE"""),"https://techcombank.com/thong-tin/blog/phi-chuyen-doi-ngoai-te")</f>
        <v>https://techcombank.com/thong-tin/blog/phi-chuyen-doi-ngoai-te</v>
      </c>
      <c r="AQ39" s="17" t="str">
        <f>IFERROR(__xludf.DUMMYFUNCTION("""COMPUTED_VALUE"""),"tỷ giá Nhân dân tệ")</f>
        <v>tỷ giá Nhân dân tệ</v>
      </c>
      <c r="AR39" s="21" t="str">
        <f>IFERROR(__xludf.DUMMYFUNCTION("""COMPUTED_VALUE"""),"https://techcombank.com/thong-tin/blog/chuyen-tien-tu-nhat-ve-viet-nam")</f>
        <v>https://techcombank.com/thong-tin/blog/chuyen-tien-tu-nhat-ve-viet-nam</v>
      </c>
      <c r="AS39" s="17" t="str">
        <f>IFERROR(__xludf.DUMMYFUNCTION("""COMPUTED_VALUE"""),"1 Tệ bằng bao nhiêu tiền Việt")</f>
        <v>1 Tệ bằng bao nhiêu tiền Việt</v>
      </c>
      <c r="AT39" s="21" t="str">
        <f>IFERROR(__xludf.DUMMYFUNCTION("""COMPUTED_VALUE"""),"https://techcombank.com/thong-tin/blog/1000-won-bang-bao-nhieu-tien-viet")</f>
        <v>https://techcombank.com/thong-tin/blog/1000-won-bang-bao-nhieu-tien-viet</v>
      </c>
      <c r="AU39" s="17" t="str">
        <f>IFERROR(__xludf.DUMMYFUNCTION("""COMPUTED_VALUE"""),"tỷ giá Nhân dân tệ")</f>
        <v>tỷ giá Nhân dân tệ</v>
      </c>
      <c r="AV39" s="21" t="str">
        <f>IFERROR(__xludf.DUMMYFUNCTION("""COMPUTED_VALUE"""),"https://techcombank.com/thong-tin/blog/tien-dai-loan")</f>
        <v>https://techcombank.com/thong-tin/blog/tien-dai-loan</v>
      </c>
      <c r="AW39" s="17" t="str">
        <f>IFERROR(__xludf.DUMMYFUNCTION("""COMPUTED_VALUE"""),"1 Tệ bằng bao nhiêu tiền Việt")</f>
        <v>1 Tệ bằng bao nhiêu tiền Việt</v>
      </c>
      <c r="AX39" s="21" t="str">
        <f>IFERROR(__xludf.DUMMYFUNCTION("""COMPUTED_VALUE"""),"https://techcombank.com/thong-tin/blog/ty-gia-cac-ngan-hang")</f>
        <v>https://techcombank.com/thong-tin/blog/ty-gia-cac-ngan-hang</v>
      </c>
      <c r="AY39" s="17" t="str">
        <f>IFERROR(__xludf.DUMMYFUNCTION("""COMPUTED_VALUE"""),"tỷ giá Nhân dân tệ")</f>
        <v>tỷ giá Nhân dân tệ</v>
      </c>
      <c r="AZ39" s="21" t="str">
        <f>IFERROR(__xludf.DUMMYFUNCTION("""COMPUTED_VALUE"""),"https://techcombank.com/thong-tin/blog/ty-gia-la-gi")</f>
        <v>https://techcombank.com/thong-tin/blog/ty-gia-la-gi</v>
      </c>
      <c r="BA39" s="17" t="str">
        <f>IFERROR(__xludf.DUMMYFUNCTION("""COMPUTED_VALUE"""),"1 Tệ bằng bao nhiêu tiền Việt")</f>
        <v>1 Tệ bằng bao nhiêu tiền Việt</v>
      </c>
      <c r="BB39" s="21" t="str">
        <f>IFERROR(__xludf.DUMMYFUNCTION("""COMPUTED_VALUE"""),"https://techcombank.com/thong-tin/blog/1-dong-do-la-my-bang-bao-nhieu-tien-viet-nam")</f>
        <v>https://techcombank.com/thong-tin/blog/1-dong-do-la-my-bang-bao-nhieu-tien-viet-nam</v>
      </c>
      <c r="BC39" s="17" t="str">
        <f>IFERROR(__xludf.DUMMYFUNCTION("""COMPUTED_VALUE"""),"tỷ giá Nhân dân tệ")</f>
        <v>tỷ giá Nhân dân tệ</v>
      </c>
      <c r="BD39" s="21" t="str">
        <f>IFERROR(__xludf.DUMMYFUNCTION("""COMPUTED_VALUE"""),"https://techcombank.com/thong-tin/blog/doi-tien-do-o-dau")</f>
        <v>https://techcombank.com/thong-tin/blog/doi-tien-do-o-dau</v>
      </c>
      <c r="BE39" s="17" t="str">
        <f>IFERROR(__xludf.DUMMYFUNCTION("""COMPUTED_VALUE"""),"1 Tệ bằng bao nhiêu tiền Việt")</f>
        <v>1 Tệ bằng bao nhiêu tiền Việt</v>
      </c>
      <c r="BF39" s="21" t="str">
        <f>IFERROR(__xludf.DUMMYFUNCTION("""COMPUTED_VALUE"""),"https://techcombank.com/thong-tin/blog/tien-singapore")</f>
        <v>https://techcombank.com/thong-tin/blog/tien-singapore</v>
      </c>
      <c r="BG39" s="17" t="str">
        <f>IFERROR(__xludf.DUMMYFUNCTION("""COMPUTED_VALUE"""),"tỷ giá Nhân dân tệ")</f>
        <v>tỷ giá Nhân dân tệ</v>
      </c>
      <c r="BH39" s="21" t="str">
        <f>IFERROR(__xludf.DUMMYFUNCTION("""COMPUTED_VALUE"""),"https://techcombank.com/thong-tin/blog/1000-yen-bang-bao-nhieu-tien-viet")</f>
        <v>https://techcombank.com/thong-tin/blog/1000-yen-bang-bao-nhieu-tien-viet</v>
      </c>
      <c r="BI39" s="17" t="str">
        <f>IFERROR(__xludf.DUMMYFUNCTION("""COMPUTED_VALUE"""),"1 Tệ bằng bao nhiêu tiền Việt")</f>
        <v>1 Tệ bằng bao nhiêu tiền Việt</v>
      </c>
      <c r="BJ39" s="21" t="str">
        <f>IFERROR(__xludf.DUMMYFUNCTION("""COMPUTED_VALUE"""),"https://techcombank.com/thong-tin/blog/100-riel-bang-bao-nhieu-tien-viet-nam")</f>
        <v>https://techcombank.com/thong-tin/blog/100-riel-bang-bao-nhieu-tien-viet-nam</v>
      </c>
      <c r="BK39" s="17" t="str">
        <f>IFERROR(__xludf.DUMMYFUNCTION("""COMPUTED_VALUE"""),"tỷ giá Nhân dân tệ")</f>
        <v>tỷ giá Nhân dân tệ</v>
      </c>
      <c r="BL39" s="21" t="str">
        <f>IFERROR(__xludf.DUMMYFUNCTION("""COMPUTED_VALUE"""),"https://techcombank.com/thong-tin/blog/tien-indonesia")</f>
        <v>https://techcombank.com/thong-tin/blog/tien-indonesia</v>
      </c>
      <c r="BM39" s="17" t="str">
        <f>IFERROR(__xludf.DUMMYFUNCTION("""COMPUTED_VALUE"""),"1 Tệ bằng bao nhiêu tiền Việt")</f>
        <v>1 Tệ bằng bao nhiêu tiền Việt</v>
      </c>
      <c r="BN39" s="21" t="str">
        <f>IFERROR(__xludf.DUMMYFUNCTION("""COMPUTED_VALUE"""),"https://techcombank.com/thong-tin/blog/1-won-bang-bao-nhieu-tien-viet")</f>
        <v>https://techcombank.com/thong-tin/blog/1-won-bang-bao-nhieu-tien-viet</v>
      </c>
      <c r="BO39" s="17" t="str">
        <f>IFERROR(__xludf.DUMMYFUNCTION("""COMPUTED_VALUE"""),"tỷ giá Nhân dân tệ")</f>
        <v>tỷ giá Nhân dân tệ</v>
      </c>
      <c r="BP39" s="21" t="str">
        <f>IFERROR(__xludf.DUMMYFUNCTION("""COMPUTED_VALUE"""),"https://techcombank.com/thong-tin/blog/1-do-uc-bang-bao-nhieu-tien-viet")</f>
        <v>https://techcombank.com/thong-tin/blog/1-do-uc-bang-bao-nhieu-tien-viet</v>
      </c>
      <c r="BQ39" s="17" t="str">
        <f>IFERROR(__xludf.DUMMYFUNCTION("""COMPUTED_VALUE"""),"1 Tệ bằng bao nhiêu tiền Việt")</f>
        <v>1 Tệ bằng bao nhiêu tiền Việt</v>
      </c>
      <c r="BR39" s="21" t="str">
        <f>IFERROR(__xludf.DUMMYFUNCTION("""COMPUTED_VALUE"""),"https://techcombank.com/thong-tin/blog/gui-tien-du-hoc")</f>
        <v>https://techcombank.com/thong-tin/blog/gui-tien-du-hoc</v>
      </c>
      <c r="BS39" s="17" t="str">
        <f>IFERROR(__xludf.DUMMYFUNCTION("""COMPUTED_VALUE"""),"tỷ giá Nhân dân tệ")</f>
        <v>tỷ giá Nhân dân tệ</v>
      </c>
      <c r="BT39" s="21" t="str">
        <f>IFERROR(__xludf.DUMMYFUNCTION("""COMPUTED_VALUE"""),"https://techcombank.com/thong-tin/blog/1-cent-bang-bao-nhieu-tien-viet")</f>
        <v>https://techcombank.com/thong-tin/blog/1-cent-bang-bao-nhieu-tien-viet</v>
      </c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7"/>
      <c r="FU39" s="17"/>
      <c r="FV39" s="17"/>
      <c r="FW39" s="17"/>
      <c r="FX39" s="17"/>
      <c r="FY39" s="17"/>
      <c r="FZ39" s="17"/>
      <c r="GA39" s="17"/>
      <c r="GB39" s="17"/>
      <c r="GC39" s="17"/>
      <c r="GD39" s="17"/>
      <c r="GE39" s="17"/>
      <c r="GF39" s="17"/>
      <c r="GG39" s="17"/>
      <c r="GH39" s="17"/>
      <c r="GI39" s="17"/>
      <c r="GJ39" s="17"/>
      <c r="GK39" s="17"/>
      <c r="GL39" s="17"/>
      <c r="GM39" s="17"/>
      <c r="GN39" s="17"/>
      <c r="GO39" s="17"/>
      <c r="GP39" s="17"/>
      <c r="GQ39" s="17"/>
      <c r="GR39" s="17"/>
      <c r="GS39" s="17"/>
      <c r="GT39" s="17"/>
      <c r="GU39" s="17"/>
      <c r="GV39" s="17"/>
      <c r="GW39" s="17"/>
      <c r="GX39" s="17"/>
      <c r="GY39" s="17"/>
      <c r="GZ39" s="17"/>
      <c r="HA39" s="17"/>
      <c r="HB39" s="17"/>
      <c r="HC39" s="17"/>
      <c r="HD39" s="17"/>
      <c r="HE39" s="17"/>
      <c r="HF39" s="17"/>
      <c r="HG39" s="17"/>
      <c r="HH39" s="17"/>
      <c r="HI39" s="17"/>
      <c r="HJ39" s="17"/>
      <c r="HK39" s="17"/>
      <c r="HL39" s="17"/>
      <c r="HM39" s="17"/>
      <c r="HN39" s="17"/>
      <c r="HO39" s="17"/>
      <c r="HP39" s="17"/>
      <c r="HQ39" s="17"/>
      <c r="HR39" s="17"/>
      <c r="HS39" s="17"/>
      <c r="HT39" s="17"/>
      <c r="HU39" s="17"/>
      <c r="HV39" s="17"/>
      <c r="HW39" s="17"/>
      <c r="HX39" s="17"/>
      <c r="HY39" s="17"/>
      <c r="HZ39" s="17"/>
      <c r="IA39" s="17"/>
      <c r="IB39" s="17"/>
      <c r="IC39" s="17"/>
      <c r="ID39" s="17"/>
      <c r="IE39" s="17"/>
      <c r="IF39" s="17"/>
      <c r="IG39" s="17"/>
      <c r="IH39" s="17"/>
      <c r="II39" s="17"/>
      <c r="IJ39" s="17"/>
      <c r="IK39" s="17"/>
      <c r="IL39" s="17"/>
      <c r="IM39" s="17"/>
      <c r="IN39" s="17"/>
      <c r="IO39" s="17"/>
      <c r="IP39" s="17"/>
      <c r="IQ39" s="17"/>
      <c r="IR39" s="17"/>
      <c r="IS39" s="17"/>
      <c r="IT39" s="17"/>
      <c r="IU39" s="17"/>
      <c r="IV39" s="17"/>
      <c r="IW39" s="17"/>
      <c r="IX39" s="17"/>
      <c r="IY39" s="17"/>
      <c r="IZ39" s="17"/>
      <c r="JA39" s="17"/>
      <c r="JB39" s="17"/>
      <c r="JC39" s="17"/>
      <c r="JD39" s="17"/>
      <c r="JE39" s="17"/>
      <c r="JF39" s="17"/>
      <c r="JG39" s="17"/>
      <c r="JH39" s="17"/>
      <c r="JI39" s="17"/>
      <c r="JJ39" s="17"/>
      <c r="JK39" s="17"/>
      <c r="JL39" s="17"/>
      <c r="JM39" s="17"/>
      <c r="JN39" s="17"/>
      <c r="JO39" s="17"/>
      <c r="JP39" s="17"/>
      <c r="JQ39" s="17"/>
      <c r="JR39" s="17"/>
      <c r="JS39" s="17"/>
      <c r="JT39" s="17"/>
      <c r="JU39" s="17"/>
      <c r="JV39" s="17"/>
      <c r="JW39" s="17"/>
      <c r="JX39" s="17"/>
      <c r="JY39" s="17"/>
      <c r="JZ39" s="17"/>
      <c r="KA39" s="17"/>
      <c r="KB39" s="17"/>
      <c r="KC39" s="17"/>
      <c r="KD39" s="17"/>
      <c r="KE39" s="17"/>
      <c r="KF39" s="17"/>
      <c r="KG39" s="17"/>
      <c r="KH39" s="17"/>
      <c r="KI39" s="17"/>
      <c r="KJ39" s="17"/>
      <c r="KK39" s="17"/>
      <c r="KL39" s="17"/>
      <c r="KM39" s="17"/>
      <c r="KN39" s="17"/>
      <c r="KO39" s="17"/>
      <c r="KP39" s="17"/>
      <c r="KQ39" s="17"/>
      <c r="KR39" s="17"/>
      <c r="KS39" s="17"/>
      <c r="KT39" s="17"/>
      <c r="KU39" s="17"/>
      <c r="KV39" s="17"/>
      <c r="KW39" s="17"/>
      <c r="KX39" s="17"/>
      <c r="KY39" s="17"/>
      <c r="KZ39" s="17"/>
      <c r="LA39" s="17"/>
      <c r="LB39" s="17"/>
      <c r="LC39" s="17"/>
      <c r="LD39" s="17"/>
      <c r="LE39" s="17"/>
      <c r="LF39" s="17"/>
      <c r="LG39" s="17"/>
      <c r="LH39" s="17"/>
      <c r="LI39" s="17"/>
      <c r="LJ39" s="17"/>
      <c r="LK39" s="17"/>
      <c r="LL39" s="17"/>
      <c r="LM39" s="17"/>
      <c r="LN39" s="17"/>
      <c r="LO39" s="17"/>
      <c r="LP39" s="17"/>
      <c r="LQ39" s="17"/>
      <c r="LR39" s="17"/>
      <c r="LS39" s="17"/>
      <c r="LT39" s="17"/>
      <c r="LU39" s="17"/>
      <c r="LV39" s="17"/>
      <c r="LW39" s="17"/>
      <c r="LX39" s="17"/>
      <c r="LY39" s="17"/>
      <c r="LZ39" s="17"/>
      <c r="MA39" s="17"/>
      <c r="MB39" s="17"/>
      <c r="MC39" s="17"/>
      <c r="MD39" s="17"/>
      <c r="ME39" s="17"/>
      <c r="MF39" s="17"/>
      <c r="MG39" s="17"/>
      <c r="MH39" s="17"/>
      <c r="MI39" s="17"/>
      <c r="MJ39" s="17"/>
      <c r="MK39" s="17"/>
      <c r="ML39" s="17"/>
      <c r="MM39" s="17"/>
      <c r="MN39" s="17"/>
      <c r="MO39" s="17"/>
      <c r="MP39" s="17"/>
      <c r="MQ39" s="17"/>
      <c r="MR39" s="17"/>
      <c r="MS39" s="17"/>
      <c r="MT39" s="17"/>
      <c r="MU39" s="17"/>
      <c r="MV39" s="17"/>
      <c r="MW39" s="17"/>
      <c r="MX39" s="17"/>
      <c r="MY39" s="17"/>
      <c r="MZ39" s="17"/>
      <c r="NA39" s="17"/>
      <c r="NB39" s="17"/>
      <c r="NC39" s="17"/>
      <c r="ND39" s="17"/>
      <c r="NE39" s="17"/>
      <c r="NF39" s="17"/>
      <c r="NG39" s="17"/>
      <c r="NH39" s="17"/>
      <c r="NI39" s="17"/>
      <c r="NJ39" s="17"/>
      <c r="NK39" s="17"/>
      <c r="NL39" s="17"/>
      <c r="NM39" s="17"/>
      <c r="NN39" s="17"/>
      <c r="NO39" s="17"/>
      <c r="NP39" s="17"/>
      <c r="NQ39" s="17"/>
      <c r="NR39" s="17"/>
      <c r="NS39" s="17"/>
      <c r="NT39" s="17"/>
      <c r="NU39" s="17"/>
      <c r="NV39" s="17"/>
      <c r="NW39" s="17"/>
      <c r="NX39" s="17"/>
      <c r="NY39" s="17"/>
      <c r="NZ39" s="17"/>
      <c r="OA39" s="17"/>
      <c r="OB39" s="17"/>
      <c r="OC39" s="17"/>
      <c r="OD39" s="17"/>
      <c r="OE39" s="17"/>
      <c r="OF39" s="17"/>
      <c r="OG39" s="17"/>
      <c r="OH39" s="17"/>
      <c r="OI39" s="17"/>
      <c r="OJ39" s="17"/>
      <c r="OK39" s="17"/>
      <c r="OL39" s="17"/>
      <c r="OM39" s="17"/>
      <c r="ON39" s="17"/>
      <c r="OO39" s="17"/>
      <c r="OP39" s="17"/>
      <c r="OQ39" s="17"/>
      <c r="OR39" s="17"/>
      <c r="OS39" s="17"/>
      <c r="OT39" s="17"/>
      <c r="OU39" s="17"/>
      <c r="OV39" s="17"/>
    </row>
    <row r="40" ht="18.0" customHeight="1">
      <c r="A40" s="16">
        <v>39.0</v>
      </c>
      <c r="B40" s="17" t="s">
        <v>1435</v>
      </c>
      <c r="C40" s="18" t="s">
        <v>1450</v>
      </c>
      <c r="D40" s="17" t="s">
        <v>553</v>
      </c>
      <c r="E40" s="16">
        <v>30.0</v>
      </c>
      <c r="F40" s="16">
        <f>COUNTIF('Tổng hợp 75 trang đích'!$B$2:$B$3400,$D40)</f>
        <v>30</v>
      </c>
      <c r="G40" s="16">
        <f>COUNTIFS('Tổng hợp 75 trang đích'!$B$2:$B$3400,$D40,'Tổng hợp 75 trang đích'!$K$2:$K$3400,"PHÙ HỢP CAO")</f>
        <v>3</v>
      </c>
      <c r="H40" s="16">
        <f>COUNTIFS('Tổng hợp 75 trang đích'!$B$2:$B$3400,$D40,'Tổng hợp 75 trang đích'!$K$2:$K$3400,"CÓ THỂ ĐI")</f>
        <v>2</v>
      </c>
      <c r="I40" s="16">
        <f>COUNTIFS('Tổng hợp 75 trang đích'!$B$2:$B$3400,$D40,'Tổng hợp 75 trang đích'!$K$2:$K$3400,"CẦN SOÁT")</f>
        <v>25</v>
      </c>
      <c r="J40" s="19" t="s">
        <v>555</v>
      </c>
      <c r="K40" s="19" t="b">
        <v>0</v>
      </c>
      <c r="L40" s="20" t="s">
        <v>333</v>
      </c>
      <c r="M40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đích'!$B$2:$B$3400=$D40),3,TR"&amp;"UE),1,2)),"""")"),"1 đô la Mỹ bằng bao nhiêu tiền Việt")</f>
        <v>1 đô la Mỹ bằng bao nhiêu tiền Việt</v>
      </c>
      <c r="N40" s="21" t="str">
        <f>IFERROR(__xludf.DUMMYFUNCTION("""COMPUTED_VALUE"""),"https://techcombank.com/thong-tin/blog/xu-huong-ty-gia-usd")</f>
        <v>https://techcombank.com/thong-tin/blog/xu-huong-ty-gia-usd</v>
      </c>
      <c r="O40" s="17" t="str">
        <f>IFERROR(__xludf.DUMMYFUNCTION("""COMPUTED_VALUE"""),"1 đô bằng bao nhiêu tiền Việt")</f>
        <v>1 đô bằng bao nhiêu tiền Việt</v>
      </c>
      <c r="P40" s="21" t="str">
        <f>IFERROR(__xludf.DUMMYFUNCTION("""COMPUTED_VALUE"""),"https://techcombank.com/thong-tin/blog/dieu-kien-mua-usd-tu-ngan-hang")</f>
        <v>https://techcombank.com/thong-tin/blog/dieu-kien-mua-usd-tu-ngan-hang</v>
      </c>
      <c r="Q40" s="17" t="str">
        <f>IFERROR(__xludf.DUMMYFUNCTION("""COMPUTED_VALUE"""),"tỷ giá USD/VND")</f>
        <v>tỷ giá USD/VND</v>
      </c>
      <c r="R40" s="21" t="str">
        <f>IFERROR(__xludf.DUMMYFUNCTION("""COMPUTED_VALUE"""),"https://techcombank.com/thong-tin/blog/1-cent-bang-bao-nhieu-tien-viet")</f>
        <v>https://techcombank.com/thong-tin/blog/1-cent-bang-bao-nhieu-tien-viet</v>
      </c>
      <c r="S40" s="17" t="str">
        <f>IFERROR(__xludf.DUMMYFUNCTION("""COMPUTED_VALUE"""),"1 đô la Mỹ bằng bao nhiêu tiền Việt")</f>
        <v>1 đô la Mỹ bằng bao nhiêu tiền Việt</v>
      </c>
      <c r="T40" s="21" t="str">
        <f>IFERROR(__xludf.DUMMYFUNCTION("""COMPUTED_VALUE"""),"https://techcombank.com/thong-tin/blog/lai-suat-gui-tiet-kiem-usd")</f>
        <v>https://techcombank.com/thong-tin/blog/lai-suat-gui-tiet-kiem-usd</v>
      </c>
      <c r="U40" s="17" t="str">
        <f>IFERROR(__xludf.DUMMYFUNCTION("""COMPUTED_VALUE"""),"1 đô bằng bao nhiêu tiền Việt")</f>
        <v>1 đô bằng bao nhiêu tiền Việt</v>
      </c>
      <c r="V40" s="21" t="str">
        <f>IFERROR(__xludf.DUMMYFUNCTION("""COMPUTED_VALUE"""),"https://techcombank.com/thong-tin/blog/chuyen-tien-tu-my-ve-viet-nam")</f>
        <v>https://techcombank.com/thong-tin/blog/chuyen-tien-tu-my-ve-viet-nam</v>
      </c>
      <c r="W40" s="17" t="str">
        <f>IFERROR(__xludf.DUMMYFUNCTION("""COMPUTED_VALUE"""),"tỷ giá USD/VND")</f>
        <v>tỷ giá USD/VND</v>
      </c>
      <c r="X40" s="21" t="str">
        <f>IFERROR(__xludf.DUMMYFUNCTION("""COMPUTED_VALUE"""),"https://techcombank.com/thong-tin/blog/vang-my-ky")</f>
        <v>https://techcombank.com/thong-tin/blog/vang-my-ky</v>
      </c>
      <c r="Y40" s="17" t="str">
        <f>IFERROR(__xludf.DUMMYFUNCTION("""COMPUTED_VALUE"""),"1 đô la Mỹ bằng bao nhiêu tiền Việt")</f>
        <v>1 đô la Mỹ bằng bao nhiêu tiền Việt</v>
      </c>
      <c r="Z40" s="21" t="str">
        <f>IFERROR(__xludf.DUMMYFUNCTION("""COMPUTED_VALUE"""),"https://techcombank.com/thong-tin/blog/han-muc-mua-ngoai-te-khi-di-du-lich")</f>
        <v>https://techcombank.com/thong-tin/blog/han-muc-mua-ngoai-te-khi-di-du-lich</v>
      </c>
      <c r="AA40" s="17" t="str">
        <f>IFERROR(__xludf.DUMMYFUNCTION("""COMPUTED_VALUE"""),"1 đô bằng bao nhiêu tiền Việt")</f>
        <v>1 đô bằng bao nhiêu tiền Việt</v>
      </c>
      <c r="AB40" s="21" t="str">
        <f>IFERROR(__xludf.DUMMYFUNCTION("""COMPUTED_VALUE"""),"https://techcombank.com/thong-tin/blog/cam-nang-dinh-cu-my")</f>
        <v>https://techcombank.com/thong-tin/blog/cam-nang-dinh-cu-my</v>
      </c>
      <c r="AC40" s="17" t="str">
        <f>IFERROR(__xludf.DUMMYFUNCTION("""COMPUTED_VALUE"""),"tỷ giá USD/VND")</f>
        <v>tỷ giá USD/VND</v>
      </c>
      <c r="AD40" s="21" t="str">
        <f>IFERROR(__xludf.DUMMYFUNCTION("""COMPUTED_VALUE"""),"https://techcombank.com/thong-tin/blog/gui-tiet-kiem-usd")</f>
        <v>https://techcombank.com/thong-tin/blog/gui-tiet-kiem-usd</v>
      </c>
      <c r="AE40" s="17" t="str">
        <f>IFERROR(__xludf.DUMMYFUNCTION("""COMPUTED_VALUE"""),"1 đô la Mỹ bằng bao nhiêu tiền Việt")</f>
        <v>1 đô la Mỹ bằng bao nhiêu tiền Việt</v>
      </c>
      <c r="AF40" s="21" t="str">
        <f>IFERROR(__xludf.DUMMYFUNCTION("""COMPUTED_VALUE"""),"https://techcombank.com/thong-tin/blog/doi-tien-do-o-dau")</f>
        <v>https://techcombank.com/thong-tin/blog/doi-tien-do-o-dau</v>
      </c>
      <c r="AG40" s="17" t="str">
        <f>IFERROR(__xludf.DUMMYFUNCTION("""COMPUTED_VALUE"""),"1 đô bằng bao nhiêu tiền Việt")</f>
        <v>1 đô bằng bao nhiêu tiền Việt</v>
      </c>
      <c r="AH40" s="21" t="str">
        <f>IFERROR(__xludf.DUMMYFUNCTION("""COMPUTED_VALUE"""),"https://techcombank.com/thong-tin/blog/chuyen-tien-di-uc")</f>
        <v>https://techcombank.com/thong-tin/blog/chuyen-tien-di-uc</v>
      </c>
      <c r="AI40" s="17" t="str">
        <f>IFERROR(__xludf.DUMMYFUNCTION("""COMPUTED_VALUE"""),"tỷ giá USD/VND")</f>
        <v>tỷ giá USD/VND</v>
      </c>
      <c r="AJ40" s="21" t="str">
        <f>IFERROR(__xludf.DUMMYFUNCTION("""COMPUTED_VALUE"""),"https://techcombank.com/thong-tin/blog/1-trieu-do-bang-bao-nhieu-tien-viet")</f>
        <v>https://techcombank.com/thong-tin/blog/1-trieu-do-bang-bao-nhieu-tien-viet</v>
      </c>
      <c r="AK40" s="17" t="str">
        <f>IFERROR(__xludf.DUMMYFUNCTION("""COMPUTED_VALUE"""),"1 đô la Mỹ bằng bao nhiêu tiền Việt")</f>
        <v>1 đô la Mỹ bằng bao nhiêu tiền Việt</v>
      </c>
      <c r="AL40" s="21" t="str">
        <f>IFERROR(__xludf.DUMMYFUNCTION("""COMPUTED_VALUE"""),"https://techcombank.com/thong-tin/blog/tien-singapore")</f>
        <v>https://techcombank.com/thong-tin/blog/tien-singapore</v>
      </c>
      <c r="AM40" s="17" t="str">
        <f>IFERROR(__xludf.DUMMYFUNCTION("""COMPUTED_VALUE"""),"1 đô bằng bao nhiêu tiền Việt")</f>
        <v>1 đô bằng bao nhiêu tiền Việt</v>
      </c>
      <c r="AN40" s="21" t="str">
        <f>IFERROR(__xludf.DUMMYFUNCTION("""COMPUTED_VALUE"""),"https://techcombank.com/thong-tin/blog/1-do-uc-bang-bao-nhieu-tien-viet")</f>
        <v>https://techcombank.com/thong-tin/blog/1-do-uc-bang-bao-nhieu-tien-viet</v>
      </c>
      <c r="AO40" s="17" t="str">
        <f>IFERROR(__xludf.DUMMYFUNCTION("""COMPUTED_VALUE"""),"tỷ giá USD/VND")</f>
        <v>tỷ giá USD/VND</v>
      </c>
      <c r="AP40" s="21" t="str">
        <f>IFERROR(__xludf.DUMMYFUNCTION("""COMPUTED_VALUE"""),"https://techcombank.com/thong-tin/blog/1-te-bang-bao-nhieu-tien-viet-nam")</f>
        <v>https://techcombank.com/thong-tin/blog/1-te-bang-bao-nhieu-tien-viet-nam</v>
      </c>
      <c r="AQ40" s="17" t="str">
        <f>IFERROR(__xludf.DUMMYFUNCTION("""COMPUTED_VALUE"""),"1 đô la Mỹ bằng bao nhiêu tiền Việt")</f>
        <v>1 đô la Mỹ bằng bao nhiêu tiền Việt</v>
      </c>
      <c r="AR40" s="21" t="str">
        <f>IFERROR(__xludf.DUMMYFUNCTION("""COMPUTED_VALUE"""),"https://techcombank.com/thong-tin/blog/tien-trung-quoc")</f>
        <v>https://techcombank.com/thong-tin/blog/tien-trung-quoc</v>
      </c>
      <c r="AS40" s="17" t="str">
        <f>IFERROR(__xludf.DUMMYFUNCTION("""COMPUTED_VALUE"""),"1 đô bằng bao nhiêu tiền Việt")</f>
        <v>1 đô bằng bao nhiêu tiền Việt</v>
      </c>
      <c r="AT40" s="21" t="str">
        <f>IFERROR(__xludf.DUMMYFUNCTION("""COMPUTED_VALUE"""),"https://techcombank.com/thong-tin/blog/1000-won-bang-bao-nhieu-tien-viet")</f>
        <v>https://techcombank.com/thong-tin/blog/1000-won-bang-bao-nhieu-tien-viet</v>
      </c>
      <c r="AU40" s="17" t="str">
        <f>IFERROR(__xludf.DUMMYFUNCTION("""COMPUTED_VALUE"""),"tỷ giá USD/VND")</f>
        <v>tỷ giá USD/VND</v>
      </c>
      <c r="AV40" s="21" t="str">
        <f>IFERROR(__xludf.DUMMYFUNCTION("""COMPUTED_VALUE"""),"https://techcombank.com/thong-tin/blog/di-du-lich-nuoc-ngoai-can-chuan-bi-gi")</f>
        <v>https://techcombank.com/thong-tin/blog/di-du-lich-nuoc-ngoai-can-chuan-bi-gi</v>
      </c>
      <c r="AW40" s="17" t="str">
        <f>IFERROR(__xludf.DUMMYFUNCTION("""COMPUTED_VALUE"""),"1 đô la Mỹ bằng bao nhiêu tiền Việt")</f>
        <v>1 đô la Mỹ bằng bao nhiêu tiền Việt</v>
      </c>
      <c r="AX40" s="21" t="str">
        <f>IFERROR(__xludf.DUMMYFUNCTION("""COMPUTED_VALUE"""),"https://techcombank.com/thong-tin/blog/1000-yen-bang-bao-nhieu-tien-viet")</f>
        <v>https://techcombank.com/thong-tin/blog/1000-yen-bang-bao-nhieu-tien-viet</v>
      </c>
      <c r="AY40" s="17" t="str">
        <f>IFERROR(__xludf.DUMMYFUNCTION("""COMPUTED_VALUE"""),"1 đô bằng bao nhiêu tiền Việt")</f>
        <v>1 đô bằng bao nhiêu tiền Việt</v>
      </c>
      <c r="AZ40" s="21" t="str">
        <f>IFERROR(__xludf.DUMMYFUNCTION("""COMPUTED_VALUE"""),"https://techcombank.com/thong-tin/blog/chuyen-tien-tu-nhat-ve-viet-nam")</f>
        <v>https://techcombank.com/thong-tin/blog/chuyen-tien-tu-nhat-ve-viet-nam</v>
      </c>
      <c r="BA40" s="17" t="str">
        <f>IFERROR(__xludf.DUMMYFUNCTION("""COMPUTED_VALUE"""),"tỷ giá USD/VND")</f>
        <v>tỷ giá USD/VND</v>
      </c>
      <c r="BB40" s="21" t="str">
        <f>IFERROR(__xludf.DUMMYFUNCTION("""COMPUTED_VALUE"""),"https://techcombank.com/thong-tin/blog/1-van-te-bang-bao-nhieu-tien-viet")</f>
        <v>https://techcombank.com/thong-tin/blog/1-van-te-bang-bao-nhieu-tien-viet</v>
      </c>
      <c r="BC40" s="17" t="str">
        <f>IFERROR(__xludf.DUMMYFUNCTION("""COMPUTED_VALUE"""),"1 đô la Mỹ bằng bao nhiêu tiền Việt")</f>
        <v>1 đô la Mỹ bằng bao nhiêu tiền Việt</v>
      </c>
      <c r="BD40" s="21" t="str">
        <f>IFERROR(__xludf.DUMMYFUNCTION("""COMPUTED_VALUE"""),"https://techcombank.com/thong-tin/blog/1000-te-bang-bao-nhieu-tien-viet")</f>
        <v>https://techcombank.com/thong-tin/blog/1000-te-bang-bao-nhieu-tien-viet</v>
      </c>
      <c r="BE40" s="17" t="str">
        <f>IFERROR(__xludf.DUMMYFUNCTION("""COMPUTED_VALUE"""),"1 đô bằng bao nhiêu tiền Việt")</f>
        <v>1 đô bằng bao nhiêu tiền Việt</v>
      </c>
      <c r="BF40" s="21" t="str">
        <f>IFERROR(__xludf.DUMMYFUNCTION("""COMPUTED_VALUE"""),"https://techcombank.com/thong-tin/blog/100-riel-bang-bao-nhieu-tien-viet-nam")</f>
        <v>https://techcombank.com/thong-tin/blog/100-riel-bang-bao-nhieu-tien-viet-nam</v>
      </c>
      <c r="BG40" s="17" t="str">
        <f>IFERROR(__xludf.DUMMYFUNCTION("""COMPUTED_VALUE"""),"tỷ giá USD/VND")</f>
        <v>tỷ giá USD/VND</v>
      </c>
      <c r="BH40" s="21" t="str">
        <f>IFERROR(__xludf.DUMMYFUNCTION("""COMPUTED_VALUE"""),"https://techcombank.com/thong-tin/blog/tien-indonesia")</f>
        <v>https://techcombank.com/thong-tin/blog/tien-indonesia</v>
      </c>
      <c r="BI40" s="17" t="str">
        <f>IFERROR(__xludf.DUMMYFUNCTION("""COMPUTED_VALUE"""),"1 đô la Mỹ bằng bao nhiêu tiền Việt")</f>
        <v>1 đô la Mỹ bằng bao nhiêu tiền Việt</v>
      </c>
      <c r="BJ40" s="21" t="str">
        <f>IFERROR(__xludf.DUMMYFUNCTION("""COMPUTED_VALUE"""),"https://techcombank.com/thong-tin/blog/tien-dai-loan")</f>
        <v>https://techcombank.com/thong-tin/blog/tien-dai-loan</v>
      </c>
      <c r="BK40" s="17" t="str">
        <f>IFERROR(__xludf.DUMMYFUNCTION("""COMPUTED_VALUE"""),"1 đô bằng bao nhiêu tiền Việt")</f>
        <v>1 đô bằng bao nhiêu tiền Việt</v>
      </c>
      <c r="BL40" s="21" t="str">
        <f>IFERROR(__xludf.DUMMYFUNCTION("""COMPUTED_VALUE"""),"https://techcombank.com/thong-tin/blog/1-won-bang-bao-nhieu-tien-viet")</f>
        <v>https://techcombank.com/thong-tin/blog/1-won-bang-bao-nhieu-tien-viet</v>
      </c>
      <c r="BM40" s="17" t="str">
        <f>IFERROR(__xludf.DUMMYFUNCTION("""COMPUTED_VALUE"""),"tỷ giá USD/VND")</f>
        <v>tỷ giá USD/VND</v>
      </c>
      <c r="BN40" s="21" t="str">
        <f>IFERROR(__xludf.DUMMYFUNCTION("""COMPUTED_VALUE"""),"https://techcombank.com/thong-tin/blog/gui-tien-du-hoc")</f>
        <v>https://techcombank.com/thong-tin/blog/gui-tien-du-hoc</v>
      </c>
      <c r="BO40" s="17" t="str">
        <f>IFERROR(__xludf.DUMMYFUNCTION("""COMPUTED_VALUE"""),"1 đô la Mỹ bằng bao nhiêu tiền Việt")</f>
        <v>1 đô la Mỹ bằng bao nhiêu tiền Việt</v>
      </c>
      <c r="BP40" s="21" t="str">
        <f>IFERROR(__xludf.DUMMYFUNCTION("""COMPUTED_VALUE"""),"https://techcombank.com/thong-tin/blog/tien-nhat")</f>
        <v>https://techcombank.com/thong-tin/blog/tien-nhat</v>
      </c>
      <c r="BQ40" s="17" t="str">
        <f>IFERROR(__xludf.DUMMYFUNCTION("""COMPUTED_VALUE"""),"1 đô bằng bao nhiêu tiền Việt")</f>
        <v>1 đô bằng bao nhiêu tiền Việt</v>
      </c>
      <c r="BR40" s="21" t="str">
        <f>IFERROR(__xludf.DUMMYFUNCTION("""COMPUTED_VALUE"""),"https://techcombank.com/thong-tin/blog/chuyen-tien-dinh-cu")</f>
        <v>https://techcombank.com/thong-tin/blog/chuyen-tien-dinh-cu</v>
      </c>
      <c r="BS40" s="17" t="str">
        <f>IFERROR(__xludf.DUMMYFUNCTION("""COMPUTED_VALUE"""),"tỷ giá USD/VND")</f>
        <v>tỷ giá USD/VND</v>
      </c>
      <c r="BT40" s="21" t="str">
        <f>IFERROR(__xludf.DUMMYFUNCTION("""COMPUTED_VALUE"""),"https://techcombank.com/thong-tin/blog/tien-malaysia")</f>
        <v>https://techcombank.com/thong-tin/blog/tien-malaysia</v>
      </c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7"/>
      <c r="FU40" s="17"/>
      <c r="FV40" s="17"/>
      <c r="FW40" s="17"/>
      <c r="FX40" s="17"/>
      <c r="FY40" s="17"/>
      <c r="FZ40" s="17"/>
      <c r="GA40" s="17"/>
      <c r="GB40" s="17"/>
      <c r="GC40" s="17"/>
      <c r="GD40" s="17"/>
      <c r="GE40" s="17"/>
      <c r="GF40" s="17"/>
      <c r="GG40" s="17"/>
      <c r="GH40" s="17"/>
      <c r="GI40" s="17"/>
      <c r="GJ40" s="17"/>
      <c r="GK40" s="17"/>
      <c r="GL40" s="17"/>
      <c r="GM40" s="17"/>
      <c r="GN40" s="17"/>
      <c r="GO40" s="17"/>
      <c r="GP40" s="17"/>
      <c r="GQ40" s="17"/>
      <c r="GR40" s="17"/>
      <c r="GS40" s="17"/>
      <c r="GT40" s="17"/>
      <c r="GU40" s="17"/>
      <c r="GV40" s="17"/>
      <c r="GW40" s="17"/>
      <c r="GX40" s="17"/>
      <c r="GY40" s="17"/>
      <c r="GZ40" s="17"/>
      <c r="HA40" s="17"/>
      <c r="HB40" s="17"/>
      <c r="HC40" s="17"/>
      <c r="HD40" s="17"/>
      <c r="HE40" s="17"/>
      <c r="HF40" s="17"/>
      <c r="HG40" s="17"/>
      <c r="HH40" s="17"/>
      <c r="HI40" s="17"/>
      <c r="HJ40" s="17"/>
      <c r="HK40" s="17"/>
      <c r="HL40" s="17"/>
      <c r="HM40" s="17"/>
      <c r="HN40" s="17"/>
      <c r="HO40" s="17"/>
      <c r="HP40" s="17"/>
      <c r="HQ40" s="17"/>
      <c r="HR40" s="17"/>
      <c r="HS40" s="17"/>
      <c r="HT40" s="17"/>
      <c r="HU40" s="17"/>
      <c r="HV40" s="17"/>
      <c r="HW40" s="17"/>
      <c r="HX40" s="17"/>
      <c r="HY40" s="17"/>
      <c r="HZ40" s="17"/>
      <c r="IA40" s="17"/>
      <c r="IB40" s="17"/>
      <c r="IC40" s="17"/>
      <c r="ID40" s="17"/>
      <c r="IE40" s="17"/>
      <c r="IF40" s="17"/>
      <c r="IG40" s="17"/>
      <c r="IH40" s="17"/>
      <c r="II40" s="17"/>
      <c r="IJ40" s="17"/>
      <c r="IK40" s="17"/>
      <c r="IL40" s="17"/>
      <c r="IM40" s="17"/>
      <c r="IN40" s="17"/>
      <c r="IO40" s="17"/>
      <c r="IP40" s="17"/>
      <c r="IQ40" s="17"/>
      <c r="IR40" s="17"/>
      <c r="IS40" s="17"/>
      <c r="IT40" s="17"/>
      <c r="IU40" s="17"/>
      <c r="IV40" s="17"/>
      <c r="IW40" s="17"/>
      <c r="IX40" s="17"/>
      <c r="IY40" s="17"/>
      <c r="IZ40" s="17"/>
      <c r="JA40" s="17"/>
      <c r="JB40" s="17"/>
      <c r="JC40" s="17"/>
      <c r="JD40" s="17"/>
      <c r="JE40" s="17"/>
      <c r="JF40" s="17"/>
      <c r="JG40" s="17"/>
      <c r="JH40" s="17"/>
      <c r="JI40" s="17"/>
      <c r="JJ40" s="17"/>
      <c r="JK40" s="17"/>
      <c r="JL40" s="17"/>
      <c r="JM40" s="17"/>
      <c r="JN40" s="17"/>
      <c r="JO40" s="17"/>
      <c r="JP40" s="17"/>
      <c r="JQ40" s="17"/>
      <c r="JR40" s="17"/>
      <c r="JS40" s="17"/>
      <c r="JT40" s="17"/>
      <c r="JU40" s="17"/>
      <c r="JV40" s="17"/>
      <c r="JW40" s="17"/>
      <c r="JX40" s="17"/>
      <c r="JY40" s="17"/>
      <c r="JZ40" s="17"/>
      <c r="KA40" s="17"/>
      <c r="KB40" s="17"/>
      <c r="KC40" s="17"/>
      <c r="KD40" s="17"/>
      <c r="KE40" s="17"/>
      <c r="KF40" s="17"/>
      <c r="KG40" s="17"/>
      <c r="KH40" s="17"/>
      <c r="KI40" s="17"/>
      <c r="KJ40" s="17"/>
      <c r="KK40" s="17"/>
      <c r="KL40" s="17"/>
      <c r="KM40" s="17"/>
      <c r="KN40" s="17"/>
      <c r="KO40" s="17"/>
      <c r="KP40" s="17"/>
      <c r="KQ40" s="17"/>
      <c r="KR40" s="17"/>
      <c r="KS40" s="17"/>
      <c r="KT40" s="17"/>
      <c r="KU40" s="17"/>
      <c r="KV40" s="17"/>
      <c r="KW40" s="17"/>
      <c r="KX40" s="17"/>
      <c r="KY40" s="17"/>
      <c r="KZ40" s="17"/>
      <c r="LA40" s="17"/>
      <c r="LB40" s="17"/>
      <c r="LC40" s="17"/>
      <c r="LD40" s="17"/>
      <c r="LE40" s="17"/>
      <c r="LF40" s="17"/>
      <c r="LG40" s="17"/>
      <c r="LH40" s="17"/>
      <c r="LI40" s="17"/>
      <c r="LJ40" s="17"/>
      <c r="LK40" s="17"/>
      <c r="LL40" s="17"/>
      <c r="LM40" s="17"/>
      <c r="LN40" s="17"/>
      <c r="LO40" s="17"/>
      <c r="LP40" s="17"/>
      <c r="LQ40" s="17"/>
      <c r="LR40" s="17"/>
      <c r="LS40" s="17"/>
      <c r="LT40" s="17"/>
      <c r="LU40" s="17"/>
      <c r="LV40" s="17"/>
      <c r="LW40" s="17"/>
      <c r="LX40" s="17"/>
      <c r="LY40" s="17"/>
      <c r="LZ40" s="17"/>
      <c r="MA40" s="17"/>
      <c r="MB40" s="17"/>
      <c r="MC40" s="17"/>
      <c r="MD40" s="17"/>
      <c r="ME40" s="17"/>
      <c r="MF40" s="17"/>
      <c r="MG40" s="17"/>
      <c r="MH40" s="17"/>
      <c r="MI40" s="17"/>
      <c r="MJ40" s="17"/>
      <c r="MK40" s="17"/>
      <c r="ML40" s="17"/>
      <c r="MM40" s="17"/>
      <c r="MN40" s="17"/>
      <c r="MO40" s="17"/>
      <c r="MP40" s="17"/>
      <c r="MQ40" s="17"/>
      <c r="MR40" s="17"/>
      <c r="MS40" s="17"/>
      <c r="MT40" s="17"/>
      <c r="MU40" s="17"/>
      <c r="MV40" s="17"/>
      <c r="MW40" s="17"/>
      <c r="MX40" s="17"/>
      <c r="MY40" s="17"/>
      <c r="MZ40" s="17"/>
      <c r="NA40" s="17"/>
      <c r="NB40" s="17"/>
      <c r="NC40" s="17"/>
      <c r="ND40" s="17"/>
      <c r="NE40" s="17"/>
      <c r="NF40" s="17"/>
      <c r="NG40" s="17"/>
      <c r="NH40" s="17"/>
      <c r="NI40" s="17"/>
      <c r="NJ40" s="17"/>
      <c r="NK40" s="17"/>
      <c r="NL40" s="17"/>
      <c r="NM40" s="17"/>
      <c r="NN40" s="17"/>
      <c r="NO40" s="17"/>
      <c r="NP40" s="17"/>
      <c r="NQ40" s="17"/>
      <c r="NR40" s="17"/>
      <c r="NS40" s="17"/>
      <c r="NT40" s="17"/>
      <c r="NU40" s="17"/>
      <c r="NV40" s="17"/>
      <c r="NW40" s="17"/>
      <c r="NX40" s="17"/>
      <c r="NY40" s="17"/>
      <c r="NZ40" s="17"/>
      <c r="OA40" s="17"/>
      <c r="OB40" s="17"/>
      <c r="OC40" s="17"/>
      <c r="OD40" s="17"/>
      <c r="OE40" s="17"/>
      <c r="OF40" s="17"/>
      <c r="OG40" s="17"/>
      <c r="OH40" s="17"/>
      <c r="OI40" s="17"/>
      <c r="OJ40" s="17"/>
      <c r="OK40" s="17"/>
      <c r="OL40" s="17"/>
      <c r="OM40" s="17"/>
      <c r="ON40" s="17"/>
      <c r="OO40" s="17"/>
      <c r="OP40" s="17"/>
      <c r="OQ40" s="17"/>
      <c r="OR40" s="17"/>
      <c r="OS40" s="17"/>
      <c r="OT40" s="17"/>
      <c r="OU40" s="17"/>
      <c r="OV40" s="17"/>
    </row>
    <row r="41" ht="18.0" customHeight="1">
      <c r="A41" s="16">
        <v>40.0</v>
      </c>
      <c r="B41" s="17" t="s">
        <v>1435</v>
      </c>
      <c r="C41" s="18" t="s">
        <v>1465</v>
      </c>
      <c r="D41" s="17" t="s">
        <v>554</v>
      </c>
      <c r="E41" s="16">
        <v>30.0</v>
      </c>
      <c r="F41" s="16">
        <f>COUNTIF('Tổng hợp 75 trang đích'!$B$2:$B$3400,$D41)</f>
        <v>30</v>
      </c>
      <c r="G41" s="16">
        <f>COUNTIFS('Tổng hợp 75 trang đích'!$B$2:$B$3400,$D41,'Tổng hợp 75 trang đích'!$K$2:$K$3400,"PHÙ HỢP CAO")</f>
        <v>4</v>
      </c>
      <c r="H41" s="16">
        <f>COUNTIFS('Tổng hợp 75 trang đích'!$B$2:$B$3400,$D41,'Tổng hợp 75 trang đích'!$K$2:$K$3400,"CÓ THỂ ĐI")</f>
        <v>1</v>
      </c>
      <c r="I41" s="16">
        <f>COUNTIFS('Tổng hợp 75 trang đích'!$B$2:$B$3400,$D41,'Tổng hợp 75 trang đích'!$K$2:$K$3400,"CẦN SOÁT")</f>
        <v>25</v>
      </c>
      <c r="J41" s="19" t="s">
        <v>555</v>
      </c>
      <c r="K41" s="19" t="b">
        <v>0</v>
      </c>
      <c r="L41" s="20" t="s">
        <v>333</v>
      </c>
      <c r="M41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đích'!$B$2:$B$3400=$D41),3,TR"&amp;"UE),1,2)),"""")"),"tiền Nhật")</f>
        <v>tiền Nhật</v>
      </c>
      <c r="N41" s="21" t="str">
        <f>IFERROR(__xludf.DUMMYFUNCTION("""COMPUTED_VALUE"""),"https://techcombank.com/thong-tin/blog/thanh-toan-khi-du-lich-nhat-ban")</f>
        <v>https://techcombank.com/thong-tin/blog/thanh-toan-khi-du-lich-nhat-ban</v>
      </c>
      <c r="O41" s="17" t="str">
        <f>IFERROR(__xludf.DUMMYFUNCTION("""COMPUTED_VALUE"""),"tiền Yên Nhật")</f>
        <v>tiền Yên Nhật</v>
      </c>
      <c r="P41" s="21" t="str">
        <f>IFERROR(__xludf.DUMMYFUNCTION("""COMPUTED_VALUE"""),"https://techcombank.com/thong-tin/blog/chuyen-tien-tu-nhat-ve-viet-nam")</f>
        <v>https://techcombank.com/thong-tin/blog/chuyen-tien-tu-nhat-ve-viet-nam</v>
      </c>
      <c r="Q41" s="17" t="str">
        <f>IFERROR(__xludf.DUMMYFUNCTION("""COMPUTED_VALUE"""),"tiền Nhật")</f>
        <v>tiền Nhật</v>
      </c>
      <c r="R41" s="21" t="str">
        <f>IFERROR(__xludf.DUMMYFUNCTION("""COMPUTED_VALUE"""),"https://techcombank.com/thong-tin/blog/1-yen-bang-bao-nhieu-tien-viet-nam")</f>
        <v>https://techcombank.com/thong-tin/blog/1-yen-bang-bao-nhieu-tien-viet-nam</v>
      </c>
      <c r="S41" s="17" t="str">
        <f>IFERROR(__xludf.DUMMYFUNCTION("""COMPUTED_VALUE"""),"tiền Yên Nhật")</f>
        <v>tiền Yên Nhật</v>
      </c>
      <c r="T41" s="21" t="str">
        <f>IFERROR(__xludf.DUMMYFUNCTION("""COMPUTED_VALUE"""),"https://techcombank.com/thong-tin/blog/1-man-bang-bao-nhieu-tien-viet")</f>
        <v>https://techcombank.com/thong-tin/blog/1-man-bang-bao-nhieu-tien-viet</v>
      </c>
      <c r="U41" s="17" t="str">
        <f>IFERROR(__xludf.DUMMYFUNCTION("""COMPUTED_VALUE"""),"tiền Nhật")</f>
        <v>tiền Nhật</v>
      </c>
      <c r="V41" s="21" t="str">
        <f>IFERROR(__xludf.DUMMYFUNCTION("""COMPUTED_VALUE"""),"https://techcombank.com/thong-tin/blog/cach-tiet-kiem-tien-cua-nguoi-nhat")</f>
        <v>https://techcombank.com/thong-tin/blog/cach-tiet-kiem-tien-cua-nguoi-nhat</v>
      </c>
      <c r="W41" s="17" t="str">
        <f>IFERROR(__xludf.DUMMYFUNCTION("""COMPUTED_VALUE"""),"tiền Yên Nhật")</f>
        <v>tiền Yên Nhật</v>
      </c>
      <c r="X41" s="21" t="str">
        <f>IFERROR(__xludf.DUMMYFUNCTION("""COMPUTED_VALUE"""),"https://techcombank.com/thong-tin/blog/chixmax")</f>
        <v>https://techcombank.com/thong-tin/blog/chixmax</v>
      </c>
      <c r="Y41" s="17" t="str">
        <f>IFERROR(__xludf.DUMMYFUNCTION("""COMPUTED_VALUE"""),"tiền Nhật")</f>
        <v>tiền Nhật</v>
      </c>
      <c r="Z41" s="21" t="str">
        <f>IFERROR(__xludf.DUMMYFUNCTION("""COMPUTED_VALUE"""),"https://techcombank.com/thong-tin/blog/han-muc-mua-ngoai-te-khi-di-du-lich")</f>
        <v>https://techcombank.com/thong-tin/blog/han-muc-mua-ngoai-te-khi-di-du-lich</v>
      </c>
      <c r="AA41" s="17" t="str">
        <f>IFERROR(__xludf.DUMMYFUNCTION("""COMPUTED_VALUE"""),"tiền Yên Nhật")</f>
        <v>tiền Yên Nhật</v>
      </c>
      <c r="AB41" s="21" t="str">
        <f>IFERROR(__xludf.DUMMYFUNCTION("""COMPUTED_VALUE"""),"https://techcombank.com/thong-tin/blog/1000-yen-bang-bao-nhieu-tien-viet")</f>
        <v>https://techcombank.com/thong-tin/blog/1000-yen-bang-bao-nhieu-tien-viet</v>
      </c>
      <c r="AC41" s="17" t="str">
        <f>IFERROR(__xludf.DUMMYFUNCTION("""COMPUTED_VALUE"""),"tiền Nhật")</f>
        <v>tiền Nhật</v>
      </c>
      <c r="AD41" s="21" t="str">
        <f>IFERROR(__xludf.DUMMYFUNCTION("""COMPUTED_VALUE"""),"https://techcombank.com/thong-tin/blog/1-dong-do-la-my-bang-bao-nhieu-tien-viet-nam")</f>
        <v>https://techcombank.com/thong-tin/blog/1-dong-do-la-my-bang-bao-nhieu-tien-viet-nam</v>
      </c>
      <c r="AE41" s="17" t="str">
        <f>IFERROR(__xludf.DUMMYFUNCTION("""COMPUTED_VALUE"""),"tiền Yên Nhật")</f>
        <v>tiền Yên Nhật</v>
      </c>
      <c r="AF41" s="21" t="str">
        <f>IFERROR(__xludf.DUMMYFUNCTION("""COMPUTED_VALUE"""),"https://techcombank.com/thong-tin/blog/1-te-bang-bao-nhieu-tien-viet-nam")</f>
        <v>https://techcombank.com/thong-tin/blog/1-te-bang-bao-nhieu-tien-viet-nam</v>
      </c>
      <c r="AG41" s="17" t="str">
        <f>IFERROR(__xludf.DUMMYFUNCTION("""COMPUTED_VALUE"""),"tiền Nhật")</f>
        <v>tiền Nhật</v>
      </c>
      <c r="AH41" s="21" t="str">
        <f>IFERROR(__xludf.DUMMYFUNCTION("""COMPUTED_VALUE"""),"https://techcombank.com/thong-tin/blog/tien-trung-quoc")</f>
        <v>https://techcombank.com/thong-tin/blog/tien-trung-quoc</v>
      </c>
      <c r="AI41" s="17" t="str">
        <f>IFERROR(__xludf.DUMMYFUNCTION("""COMPUTED_VALUE"""),"tiền Yên Nhật")</f>
        <v>tiền Yên Nhật</v>
      </c>
      <c r="AJ41" s="21" t="str">
        <f>IFERROR(__xludf.DUMMYFUNCTION("""COMPUTED_VALUE"""),"https://techcombank.com/thong-tin/blog/doi-tien-do-o-dau")</f>
        <v>https://techcombank.com/thong-tin/blog/doi-tien-do-o-dau</v>
      </c>
      <c r="AK41" s="17" t="str">
        <f>IFERROR(__xludf.DUMMYFUNCTION("""COMPUTED_VALUE"""),"tiền Nhật")</f>
        <v>tiền Nhật</v>
      </c>
      <c r="AL41" s="21" t="str">
        <f>IFERROR(__xludf.DUMMYFUNCTION("""COMPUTED_VALUE"""),"https://techcombank.com/thong-tin/blog/tien-singapore")</f>
        <v>https://techcombank.com/thong-tin/blog/tien-singapore</v>
      </c>
      <c r="AM41" s="17" t="str">
        <f>IFERROR(__xludf.DUMMYFUNCTION("""COMPUTED_VALUE"""),"tiền Yên Nhật")</f>
        <v>tiền Yên Nhật</v>
      </c>
      <c r="AN41" s="21" t="str">
        <f>IFERROR(__xludf.DUMMYFUNCTION("""COMPUTED_VALUE"""),"https://techcombank.com/thong-tin/blog/1000-won-bang-bao-nhieu-tien-viet")</f>
        <v>https://techcombank.com/thong-tin/blog/1000-won-bang-bao-nhieu-tien-viet</v>
      </c>
      <c r="AO41" s="17" t="str">
        <f>IFERROR(__xludf.DUMMYFUNCTION("""COMPUTED_VALUE"""),"tiền Nhật")</f>
        <v>tiền Nhật</v>
      </c>
      <c r="AP41" s="21" t="str">
        <f>IFERROR(__xludf.DUMMYFUNCTION("""COMPUTED_VALUE"""),"https://techcombank.com/thong-tin/blog/di-du-lich-nuoc-ngoai-can-chuan-bi-gi")</f>
        <v>https://techcombank.com/thong-tin/blog/di-du-lich-nuoc-ngoai-can-chuan-bi-gi</v>
      </c>
      <c r="AQ41" s="17" t="str">
        <f>IFERROR(__xludf.DUMMYFUNCTION("""COMPUTED_VALUE"""),"tiền Yên Nhật")</f>
        <v>tiền Yên Nhật</v>
      </c>
      <c r="AR41" s="21" t="str">
        <f>IFERROR(__xludf.DUMMYFUNCTION("""COMPUTED_VALUE"""),"https://techcombank.com/thong-tin/blog/1-van-te-bang-bao-nhieu-tien-viet")</f>
        <v>https://techcombank.com/thong-tin/blog/1-van-te-bang-bao-nhieu-tien-viet</v>
      </c>
      <c r="AS41" s="17" t="str">
        <f>IFERROR(__xludf.DUMMYFUNCTION("""COMPUTED_VALUE"""),"tiền Nhật")</f>
        <v>tiền Nhật</v>
      </c>
      <c r="AT41" s="21" t="str">
        <f>IFERROR(__xludf.DUMMYFUNCTION("""COMPUTED_VALUE"""),"https://techcombank.com/thong-tin/blog/1000-te-bang-bao-nhieu-tien-viet")</f>
        <v>https://techcombank.com/thong-tin/blog/1000-te-bang-bao-nhieu-tien-viet</v>
      </c>
      <c r="AU41" s="17" t="str">
        <f>IFERROR(__xludf.DUMMYFUNCTION("""COMPUTED_VALUE"""),"tiền Yên Nhật")</f>
        <v>tiền Yên Nhật</v>
      </c>
      <c r="AV41" s="21" t="str">
        <f>IFERROR(__xludf.DUMMYFUNCTION("""COMPUTED_VALUE"""),"https://techcombank.com/thong-tin/blog/100-riel-bang-bao-nhieu-tien-viet-nam")</f>
        <v>https://techcombank.com/thong-tin/blog/100-riel-bang-bao-nhieu-tien-viet-nam</v>
      </c>
      <c r="AW41" s="17" t="str">
        <f>IFERROR(__xludf.DUMMYFUNCTION("""COMPUTED_VALUE"""),"tiền Nhật")</f>
        <v>tiền Nhật</v>
      </c>
      <c r="AX41" s="21" t="str">
        <f>IFERROR(__xludf.DUMMYFUNCTION("""COMPUTED_VALUE"""),"https://techcombank.com/thong-tin/blog/tien-indonesia")</f>
        <v>https://techcombank.com/thong-tin/blog/tien-indonesia</v>
      </c>
      <c r="AY41" s="17" t="str">
        <f>IFERROR(__xludf.DUMMYFUNCTION("""COMPUTED_VALUE"""),"tiền Yên Nhật")</f>
        <v>tiền Yên Nhật</v>
      </c>
      <c r="AZ41" s="21" t="str">
        <f>IFERROR(__xludf.DUMMYFUNCTION("""COMPUTED_VALUE"""),"https://techcombank.com/thong-tin/blog/dieu-kien-mua-usd-tu-ngan-hang")</f>
        <v>https://techcombank.com/thong-tin/blog/dieu-kien-mua-usd-tu-ngan-hang</v>
      </c>
      <c r="BA41" s="17" t="str">
        <f>IFERROR(__xludf.DUMMYFUNCTION("""COMPUTED_VALUE"""),"tiền Nhật")</f>
        <v>tiền Nhật</v>
      </c>
      <c r="BB41" s="21" t="str">
        <f>IFERROR(__xludf.DUMMYFUNCTION("""COMPUTED_VALUE"""),"https://techcombank.com/thong-tin/blog/chuyen-tien-di-uc")</f>
        <v>https://techcombank.com/thong-tin/blog/chuyen-tien-di-uc</v>
      </c>
      <c r="BC41" s="17" t="str">
        <f>IFERROR(__xludf.DUMMYFUNCTION("""COMPUTED_VALUE"""),"tiền Yên Nhật")</f>
        <v>tiền Yên Nhật</v>
      </c>
      <c r="BD41" s="21" t="str">
        <f>IFERROR(__xludf.DUMMYFUNCTION("""COMPUTED_VALUE"""),"https://techcombank.com/thong-tin/blog/tien-dai-loan")</f>
        <v>https://techcombank.com/thong-tin/blog/tien-dai-loan</v>
      </c>
      <c r="BE41" s="17" t="str">
        <f>IFERROR(__xludf.DUMMYFUNCTION("""COMPUTED_VALUE"""),"tiền Nhật")</f>
        <v>tiền Nhật</v>
      </c>
      <c r="BF41" s="21" t="str">
        <f>IFERROR(__xludf.DUMMYFUNCTION("""COMPUTED_VALUE"""),"https://techcombank.com/thong-tin/blog/1-cent-bang-bao-nhieu-tien-viet")</f>
        <v>https://techcombank.com/thong-tin/blog/1-cent-bang-bao-nhieu-tien-viet</v>
      </c>
      <c r="BG41" s="17" t="str">
        <f>IFERROR(__xludf.DUMMYFUNCTION("""COMPUTED_VALUE"""),"tiền Yên Nhật")</f>
        <v>tiền Yên Nhật</v>
      </c>
      <c r="BH41" s="21" t="str">
        <f>IFERROR(__xludf.DUMMYFUNCTION("""COMPUTED_VALUE"""),"https://techcombank.com/thong-tin/blog/1-won-bang-bao-nhieu-tien-viet")</f>
        <v>https://techcombank.com/thong-tin/blog/1-won-bang-bao-nhieu-tien-viet</v>
      </c>
      <c r="BI41" s="17" t="str">
        <f>IFERROR(__xludf.DUMMYFUNCTION("""COMPUTED_VALUE"""),"tiền Nhật")</f>
        <v>tiền Nhật</v>
      </c>
      <c r="BJ41" s="21" t="str">
        <f>IFERROR(__xludf.DUMMYFUNCTION("""COMPUTED_VALUE"""),"https://techcombank.com/thong-tin/blog/1-do-uc-bang-bao-nhieu-tien-viet")</f>
        <v>https://techcombank.com/thong-tin/blog/1-do-uc-bang-bao-nhieu-tien-viet</v>
      </c>
      <c r="BK41" s="17" t="str">
        <f>IFERROR(__xludf.DUMMYFUNCTION("""COMPUTED_VALUE"""),"tiền Yên Nhật")</f>
        <v>tiền Yên Nhật</v>
      </c>
      <c r="BL41" s="21" t="str">
        <f>IFERROR(__xludf.DUMMYFUNCTION("""COMPUTED_VALUE"""),"https://techcombank.com/thong-tin/blog/gui-tien-du-hoc")</f>
        <v>https://techcombank.com/thong-tin/blog/gui-tien-du-hoc</v>
      </c>
      <c r="BM41" s="17" t="str">
        <f>IFERROR(__xludf.DUMMYFUNCTION("""COMPUTED_VALUE"""),"tiền Nhật")</f>
        <v>tiền Nhật</v>
      </c>
      <c r="BN41" s="21" t="str">
        <f>IFERROR(__xludf.DUMMYFUNCTION("""COMPUTED_VALUE"""),"https://techcombank.com/thong-tin/blog/chuyen-tien-dinh-cu")</f>
        <v>https://techcombank.com/thong-tin/blog/chuyen-tien-dinh-cu</v>
      </c>
      <c r="BO41" s="17" t="str">
        <f>IFERROR(__xludf.DUMMYFUNCTION("""COMPUTED_VALUE"""),"tiền Yên Nhật")</f>
        <v>tiền Yên Nhật</v>
      </c>
      <c r="BP41" s="21" t="str">
        <f>IFERROR(__xludf.DUMMYFUNCTION("""COMPUTED_VALUE"""),"https://techcombank.com/thong-tin/blog/vnd-to-myr")</f>
        <v>https://techcombank.com/thong-tin/blog/vnd-to-myr</v>
      </c>
      <c r="BQ41" s="17" t="str">
        <f>IFERROR(__xludf.DUMMYFUNCTION("""COMPUTED_VALUE"""),"tiền Nhật")</f>
        <v>tiền Nhật</v>
      </c>
      <c r="BR41" s="21" t="str">
        <f>IFERROR(__xludf.DUMMYFUNCTION("""COMPUTED_VALUE"""),"https://techcombank.com/thong-tin/blog/thu-tuc-chuyen-tien-ra-nuoc-ngoai")</f>
        <v>https://techcombank.com/thong-tin/blog/thu-tuc-chuyen-tien-ra-nuoc-ngoai</v>
      </c>
      <c r="BS41" s="17" t="str">
        <f>IFERROR(__xludf.DUMMYFUNCTION("""COMPUTED_VALUE"""),"tiền Yên Nhật")</f>
        <v>tiền Yên Nhật</v>
      </c>
      <c r="BT41" s="21" t="str">
        <f>IFERROR(__xludf.DUMMYFUNCTION("""COMPUTED_VALUE"""),"https://techcombank.com/thong-tin/blog/cach-nhan-tien-tu-nuoc-ngoai-ve-viet-nam")</f>
        <v>https://techcombank.com/thong-tin/blog/cach-nhan-tien-tu-nuoc-ngoai-ve-viet-nam</v>
      </c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  <c r="FN41" s="17"/>
      <c r="FO41" s="17"/>
      <c r="FP41" s="17"/>
      <c r="FQ41" s="17"/>
      <c r="FR41" s="17"/>
      <c r="FS41" s="17"/>
      <c r="FT41" s="17"/>
      <c r="FU41" s="17"/>
      <c r="FV41" s="17"/>
      <c r="FW41" s="17"/>
      <c r="FX41" s="17"/>
      <c r="FY41" s="17"/>
      <c r="FZ41" s="17"/>
      <c r="GA41" s="17"/>
      <c r="GB41" s="17"/>
      <c r="GC41" s="17"/>
      <c r="GD41" s="17"/>
      <c r="GE41" s="17"/>
      <c r="GF41" s="17"/>
      <c r="GG41" s="17"/>
      <c r="GH41" s="17"/>
      <c r="GI41" s="17"/>
      <c r="GJ41" s="17"/>
      <c r="GK41" s="17"/>
      <c r="GL41" s="17"/>
      <c r="GM41" s="17"/>
      <c r="GN41" s="17"/>
      <c r="GO41" s="17"/>
      <c r="GP41" s="17"/>
      <c r="GQ41" s="17"/>
      <c r="GR41" s="17"/>
      <c r="GS41" s="17"/>
      <c r="GT41" s="17"/>
      <c r="GU41" s="17"/>
      <c r="GV41" s="17"/>
      <c r="GW41" s="17"/>
      <c r="GX41" s="17"/>
      <c r="GY41" s="17"/>
      <c r="GZ41" s="17"/>
      <c r="HA41" s="17"/>
      <c r="HB41" s="17"/>
      <c r="HC41" s="17"/>
      <c r="HD41" s="17"/>
      <c r="HE41" s="17"/>
      <c r="HF41" s="17"/>
      <c r="HG41" s="17"/>
      <c r="HH41" s="17"/>
      <c r="HI41" s="17"/>
      <c r="HJ41" s="17"/>
      <c r="HK41" s="17"/>
      <c r="HL41" s="17"/>
      <c r="HM41" s="17"/>
      <c r="HN41" s="17"/>
      <c r="HO41" s="17"/>
      <c r="HP41" s="17"/>
      <c r="HQ41" s="17"/>
      <c r="HR41" s="17"/>
      <c r="HS41" s="17"/>
      <c r="HT41" s="17"/>
      <c r="HU41" s="17"/>
      <c r="HV41" s="17"/>
      <c r="HW41" s="17"/>
      <c r="HX41" s="17"/>
      <c r="HY41" s="17"/>
      <c r="HZ41" s="17"/>
      <c r="IA41" s="17"/>
      <c r="IB41" s="17"/>
      <c r="IC41" s="17"/>
      <c r="ID41" s="17"/>
      <c r="IE41" s="17"/>
      <c r="IF41" s="17"/>
      <c r="IG41" s="17"/>
      <c r="IH41" s="17"/>
      <c r="II41" s="17"/>
      <c r="IJ41" s="17"/>
      <c r="IK41" s="17"/>
      <c r="IL41" s="17"/>
      <c r="IM41" s="17"/>
      <c r="IN41" s="17"/>
      <c r="IO41" s="17"/>
      <c r="IP41" s="17"/>
      <c r="IQ41" s="17"/>
      <c r="IR41" s="17"/>
      <c r="IS41" s="17"/>
      <c r="IT41" s="17"/>
      <c r="IU41" s="17"/>
      <c r="IV41" s="17"/>
      <c r="IW41" s="17"/>
      <c r="IX41" s="17"/>
      <c r="IY41" s="17"/>
      <c r="IZ41" s="17"/>
      <c r="JA41" s="17"/>
      <c r="JB41" s="17"/>
      <c r="JC41" s="17"/>
      <c r="JD41" s="17"/>
      <c r="JE41" s="17"/>
      <c r="JF41" s="17"/>
      <c r="JG41" s="17"/>
      <c r="JH41" s="17"/>
      <c r="JI41" s="17"/>
      <c r="JJ41" s="17"/>
      <c r="JK41" s="17"/>
      <c r="JL41" s="17"/>
      <c r="JM41" s="17"/>
      <c r="JN41" s="17"/>
      <c r="JO41" s="17"/>
      <c r="JP41" s="17"/>
      <c r="JQ41" s="17"/>
      <c r="JR41" s="17"/>
      <c r="JS41" s="17"/>
      <c r="JT41" s="17"/>
      <c r="JU41" s="17"/>
      <c r="JV41" s="17"/>
      <c r="JW41" s="17"/>
      <c r="JX41" s="17"/>
      <c r="JY41" s="17"/>
      <c r="JZ41" s="17"/>
      <c r="KA41" s="17"/>
      <c r="KB41" s="17"/>
      <c r="KC41" s="17"/>
      <c r="KD41" s="17"/>
      <c r="KE41" s="17"/>
      <c r="KF41" s="17"/>
      <c r="KG41" s="17"/>
      <c r="KH41" s="17"/>
      <c r="KI41" s="17"/>
      <c r="KJ41" s="17"/>
      <c r="KK41" s="17"/>
      <c r="KL41" s="17"/>
      <c r="KM41" s="17"/>
      <c r="KN41" s="17"/>
      <c r="KO41" s="17"/>
      <c r="KP41" s="17"/>
      <c r="KQ41" s="17"/>
      <c r="KR41" s="17"/>
      <c r="KS41" s="17"/>
      <c r="KT41" s="17"/>
      <c r="KU41" s="17"/>
      <c r="KV41" s="17"/>
      <c r="KW41" s="17"/>
      <c r="KX41" s="17"/>
      <c r="KY41" s="17"/>
      <c r="KZ41" s="17"/>
      <c r="LA41" s="17"/>
      <c r="LB41" s="17"/>
      <c r="LC41" s="17"/>
      <c r="LD41" s="17"/>
      <c r="LE41" s="17"/>
      <c r="LF41" s="17"/>
      <c r="LG41" s="17"/>
      <c r="LH41" s="17"/>
      <c r="LI41" s="17"/>
      <c r="LJ41" s="17"/>
      <c r="LK41" s="17"/>
      <c r="LL41" s="17"/>
      <c r="LM41" s="17"/>
      <c r="LN41" s="17"/>
      <c r="LO41" s="17"/>
      <c r="LP41" s="17"/>
      <c r="LQ41" s="17"/>
      <c r="LR41" s="17"/>
      <c r="LS41" s="17"/>
      <c r="LT41" s="17"/>
      <c r="LU41" s="17"/>
      <c r="LV41" s="17"/>
      <c r="LW41" s="17"/>
      <c r="LX41" s="17"/>
      <c r="LY41" s="17"/>
      <c r="LZ41" s="17"/>
      <c r="MA41" s="17"/>
      <c r="MB41" s="17"/>
      <c r="MC41" s="17"/>
      <c r="MD41" s="17"/>
      <c r="ME41" s="17"/>
      <c r="MF41" s="17"/>
      <c r="MG41" s="17"/>
      <c r="MH41" s="17"/>
      <c r="MI41" s="17"/>
      <c r="MJ41" s="17"/>
      <c r="MK41" s="17"/>
      <c r="ML41" s="17"/>
      <c r="MM41" s="17"/>
      <c r="MN41" s="17"/>
      <c r="MO41" s="17"/>
      <c r="MP41" s="17"/>
      <c r="MQ41" s="17"/>
      <c r="MR41" s="17"/>
      <c r="MS41" s="17"/>
      <c r="MT41" s="17"/>
      <c r="MU41" s="17"/>
      <c r="MV41" s="17"/>
      <c r="MW41" s="17"/>
      <c r="MX41" s="17"/>
      <c r="MY41" s="17"/>
      <c r="MZ41" s="17"/>
      <c r="NA41" s="17"/>
      <c r="NB41" s="17"/>
      <c r="NC41" s="17"/>
      <c r="ND41" s="17"/>
      <c r="NE41" s="17"/>
      <c r="NF41" s="17"/>
      <c r="NG41" s="17"/>
      <c r="NH41" s="17"/>
      <c r="NI41" s="17"/>
      <c r="NJ41" s="17"/>
      <c r="NK41" s="17"/>
      <c r="NL41" s="17"/>
      <c r="NM41" s="17"/>
      <c r="NN41" s="17"/>
      <c r="NO41" s="17"/>
      <c r="NP41" s="17"/>
      <c r="NQ41" s="17"/>
      <c r="NR41" s="17"/>
      <c r="NS41" s="17"/>
      <c r="NT41" s="17"/>
      <c r="NU41" s="17"/>
      <c r="NV41" s="17"/>
      <c r="NW41" s="17"/>
      <c r="NX41" s="17"/>
      <c r="NY41" s="17"/>
      <c r="NZ41" s="17"/>
      <c r="OA41" s="17"/>
      <c r="OB41" s="17"/>
      <c r="OC41" s="17"/>
      <c r="OD41" s="17"/>
      <c r="OE41" s="17"/>
      <c r="OF41" s="17"/>
      <c r="OG41" s="17"/>
      <c r="OH41" s="17"/>
      <c r="OI41" s="17"/>
      <c r="OJ41" s="17"/>
      <c r="OK41" s="17"/>
      <c r="OL41" s="17"/>
      <c r="OM41" s="17"/>
      <c r="ON41" s="17"/>
      <c r="OO41" s="17"/>
      <c r="OP41" s="17"/>
      <c r="OQ41" s="17"/>
      <c r="OR41" s="17"/>
      <c r="OS41" s="17"/>
      <c r="OT41" s="17"/>
      <c r="OU41" s="17"/>
      <c r="OV41" s="17"/>
    </row>
    <row r="42" ht="18.0" customHeight="1">
      <c r="A42" s="16">
        <v>41.0</v>
      </c>
      <c r="B42" s="17" t="s">
        <v>1435</v>
      </c>
      <c r="C42" s="18" t="s">
        <v>1485</v>
      </c>
      <c r="D42" s="17" t="s">
        <v>556</v>
      </c>
      <c r="E42" s="16">
        <v>30.0</v>
      </c>
      <c r="F42" s="16">
        <f>COUNTIF('Tổng hợp 75 trang đích'!$B$2:$B$3400,$D42)</f>
        <v>30</v>
      </c>
      <c r="G42" s="16">
        <f>COUNTIFS('Tổng hợp 75 trang đích'!$B$2:$B$3400,$D42,'Tổng hợp 75 trang đích'!$K$2:$K$3400,"PHÙ HỢP CAO")</f>
        <v>3</v>
      </c>
      <c r="H42" s="16">
        <f>COUNTIFS('Tổng hợp 75 trang đích'!$B$2:$B$3400,$D42,'Tổng hợp 75 trang đích'!$K$2:$K$3400,"CÓ THỂ ĐI")</f>
        <v>1</v>
      </c>
      <c r="I42" s="16">
        <f>COUNTIFS('Tổng hợp 75 trang đích'!$B$2:$B$3400,$D42,'Tổng hợp 75 trang đích'!$K$2:$K$3400,"CẦN SOÁT")</f>
        <v>26</v>
      </c>
      <c r="J42" s="19" t="s">
        <v>555</v>
      </c>
      <c r="K42" s="19" t="b">
        <v>0</v>
      </c>
      <c r="L42" s="20" t="s">
        <v>333</v>
      </c>
      <c r="M42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đích'!$B$2:$B$3400=$D42),3,TR"&amp;"UE),1,2)),"""")"),"1 Yên bằng bao nhiêu tiền Việt")</f>
        <v>1 Yên bằng bao nhiêu tiền Việt</v>
      </c>
      <c r="N42" s="21" t="str">
        <f>IFERROR(__xludf.DUMMYFUNCTION("""COMPUTED_VALUE"""),"https://techcombank.com/thong-tin/blog/1000-yen-bang-bao-nhieu-tien-viet")</f>
        <v>https://techcombank.com/thong-tin/blog/1000-yen-bang-bao-nhieu-tien-viet</v>
      </c>
      <c r="O42" s="17" t="str">
        <f>IFERROR(__xludf.DUMMYFUNCTION("""COMPUTED_VALUE"""),"tỷ giá Yên Nhật")</f>
        <v>tỷ giá Yên Nhật</v>
      </c>
      <c r="P42" s="21" t="str">
        <f>IFERROR(__xludf.DUMMYFUNCTION("""COMPUTED_VALUE"""),"https://techcombank.com/thong-tin/blog/tien-nhat")</f>
        <v>https://techcombank.com/thong-tin/blog/tien-nhat</v>
      </c>
      <c r="Q42" s="17" t="str">
        <f>IFERROR(__xludf.DUMMYFUNCTION("""COMPUTED_VALUE"""),"1 Yên bằng bao nhiêu tiền Việt")</f>
        <v>1 Yên bằng bao nhiêu tiền Việt</v>
      </c>
      <c r="R42" s="21" t="str">
        <f>IFERROR(__xludf.DUMMYFUNCTION("""COMPUTED_VALUE"""),"https://techcombank.com/thong-tin/blog/1-man-bang-bao-nhieu-tien-viet")</f>
        <v>https://techcombank.com/thong-tin/blog/1-man-bang-bao-nhieu-tien-viet</v>
      </c>
      <c r="S42" s="17" t="str">
        <f>IFERROR(__xludf.DUMMYFUNCTION("""COMPUTED_VALUE"""),"tỷ giá Yên Nhật")</f>
        <v>tỷ giá Yên Nhật</v>
      </c>
      <c r="T42" s="21" t="str">
        <f>IFERROR(__xludf.DUMMYFUNCTION("""COMPUTED_VALUE"""),"https://techcombank.com/thong-tin/blog/chuyen-tien-tu-nhat-ve-viet-nam")</f>
        <v>https://techcombank.com/thong-tin/blog/chuyen-tien-tu-nhat-ve-viet-nam</v>
      </c>
      <c r="U42" s="17" t="str">
        <f>IFERROR(__xludf.DUMMYFUNCTION("""COMPUTED_VALUE"""),"1 Yên bằng bao nhiêu tiền Việt")</f>
        <v>1 Yên bằng bao nhiêu tiền Việt</v>
      </c>
      <c r="V42" s="21" t="str">
        <f>IFERROR(__xludf.DUMMYFUNCTION("""COMPUTED_VALUE"""),"https://techcombank.com/thong-tin/blog/chixmax")</f>
        <v>https://techcombank.com/thong-tin/blog/chixmax</v>
      </c>
      <c r="W42" s="17" t="str">
        <f>IFERROR(__xludf.DUMMYFUNCTION("""COMPUTED_VALUE"""),"tỷ giá Yên Nhật")</f>
        <v>tỷ giá Yên Nhật</v>
      </c>
      <c r="X42" s="21" t="str">
        <f>IFERROR(__xludf.DUMMYFUNCTION("""COMPUTED_VALUE"""),"https://techcombank.com/thong-tin/blog/han-muc-mua-ngoai-te-khi-di-du-lich")</f>
        <v>https://techcombank.com/thong-tin/blog/han-muc-mua-ngoai-te-khi-di-du-lich</v>
      </c>
      <c r="Y42" s="17" t="str">
        <f>IFERROR(__xludf.DUMMYFUNCTION("""COMPUTED_VALUE"""),"1 Yên bằng bao nhiêu tiền Việt")</f>
        <v>1 Yên bằng bao nhiêu tiền Việt</v>
      </c>
      <c r="Z42" s="21" t="str">
        <f>IFERROR(__xludf.DUMMYFUNCTION("""COMPUTED_VALUE"""),"https://techcombank.com/thong-tin/blog/thanh-toan-khi-du-lich-nhat-ban")</f>
        <v>https://techcombank.com/thong-tin/blog/thanh-toan-khi-du-lich-nhat-ban</v>
      </c>
      <c r="AA42" s="17" t="str">
        <f>IFERROR(__xludf.DUMMYFUNCTION("""COMPUTED_VALUE"""),"tỷ giá Yên Nhật")</f>
        <v>tỷ giá Yên Nhật</v>
      </c>
      <c r="AB42" s="21" t="str">
        <f>IFERROR(__xludf.DUMMYFUNCTION("""COMPUTED_VALUE"""),"https://techcombank.com/thong-tin/blog/1-dong-do-la-my-bang-bao-nhieu-tien-viet-nam")</f>
        <v>https://techcombank.com/thong-tin/blog/1-dong-do-la-my-bang-bao-nhieu-tien-viet-nam</v>
      </c>
      <c r="AC42" s="17" t="str">
        <f>IFERROR(__xludf.DUMMYFUNCTION("""COMPUTED_VALUE"""),"1 Yên bằng bao nhiêu tiền Việt")</f>
        <v>1 Yên bằng bao nhiêu tiền Việt</v>
      </c>
      <c r="AD42" s="21" t="str">
        <f>IFERROR(__xludf.DUMMYFUNCTION("""COMPUTED_VALUE"""),"https://techcombank.com/thong-tin/blog/1-te-bang-bao-nhieu-tien-viet-nam")</f>
        <v>https://techcombank.com/thong-tin/blog/1-te-bang-bao-nhieu-tien-viet-nam</v>
      </c>
      <c r="AE42" s="17" t="str">
        <f>IFERROR(__xludf.DUMMYFUNCTION("""COMPUTED_VALUE"""),"tỷ giá Yên Nhật")</f>
        <v>tỷ giá Yên Nhật</v>
      </c>
      <c r="AF42" s="21" t="str">
        <f>IFERROR(__xludf.DUMMYFUNCTION("""COMPUTED_VALUE"""),"https://techcombank.com/thong-tin/blog/tien-trung-quoc")</f>
        <v>https://techcombank.com/thong-tin/blog/tien-trung-quoc</v>
      </c>
      <c r="AG42" s="17" t="str">
        <f>IFERROR(__xludf.DUMMYFUNCTION("""COMPUTED_VALUE"""),"1 Yên bằng bao nhiêu tiền Việt")</f>
        <v>1 Yên bằng bao nhiêu tiền Việt</v>
      </c>
      <c r="AH42" s="21" t="str">
        <f>IFERROR(__xludf.DUMMYFUNCTION("""COMPUTED_VALUE"""),"https://techcombank.com/thong-tin/blog/doi-tien-do-o-dau")</f>
        <v>https://techcombank.com/thong-tin/blog/doi-tien-do-o-dau</v>
      </c>
      <c r="AI42" s="17" t="str">
        <f>IFERROR(__xludf.DUMMYFUNCTION("""COMPUTED_VALUE"""),"tỷ giá Yên Nhật")</f>
        <v>tỷ giá Yên Nhật</v>
      </c>
      <c r="AJ42" s="21" t="str">
        <f>IFERROR(__xludf.DUMMYFUNCTION("""COMPUTED_VALUE"""),"https://techcombank.com/thong-tin/blog/tien-singapore")</f>
        <v>https://techcombank.com/thong-tin/blog/tien-singapore</v>
      </c>
      <c r="AK42" s="17" t="str">
        <f>IFERROR(__xludf.DUMMYFUNCTION("""COMPUTED_VALUE"""),"1 Yên bằng bao nhiêu tiền Việt")</f>
        <v>1 Yên bằng bao nhiêu tiền Việt</v>
      </c>
      <c r="AL42" s="21" t="str">
        <f>IFERROR(__xludf.DUMMYFUNCTION("""COMPUTED_VALUE"""),"https://techcombank.com/thong-tin/blog/1000-won-bang-bao-nhieu-tien-viet")</f>
        <v>https://techcombank.com/thong-tin/blog/1000-won-bang-bao-nhieu-tien-viet</v>
      </c>
      <c r="AM42" s="17" t="str">
        <f>IFERROR(__xludf.DUMMYFUNCTION("""COMPUTED_VALUE"""),"tỷ giá Yên Nhật")</f>
        <v>tỷ giá Yên Nhật</v>
      </c>
      <c r="AN42" s="21" t="str">
        <f>IFERROR(__xludf.DUMMYFUNCTION("""COMPUTED_VALUE"""),"https://techcombank.com/thong-tin/blog/di-du-lich-nuoc-ngoai-can-chuan-bi-gi")</f>
        <v>https://techcombank.com/thong-tin/blog/di-du-lich-nuoc-ngoai-can-chuan-bi-gi</v>
      </c>
      <c r="AO42" s="17" t="str">
        <f>IFERROR(__xludf.DUMMYFUNCTION("""COMPUTED_VALUE"""),"1 Yên bằng bao nhiêu tiền Việt")</f>
        <v>1 Yên bằng bao nhiêu tiền Việt</v>
      </c>
      <c r="AP42" s="21" t="str">
        <f>IFERROR(__xludf.DUMMYFUNCTION("""COMPUTED_VALUE"""),"https://techcombank.com/thong-tin/blog/1-van-te-bang-bao-nhieu-tien-viet")</f>
        <v>https://techcombank.com/thong-tin/blog/1-van-te-bang-bao-nhieu-tien-viet</v>
      </c>
      <c r="AQ42" s="17" t="str">
        <f>IFERROR(__xludf.DUMMYFUNCTION("""COMPUTED_VALUE"""),"tỷ giá Yên Nhật")</f>
        <v>tỷ giá Yên Nhật</v>
      </c>
      <c r="AR42" s="21" t="str">
        <f>IFERROR(__xludf.DUMMYFUNCTION("""COMPUTED_VALUE"""),"https://techcombank.com/thong-tin/blog/1000-te-bang-bao-nhieu-tien-viet")</f>
        <v>https://techcombank.com/thong-tin/blog/1000-te-bang-bao-nhieu-tien-viet</v>
      </c>
      <c r="AS42" s="17" t="str">
        <f>IFERROR(__xludf.DUMMYFUNCTION("""COMPUTED_VALUE"""),"1 Yên bằng bao nhiêu tiền Việt")</f>
        <v>1 Yên bằng bao nhiêu tiền Việt</v>
      </c>
      <c r="AT42" s="21" t="str">
        <f>IFERROR(__xludf.DUMMYFUNCTION("""COMPUTED_VALUE"""),"https://techcombank.com/thong-tin/blog/100-riel-bang-bao-nhieu-tien-viet-nam")</f>
        <v>https://techcombank.com/thong-tin/blog/100-riel-bang-bao-nhieu-tien-viet-nam</v>
      </c>
      <c r="AU42" s="17" t="str">
        <f>IFERROR(__xludf.DUMMYFUNCTION("""COMPUTED_VALUE"""),"tỷ giá Yên Nhật")</f>
        <v>tỷ giá Yên Nhật</v>
      </c>
      <c r="AV42" s="21" t="str">
        <f>IFERROR(__xludf.DUMMYFUNCTION("""COMPUTED_VALUE"""),"https://techcombank.com/thong-tin/blog/tien-indonesia")</f>
        <v>https://techcombank.com/thong-tin/blog/tien-indonesia</v>
      </c>
      <c r="AW42" s="17" t="str">
        <f>IFERROR(__xludf.DUMMYFUNCTION("""COMPUTED_VALUE"""),"1 Yên bằng bao nhiêu tiền Việt")</f>
        <v>1 Yên bằng bao nhiêu tiền Việt</v>
      </c>
      <c r="AX42" s="21" t="str">
        <f>IFERROR(__xludf.DUMMYFUNCTION("""COMPUTED_VALUE"""),"https://techcombank.com/thong-tin/blog/dieu-kien-mua-usd-tu-ngan-hang")</f>
        <v>https://techcombank.com/thong-tin/blog/dieu-kien-mua-usd-tu-ngan-hang</v>
      </c>
      <c r="AY42" s="17" t="str">
        <f>IFERROR(__xludf.DUMMYFUNCTION("""COMPUTED_VALUE"""),"tỷ giá Yên Nhật")</f>
        <v>tỷ giá Yên Nhật</v>
      </c>
      <c r="AZ42" s="21" t="str">
        <f>IFERROR(__xludf.DUMMYFUNCTION("""COMPUTED_VALUE"""),"https://techcombank.com/thong-tin/blog/chuyen-tien-di-uc")</f>
        <v>https://techcombank.com/thong-tin/blog/chuyen-tien-di-uc</v>
      </c>
      <c r="BA42" s="17" t="str">
        <f>IFERROR(__xludf.DUMMYFUNCTION("""COMPUTED_VALUE"""),"1 Yên bằng bao nhiêu tiền Việt")</f>
        <v>1 Yên bằng bao nhiêu tiền Việt</v>
      </c>
      <c r="BB42" s="21" t="str">
        <f>IFERROR(__xludf.DUMMYFUNCTION("""COMPUTED_VALUE"""),"https://techcombank.com/thong-tin/blog/tien-dai-loan")</f>
        <v>https://techcombank.com/thong-tin/blog/tien-dai-loan</v>
      </c>
      <c r="BC42" s="17" t="str">
        <f>IFERROR(__xludf.DUMMYFUNCTION("""COMPUTED_VALUE"""),"tỷ giá Yên Nhật")</f>
        <v>tỷ giá Yên Nhật</v>
      </c>
      <c r="BD42" s="21" t="str">
        <f>IFERROR(__xludf.DUMMYFUNCTION("""COMPUTED_VALUE"""),"https://techcombank.com/thong-tin/blog/1-cent-bang-bao-nhieu-tien-viet")</f>
        <v>https://techcombank.com/thong-tin/blog/1-cent-bang-bao-nhieu-tien-viet</v>
      </c>
      <c r="BE42" s="17" t="str">
        <f>IFERROR(__xludf.DUMMYFUNCTION("""COMPUTED_VALUE"""),"1 Yên bằng bao nhiêu tiền Việt")</f>
        <v>1 Yên bằng bao nhiêu tiền Việt</v>
      </c>
      <c r="BF42" s="21" t="str">
        <f>IFERROR(__xludf.DUMMYFUNCTION("""COMPUTED_VALUE"""),"https://techcombank.com/thong-tin/blog/1-won-bang-bao-nhieu-tien-viet")</f>
        <v>https://techcombank.com/thong-tin/blog/1-won-bang-bao-nhieu-tien-viet</v>
      </c>
      <c r="BG42" s="17" t="str">
        <f>IFERROR(__xludf.DUMMYFUNCTION("""COMPUTED_VALUE"""),"tỷ giá Yên Nhật")</f>
        <v>tỷ giá Yên Nhật</v>
      </c>
      <c r="BH42" s="21" t="str">
        <f>IFERROR(__xludf.DUMMYFUNCTION("""COMPUTED_VALUE"""),"https://techcombank.com/thong-tin/blog/1-do-uc-bang-bao-nhieu-tien-viet")</f>
        <v>https://techcombank.com/thong-tin/blog/1-do-uc-bang-bao-nhieu-tien-viet</v>
      </c>
      <c r="BI42" s="17" t="str">
        <f>IFERROR(__xludf.DUMMYFUNCTION("""COMPUTED_VALUE"""),"1 Yên bằng bao nhiêu tiền Việt")</f>
        <v>1 Yên bằng bao nhiêu tiền Việt</v>
      </c>
      <c r="BJ42" s="21" t="str">
        <f>IFERROR(__xludf.DUMMYFUNCTION("""COMPUTED_VALUE"""),"https://techcombank.com/thong-tin/blog/gui-tien-du-hoc")</f>
        <v>https://techcombank.com/thong-tin/blog/gui-tien-du-hoc</v>
      </c>
      <c r="BK42" s="17" t="str">
        <f>IFERROR(__xludf.DUMMYFUNCTION("""COMPUTED_VALUE"""),"tỷ giá Yên Nhật")</f>
        <v>tỷ giá Yên Nhật</v>
      </c>
      <c r="BL42" s="21" t="str">
        <f>IFERROR(__xludf.DUMMYFUNCTION("""COMPUTED_VALUE"""),"https://techcombank.com/thong-tin/blog/chuyen-tien-dinh-cu")</f>
        <v>https://techcombank.com/thong-tin/blog/chuyen-tien-dinh-cu</v>
      </c>
      <c r="BM42" s="17" t="str">
        <f>IFERROR(__xludf.DUMMYFUNCTION("""COMPUTED_VALUE"""),"1 Yên bằng bao nhiêu tiền Việt")</f>
        <v>1 Yên bằng bao nhiêu tiền Việt</v>
      </c>
      <c r="BN42" s="21" t="str">
        <f>IFERROR(__xludf.DUMMYFUNCTION("""COMPUTED_VALUE"""),"https://techcombank.com/thong-tin/blog/tien-thai-lan")</f>
        <v>https://techcombank.com/thong-tin/blog/tien-thai-lan</v>
      </c>
      <c r="BO42" s="17" t="str">
        <f>IFERROR(__xludf.DUMMYFUNCTION("""COMPUTED_VALUE"""),"tỷ giá Yên Nhật")</f>
        <v>tỷ giá Yên Nhật</v>
      </c>
      <c r="BP42" s="21" t="str">
        <f>IFERROR(__xludf.DUMMYFUNCTION("""COMPUTED_VALUE"""),"https://techcombank.com/thong-tin/blog/tien-lao")</f>
        <v>https://techcombank.com/thong-tin/blog/tien-lao</v>
      </c>
      <c r="BQ42" s="17" t="str">
        <f>IFERROR(__xludf.DUMMYFUNCTION("""COMPUTED_VALUE"""),"1 Yên bằng bao nhiêu tiền Việt")</f>
        <v>1 Yên bằng bao nhiêu tiền Việt</v>
      </c>
      <c r="BR42" s="21" t="str">
        <f>IFERROR(__xludf.DUMMYFUNCTION("""COMPUTED_VALUE"""),"https://techcombank.com/thong-tin/blog/tien-malaysia")</f>
        <v>https://techcombank.com/thong-tin/blog/tien-malaysia</v>
      </c>
      <c r="BS42" s="17" t="str">
        <f>IFERROR(__xludf.DUMMYFUNCTION("""COMPUTED_VALUE"""),"tỷ giá Yên Nhật")</f>
        <v>tỷ giá Yên Nhật</v>
      </c>
      <c r="BT42" s="21" t="str">
        <f>IFERROR(__xludf.DUMMYFUNCTION("""COMPUTED_VALUE"""),"https://techcombank.com/thong-tin/blog/vnd-to-myr")</f>
        <v>https://techcombank.com/thong-tin/blog/vnd-to-myr</v>
      </c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  <c r="EW42" s="17"/>
      <c r="EX42" s="17"/>
      <c r="EY42" s="17"/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  <c r="FN42" s="17"/>
      <c r="FO42" s="17"/>
      <c r="FP42" s="17"/>
      <c r="FQ42" s="17"/>
      <c r="FR42" s="17"/>
      <c r="FS42" s="17"/>
      <c r="FT42" s="17"/>
      <c r="FU42" s="17"/>
      <c r="FV42" s="17"/>
      <c r="FW42" s="17"/>
      <c r="FX42" s="17"/>
      <c r="FY42" s="17"/>
      <c r="FZ42" s="17"/>
      <c r="GA42" s="17"/>
      <c r="GB42" s="17"/>
      <c r="GC42" s="17"/>
      <c r="GD42" s="17"/>
      <c r="GE42" s="17"/>
      <c r="GF42" s="17"/>
      <c r="GG42" s="17"/>
      <c r="GH42" s="17"/>
      <c r="GI42" s="17"/>
      <c r="GJ42" s="17"/>
      <c r="GK42" s="17"/>
      <c r="GL42" s="17"/>
      <c r="GM42" s="17"/>
      <c r="GN42" s="17"/>
      <c r="GO42" s="17"/>
      <c r="GP42" s="17"/>
      <c r="GQ42" s="17"/>
      <c r="GR42" s="17"/>
      <c r="GS42" s="17"/>
      <c r="GT42" s="17"/>
      <c r="GU42" s="17"/>
      <c r="GV42" s="17"/>
      <c r="GW42" s="17"/>
      <c r="GX42" s="17"/>
      <c r="GY42" s="17"/>
      <c r="GZ42" s="17"/>
      <c r="HA42" s="17"/>
      <c r="HB42" s="17"/>
      <c r="HC42" s="17"/>
      <c r="HD42" s="17"/>
      <c r="HE42" s="17"/>
      <c r="HF42" s="17"/>
      <c r="HG42" s="17"/>
      <c r="HH42" s="17"/>
      <c r="HI42" s="17"/>
      <c r="HJ42" s="17"/>
      <c r="HK42" s="17"/>
      <c r="HL42" s="17"/>
      <c r="HM42" s="17"/>
      <c r="HN42" s="17"/>
      <c r="HO42" s="17"/>
      <c r="HP42" s="17"/>
      <c r="HQ42" s="17"/>
      <c r="HR42" s="17"/>
      <c r="HS42" s="17"/>
      <c r="HT42" s="17"/>
      <c r="HU42" s="17"/>
      <c r="HV42" s="17"/>
      <c r="HW42" s="17"/>
      <c r="HX42" s="17"/>
      <c r="HY42" s="17"/>
      <c r="HZ42" s="17"/>
      <c r="IA42" s="17"/>
      <c r="IB42" s="17"/>
      <c r="IC42" s="17"/>
      <c r="ID42" s="17"/>
      <c r="IE42" s="17"/>
      <c r="IF42" s="17"/>
      <c r="IG42" s="17"/>
      <c r="IH42" s="17"/>
      <c r="II42" s="17"/>
      <c r="IJ42" s="17"/>
      <c r="IK42" s="17"/>
      <c r="IL42" s="17"/>
      <c r="IM42" s="17"/>
      <c r="IN42" s="17"/>
      <c r="IO42" s="17"/>
      <c r="IP42" s="17"/>
      <c r="IQ42" s="17"/>
      <c r="IR42" s="17"/>
      <c r="IS42" s="17"/>
      <c r="IT42" s="17"/>
      <c r="IU42" s="17"/>
      <c r="IV42" s="17"/>
      <c r="IW42" s="17"/>
      <c r="IX42" s="17"/>
      <c r="IY42" s="17"/>
      <c r="IZ42" s="17"/>
      <c r="JA42" s="17"/>
      <c r="JB42" s="17"/>
      <c r="JC42" s="17"/>
      <c r="JD42" s="17"/>
      <c r="JE42" s="17"/>
      <c r="JF42" s="17"/>
      <c r="JG42" s="17"/>
      <c r="JH42" s="17"/>
      <c r="JI42" s="17"/>
      <c r="JJ42" s="17"/>
      <c r="JK42" s="17"/>
      <c r="JL42" s="17"/>
      <c r="JM42" s="17"/>
      <c r="JN42" s="17"/>
      <c r="JO42" s="17"/>
      <c r="JP42" s="17"/>
      <c r="JQ42" s="17"/>
      <c r="JR42" s="17"/>
      <c r="JS42" s="17"/>
      <c r="JT42" s="17"/>
      <c r="JU42" s="17"/>
      <c r="JV42" s="17"/>
      <c r="JW42" s="17"/>
      <c r="JX42" s="17"/>
      <c r="JY42" s="17"/>
      <c r="JZ42" s="17"/>
      <c r="KA42" s="17"/>
      <c r="KB42" s="17"/>
      <c r="KC42" s="17"/>
      <c r="KD42" s="17"/>
      <c r="KE42" s="17"/>
      <c r="KF42" s="17"/>
      <c r="KG42" s="17"/>
      <c r="KH42" s="17"/>
      <c r="KI42" s="17"/>
      <c r="KJ42" s="17"/>
      <c r="KK42" s="17"/>
      <c r="KL42" s="17"/>
      <c r="KM42" s="17"/>
      <c r="KN42" s="17"/>
      <c r="KO42" s="17"/>
      <c r="KP42" s="17"/>
      <c r="KQ42" s="17"/>
      <c r="KR42" s="17"/>
      <c r="KS42" s="17"/>
      <c r="KT42" s="17"/>
      <c r="KU42" s="17"/>
      <c r="KV42" s="17"/>
      <c r="KW42" s="17"/>
      <c r="KX42" s="17"/>
      <c r="KY42" s="17"/>
      <c r="KZ42" s="17"/>
      <c r="LA42" s="17"/>
      <c r="LB42" s="17"/>
      <c r="LC42" s="17"/>
      <c r="LD42" s="17"/>
      <c r="LE42" s="17"/>
      <c r="LF42" s="17"/>
      <c r="LG42" s="17"/>
      <c r="LH42" s="17"/>
      <c r="LI42" s="17"/>
      <c r="LJ42" s="17"/>
      <c r="LK42" s="17"/>
      <c r="LL42" s="17"/>
      <c r="LM42" s="17"/>
      <c r="LN42" s="17"/>
      <c r="LO42" s="17"/>
      <c r="LP42" s="17"/>
      <c r="LQ42" s="17"/>
      <c r="LR42" s="17"/>
      <c r="LS42" s="17"/>
      <c r="LT42" s="17"/>
      <c r="LU42" s="17"/>
      <c r="LV42" s="17"/>
      <c r="LW42" s="17"/>
      <c r="LX42" s="17"/>
      <c r="LY42" s="17"/>
      <c r="LZ42" s="17"/>
      <c r="MA42" s="17"/>
      <c r="MB42" s="17"/>
      <c r="MC42" s="17"/>
      <c r="MD42" s="17"/>
      <c r="ME42" s="17"/>
      <c r="MF42" s="17"/>
      <c r="MG42" s="17"/>
      <c r="MH42" s="17"/>
      <c r="MI42" s="17"/>
      <c r="MJ42" s="17"/>
      <c r="MK42" s="17"/>
      <c r="ML42" s="17"/>
      <c r="MM42" s="17"/>
      <c r="MN42" s="17"/>
      <c r="MO42" s="17"/>
      <c r="MP42" s="17"/>
      <c r="MQ42" s="17"/>
      <c r="MR42" s="17"/>
      <c r="MS42" s="17"/>
      <c r="MT42" s="17"/>
      <c r="MU42" s="17"/>
      <c r="MV42" s="17"/>
      <c r="MW42" s="17"/>
      <c r="MX42" s="17"/>
      <c r="MY42" s="17"/>
      <c r="MZ42" s="17"/>
      <c r="NA42" s="17"/>
      <c r="NB42" s="17"/>
      <c r="NC42" s="17"/>
      <c r="ND42" s="17"/>
      <c r="NE42" s="17"/>
      <c r="NF42" s="17"/>
      <c r="NG42" s="17"/>
      <c r="NH42" s="17"/>
      <c r="NI42" s="17"/>
      <c r="NJ42" s="17"/>
      <c r="NK42" s="17"/>
      <c r="NL42" s="17"/>
      <c r="NM42" s="17"/>
      <c r="NN42" s="17"/>
      <c r="NO42" s="17"/>
      <c r="NP42" s="17"/>
      <c r="NQ42" s="17"/>
      <c r="NR42" s="17"/>
      <c r="NS42" s="17"/>
      <c r="NT42" s="17"/>
      <c r="NU42" s="17"/>
      <c r="NV42" s="17"/>
      <c r="NW42" s="17"/>
      <c r="NX42" s="17"/>
      <c r="NY42" s="17"/>
      <c r="NZ42" s="17"/>
      <c r="OA42" s="17"/>
      <c r="OB42" s="17"/>
      <c r="OC42" s="17"/>
      <c r="OD42" s="17"/>
      <c r="OE42" s="17"/>
      <c r="OF42" s="17"/>
      <c r="OG42" s="17"/>
      <c r="OH42" s="17"/>
      <c r="OI42" s="17"/>
      <c r="OJ42" s="17"/>
      <c r="OK42" s="17"/>
      <c r="OL42" s="17"/>
      <c r="OM42" s="17"/>
      <c r="ON42" s="17"/>
      <c r="OO42" s="17"/>
      <c r="OP42" s="17"/>
      <c r="OQ42" s="17"/>
      <c r="OR42" s="17"/>
      <c r="OS42" s="17"/>
      <c r="OT42" s="17"/>
      <c r="OU42" s="17"/>
      <c r="OV42" s="17"/>
    </row>
    <row r="43" ht="18.0" customHeight="1">
      <c r="A43" s="16">
        <v>42.0</v>
      </c>
      <c r="B43" s="17" t="s">
        <v>1435</v>
      </c>
      <c r="C43" s="18" t="s">
        <v>1496</v>
      </c>
      <c r="D43" s="17" t="s">
        <v>558</v>
      </c>
      <c r="E43" s="16">
        <v>30.0</v>
      </c>
      <c r="F43" s="16">
        <f>COUNTIF('Tổng hợp 75 trang đích'!$B$2:$B$3400,$D43)</f>
        <v>30</v>
      </c>
      <c r="G43" s="16">
        <f>COUNTIFS('Tổng hợp 75 trang đích'!$B$2:$B$3400,$D43,'Tổng hợp 75 trang đích'!$K$2:$K$3400,"PHÙ HỢP CAO")</f>
        <v>4</v>
      </c>
      <c r="H43" s="16">
        <f>COUNTIFS('Tổng hợp 75 trang đích'!$B$2:$B$3400,$D43,'Tổng hợp 75 trang đích'!$K$2:$K$3400,"CÓ THỂ ĐI")</f>
        <v>1</v>
      </c>
      <c r="I43" s="16">
        <f>COUNTIFS('Tổng hợp 75 trang đích'!$B$2:$B$3400,$D43,'Tổng hợp 75 trang đích'!$K$2:$K$3400,"CẦN SOÁT")</f>
        <v>25</v>
      </c>
      <c r="J43" s="19" t="s">
        <v>555</v>
      </c>
      <c r="K43" s="19" t="b">
        <v>0</v>
      </c>
      <c r="L43" s="20" t="s">
        <v>333</v>
      </c>
      <c r="M43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đích'!$B$2:$B$3400=$D43),3,TR"&amp;"UE),1,2)),"""")"),"1 Won bằng bao nhiêu tiền Việt")</f>
        <v>1 Won bằng bao nhiêu tiền Việt</v>
      </c>
      <c r="N43" s="21" t="str">
        <f>IFERROR(__xludf.DUMMYFUNCTION("""COMPUTED_VALUE"""),"https://techcombank.com/thong-tin/blog/1-trieu-won-bang-bao-nhieu-tien-viet")</f>
        <v>https://techcombank.com/thong-tin/blog/1-trieu-won-bang-bao-nhieu-tien-viet</v>
      </c>
      <c r="O43" s="17" t="str">
        <f>IFERROR(__xludf.DUMMYFUNCTION("""COMPUTED_VALUE"""),"tỷ giá Won")</f>
        <v>tỷ giá Won</v>
      </c>
      <c r="P43" s="21" t="str">
        <f>IFERROR(__xludf.DUMMYFUNCTION("""COMPUTED_VALUE"""),"https://techcombank.com/thong-tin/blog/1000-won-bang-bao-nhieu-tien-viet")</f>
        <v>https://techcombank.com/thong-tin/blog/1000-won-bang-bao-nhieu-tien-viet</v>
      </c>
      <c r="Q43" s="17" t="str">
        <f>IFERROR(__xludf.DUMMYFUNCTION("""COMPUTED_VALUE"""),"1 Won bằng bao nhiêu tiền Việt")</f>
        <v>1 Won bằng bao nhiêu tiền Việt</v>
      </c>
      <c r="R43" s="21" t="str">
        <f>IFERROR(__xludf.DUMMYFUNCTION("""COMPUTED_VALUE"""),"https://techcombank.com/thong-tin/blog/thanh-toan-khi-du-lich-han-quoc")</f>
        <v>https://techcombank.com/thong-tin/blog/thanh-toan-khi-du-lich-han-quoc</v>
      </c>
      <c r="S43" s="17" t="str">
        <f>IFERROR(__xludf.DUMMYFUNCTION("""COMPUTED_VALUE"""),"tỷ giá Won")</f>
        <v>tỷ giá Won</v>
      </c>
      <c r="T43" s="21" t="str">
        <f>IFERROR(__xludf.DUMMYFUNCTION("""COMPUTED_VALUE"""),"https://techcombank.com/thong-tin/blog/chuyen-tien-tu-han-sang-viet-nam")</f>
        <v>https://techcombank.com/thong-tin/blog/chuyen-tien-tu-han-sang-viet-nam</v>
      </c>
      <c r="U43" s="17" t="str">
        <f>IFERROR(__xludf.DUMMYFUNCTION("""COMPUTED_VALUE"""),"1 Won bằng bao nhiêu tiền Việt")</f>
        <v>1 Won bằng bao nhiêu tiền Việt</v>
      </c>
      <c r="V43" s="21" t="str">
        <f>IFERROR(__xludf.DUMMYFUNCTION("""COMPUTED_VALUE"""),"https://techcombank.com/thong-tin/blog/ty-gia-cac-ngan-hang")</f>
        <v>https://techcombank.com/thong-tin/blog/ty-gia-cac-ngan-hang</v>
      </c>
      <c r="W43" s="17" t="str">
        <f>IFERROR(__xludf.DUMMYFUNCTION("""COMPUTED_VALUE"""),"tỷ giá Won")</f>
        <v>tỷ giá Won</v>
      </c>
      <c r="X43" s="21" t="str">
        <f>IFERROR(__xludf.DUMMYFUNCTION("""COMPUTED_VALUE"""),"https://techcombank.com/thong-tin/blog/1-dong-do-la-my-bang-bao-nhieu-tien-viet-nam")</f>
        <v>https://techcombank.com/thong-tin/blog/1-dong-do-la-my-bang-bao-nhieu-tien-viet-nam</v>
      </c>
      <c r="Y43" s="17" t="str">
        <f>IFERROR(__xludf.DUMMYFUNCTION("""COMPUTED_VALUE"""),"1 Won bằng bao nhiêu tiền Việt")</f>
        <v>1 Won bằng bao nhiêu tiền Việt</v>
      </c>
      <c r="Z43" s="21" t="str">
        <f>IFERROR(__xludf.DUMMYFUNCTION("""COMPUTED_VALUE"""),"https://techcombank.com/thong-tin/blog/1-te-bang-bao-nhieu-tien-viet-nam")</f>
        <v>https://techcombank.com/thong-tin/blog/1-te-bang-bao-nhieu-tien-viet-nam</v>
      </c>
      <c r="AA43" s="17" t="str">
        <f>IFERROR(__xludf.DUMMYFUNCTION("""COMPUTED_VALUE"""),"tỷ giá Won")</f>
        <v>tỷ giá Won</v>
      </c>
      <c r="AB43" s="21" t="str">
        <f>IFERROR(__xludf.DUMMYFUNCTION("""COMPUTED_VALUE"""),"https://techcombank.com/thong-tin/blog/tien-trung-quoc")</f>
        <v>https://techcombank.com/thong-tin/blog/tien-trung-quoc</v>
      </c>
      <c r="AC43" s="17" t="str">
        <f>IFERROR(__xludf.DUMMYFUNCTION("""COMPUTED_VALUE"""),"1 Won bằng bao nhiêu tiền Việt")</f>
        <v>1 Won bằng bao nhiêu tiền Việt</v>
      </c>
      <c r="AD43" s="21" t="str">
        <f>IFERROR(__xludf.DUMMYFUNCTION("""COMPUTED_VALUE"""),"https://techcombank.com/thong-tin/blog/doi-tien-do-o-dau")</f>
        <v>https://techcombank.com/thong-tin/blog/doi-tien-do-o-dau</v>
      </c>
      <c r="AE43" s="17" t="str">
        <f>IFERROR(__xludf.DUMMYFUNCTION("""COMPUTED_VALUE"""),"tỷ giá Won")</f>
        <v>tỷ giá Won</v>
      </c>
      <c r="AF43" s="21" t="str">
        <f>IFERROR(__xludf.DUMMYFUNCTION("""COMPUTED_VALUE"""),"https://techcombank.com/thong-tin/blog/1000-yen-bang-bao-nhieu-tien-viet")</f>
        <v>https://techcombank.com/thong-tin/blog/1000-yen-bang-bao-nhieu-tien-viet</v>
      </c>
      <c r="AG43" s="17" t="str">
        <f>IFERROR(__xludf.DUMMYFUNCTION("""COMPUTED_VALUE"""),"1 Won bằng bao nhiêu tiền Việt")</f>
        <v>1 Won bằng bao nhiêu tiền Việt</v>
      </c>
      <c r="AH43" s="21" t="str">
        <f>IFERROR(__xludf.DUMMYFUNCTION("""COMPUTED_VALUE"""),"https://techcombank.com/thong-tin/blog/chuyen-tien-tu-nhat-ve-viet-nam")</f>
        <v>https://techcombank.com/thong-tin/blog/chuyen-tien-tu-nhat-ve-viet-nam</v>
      </c>
      <c r="AI43" s="17" t="str">
        <f>IFERROR(__xludf.DUMMYFUNCTION("""COMPUTED_VALUE"""),"tỷ giá Won")</f>
        <v>tỷ giá Won</v>
      </c>
      <c r="AJ43" s="21" t="str">
        <f>IFERROR(__xludf.DUMMYFUNCTION("""COMPUTED_VALUE"""),"https://techcombank.com/thong-tin/blog/tien-singapore")</f>
        <v>https://techcombank.com/thong-tin/blog/tien-singapore</v>
      </c>
      <c r="AK43" s="17" t="str">
        <f>IFERROR(__xludf.DUMMYFUNCTION("""COMPUTED_VALUE"""),"1 Won bằng bao nhiêu tiền Việt")</f>
        <v>1 Won bằng bao nhiêu tiền Việt</v>
      </c>
      <c r="AL43" s="21" t="str">
        <f>IFERROR(__xludf.DUMMYFUNCTION("""COMPUTED_VALUE"""),"https://techcombank.com/thong-tin/blog/di-du-lich-nuoc-ngoai-can-chuan-bi-gi")</f>
        <v>https://techcombank.com/thong-tin/blog/di-du-lich-nuoc-ngoai-can-chuan-bi-gi</v>
      </c>
      <c r="AM43" s="17" t="str">
        <f>IFERROR(__xludf.DUMMYFUNCTION("""COMPUTED_VALUE"""),"tỷ giá Won")</f>
        <v>tỷ giá Won</v>
      </c>
      <c r="AN43" s="21" t="str">
        <f>IFERROR(__xludf.DUMMYFUNCTION("""COMPUTED_VALUE"""),"https://techcombank.com/thong-tin/blog/tien-nhat")</f>
        <v>https://techcombank.com/thong-tin/blog/tien-nhat</v>
      </c>
      <c r="AO43" s="17" t="str">
        <f>IFERROR(__xludf.DUMMYFUNCTION("""COMPUTED_VALUE"""),"1 Won bằng bao nhiêu tiền Việt")</f>
        <v>1 Won bằng bao nhiêu tiền Việt</v>
      </c>
      <c r="AP43" s="21" t="str">
        <f>IFERROR(__xludf.DUMMYFUNCTION("""COMPUTED_VALUE"""),"https://techcombank.com/thong-tin/blog/1-van-te-bang-bao-nhieu-tien-viet")</f>
        <v>https://techcombank.com/thong-tin/blog/1-van-te-bang-bao-nhieu-tien-viet</v>
      </c>
      <c r="AQ43" s="17" t="str">
        <f>IFERROR(__xludf.DUMMYFUNCTION("""COMPUTED_VALUE"""),"tỷ giá Won")</f>
        <v>tỷ giá Won</v>
      </c>
      <c r="AR43" s="21" t="str">
        <f>IFERROR(__xludf.DUMMYFUNCTION("""COMPUTED_VALUE"""),"https://techcombank.com/thong-tin/blog/1000-te-bang-bao-nhieu-tien-viet")</f>
        <v>https://techcombank.com/thong-tin/blog/1000-te-bang-bao-nhieu-tien-viet</v>
      </c>
      <c r="AS43" s="17" t="str">
        <f>IFERROR(__xludf.DUMMYFUNCTION("""COMPUTED_VALUE"""),"1 Won bằng bao nhiêu tiền Việt")</f>
        <v>1 Won bằng bao nhiêu tiền Việt</v>
      </c>
      <c r="AT43" s="21" t="str">
        <f>IFERROR(__xludf.DUMMYFUNCTION("""COMPUTED_VALUE"""),"https://techcombank.com/thong-tin/blog/100-riel-bang-bao-nhieu-tien-viet-nam")</f>
        <v>https://techcombank.com/thong-tin/blog/100-riel-bang-bao-nhieu-tien-viet-nam</v>
      </c>
      <c r="AU43" s="17" t="str">
        <f>IFERROR(__xludf.DUMMYFUNCTION("""COMPUTED_VALUE"""),"tỷ giá Won")</f>
        <v>tỷ giá Won</v>
      </c>
      <c r="AV43" s="21" t="str">
        <f>IFERROR(__xludf.DUMMYFUNCTION("""COMPUTED_VALUE"""),"https://techcombank.com/thong-tin/blog/tien-indonesia")</f>
        <v>https://techcombank.com/thong-tin/blog/tien-indonesia</v>
      </c>
      <c r="AW43" s="17" t="str">
        <f>IFERROR(__xludf.DUMMYFUNCTION("""COMPUTED_VALUE"""),"1 Won bằng bao nhiêu tiền Việt")</f>
        <v>1 Won bằng bao nhiêu tiền Việt</v>
      </c>
      <c r="AX43" s="21" t="str">
        <f>IFERROR(__xludf.DUMMYFUNCTION("""COMPUTED_VALUE"""),"https://techcombank.com/thong-tin/blog/dieu-kien-mua-usd-tu-ngan-hang")</f>
        <v>https://techcombank.com/thong-tin/blog/dieu-kien-mua-usd-tu-ngan-hang</v>
      </c>
      <c r="AY43" s="17" t="str">
        <f>IFERROR(__xludf.DUMMYFUNCTION("""COMPUTED_VALUE"""),"tỷ giá Won")</f>
        <v>tỷ giá Won</v>
      </c>
      <c r="AZ43" s="21" t="str">
        <f>IFERROR(__xludf.DUMMYFUNCTION("""COMPUTED_VALUE"""),"https://techcombank.com/thong-tin/blog/chuyen-tien-di-uc")</f>
        <v>https://techcombank.com/thong-tin/blog/chuyen-tien-di-uc</v>
      </c>
      <c r="BA43" s="17" t="str">
        <f>IFERROR(__xludf.DUMMYFUNCTION("""COMPUTED_VALUE"""),"1 Won bằng bao nhiêu tiền Việt")</f>
        <v>1 Won bằng bao nhiêu tiền Việt</v>
      </c>
      <c r="BB43" s="21" t="str">
        <f>IFERROR(__xludf.DUMMYFUNCTION("""COMPUTED_VALUE"""),"https://techcombank.com/thong-tin/blog/tien-dai-loan")</f>
        <v>https://techcombank.com/thong-tin/blog/tien-dai-loan</v>
      </c>
      <c r="BC43" s="17" t="str">
        <f>IFERROR(__xludf.DUMMYFUNCTION("""COMPUTED_VALUE"""),"tỷ giá Won")</f>
        <v>tỷ giá Won</v>
      </c>
      <c r="BD43" s="21" t="str">
        <f>IFERROR(__xludf.DUMMYFUNCTION("""COMPUTED_VALUE"""),"https://techcombank.com/thong-tin/blog/1-cent-bang-bao-nhieu-tien-viet")</f>
        <v>https://techcombank.com/thong-tin/blog/1-cent-bang-bao-nhieu-tien-viet</v>
      </c>
      <c r="BE43" s="17" t="str">
        <f>IFERROR(__xludf.DUMMYFUNCTION("""COMPUTED_VALUE"""),"1 Won bằng bao nhiêu tiền Việt")</f>
        <v>1 Won bằng bao nhiêu tiền Việt</v>
      </c>
      <c r="BF43" s="21" t="str">
        <f>IFERROR(__xludf.DUMMYFUNCTION("""COMPUTED_VALUE"""),"https://techcombank.com/thong-tin/blog/1-do-uc-bang-bao-nhieu-tien-viet")</f>
        <v>https://techcombank.com/thong-tin/blog/1-do-uc-bang-bao-nhieu-tien-viet</v>
      </c>
      <c r="BG43" s="17" t="str">
        <f>IFERROR(__xludf.DUMMYFUNCTION("""COMPUTED_VALUE"""),"tỷ giá Won")</f>
        <v>tỷ giá Won</v>
      </c>
      <c r="BH43" s="21" t="str">
        <f>IFERROR(__xludf.DUMMYFUNCTION("""COMPUTED_VALUE"""),"https://techcombank.com/thong-tin/blog/gui-tien-du-hoc")</f>
        <v>https://techcombank.com/thong-tin/blog/gui-tien-du-hoc</v>
      </c>
      <c r="BI43" s="17" t="str">
        <f>IFERROR(__xludf.DUMMYFUNCTION("""COMPUTED_VALUE"""),"1 Won bằng bao nhiêu tiền Việt")</f>
        <v>1 Won bằng bao nhiêu tiền Việt</v>
      </c>
      <c r="BJ43" s="21" t="str">
        <f>IFERROR(__xludf.DUMMYFUNCTION("""COMPUTED_VALUE"""),"https://techcombank.com/thong-tin/blog/chuyen-tien-dinh-cu")</f>
        <v>https://techcombank.com/thong-tin/blog/chuyen-tien-dinh-cu</v>
      </c>
      <c r="BK43" s="17" t="str">
        <f>IFERROR(__xludf.DUMMYFUNCTION("""COMPUTED_VALUE"""),"tỷ giá Won")</f>
        <v>tỷ giá Won</v>
      </c>
      <c r="BL43" s="21" t="str">
        <f>IFERROR(__xludf.DUMMYFUNCTION("""COMPUTED_VALUE"""),"https://techcombank.com/thong-tin/blog/han-muc-mua-ngoai-te-khi-di-du-lich")</f>
        <v>https://techcombank.com/thong-tin/blog/han-muc-mua-ngoai-te-khi-di-du-lich</v>
      </c>
      <c r="BM43" s="17" t="str">
        <f>IFERROR(__xludf.DUMMYFUNCTION("""COMPUTED_VALUE"""),"1 Won bằng bao nhiêu tiền Việt")</f>
        <v>1 Won bằng bao nhiêu tiền Việt</v>
      </c>
      <c r="BN43" s="21" t="str">
        <f>IFERROR(__xludf.DUMMYFUNCTION("""COMPUTED_VALUE"""),"https://techcombank.com/thong-tin/blog/1-van-tien-dai-loan-bang-bao-nhieu-tien-viet")</f>
        <v>https://techcombank.com/thong-tin/blog/1-van-tien-dai-loan-bang-bao-nhieu-tien-viet</v>
      </c>
      <c r="BO43" s="17" t="str">
        <f>IFERROR(__xludf.DUMMYFUNCTION("""COMPUTED_VALUE"""),"tỷ giá Won")</f>
        <v>tỷ giá Won</v>
      </c>
      <c r="BP43" s="21" t="str">
        <f>IFERROR(__xludf.DUMMYFUNCTION("""COMPUTED_VALUE"""),"https://techcombank.com/thong-tin/blog/the-visa-co-thanh-toan-quoc-te-duoc-khong")</f>
        <v>https://techcombank.com/thong-tin/blog/the-visa-co-thanh-toan-quoc-te-duoc-khong</v>
      </c>
      <c r="BQ43" s="17" t="str">
        <f>IFERROR(__xludf.DUMMYFUNCTION("""COMPUTED_VALUE"""),"1 Won bằng bao nhiêu tiền Việt")</f>
        <v>1 Won bằng bao nhiêu tiền Việt</v>
      </c>
      <c r="BR43" s="21" t="str">
        <f>IFERROR(__xludf.DUMMYFUNCTION("""COMPUTED_VALUE"""),"https://techcombank.com/thong-tin/blog/thanh-toan-bang-the-quoc-te")</f>
        <v>https://techcombank.com/thong-tin/blog/thanh-toan-bang-the-quoc-te</v>
      </c>
      <c r="BS43" s="17" t="str">
        <f>IFERROR(__xludf.DUMMYFUNCTION("""COMPUTED_VALUE"""),"tỷ giá Won")</f>
        <v>tỷ giá Won</v>
      </c>
      <c r="BT43" s="21" t="str">
        <f>IFERROR(__xludf.DUMMYFUNCTION("""COMPUTED_VALUE"""),"https://techcombank.com/thong-tin/blog/vay-du-hoc")</f>
        <v>https://techcombank.com/thong-tin/blog/vay-du-hoc</v>
      </c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  <c r="FN43" s="17"/>
      <c r="FO43" s="17"/>
      <c r="FP43" s="17"/>
      <c r="FQ43" s="17"/>
      <c r="FR43" s="17"/>
      <c r="FS43" s="17"/>
      <c r="FT43" s="17"/>
      <c r="FU43" s="17"/>
      <c r="FV43" s="17"/>
      <c r="FW43" s="17"/>
      <c r="FX43" s="17"/>
      <c r="FY43" s="17"/>
      <c r="FZ43" s="17"/>
      <c r="GA43" s="17"/>
      <c r="GB43" s="17"/>
      <c r="GC43" s="17"/>
      <c r="GD43" s="17"/>
      <c r="GE43" s="17"/>
      <c r="GF43" s="17"/>
      <c r="GG43" s="17"/>
      <c r="GH43" s="17"/>
      <c r="GI43" s="17"/>
      <c r="GJ43" s="17"/>
      <c r="GK43" s="17"/>
      <c r="GL43" s="17"/>
      <c r="GM43" s="17"/>
      <c r="GN43" s="17"/>
      <c r="GO43" s="17"/>
      <c r="GP43" s="17"/>
      <c r="GQ43" s="17"/>
      <c r="GR43" s="17"/>
      <c r="GS43" s="17"/>
      <c r="GT43" s="17"/>
      <c r="GU43" s="17"/>
      <c r="GV43" s="17"/>
      <c r="GW43" s="17"/>
      <c r="GX43" s="17"/>
      <c r="GY43" s="17"/>
      <c r="GZ43" s="17"/>
      <c r="HA43" s="17"/>
      <c r="HB43" s="17"/>
      <c r="HC43" s="17"/>
      <c r="HD43" s="17"/>
      <c r="HE43" s="17"/>
      <c r="HF43" s="17"/>
      <c r="HG43" s="17"/>
      <c r="HH43" s="17"/>
      <c r="HI43" s="17"/>
      <c r="HJ43" s="17"/>
      <c r="HK43" s="17"/>
      <c r="HL43" s="17"/>
      <c r="HM43" s="17"/>
      <c r="HN43" s="17"/>
      <c r="HO43" s="17"/>
      <c r="HP43" s="17"/>
      <c r="HQ43" s="17"/>
      <c r="HR43" s="17"/>
      <c r="HS43" s="17"/>
      <c r="HT43" s="17"/>
      <c r="HU43" s="17"/>
      <c r="HV43" s="17"/>
      <c r="HW43" s="17"/>
      <c r="HX43" s="17"/>
      <c r="HY43" s="17"/>
      <c r="HZ43" s="17"/>
      <c r="IA43" s="17"/>
      <c r="IB43" s="17"/>
      <c r="IC43" s="17"/>
      <c r="ID43" s="17"/>
      <c r="IE43" s="17"/>
      <c r="IF43" s="17"/>
      <c r="IG43" s="17"/>
      <c r="IH43" s="17"/>
      <c r="II43" s="17"/>
      <c r="IJ43" s="17"/>
      <c r="IK43" s="17"/>
      <c r="IL43" s="17"/>
      <c r="IM43" s="17"/>
      <c r="IN43" s="17"/>
      <c r="IO43" s="17"/>
      <c r="IP43" s="17"/>
      <c r="IQ43" s="17"/>
      <c r="IR43" s="17"/>
      <c r="IS43" s="17"/>
      <c r="IT43" s="17"/>
      <c r="IU43" s="17"/>
      <c r="IV43" s="17"/>
      <c r="IW43" s="17"/>
      <c r="IX43" s="17"/>
      <c r="IY43" s="17"/>
      <c r="IZ43" s="17"/>
      <c r="JA43" s="17"/>
      <c r="JB43" s="17"/>
      <c r="JC43" s="17"/>
      <c r="JD43" s="17"/>
      <c r="JE43" s="17"/>
      <c r="JF43" s="17"/>
      <c r="JG43" s="17"/>
      <c r="JH43" s="17"/>
      <c r="JI43" s="17"/>
      <c r="JJ43" s="17"/>
      <c r="JK43" s="17"/>
      <c r="JL43" s="17"/>
      <c r="JM43" s="17"/>
      <c r="JN43" s="17"/>
      <c r="JO43" s="17"/>
      <c r="JP43" s="17"/>
      <c r="JQ43" s="17"/>
      <c r="JR43" s="17"/>
      <c r="JS43" s="17"/>
      <c r="JT43" s="17"/>
      <c r="JU43" s="17"/>
      <c r="JV43" s="17"/>
      <c r="JW43" s="17"/>
      <c r="JX43" s="17"/>
      <c r="JY43" s="17"/>
      <c r="JZ43" s="17"/>
      <c r="KA43" s="17"/>
      <c r="KB43" s="17"/>
      <c r="KC43" s="17"/>
      <c r="KD43" s="17"/>
      <c r="KE43" s="17"/>
      <c r="KF43" s="17"/>
      <c r="KG43" s="17"/>
      <c r="KH43" s="17"/>
      <c r="KI43" s="17"/>
      <c r="KJ43" s="17"/>
      <c r="KK43" s="17"/>
      <c r="KL43" s="17"/>
      <c r="KM43" s="17"/>
      <c r="KN43" s="17"/>
      <c r="KO43" s="17"/>
      <c r="KP43" s="17"/>
      <c r="KQ43" s="17"/>
      <c r="KR43" s="17"/>
      <c r="KS43" s="17"/>
      <c r="KT43" s="17"/>
      <c r="KU43" s="17"/>
      <c r="KV43" s="17"/>
      <c r="KW43" s="17"/>
      <c r="KX43" s="17"/>
      <c r="KY43" s="17"/>
      <c r="KZ43" s="17"/>
      <c r="LA43" s="17"/>
      <c r="LB43" s="17"/>
      <c r="LC43" s="17"/>
      <c r="LD43" s="17"/>
      <c r="LE43" s="17"/>
      <c r="LF43" s="17"/>
      <c r="LG43" s="17"/>
      <c r="LH43" s="17"/>
      <c r="LI43" s="17"/>
      <c r="LJ43" s="17"/>
      <c r="LK43" s="17"/>
      <c r="LL43" s="17"/>
      <c r="LM43" s="17"/>
      <c r="LN43" s="17"/>
      <c r="LO43" s="17"/>
      <c r="LP43" s="17"/>
      <c r="LQ43" s="17"/>
      <c r="LR43" s="17"/>
      <c r="LS43" s="17"/>
      <c r="LT43" s="17"/>
      <c r="LU43" s="17"/>
      <c r="LV43" s="17"/>
      <c r="LW43" s="17"/>
      <c r="LX43" s="17"/>
      <c r="LY43" s="17"/>
      <c r="LZ43" s="17"/>
      <c r="MA43" s="17"/>
      <c r="MB43" s="17"/>
      <c r="MC43" s="17"/>
      <c r="MD43" s="17"/>
      <c r="ME43" s="17"/>
      <c r="MF43" s="17"/>
      <c r="MG43" s="17"/>
      <c r="MH43" s="17"/>
      <c r="MI43" s="17"/>
      <c r="MJ43" s="17"/>
      <c r="MK43" s="17"/>
      <c r="ML43" s="17"/>
      <c r="MM43" s="17"/>
      <c r="MN43" s="17"/>
      <c r="MO43" s="17"/>
      <c r="MP43" s="17"/>
      <c r="MQ43" s="17"/>
      <c r="MR43" s="17"/>
      <c r="MS43" s="17"/>
      <c r="MT43" s="17"/>
      <c r="MU43" s="17"/>
      <c r="MV43" s="17"/>
      <c r="MW43" s="17"/>
      <c r="MX43" s="17"/>
      <c r="MY43" s="17"/>
      <c r="MZ43" s="17"/>
      <c r="NA43" s="17"/>
      <c r="NB43" s="17"/>
      <c r="NC43" s="17"/>
      <c r="ND43" s="17"/>
      <c r="NE43" s="17"/>
      <c r="NF43" s="17"/>
      <c r="NG43" s="17"/>
      <c r="NH43" s="17"/>
      <c r="NI43" s="17"/>
      <c r="NJ43" s="17"/>
      <c r="NK43" s="17"/>
      <c r="NL43" s="17"/>
      <c r="NM43" s="17"/>
      <c r="NN43" s="17"/>
      <c r="NO43" s="17"/>
      <c r="NP43" s="17"/>
      <c r="NQ43" s="17"/>
      <c r="NR43" s="17"/>
      <c r="NS43" s="17"/>
      <c r="NT43" s="17"/>
      <c r="NU43" s="17"/>
      <c r="NV43" s="17"/>
      <c r="NW43" s="17"/>
      <c r="NX43" s="17"/>
      <c r="NY43" s="17"/>
      <c r="NZ43" s="17"/>
      <c r="OA43" s="17"/>
      <c r="OB43" s="17"/>
      <c r="OC43" s="17"/>
      <c r="OD43" s="17"/>
      <c r="OE43" s="17"/>
      <c r="OF43" s="17"/>
      <c r="OG43" s="17"/>
      <c r="OH43" s="17"/>
      <c r="OI43" s="17"/>
      <c r="OJ43" s="17"/>
      <c r="OK43" s="17"/>
      <c r="OL43" s="17"/>
      <c r="OM43" s="17"/>
      <c r="ON43" s="17"/>
      <c r="OO43" s="17"/>
      <c r="OP43" s="17"/>
      <c r="OQ43" s="17"/>
      <c r="OR43" s="17"/>
      <c r="OS43" s="17"/>
      <c r="OT43" s="17"/>
      <c r="OU43" s="17"/>
      <c r="OV43" s="17"/>
    </row>
    <row r="44" ht="18.0" customHeight="1">
      <c r="A44" s="16">
        <v>43.0</v>
      </c>
      <c r="B44" s="17" t="s">
        <v>1435</v>
      </c>
      <c r="C44" s="18" t="s">
        <v>1512</v>
      </c>
      <c r="D44" s="17" t="s">
        <v>559</v>
      </c>
      <c r="E44" s="16">
        <v>30.0</v>
      </c>
      <c r="F44" s="16">
        <f>COUNTIF('Tổng hợp 75 trang đích'!$B$2:$B$3400,$D44)</f>
        <v>30</v>
      </c>
      <c r="G44" s="16">
        <f>COUNTIFS('Tổng hợp 75 trang đích'!$B$2:$B$3400,$D44,'Tổng hợp 75 trang đích'!$K$2:$K$3400,"PHÙ HỢP CAO")</f>
        <v>1</v>
      </c>
      <c r="H44" s="16">
        <f>COUNTIFS('Tổng hợp 75 trang đích'!$B$2:$B$3400,$D44,'Tổng hợp 75 trang đích'!$K$2:$K$3400,"CÓ THỂ ĐI")</f>
        <v>3</v>
      </c>
      <c r="I44" s="16">
        <f>COUNTIFS('Tổng hợp 75 trang đích'!$B$2:$B$3400,$D44,'Tổng hợp 75 trang đích'!$K$2:$K$3400,"CẦN SOÁT")</f>
        <v>26</v>
      </c>
      <c r="J44" s="19" t="s">
        <v>555</v>
      </c>
      <c r="K44" s="19" t="b">
        <v>0</v>
      </c>
      <c r="L44" s="20" t="s">
        <v>333</v>
      </c>
      <c r="M44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đích'!$B$2:$B$3400=$D44),3,TR"&amp;"UE),1,2)),"""")"),"tiền Đài Loan")</f>
        <v>tiền Đài Loan</v>
      </c>
      <c r="N44" s="21" t="str">
        <f>IFERROR(__xludf.DUMMYFUNCTION("""COMPUTED_VALUE"""),"https://techcombank.com/thong-tin/blog/1-van-tien-dai-loan-bang-bao-nhieu-tien-viet")</f>
        <v>https://techcombank.com/thong-tin/blog/1-van-tien-dai-loan-bang-bao-nhieu-tien-viet</v>
      </c>
      <c r="O44" s="17" t="str">
        <f>IFERROR(__xludf.DUMMYFUNCTION("""COMPUTED_VALUE"""),"Tân Đài tệ")</f>
        <v>Tân Đài tệ</v>
      </c>
      <c r="P44" s="21" t="str">
        <f>IFERROR(__xludf.DUMMYFUNCTION("""COMPUTED_VALUE"""),"https://techcombank.com/thong-tin/blog/ngoai-te-la-gi")</f>
        <v>https://techcombank.com/thong-tin/blog/ngoai-te-la-gi</v>
      </c>
      <c r="Q44" s="17" t="str">
        <f>IFERROR(__xludf.DUMMYFUNCTION("""COMPUTED_VALUE"""),"tỷ giá Đài tệ")</f>
        <v>tỷ giá Đài tệ</v>
      </c>
      <c r="R44" s="21" t="str">
        <f>IFERROR(__xludf.DUMMYFUNCTION("""COMPUTED_VALUE"""),"https://techcombank.com/thong-tin/blog/ty-gia-cac-ngan-hang")</f>
        <v>https://techcombank.com/thong-tin/blog/ty-gia-cac-ngan-hang</v>
      </c>
      <c r="S44" s="17" t="str">
        <f>IFERROR(__xludf.DUMMYFUNCTION("""COMPUTED_VALUE"""),"tiền Đài Loan")</f>
        <v>tiền Đài Loan</v>
      </c>
      <c r="T44" s="21" t="str">
        <f>IFERROR(__xludf.DUMMYFUNCTION("""COMPUTED_VALUE"""),"https://techcombank.com/thong-tin/blog/han-muc-mua-ngoai-te-khi-di-du-lich")</f>
        <v>https://techcombank.com/thong-tin/blog/han-muc-mua-ngoai-te-khi-di-du-lich</v>
      </c>
      <c r="U44" s="17" t="str">
        <f>IFERROR(__xludf.DUMMYFUNCTION("""COMPUTED_VALUE"""),"Tân Đài tệ")</f>
        <v>Tân Đài tệ</v>
      </c>
      <c r="V44" s="21" t="str">
        <f>IFERROR(__xludf.DUMMYFUNCTION("""COMPUTED_VALUE"""),"https://techcombank.com/thong-tin/blog/shang-chi")</f>
        <v>https://techcombank.com/thong-tin/blog/shang-chi</v>
      </c>
      <c r="W44" s="17" t="str">
        <f>IFERROR(__xludf.DUMMYFUNCTION("""COMPUTED_VALUE"""),"tỷ giá Đài tệ")</f>
        <v>tỷ giá Đài tệ</v>
      </c>
      <c r="X44" s="21" t="str">
        <f>IFERROR(__xludf.DUMMYFUNCTION("""COMPUTED_VALUE"""),"https://techcombank.com/thong-tin/blog/1-dong-do-la-my-bang-bao-nhieu-tien-viet-nam")</f>
        <v>https://techcombank.com/thong-tin/blog/1-dong-do-la-my-bang-bao-nhieu-tien-viet-nam</v>
      </c>
      <c r="Y44" s="17" t="str">
        <f>IFERROR(__xludf.DUMMYFUNCTION("""COMPUTED_VALUE"""),"tiền Đài Loan")</f>
        <v>tiền Đài Loan</v>
      </c>
      <c r="Z44" s="21" t="str">
        <f>IFERROR(__xludf.DUMMYFUNCTION("""COMPUTED_VALUE"""),"https://techcombank.com/thong-tin/blog/1-te-bang-bao-nhieu-tien-viet-nam")</f>
        <v>https://techcombank.com/thong-tin/blog/1-te-bang-bao-nhieu-tien-viet-nam</v>
      </c>
      <c r="AA44" s="17" t="str">
        <f>IFERROR(__xludf.DUMMYFUNCTION("""COMPUTED_VALUE"""),"Tân Đài tệ")</f>
        <v>Tân Đài tệ</v>
      </c>
      <c r="AB44" s="21" t="str">
        <f>IFERROR(__xludf.DUMMYFUNCTION("""COMPUTED_VALUE"""),"https://techcombank.com/thong-tin/blog/tien-trung-quoc")</f>
        <v>https://techcombank.com/thong-tin/blog/tien-trung-quoc</v>
      </c>
      <c r="AC44" s="17" t="str">
        <f>IFERROR(__xludf.DUMMYFUNCTION("""COMPUTED_VALUE"""),"tỷ giá Đài tệ")</f>
        <v>tỷ giá Đài tệ</v>
      </c>
      <c r="AD44" s="21" t="str">
        <f>IFERROR(__xludf.DUMMYFUNCTION("""COMPUTED_VALUE"""),"https://techcombank.com/thong-tin/blog/doi-tien-do-o-dau")</f>
        <v>https://techcombank.com/thong-tin/blog/doi-tien-do-o-dau</v>
      </c>
      <c r="AE44" s="17" t="str">
        <f>IFERROR(__xludf.DUMMYFUNCTION("""COMPUTED_VALUE"""),"tiền Đài Loan")</f>
        <v>tiền Đài Loan</v>
      </c>
      <c r="AF44" s="21" t="str">
        <f>IFERROR(__xludf.DUMMYFUNCTION("""COMPUTED_VALUE"""),"https://techcombank.com/thong-tin/blog/1000-won-bang-bao-nhieu-tien-viet")</f>
        <v>https://techcombank.com/thong-tin/blog/1000-won-bang-bao-nhieu-tien-viet</v>
      </c>
      <c r="AG44" s="17" t="str">
        <f>IFERROR(__xludf.DUMMYFUNCTION("""COMPUTED_VALUE"""),"Tân Đài tệ")</f>
        <v>Tân Đài tệ</v>
      </c>
      <c r="AH44" s="21" t="str">
        <f>IFERROR(__xludf.DUMMYFUNCTION("""COMPUTED_VALUE"""),"https://techcombank.com/thong-tin/blog/1000-yen-bang-bao-nhieu-tien-viet")</f>
        <v>https://techcombank.com/thong-tin/blog/1000-yen-bang-bao-nhieu-tien-viet</v>
      </c>
      <c r="AI44" s="17" t="str">
        <f>IFERROR(__xludf.DUMMYFUNCTION("""COMPUTED_VALUE"""),"tỷ giá Đài tệ")</f>
        <v>tỷ giá Đài tệ</v>
      </c>
      <c r="AJ44" s="21" t="str">
        <f>IFERROR(__xludf.DUMMYFUNCTION("""COMPUTED_VALUE"""),"https://techcombank.com/thong-tin/blog/chuyen-tien-tu-nhat-ve-viet-nam")</f>
        <v>https://techcombank.com/thong-tin/blog/chuyen-tien-tu-nhat-ve-viet-nam</v>
      </c>
      <c r="AK44" s="17" t="str">
        <f>IFERROR(__xludf.DUMMYFUNCTION("""COMPUTED_VALUE"""),"tiền Đài Loan")</f>
        <v>tiền Đài Loan</v>
      </c>
      <c r="AL44" s="21" t="str">
        <f>IFERROR(__xludf.DUMMYFUNCTION("""COMPUTED_VALUE"""),"https://techcombank.com/thong-tin/blog/tien-singapore")</f>
        <v>https://techcombank.com/thong-tin/blog/tien-singapore</v>
      </c>
      <c r="AM44" s="17" t="str">
        <f>IFERROR(__xludf.DUMMYFUNCTION("""COMPUTED_VALUE"""),"Tân Đài tệ")</f>
        <v>Tân Đài tệ</v>
      </c>
      <c r="AN44" s="21" t="str">
        <f>IFERROR(__xludf.DUMMYFUNCTION("""COMPUTED_VALUE"""),"https://techcombank.com/thong-tin/blog/di-du-lich-nuoc-ngoai-can-chuan-bi-gi")</f>
        <v>https://techcombank.com/thong-tin/blog/di-du-lich-nuoc-ngoai-can-chuan-bi-gi</v>
      </c>
      <c r="AO44" s="17" t="str">
        <f>IFERROR(__xludf.DUMMYFUNCTION("""COMPUTED_VALUE"""),"tỷ giá Đài tệ")</f>
        <v>tỷ giá Đài tệ</v>
      </c>
      <c r="AP44" s="21" t="str">
        <f>IFERROR(__xludf.DUMMYFUNCTION("""COMPUTED_VALUE"""),"https://techcombank.com/thong-tin/blog/tien-nhat")</f>
        <v>https://techcombank.com/thong-tin/blog/tien-nhat</v>
      </c>
      <c r="AQ44" s="17" t="str">
        <f>IFERROR(__xludf.DUMMYFUNCTION("""COMPUTED_VALUE"""),"tiền Đài Loan")</f>
        <v>tiền Đài Loan</v>
      </c>
      <c r="AR44" s="21" t="str">
        <f>IFERROR(__xludf.DUMMYFUNCTION("""COMPUTED_VALUE"""),"https://techcombank.com/thong-tin/blog/1-van-te-bang-bao-nhieu-tien-viet")</f>
        <v>https://techcombank.com/thong-tin/blog/1-van-te-bang-bao-nhieu-tien-viet</v>
      </c>
      <c r="AS44" s="17" t="str">
        <f>IFERROR(__xludf.DUMMYFUNCTION("""COMPUTED_VALUE"""),"Tân Đài tệ")</f>
        <v>Tân Đài tệ</v>
      </c>
      <c r="AT44" s="21" t="str">
        <f>IFERROR(__xludf.DUMMYFUNCTION("""COMPUTED_VALUE"""),"https://techcombank.com/thong-tin/blog/1000-te-bang-bao-nhieu-tien-viet")</f>
        <v>https://techcombank.com/thong-tin/blog/1000-te-bang-bao-nhieu-tien-viet</v>
      </c>
      <c r="AU44" s="17" t="str">
        <f>IFERROR(__xludf.DUMMYFUNCTION("""COMPUTED_VALUE"""),"tỷ giá Đài tệ")</f>
        <v>tỷ giá Đài tệ</v>
      </c>
      <c r="AV44" s="21" t="str">
        <f>IFERROR(__xludf.DUMMYFUNCTION("""COMPUTED_VALUE"""),"https://techcombank.com/thong-tin/blog/100-riel-bang-bao-nhieu-tien-viet-nam")</f>
        <v>https://techcombank.com/thong-tin/blog/100-riel-bang-bao-nhieu-tien-viet-nam</v>
      </c>
      <c r="AW44" s="17" t="str">
        <f>IFERROR(__xludf.DUMMYFUNCTION("""COMPUTED_VALUE"""),"tiền Đài Loan")</f>
        <v>tiền Đài Loan</v>
      </c>
      <c r="AX44" s="21" t="str">
        <f>IFERROR(__xludf.DUMMYFUNCTION("""COMPUTED_VALUE"""),"https://techcombank.com/thong-tin/blog/tien-indonesia")</f>
        <v>https://techcombank.com/thong-tin/blog/tien-indonesia</v>
      </c>
      <c r="AY44" s="17" t="str">
        <f>IFERROR(__xludf.DUMMYFUNCTION("""COMPUTED_VALUE"""),"Tân Đài tệ")</f>
        <v>Tân Đài tệ</v>
      </c>
      <c r="AZ44" s="21" t="str">
        <f>IFERROR(__xludf.DUMMYFUNCTION("""COMPUTED_VALUE"""),"https://techcombank.com/thong-tin/blog/1-won-bang-bao-nhieu-tien-viet")</f>
        <v>https://techcombank.com/thong-tin/blog/1-won-bang-bao-nhieu-tien-viet</v>
      </c>
      <c r="BA44" s="17" t="str">
        <f>IFERROR(__xludf.DUMMYFUNCTION("""COMPUTED_VALUE"""),"tỷ giá Đài tệ")</f>
        <v>tỷ giá Đài tệ</v>
      </c>
      <c r="BB44" s="21" t="str">
        <f>IFERROR(__xludf.DUMMYFUNCTION("""COMPUTED_VALUE"""),"https://techcombank.com/thong-tin/blog/dieu-kien-mua-usd-tu-ngan-hang")</f>
        <v>https://techcombank.com/thong-tin/blog/dieu-kien-mua-usd-tu-ngan-hang</v>
      </c>
      <c r="BC44" s="17" t="str">
        <f>IFERROR(__xludf.DUMMYFUNCTION("""COMPUTED_VALUE"""),"tiền Đài Loan")</f>
        <v>tiền Đài Loan</v>
      </c>
      <c r="BD44" s="21" t="str">
        <f>IFERROR(__xludf.DUMMYFUNCTION("""COMPUTED_VALUE"""),"https://techcombank.com/thong-tin/blog/chuyen-tien-di-uc")</f>
        <v>https://techcombank.com/thong-tin/blog/chuyen-tien-di-uc</v>
      </c>
      <c r="BE44" s="17" t="str">
        <f>IFERROR(__xludf.DUMMYFUNCTION("""COMPUTED_VALUE"""),"Tân Đài tệ")</f>
        <v>Tân Đài tệ</v>
      </c>
      <c r="BF44" s="21" t="str">
        <f>IFERROR(__xludf.DUMMYFUNCTION("""COMPUTED_VALUE"""),"https://techcombank.com/thong-tin/blog/1-cent-bang-bao-nhieu-tien-viet")</f>
        <v>https://techcombank.com/thong-tin/blog/1-cent-bang-bao-nhieu-tien-viet</v>
      </c>
      <c r="BG44" s="17" t="str">
        <f>IFERROR(__xludf.DUMMYFUNCTION("""COMPUTED_VALUE"""),"tỷ giá Đài tệ")</f>
        <v>tỷ giá Đài tệ</v>
      </c>
      <c r="BH44" s="21" t="str">
        <f>IFERROR(__xludf.DUMMYFUNCTION("""COMPUTED_VALUE"""),"https://techcombank.com/thong-tin/blog/1-do-uc-bang-bao-nhieu-tien-viet")</f>
        <v>https://techcombank.com/thong-tin/blog/1-do-uc-bang-bao-nhieu-tien-viet</v>
      </c>
      <c r="BI44" s="17" t="str">
        <f>IFERROR(__xludf.DUMMYFUNCTION("""COMPUTED_VALUE"""),"tiền Đài Loan")</f>
        <v>tiền Đài Loan</v>
      </c>
      <c r="BJ44" s="21" t="str">
        <f>IFERROR(__xludf.DUMMYFUNCTION("""COMPUTED_VALUE"""),"https://techcombank.com/thong-tin/blog/gui-tien-du-hoc")</f>
        <v>https://techcombank.com/thong-tin/blog/gui-tien-du-hoc</v>
      </c>
      <c r="BK44" s="17" t="str">
        <f>IFERROR(__xludf.DUMMYFUNCTION("""COMPUTED_VALUE"""),"Tân Đài tệ")</f>
        <v>Tân Đài tệ</v>
      </c>
      <c r="BL44" s="21" t="str">
        <f>IFERROR(__xludf.DUMMYFUNCTION("""COMPUTED_VALUE"""),"https://techcombank.com/thong-tin/blog/chuyen-tien-dinh-cu")</f>
        <v>https://techcombank.com/thong-tin/blog/chuyen-tien-dinh-cu</v>
      </c>
      <c r="BM44" s="17" t="str">
        <f>IFERROR(__xludf.DUMMYFUNCTION("""COMPUTED_VALUE"""),"tỷ giá Đài tệ")</f>
        <v>tỷ giá Đài tệ</v>
      </c>
      <c r="BN44" s="21" t="str">
        <f>IFERROR(__xludf.DUMMYFUNCTION("""COMPUTED_VALUE"""),"https://techcombank.com/thong-tin/blog/thu-tuc-chuyen-tien-ra-nuoc-ngoai")</f>
        <v>https://techcombank.com/thong-tin/blog/thu-tuc-chuyen-tien-ra-nuoc-ngoai</v>
      </c>
      <c r="BO44" s="17" t="str">
        <f>IFERROR(__xludf.DUMMYFUNCTION("""COMPUTED_VALUE"""),"tiền Đài Loan")</f>
        <v>tiền Đài Loan</v>
      </c>
      <c r="BP44" s="21" t="str">
        <f>IFERROR(__xludf.DUMMYFUNCTION("""COMPUTED_VALUE"""),"https://techcombank.com/thong-tin/blog/gui-tien-sang-nuoc-ngoai")</f>
        <v>https://techcombank.com/thong-tin/blog/gui-tien-sang-nuoc-ngoai</v>
      </c>
      <c r="BQ44" s="17" t="str">
        <f>IFERROR(__xludf.DUMMYFUNCTION("""COMPUTED_VALUE"""),"Tân Đài tệ")</f>
        <v>Tân Đài tệ</v>
      </c>
      <c r="BR44" s="21" t="str">
        <f>IFERROR(__xludf.DUMMYFUNCTION("""COMPUTED_VALUE"""),"https://techcombank.com/thong-tin/blog/chuyen-tien-tu-duc-ve-viet-nam")</f>
        <v>https://techcombank.com/thong-tin/blog/chuyen-tien-tu-duc-ve-viet-nam</v>
      </c>
      <c r="BS44" s="17" t="str">
        <f>IFERROR(__xludf.DUMMYFUNCTION("""COMPUTED_VALUE"""),"tỷ giá Đài tệ")</f>
        <v>tỷ giá Đài tệ</v>
      </c>
      <c r="BT44" s="21" t="str">
        <f>IFERROR(__xludf.DUMMYFUNCTION("""COMPUTED_VALUE"""),"https://techcombank.com/thong-tin/blog/cach-nhan-tien-tu-nuoc-ngoai-ve-viet-nam")</f>
        <v>https://techcombank.com/thong-tin/blog/cach-nhan-tien-tu-nuoc-ngoai-ve-viet-nam</v>
      </c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  <c r="FN44" s="17"/>
      <c r="FO44" s="17"/>
      <c r="FP44" s="17"/>
      <c r="FQ44" s="17"/>
      <c r="FR44" s="17"/>
      <c r="FS44" s="17"/>
      <c r="FT44" s="17"/>
      <c r="FU44" s="17"/>
      <c r="FV44" s="17"/>
      <c r="FW44" s="17"/>
      <c r="FX44" s="17"/>
      <c r="FY44" s="17"/>
      <c r="FZ44" s="17"/>
      <c r="GA44" s="17"/>
      <c r="GB44" s="17"/>
      <c r="GC44" s="17"/>
      <c r="GD44" s="17"/>
      <c r="GE44" s="17"/>
      <c r="GF44" s="17"/>
      <c r="GG44" s="17"/>
      <c r="GH44" s="17"/>
      <c r="GI44" s="17"/>
      <c r="GJ44" s="17"/>
      <c r="GK44" s="17"/>
      <c r="GL44" s="17"/>
      <c r="GM44" s="17"/>
      <c r="GN44" s="17"/>
      <c r="GO44" s="17"/>
      <c r="GP44" s="17"/>
      <c r="GQ44" s="17"/>
      <c r="GR44" s="17"/>
      <c r="GS44" s="17"/>
      <c r="GT44" s="17"/>
      <c r="GU44" s="17"/>
      <c r="GV44" s="17"/>
      <c r="GW44" s="17"/>
      <c r="GX44" s="17"/>
      <c r="GY44" s="17"/>
      <c r="GZ44" s="17"/>
      <c r="HA44" s="17"/>
      <c r="HB44" s="17"/>
      <c r="HC44" s="17"/>
      <c r="HD44" s="17"/>
      <c r="HE44" s="17"/>
      <c r="HF44" s="17"/>
      <c r="HG44" s="17"/>
      <c r="HH44" s="17"/>
      <c r="HI44" s="17"/>
      <c r="HJ44" s="17"/>
      <c r="HK44" s="17"/>
      <c r="HL44" s="17"/>
      <c r="HM44" s="17"/>
      <c r="HN44" s="17"/>
      <c r="HO44" s="17"/>
      <c r="HP44" s="17"/>
      <c r="HQ44" s="17"/>
      <c r="HR44" s="17"/>
      <c r="HS44" s="17"/>
      <c r="HT44" s="17"/>
      <c r="HU44" s="17"/>
      <c r="HV44" s="17"/>
      <c r="HW44" s="17"/>
      <c r="HX44" s="17"/>
      <c r="HY44" s="17"/>
      <c r="HZ44" s="17"/>
      <c r="IA44" s="17"/>
      <c r="IB44" s="17"/>
      <c r="IC44" s="17"/>
      <c r="ID44" s="17"/>
      <c r="IE44" s="17"/>
      <c r="IF44" s="17"/>
      <c r="IG44" s="17"/>
      <c r="IH44" s="17"/>
      <c r="II44" s="17"/>
      <c r="IJ44" s="17"/>
      <c r="IK44" s="17"/>
      <c r="IL44" s="17"/>
      <c r="IM44" s="17"/>
      <c r="IN44" s="17"/>
      <c r="IO44" s="17"/>
      <c r="IP44" s="17"/>
      <c r="IQ44" s="17"/>
      <c r="IR44" s="17"/>
      <c r="IS44" s="17"/>
      <c r="IT44" s="17"/>
      <c r="IU44" s="17"/>
      <c r="IV44" s="17"/>
      <c r="IW44" s="17"/>
      <c r="IX44" s="17"/>
      <c r="IY44" s="17"/>
      <c r="IZ44" s="17"/>
      <c r="JA44" s="17"/>
      <c r="JB44" s="17"/>
      <c r="JC44" s="17"/>
      <c r="JD44" s="17"/>
      <c r="JE44" s="17"/>
      <c r="JF44" s="17"/>
      <c r="JG44" s="17"/>
      <c r="JH44" s="17"/>
      <c r="JI44" s="17"/>
      <c r="JJ44" s="17"/>
      <c r="JK44" s="17"/>
      <c r="JL44" s="17"/>
      <c r="JM44" s="17"/>
      <c r="JN44" s="17"/>
      <c r="JO44" s="17"/>
      <c r="JP44" s="17"/>
      <c r="JQ44" s="17"/>
      <c r="JR44" s="17"/>
      <c r="JS44" s="17"/>
      <c r="JT44" s="17"/>
      <c r="JU44" s="17"/>
      <c r="JV44" s="17"/>
      <c r="JW44" s="17"/>
      <c r="JX44" s="17"/>
      <c r="JY44" s="17"/>
      <c r="JZ44" s="17"/>
      <c r="KA44" s="17"/>
      <c r="KB44" s="17"/>
      <c r="KC44" s="17"/>
      <c r="KD44" s="17"/>
      <c r="KE44" s="17"/>
      <c r="KF44" s="17"/>
      <c r="KG44" s="17"/>
      <c r="KH44" s="17"/>
      <c r="KI44" s="17"/>
      <c r="KJ44" s="17"/>
      <c r="KK44" s="17"/>
      <c r="KL44" s="17"/>
      <c r="KM44" s="17"/>
      <c r="KN44" s="17"/>
      <c r="KO44" s="17"/>
      <c r="KP44" s="17"/>
      <c r="KQ44" s="17"/>
      <c r="KR44" s="17"/>
      <c r="KS44" s="17"/>
      <c r="KT44" s="17"/>
      <c r="KU44" s="17"/>
      <c r="KV44" s="17"/>
      <c r="KW44" s="17"/>
      <c r="KX44" s="17"/>
      <c r="KY44" s="17"/>
      <c r="KZ44" s="17"/>
      <c r="LA44" s="17"/>
      <c r="LB44" s="17"/>
      <c r="LC44" s="17"/>
      <c r="LD44" s="17"/>
      <c r="LE44" s="17"/>
      <c r="LF44" s="17"/>
      <c r="LG44" s="17"/>
      <c r="LH44" s="17"/>
      <c r="LI44" s="17"/>
      <c r="LJ44" s="17"/>
      <c r="LK44" s="17"/>
      <c r="LL44" s="17"/>
      <c r="LM44" s="17"/>
      <c r="LN44" s="17"/>
      <c r="LO44" s="17"/>
      <c r="LP44" s="17"/>
      <c r="LQ44" s="17"/>
      <c r="LR44" s="17"/>
      <c r="LS44" s="17"/>
      <c r="LT44" s="17"/>
      <c r="LU44" s="17"/>
      <c r="LV44" s="17"/>
      <c r="LW44" s="17"/>
      <c r="LX44" s="17"/>
      <c r="LY44" s="17"/>
      <c r="LZ44" s="17"/>
      <c r="MA44" s="17"/>
      <c r="MB44" s="17"/>
      <c r="MC44" s="17"/>
      <c r="MD44" s="17"/>
      <c r="ME44" s="17"/>
      <c r="MF44" s="17"/>
      <c r="MG44" s="17"/>
      <c r="MH44" s="17"/>
      <c r="MI44" s="17"/>
      <c r="MJ44" s="17"/>
      <c r="MK44" s="17"/>
      <c r="ML44" s="17"/>
      <c r="MM44" s="17"/>
      <c r="MN44" s="17"/>
      <c r="MO44" s="17"/>
      <c r="MP44" s="17"/>
      <c r="MQ44" s="17"/>
      <c r="MR44" s="17"/>
      <c r="MS44" s="17"/>
      <c r="MT44" s="17"/>
      <c r="MU44" s="17"/>
      <c r="MV44" s="17"/>
      <c r="MW44" s="17"/>
      <c r="MX44" s="17"/>
      <c r="MY44" s="17"/>
      <c r="MZ44" s="17"/>
      <c r="NA44" s="17"/>
      <c r="NB44" s="17"/>
      <c r="NC44" s="17"/>
      <c r="ND44" s="17"/>
      <c r="NE44" s="17"/>
      <c r="NF44" s="17"/>
      <c r="NG44" s="17"/>
      <c r="NH44" s="17"/>
      <c r="NI44" s="17"/>
      <c r="NJ44" s="17"/>
      <c r="NK44" s="17"/>
      <c r="NL44" s="17"/>
      <c r="NM44" s="17"/>
      <c r="NN44" s="17"/>
      <c r="NO44" s="17"/>
      <c r="NP44" s="17"/>
      <c r="NQ44" s="17"/>
      <c r="NR44" s="17"/>
      <c r="NS44" s="17"/>
      <c r="NT44" s="17"/>
      <c r="NU44" s="17"/>
      <c r="NV44" s="17"/>
      <c r="NW44" s="17"/>
      <c r="NX44" s="17"/>
      <c r="NY44" s="17"/>
      <c r="NZ44" s="17"/>
      <c r="OA44" s="17"/>
      <c r="OB44" s="17"/>
      <c r="OC44" s="17"/>
      <c r="OD44" s="17"/>
      <c r="OE44" s="17"/>
      <c r="OF44" s="17"/>
      <c r="OG44" s="17"/>
      <c r="OH44" s="17"/>
      <c r="OI44" s="17"/>
      <c r="OJ44" s="17"/>
      <c r="OK44" s="17"/>
      <c r="OL44" s="17"/>
      <c r="OM44" s="17"/>
      <c r="ON44" s="17"/>
      <c r="OO44" s="17"/>
      <c r="OP44" s="17"/>
      <c r="OQ44" s="17"/>
      <c r="OR44" s="17"/>
      <c r="OS44" s="17"/>
      <c r="OT44" s="17"/>
      <c r="OU44" s="17"/>
      <c r="OV44" s="17"/>
    </row>
    <row r="45" ht="18.0" customHeight="1">
      <c r="A45" s="16">
        <v>44.0</v>
      </c>
      <c r="B45" s="17" t="s">
        <v>1435</v>
      </c>
      <c r="C45" s="18" t="s">
        <v>1523</v>
      </c>
      <c r="D45" s="17" t="s">
        <v>562</v>
      </c>
      <c r="E45" s="16">
        <v>30.0</v>
      </c>
      <c r="F45" s="16">
        <f>COUNTIF('Tổng hợp 75 trang đích'!$B$2:$B$3400,$D45)</f>
        <v>30</v>
      </c>
      <c r="G45" s="16">
        <f>COUNTIFS('Tổng hợp 75 trang đích'!$B$2:$B$3400,$D45,'Tổng hợp 75 trang đích'!$K$2:$K$3400,"PHÙ HỢP CAO")</f>
        <v>4</v>
      </c>
      <c r="H45" s="16">
        <f>COUNTIFS('Tổng hợp 75 trang đích'!$B$2:$B$3400,$D45,'Tổng hợp 75 trang đích'!$K$2:$K$3400,"CÓ THỂ ĐI")</f>
        <v>1</v>
      </c>
      <c r="I45" s="16">
        <f>COUNTIFS('Tổng hợp 75 trang đích'!$B$2:$B$3400,$D45,'Tổng hợp 75 trang đích'!$K$2:$K$3400,"CẦN SOÁT")</f>
        <v>25</v>
      </c>
      <c r="J45" s="19" t="s">
        <v>555</v>
      </c>
      <c r="K45" s="19" t="b">
        <v>0</v>
      </c>
      <c r="L45" s="20" t="s">
        <v>333</v>
      </c>
      <c r="M45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đích'!$B$2:$B$3400=$D45),3,TR"&amp;"UE),1,2)),"""")"),"1 Man bằng bao nhiêu tiền Việt")</f>
        <v>1 Man bằng bao nhiêu tiền Việt</v>
      </c>
      <c r="N45" s="21" t="str">
        <f>IFERROR(__xludf.DUMMYFUNCTION("""COMPUTED_VALUE"""),"https://techcombank.com/thong-tin/blog/tien-nhat")</f>
        <v>https://techcombank.com/thong-tin/blog/tien-nhat</v>
      </c>
      <c r="O45" s="17" t="str">
        <f>IFERROR(__xludf.DUMMYFUNCTION("""COMPUTED_VALUE"""),"1 Man Nhật")</f>
        <v>1 Man Nhật</v>
      </c>
      <c r="P45" s="21" t="str">
        <f>IFERROR(__xludf.DUMMYFUNCTION("""COMPUTED_VALUE"""),"https://techcombank.com/thong-tin/blog/1-yen-bang-bao-nhieu-tien-viet-nam")</f>
        <v>https://techcombank.com/thong-tin/blog/1-yen-bang-bao-nhieu-tien-viet-nam</v>
      </c>
      <c r="Q45" s="17" t="str">
        <f>IFERROR(__xludf.DUMMYFUNCTION("""COMPUTED_VALUE"""),"1 Man bằng bao nhiêu tiền Việt")</f>
        <v>1 Man bằng bao nhiêu tiền Việt</v>
      </c>
      <c r="R45" s="21" t="str">
        <f>IFERROR(__xludf.DUMMYFUNCTION("""COMPUTED_VALUE"""),"https://techcombank.com/thong-tin/blog/1000-yen-bang-bao-nhieu-tien-viet")</f>
        <v>https://techcombank.com/thong-tin/blog/1000-yen-bang-bao-nhieu-tien-viet</v>
      </c>
      <c r="S45" s="17" t="str">
        <f>IFERROR(__xludf.DUMMYFUNCTION("""COMPUTED_VALUE"""),"1 Man Nhật")</f>
        <v>1 Man Nhật</v>
      </c>
      <c r="T45" s="21" t="str">
        <f>IFERROR(__xludf.DUMMYFUNCTION("""COMPUTED_VALUE"""),"https://techcombank.com/thong-tin/blog/chuyen-tien-tu-nhat-ve-viet-nam")</f>
        <v>https://techcombank.com/thong-tin/blog/chuyen-tien-tu-nhat-ve-viet-nam</v>
      </c>
      <c r="U45" s="17" t="str">
        <f>IFERROR(__xludf.DUMMYFUNCTION("""COMPUTED_VALUE"""),"1 Man bằng bao nhiêu tiền Việt")</f>
        <v>1 Man bằng bao nhiêu tiền Việt</v>
      </c>
      <c r="V45" s="21" t="str">
        <f>IFERROR(__xludf.DUMMYFUNCTION("""COMPUTED_VALUE"""),"https://techcombank.com/thong-tin/blog/thanh-toan-khi-du-lich-nhat-ban")</f>
        <v>https://techcombank.com/thong-tin/blog/thanh-toan-khi-du-lich-nhat-ban</v>
      </c>
      <c r="W45" s="17" t="str">
        <f>IFERROR(__xludf.DUMMYFUNCTION("""COMPUTED_VALUE"""),"1 Man Nhật")</f>
        <v>1 Man Nhật</v>
      </c>
      <c r="X45" s="21" t="str">
        <f>IFERROR(__xludf.DUMMYFUNCTION("""COMPUTED_VALUE"""),"https://techcombank.com/thong-tin/blog/chixmax")</f>
        <v>https://techcombank.com/thong-tin/blog/chixmax</v>
      </c>
      <c r="Y45" s="17" t="str">
        <f>IFERROR(__xludf.DUMMYFUNCTION("""COMPUTED_VALUE"""),"1 Man bằng bao nhiêu tiền Việt")</f>
        <v>1 Man bằng bao nhiêu tiền Việt</v>
      </c>
      <c r="Z45" s="21" t="str">
        <f>IFERROR(__xludf.DUMMYFUNCTION("""COMPUTED_VALUE"""),"https://techcombank.com/thong-tin/blog/han-muc-mua-ngoai-te-khi-di-du-lich")</f>
        <v>https://techcombank.com/thong-tin/blog/han-muc-mua-ngoai-te-khi-di-du-lich</v>
      </c>
      <c r="AA45" s="17" t="str">
        <f>IFERROR(__xludf.DUMMYFUNCTION("""COMPUTED_VALUE"""),"1 Man Nhật")</f>
        <v>1 Man Nhật</v>
      </c>
      <c r="AB45" s="21" t="str">
        <f>IFERROR(__xludf.DUMMYFUNCTION("""COMPUTED_VALUE"""),"https://techcombank.com/thong-tin/blog/1-dong-do-la-my-bang-bao-nhieu-tien-viet-nam")</f>
        <v>https://techcombank.com/thong-tin/blog/1-dong-do-la-my-bang-bao-nhieu-tien-viet-nam</v>
      </c>
      <c r="AC45" s="17" t="str">
        <f>IFERROR(__xludf.DUMMYFUNCTION("""COMPUTED_VALUE"""),"1 Man bằng bao nhiêu tiền Việt")</f>
        <v>1 Man bằng bao nhiêu tiền Việt</v>
      </c>
      <c r="AD45" s="21" t="str">
        <f>IFERROR(__xludf.DUMMYFUNCTION("""COMPUTED_VALUE"""),"https://techcombank.com/thong-tin/blog/1-te-bang-bao-nhieu-tien-viet-nam")</f>
        <v>https://techcombank.com/thong-tin/blog/1-te-bang-bao-nhieu-tien-viet-nam</v>
      </c>
      <c r="AE45" s="17" t="str">
        <f>IFERROR(__xludf.DUMMYFUNCTION("""COMPUTED_VALUE"""),"1 Man Nhật")</f>
        <v>1 Man Nhật</v>
      </c>
      <c r="AF45" s="21" t="str">
        <f>IFERROR(__xludf.DUMMYFUNCTION("""COMPUTED_VALUE"""),"https://techcombank.com/thong-tin/blog/tien-trung-quoc")</f>
        <v>https://techcombank.com/thong-tin/blog/tien-trung-quoc</v>
      </c>
      <c r="AG45" s="17" t="str">
        <f>IFERROR(__xludf.DUMMYFUNCTION("""COMPUTED_VALUE"""),"1 Man bằng bao nhiêu tiền Việt")</f>
        <v>1 Man bằng bao nhiêu tiền Việt</v>
      </c>
      <c r="AH45" s="21" t="str">
        <f>IFERROR(__xludf.DUMMYFUNCTION("""COMPUTED_VALUE"""),"https://techcombank.com/thong-tin/blog/doi-tien-do-o-dau")</f>
        <v>https://techcombank.com/thong-tin/blog/doi-tien-do-o-dau</v>
      </c>
      <c r="AI45" s="17" t="str">
        <f>IFERROR(__xludf.DUMMYFUNCTION("""COMPUTED_VALUE"""),"1 Man Nhật")</f>
        <v>1 Man Nhật</v>
      </c>
      <c r="AJ45" s="21" t="str">
        <f>IFERROR(__xludf.DUMMYFUNCTION("""COMPUTED_VALUE"""),"https://techcombank.com/thong-tin/blog/1000-won-bang-bao-nhieu-tien-viet")</f>
        <v>https://techcombank.com/thong-tin/blog/1000-won-bang-bao-nhieu-tien-viet</v>
      </c>
      <c r="AK45" s="17" t="str">
        <f>IFERROR(__xludf.DUMMYFUNCTION("""COMPUTED_VALUE"""),"1 Man bằng bao nhiêu tiền Việt")</f>
        <v>1 Man bằng bao nhiêu tiền Việt</v>
      </c>
      <c r="AL45" s="21" t="str">
        <f>IFERROR(__xludf.DUMMYFUNCTION("""COMPUTED_VALUE"""),"https://techcombank.com/thong-tin/blog/tien-singapore")</f>
        <v>https://techcombank.com/thong-tin/blog/tien-singapore</v>
      </c>
      <c r="AM45" s="17" t="str">
        <f>IFERROR(__xludf.DUMMYFUNCTION("""COMPUTED_VALUE"""),"1 Man Nhật")</f>
        <v>1 Man Nhật</v>
      </c>
      <c r="AN45" s="21" t="str">
        <f>IFERROR(__xludf.DUMMYFUNCTION("""COMPUTED_VALUE"""),"https://techcombank.com/thong-tin/blog/di-du-lich-nuoc-ngoai-can-chuan-bi-gi")</f>
        <v>https://techcombank.com/thong-tin/blog/di-du-lich-nuoc-ngoai-can-chuan-bi-gi</v>
      </c>
      <c r="AO45" s="17" t="str">
        <f>IFERROR(__xludf.DUMMYFUNCTION("""COMPUTED_VALUE"""),"1 Man bằng bao nhiêu tiền Việt")</f>
        <v>1 Man bằng bao nhiêu tiền Việt</v>
      </c>
      <c r="AP45" s="21" t="str">
        <f>IFERROR(__xludf.DUMMYFUNCTION("""COMPUTED_VALUE"""),"https://techcombank.com/thong-tin/blog/tien-dai-loan")</f>
        <v>https://techcombank.com/thong-tin/blog/tien-dai-loan</v>
      </c>
      <c r="AQ45" s="17" t="str">
        <f>IFERROR(__xludf.DUMMYFUNCTION("""COMPUTED_VALUE"""),"1 Man Nhật")</f>
        <v>1 Man Nhật</v>
      </c>
      <c r="AR45" s="21" t="str">
        <f>IFERROR(__xludf.DUMMYFUNCTION("""COMPUTED_VALUE"""),"https://techcombank.com/thong-tin/blog/1-van-te-bang-bao-nhieu-tien-viet")</f>
        <v>https://techcombank.com/thong-tin/blog/1-van-te-bang-bao-nhieu-tien-viet</v>
      </c>
      <c r="AS45" s="17" t="str">
        <f>IFERROR(__xludf.DUMMYFUNCTION("""COMPUTED_VALUE"""),"1 Man bằng bao nhiêu tiền Việt")</f>
        <v>1 Man bằng bao nhiêu tiền Việt</v>
      </c>
      <c r="AT45" s="21" t="str">
        <f>IFERROR(__xludf.DUMMYFUNCTION("""COMPUTED_VALUE"""),"https://techcombank.com/thong-tin/blog/1000-te-bang-bao-nhieu-tien-viet")</f>
        <v>https://techcombank.com/thong-tin/blog/1000-te-bang-bao-nhieu-tien-viet</v>
      </c>
      <c r="AU45" s="17" t="str">
        <f>IFERROR(__xludf.DUMMYFUNCTION("""COMPUTED_VALUE"""),"1 Man Nhật")</f>
        <v>1 Man Nhật</v>
      </c>
      <c r="AV45" s="21" t="str">
        <f>IFERROR(__xludf.DUMMYFUNCTION("""COMPUTED_VALUE"""),"https://techcombank.com/thong-tin/blog/100-riel-bang-bao-nhieu-tien-viet-nam")</f>
        <v>https://techcombank.com/thong-tin/blog/100-riel-bang-bao-nhieu-tien-viet-nam</v>
      </c>
      <c r="AW45" s="17" t="str">
        <f>IFERROR(__xludf.DUMMYFUNCTION("""COMPUTED_VALUE"""),"1 Man bằng bao nhiêu tiền Việt")</f>
        <v>1 Man bằng bao nhiêu tiền Việt</v>
      </c>
      <c r="AX45" s="21" t="str">
        <f>IFERROR(__xludf.DUMMYFUNCTION("""COMPUTED_VALUE"""),"https://techcombank.com/thong-tin/blog/tien-indonesia")</f>
        <v>https://techcombank.com/thong-tin/blog/tien-indonesia</v>
      </c>
      <c r="AY45" s="17" t="str">
        <f>IFERROR(__xludf.DUMMYFUNCTION("""COMPUTED_VALUE"""),"1 Man Nhật")</f>
        <v>1 Man Nhật</v>
      </c>
      <c r="AZ45" s="21" t="str">
        <f>IFERROR(__xludf.DUMMYFUNCTION("""COMPUTED_VALUE"""),"https://techcombank.com/thong-tin/blog/1-won-bang-bao-nhieu-tien-viet")</f>
        <v>https://techcombank.com/thong-tin/blog/1-won-bang-bao-nhieu-tien-viet</v>
      </c>
      <c r="BA45" s="17" t="str">
        <f>IFERROR(__xludf.DUMMYFUNCTION("""COMPUTED_VALUE"""),"1 Man bằng bao nhiêu tiền Việt")</f>
        <v>1 Man bằng bao nhiêu tiền Việt</v>
      </c>
      <c r="BB45" s="21" t="str">
        <f>IFERROR(__xludf.DUMMYFUNCTION("""COMPUTED_VALUE"""),"https://techcombank.com/thong-tin/blog/dieu-kien-mua-usd-tu-ngan-hang")</f>
        <v>https://techcombank.com/thong-tin/blog/dieu-kien-mua-usd-tu-ngan-hang</v>
      </c>
      <c r="BC45" s="17" t="str">
        <f>IFERROR(__xludf.DUMMYFUNCTION("""COMPUTED_VALUE"""),"1 Man Nhật")</f>
        <v>1 Man Nhật</v>
      </c>
      <c r="BD45" s="21" t="str">
        <f>IFERROR(__xludf.DUMMYFUNCTION("""COMPUTED_VALUE"""),"https://techcombank.com/thong-tin/blog/chuyen-tien-di-uc")</f>
        <v>https://techcombank.com/thong-tin/blog/chuyen-tien-di-uc</v>
      </c>
      <c r="BE45" s="17" t="str">
        <f>IFERROR(__xludf.DUMMYFUNCTION("""COMPUTED_VALUE"""),"1 Man bằng bao nhiêu tiền Việt")</f>
        <v>1 Man bằng bao nhiêu tiền Việt</v>
      </c>
      <c r="BF45" s="21" t="str">
        <f>IFERROR(__xludf.DUMMYFUNCTION("""COMPUTED_VALUE"""),"https://techcombank.com/thong-tin/blog/1-cent-bang-bao-nhieu-tien-viet")</f>
        <v>https://techcombank.com/thong-tin/blog/1-cent-bang-bao-nhieu-tien-viet</v>
      </c>
      <c r="BG45" s="17" t="str">
        <f>IFERROR(__xludf.DUMMYFUNCTION("""COMPUTED_VALUE"""),"1 Man Nhật")</f>
        <v>1 Man Nhật</v>
      </c>
      <c r="BH45" s="21" t="str">
        <f>IFERROR(__xludf.DUMMYFUNCTION("""COMPUTED_VALUE"""),"https://techcombank.com/thong-tin/blog/1-do-uc-bang-bao-nhieu-tien-viet")</f>
        <v>https://techcombank.com/thong-tin/blog/1-do-uc-bang-bao-nhieu-tien-viet</v>
      </c>
      <c r="BI45" s="17" t="str">
        <f>IFERROR(__xludf.DUMMYFUNCTION("""COMPUTED_VALUE"""),"1 Man bằng bao nhiêu tiền Việt")</f>
        <v>1 Man bằng bao nhiêu tiền Việt</v>
      </c>
      <c r="BJ45" s="21" t="str">
        <f>IFERROR(__xludf.DUMMYFUNCTION("""COMPUTED_VALUE"""),"https://techcombank.com/thong-tin/blog/gui-tien-du-hoc")</f>
        <v>https://techcombank.com/thong-tin/blog/gui-tien-du-hoc</v>
      </c>
      <c r="BK45" s="17" t="str">
        <f>IFERROR(__xludf.DUMMYFUNCTION("""COMPUTED_VALUE"""),"1 Man Nhật")</f>
        <v>1 Man Nhật</v>
      </c>
      <c r="BL45" s="21" t="str">
        <f>IFERROR(__xludf.DUMMYFUNCTION("""COMPUTED_VALUE"""),"https://techcombank.com/thong-tin/blog/chuyen-tien-dinh-cu")</f>
        <v>https://techcombank.com/thong-tin/blog/chuyen-tien-dinh-cu</v>
      </c>
      <c r="BM45" s="17" t="str">
        <f>IFERROR(__xludf.DUMMYFUNCTION("""COMPUTED_VALUE"""),"1 Man bằng bao nhiêu tiền Việt")</f>
        <v>1 Man bằng bao nhiêu tiền Việt</v>
      </c>
      <c r="BN45" s="21" t="str">
        <f>IFERROR(__xludf.DUMMYFUNCTION("""COMPUTED_VALUE"""),"https://techcombank.com/thong-tin/blog/tien-thai-lan")</f>
        <v>https://techcombank.com/thong-tin/blog/tien-thai-lan</v>
      </c>
      <c r="BO45" s="17" t="str">
        <f>IFERROR(__xludf.DUMMYFUNCTION("""COMPUTED_VALUE"""),"1 Man Nhật")</f>
        <v>1 Man Nhật</v>
      </c>
      <c r="BP45" s="21" t="str">
        <f>IFERROR(__xludf.DUMMYFUNCTION("""COMPUTED_VALUE"""),"https://techcombank.com/thong-tin/blog/tien-lao")</f>
        <v>https://techcombank.com/thong-tin/blog/tien-lao</v>
      </c>
      <c r="BQ45" s="17" t="str">
        <f>IFERROR(__xludf.DUMMYFUNCTION("""COMPUTED_VALUE"""),"1 Man bằng bao nhiêu tiền Việt")</f>
        <v>1 Man bằng bao nhiêu tiền Việt</v>
      </c>
      <c r="BR45" s="21" t="str">
        <f>IFERROR(__xludf.DUMMYFUNCTION("""COMPUTED_VALUE"""),"https://techcombank.com/thong-tin/blog/tien-malaysia")</f>
        <v>https://techcombank.com/thong-tin/blog/tien-malaysia</v>
      </c>
      <c r="BS45" s="17" t="str">
        <f>IFERROR(__xludf.DUMMYFUNCTION("""COMPUTED_VALUE"""),"1 Man Nhật")</f>
        <v>1 Man Nhật</v>
      </c>
      <c r="BT45" s="21" t="str">
        <f>IFERROR(__xludf.DUMMYFUNCTION("""COMPUTED_VALUE"""),"https://techcombank.com/thong-tin/blog/xu-huong-ty-gia-usd")</f>
        <v>https://techcombank.com/thong-tin/blog/xu-huong-ty-gia-usd</v>
      </c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  <c r="FN45" s="17"/>
      <c r="FO45" s="17"/>
      <c r="FP45" s="17"/>
      <c r="FQ45" s="17"/>
      <c r="FR45" s="17"/>
      <c r="FS45" s="17"/>
      <c r="FT45" s="17"/>
      <c r="FU45" s="17"/>
      <c r="FV45" s="17"/>
      <c r="FW45" s="17"/>
      <c r="FX45" s="17"/>
      <c r="FY45" s="17"/>
      <c r="FZ45" s="17"/>
      <c r="GA45" s="17"/>
      <c r="GB45" s="17"/>
      <c r="GC45" s="17"/>
      <c r="GD45" s="17"/>
      <c r="GE45" s="17"/>
      <c r="GF45" s="17"/>
      <c r="GG45" s="17"/>
      <c r="GH45" s="17"/>
      <c r="GI45" s="17"/>
      <c r="GJ45" s="17"/>
      <c r="GK45" s="17"/>
      <c r="GL45" s="17"/>
      <c r="GM45" s="17"/>
      <c r="GN45" s="17"/>
      <c r="GO45" s="17"/>
      <c r="GP45" s="17"/>
      <c r="GQ45" s="17"/>
      <c r="GR45" s="17"/>
      <c r="GS45" s="17"/>
      <c r="GT45" s="17"/>
      <c r="GU45" s="17"/>
      <c r="GV45" s="17"/>
      <c r="GW45" s="17"/>
      <c r="GX45" s="17"/>
      <c r="GY45" s="17"/>
      <c r="GZ45" s="17"/>
      <c r="HA45" s="17"/>
      <c r="HB45" s="17"/>
      <c r="HC45" s="17"/>
      <c r="HD45" s="17"/>
      <c r="HE45" s="17"/>
      <c r="HF45" s="17"/>
      <c r="HG45" s="17"/>
      <c r="HH45" s="17"/>
      <c r="HI45" s="17"/>
      <c r="HJ45" s="17"/>
      <c r="HK45" s="17"/>
      <c r="HL45" s="17"/>
      <c r="HM45" s="17"/>
      <c r="HN45" s="17"/>
      <c r="HO45" s="17"/>
      <c r="HP45" s="17"/>
      <c r="HQ45" s="17"/>
      <c r="HR45" s="17"/>
      <c r="HS45" s="17"/>
      <c r="HT45" s="17"/>
      <c r="HU45" s="17"/>
      <c r="HV45" s="17"/>
      <c r="HW45" s="17"/>
      <c r="HX45" s="17"/>
      <c r="HY45" s="17"/>
      <c r="HZ45" s="17"/>
      <c r="IA45" s="17"/>
      <c r="IB45" s="17"/>
      <c r="IC45" s="17"/>
      <c r="ID45" s="17"/>
      <c r="IE45" s="17"/>
      <c r="IF45" s="17"/>
      <c r="IG45" s="17"/>
      <c r="IH45" s="17"/>
      <c r="II45" s="17"/>
      <c r="IJ45" s="17"/>
      <c r="IK45" s="17"/>
      <c r="IL45" s="17"/>
      <c r="IM45" s="17"/>
      <c r="IN45" s="17"/>
      <c r="IO45" s="17"/>
      <c r="IP45" s="17"/>
      <c r="IQ45" s="17"/>
      <c r="IR45" s="17"/>
      <c r="IS45" s="17"/>
      <c r="IT45" s="17"/>
      <c r="IU45" s="17"/>
      <c r="IV45" s="17"/>
      <c r="IW45" s="17"/>
      <c r="IX45" s="17"/>
      <c r="IY45" s="17"/>
      <c r="IZ45" s="17"/>
      <c r="JA45" s="17"/>
      <c r="JB45" s="17"/>
      <c r="JC45" s="17"/>
      <c r="JD45" s="17"/>
      <c r="JE45" s="17"/>
      <c r="JF45" s="17"/>
      <c r="JG45" s="17"/>
      <c r="JH45" s="17"/>
      <c r="JI45" s="17"/>
      <c r="JJ45" s="17"/>
      <c r="JK45" s="17"/>
      <c r="JL45" s="17"/>
      <c r="JM45" s="17"/>
      <c r="JN45" s="17"/>
      <c r="JO45" s="17"/>
      <c r="JP45" s="17"/>
      <c r="JQ45" s="17"/>
      <c r="JR45" s="17"/>
      <c r="JS45" s="17"/>
      <c r="JT45" s="17"/>
      <c r="JU45" s="17"/>
      <c r="JV45" s="17"/>
      <c r="JW45" s="17"/>
      <c r="JX45" s="17"/>
      <c r="JY45" s="17"/>
      <c r="JZ45" s="17"/>
      <c r="KA45" s="17"/>
      <c r="KB45" s="17"/>
      <c r="KC45" s="17"/>
      <c r="KD45" s="17"/>
      <c r="KE45" s="17"/>
      <c r="KF45" s="17"/>
      <c r="KG45" s="17"/>
      <c r="KH45" s="17"/>
      <c r="KI45" s="17"/>
      <c r="KJ45" s="17"/>
      <c r="KK45" s="17"/>
      <c r="KL45" s="17"/>
      <c r="KM45" s="17"/>
      <c r="KN45" s="17"/>
      <c r="KO45" s="17"/>
      <c r="KP45" s="17"/>
      <c r="KQ45" s="17"/>
      <c r="KR45" s="17"/>
      <c r="KS45" s="17"/>
      <c r="KT45" s="17"/>
      <c r="KU45" s="17"/>
      <c r="KV45" s="17"/>
      <c r="KW45" s="17"/>
      <c r="KX45" s="17"/>
      <c r="KY45" s="17"/>
      <c r="KZ45" s="17"/>
      <c r="LA45" s="17"/>
      <c r="LB45" s="17"/>
      <c r="LC45" s="17"/>
      <c r="LD45" s="17"/>
      <c r="LE45" s="17"/>
      <c r="LF45" s="17"/>
      <c r="LG45" s="17"/>
      <c r="LH45" s="17"/>
      <c r="LI45" s="17"/>
      <c r="LJ45" s="17"/>
      <c r="LK45" s="17"/>
      <c r="LL45" s="17"/>
      <c r="LM45" s="17"/>
      <c r="LN45" s="17"/>
      <c r="LO45" s="17"/>
      <c r="LP45" s="17"/>
      <c r="LQ45" s="17"/>
      <c r="LR45" s="17"/>
      <c r="LS45" s="17"/>
      <c r="LT45" s="17"/>
      <c r="LU45" s="17"/>
      <c r="LV45" s="17"/>
      <c r="LW45" s="17"/>
      <c r="LX45" s="17"/>
      <c r="LY45" s="17"/>
      <c r="LZ45" s="17"/>
      <c r="MA45" s="17"/>
      <c r="MB45" s="17"/>
      <c r="MC45" s="17"/>
      <c r="MD45" s="17"/>
      <c r="ME45" s="17"/>
      <c r="MF45" s="17"/>
      <c r="MG45" s="17"/>
      <c r="MH45" s="17"/>
      <c r="MI45" s="17"/>
      <c r="MJ45" s="17"/>
      <c r="MK45" s="17"/>
      <c r="ML45" s="17"/>
      <c r="MM45" s="17"/>
      <c r="MN45" s="17"/>
      <c r="MO45" s="17"/>
      <c r="MP45" s="17"/>
      <c r="MQ45" s="17"/>
      <c r="MR45" s="17"/>
      <c r="MS45" s="17"/>
      <c r="MT45" s="17"/>
      <c r="MU45" s="17"/>
      <c r="MV45" s="17"/>
      <c r="MW45" s="17"/>
      <c r="MX45" s="17"/>
      <c r="MY45" s="17"/>
      <c r="MZ45" s="17"/>
      <c r="NA45" s="17"/>
      <c r="NB45" s="17"/>
      <c r="NC45" s="17"/>
      <c r="ND45" s="17"/>
      <c r="NE45" s="17"/>
      <c r="NF45" s="17"/>
      <c r="NG45" s="17"/>
      <c r="NH45" s="17"/>
      <c r="NI45" s="17"/>
      <c r="NJ45" s="17"/>
      <c r="NK45" s="17"/>
      <c r="NL45" s="17"/>
      <c r="NM45" s="17"/>
      <c r="NN45" s="17"/>
      <c r="NO45" s="17"/>
      <c r="NP45" s="17"/>
      <c r="NQ45" s="17"/>
      <c r="NR45" s="17"/>
      <c r="NS45" s="17"/>
      <c r="NT45" s="17"/>
      <c r="NU45" s="17"/>
      <c r="NV45" s="17"/>
      <c r="NW45" s="17"/>
      <c r="NX45" s="17"/>
      <c r="NY45" s="17"/>
      <c r="NZ45" s="17"/>
      <c r="OA45" s="17"/>
      <c r="OB45" s="17"/>
      <c r="OC45" s="17"/>
      <c r="OD45" s="17"/>
      <c r="OE45" s="17"/>
      <c r="OF45" s="17"/>
      <c r="OG45" s="17"/>
      <c r="OH45" s="17"/>
      <c r="OI45" s="17"/>
      <c r="OJ45" s="17"/>
      <c r="OK45" s="17"/>
      <c r="OL45" s="17"/>
      <c r="OM45" s="17"/>
      <c r="ON45" s="17"/>
      <c r="OO45" s="17"/>
      <c r="OP45" s="17"/>
      <c r="OQ45" s="17"/>
      <c r="OR45" s="17"/>
      <c r="OS45" s="17"/>
      <c r="OT45" s="17"/>
      <c r="OU45" s="17"/>
      <c r="OV45" s="17"/>
    </row>
    <row r="46" ht="18.0" customHeight="1">
      <c r="A46" s="16">
        <v>45.0</v>
      </c>
      <c r="B46" s="17" t="s">
        <v>1435</v>
      </c>
      <c r="C46" s="18" t="s">
        <v>1534</v>
      </c>
      <c r="D46" s="17" t="s">
        <v>563</v>
      </c>
      <c r="E46" s="16">
        <v>30.0</v>
      </c>
      <c r="F46" s="16">
        <f>COUNTIF('Tổng hợp 75 trang đích'!$B$2:$B$3400,$D46)</f>
        <v>30</v>
      </c>
      <c r="G46" s="16">
        <f>COUNTIFS('Tổng hợp 75 trang đích'!$B$2:$B$3400,$D46,'Tổng hợp 75 trang đích'!$K$2:$K$3400,"PHÙ HỢP CAO")</f>
        <v>2</v>
      </c>
      <c r="H46" s="16">
        <f>COUNTIFS('Tổng hợp 75 trang đích'!$B$2:$B$3400,$D46,'Tổng hợp 75 trang đích'!$K$2:$K$3400,"CÓ THỂ ĐI")</f>
        <v>3</v>
      </c>
      <c r="I46" s="16">
        <f>COUNTIFS('Tổng hợp 75 trang đích'!$B$2:$B$3400,$D46,'Tổng hợp 75 trang đích'!$K$2:$K$3400,"CẦN SOÁT")</f>
        <v>25</v>
      </c>
      <c r="J46" s="19" t="s">
        <v>555</v>
      </c>
      <c r="K46" s="19" t="b">
        <v>0</v>
      </c>
      <c r="L46" s="20" t="s">
        <v>333</v>
      </c>
      <c r="M46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đích'!$B$2:$B$3400=$D46),3,TR"&amp;"UE),1,2)),"""")"),"tiền Thái Lan")</f>
        <v>tiền Thái Lan</v>
      </c>
      <c r="N46" s="21" t="str">
        <f>IFERROR(__xludf.DUMMYFUNCTION("""COMPUTED_VALUE"""),"https://techcombank.com/thong-tin/blog/thanh-toan-khi-du-lich-thai-lan")</f>
        <v>https://techcombank.com/thong-tin/blog/thanh-toan-khi-du-lich-thai-lan</v>
      </c>
      <c r="O46" s="17" t="str">
        <f>IFERROR(__xludf.DUMMYFUNCTION("""COMPUTED_VALUE"""),"tiền Baht Thái")</f>
        <v>tiền Baht Thái</v>
      </c>
      <c r="P46" s="21" t="str">
        <f>IFERROR(__xludf.DUMMYFUNCTION("""COMPUTED_VALUE"""),"https://techcombank.com/thong-tin/blog/thanh-toan-qr-thai-lan")</f>
        <v>https://techcombank.com/thong-tin/blog/thanh-toan-qr-thai-lan</v>
      </c>
      <c r="Q46" s="17" t="str">
        <f>IFERROR(__xludf.DUMMYFUNCTION("""COMPUTED_VALUE"""),"tiền Baht")</f>
        <v>tiền Baht</v>
      </c>
      <c r="R46" s="21" t="str">
        <f>IFERROR(__xludf.DUMMYFUNCTION("""COMPUTED_VALUE"""),"https://techcombank.com/thong-tin/blog/han-muc-mua-ngoai-te-khi-di-du-lich")</f>
        <v>https://techcombank.com/thong-tin/blog/han-muc-mua-ngoai-te-khi-di-du-lich</v>
      </c>
      <c r="S46" s="17" t="str">
        <f>IFERROR(__xludf.DUMMYFUNCTION("""COMPUTED_VALUE"""),"tiền Thái Lan")</f>
        <v>tiền Thái Lan</v>
      </c>
      <c r="T46" s="21" t="str">
        <f>IFERROR(__xludf.DUMMYFUNCTION("""COMPUTED_VALUE"""),"https://techcombank.com/thong-tin/blog/di-du-lich-nuoc-ngoai-can-chuan-bi-gi")</f>
        <v>https://techcombank.com/thong-tin/blog/di-du-lich-nuoc-ngoai-can-chuan-bi-gi</v>
      </c>
      <c r="U46" s="17" t="str">
        <f>IFERROR(__xludf.DUMMYFUNCTION("""COMPUTED_VALUE"""),"tiền Baht Thái")</f>
        <v>tiền Baht Thái</v>
      </c>
      <c r="V46" s="21" t="str">
        <f>IFERROR(__xludf.DUMMYFUNCTION("""COMPUTED_VALUE"""),"https://techcombank.com/thong-tin/blog/thanh-toan-bang-the-quoc-te")</f>
        <v>https://techcombank.com/thong-tin/blog/thanh-toan-bang-the-quoc-te</v>
      </c>
      <c r="W46" s="17" t="str">
        <f>IFERROR(__xludf.DUMMYFUNCTION("""COMPUTED_VALUE"""),"tiền Baht")</f>
        <v>tiền Baht</v>
      </c>
      <c r="X46" s="21" t="str">
        <f>IFERROR(__xludf.DUMMYFUNCTION("""COMPUTED_VALUE"""),"https://techcombank.com/thong-tin/blog/1-dong-do-la-my-bang-bao-nhieu-tien-viet-nam")</f>
        <v>https://techcombank.com/thong-tin/blog/1-dong-do-la-my-bang-bao-nhieu-tien-viet-nam</v>
      </c>
      <c r="Y46" s="17" t="str">
        <f>IFERROR(__xludf.DUMMYFUNCTION("""COMPUTED_VALUE"""),"tiền Thái Lan")</f>
        <v>tiền Thái Lan</v>
      </c>
      <c r="Z46" s="21" t="str">
        <f>IFERROR(__xludf.DUMMYFUNCTION("""COMPUTED_VALUE"""),"https://techcombank.com/thong-tin/blog/1-te-bang-bao-nhieu-tien-viet-nam")</f>
        <v>https://techcombank.com/thong-tin/blog/1-te-bang-bao-nhieu-tien-viet-nam</v>
      </c>
      <c r="AA46" s="17" t="str">
        <f>IFERROR(__xludf.DUMMYFUNCTION("""COMPUTED_VALUE"""),"tiền Baht Thái")</f>
        <v>tiền Baht Thái</v>
      </c>
      <c r="AB46" s="21" t="str">
        <f>IFERROR(__xludf.DUMMYFUNCTION("""COMPUTED_VALUE"""),"https://techcombank.com/thong-tin/blog/tien-trung-quoc")</f>
        <v>https://techcombank.com/thong-tin/blog/tien-trung-quoc</v>
      </c>
      <c r="AC46" s="17" t="str">
        <f>IFERROR(__xludf.DUMMYFUNCTION("""COMPUTED_VALUE"""),"tiền Baht")</f>
        <v>tiền Baht</v>
      </c>
      <c r="AD46" s="21" t="str">
        <f>IFERROR(__xludf.DUMMYFUNCTION("""COMPUTED_VALUE"""),"https://techcombank.com/thong-tin/blog/1000-yen-bang-bao-nhieu-tien-viet")</f>
        <v>https://techcombank.com/thong-tin/blog/1000-yen-bang-bao-nhieu-tien-viet</v>
      </c>
      <c r="AE46" s="17" t="str">
        <f>IFERROR(__xludf.DUMMYFUNCTION("""COMPUTED_VALUE"""),"tiền Thái Lan")</f>
        <v>tiền Thái Lan</v>
      </c>
      <c r="AF46" s="21" t="str">
        <f>IFERROR(__xludf.DUMMYFUNCTION("""COMPUTED_VALUE"""),"https://techcombank.com/thong-tin/blog/doi-tien-do-o-dau")</f>
        <v>https://techcombank.com/thong-tin/blog/doi-tien-do-o-dau</v>
      </c>
      <c r="AG46" s="17" t="str">
        <f>IFERROR(__xludf.DUMMYFUNCTION("""COMPUTED_VALUE"""),"tiền Baht Thái")</f>
        <v>tiền Baht Thái</v>
      </c>
      <c r="AH46" s="21" t="str">
        <f>IFERROR(__xludf.DUMMYFUNCTION("""COMPUTED_VALUE"""),"https://techcombank.com/thong-tin/blog/chuyen-tien-tu-nhat-ve-viet-nam")</f>
        <v>https://techcombank.com/thong-tin/blog/chuyen-tien-tu-nhat-ve-viet-nam</v>
      </c>
      <c r="AI46" s="17" t="str">
        <f>IFERROR(__xludf.DUMMYFUNCTION("""COMPUTED_VALUE"""),"tiền Baht")</f>
        <v>tiền Baht</v>
      </c>
      <c r="AJ46" s="21" t="str">
        <f>IFERROR(__xludf.DUMMYFUNCTION("""COMPUTED_VALUE"""),"https://techcombank.com/thong-tin/blog/1000-won-bang-bao-nhieu-tien-viet")</f>
        <v>https://techcombank.com/thong-tin/blog/1000-won-bang-bao-nhieu-tien-viet</v>
      </c>
      <c r="AK46" s="17" t="str">
        <f>IFERROR(__xludf.DUMMYFUNCTION("""COMPUTED_VALUE"""),"tiền Thái Lan")</f>
        <v>tiền Thái Lan</v>
      </c>
      <c r="AL46" s="21" t="str">
        <f>IFERROR(__xludf.DUMMYFUNCTION("""COMPUTED_VALUE"""),"https://techcombank.com/thong-tin/blog/tien-singapore")</f>
        <v>https://techcombank.com/thong-tin/blog/tien-singapore</v>
      </c>
      <c r="AM46" s="17" t="str">
        <f>IFERROR(__xludf.DUMMYFUNCTION("""COMPUTED_VALUE"""),"tiền Baht Thái")</f>
        <v>tiền Baht Thái</v>
      </c>
      <c r="AN46" s="21" t="str">
        <f>IFERROR(__xludf.DUMMYFUNCTION("""COMPUTED_VALUE"""),"https://techcombank.com/thong-tin/blog/tien-nhat")</f>
        <v>https://techcombank.com/thong-tin/blog/tien-nhat</v>
      </c>
      <c r="AO46" s="17" t="str">
        <f>IFERROR(__xludf.DUMMYFUNCTION("""COMPUTED_VALUE"""),"tiền Baht")</f>
        <v>tiền Baht</v>
      </c>
      <c r="AP46" s="21" t="str">
        <f>IFERROR(__xludf.DUMMYFUNCTION("""COMPUTED_VALUE"""),"https://techcombank.com/thong-tin/blog/tien-dai-loan")</f>
        <v>https://techcombank.com/thong-tin/blog/tien-dai-loan</v>
      </c>
      <c r="AQ46" s="17" t="str">
        <f>IFERROR(__xludf.DUMMYFUNCTION("""COMPUTED_VALUE"""),"tiền Thái Lan")</f>
        <v>tiền Thái Lan</v>
      </c>
      <c r="AR46" s="21" t="str">
        <f>IFERROR(__xludf.DUMMYFUNCTION("""COMPUTED_VALUE"""),"https://techcombank.com/thong-tin/blog/1-van-te-bang-bao-nhieu-tien-viet")</f>
        <v>https://techcombank.com/thong-tin/blog/1-van-te-bang-bao-nhieu-tien-viet</v>
      </c>
      <c r="AS46" s="17" t="str">
        <f>IFERROR(__xludf.DUMMYFUNCTION("""COMPUTED_VALUE"""),"tiền Baht Thái")</f>
        <v>tiền Baht Thái</v>
      </c>
      <c r="AT46" s="21" t="str">
        <f>IFERROR(__xludf.DUMMYFUNCTION("""COMPUTED_VALUE"""),"https://techcombank.com/thong-tin/blog/1000-te-bang-bao-nhieu-tien-viet")</f>
        <v>https://techcombank.com/thong-tin/blog/1000-te-bang-bao-nhieu-tien-viet</v>
      </c>
      <c r="AU46" s="17" t="str">
        <f>IFERROR(__xludf.DUMMYFUNCTION("""COMPUTED_VALUE"""),"tiền Baht")</f>
        <v>tiền Baht</v>
      </c>
      <c r="AV46" s="21" t="str">
        <f>IFERROR(__xludf.DUMMYFUNCTION("""COMPUTED_VALUE"""),"https://techcombank.com/thong-tin/blog/100-riel-bang-bao-nhieu-tien-viet-nam")</f>
        <v>https://techcombank.com/thong-tin/blog/100-riel-bang-bao-nhieu-tien-viet-nam</v>
      </c>
      <c r="AW46" s="17" t="str">
        <f>IFERROR(__xludf.DUMMYFUNCTION("""COMPUTED_VALUE"""),"tiền Thái Lan")</f>
        <v>tiền Thái Lan</v>
      </c>
      <c r="AX46" s="21" t="str">
        <f>IFERROR(__xludf.DUMMYFUNCTION("""COMPUTED_VALUE"""),"https://techcombank.com/thong-tin/blog/tien-indonesia")</f>
        <v>https://techcombank.com/thong-tin/blog/tien-indonesia</v>
      </c>
      <c r="AY46" s="17" t="str">
        <f>IFERROR(__xludf.DUMMYFUNCTION("""COMPUTED_VALUE"""),"tiền Baht Thái")</f>
        <v>tiền Baht Thái</v>
      </c>
      <c r="AZ46" s="21" t="str">
        <f>IFERROR(__xludf.DUMMYFUNCTION("""COMPUTED_VALUE"""),"https://techcombank.com/thong-tin/blog/1-won-bang-bao-nhieu-tien-viet")</f>
        <v>https://techcombank.com/thong-tin/blog/1-won-bang-bao-nhieu-tien-viet</v>
      </c>
      <c r="BA46" s="17" t="str">
        <f>IFERROR(__xludf.DUMMYFUNCTION("""COMPUTED_VALUE"""),"tiền Baht")</f>
        <v>tiền Baht</v>
      </c>
      <c r="BB46" s="21" t="str">
        <f>IFERROR(__xludf.DUMMYFUNCTION("""COMPUTED_VALUE"""),"https://techcombank.com/thong-tin/blog/dieu-kien-mua-usd-tu-ngan-hang")</f>
        <v>https://techcombank.com/thong-tin/blog/dieu-kien-mua-usd-tu-ngan-hang</v>
      </c>
      <c r="BC46" s="17" t="str">
        <f>IFERROR(__xludf.DUMMYFUNCTION("""COMPUTED_VALUE"""),"tiền Thái Lan")</f>
        <v>tiền Thái Lan</v>
      </c>
      <c r="BD46" s="21" t="str">
        <f>IFERROR(__xludf.DUMMYFUNCTION("""COMPUTED_VALUE"""),"https://techcombank.com/thong-tin/blog/chuyen-tien-di-uc")</f>
        <v>https://techcombank.com/thong-tin/blog/chuyen-tien-di-uc</v>
      </c>
      <c r="BE46" s="17" t="str">
        <f>IFERROR(__xludf.DUMMYFUNCTION("""COMPUTED_VALUE"""),"tiền Baht Thái")</f>
        <v>tiền Baht Thái</v>
      </c>
      <c r="BF46" s="21" t="str">
        <f>IFERROR(__xludf.DUMMYFUNCTION("""COMPUTED_VALUE"""),"https://techcombank.com/thong-tin/blog/1-cent-bang-bao-nhieu-tien-viet")</f>
        <v>https://techcombank.com/thong-tin/blog/1-cent-bang-bao-nhieu-tien-viet</v>
      </c>
      <c r="BG46" s="17" t="str">
        <f>IFERROR(__xludf.DUMMYFUNCTION("""COMPUTED_VALUE"""),"tiền Baht")</f>
        <v>tiền Baht</v>
      </c>
      <c r="BH46" s="21" t="str">
        <f>IFERROR(__xludf.DUMMYFUNCTION("""COMPUTED_VALUE"""),"https://techcombank.com/thong-tin/blog/1-do-uc-bang-bao-nhieu-tien-viet")</f>
        <v>https://techcombank.com/thong-tin/blog/1-do-uc-bang-bao-nhieu-tien-viet</v>
      </c>
      <c r="BI46" s="17" t="str">
        <f>IFERROR(__xludf.DUMMYFUNCTION("""COMPUTED_VALUE"""),"tiền Thái Lan")</f>
        <v>tiền Thái Lan</v>
      </c>
      <c r="BJ46" s="21" t="str">
        <f>IFERROR(__xludf.DUMMYFUNCTION("""COMPUTED_VALUE"""),"https://techcombank.com/thong-tin/blog/gui-tien-du-hoc")</f>
        <v>https://techcombank.com/thong-tin/blog/gui-tien-du-hoc</v>
      </c>
      <c r="BK46" s="17" t="str">
        <f>IFERROR(__xludf.DUMMYFUNCTION("""COMPUTED_VALUE"""),"tiền Baht Thái")</f>
        <v>tiền Baht Thái</v>
      </c>
      <c r="BL46" s="21" t="str">
        <f>IFERROR(__xludf.DUMMYFUNCTION("""COMPUTED_VALUE"""),"https://techcombank.com/thong-tin/blog/chuyen-tien-dinh-cu")</f>
        <v>https://techcombank.com/thong-tin/blog/chuyen-tien-dinh-cu</v>
      </c>
      <c r="BM46" s="17" t="str">
        <f>IFERROR(__xludf.DUMMYFUNCTION("""COMPUTED_VALUE"""),"tiền Baht")</f>
        <v>tiền Baht</v>
      </c>
      <c r="BN46" s="21" t="str">
        <f>IFERROR(__xludf.DUMMYFUNCTION("""COMPUTED_VALUE"""),"https://techcombank.com/thong-tin/blog/vnd-to-myr")</f>
        <v>https://techcombank.com/thong-tin/blog/vnd-to-myr</v>
      </c>
      <c r="BO46" s="17" t="str">
        <f>IFERROR(__xludf.DUMMYFUNCTION("""COMPUTED_VALUE"""),"tiền Thái Lan")</f>
        <v>tiền Thái Lan</v>
      </c>
      <c r="BP46" s="21" t="str">
        <f>IFERROR(__xludf.DUMMYFUNCTION("""COMPUTED_VALUE"""),"https://techcombank.com/thong-tin/blog/1-van-tien-dai-loan-bang-bao-nhieu-tien-viet")</f>
        <v>https://techcombank.com/thong-tin/blog/1-van-tien-dai-loan-bang-bao-nhieu-tien-viet</v>
      </c>
      <c r="BQ46" s="17" t="str">
        <f>IFERROR(__xludf.DUMMYFUNCTION("""COMPUTED_VALUE"""),"tiền Baht Thái")</f>
        <v>tiền Baht Thái</v>
      </c>
      <c r="BR46" s="21" t="str">
        <f>IFERROR(__xludf.DUMMYFUNCTION("""COMPUTED_VALUE"""),"https://techcombank.com/thong-tin/blog/1-trieu-won-bang-bao-nhieu-tien-viet")</f>
        <v>https://techcombank.com/thong-tin/blog/1-trieu-won-bang-bao-nhieu-tien-viet</v>
      </c>
      <c r="BS46" s="17" t="str">
        <f>IFERROR(__xludf.DUMMYFUNCTION("""COMPUTED_VALUE"""),"tiền Baht")</f>
        <v>tiền Baht</v>
      </c>
      <c r="BT46" s="21" t="str">
        <f>IFERROR(__xludf.DUMMYFUNCTION("""COMPUTED_VALUE"""),"https://techcombank.com/thong-tin/blog/1-yen-bang-bao-nhieu-tien-viet-nam")</f>
        <v>https://techcombank.com/thong-tin/blog/1-yen-bang-bao-nhieu-tien-viet-nam</v>
      </c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  <c r="EW46" s="17"/>
      <c r="EX46" s="17"/>
      <c r="EY46" s="17"/>
      <c r="EZ46" s="17"/>
      <c r="FA46" s="17"/>
      <c r="FB46" s="17"/>
      <c r="FC46" s="17"/>
      <c r="FD46" s="17"/>
      <c r="FE46" s="17"/>
      <c r="FF46" s="17"/>
      <c r="FG46" s="17"/>
      <c r="FH46" s="17"/>
      <c r="FI46" s="17"/>
      <c r="FJ46" s="17"/>
      <c r="FK46" s="17"/>
      <c r="FL46" s="17"/>
      <c r="FM46" s="17"/>
      <c r="FN46" s="17"/>
      <c r="FO46" s="17"/>
      <c r="FP46" s="17"/>
      <c r="FQ46" s="17"/>
      <c r="FR46" s="17"/>
      <c r="FS46" s="17"/>
      <c r="FT46" s="17"/>
      <c r="FU46" s="17"/>
      <c r="FV46" s="17"/>
      <c r="FW46" s="17"/>
      <c r="FX46" s="17"/>
      <c r="FY46" s="17"/>
      <c r="FZ46" s="17"/>
      <c r="GA46" s="17"/>
      <c r="GB46" s="17"/>
      <c r="GC46" s="17"/>
      <c r="GD46" s="17"/>
      <c r="GE46" s="17"/>
      <c r="GF46" s="17"/>
      <c r="GG46" s="17"/>
      <c r="GH46" s="17"/>
      <c r="GI46" s="17"/>
      <c r="GJ46" s="17"/>
      <c r="GK46" s="17"/>
      <c r="GL46" s="17"/>
      <c r="GM46" s="17"/>
      <c r="GN46" s="17"/>
      <c r="GO46" s="17"/>
      <c r="GP46" s="17"/>
      <c r="GQ46" s="17"/>
      <c r="GR46" s="17"/>
      <c r="GS46" s="17"/>
      <c r="GT46" s="17"/>
      <c r="GU46" s="17"/>
      <c r="GV46" s="17"/>
      <c r="GW46" s="17"/>
      <c r="GX46" s="17"/>
      <c r="GY46" s="17"/>
      <c r="GZ46" s="17"/>
      <c r="HA46" s="17"/>
      <c r="HB46" s="17"/>
      <c r="HC46" s="17"/>
      <c r="HD46" s="17"/>
      <c r="HE46" s="17"/>
      <c r="HF46" s="17"/>
      <c r="HG46" s="17"/>
      <c r="HH46" s="17"/>
      <c r="HI46" s="17"/>
      <c r="HJ46" s="17"/>
      <c r="HK46" s="17"/>
      <c r="HL46" s="17"/>
      <c r="HM46" s="17"/>
      <c r="HN46" s="17"/>
      <c r="HO46" s="17"/>
      <c r="HP46" s="17"/>
      <c r="HQ46" s="17"/>
      <c r="HR46" s="17"/>
      <c r="HS46" s="17"/>
      <c r="HT46" s="17"/>
      <c r="HU46" s="17"/>
      <c r="HV46" s="17"/>
      <c r="HW46" s="17"/>
      <c r="HX46" s="17"/>
      <c r="HY46" s="17"/>
      <c r="HZ46" s="17"/>
      <c r="IA46" s="17"/>
      <c r="IB46" s="17"/>
      <c r="IC46" s="17"/>
      <c r="ID46" s="17"/>
      <c r="IE46" s="17"/>
      <c r="IF46" s="17"/>
      <c r="IG46" s="17"/>
      <c r="IH46" s="17"/>
      <c r="II46" s="17"/>
      <c r="IJ46" s="17"/>
      <c r="IK46" s="17"/>
      <c r="IL46" s="17"/>
      <c r="IM46" s="17"/>
      <c r="IN46" s="17"/>
      <c r="IO46" s="17"/>
      <c r="IP46" s="17"/>
      <c r="IQ46" s="17"/>
      <c r="IR46" s="17"/>
      <c r="IS46" s="17"/>
      <c r="IT46" s="17"/>
      <c r="IU46" s="17"/>
      <c r="IV46" s="17"/>
      <c r="IW46" s="17"/>
      <c r="IX46" s="17"/>
      <c r="IY46" s="17"/>
      <c r="IZ46" s="17"/>
      <c r="JA46" s="17"/>
      <c r="JB46" s="17"/>
      <c r="JC46" s="17"/>
      <c r="JD46" s="17"/>
      <c r="JE46" s="17"/>
      <c r="JF46" s="17"/>
      <c r="JG46" s="17"/>
      <c r="JH46" s="17"/>
      <c r="JI46" s="17"/>
      <c r="JJ46" s="17"/>
      <c r="JK46" s="17"/>
      <c r="JL46" s="17"/>
      <c r="JM46" s="17"/>
      <c r="JN46" s="17"/>
      <c r="JO46" s="17"/>
      <c r="JP46" s="17"/>
      <c r="JQ46" s="17"/>
      <c r="JR46" s="17"/>
      <c r="JS46" s="17"/>
      <c r="JT46" s="17"/>
      <c r="JU46" s="17"/>
      <c r="JV46" s="17"/>
      <c r="JW46" s="17"/>
      <c r="JX46" s="17"/>
      <c r="JY46" s="17"/>
      <c r="JZ46" s="17"/>
      <c r="KA46" s="17"/>
      <c r="KB46" s="17"/>
      <c r="KC46" s="17"/>
      <c r="KD46" s="17"/>
      <c r="KE46" s="17"/>
      <c r="KF46" s="17"/>
      <c r="KG46" s="17"/>
      <c r="KH46" s="17"/>
      <c r="KI46" s="17"/>
      <c r="KJ46" s="17"/>
      <c r="KK46" s="17"/>
      <c r="KL46" s="17"/>
      <c r="KM46" s="17"/>
      <c r="KN46" s="17"/>
      <c r="KO46" s="17"/>
      <c r="KP46" s="17"/>
      <c r="KQ46" s="17"/>
      <c r="KR46" s="17"/>
      <c r="KS46" s="17"/>
      <c r="KT46" s="17"/>
      <c r="KU46" s="17"/>
      <c r="KV46" s="17"/>
      <c r="KW46" s="17"/>
      <c r="KX46" s="17"/>
      <c r="KY46" s="17"/>
      <c r="KZ46" s="17"/>
      <c r="LA46" s="17"/>
      <c r="LB46" s="17"/>
      <c r="LC46" s="17"/>
      <c r="LD46" s="17"/>
      <c r="LE46" s="17"/>
      <c r="LF46" s="17"/>
      <c r="LG46" s="17"/>
      <c r="LH46" s="17"/>
      <c r="LI46" s="17"/>
      <c r="LJ46" s="17"/>
      <c r="LK46" s="17"/>
      <c r="LL46" s="17"/>
      <c r="LM46" s="17"/>
      <c r="LN46" s="17"/>
      <c r="LO46" s="17"/>
      <c r="LP46" s="17"/>
      <c r="LQ46" s="17"/>
      <c r="LR46" s="17"/>
      <c r="LS46" s="17"/>
      <c r="LT46" s="17"/>
      <c r="LU46" s="17"/>
      <c r="LV46" s="17"/>
      <c r="LW46" s="17"/>
      <c r="LX46" s="17"/>
      <c r="LY46" s="17"/>
      <c r="LZ46" s="17"/>
      <c r="MA46" s="17"/>
      <c r="MB46" s="17"/>
      <c r="MC46" s="17"/>
      <c r="MD46" s="17"/>
      <c r="ME46" s="17"/>
      <c r="MF46" s="17"/>
      <c r="MG46" s="17"/>
      <c r="MH46" s="17"/>
      <c r="MI46" s="17"/>
      <c r="MJ46" s="17"/>
      <c r="MK46" s="17"/>
      <c r="ML46" s="17"/>
      <c r="MM46" s="17"/>
      <c r="MN46" s="17"/>
      <c r="MO46" s="17"/>
      <c r="MP46" s="17"/>
      <c r="MQ46" s="17"/>
      <c r="MR46" s="17"/>
      <c r="MS46" s="17"/>
      <c r="MT46" s="17"/>
      <c r="MU46" s="17"/>
      <c r="MV46" s="17"/>
      <c r="MW46" s="17"/>
      <c r="MX46" s="17"/>
      <c r="MY46" s="17"/>
      <c r="MZ46" s="17"/>
      <c r="NA46" s="17"/>
      <c r="NB46" s="17"/>
      <c r="NC46" s="17"/>
      <c r="ND46" s="17"/>
      <c r="NE46" s="17"/>
      <c r="NF46" s="17"/>
      <c r="NG46" s="17"/>
      <c r="NH46" s="17"/>
      <c r="NI46" s="17"/>
      <c r="NJ46" s="17"/>
      <c r="NK46" s="17"/>
      <c r="NL46" s="17"/>
      <c r="NM46" s="17"/>
      <c r="NN46" s="17"/>
      <c r="NO46" s="17"/>
      <c r="NP46" s="17"/>
      <c r="NQ46" s="17"/>
      <c r="NR46" s="17"/>
      <c r="NS46" s="17"/>
      <c r="NT46" s="17"/>
      <c r="NU46" s="17"/>
      <c r="NV46" s="17"/>
      <c r="NW46" s="17"/>
      <c r="NX46" s="17"/>
      <c r="NY46" s="17"/>
      <c r="NZ46" s="17"/>
      <c r="OA46" s="17"/>
      <c r="OB46" s="17"/>
      <c r="OC46" s="17"/>
      <c r="OD46" s="17"/>
      <c r="OE46" s="17"/>
      <c r="OF46" s="17"/>
      <c r="OG46" s="17"/>
      <c r="OH46" s="17"/>
      <c r="OI46" s="17"/>
      <c r="OJ46" s="17"/>
      <c r="OK46" s="17"/>
      <c r="OL46" s="17"/>
      <c r="OM46" s="17"/>
      <c r="ON46" s="17"/>
      <c r="OO46" s="17"/>
      <c r="OP46" s="17"/>
      <c r="OQ46" s="17"/>
      <c r="OR46" s="17"/>
      <c r="OS46" s="17"/>
      <c r="OT46" s="17"/>
      <c r="OU46" s="17"/>
      <c r="OV46" s="17"/>
    </row>
    <row r="47" ht="18.0" customHeight="1">
      <c r="A47" s="16">
        <v>46.0</v>
      </c>
      <c r="B47" s="17" t="s">
        <v>1435</v>
      </c>
      <c r="C47" s="18" t="s">
        <v>1552</v>
      </c>
      <c r="D47" s="17" t="s">
        <v>565</v>
      </c>
      <c r="E47" s="16">
        <v>30.0</v>
      </c>
      <c r="F47" s="16">
        <f>COUNTIF('Tổng hợp 75 trang đích'!$B$2:$B$3400,$D47)</f>
        <v>30</v>
      </c>
      <c r="G47" s="16">
        <f>COUNTIFS('Tổng hợp 75 trang đích'!$B$2:$B$3400,$D47,'Tổng hợp 75 trang đích'!$K$2:$K$3400,"PHÙ HỢP CAO")</f>
        <v>1</v>
      </c>
      <c r="H47" s="16">
        <f>COUNTIFS('Tổng hợp 75 trang đích'!$B$2:$B$3400,$D47,'Tổng hợp 75 trang đích'!$K$2:$K$3400,"CÓ THỂ ĐI")</f>
        <v>3</v>
      </c>
      <c r="I47" s="16">
        <f>COUNTIFS('Tổng hợp 75 trang đích'!$B$2:$B$3400,$D47,'Tổng hợp 75 trang đích'!$K$2:$K$3400,"CẦN SOÁT")</f>
        <v>26</v>
      </c>
      <c r="J47" s="19" t="s">
        <v>555</v>
      </c>
      <c r="K47" s="19" t="b">
        <v>0</v>
      </c>
      <c r="L47" s="20" t="s">
        <v>333</v>
      </c>
      <c r="M47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đích'!$B$2:$B$3400=$D47),3,TR"&amp;"UE),1,2)),"""")"),"1 triệu đô bằng bao nhiêu tiền Việt")</f>
        <v>1 triệu đô bằng bao nhiêu tiền Việt</v>
      </c>
      <c r="N47" s="21" t="str">
        <f>IFERROR(__xludf.DUMMYFUNCTION("""COMPUTED_VALUE"""),"https://techcombank.com/thong-tin/blog/1-dong-do-la-my-bang-bao-nhieu-tien-viet-nam")</f>
        <v>https://techcombank.com/thong-tin/blog/1-dong-do-la-my-bang-bao-nhieu-tien-viet-nam</v>
      </c>
      <c r="O47" s="17" t="str">
        <f>IFERROR(__xludf.DUMMYFUNCTION("""COMPUTED_VALUE"""),"1 triệu đô bằng bao nhiêu tiền Việt")</f>
        <v>1 triệu đô bằng bao nhiêu tiền Việt</v>
      </c>
      <c r="P47" s="21" t="str">
        <f>IFERROR(__xludf.DUMMYFUNCTION("""COMPUTED_VALUE"""),"https://techcombank.com/thong-tin/blog/high-net-worth-client-va-ultra-high-net-worth-client")</f>
        <v>https://techcombank.com/thong-tin/blog/high-net-worth-client-va-ultra-high-net-worth-client</v>
      </c>
      <c r="Q47" s="17" t="str">
        <f>IFERROR(__xludf.DUMMYFUNCTION("""COMPUTED_VALUE"""),"1 triệu đô bằng bao nhiêu tiền Việt")</f>
        <v>1 triệu đô bằng bao nhiêu tiền Việt</v>
      </c>
      <c r="R47" s="21" t="str">
        <f>IFERROR(__xludf.DUMMYFUNCTION("""COMPUTED_VALUE"""),"https://techcombank.com/thong-tin/blog/xu-huong-ty-gia-usd")</f>
        <v>https://techcombank.com/thong-tin/blog/xu-huong-ty-gia-usd</v>
      </c>
      <c r="S47" s="17" t="str">
        <f>IFERROR(__xludf.DUMMYFUNCTION("""COMPUTED_VALUE"""),"1 triệu đô bằng bao nhiêu tiền Việt")</f>
        <v>1 triệu đô bằng bao nhiêu tiền Việt</v>
      </c>
      <c r="T47" s="21" t="str">
        <f>IFERROR(__xludf.DUMMYFUNCTION("""COMPUTED_VALUE"""),"https://techcombank.com/thong-tin/blog/gia-tri-tai-san-rong")</f>
        <v>https://techcombank.com/thong-tin/blog/gia-tri-tai-san-rong</v>
      </c>
      <c r="U47" s="17" t="str">
        <f>IFERROR(__xludf.DUMMYFUNCTION("""COMPUTED_VALUE"""),"1 triệu đô bằng bao nhiêu tiền Việt")</f>
        <v>1 triệu đô bằng bao nhiêu tiền Việt</v>
      </c>
      <c r="V47" s="21" t="str">
        <f>IFERROR(__xludf.DUMMYFUNCTION("""COMPUTED_VALUE"""),"https://techcombank.com/thong-tin/blog/lai-suat-gui-tiet-kiem-usd")</f>
        <v>https://techcombank.com/thong-tin/blog/lai-suat-gui-tiet-kiem-usd</v>
      </c>
      <c r="W47" s="17" t="str">
        <f>IFERROR(__xludf.DUMMYFUNCTION("""COMPUTED_VALUE"""),"1 triệu đô bằng bao nhiêu tiền Việt")</f>
        <v>1 triệu đô bằng bao nhiêu tiền Việt</v>
      </c>
      <c r="X47" s="21" t="str">
        <f>IFERROR(__xludf.DUMMYFUNCTION("""COMPUTED_VALUE"""),"https://techcombank.com/thong-tin/blog/gui-tiet-kiem-usd")</f>
        <v>https://techcombank.com/thong-tin/blog/gui-tiet-kiem-usd</v>
      </c>
      <c r="Y47" s="17" t="str">
        <f>IFERROR(__xludf.DUMMYFUNCTION("""COMPUTED_VALUE"""),"1 triệu đô bằng bao nhiêu tiền Việt")</f>
        <v>1 triệu đô bằng bao nhiêu tiền Việt</v>
      </c>
      <c r="Z47" s="21" t="str">
        <f>IFERROR(__xludf.DUMMYFUNCTION("""COMPUTED_VALUE"""),"https://techcombank.com/thong-tin/blog/doi-tien-do-o-dau")</f>
        <v>https://techcombank.com/thong-tin/blog/doi-tien-do-o-dau</v>
      </c>
      <c r="AA47" s="17" t="str">
        <f>IFERROR(__xludf.DUMMYFUNCTION("""COMPUTED_VALUE"""),"1 triệu đô bằng bao nhiêu tiền Việt")</f>
        <v>1 triệu đô bằng bao nhiêu tiền Việt</v>
      </c>
      <c r="AB47" s="21" t="str">
        <f>IFERROR(__xludf.DUMMYFUNCTION("""COMPUTED_VALUE"""),"https://techcombank.com/thong-tin/blog/dieu-kien-mua-usd-tu-ngan-hang")</f>
        <v>https://techcombank.com/thong-tin/blog/dieu-kien-mua-usd-tu-ngan-hang</v>
      </c>
      <c r="AC47" s="17" t="str">
        <f>IFERROR(__xludf.DUMMYFUNCTION("""COMPUTED_VALUE"""),"1 triệu đô bằng bao nhiêu tiền Việt")</f>
        <v>1 triệu đô bằng bao nhiêu tiền Việt</v>
      </c>
      <c r="AD47" s="21" t="str">
        <f>IFERROR(__xludf.DUMMYFUNCTION("""COMPUTED_VALUE"""),"https://techcombank.com/thong-tin/blog/tien-singapore")</f>
        <v>https://techcombank.com/thong-tin/blog/tien-singapore</v>
      </c>
      <c r="AE47" s="17" t="str">
        <f>IFERROR(__xludf.DUMMYFUNCTION("""COMPUTED_VALUE"""),"1 triệu đô bằng bao nhiêu tiền Việt")</f>
        <v>1 triệu đô bằng bao nhiêu tiền Việt</v>
      </c>
      <c r="AF47" s="21" t="str">
        <f>IFERROR(__xludf.DUMMYFUNCTION("""COMPUTED_VALUE"""),"https://techcombank.com/thong-tin/blog/chuyen-tien-di-uc")</f>
        <v>https://techcombank.com/thong-tin/blog/chuyen-tien-di-uc</v>
      </c>
      <c r="AG47" s="17" t="str">
        <f>IFERROR(__xludf.DUMMYFUNCTION("""COMPUTED_VALUE"""),"1 triệu đô bằng bao nhiêu tiền Việt")</f>
        <v>1 triệu đô bằng bao nhiêu tiền Việt</v>
      </c>
      <c r="AH47" s="21" t="str">
        <f>IFERROR(__xludf.DUMMYFUNCTION("""COMPUTED_VALUE"""),"https://techcombank.com/thong-tin/blog/chuyen-tien-tu-my-ve-viet-nam")</f>
        <v>https://techcombank.com/thong-tin/blog/chuyen-tien-tu-my-ve-viet-nam</v>
      </c>
      <c r="AI47" s="17" t="str">
        <f>IFERROR(__xludf.DUMMYFUNCTION("""COMPUTED_VALUE"""),"1 triệu đô bằng bao nhiêu tiền Việt")</f>
        <v>1 triệu đô bằng bao nhiêu tiền Việt</v>
      </c>
      <c r="AJ47" s="21" t="str">
        <f>IFERROR(__xludf.DUMMYFUNCTION("""COMPUTED_VALUE"""),"https://techcombank.com/thong-tin/blog/1-cent-bang-bao-nhieu-tien-viet")</f>
        <v>https://techcombank.com/thong-tin/blog/1-cent-bang-bao-nhieu-tien-viet</v>
      </c>
      <c r="AK47" s="17" t="str">
        <f>IFERROR(__xludf.DUMMYFUNCTION("""COMPUTED_VALUE"""),"1 triệu đô bằng bao nhiêu tiền Việt")</f>
        <v>1 triệu đô bằng bao nhiêu tiền Việt</v>
      </c>
      <c r="AL47" s="21" t="str">
        <f>IFERROR(__xludf.DUMMYFUNCTION("""COMPUTED_VALUE"""),"https://techcombank.com/thong-tin/blog/1-do-uc-bang-bao-nhieu-tien-viet")</f>
        <v>https://techcombank.com/thong-tin/blog/1-do-uc-bang-bao-nhieu-tien-viet</v>
      </c>
      <c r="AM47" s="17" t="str">
        <f>IFERROR(__xludf.DUMMYFUNCTION("""COMPUTED_VALUE"""),"1 triệu đô bằng bao nhiêu tiền Việt")</f>
        <v>1 triệu đô bằng bao nhiêu tiền Việt</v>
      </c>
      <c r="AN47" s="21" t="str">
        <f>IFERROR(__xludf.DUMMYFUNCTION("""COMPUTED_VALUE"""),"https://techcombank.com/thong-tin/blog/1-te-bang-bao-nhieu-tien-viet-nam")</f>
        <v>https://techcombank.com/thong-tin/blog/1-te-bang-bao-nhieu-tien-viet-nam</v>
      </c>
      <c r="AO47" s="17" t="str">
        <f>IFERROR(__xludf.DUMMYFUNCTION("""COMPUTED_VALUE"""),"1 triệu đô bằng bao nhiêu tiền Việt")</f>
        <v>1 triệu đô bằng bao nhiêu tiền Việt</v>
      </c>
      <c r="AP47" s="21" t="str">
        <f>IFERROR(__xludf.DUMMYFUNCTION("""COMPUTED_VALUE"""),"https://techcombank.com/thong-tin/blog/tien-trung-quoc")</f>
        <v>https://techcombank.com/thong-tin/blog/tien-trung-quoc</v>
      </c>
      <c r="AQ47" s="17" t="str">
        <f>IFERROR(__xludf.DUMMYFUNCTION("""COMPUTED_VALUE"""),"1 triệu đô bằng bao nhiêu tiền Việt")</f>
        <v>1 triệu đô bằng bao nhiêu tiền Việt</v>
      </c>
      <c r="AR47" s="21" t="str">
        <f>IFERROR(__xludf.DUMMYFUNCTION("""COMPUTED_VALUE"""),"https://techcombank.com/thong-tin/blog/1000-yen-bang-bao-nhieu-tien-viet")</f>
        <v>https://techcombank.com/thong-tin/blog/1000-yen-bang-bao-nhieu-tien-viet</v>
      </c>
      <c r="AS47" s="17" t="str">
        <f>IFERROR(__xludf.DUMMYFUNCTION("""COMPUTED_VALUE"""),"1 triệu đô bằng bao nhiêu tiền Việt")</f>
        <v>1 triệu đô bằng bao nhiêu tiền Việt</v>
      </c>
      <c r="AT47" s="21" t="str">
        <f>IFERROR(__xludf.DUMMYFUNCTION("""COMPUTED_VALUE"""),"https://techcombank.com/thong-tin/blog/chuyen-tien-tu-nhat-ve-viet-nam")</f>
        <v>https://techcombank.com/thong-tin/blog/chuyen-tien-tu-nhat-ve-viet-nam</v>
      </c>
      <c r="AU47" s="17" t="str">
        <f>IFERROR(__xludf.DUMMYFUNCTION("""COMPUTED_VALUE"""),"1 triệu đô bằng bao nhiêu tiền Việt")</f>
        <v>1 triệu đô bằng bao nhiêu tiền Việt</v>
      </c>
      <c r="AV47" s="21" t="str">
        <f>IFERROR(__xludf.DUMMYFUNCTION("""COMPUTED_VALUE"""),"https://techcombank.com/thong-tin/blog/1000-won-bang-bao-nhieu-tien-viet")</f>
        <v>https://techcombank.com/thong-tin/blog/1000-won-bang-bao-nhieu-tien-viet</v>
      </c>
      <c r="AW47" s="17" t="str">
        <f>IFERROR(__xludf.DUMMYFUNCTION("""COMPUTED_VALUE"""),"1 triệu đô bằng bao nhiêu tiền Việt")</f>
        <v>1 triệu đô bằng bao nhiêu tiền Việt</v>
      </c>
      <c r="AX47" s="21" t="str">
        <f>IFERROR(__xludf.DUMMYFUNCTION("""COMPUTED_VALUE"""),"https://techcombank.com/thong-tin/blog/di-du-lich-nuoc-ngoai-can-chuan-bi-gi")</f>
        <v>https://techcombank.com/thong-tin/blog/di-du-lich-nuoc-ngoai-can-chuan-bi-gi</v>
      </c>
      <c r="AY47" s="17" t="str">
        <f>IFERROR(__xludf.DUMMYFUNCTION("""COMPUTED_VALUE"""),"1 triệu đô bằng bao nhiêu tiền Việt")</f>
        <v>1 triệu đô bằng bao nhiêu tiền Việt</v>
      </c>
      <c r="AZ47" s="21" t="str">
        <f>IFERROR(__xludf.DUMMYFUNCTION("""COMPUTED_VALUE"""),"https://techcombank.com/thong-tin/blog/tien-nhat")</f>
        <v>https://techcombank.com/thong-tin/blog/tien-nhat</v>
      </c>
      <c r="BA47" s="17" t="str">
        <f>IFERROR(__xludf.DUMMYFUNCTION("""COMPUTED_VALUE"""),"1 triệu đô bằng bao nhiêu tiền Việt")</f>
        <v>1 triệu đô bằng bao nhiêu tiền Việt</v>
      </c>
      <c r="BB47" s="21" t="str">
        <f>IFERROR(__xludf.DUMMYFUNCTION("""COMPUTED_VALUE"""),"https://techcombank.com/thong-tin/blog/tien-dai-loan")</f>
        <v>https://techcombank.com/thong-tin/blog/tien-dai-loan</v>
      </c>
      <c r="BC47" s="17" t="str">
        <f>IFERROR(__xludf.DUMMYFUNCTION("""COMPUTED_VALUE"""),"1 triệu đô bằng bao nhiêu tiền Việt")</f>
        <v>1 triệu đô bằng bao nhiêu tiền Việt</v>
      </c>
      <c r="BD47" s="21" t="str">
        <f>IFERROR(__xludf.DUMMYFUNCTION("""COMPUTED_VALUE"""),"https://techcombank.com/thong-tin/blog/1-van-te-bang-bao-nhieu-tien-viet")</f>
        <v>https://techcombank.com/thong-tin/blog/1-van-te-bang-bao-nhieu-tien-viet</v>
      </c>
      <c r="BE47" s="17" t="str">
        <f>IFERROR(__xludf.DUMMYFUNCTION("""COMPUTED_VALUE"""),"1 triệu đô bằng bao nhiêu tiền Việt")</f>
        <v>1 triệu đô bằng bao nhiêu tiền Việt</v>
      </c>
      <c r="BF47" s="21" t="str">
        <f>IFERROR(__xludf.DUMMYFUNCTION("""COMPUTED_VALUE"""),"https://techcombank.com/thong-tin/blog/1000-te-bang-bao-nhieu-tien-viet")</f>
        <v>https://techcombank.com/thong-tin/blog/1000-te-bang-bao-nhieu-tien-viet</v>
      </c>
      <c r="BG47" s="17" t="str">
        <f>IFERROR(__xludf.DUMMYFUNCTION("""COMPUTED_VALUE"""),"1 triệu đô bằng bao nhiêu tiền Việt")</f>
        <v>1 triệu đô bằng bao nhiêu tiền Việt</v>
      </c>
      <c r="BH47" s="21" t="str">
        <f>IFERROR(__xludf.DUMMYFUNCTION("""COMPUTED_VALUE"""),"https://techcombank.com/thong-tin/blog/100-riel-bang-bao-nhieu-tien-viet-nam")</f>
        <v>https://techcombank.com/thong-tin/blog/100-riel-bang-bao-nhieu-tien-viet-nam</v>
      </c>
      <c r="BI47" s="17" t="str">
        <f>IFERROR(__xludf.DUMMYFUNCTION("""COMPUTED_VALUE"""),"1 triệu đô bằng bao nhiêu tiền Việt")</f>
        <v>1 triệu đô bằng bao nhiêu tiền Việt</v>
      </c>
      <c r="BJ47" s="21" t="str">
        <f>IFERROR(__xludf.DUMMYFUNCTION("""COMPUTED_VALUE"""),"https://techcombank.com/thong-tin/blog/tien-indonesia")</f>
        <v>https://techcombank.com/thong-tin/blog/tien-indonesia</v>
      </c>
      <c r="BK47" s="17" t="str">
        <f>IFERROR(__xludf.DUMMYFUNCTION("""COMPUTED_VALUE"""),"1 triệu đô bằng bao nhiêu tiền Việt")</f>
        <v>1 triệu đô bằng bao nhiêu tiền Việt</v>
      </c>
      <c r="BL47" s="21" t="str">
        <f>IFERROR(__xludf.DUMMYFUNCTION("""COMPUTED_VALUE"""),"https://techcombank.com/thong-tin/blog/1-won-bang-bao-nhieu-tien-viet")</f>
        <v>https://techcombank.com/thong-tin/blog/1-won-bang-bao-nhieu-tien-viet</v>
      </c>
      <c r="BM47" s="17" t="str">
        <f>IFERROR(__xludf.DUMMYFUNCTION("""COMPUTED_VALUE"""),"1 triệu đô bằng bao nhiêu tiền Việt")</f>
        <v>1 triệu đô bằng bao nhiêu tiền Việt</v>
      </c>
      <c r="BN47" s="21" t="str">
        <f>IFERROR(__xludf.DUMMYFUNCTION("""COMPUTED_VALUE"""),"https://techcombank.com/thong-tin/blog/han-muc-mua-ngoai-te-khi-di-du-lich")</f>
        <v>https://techcombank.com/thong-tin/blog/han-muc-mua-ngoai-te-khi-di-du-lich</v>
      </c>
      <c r="BO47" s="17" t="str">
        <f>IFERROR(__xludf.DUMMYFUNCTION("""COMPUTED_VALUE"""),"1 triệu đô bằng bao nhiêu tiền Việt")</f>
        <v>1 triệu đô bằng bao nhiêu tiền Việt</v>
      </c>
      <c r="BP47" s="21" t="str">
        <f>IFERROR(__xludf.DUMMYFUNCTION("""COMPUTED_VALUE"""),"https://techcombank.com/thong-tin/blog/gui-tien-du-hoc")</f>
        <v>https://techcombank.com/thong-tin/blog/gui-tien-du-hoc</v>
      </c>
      <c r="BQ47" s="17" t="str">
        <f>IFERROR(__xludf.DUMMYFUNCTION("""COMPUTED_VALUE"""),"1 triệu đô bằng bao nhiêu tiền Việt")</f>
        <v>1 triệu đô bằng bao nhiêu tiền Việt</v>
      </c>
      <c r="BR47" s="21" t="str">
        <f>IFERROR(__xludf.DUMMYFUNCTION("""COMPUTED_VALUE"""),"https://techcombank.com/thong-tin/blog/chuyen-tien-dinh-cu")</f>
        <v>https://techcombank.com/thong-tin/blog/chuyen-tien-dinh-cu</v>
      </c>
      <c r="BS47" s="17" t="str">
        <f>IFERROR(__xludf.DUMMYFUNCTION("""COMPUTED_VALUE"""),"1 triệu đô bằng bao nhiêu tiền Việt")</f>
        <v>1 triệu đô bằng bao nhiêu tiền Việt</v>
      </c>
      <c r="BT47" s="21" t="str">
        <f>IFERROR(__xludf.DUMMYFUNCTION("""COMPUTED_VALUE"""),"https://techcombank.com/thong-tin/blog/ty-gia-la-gi")</f>
        <v>https://techcombank.com/thong-tin/blog/ty-gia-la-gi</v>
      </c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</row>
    <row r="48" ht="18.0" customHeight="1">
      <c r="A48" s="16">
        <v>47.0</v>
      </c>
      <c r="B48" s="17" t="s">
        <v>1435</v>
      </c>
      <c r="C48" s="18" t="s">
        <v>1562</v>
      </c>
      <c r="D48" s="17" t="s">
        <v>568</v>
      </c>
      <c r="E48" s="16">
        <v>30.0</v>
      </c>
      <c r="F48" s="16">
        <f>COUNTIF('Tổng hợp 75 trang đích'!$B$2:$B$3400,$D48)</f>
        <v>30</v>
      </c>
      <c r="G48" s="16">
        <f>COUNTIFS('Tổng hợp 75 trang đích'!$B$2:$B$3400,$D48,'Tổng hợp 75 trang đích'!$K$2:$K$3400,"PHÙ HỢP CAO")</f>
        <v>3</v>
      </c>
      <c r="H48" s="16">
        <f>COUNTIFS('Tổng hợp 75 trang đích'!$B$2:$B$3400,$D48,'Tổng hợp 75 trang đích'!$K$2:$K$3400,"CÓ THỂ ĐI")</f>
        <v>1</v>
      </c>
      <c r="I48" s="16">
        <f>COUNTIFS('Tổng hợp 75 trang đích'!$B$2:$B$3400,$D48,'Tổng hợp 75 trang đích'!$K$2:$K$3400,"CẦN SOÁT")</f>
        <v>26</v>
      </c>
      <c r="J48" s="19" t="s">
        <v>555</v>
      </c>
      <c r="K48" s="19" t="b">
        <v>0</v>
      </c>
      <c r="L48" s="20" t="s">
        <v>333</v>
      </c>
      <c r="M48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đích'!$B$2:$B$3400=$D48),3,TR"&amp;"UE),1,2)),"""")"),"1000 Won bằng bao nhiêu tiền Việt")</f>
        <v>1000 Won bằng bao nhiêu tiền Việt</v>
      </c>
      <c r="N48" s="21" t="str">
        <f>IFERROR(__xludf.DUMMYFUNCTION("""COMPUTED_VALUE"""),"https://techcombank.com/thong-tin/blog/1-won-bang-bao-nhieu-tien-viet")</f>
        <v>https://techcombank.com/thong-tin/blog/1-won-bang-bao-nhieu-tien-viet</v>
      </c>
      <c r="O48" s="17" t="str">
        <f>IFERROR(__xludf.DUMMYFUNCTION("""COMPUTED_VALUE"""),"1,000 won")</f>
        <v>1,000 won</v>
      </c>
      <c r="P48" s="21" t="str">
        <f>IFERROR(__xludf.DUMMYFUNCTION("""COMPUTED_VALUE"""),"https://techcombank.com/thong-tin/blog/1-trieu-won-bang-bao-nhieu-tien-viet")</f>
        <v>https://techcombank.com/thong-tin/blog/1-trieu-won-bang-bao-nhieu-tien-viet</v>
      </c>
      <c r="Q48" s="17" t="str">
        <f>IFERROR(__xludf.DUMMYFUNCTION("""COMPUTED_VALUE"""),"1000 Won bằng bao nhiêu tiền Việt")</f>
        <v>1000 Won bằng bao nhiêu tiền Việt</v>
      </c>
      <c r="R48" s="21" t="str">
        <f>IFERROR(__xludf.DUMMYFUNCTION("""COMPUTED_VALUE"""),"https://techcombank.com/thong-tin/blog/thanh-toan-khi-du-lich-han-quoc")</f>
        <v>https://techcombank.com/thong-tin/blog/thanh-toan-khi-du-lich-han-quoc</v>
      </c>
      <c r="S48" s="17" t="str">
        <f>IFERROR(__xludf.DUMMYFUNCTION("""COMPUTED_VALUE"""),"1,000 won")</f>
        <v>1,000 won</v>
      </c>
      <c r="T48" s="21" t="str">
        <f>IFERROR(__xludf.DUMMYFUNCTION("""COMPUTED_VALUE"""),"https://techcombank.com/thong-tin/blog/chuyen-tien-tu-han-sang-viet-nam")</f>
        <v>https://techcombank.com/thong-tin/blog/chuyen-tien-tu-han-sang-viet-nam</v>
      </c>
      <c r="U48" s="17" t="str">
        <f>IFERROR(__xludf.DUMMYFUNCTION("""COMPUTED_VALUE"""),"1000 Won bằng bao nhiêu tiền Việt")</f>
        <v>1000 Won bằng bao nhiêu tiền Việt</v>
      </c>
      <c r="V48" s="21" t="str">
        <f>IFERROR(__xludf.DUMMYFUNCTION("""COMPUTED_VALUE"""),"https://techcombank.com/thong-tin/blog/1-dong-do-la-my-bang-bao-nhieu-tien-viet-nam")</f>
        <v>https://techcombank.com/thong-tin/blog/1-dong-do-la-my-bang-bao-nhieu-tien-viet-nam</v>
      </c>
      <c r="W48" s="17" t="str">
        <f>IFERROR(__xludf.DUMMYFUNCTION("""COMPUTED_VALUE"""),"1,000 won")</f>
        <v>1,000 won</v>
      </c>
      <c r="X48" s="21" t="str">
        <f>IFERROR(__xludf.DUMMYFUNCTION("""COMPUTED_VALUE"""),"https://techcombank.com/thong-tin/blog/1-te-bang-bao-nhieu-tien-viet-nam")</f>
        <v>https://techcombank.com/thong-tin/blog/1-te-bang-bao-nhieu-tien-viet-nam</v>
      </c>
      <c r="Y48" s="17" t="str">
        <f>IFERROR(__xludf.DUMMYFUNCTION("""COMPUTED_VALUE"""),"1000 Won bằng bao nhiêu tiền Việt")</f>
        <v>1000 Won bằng bao nhiêu tiền Việt</v>
      </c>
      <c r="Z48" s="21" t="str">
        <f>IFERROR(__xludf.DUMMYFUNCTION("""COMPUTED_VALUE"""),"https://techcombank.com/thong-tin/blog/doi-tien-do-o-dau")</f>
        <v>https://techcombank.com/thong-tin/blog/doi-tien-do-o-dau</v>
      </c>
      <c r="AA48" s="17" t="str">
        <f>IFERROR(__xludf.DUMMYFUNCTION("""COMPUTED_VALUE"""),"1,000 won")</f>
        <v>1,000 won</v>
      </c>
      <c r="AB48" s="21" t="str">
        <f>IFERROR(__xludf.DUMMYFUNCTION("""COMPUTED_VALUE"""),"https://techcombank.com/thong-tin/blog/tien-trung-quoc")</f>
        <v>https://techcombank.com/thong-tin/blog/tien-trung-quoc</v>
      </c>
      <c r="AC48" s="17" t="str">
        <f>IFERROR(__xludf.DUMMYFUNCTION("""COMPUTED_VALUE"""),"1000 Won bằng bao nhiêu tiền Việt")</f>
        <v>1000 Won bằng bao nhiêu tiền Việt</v>
      </c>
      <c r="AD48" s="21" t="str">
        <f>IFERROR(__xludf.DUMMYFUNCTION("""COMPUTED_VALUE"""),"https://techcombank.com/thong-tin/blog/1000-yen-bang-bao-nhieu-tien-viet")</f>
        <v>https://techcombank.com/thong-tin/blog/1000-yen-bang-bao-nhieu-tien-viet</v>
      </c>
      <c r="AE48" s="17" t="str">
        <f>IFERROR(__xludf.DUMMYFUNCTION("""COMPUTED_VALUE"""),"1,000 won")</f>
        <v>1,000 won</v>
      </c>
      <c r="AF48" s="21" t="str">
        <f>IFERROR(__xludf.DUMMYFUNCTION("""COMPUTED_VALUE"""),"https://techcombank.com/thong-tin/blog/chuyen-tien-tu-nhat-ve-viet-nam")</f>
        <v>https://techcombank.com/thong-tin/blog/chuyen-tien-tu-nhat-ve-viet-nam</v>
      </c>
      <c r="AG48" s="17" t="str">
        <f>IFERROR(__xludf.DUMMYFUNCTION("""COMPUTED_VALUE"""),"1000 Won bằng bao nhiêu tiền Việt")</f>
        <v>1000 Won bằng bao nhiêu tiền Việt</v>
      </c>
      <c r="AH48" s="21" t="str">
        <f>IFERROR(__xludf.DUMMYFUNCTION("""COMPUTED_VALUE"""),"https://techcombank.com/thong-tin/blog/tien-singapore")</f>
        <v>https://techcombank.com/thong-tin/blog/tien-singapore</v>
      </c>
      <c r="AI48" s="17" t="str">
        <f>IFERROR(__xludf.DUMMYFUNCTION("""COMPUTED_VALUE"""),"1,000 won")</f>
        <v>1,000 won</v>
      </c>
      <c r="AJ48" s="21" t="str">
        <f>IFERROR(__xludf.DUMMYFUNCTION("""COMPUTED_VALUE"""),"https://techcombank.com/thong-tin/blog/di-du-lich-nuoc-ngoai-can-chuan-bi-gi")</f>
        <v>https://techcombank.com/thong-tin/blog/di-du-lich-nuoc-ngoai-can-chuan-bi-gi</v>
      </c>
      <c r="AK48" s="17" t="str">
        <f>IFERROR(__xludf.DUMMYFUNCTION("""COMPUTED_VALUE"""),"1000 Won bằng bao nhiêu tiền Việt")</f>
        <v>1000 Won bằng bao nhiêu tiền Việt</v>
      </c>
      <c r="AL48" s="21" t="str">
        <f>IFERROR(__xludf.DUMMYFUNCTION("""COMPUTED_VALUE"""),"https://techcombank.com/thong-tin/blog/tien-nhat")</f>
        <v>https://techcombank.com/thong-tin/blog/tien-nhat</v>
      </c>
      <c r="AM48" s="17" t="str">
        <f>IFERROR(__xludf.DUMMYFUNCTION("""COMPUTED_VALUE"""),"1,000 won")</f>
        <v>1,000 won</v>
      </c>
      <c r="AN48" s="21" t="str">
        <f>IFERROR(__xludf.DUMMYFUNCTION("""COMPUTED_VALUE"""),"https://techcombank.com/thong-tin/blog/dieu-kien-mua-usd-tu-ngan-hang")</f>
        <v>https://techcombank.com/thong-tin/blog/dieu-kien-mua-usd-tu-ngan-hang</v>
      </c>
      <c r="AO48" s="17" t="str">
        <f>IFERROR(__xludf.DUMMYFUNCTION("""COMPUTED_VALUE"""),"1000 Won bằng bao nhiêu tiền Việt")</f>
        <v>1000 Won bằng bao nhiêu tiền Việt</v>
      </c>
      <c r="AP48" s="21" t="str">
        <f>IFERROR(__xludf.DUMMYFUNCTION("""COMPUTED_VALUE"""),"https://techcombank.com/thong-tin/blog/chuyen-tien-di-uc")</f>
        <v>https://techcombank.com/thong-tin/blog/chuyen-tien-di-uc</v>
      </c>
      <c r="AQ48" s="17" t="str">
        <f>IFERROR(__xludf.DUMMYFUNCTION("""COMPUTED_VALUE"""),"1,000 won")</f>
        <v>1,000 won</v>
      </c>
      <c r="AR48" s="21" t="str">
        <f>IFERROR(__xludf.DUMMYFUNCTION("""COMPUTED_VALUE"""),"https://techcombank.com/thong-tin/blog/tien-dai-loan")</f>
        <v>https://techcombank.com/thong-tin/blog/tien-dai-loan</v>
      </c>
      <c r="AS48" s="17" t="str">
        <f>IFERROR(__xludf.DUMMYFUNCTION("""COMPUTED_VALUE"""),"1000 Won bằng bao nhiêu tiền Việt")</f>
        <v>1000 Won bằng bao nhiêu tiền Việt</v>
      </c>
      <c r="AT48" s="21" t="str">
        <f>IFERROR(__xludf.DUMMYFUNCTION("""COMPUTED_VALUE"""),"https://techcombank.com/thong-tin/blog/1-van-te-bang-bao-nhieu-tien-viet")</f>
        <v>https://techcombank.com/thong-tin/blog/1-van-te-bang-bao-nhieu-tien-viet</v>
      </c>
      <c r="AU48" s="17" t="str">
        <f>IFERROR(__xludf.DUMMYFUNCTION("""COMPUTED_VALUE"""),"1,000 won")</f>
        <v>1,000 won</v>
      </c>
      <c r="AV48" s="21" t="str">
        <f>IFERROR(__xludf.DUMMYFUNCTION("""COMPUTED_VALUE"""),"https://techcombank.com/thong-tin/blog/1-cent-bang-bao-nhieu-tien-viet")</f>
        <v>https://techcombank.com/thong-tin/blog/1-cent-bang-bao-nhieu-tien-viet</v>
      </c>
      <c r="AW48" s="17" t="str">
        <f>IFERROR(__xludf.DUMMYFUNCTION("""COMPUTED_VALUE"""),"1000 Won bằng bao nhiêu tiền Việt")</f>
        <v>1000 Won bằng bao nhiêu tiền Việt</v>
      </c>
      <c r="AX48" s="21" t="str">
        <f>IFERROR(__xludf.DUMMYFUNCTION("""COMPUTED_VALUE"""),"https://techcombank.com/thong-tin/blog/1000-te-bang-bao-nhieu-tien-viet")</f>
        <v>https://techcombank.com/thong-tin/blog/1000-te-bang-bao-nhieu-tien-viet</v>
      </c>
      <c r="AY48" s="17" t="str">
        <f>IFERROR(__xludf.DUMMYFUNCTION("""COMPUTED_VALUE"""),"1,000 won")</f>
        <v>1,000 won</v>
      </c>
      <c r="AZ48" s="21" t="str">
        <f>IFERROR(__xludf.DUMMYFUNCTION("""COMPUTED_VALUE"""),"https://techcombank.com/thong-tin/blog/100-riel-bang-bao-nhieu-tien-viet-nam")</f>
        <v>https://techcombank.com/thong-tin/blog/100-riel-bang-bao-nhieu-tien-viet-nam</v>
      </c>
      <c r="BA48" s="17" t="str">
        <f>IFERROR(__xludf.DUMMYFUNCTION("""COMPUTED_VALUE"""),"1000 Won bằng bao nhiêu tiền Việt")</f>
        <v>1000 Won bằng bao nhiêu tiền Việt</v>
      </c>
      <c r="BB48" s="21" t="str">
        <f>IFERROR(__xludf.DUMMYFUNCTION("""COMPUTED_VALUE"""),"https://techcombank.com/thong-tin/blog/tien-indonesia")</f>
        <v>https://techcombank.com/thong-tin/blog/tien-indonesia</v>
      </c>
      <c r="BC48" s="17" t="str">
        <f>IFERROR(__xludf.DUMMYFUNCTION("""COMPUTED_VALUE"""),"1,000 won")</f>
        <v>1,000 won</v>
      </c>
      <c r="BD48" s="21" t="str">
        <f>IFERROR(__xludf.DUMMYFUNCTION("""COMPUTED_VALUE"""),"https://techcombank.com/thong-tin/blog/1-do-uc-bang-bao-nhieu-tien-viet")</f>
        <v>https://techcombank.com/thong-tin/blog/1-do-uc-bang-bao-nhieu-tien-viet</v>
      </c>
      <c r="BE48" s="17" t="str">
        <f>IFERROR(__xludf.DUMMYFUNCTION("""COMPUTED_VALUE"""),"1000 Won bằng bao nhiêu tiền Việt")</f>
        <v>1000 Won bằng bao nhiêu tiền Việt</v>
      </c>
      <c r="BF48" s="21" t="str">
        <f>IFERROR(__xludf.DUMMYFUNCTION("""COMPUTED_VALUE"""),"https://techcombank.com/thong-tin/blog/han-muc-mua-ngoai-te-khi-di-du-lich")</f>
        <v>https://techcombank.com/thong-tin/blog/han-muc-mua-ngoai-te-khi-di-du-lich</v>
      </c>
      <c r="BG48" s="17" t="str">
        <f>IFERROR(__xludf.DUMMYFUNCTION("""COMPUTED_VALUE"""),"1,000 won")</f>
        <v>1,000 won</v>
      </c>
      <c r="BH48" s="21" t="str">
        <f>IFERROR(__xludf.DUMMYFUNCTION("""COMPUTED_VALUE"""),"https://techcombank.com/thong-tin/blog/gui-tien-du-hoc")</f>
        <v>https://techcombank.com/thong-tin/blog/gui-tien-du-hoc</v>
      </c>
      <c r="BI48" s="17" t="str">
        <f>IFERROR(__xludf.DUMMYFUNCTION("""COMPUTED_VALUE"""),"1000 Won bằng bao nhiêu tiền Việt")</f>
        <v>1000 Won bằng bao nhiêu tiền Việt</v>
      </c>
      <c r="BJ48" s="21" t="str">
        <f>IFERROR(__xludf.DUMMYFUNCTION("""COMPUTED_VALUE"""),"https://techcombank.com/thong-tin/blog/chuyen-tien-dinh-cu")</f>
        <v>https://techcombank.com/thong-tin/blog/chuyen-tien-dinh-cu</v>
      </c>
      <c r="BK48" s="17" t="str">
        <f>IFERROR(__xludf.DUMMYFUNCTION("""COMPUTED_VALUE"""),"1,000 won")</f>
        <v>1,000 won</v>
      </c>
      <c r="BL48" s="21" t="str">
        <f>IFERROR(__xludf.DUMMYFUNCTION("""COMPUTED_VALUE"""),"https://techcombank.com/thong-tin/blog/1-trieu-do-bang-bao-nhieu-tien-viet")</f>
        <v>https://techcombank.com/thong-tin/blog/1-trieu-do-bang-bao-nhieu-tien-viet</v>
      </c>
      <c r="BM48" s="17" t="str">
        <f>IFERROR(__xludf.DUMMYFUNCTION("""COMPUTED_VALUE"""),"1000 Won bằng bao nhiêu tiền Việt")</f>
        <v>1000 Won bằng bao nhiêu tiền Việt</v>
      </c>
      <c r="BN48" s="21" t="str">
        <f>IFERROR(__xludf.DUMMYFUNCTION("""COMPUTED_VALUE"""),"https://techcombank.com/thong-tin/blog/the-visa-co-thanh-toan-quoc-te-duoc-khong")</f>
        <v>https://techcombank.com/thong-tin/blog/the-visa-co-thanh-toan-quoc-te-duoc-khong</v>
      </c>
      <c r="BO48" s="17" t="str">
        <f>IFERROR(__xludf.DUMMYFUNCTION("""COMPUTED_VALUE"""),"1,000 won")</f>
        <v>1,000 won</v>
      </c>
      <c r="BP48" s="21" t="str">
        <f>IFERROR(__xludf.DUMMYFUNCTION("""COMPUTED_VALUE"""),"https://techcombank.com/thong-tin/blog/thanh-toan-bang-the-quoc-te")</f>
        <v>https://techcombank.com/thong-tin/blog/thanh-toan-bang-the-quoc-te</v>
      </c>
      <c r="BQ48" s="17" t="str">
        <f>IFERROR(__xludf.DUMMYFUNCTION("""COMPUTED_VALUE"""),"1000 Won bằng bao nhiêu tiền Việt")</f>
        <v>1000 Won bằng bao nhiêu tiền Việt</v>
      </c>
      <c r="BR48" s="21" t="str">
        <f>IFERROR(__xludf.DUMMYFUNCTION("""COMPUTED_VALUE"""),"https://techcombank.com/thong-tin/blog/vay-du-hoc")</f>
        <v>https://techcombank.com/thong-tin/blog/vay-du-hoc</v>
      </c>
      <c r="BS48" s="17" t="str">
        <f>IFERROR(__xludf.DUMMYFUNCTION("""COMPUTED_VALUE"""),"1,000 won")</f>
        <v>1,000 won</v>
      </c>
      <c r="BT48" s="21" t="str">
        <f>IFERROR(__xludf.DUMMYFUNCTION("""COMPUTED_VALUE"""),"https://techcombank.com/thong-tin/blog/thu-tuc-chuyen-tien-ra-nuoc-ngoai")</f>
        <v>https://techcombank.com/thong-tin/blog/thu-tuc-chuyen-tien-ra-nuoc-ngoai</v>
      </c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  <c r="EW48" s="17"/>
      <c r="EX48" s="17"/>
      <c r="EY48" s="17"/>
      <c r="EZ48" s="17"/>
      <c r="FA48" s="17"/>
      <c r="FB48" s="17"/>
      <c r="FC48" s="17"/>
      <c r="FD48" s="17"/>
      <c r="FE48" s="17"/>
      <c r="FF48" s="17"/>
      <c r="FG48" s="17"/>
      <c r="FH48" s="17"/>
      <c r="FI48" s="17"/>
      <c r="FJ48" s="17"/>
      <c r="FK48" s="17"/>
      <c r="FL48" s="17"/>
      <c r="FM48" s="17"/>
      <c r="FN48" s="17"/>
      <c r="FO48" s="17"/>
      <c r="FP48" s="17"/>
      <c r="FQ48" s="17"/>
      <c r="FR48" s="17"/>
      <c r="FS48" s="17"/>
      <c r="FT48" s="17"/>
      <c r="FU48" s="17"/>
      <c r="FV48" s="17"/>
      <c r="FW48" s="17"/>
      <c r="FX48" s="17"/>
      <c r="FY48" s="17"/>
      <c r="FZ48" s="17"/>
      <c r="GA48" s="17"/>
      <c r="GB48" s="17"/>
      <c r="GC48" s="17"/>
      <c r="GD48" s="17"/>
      <c r="GE48" s="17"/>
      <c r="GF48" s="17"/>
      <c r="GG48" s="17"/>
      <c r="GH48" s="17"/>
      <c r="GI48" s="17"/>
      <c r="GJ48" s="17"/>
      <c r="GK48" s="17"/>
      <c r="GL48" s="17"/>
      <c r="GM48" s="17"/>
      <c r="GN48" s="17"/>
      <c r="GO48" s="17"/>
      <c r="GP48" s="17"/>
      <c r="GQ48" s="17"/>
      <c r="GR48" s="17"/>
      <c r="GS48" s="17"/>
      <c r="GT48" s="17"/>
      <c r="GU48" s="17"/>
      <c r="GV48" s="17"/>
      <c r="GW48" s="17"/>
      <c r="GX48" s="17"/>
      <c r="GY48" s="17"/>
      <c r="GZ48" s="17"/>
      <c r="HA48" s="17"/>
      <c r="HB48" s="17"/>
      <c r="HC48" s="17"/>
      <c r="HD48" s="17"/>
      <c r="HE48" s="17"/>
      <c r="HF48" s="17"/>
      <c r="HG48" s="17"/>
      <c r="HH48" s="17"/>
      <c r="HI48" s="17"/>
      <c r="HJ48" s="17"/>
      <c r="HK48" s="17"/>
      <c r="HL48" s="17"/>
      <c r="HM48" s="17"/>
      <c r="HN48" s="17"/>
      <c r="HO48" s="17"/>
      <c r="HP48" s="17"/>
      <c r="HQ48" s="17"/>
      <c r="HR48" s="17"/>
      <c r="HS48" s="17"/>
      <c r="HT48" s="17"/>
      <c r="HU48" s="17"/>
      <c r="HV48" s="17"/>
      <c r="HW48" s="17"/>
      <c r="HX48" s="17"/>
      <c r="HY48" s="17"/>
      <c r="HZ48" s="17"/>
      <c r="IA48" s="17"/>
      <c r="IB48" s="17"/>
      <c r="IC48" s="17"/>
      <c r="ID48" s="17"/>
      <c r="IE48" s="17"/>
      <c r="IF48" s="17"/>
      <c r="IG48" s="17"/>
      <c r="IH48" s="17"/>
      <c r="II48" s="17"/>
      <c r="IJ48" s="17"/>
      <c r="IK48" s="17"/>
      <c r="IL48" s="17"/>
      <c r="IM48" s="17"/>
      <c r="IN48" s="17"/>
      <c r="IO48" s="17"/>
      <c r="IP48" s="17"/>
      <c r="IQ48" s="17"/>
      <c r="IR48" s="17"/>
      <c r="IS48" s="17"/>
      <c r="IT48" s="17"/>
      <c r="IU48" s="17"/>
      <c r="IV48" s="17"/>
      <c r="IW48" s="17"/>
      <c r="IX48" s="17"/>
      <c r="IY48" s="17"/>
      <c r="IZ48" s="17"/>
      <c r="JA48" s="17"/>
      <c r="JB48" s="17"/>
      <c r="JC48" s="17"/>
      <c r="JD48" s="17"/>
      <c r="JE48" s="17"/>
      <c r="JF48" s="17"/>
      <c r="JG48" s="17"/>
      <c r="JH48" s="17"/>
      <c r="JI48" s="17"/>
      <c r="JJ48" s="17"/>
      <c r="JK48" s="17"/>
      <c r="JL48" s="17"/>
      <c r="JM48" s="17"/>
      <c r="JN48" s="17"/>
      <c r="JO48" s="17"/>
      <c r="JP48" s="17"/>
      <c r="JQ48" s="17"/>
      <c r="JR48" s="17"/>
      <c r="JS48" s="17"/>
      <c r="JT48" s="17"/>
      <c r="JU48" s="17"/>
      <c r="JV48" s="17"/>
      <c r="JW48" s="17"/>
      <c r="JX48" s="17"/>
      <c r="JY48" s="17"/>
      <c r="JZ48" s="17"/>
      <c r="KA48" s="17"/>
      <c r="KB48" s="17"/>
      <c r="KC48" s="17"/>
      <c r="KD48" s="17"/>
      <c r="KE48" s="17"/>
      <c r="KF48" s="17"/>
      <c r="KG48" s="17"/>
      <c r="KH48" s="17"/>
      <c r="KI48" s="17"/>
      <c r="KJ48" s="17"/>
      <c r="KK48" s="17"/>
      <c r="KL48" s="17"/>
      <c r="KM48" s="17"/>
      <c r="KN48" s="17"/>
      <c r="KO48" s="17"/>
      <c r="KP48" s="17"/>
      <c r="KQ48" s="17"/>
      <c r="KR48" s="17"/>
      <c r="KS48" s="17"/>
      <c r="KT48" s="17"/>
      <c r="KU48" s="17"/>
      <c r="KV48" s="17"/>
      <c r="KW48" s="17"/>
      <c r="KX48" s="17"/>
      <c r="KY48" s="17"/>
      <c r="KZ48" s="17"/>
      <c r="LA48" s="17"/>
      <c r="LB48" s="17"/>
      <c r="LC48" s="17"/>
      <c r="LD48" s="17"/>
      <c r="LE48" s="17"/>
      <c r="LF48" s="17"/>
      <c r="LG48" s="17"/>
      <c r="LH48" s="17"/>
      <c r="LI48" s="17"/>
      <c r="LJ48" s="17"/>
      <c r="LK48" s="17"/>
      <c r="LL48" s="17"/>
      <c r="LM48" s="17"/>
      <c r="LN48" s="17"/>
      <c r="LO48" s="17"/>
      <c r="LP48" s="17"/>
      <c r="LQ48" s="17"/>
      <c r="LR48" s="17"/>
      <c r="LS48" s="17"/>
      <c r="LT48" s="17"/>
      <c r="LU48" s="17"/>
      <c r="LV48" s="17"/>
      <c r="LW48" s="17"/>
      <c r="LX48" s="17"/>
      <c r="LY48" s="17"/>
      <c r="LZ48" s="17"/>
      <c r="MA48" s="17"/>
      <c r="MB48" s="17"/>
      <c r="MC48" s="17"/>
      <c r="MD48" s="17"/>
      <c r="ME48" s="17"/>
      <c r="MF48" s="17"/>
      <c r="MG48" s="17"/>
      <c r="MH48" s="17"/>
      <c r="MI48" s="17"/>
      <c r="MJ48" s="17"/>
      <c r="MK48" s="17"/>
      <c r="ML48" s="17"/>
      <c r="MM48" s="17"/>
      <c r="MN48" s="17"/>
      <c r="MO48" s="17"/>
      <c r="MP48" s="17"/>
      <c r="MQ48" s="17"/>
      <c r="MR48" s="17"/>
      <c r="MS48" s="17"/>
      <c r="MT48" s="17"/>
      <c r="MU48" s="17"/>
      <c r="MV48" s="17"/>
      <c r="MW48" s="17"/>
      <c r="MX48" s="17"/>
      <c r="MY48" s="17"/>
      <c r="MZ48" s="17"/>
      <c r="NA48" s="17"/>
      <c r="NB48" s="17"/>
      <c r="NC48" s="17"/>
      <c r="ND48" s="17"/>
      <c r="NE48" s="17"/>
      <c r="NF48" s="17"/>
      <c r="NG48" s="17"/>
      <c r="NH48" s="17"/>
      <c r="NI48" s="17"/>
      <c r="NJ48" s="17"/>
      <c r="NK48" s="17"/>
      <c r="NL48" s="17"/>
      <c r="NM48" s="17"/>
      <c r="NN48" s="17"/>
      <c r="NO48" s="17"/>
      <c r="NP48" s="17"/>
      <c r="NQ48" s="17"/>
      <c r="NR48" s="17"/>
      <c r="NS48" s="17"/>
      <c r="NT48" s="17"/>
      <c r="NU48" s="17"/>
      <c r="NV48" s="17"/>
      <c r="NW48" s="17"/>
      <c r="NX48" s="17"/>
      <c r="NY48" s="17"/>
      <c r="NZ48" s="17"/>
      <c r="OA48" s="17"/>
      <c r="OB48" s="17"/>
      <c r="OC48" s="17"/>
      <c r="OD48" s="17"/>
      <c r="OE48" s="17"/>
      <c r="OF48" s="17"/>
      <c r="OG48" s="17"/>
      <c r="OH48" s="17"/>
      <c r="OI48" s="17"/>
      <c r="OJ48" s="17"/>
      <c r="OK48" s="17"/>
      <c r="OL48" s="17"/>
      <c r="OM48" s="17"/>
      <c r="ON48" s="17"/>
      <c r="OO48" s="17"/>
      <c r="OP48" s="17"/>
      <c r="OQ48" s="17"/>
      <c r="OR48" s="17"/>
      <c r="OS48" s="17"/>
      <c r="OT48" s="17"/>
      <c r="OU48" s="17"/>
      <c r="OV48" s="17"/>
    </row>
    <row r="49" ht="18.0" customHeight="1">
      <c r="A49" s="16">
        <v>48.0</v>
      </c>
      <c r="B49" s="17" t="s">
        <v>1435</v>
      </c>
      <c r="C49" s="18" t="s">
        <v>1573</v>
      </c>
      <c r="D49" s="17" t="s">
        <v>569</v>
      </c>
      <c r="E49" s="16">
        <v>30.0</v>
      </c>
      <c r="F49" s="16">
        <f>COUNTIF('Tổng hợp 75 trang đích'!$B$2:$B$3400,$D49)</f>
        <v>30</v>
      </c>
      <c r="G49" s="16">
        <f>COUNTIFS('Tổng hợp 75 trang đích'!$B$2:$B$3400,$D49,'Tổng hợp 75 trang đích'!$K$2:$K$3400,"PHÙ HỢP CAO")</f>
        <v>5</v>
      </c>
      <c r="H49" s="16">
        <f>COUNTIFS('Tổng hợp 75 trang đích'!$B$2:$B$3400,$D49,'Tổng hợp 75 trang đích'!$K$2:$K$3400,"CÓ THỂ ĐI")</f>
        <v>0</v>
      </c>
      <c r="I49" s="16">
        <f>COUNTIFS('Tổng hợp 75 trang đích'!$B$2:$B$3400,$D49,'Tổng hợp 75 trang đích'!$K$2:$K$3400,"CẦN SOÁT")</f>
        <v>25</v>
      </c>
      <c r="J49" s="19" t="s">
        <v>555</v>
      </c>
      <c r="K49" s="19" t="b">
        <v>0</v>
      </c>
      <c r="L49" s="20" t="s">
        <v>333</v>
      </c>
      <c r="M49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đích'!$B$2:$B$3400=$D49),3,TR"&amp;"UE),1,2)),"""")"),"cách nhận tiền từ nước ngoài về Việt Nam")</f>
        <v>cách nhận tiền từ nước ngoài về Việt Nam</v>
      </c>
      <c r="N49" s="21" t="str">
        <f>IFERROR(__xludf.DUMMYFUNCTION("""COMPUTED_VALUE"""),"https://techcombank.com/thong-tin/blog/kieu-hoi-la-gi")</f>
        <v>https://techcombank.com/thong-tin/blog/kieu-hoi-la-gi</v>
      </c>
      <c r="O49" s="17" t="str">
        <f>IFERROR(__xludf.DUMMYFUNCTION("""COMPUTED_VALUE"""),"nhận tiền từ nước ngoài")</f>
        <v>nhận tiền từ nước ngoài</v>
      </c>
      <c r="P49" s="21" t="str">
        <f>IFERROR(__xludf.DUMMYFUNCTION("""COMPUTED_VALUE"""),"https://techcombank.com/thong-tin/blog/nhan-tien-western-union")</f>
        <v>https://techcombank.com/thong-tin/blog/nhan-tien-western-union</v>
      </c>
      <c r="Q49" s="17" t="str">
        <f>IFERROR(__xludf.DUMMYFUNCTION("""COMPUTED_VALUE"""),"nhận kiều hối")</f>
        <v>nhận kiều hối</v>
      </c>
      <c r="R49" s="21" t="str">
        <f>IFERROR(__xludf.DUMMYFUNCTION("""COMPUTED_VALUE"""),"https://techcombank.com/thong-tin/blog/ma-swift-ngan-hang")</f>
        <v>https://techcombank.com/thong-tin/blog/ma-swift-ngan-hang</v>
      </c>
      <c r="S49" s="17" t="str">
        <f>IFERROR(__xludf.DUMMYFUNCTION("""COMPUTED_VALUE"""),"cách nhận tiền từ nước ngoài về Việt Nam")</f>
        <v>cách nhận tiền từ nước ngoài về Việt Nam</v>
      </c>
      <c r="T49" s="21" t="str">
        <f>IFERROR(__xludf.DUMMYFUNCTION("""COMPUTED_VALUE"""),"https://techcombank.com/thong-tin/blog/chuyen-tien-tu-my-ve-viet-nam")</f>
        <v>https://techcombank.com/thong-tin/blog/chuyen-tien-tu-my-ve-viet-nam</v>
      </c>
      <c r="U49" s="17" t="str">
        <f>IFERROR(__xludf.DUMMYFUNCTION("""COMPUTED_VALUE"""),"nhận tiền từ nước ngoài")</f>
        <v>nhận tiền từ nước ngoài</v>
      </c>
      <c r="V49" s="21" t="str">
        <f>IFERROR(__xludf.DUMMYFUNCTION("""COMPUTED_VALUE"""),"https://techcombank.com/thong-tin/blog/remittance-la-gi")</f>
        <v>https://techcombank.com/thong-tin/blog/remittance-la-gi</v>
      </c>
      <c r="W49" s="17" t="str">
        <f>IFERROR(__xludf.DUMMYFUNCTION("""COMPUTED_VALUE"""),"nhận kiều hối")</f>
        <v>nhận kiều hối</v>
      </c>
      <c r="X49" s="21" t="str">
        <f>IFERROR(__xludf.DUMMYFUNCTION("""COMPUTED_VALUE"""),"https://techcombank.com/thong-tin/blog/thanh-toan-quoc-te")</f>
        <v>https://techcombank.com/thong-tin/blog/thanh-toan-quoc-te</v>
      </c>
      <c r="Y49" s="17" t="str">
        <f>IFERROR(__xludf.DUMMYFUNCTION("""COMPUTED_VALUE"""),"cách nhận tiền từ nước ngoài về Việt Nam")</f>
        <v>cách nhận tiền từ nước ngoài về Việt Nam</v>
      </c>
      <c r="Z49" s="21" t="str">
        <f>IFERROR(__xludf.DUMMYFUNCTION("""COMPUTED_VALUE"""),"https://techcombank.com/thong-tin/blog/bao-hiem-du-lich-quoc-te-nao-tot")</f>
        <v>https://techcombank.com/thong-tin/blog/bao-hiem-du-lich-quoc-te-nao-tot</v>
      </c>
      <c r="AA49" s="17" t="str">
        <f>IFERROR(__xludf.DUMMYFUNCTION("""COMPUTED_VALUE"""),"nhận tiền từ nước ngoài")</f>
        <v>nhận tiền từ nước ngoài</v>
      </c>
      <c r="AB49" s="21" t="str">
        <f>IFERROR(__xludf.DUMMYFUNCTION("""COMPUTED_VALUE"""),"https://techcombank.com/thong-tin/blog/ma-buu-chinh-the-tin-dung")</f>
        <v>https://techcombank.com/thong-tin/blog/ma-buu-chinh-the-tin-dung</v>
      </c>
      <c r="AC49" s="17" t="str">
        <f>IFERROR(__xludf.DUMMYFUNCTION("""COMPUTED_VALUE"""),"nhận kiều hối")</f>
        <v>nhận kiều hối</v>
      </c>
      <c r="AD49" s="21" t="str">
        <f>IFERROR(__xludf.DUMMYFUNCTION("""COMPUTED_VALUE"""),"https://techcombank.com/thong-tin/blog/the-tin-dung-quoc-te")</f>
        <v>https://techcombank.com/thong-tin/blog/the-tin-dung-quoc-te</v>
      </c>
      <c r="AE49" s="17" t="str">
        <f>IFERROR(__xludf.DUMMYFUNCTION("""COMPUTED_VALUE"""),"cách nhận tiền từ nước ngoài về Việt Nam")</f>
        <v>cách nhận tiền từ nước ngoài về Việt Nam</v>
      </c>
      <c r="AF49" s="21" t="str">
        <f>IFERROR(__xludf.DUMMYFUNCTION("""COMPUTED_VALUE"""),"https://techcombank.com/thong-tin/blog/bib-techcombank")</f>
        <v>https://techcombank.com/thong-tin/blog/bib-techcombank</v>
      </c>
      <c r="AG49" s="17" t="str">
        <f>IFERROR(__xludf.DUMMYFUNCTION("""COMPUTED_VALUE"""),"nhận tiền từ nước ngoài")</f>
        <v>nhận tiền từ nước ngoài</v>
      </c>
      <c r="AH49" s="21" t="str">
        <f>IFERROR(__xludf.DUMMYFUNCTION("""COMPUTED_VALUE"""),"https://techcombank.com/thong-tin/blog/the-ghi-no-noi-dia")</f>
        <v>https://techcombank.com/thong-tin/blog/the-ghi-no-noi-dia</v>
      </c>
      <c r="AI49" s="17" t="str">
        <f>IFERROR(__xludf.DUMMYFUNCTION("""COMPUTED_VALUE"""),"nhận kiều hối")</f>
        <v>nhận kiều hối</v>
      </c>
      <c r="AJ49" s="21" t="str">
        <f>IFERROR(__xludf.DUMMYFUNCTION("""COMPUTED_VALUE"""),"https://techcombank.com/thong-tin/blog/iban-la-gi")</f>
        <v>https://techcombank.com/thong-tin/blog/iban-la-gi</v>
      </c>
      <c r="AK49" s="17" t="str">
        <f>IFERROR(__xludf.DUMMYFUNCTION("""COMPUTED_VALUE"""),"cách nhận tiền từ nước ngoài về Việt Nam")</f>
        <v>cách nhận tiền từ nước ngoài về Việt Nam</v>
      </c>
      <c r="AL49" s="21" t="str">
        <f>IFERROR(__xludf.DUMMYFUNCTION("""COMPUTED_VALUE"""),"https://techcombank.com/thong-tin/blog/the-tin-dung-noi-dia")</f>
        <v>https://techcombank.com/thong-tin/blog/the-tin-dung-noi-dia</v>
      </c>
      <c r="AM49" s="17" t="str">
        <f>IFERROR(__xludf.DUMMYFUNCTION("""COMPUTED_VALUE"""),"nhận tiền từ nước ngoài")</f>
        <v>nhận tiền từ nước ngoài</v>
      </c>
      <c r="AN49" s="21" t="str">
        <f>IFERROR(__xludf.DUMMYFUNCTION("""COMPUTED_VALUE"""),"https://techcombank.com/thong-tin/blog/app-ngan-hang-co-dung-duoc-o-nuoc-ngoai")</f>
        <v>https://techcombank.com/thong-tin/blog/app-ngan-hang-co-dung-duoc-o-nuoc-ngoai</v>
      </c>
      <c r="AO49" s="17" t="str">
        <f>IFERROR(__xludf.DUMMYFUNCTION("""COMPUTED_VALUE"""),"nhận kiều hối")</f>
        <v>nhận kiều hối</v>
      </c>
      <c r="AP49" s="21" t="str">
        <f>IFERROR(__xludf.DUMMYFUNCTION("""COMPUTED_VALUE"""),"https://techcombank.com/thong-tin/blog/cashback-the-thanh-toan")</f>
        <v>https://techcombank.com/thong-tin/blog/cashback-the-thanh-toan</v>
      </c>
      <c r="AQ49" s="17" t="str">
        <f>IFERROR(__xludf.DUMMYFUNCTION("""COMPUTED_VALUE"""),"cách nhận tiền từ nước ngoài về Việt Nam")</f>
        <v>cách nhận tiền từ nước ngoài về Việt Nam</v>
      </c>
      <c r="AR49" s="21" t="str">
        <f>IFERROR(__xludf.DUMMYFUNCTION("""COMPUTED_VALUE"""),"https://techcombank.com/thong-tin/blog/lam-the-thanh-toan-quoc-te")</f>
        <v>https://techcombank.com/thong-tin/blog/lam-the-thanh-toan-quoc-te</v>
      </c>
      <c r="AS49" s="17" t="str">
        <f>IFERROR(__xludf.DUMMYFUNCTION("""COMPUTED_VALUE"""),"nhận tiền từ nước ngoài")</f>
        <v>nhận tiền từ nước ngoài</v>
      </c>
      <c r="AT49" s="21" t="str">
        <f>IFERROR(__xludf.DUMMYFUNCTION("""COMPUTED_VALUE"""),"https://techcombank.com/thong-tin/blog/the-ghi-no-visa-la-gi")</f>
        <v>https://techcombank.com/thong-tin/blog/the-ghi-no-visa-la-gi</v>
      </c>
      <c r="AU49" s="17" t="str">
        <f>IFERROR(__xludf.DUMMYFUNCTION("""COMPUTED_VALUE"""),"nhận kiều hối")</f>
        <v>nhận kiều hối</v>
      </c>
      <c r="AV49" s="21" t="str">
        <f>IFERROR(__xludf.DUMMYFUNCTION("""COMPUTED_VALUE"""),"https://techcombank.com/thong-tin/blog/the-visa-co-thanh-toan-quoc-te-duoc-khong")</f>
        <v>https://techcombank.com/thong-tin/blog/the-visa-co-thanh-toan-quoc-te-duoc-khong</v>
      </c>
      <c r="AW49" s="17" t="str">
        <f>IFERROR(__xludf.DUMMYFUNCTION("""COMPUTED_VALUE"""),"cách nhận tiền từ nước ngoài về Việt Nam")</f>
        <v>cách nhận tiền từ nước ngoài về Việt Nam</v>
      </c>
      <c r="AX49" s="21" t="str">
        <f>IFERROR(__xludf.DUMMYFUNCTION("""COMPUTED_VALUE"""),"https://techcombank.com/thong-tin/blog/chuyen-tien-dinh-cu")</f>
        <v>https://techcombank.com/thong-tin/blog/chuyen-tien-dinh-cu</v>
      </c>
      <c r="AY49" s="17" t="str">
        <f>IFERROR(__xludf.DUMMYFUNCTION("""COMPUTED_VALUE"""),"nhận tiền từ nước ngoài")</f>
        <v>nhận tiền từ nước ngoài</v>
      </c>
      <c r="AZ49" s="21" t="str">
        <f>IFERROR(__xludf.DUMMYFUNCTION("""COMPUTED_VALUE"""),"https://techcombank.com/thong-tin/blog/thanh-toan-bang-the-quoc-te")</f>
        <v>https://techcombank.com/thong-tin/blog/thanh-toan-bang-the-quoc-te</v>
      </c>
      <c r="BA49" s="17" t="str">
        <f>IFERROR(__xludf.DUMMYFUNCTION("""COMPUTED_VALUE"""),"nhận kiều hối")</f>
        <v>nhận kiều hối</v>
      </c>
      <c r="BB49" s="21" t="str">
        <f>IFERROR(__xludf.DUMMYFUNCTION("""COMPUTED_VALUE"""),"https://techcombank.com/thong-tin/blog/han-muc-mua-ngoai-te-khi-di-du-lich")</f>
        <v>https://techcombank.com/thong-tin/blog/han-muc-mua-ngoai-te-khi-di-du-lich</v>
      </c>
      <c r="BC49" s="17" t="str">
        <f>IFERROR(__xludf.DUMMYFUNCTION("""COMPUTED_VALUE"""),"cách nhận tiền từ nước ngoài về Việt Nam")</f>
        <v>cách nhận tiền từ nước ngoài về Việt Nam</v>
      </c>
      <c r="BD49" s="21" t="str">
        <f>IFERROR(__xludf.DUMMYFUNCTION("""COMPUTED_VALUE"""),"https://techcombank.com/thong-tin/blog/ngoai-te-la-gi")</f>
        <v>https://techcombank.com/thong-tin/blog/ngoai-te-la-gi</v>
      </c>
      <c r="BE49" s="17" t="str">
        <f>IFERROR(__xludf.DUMMYFUNCTION("""COMPUTED_VALUE"""),"nhận tiền từ nước ngoài")</f>
        <v>nhận tiền từ nước ngoài</v>
      </c>
      <c r="BF49" s="21" t="str">
        <f>IFERROR(__xludf.DUMMYFUNCTION("""COMPUTED_VALUE"""),"https://techcombank.com/thong-tin/blog/nen-lam-the-visa-hay-noi-dia")</f>
        <v>https://techcombank.com/thong-tin/blog/nen-lam-the-visa-hay-noi-dia</v>
      </c>
      <c r="BG49" s="17" t="str">
        <f>IFERROR(__xludf.DUMMYFUNCTION("""COMPUTED_VALUE"""),"nhận kiều hối")</f>
        <v>nhận kiều hối</v>
      </c>
      <c r="BH49" s="21" t="str">
        <f>IFERROR(__xludf.DUMMYFUNCTION("""COMPUTED_VALUE"""),"https://techcombank.com/thong-tin/blog/dinh-cu-chau-au")</f>
        <v>https://techcombank.com/thong-tin/blog/dinh-cu-chau-au</v>
      </c>
      <c r="BI49" s="17" t="str">
        <f>IFERROR(__xludf.DUMMYFUNCTION("""COMPUTED_VALUE"""),"cách nhận tiền từ nước ngoài về Việt Nam")</f>
        <v>cách nhận tiền từ nước ngoài về Việt Nam</v>
      </c>
      <c r="BJ49" s="21" t="str">
        <f>IFERROR(__xludf.DUMMYFUNCTION("""COMPUTED_VALUE"""),"https://techcombank.com/thong-tin/blog/vay-du-hoc")</f>
        <v>https://techcombank.com/thong-tin/blog/vay-du-hoc</v>
      </c>
      <c r="BK49" s="17" t="str">
        <f>IFERROR(__xludf.DUMMYFUNCTION("""COMPUTED_VALUE"""),"nhận tiền từ nước ngoài")</f>
        <v>nhận tiền từ nước ngoài</v>
      </c>
      <c r="BL49" s="21" t="str">
        <f>IFERROR(__xludf.DUMMYFUNCTION("""COMPUTED_VALUE"""),"https://techcombank.com/thong-tin/blog/di-du-lich-nuoc-ngoai-can-chuan-bi-gi")</f>
        <v>https://techcombank.com/thong-tin/blog/di-du-lich-nuoc-ngoai-can-chuan-bi-gi</v>
      </c>
      <c r="BM49" s="17" t="str">
        <f>IFERROR(__xludf.DUMMYFUNCTION("""COMPUTED_VALUE"""),"nhận kiều hối")</f>
        <v>nhận kiều hối</v>
      </c>
      <c r="BN49" s="21" t="str">
        <f>IFERROR(__xludf.DUMMYFUNCTION("""COMPUTED_VALUE"""),"https://techcombank.com/thong-tin/blog/thu-tuc-chuyen-tien-ra-nuoc-ngoai")</f>
        <v>https://techcombank.com/thong-tin/blog/thu-tuc-chuyen-tien-ra-nuoc-ngoai</v>
      </c>
      <c r="BO49" s="17" t="str">
        <f>IFERROR(__xludf.DUMMYFUNCTION("""COMPUTED_VALUE"""),"cách nhận tiền từ nước ngoài về Việt Nam")</f>
        <v>cách nhận tiền từ nước ngoài về Việt Nam</v>
      </c>
      <c r="BP49" s="21" t="str">
        <f>IFERROR(__xludf.DUMMYFUNCTION("""COMPUTED_VALUE"""),"https://techcombank.com/thong-tin/blog/gui-tien-sang-nuoc-ngoai")</f>
        <v>https://techcombank.com/thong-tin/blog/gui-tien-sang-nuoc-ngoai</v>
      </c>
      <c r="BQ49" s="17" t="str">
        <f>IFERROR(__xludf.DUMMYFUNCTION("""COMPUTED_VALUE"""),"nhận tiền từ nước ngoài")</f>
        <v>nhận tiền từ nước ngoài</v>
      </c>
      <c r="BR49" s="21" t="str">
        <f>IFERROR(__xludf.DUMMYFUNCTION("""COMPUTED_VALUE"""),"https://techcombank.com/thong-tin/blog/gia-ca-phe-hom-nay")</f>
        <v>https://techcombank.com/thong-tin/blog/gia-ca-phe-hom-nay</v>
      </c>
      <c r="BS49" s="17" t="str">
        <f>IFERROR(__xludf.DUMMYFUNCTION("""COMPUTED_VALUE"""),"nhận kiều hối")</f>
        <v>nhận kiều hối</v>
      </c>
      <c r="BT49" s="21" t="str">
        <f>IFERROR(__xludf.DUMMYFUNCTION("""COMPUTED_VALUE"""),"https://techcombank.com/thong-tin/blog/gui-tien-du-hoc")</f>
        <v>https://techcombank.com/thong-tin/blog/gui-tien-du-hoc</v>
      </c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7"/>
      <c r="FJ49" s="17"/>
      <c r="FK49" s="17"/>
      <c r="FL49" s="17"/>
      <c r="FM49" s="17"/>
      <c r="FN49" s="17"/>
      <c r="FO49" s="17"/>
      <c r="FP49" s="17"/>
      <c r="FQ49" s="17"/>
      <c r="FR49" s="17"/>
      <c r="FS49" s="17"/>
      <c r="FT49" s="17"/>
      <c r="FU49" s="17"/>
      <c r="FV49" s="17"/>
      <c r="FW49" s="17"/>
      <c r="FX49" s="17"/>
      <c r="FY49" s="17"/>
      <c r="FZ49" s="17"/>
      <c r="GA49" s="17"/>
      <c r="GB49" s="17"/>
      <c r="GC49" s="17"/>
      <c r="GD49" s="17"/>
      <c r="GE49" s="17"/>
      <c r="GF49" s="17"/>
      <c r="GG49" s="17"/>
      <c r="GH49" s="17"/>
      <c r="GI49" s="17"/>
      <c r="GJ49" s="17"/>
      <c r="GK49" s="17"/>
      <c r="GL49" s="17"/>
      <c r="GM49" s="17"/>
      <c r="GN49" s="17"/>
      <c r="GO49" s="17"/>
      <c r="GP49" s="17"/>
      <c r="GQ49" s="17"/>
      <c r="GR49" s="17"/>
      <c r="GS49" s="17"/>
      <c r="GT49" s="17"/>
      <c r="GU49" s="17"/>
      <c r="GV49" s="17"/>
      <c r="GW49" s="17"/>
      <c r="GX49" s="17"/>
      <c r="GY49" s="17"/>
      <c r="GZ49" s="17"/>
      <c r="HA49" s="17"/>
      <c r="HB49" s="17"/>
      <c r="HC49" s="17"/>
      <c r="HD49" s="17"/>
      <c r="HE49" s="17"/>
      <c r="HF49" s="17"/>
      <c r="HG49" s="17"/>
      <c r="HH49" s="17"/>
      <c r="HI49" s="17"/>
      <c r="HJ49" s="17"/>
      <c r="HK49" s="17"/>
      <c r="HL49" s="17"/>
      <c r="HM49" s="17"/>
      <c r="HN49" s="17"/>
      <c r="HO49" s="17"/>
      <c r="HP49" s="17"/>
      <c r="HQ49" s="17"/>
      <c r="HR49" s="17"/>
      <c r="HS49" s="17"/>
      <c r="HT49" s="17"/>
      <c r="HU49" s="17"/>
      <c r="HV49" s="17"/>
      <c r="HW49" s="17"/>
      <c r="HX49" s="17"/>
      <c r="HY49" s="17"/>
      <c r="HZ49" s="17"/>
      <c r="IA49" s="17"/>
      <c r="IB49" s="17"/>
      <c r="IC49" s="17"/>
      <c r="ID49" s="17"/>
      <c r="IE49" s="17"/>
      <c r="IF49" s="17"/>
      <c r="IG49" s="17"/>
      <c r="IH49" s="17"/>
      <c r="II49" s="17"/>
      <c r="IJ49" s="17"/>
      <c r="IK49" s="17"/>
      <c r="IL49" s="17"/>
      <c r="IM49" s="17"/>
      <c r="IN49" s="17"/>
      <c r="IO49" s="17"/>
      <c r="IP49" s="17"/>
      <c r="IQ49" s="17"/>
      <c r="IR49" s="17"/>
      <c r="IS49" s="17"/>
      <c r="IT49" s="17"/>
      <c r="IU49" s="17"/>
      <c r="IV49" s="17"/>
      <c r="IW49" s="17"/>
      <c r="IX49" s="17"/>
      <c r="IY49" s="17"/>
      <c r="IZ49" s="17"/>
      <c r="JA49" s="17"/>
      <c r="JB49" s="17"/>
      <c r="JC49" s="17"/>
      <c r="JD49" s="17"/>
      <c r="JE49" s="17"/>
      <c r="JF49" s="17"/>
      <c r="JG49" s="17"/>
      <c r="JH49" s="17"/>
      <c r="JI49" s="17"/>
      <c r="JJ49" s="17"/>
      <c r="JK49" s="17"/>
      <c r="JL49" s="17"/>
      <c r="JM49" s="17"/>
      <c r="JN49" s="17"/>
      <c r="JO49" s="17"/>
      <c r="JP49" s="17"/>
      <c r="JQ49" s="17"/>
      <c r="JR49" s="17"/>
      <c r="JS49" s="17"/>
      <c r="JT49" s="17"/>
      <c r="JU49" s="17"/>
      <c r="JV49" s="17"/>
      <c r="JW49" s="17"/>
      <c r="JX49" s="17"/>
      <c r="JY49" s="17"/>
      <c r="JZ49" s="17"/>
      <c r="KA49" s="17"/>
      <c r="KB49" s="17"/>
      <c r="KC49" s="17"/>
      <c r="KD49" s="17"/>
      <c r="KE49" s="17"/>
      <c r="KF49" s="17"/>
      <c r="KG49" s="17"/>
      <c r="KH49" s="17"/>
      <c r="KI49" s="17"/>
      <c r="KJ49" s="17"/>
      <c r="KK49" s="17"/>
      <c r="KL49" s="17"/>
      <c r="KM49" s="17"/>
      <c r="KN49" s="17"/>
      <c r="KO49" s="17"/>
      <c r="KP49" s="17"/>
      <c r="KQ49" s="17"/>
      <c r="KR49" s="17"/>
      <c r="KS49" s="17"/>
      <c r="KT49" s="17"/>
      <c r="KU49" s="17"/>
      <c r="KV49" s="17"/>
      <c r="KW49" s="17"/>
      <c r="KX49" s="17"/>
      <c r="KY49" s="17"/>
      <c r="KZ49" s="17"/>
      <c r="LA49" s="17"/>
      <c r="LB49" s="17"/>
      <c r="LC49" s="17"/>
      <c r="LD49" s="17"/>
      <c r="LE49" s="17"/>
      <c r="LF49" s="17"/>
      <c r="LG49" s="17"/>
      <c r="LH49" s="17"/>
      <c r="LI49" s="17"/>
      <c r="LJ49" s="17"/>
      <c r="LK49" s="17"/>
      <c r="LL49" s="17"/>
      <c r="LM49" s="17"/>
      <c r="LN49" s="17"/>
      <c r="LO49" s="17"/>
      <c r="LP49" s="17"/>
      <c r="LQ49" s="17"/>
      <c r="LR49" s="17"/>
      <c r="LS49" s="17"/>
      <c r="LT49" s="17"/>
      <c r="LU49" s="17"/>
      <c r="LV49" s="17"/>
      <c r="LW49" s="17"/>
      <c r="LX49" s="17"/>
      <c r="LY49" s="17"/>
      <c r="LZ49" s="17"/>
      <c r="MA49" s="17"/>
      <c r="MB49" s="17"/>
      <c r="MC49" s="17"/>
      <c r="MD49" s="17"/>
      <c r="ME49" s="17"/>
      <c r="MF49" s="17"/>
      <c r="MG49" s="17"/>
      <c r="MH49" s="17"/>
      <c r="MI49" s="17"/>
      <c r="MJ49" s="17"/>
      <c r="MK49" s="17"/>
      <c r="ML49" s="17"/>
      <c r="MM49" s="17"/>
      <c r="MN49" s="17"/>
      <c r="MO49" s="17"/>
      <c r="MP49" s="17"/>
      <c r="MQ49" s="17"/>
      <c r="MR49" s="17"/>
      <c r="MS49" s="17"/>
      <c r="MT49" s="17"/>
      <c r="MU49" s="17"/>
      <c r="MV49" s="17"/>
      <c r="MW49" s="17"/>
      <c r="MX49" s="17"/>
      <c r="MY49" s="17"/>
      <c r="MZ49" s="17"/>
      <c r="NA49" s="17"/>
      <c r="NB49" s="17"/>
      <c r="NC49" s="17"/>
      <c r="ND49" s="17"/>
      <c r="NE49" s="17"/>
      <c r="NF49" s="17"/>
      <c r="NG49" s="17"/>
      <c r="NH49" s="17"/>
      <c r="NI49" s="17"/>
      <c r="NJ49" s="17"/>
      <c r="NK49" s="17"/>
      <c r="NL49" s="17"/>
      <c r="NM49" s="17"/>
      <c r="NN49" s="17"/>
      <c r="NO49" s="17"/>
      <c r="NP49" s="17"/>
      <c r="NQ49" s="17"/>
      <c r="NR49" s="17"/>
      <c r="NS49" s="17"/>
      <c r="NT49" s="17"/>
      <c r="NU49" s="17"/>
      <c r="NV49" s="17"/>
      <c r="NW49" s="17"/>
      <c r="NX49" s="17"/>
      <c r="NY49" s="17"/>
      <c r="NZ49" s="17"/>
      <c r="OA49" s="17"/>
      <c r="OB49" s="17"/>
      <c r="OC49" s="17"/>
      <c r="OD49" s="17"/>
      <c r="OE49" s="17"/>
      <c r="OF49" s="17"/>
      <c r="OG49" s="17"/>
      <c r="OH49" s="17"/>
      <c r="OI49" s="17"/>
      <c r="OJ49" s="17"/>
      <c r="OK49" s="17"/>
      <c r="OL49" s="17"/>
      <c r="OM49" s="17"/>
      <c r="ON49" s="17"/>
      <c r="OO49" s="17"/>
      <c r="OP49" s="17"/>
      <c r="OQ49" s="17"/>
      <c r="OR49" s="17"/>
      <c r="OS49" s="17"/>
      <c r="OT49" s="17"/>
      <c r="OU49" s="17"/>
      <c r="OV49" s="17"/>
    </row>
    <row r="50" ht="18.0" customHeight="1">
      <c r="A50" s="16">
        <v>49.0</v>
      </c>
      <c r="B50" s="17" t="s">
        <v>1435</v>
      </c>
      <c r="C50" s="18" t="s">
        <v>1586</v>
      </c>
      <c r="D50" s="17" t="s">
        <v>576</v>
      </c>
      <c r="E50" s="16">
        <v>30.0</v>
      </c>
      <c r="F50" s="16">
        <f>COUNTIF('Tổng hợp 75 trang đích'!$B$2:$B$3400,$D50)</f>
        <v>30</v>
      </c>
      <c r="G50" s="16">
        <f>COUNTIFS('Tổng hợp 75 trang đích'!$B$2:$B$3400,$D50,'Tổng hợp 75 trang đích'!$K$2:$K$3400,"PHÙ HỢP CAO")</f>
        <v>2</v>
      </c>
      <c r="H50" s="16">
        <f>COUNTIFS('Tổng hợp 75 trang đích'!$B$2:$B$3400,$D50,'Tổng hợp 75 trang đích'!$K$2:$K$3400,"CÓ THỂ ĐI")</f>
        <v>3</v>
      </c>
      <c r="I50" s="16">
        <f>COUNTIFS('Tổng hợp 75 trang đích'!$B$2:$B$3400,$D50,'Tổng hợp 75 trang đích'!$K$2:$K$3400,"CẦN SOÁT")</f>
        <v>25</v>
      </c>
      <c r="J50" s="19" t="s">
        <v>555</v>
      </c>
      <c r="K50" s="19" t="b">
        <v>0</v>
      </c>
      <c r="L50" s="20" t="s">
        <v>333</v>
      </c>
      <c r="M50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đích'!$B$2:$B$3400=$D50),3,TR"&amp;"UE),1,2)),"""")"),"đổi tiền đô ở đâu")</f>
        <v>đổi tiền đô ở đâu</v>
      </c>
      <c r="N50" s="21" t="str">
        <f>IFERROR(__xludf.DUMMYFUNCTION("""COMPUTED_VALUE"""),"https://techcombank.com/thong-tin/blog/dieu-kien-mua-usd-tu-ngan-hang")</f>
        <v>https://techcombank.com/thong-tin/blog/dieu-kien-mua-usd-tu-ngan-hang</v>
      </c>
      <c r="O50" s="17" t="str">
        <f>IFERROR(__xludf.DUMMYFUNCTION("""COMPUTED_VALUE"""),"đổi USD ở đâu")</f>
        <v>đổi USD ở đâu</v>
      </c>
      <c r="P50" s="21" t="str">
        <f>IFERROR(__xludf.DUMMYFUNCTION("""COMPUTED_VALUE"""),"https://techcombank.com/thong-tin/blog/han-muc-mua-ngoai-te-khi-di-du-lich")</f>
        <v>https://techcombank.com/thong-tin/blog/han-muc-mua-ngoai-te-khi-di-du-lich</v>
      </c>
      <c r="Q50" s="17" t="str">
        <f>IFERROR(__xludf.DUMMYFUNCTION("""COMPUTED_VALUE"""),"đổi tiền đô ở đâu")</f>
        <v>đổi tiền đô ở đâu</v>
      </c>
      <c r="R50" s="21" t="str">
        <f>IFERROR(__xludf.DUMMYFUNCTION("""COMPUTED_VALUE"""),"https://techcombank.com/thong-tin/blog/ty-gia-cac-ngan-hang")</f>
        <v>https://techcombank.com/thong-tin/blog/ty-gia-cac-ngan-hang</v>
      </c>
      <c r="S50" s="17" t="str">
        <f>IFERROR(__xludf.DUMMYFUNCTION("""COMPUTED_VALUE"""),"đổi USD ở đâu")</f>
        <v>đổi USD ở đâu</v>
      </c>
      <c r="T50" s="21" t="str">
        <f>IFERROR(__xludf.DUMMYFUNCTION("""COMPUTED_VALUE"""),"https://techcombank.com/thong-tin/blog/di-du-lich-nuoc-ngoai-can-chuan-bi-gi")</f>
        <v>https://techcombank.com/thong-tin/blog/di-du-lich-nuoc-ngoai-can-chuan-bi-gi</v>
      </c>
      <c r="U50" s="17" t="str">
        <f>IFERROR(__xludf.DUMMYFUNCTION("""COMPUTED_VALUE"""),"đổi tiền đô ở đâu")</f>
        <v>đổi tiền đô ở đâu</v>
      </c>
      <c r="V50" s="21" t="str">
        <f>IFERROR(__xludf.DUMMYFUNCTION("""COMPUTED_VALUE"""),"https://techcombank.com/thong-tin/blog/1-trieu-do-bang-bao-nhieu-tien-viet")</f>
        <v>https://techcombank.com/thong-tin/blog/1-trieu-do-bang-bao-nhieu-tien-viet</v>
      </c>
      <c r="W50" s="17" t="str">
        <f>IFERROR(__xludf.DUMMYFUNCTION("""COMPUTED_VALUE"""),"đổi USD ở đâu")</f>
        <v>đổi USD ở đâu</v>
      </c>
      <c r="X50" s="21" t="str">
        <f>IFERROR(__xludf.DUMMYFUNCTION("""COMPUTED_VALUE"""),"https://techcombank.com/thong-tin/blog/gui-tiet-kiem-ngoai-te")</f>
        <v>https://techcombank.com/thong-tin/blog/gui-tiet-kiem-ngoai-te</v>
      </c>
      <c r="Y50" s="17" t="str">
        <f>IFERROR(__xludf.DUMMYFUNCTION("""COMPUTED_VALUE"""),"đổi tiền đô ở đâu")</f>
        <v>đổi tiền đô ở đâu</v>
      </c>
      <c r="Z50" s="21" t="str">
        <f>IFERROR(__xludf.DUMMYFUNCTION("""COMPUTED_VALUE"""),"https://techcombank.com/thong-tin/blog/chuyen-tien-dinh-cu")</f>
        <v>https://techcombank.com/thong-tin/blog/chuyen-tien-dinh-cu</v>
      </c>
      <c r="AA50" s="17" t="str">
        <f>IFERROR(__xludf.DUMMYFUNCTION("""COMPUTED_VALUE"""),"đổi USD ở đâu")</f>
        <v>đổi USD ở đâu</v>
      </c>
      <c r="AB50" s="21" t="str">
        <f>IFERROR(__xludf.DUMMYFUNCTION("""COMPUTED_VALUE"""),"https://techcombank.com/thong-tin/blog/ngoai-te-la-gi")</f>
        <v>https://techcombank.com/thong-tin/blog/ngoai-te-la-gi</v>
      </c>
      <c r="AC50" s="17" t="str">
        <f>IFERROR(__xludf.DUMMYFUNCTION("""COMPUTED_VALUE"""),"đổi tiền đô ở đâu")</f>
        <v>đổi tiền đô ở đâu</v>
      </c>
      <c r="AD50" s="21" t="str">
        <f>IFERROR(__xludf.DUMMYFUNCTION("""COMPUTED_VALUE"""),"https://techcombank.com/thong-tin/blog/tai-khoan-ngan-hang-la-gi")</f>
        <v>https://techcombank.com/thong-tin/blog/tai-khoan-ngan-hang-la-gi</v>
      </c>
      <c r="AE50" s="17" t="str">
        <f>IFERROR(__xludf.DUMMYFUNCTION("""COMPUTED_VALUE"""),"đổi USD ở đâu")</f>
        <v>đổi USD ở đâu</v>
      </c>
      <c r="AF50" s="21" t="str">
        <f>IFERROR(__xludf.DUMMYFUNCTION("""COMPUTED_VALUE"""),"https://techcombank.com/thong-tin/blog/lai-suat-gui-tiet-kiem-usd")</f>
        <v>https://techcombank.com/thong-tin/blog/lai-suat-gui-tiet-kiem-usd</v>
      </c>
      <c r="AG50" s="17" t="str">
        <f>IFERROR(__xludf.DUMMYFUNCTION("""COMPUTED_VALUE"""),"đổi tiền đô ở đâu")</f>
        <v>đổi tiền đô ở đâu</v>
      </c>
      <c r="AH50" s="21" t="str">
        <f>IFERROR(__xludf.DUMMYFUNCTION("""COMPUTED_VALUE"""),"https://techcombank.com/thong-tin/blog/gui-tiet-kiem-usd")</f>
        <v>https://techcombank.com/thong-tin/blog/gui-tiet-kiem-usd</v>
      </c>
      <c r="AI50" s="17" t="str">
        <f>IFERROR(__xludf.DUMMYFUNCTION("""COMPUTED_VALUE"""),"đổi USD ở đâu")</f>
        <v>đổi USD ở đâu</v>
      </c>
      <c r="AJ50" s="21" t="str">
        <f>IFERROR(__xludf.DUMMYFUNCTION("""COMPUTED_VALUE"""),"https://techcombank.com/thong-tin/blog/gui-tien-sang-nuoc-ngoai")</f>
        <v>https://techcombank.com/thong-tin/blog/gui-tien-sang-nuoc-ngoai</v>
      </c>
      <c r="AK50" s="17" t="str">
        <f>IFERROR(__xludf.DUMMYFUNCTION("""COMPUTED_VALUE"""),"đổi tiền đô ở đâu")</f>
        <v>đổi tiền đô ở đâu</v>
      </c>
      <c r="AL50" s="21" t="str">
        <f>IFERROR(__xludf.DUMMYFUNCTION("""COMPUTED_VALUE"""),"https://techcombank.com/thong-tin/blog/quy-dinh-ve-mua-ban-ngoai-te-cua-doanh-nghiep")</f>
        <v>https://techcombank.com/thong-tin/blog/quy-dinh-ve-mua-ban-ngoai-te-cua-doanh-nghiep</v>
      </c>
      <c r="AM50" s="17" t="str">
        <f>IFERROR(__xludf.DUMMYFUNCTION("""COMPUTED_VALUE"""),"đổi USD ở đâu")</f>
        <v>đổi USD ở đâu</v>
      </c>
      <c r="AN50" s="21" t="str">
        <f>IFERROR(__xludf.DUMMYFUNCTION("""COMPUTED_VALUE"""),"https://techcombank.com/thong-tin/blog/gia-ca-phe-hom-nay")</f>
        <v>https://techcombank.com/thong-tin/blog/gia-ca-phe-hom-nay</v>
      </c>
      <c r="AO50" s="17" t="str">
        <f>IFERROR(__xludf.DUMMYFUNCTION("""COMPUTED_VALUE"""),"đổi tiền đô ở đâu")</f>
        <v>đổi tiền đô ở đâu</v>
      </c>
      <c r="AP50" s="21" t="str">
        <f>IFERROR(__xludf.DUMMYFUNCTION("""COMPUTED_VALUE"""),"https://techcombank.com/thong-tin/blog/chuyen-tien-tu-duc-ve-viet-nam")</f>
        <v>https://techcombank.com/thong-tin/blog/chuyen-tien-tu-duc-ve-viet-nam</v>
      </c>
      <c r="AQ50" s="17" t="str">
        <f>IFERROR(__xludf.DUMMYFUNCTION("""COMPUTED_VALUE"""),"đổi USD ở đâu")</f>
        <v>đổi USD ở đâu</v>
      </c>
      <c r="AR50" s="21" t="str">
        <f>IFERROR(__xludf.DUMMYFUNCTION("""COMPUTED_VALUE"""),"https://techcombank.com/thong-tin/blog/gui-tien-du-hoc")</f>
        <v>https://techcombank.com/thong-tin/blog/gui-tien-du-hoc</v>
      </c>
      <c r="AS50" s="17" t="str">
        <f>IFERROR(__xludf.DUMMYFUNCTION("""COMPUTED_VALUE"""),"đổi tiền đô ở đâu")</f>
        <v>đổi tiền đô ở đâu</v>
      </c>
      <c r="AT50" s="21" t="str">
        <f>IFERROR(__xludf.DUMMYFUNCTION("""COMPUTED_VALUE"""),"https://techcombank.com/thong-tin/blog/ngoai-hoi-la-gi")</f>
        <v>https://techcombank.com/thong-tin/blog/ngoai-hoi-la-gi</v>
      </c>
      <c r="AU50" s="17" t="str">
        <f>IFERROR(__xludf.DUMMYFUNCTION("""COMPUTED_VALUE"""),"đổi USD ở đâu")</f>
        <v>đổi USD ở đâu</v>
      </c>
      <c r="AV50" s="21" t="str">
        <f>IFERROR(__xludf.DUMMYFUNCTION("""COMPUTED_VALUE"""),"https://techcombank.com/thong-tin/blog/dinar-kuwait")</f>
        <v>https://techcombank.com/thong-tin/blog/dinar-kuwait</v>
      </c>
      <c r="AW50" s="17" t="str">
        <f>IFERROR(__xludf.DUMMYFUNCTION("""COMPUTED_VALUE"""),"đổi tiền đô ở đâu")</f>
        <v>đổi tiền đô ở đâu</v>
      </c>
      <c r="AX50" s="21" t="str">
        <f>IFERROR(__xludf.DUMMYFUNCTION("""COMPUTED_VALUE"""),"https://techcombank.com/thong-tin/blog/phi-chuyen-doi-ngoai-te")</f>
        <v>https://techcombank.com/thong-tin/blog/phi-chuyen-doi-ngoai-te</v>
      </c>
      <c r="AY50" s="17" t="str">
        <f>IFERROR(__xludf.DUMMYFUNCTION("""COMPUTED_VALUE"""),"đổi USD ở đâu")</f>
        <v>đổi USD ở đâu</v>
      </c>
      <c r="AZ50" s="21" t="str">
        <f>IFERROR(__xludf.DUMMYFUNCTION("""COMPUTED_VALUE"""),"https://techcombank.com/thong-tin/blog/chuyen-tien-tu-han-sang-viet-nam")</f>
        <v>https://techcombank.com/thong-tin/blog/chuyen-tien-tu-han-sang-viet-nam</v>
      </c>
      <c r="BA50" s="17" t="str">
        <f>IFERROR(__xludf.DUMMYFUNCTION("""COMPUTED_VALUE"""),"đổi tiền đô ở đâu")</f>
        <v>đổi tiền đô ở đâu</v>
      </c>
      <c r="BB50" s="21" t="str">
        <f>IFERROR(__xludf.DUMMYFUNCTION("""COMPUTED_VALUE"""),"https://techcombank.com/thong-tin/blog/chuyen-tien-tu-nhat-ve-viet-nam")</f>
        <v>https://techcombank.com/thong-tin/blog/chuyen-tien-tu-nhat-ve-viet-nam</v>
      </c>
      <c r="BC50" s="17" t="str">
        <f>IFERROR(__xludf.DUMMYFUNCTION("""COMPUTED_VALUE"""),"đổi USD ở đâu")</f>
        <v>đổi USD ở đâu</v>
      </c>
      <c r="BD50" s="21" t="str">
        <f>IFERROR(__xludf.DUMMYFUNCTION("""COMPUTED_VALUE"""),"https://techcombank.com/thong-tin/blog/tien-singapore")</f>
        <v>https://techcombank.com/thong-tin/blog/tien-singapore</v>
      </c>
      <c r="BE50" s="17" t="str">
        <f>IFERROR(__xludf.DUMMYFUNCTION("""COMPUTED_VALUE"""),"đổi tiền đô ở đâu")</f>
        <v>đổi tiền đô ở đâu</v>
      </c>
      <c r="BF50" s="21" t="str">
        <f>IFERROR(__xludf.DUMMYFUNCTION("""COMPUTED_VALUE"""),"https://techcombank.com/thong-tin/blog/tien-thai-lan")</f>
        <v>https://techcombank.com/thong-tin/blog/tien-thai-lan</v>
      </c>
      <c r="BG50" s="17" t="str">
        <f>IFERROR(__xludf.DUMMYFUNCTION("""COMPUTED_VALUE"""),"đổi USD ở đâu")</f>
        <v>đổi USD ở đâu</v>
      </c>
      <c r="BH50" s="21" t="str">
        <f>IFERROR(__xludf.DUMMYFUNCTION("""COMPUTED_VALUE"""),"https://techcombank.com/thong-tin/blog/tien-nhat")</f>
        <v>https://techcombank.com/thong-tin/blog/tien-nhat</v>
      </c>
      <c r="BI50" s="17" t="str">
        <f>IFERROR(__xludf.DUMMYFUNCTION("""COMPUTED_VALUE"""),"đổi tiền đô ở đâu")</f>
        <v>đổi tiền đô ở đâu</v>
      </c>
      <c r="BJ50" s="21" t="str">
        <f>IFERROR(__xludf.DUMMYFUNCTION("""COMPUTED_VALUE"""),"https://techcombank.com/thong-tin/blog/1-man-bang-bao-nhieu-tien-viet")</f>
        <v>https://techcombank.com/thong-tin/blog/1-man-bang-bao-nhieu-tien-viet</v>
      </c>
      <c r="BK50" s="17" t="str">
        <f>IFERROR(__xludf.DUMMYFUNCTION("""COMPUTED_VALUE"""),"đổi USD ở đâu")</f>
        <v>đổi USD ở đâu</v>
      </c>
      <c r="BL50" s="21" t="str">
        <f>IFERROR(__xludf.DUMMYFUNCTION("""COMPUTED_VALUE"""),"https://techcombank.com/thong-tin/blog/chuyen-tien-di-uc")</f>
        <v>https://techcombank.com/thong-tin/blog/chuyen-tien-di-uc</v>
      </c>
      <c r="BM50" s="17" t="str">
        <f>IFERROR(__xludf.DUMMYFUNCTION("""COMPUTED_VALUE"""),"đổi tiền đô ở đâu")</f>
        <v>đổi tiền đô ở đâu</v>
      </c>
      <c r="BN50" s="21" t="str">
        <f>IFERROR(__xludf.DUMMYFUNCTION("""COMPUTED_VALUE"""),"https://techcombank.com/thong-tin/blog/tien-lao")</f>
        <v>https://techcombank.com/thong-tin/blog/tien-lao</v>
      </c>
      <c r="BO50" s="17" t="str">
        <f>IFERROR(__xludf.DUMMYFUNCTION("""COMPUTED_VALUE"""),"đổi USD ở đâu")</f>
        <v>đổi USD ở đâu</v>
      </c>
      <c r="BP50" s="21" t="str">
        <f>IFERROR(__xludf.DUMMYFUNCTION("""COMPUTED_VALUE"""),"https://techcombank.com/thong-tin/blog/chuyen-tien-tu-my-ve-viet-nam")</f>
        <v>https://techcombank.com/thong-tin/blog/chuyen-tien-tu-my-ve-viet-nam</v>
      </c>
      <c r="BQ50" s="17" t="str">
        <f>IFERROR(__xludf.DUMMYFUNCTION("""COMPUTED_VALUE"""),"đổi tiền đô ở đâu")</f>
        <v>đổi tiền đô ở đâu</v>
      </c>
      <c r="BR50" s="21" t="str">
        <f>IFERROR(__xludf.DUMMYFUNCTION("""COMPUTED_VALUE"""),"https://techcombank.com/thong-tin/blog/1000-won-bang-bao-nhieu-tien-viet")</f>
        <v>https://techcombank.com/thong-tin/blog/1000-won-bang-bao-nhieu-tien-viet</v>
      </c>
      <c r="BS50" s="17" t="str">
        <f>IFERROR(__xludf.DUMMYFUNCTION("""COMPUTED_VALUE"""),"đổi USD ở đâu")</f>
        <v>đổi USD ở đâu</v>
      </c>
      <c r="BT50" s="21" t="str">
        <f>IFERROR(__xludf.DUMMYFUNCTION("""COMPUTED_VALUE"""),"https://techcombank.com/thong-tin/blog/tien-dai-loan")</f>
        <v>https://techcombank.com/thong-tin/blog/tien-dai-loan</v>
      </c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  <c r="EW50" s="17"/>
      <c r="EX50" s="17"/>
      <c r="EY50" s="17"/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  <c r="FL50" s="17"/>
      <c r="FM50" s="17"/>
      <c r="FN50" s="17"/>
      <c r="FO50" s="17"/>
      <c r="FP50" s="17"/>
      <c r="FQ50" s="17"/>
      <c r="FR50" s="17"/>
      <c r="FS50" s="17"/>
      <c r="FT50" s="17"/>
      <c r="FU50" s="17"/>
      <c r="FV50" s="17"/>
      <c r="FW50" s="17"/>
      <c r="FX50" s="17"/>
      <c r="FY50" s="17"/>
      <c r="FZ50" s="17"/>
      <c r="GA50" s="17"/>
      <c r="GB50" s="17"/>
      <c r="GC50" s="17"/>
      <c r="GD50" s="17"/>
      <c r="GE50" s="17"/>
      <c r="GF50" s="17"/>
      <c r="GG50" s="17"/>
      <c r="GH50" s="17"/>
      <c r="GI50" s="17"/>
      <c r="GJ50" s="17"/>
      <c r="GK50" s="17"/>
      <c r="GL50" s="17"/>
      <c r="GM50" s="17"/>
      <c r="GN50" s="17"/>
      <c r="GO50" s="17"/>
      <c r="GP50" s="17"/>
      <c r="GQ50" s="17"/>
      <c r="GR50" s="17"/>
      <c r="GS50" s="17"/>
      <c r="GT50" s="17"/>
      <c r="GU50" s="17"/>
      <c r="GV50" s="17"/>
      <c r="GW50" s="17"/>
      <c r="GX50" s="17"/>
      <c r="GY50" s="17"/>
      <c r="GZ50" s="17"/>
      <c r="HA50" s="17"/>
      <c r="HB50" s="17"/>
      <c r="HC50" s="17"/>
      <c r="HD50" s="17"/>
      <c r="HE50" s="17"/>
      <c r="HF50" s="17"/>
      <c r="HG50" s="17"/>
      <c r="HH50" s="17"/>
      <c r="HI50" s="17"/>
      <c r="HJ50" s="17"/>
      <c r="HK50" s="17"/>
      <c r="HL50" s="17"/>
      <c r="HM50" s="17"/>
      <c r="HN50" s="17"/>
      <c r="HO50" s="17"/>
      <c r="HP50" s="17"/>
      <c r="HQ50" s="17"/>
      <c r="HR50" s="17"/>
      <c r="HS50" s="17"/>
      <c r="HT50" s="17"/>
      <c r="HU50" s="17"/>
      <c r="HV50" s="17"/>
      <c r="HW50" s="17"/>
      <c r="HX50" s="17"/>
      <c r="HY50" s="17"/>
      <c r="HZ50" s="17"/>
      <c r="IA50" s="17"/>
      <c r="IB50" s="17"/>
      <c r="IC50" s="17"/>
      <c r="ID50" s="17"/>
      <c r="IE50" s="17"/>
      <c r="IF50" s="17"/>
      <c r="IG50" s="17"/>
      <c r="IH50" s="17"/>
      <c r="II50" s="17"/>
      <c r="IJ50" s="17"/>
      <c r="IK50" s="17"/>
      <c r="IL50" s="17"/>
      <c r="IM50" s="17"/>
      <c r="IN50" s="17"/>
      <c r="IO50" s="17"/>
      <c r="IP50" s="17"/>
      <c r="IQ50" s="17"/>
      <c r="IR50" s="17"/>
      <c r="IS50" s="17"/>
      <c r="IT50" s="17"/>
      <c r="IU50" s="17"/>
      <c r="IV50" s="17"/>
      <c r="IW50" s="17"/>
      <c r="IX50" s="17"/>
      <c r="IY50" s="17"/>
      <c r="IZ50" s="17"/>
      <c r="JA50" s="17"/>
      <c r="JB50" s="17"/>
      <c r="JC50" s="17"/>
      <c r="JD50" s="17"/>
      <c r="JE50" s="17"/>
      <c r="JF50" s="17"/>
      <c r="JG50" s="17"/>
      <c r="JH50" s="17"/>
      <c r="JI50" s="17"/>
      <c r="JJ50" s="17"/>
      <c r="JK50" s="17"/>
      <c r="JL50" s="17"/>
      <c r="JM50" s="17"/>
      <c r="JN50" s="17"/>
      <c r="JO50" s="17"/>
      <c r="JP50" s="17"/>
      <c r="JQ50" s="17"/>
      <c r="JR50" s="17"/>
      <c r="JS50" s="17"/>
      <c r="JT50" s="17"/>
      <c r="JU50" s="17"/>
      <c r="JV50" s="17"/>
      <c r="JW50" s="17"/>
      <c r="JX50" s="17"/>
      <c r="JY50" s="17"/>
      <c r="JZ50" s="17"/>
      <c r="KA50" s="17"/>
      <c r="KB50" s="17"/>
      <c r="KC50" s="17"/>
      <c r="KD50" s="17"/>
      <c r="KE50" s="17"/>
      <c r="KF50" s="17"/>
      <c r="KG50" s="17"/>
      <c r="KH50" s="17"/>
      <c r="KI50" s="17"/>
      <c r="KJ50" s="17"/>
      <c r="KK50" s="17"/>
      <c r="KL50" s="17"/>
      <c r="KM50" s="17"/>
      <c r="KN50" s="17"/>
      <c r="KO50" s="17"/>
      <c r="KP50" s="17"/>
      <c r="KQ50" s="17"/>
      <c r="KR50" s="17"/>
      <c r="KS50" s="17"/>
      <c r="KT50" s="17"/>
      <c r="KU50" s="17"/>
      <c r="KV50" s="17"/>
      <c r="KW50" s="17"/>
      <c r="KX50" s="17"/>
      <c r="KY50" s="17"/>
      <c r="KZ50" s="17"/>
      <c r="LA50" s="17"/>
      <c r="LB50" s="17"/>
      <c r="LC50" s="17"/>
      <c r="LD50" s="17"/>
      <c r="LE50" s="17"/>
      <c r="LF50" s="17"/>
      <c r="LG50" s="17"/>
      <c r="LH50" s="17"/>
      <c r="LI50" s="17"/>
      <c r="LJ50" s="17"/>
      <c r="LK50" s="17"/>
      <c r="LL50" s="17"/>
      <c r="LM50" s="17"/>
      <c r="LN50" s="17"/>
      <c r="LO50" s="17"/>
      <c r="LP50" s="17"/>
      <c r="LQ50" s="17"/>
      <c r="LR50" s="17"/>
      <c r="LS50" s="17"/>
      <c r="LT50" s="17"/>
      <c r="LU50" s="17"/>
      <c r="LV50" s="17"/>
      <c r="LW50" s="17"/>
      <c r="LX50" s="17"/>
      <c r="LY50" s="17"/>
      <c r="LZ50" s="17"/>
      <c r="MA50" s="17"/>
      <c r="MB50" s="17"/>
      <c r="MC50" s="17"/>
      <c r="MD50" s="17"/>
      <c r="ME50" s="17"/>
      <c r="MF50" s="17"/>
      <c r="MG50" s="17"/>
      <c r="MH50" s="17"/>
      <c r="MI50" s="17"/>
      <c r="MJ50" s="17"/>
      <c r="MK50" s="17"/>
      <c r="ML50" s="17"/>
      <c r="MM50" s="17"/>
      <c r="MN50" s="17"/>
      <c r="MO50" s="17"/>
      <c r="MP50" s="17"/>
      <c r="MQ50" s="17"/>
      <c r="MR50" s="17"/>
      <c r="MS50" s="17"/>
      <c r="MT50" s="17"/>
      <c r="MU50" s="17"/>
      <c r="MV50" s="17"/>
      <c r="MW50" s="17"/>
      <c r="MX50" s="17"/>
      <c r="MY50" s="17"/>
      <c r="MZ50" s="17"/>
      <c r="NA50" s="17"/>
      <c r="NB50" s="17"/>
      <c r="NC50" s="17"/>
      <c r="ND50" s="17"/>
      <c r="NE50" s="17"/>
      <c r="NF50" s="17"/>
      <c r="NG50" s="17"/>
      <c r="NH50" s="17"/>
      <c r="NI50" s="17"/>
      <c r="NJ50" s="17"/>
      <c r="NK50" s="17"/>
      <c r="NL50" s="17"/>
      <c r="NM50" s="17"/>
      <c r="NN50" s="17"/>
      <c r="NO50" s="17"/>
      <c r="NP50" s="17"/>
      <c r="NQ50" s="17"/>
      <c r="NR50" s="17"/>
      <c r="NS50" s="17"/>
      <c r="NT50" s="17"/>
      <c r="NU50" s="17"/>
      <c r="NV50" s="17"/>
      <c r="NW50" s="17"/>
      <c r="NX50" s="17"/>
      <c r="NY50" s="17"/>
      <c r="NZ50" s="17"/>
      <c r="OA50" s="17"/>
      <c r="OB50" s="17"/>
      <c r="OC50" s="17"/>
      <c r="OD50" s="17"/>
      <c r="OE50" s="17"/>
      <c r="OF50" s="17"/>
      <c r="OG50" s="17"/>
      <c r="OH50" s="17"/>
      <c r="OI50" s="17"/>
      <c r="OJ50" s="17"/>
      <c r="OK50" s="17"/>
      <c r="OL50" s="17"/>
      <c r="OM50" s="17"/>
      <c r="ON50" s="17"/>
      <c r="OO50" s="17"/>
      <c r="OP50" s="17"/>
      <c r="OQ50" s="17"/>
      <c r="OR50" s="17"/>
      <c r="OS50" s="17"/>
      <c r="OT50" s="17"/>
      <c r="OU50" s="17"/>
      <c r="OV50" s="17"/>
    </row>
    <row r="51" ht="18.0" customHeight="1">
      <c r="A51" s="16">
        <v>50.0</v>
      </c>
      <c r="B51" s="17" t="s">
        <v>1592</v>
      </c>
      <c r="C51" s="18" t="s">
        <v>1595</v>
      </c>
      <c r="D51" s="17" t="s">
        <v>579</v>
      </c>
      <c r="E51" s="16">
        <v>30.0</v>
      </c>
      <c r="F51" s="16">
        <f>COUNTIF('Tổng hợp 75 trang đích'!$B$2:$B$3400,$D51)</f>
        <v>30</v>
      </c>
      <c r="G51" s="16">
        <f>COUNTIFS('Tổng hợp 75 trang đích'!$B$2:$B$3400,$D51,'Tổng hợp 75 trang đích'!$K$2:$K$3400,"PHÙ HỢP CAO")</f>
        <v>4</v>
      </c>
      <c r="H51" s="16">
        <f>COUNTIFS('Tổng hợp 75 trang đích'!$B$2:$B$3400,$D51,'Tổng hợp 75 trang đích'!$K$2:$K$3400,"CÓ THỂ ĐI")</f>
        <v>1</v>
      </c>
      <c r="I51" s="16">
        <f>COUNTIFS('Tổng hợp 75 trang đích'!$B$2:$B$3400,$D51,'Tổng hợp 75 trang đích'!$K$2:$K$3400,"CẦN SOÁT")</f>
        <v>25</v>
      </c>
      <c r="J51" s="19" t="s">
        <v>555</v>
      </c>
      <c r="K51" s="19" t="b">
        <v>0</v>
      </c>
      <c r="L51" s="20" t="s">
        <v>333</v>
      </c>
      <c r="M51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đích'!$B$2:$B$3400=$D51),3,TR"&amp;"UE),1,2)),"""")"),"vay ngân hàng 1 tỷ mỗi tháng trả bao nhiêu")</f>
        <v>vay ngân hàng 1 tỷ mỗi tháng trả bao nhiêu</v>
      </c>
      <c r="N51" s="21" t="str">
        <f>IFERROR(__xludf.DUMMYFUNCTION("""COMPUTED_VALUE"""),"https://techcombank.com/thong-tin/blog/co-nen-vay-ngan-hang-mua-nha")</f>
        <v>https://techcombank.com/thong-tin/blog/co-nen-vay-ngan-hang-mua-nha</v>
      </c>
      <c r="O51" s="17" t="str">
        <f>IFERROR(__xludf.DUMMYFUNCTION("""COMPUTED_VALUE"""),"vay 1 tỷ mỗi tháng trả bao nhiêu")</f>
        <v>vay 1 tỷ mỗi tháng trả bao nhiêu</v>
      </c>
      <c r="P51" s="21" t="str">
        <f>IFERROR(__xludf.DUMMYFUNCTION("""COMPUTED_VALUE"""),"https://techcombank.com/thong-tin/blog/thu-tuc-vay-ngan-hang-mua-nha")</f>
        <v>https://techcombank.com/thong-tin/blog/thu-tuc-vay-ngan-hang-mua-nha</v>
      </c>
      <c r="Q51" s="17" t="str">
        <f>IFERROR(__xludf.DUMMYFUNCTION("""COMPUTED_VALUE"""),"vay 1 tỷ trong 20 năm mỗi tháng trả bao nhiêu")</f>
        <v>vay 1 tỷ trong 20 năm mỗi tháng trả bao nhiêu</v>
      </c>
      <c r="R51" s="21" t="str">
        <f>IFERROR(__xludf.DUMMYFUNCTION("""COMPUTED_VALUE"""),"https://techcombank.com/thong-tin/blog/kinh-nghiem-vay-tien-mua-nha")</f>
        <v>https://techcombank.com/thong-tin/blog/kinh-nghiem-vay-tien-mua-nha</v>
      </c>
      <c r="S51" s="17" t="str">
        <f>IFERROR(__xludf.DUMMYFUNCTION("""COMPUTED_VALUE"""),"vay ngân hàng 1 tỷ mỗi tháng trả bao nhiêu")</f>
        <v>vay ngân hàng 1 tỷ mỗi tháng trả bao nhiêu</v>
      </c>
      <c r="T51" s="21" t="str">
        <f>IFERROR(__xludf.DUMMYFUNCTION("""COMPUTED_VALUE"""),"https://techcombank.com/thong-tin/blog/vay-mua-chung-cu")</f>
        <v>https://techcombank.com/thong-tin/blog/vay-mua-chung-cu</v>
      </c>
      <c r="U51" s="17" t="str">
        <f>IFERROR(__xludf.DUMMYFUNCTION("""COMPUTED_VALUE"""),"vay 1 tỷ mỗi tháng trả bao nhiêu")</f>
        <v>vay 1 tỷ mỗi tháng trả bao nhiêu</v>
      </c>
      <c r="V51" s="21" t="str">
        <f>IFERROR(__xludf.DUMMYFUNCTION("""COMPUTED_VALUE"""),"https://techcombank.com/thong-tin/blog/lai-suat-vay-the-chap")</f>
        <v>https://techcombank.com/thong-tin/blog/lai-suat-vay-the-chap</v>
      </c>
      <c r="W51" s="17" t="str">
        <f>IFERROR(__xludf.DUMMYFUNCTION("""COMPUTED_VALUE"""),"vay 1 tỷ trong 20 năm mỗi tháng trả bao nhiêu")</f>
        <v>vay 1 tỷ trong 20 năm mỗi tháng trả bao nhiêu</v>
      </c>
      <c r="X51" s="21" t="str">
        <f>IFERROR(__xludf.DUMMYFUNCTION("""COMPUTED_VALUE"""),"https://techcombank.com/thong-tin/blog/thu-tuc-vay-von-kinh-doanh-nho")</f>
        <v>https://techcombank.com/thong-tin/blog/thu-tuc-vay-von-kinh-doanh-nho</v>
      </c>
      <c r="Y51" s="17" t="str">
        <f>IFERROR(__xludf.DUMMYFUNCTION("""COMPUTED_VALUE"""),"vay ngân hàng 1 tỷ mỗi tháng trả bao nhiêu")</f>
        <v>vay ngân hàng 1 tỷ mỗi tháng trả bao nhiêu</v>
      </c>
      <c r="Z51" s="21" t="str">
        <f>IFERROR(__xludf.DUMMYFUNCTION("""COMPUTED_VALUE"""),"https://techcombank.com/thong-tin/blog/cac-hinh-thuc-vay-von-ngan-hang")</f>
        <v>https://techcombank.com/thong-tin/blog/cac-hinh-thuc-vay-von-ngan-hang</v>
      </c>
      <c r="AA51" s="17" t="str">
        <f>IFERROR(__xludf.DUMMYFUNCTION("""COMPUTED_VALUE"""),"vay 1 tỷ mỗi tháng trả bao nhiêu")</f>
        <v>vay 1 tỷ mỗi tháng trả bao nhiêu</v>
      </c>
      <c r="AB51" s="21" t="str">
        <f>IFERROR(__xludf.DUMMYFUNCTION("""COMPUTED_VALUE"""),"https://techcombank.com/thong-tin/blog/vay-the-chap-kinh-doanh")</f>
        <v>https://techcombank.com/thong-tin/blog/vay-the-chap-kinh-doanh</v>
      </c>
      <c r="AC51" s="17" t="str">
        <f>IFERROR(__xludf.DUMMYFUNCTION("""COMPUTED_VALUE"""),"vay 1 tỷ trong 20 năm mỗi tháng trả bao nhiêu")</f>
        <v>vay 1 tỷ trong 20 năm mỗi tháng trả bao nhiêu</v>
      </c>
      <c r="AD51" s="21" t="str">
        <f>IFERROR(__xludf.DUMMYFUNCTION("""COMPUTED_VALUE"""),"https://techcombank.com/thong-tin/blog/co-nen-mua-o-to-tra-gop")</f>
        <v>https://techcombank.com/thong-tin/blog/co-nen-mua-o-to-tra-gop</v>
      </c>
      <c r="AE51" s="17" t="str">
        <f>IFERROR(__xludf.DUMMYFUNCTION("""COMPUTED_VALUE"""),"vay ngân hàng 1 tỷ mỗi tháng trả bao nhiêu")</f>
        <v>vay ngân hàng 1 tỷ mỗi tháng trả bao nhiêu</v>
      </c>
      <c r="AF51" s="21" t="str">
        <f>IFERROR(__xludf.DUMMYFUNCTION("""COMPUTED_VALUE"""),"https://techcombank.com/thong-tin/blog/vay-the-chap-khong-tra-duoc")</f>
        <v>https://techcombank.com/thong-tin/blog/vay-the-chap-khong-tra-duoc</v>
      </c>
      <c r="AG51" s="17" t="str">
        <f>IFERROR(__xludf.DUMMYFUNCTION("""COMPUTED_VALUE"""),"vay 1 tỷ mỗi tháng trả bao nhiêu")</f>
        <v>vay 1 tỷ mỗi tháng trả bao nhiêu</v>
      </c>
      <c r="AH51" s="21" t="str">
        <f>IFERROR(__xludf.DUMMYFUNCTION("""COMPUTED_VALUE"""),"https://techcombank.com/thong-tin/blog/vay-the-chap-so-bao-hiem-xa-hoi")</f>
        <v>https://techcombank.com/thong-tin/blog/vay-the-chap-so-bao-hiem-xa-hoi</v>
      </c>
      <c r="AI51" s="17" t="str">
        <f>IFERROR(__xludf.DUMMYFUNCTION("""COMPUTED_VALUE"""),"vay 1 tỷ trong 20 năm mỗi tháng trả bao nhiêu")</f>
        <v>vay 1 tỷ trong 20 năm mỗi tháng trả bao nhiêu</v>
      </c>
      <c r="AJ51" s="21" t="str">
        <f>IFERROR(__xludf.DUMMYFUNCTION("""COMPUTED_VALUE"""),"https://techcombank.com/thong-tin/blog/vay-300-trieu")</f>
        <v>https://techcombank.com/thong-tin/blog/vay-300-trieu</v>
      </c>
      <c r="AK51" s="17" t="str">
        <f>IFERROR(__xludf.DUMMYFUNCTION("""COMPUTED_VALUE"""),"vay ngân hàng 1 tỷ mỗi tháng trả bao nhiêu")</f>
        <v>vay ngân hàng 1 tỷ mỗi tháng trả bao nhiêu</v>
      </c>
      <c r="AL51" s="21" t="str">
        <f>IFERROR(__xludf.DUMMYFUNCTION("""COMPUTED_VALUE"""),"https://techcombank.com/thong-tin/blog/thanh-toan-phi-quan-ly-chung-cu")</f>
        <v>https://techcombank.com/thong-tin/blog/thanh-toan-phi-quan-ly-chung-cu</v>
      </c>
      <c r="AM51" s="17" t="str">
        <f>IFERROR(__xludf.DUMMYFUNCTION("""COMPUTED_VALUE"""),"vay 1 tỷ mỗi tháng trả bao nhiêu")</f>
        <v>vay 1 tỷ mỗi tháng trả bao nhiêu</v>
      </c>
      <c r="AN51" s="21" t="str">
        <f>IFERROR(__xludf.DUMMYFUNCTION("""COMPUTED_VALUE"""),"https://techcombank.com/thong-tin/blog/nen-vay-the-chap-ngan-hang-nao")</f>
        <v>https://techcombank.com/thong-tin/blog/nen-vay-the-chap-ngan-hang-nao</v>
      </c>
      <c r="AO51" s="17" t="str">
        <f>IFERROR(__xludf.DUMMYFUNCTION("""COMPUTED_VALUE"""),"vay 1 tỷ trong 20 năm mỗi tháng trả bao nhiêu")</f>
        <v>vay 1 tỷ trong 20 năm mỗi tháng trả bao nhiêu</v>
      </c>
      <c r="AP51" s="21" t="str">
        <f>IFERROR(__xludf.DUMMYFUNCTION("""COMPUTED_VALUE"""),"https://techcombank.com/thong-tin/blog/mua-truoc-tra-sau")</f>
        <v>https://techcombank.com/thong-tin/blog/mua-truoc-tra-sau</v>
      </c>
      <c r="AQ51" s="17" t="str">
        <f>IFERROR(__xludf.DUMMYFUNCTION("""COMPUTED_VALUE"""),"vay ngân hàng 1 tỷ mỗi tháng trả bao nhiêu")</f>
        <v>vay ngân hàng 1 tỷ mỗi tháng trả bao nhiêu</v>
      </c>
      <c r="AR51" s="21" t="str">
        <f>IFERROR(__xludf.DUMMYFUNCTION("""COMPUTED_VALUE"""),"https://techcombank.com/thong-tin/blog/vay-the-chap-la-gi")</f>
        <v>https://techcombank.com/thong-tin/blog/vay-the-chap-la-gi</v>
      </c>
      <c r="AS51" s="17" t="str">
        <f>IFERROR(__xludf.DUMMYFUNCTION("""COMPUTED_VALUE"""),"vay 1 tỷ mỗi tháng trả bao nhiêu")</f>
        <v>vay 1 tỷ mỗi tháng trả bao nhiêu</v>
      </c>
      <c r="AT51" s="21" t="str">
        <f>IFERROR(__xludf.DUMMYFUNCTION("""COMPUTED_VALUE"""),"https://techcombank.com/thong-tin/blog/the-visa-de-lam-gi")</f>
        <v>https://techcombank.com/thong-tin/blog/the-visa-de-lam-gi</v>
      </c>
      <c r="AU51" s="17" t="str">
        <f>IFERROR(__xludf.DUMMYFUNCTION("""COMPUTED_VALUE"""),"vay 1 tỷ trong 20 năm mỗi tháng trả bao nhiêu")</f>
        <v>vay 1 tỷ trong 20 năm mỗi tháng trả bao nhiêu</v>
      </c>
      <c r="AV51" s="21" t="str">
        <f>IFERROR(__xludf.DUMMYFUNCTION("""COMPUTED_VALUE"""),"https://techcombank.com/thong-tin/blog/rui-ro-khi-vay-the-chap-ngan-hang")</f>
        <v>https://techcombank.com/thong-tin/blog/rui-ro-khi-vay-the-chap-ngan-hang</v>
      </c>
      <c r="AW51" s="17" t="str">
        <f>IFERROR(__xludf.DUMMYFUNCTION("""COMPUTED_VALUE"""),"vay ngân hàng 1 tỷ mỗi tháng trả bao nhiêu")</f>
        <v>vay ngân hàng 1 tỷ mỗi tháng trả bao nhiêu</v>
      </c>
      <c r="AX51" s="21" t="str">
        <f>IFERROR(__xludf.DUMMYFUNCTION("""COMPUTED_VALUE"""),"https://techcombank.com/thong-tin/blog/vay-tin-chap-va-vay-the-chap")</f>
        <v>https://techcombank.com/thong-tin/blog/vay-tin-chap-va-vay-the-chap</v>
      </c>
      <c r="AY51" s="17" t="str">
        <f>IFERROR(__xludf.DUMMYFUNCTION("""COMPUTED_VALUE"""),"vay 1 tỷ mỗi tháng trả bao nhiêu")</f>
        <v>vay 1 tỷ mỗi tháng trả bao nhiêu</v>
      </c>
      <c r="AZ51" s="21" t="str">
        <f>IFERROR(__xludf.DUMMYFUNCTION("""COMPUTED_VALUE"""),"https://techcombank.com/thong-tin/blog/kinh-nghiem-vay-the-chap-ngan-hang")</f>
        <v>https://techcombank.com/thong-tin/blog/kinh-nghiem-vay-the-chap-ngan-hang</v>
      </c>
      <c r="BA51" s="17" t="str">
        <f>IFERROR(__xludf.DUMMYFUNCTION("""COMPUTED_VALUE"""),"vay 1 tỷ trong 20 năm mỗi tháng trả bao nhiêu")</f>
        <v>vay 1 tỷ trong 20 năm mỗi tháng trả bao nhiêu</v>
      </c>
      <c r="BB51" s="21" t="str">
        <f>IFERROR(__xludf.DUMMYFUNCTION("""COMPUTED_VALUE"""),"https://techcombank.com/thong-tin/blog/vay-mua-xe-tra-gop-ngan-hang-nao-tot-nhat")</f>
        <v>https://techcombank.com/thong-tin/blog/vay-mua-xe-tra-gop-ngan-hang-nao-tot-nhat</v>
      </c>
      <c r="BC51" s="17" t="str">
        <f>IFERROR(__xludf.DUMMYFUNCTION("""COMPUTED_VALUE"""),"vay ngân hàng 1 tỷ mỗi tháng trả bao nhiêu")</f>
        <v>vay ngân hàng 1 tỷ mỗi tháng trả bao nhiêu</v>
      </c>
      <c r="BD51" s="21" t="str">
        <f>IFERROR(__xludf.DUMMYFUNCTION("""COMPUTED_VALUE"""),"https://techcombank.com/thong-tin/blog/chuyen-gia-du-doan-gia-bat-dong-san-2025-va-cac-no-luc-tu-ngan-hang")</f>
        <v>https://techcombank.com/thong-tin/blog/chuyen-gia-du-doan-gia-bat-dong-san-2025-va-cac-no-luc-tu-ngan-hang</v>
      </c>
      <c r="BE51" s="17" t="str">
        <f>IFERROR(__xludf.DUMMYFUNCTION("""COMPUTED_VALUE"""),"vay 1 tỷ mỗi tháng trả bao nhiêu")</f>
        <v>vay 1 tỷ mỗi tháng trả bao nhiêu</v>
      </c>
      <c r="BF51" s="21" t="str">
        <f>IFERROR(__xludf.DUMMYFUNCTION("""COMPUTED_VALUE"""),"https://techcombank.com/thong-tin/blog/vay-mua-nha-tra-gop")</f>
        <v>https://techcombank.com/thong-tin/blog/vay-mua-nha-tra-gop</v>
      </c>
      <c r="BG51" s="17" t="str">
        <f>IFERROR(__xludf.DUMMYFUNCTION("""COMPUTED_VALUE"""),"vay 1 tỷ trong 20 năm mỗi tháng trả bao nhiêu")</f>
        <v>vay 1 tỷ trong 20 năm mỗi tháng trả bao nhiêu</v>
      </c>
      <c r="BH51" s="21" t="str">
        <f>IFERROR(__xludf.DUMMYFUNCTION("""COMPUTED_VALUE"""),"https://techcombank.com/thong-tin/blog/quy-trinh-tat-toan-khoan-vay-the-chap")</f>
        <v>https://techcombank.com/thong-tin/blog/quy-trinh-tat-toan-khoan-vay-the-chap</v>
      </c>
      <c r="BI51" s="17" t="str">
        <f>IFERROR(__xludf.DUMMYFUNCTION("""COMPUTED_VALUE"""),"vay ngân hàng 1 tỷ mỗi tháng trả bao nhiêu")</f>
        <v>vay ngân hàng 1 tỷ mỗi tháng trả bao nhiêu</v>
      </c>
      <c r="BJ51" s="21" t="str">
        <f>IFERROR(__xludf.DUMMYFUNCTION("""COMPUTED_VALUE"""),"https://techcombank.com/thong-tin/blog/vay-the-chap-xe-o-to-cu")</f>
        <v>https://techcombank.com/thong-tin/blog/vay-the-chap-xe-o-to-cu</v>
      </c>
      <c r="BK51" s="17" t="str">
        <f>IFERROR(__xludf.DUMMYFUNCTION("""COMPUTED_VALUE"""),"vay 1 tỷ mỗi tháng trả bao nhiêu")</f>
        <v>vay 1 tỷ mỗi tháng trả bao nhiêu</v>
      </c>
      <c r="BL51" s="21" t="str">
        <f>IFERROR(__xludf.DUMMYFUNCTION("""COMPUTED_VALUE"""),"https://techcombank.com/thong-tin/blog/vay-40-trieu")</f>
        <v>https://techcombank.com/thong-tin/blog/vay-40-trieu</v>
      </c>
      <c r="BM51" s="17" t="str">
        <f>IFERROR(__xludf.DUMMYFUNCTION("""COMPUTED_VALUE"""),"vay 1 tỷ trong 20 năm mỗi tháng trả bao nhiêu")</f>
        <v>vay 1 tỷ trong 20 năm mỗi tháng trả bao nhiêu</v>
      </c>
      <c r="BN51" s="21" t="str">
        <f>IFERROR(__xludf.DUMMYFUNCTION("""COMPUTED_VALUE"""),"https://techcombank.com/thong-tin/blog/vay-the-chap-qua-luong")</f>
        <v>https://techcombank.com/thong-tin/blog/vay-the-chap-qua-luong</v>
      </c>
      <c r="BO51" s="17" t="str">
        <f>IFERROR(__xludf.DUMMYFUNCTION("""COMPUTED_VALUE"""),"vay ngân hàng 1 tỷ mỗi tháng trả bao nhiêu")</f>
        <v>vay ngân hàng 1 tỷ mỗi tháng trả bao nhiêu</v>
      </c>
      <c r="BP51" s="21" t="str">
        <f>IFERROR(__xludf.DUMMYFUNCTION("""COMPUTED_VALUE"""),"https://techcombank.com/thong-tin/blog/thu-tuc-mua-xe-tra-gop")</f>
        <v>https://techcombank.com/thong-tin/blog/thu-tuc-mua-xe-tra-gop</v>
      </c>
      <c r="BQ51" s="17" t="str">
        <f>IFERROR(__xludf.DUMMYFUNCTION("""COMPUTED_VALUE"""),"vay 1 tỷ mỗi tháng trả bao nhiêu")</f>
        <v>vay 1 tỷ mỗi tháng trả bao nhiêu</v>
      </c>
      <c r="BR51" s="21" t="str">
        <f>IFERROR(__xludf.DUMMYFUNCTION("""COMPUTED_VALUE"""),"https://techcombank.com/thong-tin/blog/vay-100-trieu")</f>
        <v>https://techcombank.com/thong-tin/blog/vay-100-trieu</v>
      </c>
      <c r="BS51" s="17" t="str">
        <f>IFERROR(__xludf.DUMMYFUNCTION("""COMPUTED_VALUE"""),"vay 1 tỷ trong 20 năm mỗi tháng trả bao nhiêu")</f>
        <v>vay 1 tỷ trong 20 năm mỗi tháng trả bao nhiêu</v>
      </c>
      <c r="BT51" s="21" t="str">
        <f>IFERROR(__xludf.DUMMYFUNCTION("""COMPUTED_VALUE"""),"https://techcombank.com/thong-tin/blog/tra-gop-shopee")</f>
        <v>https://techcombank.com/thong-tin/blog/tra-gop-shopee</v>
      </c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  <c r="FN51" s="17"/>
      <c r="FO51" s="17"/>
      <c r="FP51" s="17"/>
      <c r="FQ51" s="17"/>
      <c r="FR51" s="17"/>
      <c r="FS51" s="17"/>
      <c r="FT51" s="17"/>
      <c r="FU51" s="17"/>
      <c r="FV51" s="17"/>
      <c r="FW51" s="17"/>
      <c r="FX51" s="17"/>
      <c r="FY51" s="17"/>
      <c r="FZ51" s="17"/>
      <c r="GA51" s="17"/>
      <c r="GB51" s="17"/>
      <c r="GC51" s="17"/>
      <c r="GD51" s="17"/>
      <c r="GE51" s="17"/>
      <c r="GF51" s="17"/>
      <c r="GG51" s="17"/>
      <c r="GH51" s="17"/>
      <c r="GI51" s="17"/>
      <c r="GJ51" s="17"/>
      <c r="GK51" s="17"/>
      <c r="GL51" s="17"/>
      <c r="GM51" s="17"/>
      <c r="GN51" s="17"/>
      <c r="GO51" s="17"/>
      <c r="GP51" s="17"/>
      <c r="GQ51" s="17"/>
      <c r="GR51" s="17"/>
      <c r="GS51" s="17"/>
      <c r="GT51" s="17"/>
      <c r="GU51" s="17"/>
      <c r="GV51" s="17"/>
      <c r="GW51" s="17"/>
      <c r="GX51" s="17"/>
      <c r="GY51" s="17"/>
      <c r="GZ51" s="17"/>
      <c r="HA51" s="17"/>
      <c r="HB51" s="17"/>
      <c r="HC51" s="17"/>
      <c r="HD51" s="17"/>
      <c r="HE51" s="17"/>
      <c r="HF51" s="17"/>
      <c r="HG51" s="17"/>
      <c r="HH51" s="17"/>
      <c r="HI51" s="17"/>
      <c r="HJ51" s="17"/>
      <c r="HK51" s="17"/>
      <c r="HL51" s="17"/>
      <c r="HM51" s="17"/>
      <c r="HN51" s="17"/>
      <c r="HO51" s="17"/>
      <c r="HP51" s="17"/>
      <c r="HQ51" s="17"/>
      <c r="HR51" s="17"/>
      <c r="HS51" s="17"/>
      <c r="HT51" s="17"/>
      <c r="HU51" s="17"/>
      <c r="HV51" s="17"/>
      <c r="HW51" s="17"/>
      <c r="HX51" s="17"/>
      <c r="HY51" s="17"/>
      <c r="HZ51" s="17"/>
      <c r="IA51" s="17"/>
      <c r="IB51" s="17"/>
      <c r="IC51" s="17"/>
      <c r="ID51" s="17"/>
      <c r="IE51" s="17"/>
      <c r="IF51" s="17"/>
      <c r="IG51" s="17"/>
      <c r="IH51" s="17"/>
      <c r="II51" s="17"/>
      <c r="IJ51" s="17"/>
      <c r="IK51" s="17"/>
      <c r="IL51" s="17"/>
      <c r="IM51" s="17"/>
      <c r="IN51" s="17"/>
      <c r="IO51" s="17"/>
      <c r="IP51" s="17"/>
      <c r="IQ51" s="17"/>
      <c r="IR51" s="17"/>
      <c r="IS51" s="17"/>
      <c r="IT51" s="17"/>
      <c r="IU51" s="17"/>
      <c r="IV51" s="17"/>
      <c r="IW51" s="17"/>
      <c r="IX51" s="17"/>
      <c r="IY51" s="17"/>
      <c r="IZ51" s="17"/>
      <c r="JA51" s="17"/>
      <c r="JB51" s="17"/>
      <c r="JC51" s="17"/>
      <c r="JD51" s="17"/>
      <c r="JE51" s="17"/>
      <c r="JF51" s="17"/>
      <c r="JG51" s="17"/>
      <c r="JH51" s="17"/>
      <c r="JI51" s="17"/>
      <c r="JJ51" s="17"/>
      <c r="JK51" s="17"/>
      <c r="JL51" s="17"/>
      <c r="JM51" s="17"/>
      <c r="JN51" s="17"/>
      <c r="JO51" s="17"/>
      <c r="JP51" s="17"/>
      <c r="JQ51" s="17"/>
      <c r="JR51" s="17"/>
      <c r="JS51" s="17"/>
      <c r="JT51" s="17"/>
      <c r="JU51" s="17"/>
      <c r="JV51" s="17"/>
      <c r="JW51" s="17"/>
      <c r="JX51" s="17"/>
      <c r="JY51" s="17"/>
      <c r="JZ51" s="17"/>
      <c r="KA51" s="17"/>
      <c r="KB51" s="17"/>
      <c r="KC51" s="17"/>
      <c r="KD51" s="17"/>
      <c r="KE51" s="17"/>
      <c r="KF51" s="17"/>
      <c r="KG51" s="17"/>
      <c r="KH51" s="17"/>
      <c r="KI51" s="17"/>
      <c r="KJ51" s="17"/>
      <c r="KK51" s="17"/>
      <c r="KL51" s="17"/>
      <c r="KM51" s="17"/>
      <c r="KN51" s="17"/>
      <c r="KO51" s="17"/>
      <c r="KP51" s="17"/>
      <c r="KQ51" s="17"/>
      <c r="KR51" s="17"/>
      <c r="KS51" s="17"/>
      <c r="KT51" s="17"/>
      <c r="KU51" s="17"/>
      <c r="KV51" s="17"/>
      <c r="KW51" s="17"/>
      <c r="KX51" s="17"/>
      <c r="KY51" s="17"/>
      <c r="KZ51" s="17"/>
      <c r="LA51" s="17"/>
      <c r="LB51" s="17"/>
      <c r="LC51" s="17"/>
      <c r="LD51" s="17"/>
      <c r="LE51" s="17"/>
      <c r="LF51" s="17"/>
      <c r="LG51" s="17"/>
      <c r="LH51" s="17"/>
      <c r="LI51" s="17"/>
      <c r="LJ51" s="17"/>
      <c r="LK51" s="17"/>
      <c r="LL51" s="17"/>
      <c r="LM51" s="17"/>
      <c r="LN51" s="17"/>
      <c r="LO51" s="17"/>
      <c r="LP51" s="17"/>
      <c r="LQ51" s="17"/>
      <c r="LR51" s="17"/>
      <c r="LS51" s="17"/>
      <c r="LT51" s="17"/>
      <c r="LU51" s="17"/>
      <c r="LV51" s="17"/>
      <c r="LW51" s="17"/>
      <c r="LX51" s="17"/>
      <c r="LY51" s="17"/>
      <c r="LZ51" s="17"/>
      <c r="MA51" s="17"/>
      <c r="MB51" s="17"/>
      <c r="MC51" s="17"/>
      <c r="MD51" s="17"/>
      <c r="ME51" s="17"/>
      <c r="MF51" s="17"/>
      <c r="MG51" s="17"/>
      <c r="MH51" s="17"/>
      <c r="MI51" s="17"/>
      <c r="MJ51" s="17"/>
      <c r="MK51" s="17"/>
      <c r="ML51" s="17"/>
      <c r="MM51" s="17"/>
      <c r="MN51" s="17"/>
      <c r="MO51" s="17"/>
      <c r="MP51" s="17"/>
      <c r="MQ51" s="17"/>
      <c r="MR51" s="17"/>
      <c r="MS51" s="17"/>
      <c r="MT51" s="17"/>
      <c r="MU51" s="17"/>
      <c r="MV51" s="17"/>
      <c r="MW51" s="17"/>
      <c r="MX51" s="17"/>
      <c r="MY51" s="17"/>
      <c r="MZ51" s="17"/>
      <c r="NA51" s="17"/>
      <c r="NB51" s="17"/>
      <c r="NC51" s="17"/>
      <c r="ND51" s="17"/>
      <c r="NE51" s="17"/>
      <c r="NF51" s="17"/>
      <c r="NG51" s="17"/>
      <c r="NH51" s="17"/>
      <c r="NI51" s="17"/>
      <c r="NJ51" s="17"/>
      <c r="NK51" s="17"/>
      <c r="NL51" s="17"/>
      <c r="NM51" s="17"/>
      <c r="NN51" s="17"/>
      <c r="NO51" s="17"/>
      <c r="NP51" s="17"/>
      <c r="NQ51" s="17"/>
      <c r="NR51" s="17"/>
      <c r="NS51" s="17"/>
      <c r="NT51" s="17"/>
      <c r="NU51" s="17"/>
      <c r="NV51" s="17"/>
      <c r="NW51" s="17"/>
      <c r="NX51" s="17"/>
      <c r="NY51" s="17"/>
      <c r="NZ51" s="17"/>
      <c r="OA51" s="17"/>
      <c r="OB51" s="17"/>
      <c r="OC51" s="17"/>
      <c r="OD51" s="17"/>
      <c r="OE51" s="17"/>
      <c r="OF51" s="17"/>
      <c r="OG51" s="17"/>
      <c r="OH51" s="17"/>
      <c r="OI51" s="17"/>
      <c r="OJ51" s="17"/>
      <c r="OK51" s="17"/>
      <c r="OL51" s="17"/>
      <c r="OM51" s="17"/>
      <c r="ON51" s="17"/>
      <c r="OO51" s="17"/>
      <c r="OP51" s="17"/>
      <c r="OQ51" s="17"/>
      <c r="OR51" s="17"/>
      <c r="OS51" s="17"/>
      <c r="OT51" s="17"/>
      <c r="OU51" s="17"/>
      <c r="OV51" s="17"/>
    </row>
    <row r="52" ht="18.0" customHeight="1">
      <c r="A52" s="16">
        <v>51.0</v>
      </c>
      <c r="B52" s="17" t="s">
        <v>1609</v>
      </c>
      <c r="C52" s="18" t="s">
        <v>1612</v>
      </c>
      <c r="D52" s="17" t="s">
        <v>582</v>
      </c>
      <c r="E52" s="16">
        <v>30.0</v>
      </c>
      <c r="F52" s="16">
        <f>COUNTIF('Tổng hợp 75 trang đích'!$B$2:$B$3400,$D52)</f>
        <v>30</v>
      </c>
      <c r="G52" s="16">
        <f>COUNTIFS('Tổng hợp 75 trang đích'!$B$2:$B$3400,$D52,'Tổng hợp 75 trang đích'!$K$2:$K$3400,"PHÙ HỢP CAO")</f>
        <v>3</v>
      </c>
      <c r="H52" s="16">
        <f>COUNTIFS('Tổng hợp 75 trang đích'!$B$2:$B$3400,$D52,'Tổng hợp 75 trang đích'!$K$2:$K$3400,"CÓ THỂ ĐI")</f>
        <v>2</v>
      </c>
      <c r="I52" s="16">
        <f>COUNTIFS('Tổng hợp 75 trang đích'!$B$2:$B$3400,$D52,'Tổng hợp 75 trang đích'!$K$2:$K$3400,"CẦN SOÁT")</f>
        <v>25</v>
      </c>
      <c r="J52" s="19" t="s">
        <v>555</v>
      </c>
      <c r="K52" s="19" t="b">
        <v>0</v>
      </c>
      <c r="L52" s="20" t="s">
        <v>333</v>
      </c>
      <c r="M52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đích'!$B$2:$B$3400=$D52),3,TR"&amp;"UE),1,2)),"""")"),"voucher Traveloka")</f>
        <v>voucher Traveloka</v>
      </c>
      <c r="N52" s="21" t="str">
        <f>IFERROR(__xludf.DUMMYFUNCTION("""COMPUTED_VALUE"""),"https://techcombank.com/thong-tin/blog/dat-ve-may-bay")</f>
        <v>https://techcombank.com/thong-tin/blog/dat-ve-may-bay</v>
      </c>
      <c r="O52" s="17" t="str">
        <f>IFERROR(__xludf.DUMMYFUNCTION("""COMPUTED_VALUE"""),"cách lấy voucher Traveloka")</f>
        <v>cách lấy voucher Traveloka</v>
      </c>
      <c r="P52" s="21" t="str">
        <f>IFERROR(__xludf.DUMMYFUNCTION("""COMPUTED_VALUE"""),"https://techcombank.com/thong-tin/blog/mua-ve-may-bay-gia-re")</f>
        <v>https://techcombank.com/thong-tin/blog/mua-ve-may-bay-gia-re</v>
      </c>
      <c r="Q52" s="17" t="str">
        <f>IFERROR(__xludf.DUMMYFUNCTION("""COMPUTED_VALUE"""),"voucher Traveloka")</f>
        <v>voucher Traveloka</v>
      </c>
      <c r="R52" s="21" t="str">
        <f>IFERROR(__xludf.DUMMYFUNCTION("""COMPUTED_VALUE"""),"https://techcombank.com/thong-tin/blog/techcombank-oneu")</f>
        <v>https://techcombank.com/thong-tin/blog/techcombank-oneu</v>
      </c>
      <c r="S52" s="17" t="str">
        <f>IFERROR(__xludf.DUMMYFUNCTION("""COMPUTED_VALUE"""),"cách lấy voucher Traveloka")</f>
        <v>cách lấy voucher Traveloka</v>
      </c>
      <c r="T52" s="21" t="str">
        <f>IFERROR(__xludf.DUMMYFUNCTION("""COMPUTED_VALUE"""),"https://techcombank.com/thong-tin/blog/tich-diem-doi-qua")</f>
        <v>https://techcombank.com/thong-tin/blog/tich-diem-doi-qua</v>
      </c>
      <c r="U52" s="17" t="str">
        <f>IFERROR(__xludf.DUMMYFUNCTION("""COMPUTED_VALUE"""),"voucher Traveloka")</f>
        <v>voucher Traveloka</v>
      </c>
      <c r="V52" s="21" t="str">
        <f>IFERROR(__xludf.DUMMYFUNCTION("""COMPUTED_VALUE"""),"https://techcombank.com/thong-tin/blog/tiet-kiem-khi-di-du-lich")</f>
        <v>https://techcombank.com/thong-tin/blog/tiet-kiem-khi-di-du-lich</v>
      </c>
      <c r="W52" s="17" t="str">
        <f>IFERROR(__xludf.DUMMYFUNCTION("""COMPUTED_VALUE"""),"cách lấy voucher Traveloka")</f>
        <v>cách lấy voucher Traveloka</v>
      </c>
      <c r="X52" s="21" t="str">
        <f>IFERROR(__xludf.DUMMYFUNCTION("""COMPUTED_VALUE"""),"https://techcombank.com/thong-tin/blog/giam-gia-be")</f>
        <v>https://techcombank.com/thong-tin/blog/giam-gia-be</v>
      </c>
      <c r="Y52" s="17" t="str">
        <f>IFERROR(__xludf.DUMMYFUNCTION("""COMPUTED_VALUE"""),"voucher Traveloka")</f>
        <v>voucher Traveloka</v>
      </c>
      <c r="Z52" s="21" t="str">
        <f>IFERROR(__xludf.DUMMYFUNCTION("""COMPUTED_VALUE"""),"https://techcombank.com/thong-tin/blog/4p-pizza")</f>
        <v>https://techcombank.com/thong-tin/blog/4p-pizza</v>
      </c>
      <c r="AA52" s="17" t="str">
        <f>IFERROR(__xludf.DUMMYFUNCTION("""COMPUTED_VALUE"""),"cách lấy voucher Traveloka")</f>
        <v>cách lấy voucher Traveloka</v>
      </c>
      <c r="AB52" s="21" t="str">
        <f>IFERROR(__xludf.DUMMYFUNCTION("""COMPUTED_VALUE"""),"https://techcombank.com/thong-tin/blog/doi-dam-bay")</f>
        <v>https://techcombank.com/thong-tin/blog/doi-dam-bay</v>
      </c>
      <c r="AC52" s="17" t="str">
        <f>IFERROR(__xludf.DUMMYFUNCTION("""COMPUTED_VALUE"""),"voucher Traveloka")</f>
        <v>voucher Traveloka</v>
      </c>
      <c r="AD52" s="21" t="str">
        <f>IFERROR(__xludf.DUMMYFUNCTION("""COMPUTED_VALUE"""),"https://techcombank.com/thong-tin/blog/voucher-the-coffee-house")</f>
        <v>https://techcombank.com/thong-tin/blog/voucher-the-coffee-house</v>
      </c>
      <c r="AE52" s="17" t="str">
        <f>IFERROR(__xludf.DUMMYFUNCTION("""COMPUTED_VALUE"""),"cách lấy voucher Traveloka")</f>
        <v>cách lấy voucher Traveloka</v>
      </c>
      <c r="AF52" s="21" t="str">
        <f>IFERROR(__xludf.DUMMYFUNCTION("""COMPUTED_VALUE"""),"https://techcombank.com/thong-tin/blog/yakimono")</f>
        <v>https://techcombank.com/thong-tin/blog/yakimono</v>
      </c>
      <c r="AG52" s="17" t="str">
        <f>IFERROR(__xludf.DUMMYFUNCTION("""COMPUTED_VALUE"""),"voucher Traveloka")</f>
        <v>voucher Traveloka</v>
      </c>
      <c r="AH52" s="21" t="str">
        <f>IFERROR(__xludf.DUMMYFUNCTION("""COMPUTED_VALUE"""),"https://techcombank.com/thong-tin/blog/chixmax")</f>
        <v>https://techcombank.com/thong-tin/blog/chixmax</v>
      </c>
      <c r="AI52" s="17" t="str">
        <f>IFERROR(__xludf.DUMMYFUNCTION("""COMPUTED_VALUE"""),"cách lấy voucher Traveloka")</f>
        <v>cách lấy voucher Traveloka</v>
      </c>
      <c r="AJ52" s="21" t="str">
        <f>IFERROR(__xludf.DUMMYFUNCTION("""COMPUTED_VALUE"""),"https://techcombank.com/thong-tin/blog/kichi-kichi")</f>
        <v>https://techcombank.com/thong-tin/blog/kichi-kichi</v>
      </c>
      <c r="AK52" s="17" t="str">
        <f>IFERROR(__xludf.DUMMYFUNCTION("""COMPUTED_VALUE"""),"voucher Traveloka")</f>
        <v>voucher Traveloka</v>
      </c>
      <c r="AL52" s="21" t="str">
        <f>IFERROR(__xludf.DUMMYFUNCTION("""COMPUTED_VALUE"""),"https://techcombank.com/thong-tin/blog/ma-giam-gia-shopee")</f>
        <v>https://techcombank.com/thong-tin/blog/ma-giam-gia-shopee</v>
      </c>
      <c r="AM52" s="17" t="str">
        <f>IFERROR(__xludf.DUMMYFUNCTION("""COMPUTED_VALUE"""),"cách lấy voucher Traveloka")</f>
        <v>cách lấy voucher Traveloka</v>
      </c>
      <c r="AN52" s="21" t="str">
        <f>IFERROR(__xludf.DUMMYFUNCTION("""COMPUTED_VALUE"""),"https://techcombank.com/thong-tin/blog/voucher-starbucks")</f>
        <v>https://techcombank.com/thong-tin/blog/voucher-starbucks</v>
      </c>
      <c r="AO52" s="17" t="str">
        <f>IFERROR(__xludf.DUMMYFUNCTION("""COMPUTED_VALUE"""),"voucher Traveloka")</f>
        <v>voucher Traveloka</v>
      </c>
      <c r="AP52" s="21" t="str">
        <f>IFERROR(__xludf.DUMMYFUNCTION("""COMPUTED_VALUE"""),"https://techcombank.com/thong-tin/blog/voucher-cgv")</f>
        <v>https://techcombank.com/thong-tin/blog/voucher-cgv</v>
      </c>
      <c r="AQ52" s="17" t="str">
        <f>IFERROR(__xludf.DUMMYFUNCTION("""COMPUTED_VALUE"""),"cách lấy voucher Traveloka")</f>
        <v>cách lấy voucher Traveloka</v>
      </c>
      <c r="AR52" s="21" t="str">
        <f>IFERROR(__xludf.DUMMYFUNCTION("""COMPUTED_VALUE"""),"https://techcombank.com/thong-tin/blog/cua-hang-tien-loi")</f>
        <v>https://techcombank.com/thong-tin/blog/cua-hang-tien-loi</v>
      </c>
      <c r="AS52" s="17" t="str">
        <f>IFERROR(__xludf.DUMMYFUNCTION("""COMPUTED_VALUE"""),"voucher Traveloka")</f>
        <v>voucher Traveloka</v>
      </c>
      <c r="AT52" s="21" t="str">
        <f>IFERROR(__xludf.DUMMYFUNCTION("""COMPUTED_VALUE"""),"https://techcombank.com/thong-tin/blog/voucher-highland")</f>
        <v>https://techcombank.com/thong-tin/blog/voucher-highland</v>
      </c>
      <c r="AU52" s="17" t="str">
        <f>IFERROR(__xludf.DUMMYFUNCTION("""COMPUTED_VALUE"""),"cách lấy voucher Traveloka")</f>
        <v>cách lấy voucher Traveloka</v>
      </c>
      <c r="AV52" s="21" t="str">
        <f>IFERROR(__xludf.DUMMYFUNCTION("""COMPUTED_VALUE"""),"https://techcombank.com/thong-tin/blog/ma-giam-xanh-sm")</f>
        <v>https://techcombank.com/thong-tin/blog/ma-giam-xanh-sm</v>
      </c>
      <c r="AW52" s="17" t="str">
        <f>IFERROR(__xludf.DUMMYFUNCTION("""COMPUTED_VALUE"""),"voucher Traveloka")</f>
        <v>voucher Traveloka</v>
      </c>
      <c r="AX52" s="21" t="str">
        <f>IFERROR(__xludf.DUMMYFUNCTION("""COMPUTED_VALUE"""),"https://techcombank.com/thong-tin/blog/voucher-kfc")</f>
        <v>https://techcombank.com/thong-tin/blog/voucher-kfc</v>
      </c>
      <c r="AY52" s="17" t="str">
        <f>IFERROR(__xludf.DUMMYFUNCTION("""COMPUTED_VALUE"""),"cách lấy voucher Traveloka")</f>
        <v>cách lấy voucher Traveloka</v>
      </c>
      <c r="AZ52" s="21" t="str">
        <f>IFERROR(__xludf.DUMMYFUNCTION("""COMPUTED_VALUE"""),"https://techcombank.com/thong-tin/blog/mr-eco")</f>
        <v>https://techcombank.com/thong-tin/blog/mr-eco</v>
      </c>
      <c r="BA52" s="17" t="str">
        <f>IFERROR(__xludf.DUMMYFUNCTION("""COMPUTED_VALUE"""),"voucher Traveloka")</f>
        <v>voucher Traveloka</v>
      </c>
      <c r="BB52" s="21" t="str">
        <f>IFERROR(__xludf.DUMMYFUNCTION("""COMPUTED_VALUE"""),"https://techcombank.com/thong-tin/blog/voucher-phuc-long")</f>
        <v>https://techcombank.com/thong-tin/blog/voucher-phuc-long</v>
      </c>
      <c r="BC52" s="17" t="str">
        <f>IFERROR(__xludf.DUMMYFUNCTION("""COMPUTED_VALUE"""),"cách lấy voucher Traveloka")</f>
        <v>cách lấy voucher Traveloka</v>
      </c>
      <c r="BD52" s="21" t="str">
        <f>IFERROR(__xludf.DUMMYFUNCTION("""COMPUTED_VALUE"""),"https://techcombank.com/thong-tin/blog/voucher-grab")</f>
        <v>https://techcombank.com/thong-tin/blog/voucher-grab</v>
      </c>
      <c r="BE52" s="17" t="str">
        <f>IFERROR(__xludf.DUMMYFUNCTION("""COMPUTED_VALUE"""),"voucher Traveloka")</f>
        <v>voucher Traveloka</v>
      </c>
      <c r="BF52" s="21" t="str">
        <f>IFERROR(__xludf.DUMMYFUNCTION("""COMPUTED_VALUE"""),"https://techcombank.com/thong-tin/blog/dat-xe-xanh-sm")</f>
        <v>https://techcombank.com/thong-tin/blog/dat-xe-xanh-sm</v>
      </c>
      <c r="BG52" s="17" t="str">
        <f>IFERROR(__xludf.DUMMYFUNCTION("""COMPUTED_VALUE"""),"cách lấy voucher Traveloka")</f>
        <v>cách lấy voucher Traveloka</v>
      </c>
      <c r="BH52" s="21" t="str">
        <f>IFERROR(__xludf.DUMMYFUNCTION("""COMPUTED_VALUE"""),"https://techcombank.com/thong-tin/blog/shang-chi")</f>
        <v>https://techcombank.com/thong-tin/blog/shang-chi</v>
      </c>
      <c r="BI52" s="17" t="str">
        <f>IFERROR(__xludf.DUMMYFUNCTION("""COMPUTED_VALUE"""),"voucher Traveloka")</f>
        <v>voucher Traveloka</v>
      </c>
      <c r="BJ52" s="21" t="str">
        <f>IFERROR(__xludf.DUMMYFUNCTION("""COMPUTED_VALUE"""),"https://techcombank.com/thong-tin/blog/tous-les-jours")</f>
        <v>https://techcombank.com/thong-tin/blog/tous-les-jours</v>
      </c>
      <c r="BK52" s="17" t="str">
        <f>IFERROR(__xludf.DUMMYFUNCTION("""COMPUTED_VALUE"""),"cách lấy voucher Traveloka")</f>
        <v>cách lấy voucher Traveloka</v>
      </c>
      <c r="BL52" s="21" t="str">
        <f>IFERROR(__xludf.DUMMYFUNCTION("""COMPUTED_VALUE"""),"https://techcombank.com/thong-tin/blog/woomaster")</f>
        <v>https://techcombank.com/thong-tin/blog/woomaster</v>
      </c>
      <c r="BM52" s="17" t="str">
        <f>IFERROR(__xludf.DUMMYFUNCTION("""COMPUTED_VALUE"""),"voucher Traveloka")</f>
        <v>voucher Traveloka</v>
      </c>
      <c r="BN52" s="21" t="str">
        <f>IFERROR(__xludf.DUMMYFUNCTION("""COMPUTED_VALUE"""),"https://techcombank.com/thong-tin/blog/voucher-xanh-sm")</f>
        <v>https://techcombank.com/thong-tin/blog/voucher-xanh-sm</v>
      </c>
      <c r="BO52" s="17" t="str">
        <f>IFERROR(__xludf.DUMMYFUNCTION("""COMPUTED_VALUE"""),"cách lấy voucher Traveloka")</f>
        <v>cách lấy voucher Traveloka</v>
      </c>
      <c r="BP52" s="21" t="str">
        <f>IFERROR(__xludf.DUMMYFUNCTION("""COMPUTED_VALUE"""),"https://techcombank.com/thong-tin/blog/diem-loyalty-la-gi")</f>
        <v>https://techcombank.com/thong-tin/blog/diem-loyalty-la-gi</v>
      </c>
      <c r="BQ52" s="17" t="str">
        <f>IFERROR(__xludf.DUMMYFUNCTION("""COMPUTED_VALUE"""),"voucher Traveloka")</f>
        <v>voucher Traveloka</v>
      </c>
      <c r="BR52" s="21" t="str">
        <f>IFERROR(__xludf.DUMMYFUNCTION("""COMPUTED_VALUE"""),"https://techcombank.com/thong-tin/blog/thanh-toan-ve-may-bay-online")</f>
        <v>https://techcombank.com/thong-tin/blog/thanh-toan-ve-may-bay-online</v>
      </c>
      <c r="BS52" s="17" t="str">
        <f>IFERROR(__xludf.DUMMYFUNCTION("""COMPUTED_VALUE"""),"cách lấy voucher Traveloka")</f>
        <v>cách lấy voucher Traveloka</v>
      </c>
      <c r="BT52" s="21" t="str">
        <f>IFERROR(__xludf.DUMMYFUNCTION("""COMPUTED_VALUE"""),"https://techcombank.com/thong-tin/blog/uu-dai-mua-ve-may-bay-bang-the-tin-dung")</f>
        <v>https://techcombank.com/thong-tin/blog/uu-dai-mua-ve-may-bay-bang-the-tin-dung</v>
      </c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  <c r="FN52" s="17"/>
      <c r="FO52" s="17"/>
      <c r="FP52" s="17"/>
      <c r="FQ52" s="17"/>
      <c r="FR52" s="17"/>
      <c r="FS52" s="17"/>
      <c r="FT52" s="17"/>
      <c r="FU52" s="17"/>
      <c r="FV52" s="17"/>
      <c r="FW52" s="17"/>
      <c r="FX52" s="17"/>
      <c r="FY52" s="17"/>
      <c r="FZ52" s="17"/>
      <c r="GA52" s="17"/>
      <c r="GB52" s="17"/>
      <c r="GC52" s="17"/>
      <c r="GD52" s="17"/>
      <c r="GE52" s="17"/>
      <c r="GF52" s="17"/>
      <c r="GG52" s="17"/>
      <c r="GH52" s="17"/>
      <c r="GI52" s="17"/>
      <c r="GJ52" s="17"/>
      <c r="GK52" s="17"/>
      <c r="GL52" s="17"/>
      <c r="GM52" s="17"/>
      <c r="GN52" s="17"/>
      <c r="GO52" s="17"/>
      <c r="GP52" s="17"/>
      <c r="GQ52" s="17"/>
      <c r="GR52" s="17"/>
      <c r="GS52" s="17"/>
      <c r="GT52" s="17"/>
      <c r="GU52" s="17"/>
      <c r="GV52" s="17"/>
      <c r="GW52" s="17"/>
      <c r="GX52" s="17"/>
      <c r="GY52" s="17"/>
      <c r="GZ52" s="17"/>
      <c r="HA52" s="17"/>
      <c r="HB52" s="17"/>
      <c r="HC52" s="17"/>
      <c r="HD52" s="17"/>
      <c r="HE52" s="17"/>
      <c r="HF52" s="17"/>
      <c r="HG52" s="17"/>
      <c r="HH52" s="17"/>
      <c r="HI52" s="17"/>
      <c r="HJ52" s="17"/>
      <c r="HK52" s="17"/>
      <c r="HL52" s="17"/>
      <c r="HM52" s="17"/>
      <c r="HN52" s="17"/>
      <c r="HO52" s="17"/>
      <c r="HP52" s="17"/>
      <c r="HQ52" s="17"/>
      <c r="HR52" s="17"/>
      <c r="HS52" s="17"/>
      <c r="HT52" s="17"/>
      <c r="HU52" s="17"/>
      <c r="HV52" s="17"/>
      <c r="HW52" s="17"/>
      <c r="HX52" s="17"/>
      <c r="HY52" s="17"/>
      <c r="HZ52" s="17"/>
      <c r="IA52" s="17"/>
      <c r="IB52" s="17"/>
      <c r="IC52" s="17"/>
      <c r="ID52" s="17"/>
      <c r="IE52" s="17"/>
      <c r="IF52" s="17"/>
      <c r="IG52" s="17"/>
      <c r="IH52" s="17"/>
      <c r="II52" s="17"/>
      <c r="IJ52" s="17"/>
      <c r="IK52" s="17"/>
      <c r="IL52" s="17"/>
      <c r="IM52" s="17"/>
      <c r="IN52" s="17"/>
      <c r="IO52" s="17"/>
      <c r="IP52" s="17"/>
      <c r="IQ52" s="17"/>
      <c r="IR52" s="17"/>
      <c r="IS52" s="17"/>
      <c r="IT52" s="17"/>
      <c r="IU52" s="17"/>
      <c r="IV52" s="17"/>
      <c r="IW52" s="17"/>
      <c r="IX52" s="17"/>
      <c r="IY52" s="17"/>
      <c r="IZ52" s="17"/>
      <c r="JA52" s="17"/>
      <c r="JB52" s="17"/>
      <c r="JC52" s="17"/>
      <c r="JD52" s="17"/>
      <c r="JE52" s="17"/>
      <c r="JF52" s="17"/>
      <c r="JG52" s="17"/>
      <c r="JH52" s="17"/>
      <c r="JI52" s="17"/>
      <c r="JJ52" s="17"/>
      <c r="JK52" s="17"/>
      <c r="JL52" s="17"/>
      <c r="JM52" s="17"/>
      <c r="JN52" s="17"/>
      <c r="JO52" s="17"/>
      <c r="JP52" s="17"/>
      <c r="JQ52" s="17"/>
      <c r="JR52" s="17"/>
      <c r="JS52" s="17"/>
      <c r="JT52" s="17"/>
      <c r="JU52" s="17"/>
      <c r="JV52" s="17"/>
      <c r="JW52" s="17"/>
      <c r="JX52" s="17"/>
      <c r="JY52" s="17"/>
      <c r="JZ52" s="17"/>
      <c r="KA52" s="17"/>
      <c r="KB52" s="17"/>
      <c r="KC52" s="17"/>
      <c r="KD52" s="17"/>
      <c r="KE52" s="17"/>
      <c r="KF52" s="17"/>
      <c r="KG52" s="17"/>
      <c r="KH52" s="17"/>
      <c r="KI52" s="17"/>
      <c r="KJ52" s="17"/>
      <c r="KK52" s="17"/>
      <c r="KL52" s="17"/>
      <c r="KM52" s="17"/>
      <c r="KN52" s="17"/>
      <c r="KO52" s="17"/>
      <c r="KP52" s="17"/>
      <c r="KQ52" s="17"/>
      <c r="KR52" s="17"/>
      <c r="KS52" s="17"/>
      <c r="KT52" s="17"/>
      <c r="KU52" s="17"/>
      <c r="KV52" s="17"/>
      <c r="KW52" s="17"/>
      <c r="KX52" s="17"/>
      <c r="KY52" s="17"/>
      <c r="KZ52" s="17"/>
      <c r="LA52" s="17"/>
      <c r="LB52" s="17"/>
      <c r="LC52" s="17"/>
      <c r="LD52" s="17"/>
      <c r="LE52" s="17"/>
      <c r="LF52" s="17"/>
      <c r="LG52" s="17"/>
      <c r="LH52" s="17"/>
      <c r="LI52" s="17"/>
      <c r="LJ52" s="17"/>
      <c r="LK52" s="17"/>
      <c r="LL52" s="17"/>
      <c r="LM52" s="17"/>
      <c r="LN52" s="17"/>
      <c r="LO52" s="17"/>
      <c r="LP52" s="17"/>
      <c r="LQ52" s="17"/>
      <c r="LR52" s="17"/>
      <c r="LS52" s="17"/>
      <c r="LT52" s="17"/>
      <c r="LU52" s="17"/>
      <c r="LV52" s="17"/>
      <c r="LW52" s="17"/>
      <c r="LX52" s="17"/>
      <c r="LY52" s="17"/>
      <c r="LZ52" s="17"/>
      <c r="MA52" s="17"/>
      <c r="MB52" s="17"/>
      <c r="MC52" s="17"/>
      <c r="MD52" s="17"/>
      <c r="ME52" s="17"/>
      <c r="MF52" s="17"/>
      <c r="MG52" s="17"/>
      <c r="MH52" s="17"/>
      <c r="MI52" s="17"/>
      <c r="MJ52" s="17"/>
      <c r="MK52" s="17"/>
      <c r="ML52" s="17"/>
      <c r="MM52" s="17"/>
      <c r="MN52" s="17"/>
      <c r="MO52" s="17"/>
      <c r="MP52" s="17"/>
      <c r="MQ52" s="17"/>
      <c r="MR52" s="17"/>
      <c r="MS52" s="17"/>
      <c r="MT52" s="17"/>
      <c r="MU52" s="17"/>
      <c r="MV52" s="17"/>
      <c r="MW52" s="17"/>
      <c r="MX52" s="17"/>
      <c r="MY52" s="17"/>
      <c r="MZ52" s="17"/>
      <c r="NA52" s="17"/>
      <c r="NB52" s="17"/>
      <c r="NC52" s="17"/>
      <c r="ND52" s="17"/>
      <c r="NE52" s="17"/>
      <c r="NF52" s="17"/>
      <c r="NG52" s="17"/>
      <c r="NH52" s="17"/>
      <c r="NI52" s="17"/>
      <c r="NJ52" s="17"/>
      <c r="NK52" s="17"/>
      <c r="NL52" s="17"/>
      <c r="NM52" s="17"/>
      <c r="NN52" s="17"/>
      <c r="NO52" s="17"/>
      <c r="NP52" s="17"/>
      <c r="NQ52" s="17"/>
      <c r="NR52" s="17"/>
      <c r="NS52" s="17"/>
      <c r="NT52" s="17"/>
      <c r="NU52" s="17"/>
      <c r="NV52" s="17"/>
      <c r="NW52" s="17"/>
      <c r="NX52" s="17"/>
      <c r="NY52" s="17"/>
      <c r="NZ52" s="17"/>
      <c r="OA52" s="17"/>
      <c r="OB52" s="17"/>
      <c r="OC52" s="17"/>
      <c r="OD52" s="17"/>
      <c r="OE52" s="17"/>
      <c r="OF52" s="17"/>
      <c r="OG52" s="17"/>
      <c r="OH52" s="17"/>
      <c r="OI52" s="17"/>
      <c r="OJ52" s="17"/>
      <c r="OK52" s="17"/>
      <c r="OL52" s="17"/>
      <c r="OM52" s="17"/>
      <c r="ON52" s="17"/>
      <c r="OO52" s="17"/>
      <c r="OP52" s="17"/>
      <c r="OQ52" s="17"/>
      <c r="OR52" s="17"/>
      <c r="OS52" s="17"/>
      <c r="OT52" s="17"/>
      <c r="OU52" s="17"/>
      <c r="OV52" s="17"/>
    </row>
    <row r="53" ht="18.0" customHeight="1">
      <c r="A53" s="16">
        <v>52.0</v>
      </c>
      <c r="B53" s="17" t="s">
        <v>1624</v>
      </c>
      <c r="C53" s="18" t="s">
        <v>841</v>
      </c>
      <c r="D53" s="17" t="s">
        <v>584</v>
      </c>
      <c r="E53" s="16">
        <v>50.0</v>
      </c>
      <c r="F53" s="16">
        <f>COUNTIF('Tổng hợp 75 trang đích'!$B$2:$B$3400,$D53)</f>
        <v>50</v>
      </c>
      <c r="G53" s="16">
        <f>COUNTIFS('Tổng hợp 75 trang đích'!$B$2:$B$3400,$D53,'Tổng hợp 75 trang đích'!$K$2:$K$3400,"PHÙ HỢP CAO")</f>
        <v>4</v>
      </c>
      <c r="H53" s="16">
        <f>COUNTIFS('Tổng hợp 75 trang đích'!$B$2:$B$3400,$D53,'Tổng hợp 75 trang đích'!$K$2:$K$3400,"CÓ THỂ ĐI")</f>
        <v>1</v>
      </c>
      <c r="I53" s="16">
        <f>COUNTIFS('Tổng hợp 75 trang đích'!$B$2:$B$3400,$D53,'Tổng hợp 75 trang đích'!$K$2:$K$3400,"CẦN SOÁT")</f>
        <v>45</v>
      </c>
      <c r="J53" s="19" t="s">
        <v>555</v>
      </c>
      <c r="K53" s="19" t="b">
        <v>0</v>
      </c>
      <c r="L53" s="20" t="s">
        <v>333</v>
      </c>
      <c r="M53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đích'!$B$2:$B$3400=$D53),3,TR"&amp;"UE),1,2)),"""")"),"thuế hộ kinh doanh")</f>
        <v>thuế hộ kinh doanh</v>
      </c>
      <c r="N53" s="21" t="str">
        <f>IFERROR(__xludf.DUMMYFUNCTION("""COMPUTED_VALUE"""),"https://techcombank.com/thong-tin/blog/ho-kinh-doanh-la-gi")</f>
        <v>https://techcombank.com/thong-tin/blog/ho-kinh-doanh-la-gi</v>
      </c>
      <c r="O53" s="17" t="str">
        <f>IFERROR(__xludf.DUMMYFUNCTION("""COMPUTED_VALUE"""),"hộ kinh doanh đóng thuế như thế nào")</f>
        <v>hộ kinh doanh đóng thuế như thế nào</v>
      </c>
      <c r="P53" s="21" t="str">
        <f>IFERROR(__xludf.DUMMYFUNCTION("""COMPUTED_VALUE"""),"https://techcombank.com/thong-tin/blog/thue-khoan-ho-kinh-doanh-la-gi")</f>
        <v>https://techcombank.com/thong-tin/blog/thue-khoan-ho-kinh-doanh-la-gi</v>
      </c>
      <c r="Q53" s="17" t="str">
        <f>IFERROR(__xludf.DUMMYFUNCTION("""COMPUTED_VALUE"""),"thuế hộ kinh doanh")</f>
        <v>thuế hộ kinh doanh</v>
      </c>
      <c r="R53" s="21" t="str">
        <f>IFERROR(__xludf.DUMMYFUNCTION("""COMPUTED_VALUE"""),"https://techcombank.com/thong-tin/blog/nhung-ho-kinh-doanh-duoc-mien-thue")</f>
        <v>https://techcombank.com/thong-tin/blog/nhung-ho-kinh-doanh-duoc-mien-thue</v>
      </c>
      <c r="S53" s="17" t="str">
        <f>IFERROR(__xludf.DUMMYFUNCTION("""COMPUTED_VALUE"""),"hộ kinh doanh đóng thuế như thế nào")</f>
        <v>hộ kinh doanh đóng thuế như thế nào</v>
      </c>
      <c r="T53" s="21" t="str">
        <f>IFERROR(__xludf.DUMMYFUNCTION("""COMPUTED_VALUE"""),"https://techcombank.com/thong-tin/blog/truy-thu-thue-ho-kinh-doanh")</f>
        <v>https://techcombank.com/thong-tin/blog/truy-thu-thue-ho-kinh-doanh</v>
      </c>
      <c r="U53" s="17" t="str">
        <f>IFERROR(__xludf.DUMMYFUNCTION("""COMPUTED_VALUE"""),"thuế hộ kinh doanh")</f>
        <v>thuế hộ kinh doanh</v>
      </c>
      <c r="V53" s="21" t="str">
        <f>IFERROR(__xludf.DUMMYFUNCTION("""COMPUTED_VALUE"""),"https://techcombank.com/thong-tin/blog/thue-ho-kinh-doanh-2025")</f>
        <v>https://techcombank.com/thong-tin/blog/thue-ho-kinh-doanh-2025</v>
      </c>
      <c r="W53" s="17" t="str">
        <f>IFERROR(__xludf.DUMMYFUNCTION("""COMPUTED_VALUE"""),"hộ kinh doanh đóng thuế như thế nào")</f>
        <v>hộ kinh doanh đóng thuế như thế nào</v>
      </c>
      <c r="X53" s="21" t="str">
        <f>IFERROR(__xludf.DUMMYFUNCTION("""COMPUTED_VALUE"""),"https://techcombank.com/thong-tin/blog/hoan-thue-doanh-nghiep")</f>
        <v>https://techcombank.com/thong-tin/blog/hoan-thue-doanh-nghiep</v>
      </c>
      <c r="Y53" s="17" t="str">
        <f>IFERROR(__xludf.DUMMYFUNCTION("""COMPUTED_VALUE"""),"thuế hộ kinh doanh")</f>
        <v>thuế hộ kinh doanh</v>
      </c>
      <c r="Z53" s="21" t="str">
        <f>IFERROR(__xludf.DUMMYFUNCTION("""COMPUTED_VALUE"""),"https://techcombank.com/thong-tin/blog/thanh-lap-ho-kinh-doanh-ca-the")</f>
        <v>https://techcombank.com/thong-tin/blog/thanh-lap-ho-kinh-doanh-ca-the</v>
      </c>
      <c r="AA53" s="17" t="str">
        <f>IFERROR(__xludf.DUMMYFUNCTION("""COMPUTED_VALUE"""),"hộ kinh doanh đóng thuế như thế nào")</f>
        <v>hộ kinh doanh đóng thuế như thế nào</v>
      </c>
      <c r="AB53" s="21" t="str">
        <f>IFERROR(__xludf.DUMMYFUNCTION("""COMPUTED_VALUE"""),"https://techcombank.com/thong-tin/blog/thue-doanh-nghiep-2025")</f>
        <v>https://techcombank.com/thong-tin/blog/thue-doanh-nghiep-2025</v>
      </c>
      <c r="AC53" s="17" t="str">
        <f>IFERROR(__xludf.DUMMYFUNCTION("""COMPUTED_VALUE"""),"thuế hộ kinh doanh")</f>
        <v>thuế hộ kinh doanh</v>
      </c>
      <c r="AD53" s="21" t="str">
        <f>IFERROR(__xludf.DUMMYFUNCTION("""COMPUTED_VALUE"""),"https://techcombank.com/thong-tin/blog/cach-tao-ma-qr")</f>
        <v>https://techcombank.com/thong-tin/blog/cach-tao-ma-qr</v>
      </c>
      <c r="AE53" s="17" t="str">
        <f>IFERROR(__xludf.DUMMYFUNCTION("""COMPUTED_VALUE"""),"hộ kinh doanh đóng thuế như thế nào")</f>
        <v>hộ kinh doanh đóng thuế như thế nào</v>
      </c>
      <c r="AF53" s="21" t="str">
        <f>IFERROR(__xludf.DUMMYFUNCTION("""COMPUTED_VALUE"""),"https://techcombank.com/thong-tin/blog/cach-tinh-thue-ho-kinh-doanh-nho-le")</f>
        <v>https://techcombank.com/thong-tin/blog/cach-tinh-thue-ho-kinh-doanh-nho-le</v>
      </c>
      <c r="AG53" s="17" t="str">
        <f>IFERROR(__xludf.DUMMYFUNCTION("""COMPUTED_VALUE"""),"thuế hộ kinh doanh")</f>
        <v>thuế hộ kinh doanh</v>
      </c>
      <c r="AH53" s="21" t="str">
        <f>IFERROR(__xludf.DUMMYFUNCTION("""COMPUTED_VALUE"""),"https://techcombank.com/thong-tin/blog/loi-ich-khi-ho-kinh-doanh-chuyen-len-doanh-nghiep")</f>
        <v>https://techcombank.com/thong-tin/blog/loi-ich-khi-ho-kinh-doanh-chuyen-len-doanh-nghiep</v>
      </c>
      <c r="AI53" s="17" t="str">
        <f>IFERROR(__xludf.DUMMYFUNCTION("""COMPUTED_VALUE"""),"hộ kinh doanh đóng thuế như thế nào")</f>
        <v>hộ kinh doanh đóng thuế như thế nào</v>
      </c>
      <c r="AJ53" s="21" t="str">
        <f>IFERROR(__xludf.DUMMYFUNCTION("""COMPUTED_VALUE"""),"https://techcombank.com/thong-tin/blog/tiem-nang-chuyen-doi-tu-ho-kinh-doanh-len-doanh-nghiep-sme")</f>
        <v>https://techcombank.com/thong-tin/blog/tiem-nang-chuyen-doi-tu-ho-kinh-doanh-len-doanh-nghiep-sme</v>
      </c>
      <c r="AK53" s="17" t="str">
        <f>IFERROR(__xludf.DUMMYFUNCTION("""COMPUTED_VALUE"""),"thuế hộ kinh doanh")</f>
        <v>thuế hộ kinh doanh</v>
      </c>
      <c r="AL53" s="21" t="str">
        <f>IFERROR(__xludf.DUMMYFUNCTION("""COMPUTED_VALUE"""),"https://techcombank.com/thong-tin/blog/quyet-toan-thue-thu-nhap-ca-nhan")</f>
        <v>https://techcombank.com/thong-tin/blog/quyet-toan-thue-thu-nhap-ca-nhan</v>
      </c>
      <c r="AM53" s="17" t="str">
        <f>IFERROR(__xludf.DUMMYFUNCTION("""COMPUTED_VALUE"""),"hộ kinh doanh đóng thuế như thế nào")</f>
        <v>hộ kinh doanh đóng thuế như thế nào</v>
      </c>
      <c r="AN53" s="21" t="str">
        <f>IFERROR(__xludf.DUMMYFUNCTION("""COMPUTED_VALUE"""),"https://techcombank.com/thong-tin/blog/cach-tinh-thue-thu-nhap-doanh-nghiep")</f>
        <v>https://techcombank.com/thong-tin/blog/cach-tinh-thue-thu-nhap-doanh-nghiep</v>
      </c>
      <c r="AO53" s="17" t="str">
        <f>IFERROR(__xludf.DUMMYFUNCTION("""COMPUTED_VALUE"""),"thuế hộ kinh doanh")</f>
        <v>thuế hộ kinh doanh</v>
      </c>
      <c r="AP53" s="21" t="str">
        <f>IFERROR(__xludf.DUMMYFUNCTION("""COMPUTED_VALUE"""),"https://techcombank.com/thong-tin/blog/lai-suat-vay-kinh-doanh")</f>
        <v>https://techcombank.com/thong-tin/blog/lai-suat-vay-kinh-doanh</v>
      </c>
      <c r="AQ53" s="17" t="str">
        <f>IFERROR(__xludf.DUMMYFUNCTION("""COMPUTED_VALUE"""),"hộ kinh doanh đóng thuế như thế nào")</f>
        <v>hộ kinh doanh đóng thuế như thế nào</v>
      </c>
      <c r="AR53" s="21" t="str">
        <f>IFERROR(__xludf.DUMMYFUNCTION("""COMPUTED_VALUE"""),"https://techcombank.com/thong-tin/blog/khoi-nghiep-truoc-chinh-sach-thue-moi")</f>
        <v>https://techcombank.com/thong-tin/blog/khoi-nghiep-truoc-chinh-sach-thue-moi</v>
      </c>
      <c r="AS53" s="17" t="str">
        <f>IFERROR(__xludf.DUMMYFUNCTION("""COMPUTED_VALUE"""),"thuế hộ kinh doanh")</f>
        <v>thuế hộ kinh doanh</v>
      </c>
      <c r="AT53" s="21" t="str">
        <f>IFERROR(__xludf.DUMMYFUNCTION("""COMPUTED_VALUE"""),"https://techcombank.com/thong-tin/blog/cach-tra-cuu-hoa-don-dien-tu")</f>
        <v>https://techcombank.com/thong-tin/blog/cach-tra-cuu-hoa-don-dien-tu</v>
      </c>
      <c r="AU53" s="17" t="str">
        <f>IFERROR(__xludf.DUMMYFUNCTION("""COMPUTED_VALUE"""),"hộ kinh doanh đóng thuế như thế nào")</f>
        <v>hộ kinh doanh đóng thuế như thế nào</v>
      </c>
      <c r="AV53" s="21" t="str">
        <f>IFERROR(__xludf.DUMMYFUNCTION("""COMPUTED_VALUE"""),"https://techcombank.com/thong-tin/blog/tra-cuu-no-thue-hai-quan")</f>
        <v>https://techcombank.com/thong-tin/blog/tra-cuu-no-thue-hai-quan</v>
      </c>
      <c r="AW53" s="17" t="str">
        <f>IFERROR(__xludf.DUMMYFUNCTION("""COMPUTED_VALUE"""),"thuế hộ kinh doanh")</f>
        <v>thuế hộ kinh doanh</v>
      </c>
      <c r="AX53" s="21" t="str">
        <f>IFERROR(__xludf.DUMMYFUNCTION("""COMPUTED_VALUE"""),"https://techcombank.com/thong-tin/blog/chuyen-doi-ho-kinh-doanh-len-doanh-nghiep")</f>
        <v>https://techcombank.com/thong-tin/blog/chuyen-doi-ho-kinh-doanh-len-doanh-nghiep</v>
      </c>
      <c r="AY53" s="17" t="str">
        <f>IFERROR(__xludf.DUMMYFUNCTION("""COMPUTED_VALUE"""),"hộ kinh doanh đóng thuế như thế nào")</f>
        <v>hộ kinh doanh đóng thuế như thế nào</v>
      </c>
      <c r="AZ53" s="21" t="str">
        <f>IFERROR(__xludf.DUMMYFUNCTION("""COMPUTED_VALUE"""),"https://techcombank.com/thong-tin/blog/thanh-toan-khong-dung-tien-mat")</f>
        <v>https://techcombank.com/thong-tin/blog/thanh-toan-khong-dung-tien-mat</v>
      </c>
      <c r="BA53" s="17" t="str">
        <f>IFERROR(__xludf.DUMMYFUNCTION("""COMPUTED_VALUE"""),"thuế hộ kinh doanh")</f>
        <v>thuế hộ kinh doanh</v>
      </c>
      <c r="BB53" s="21" t="str">
        <f>IFERROR(__xludf.DUMMYFUNCTION("""COMPUTED_VALUE"""),"https://techcombank.com/thong-tin/blog/mo-tai-khoan-ho-kinh-doanh")</f>
        <v>https://techcombank.com/thong-tin/blog/mo-tai-khoan-ho-kinh-doanh</v>
      </c>
      <c r="BC53" s="17" t="str">
        <f>IFERROR(__xludf.DUMMYFUNCTION("""COMPUTED_VALUE"""),"hộ kinh doanh đóng thuế như thế nào")</f>
        <v>hộ kinh doanh đóng thuế như thế nào</v>
      </c>
      <c r="BD53" s="21" t="str">
        <f>IFERROR(__xludf.DUMMYFUNCTION("""COMPUTED_VALUE"""),"https://techcombank.com/thong-tin/blog/nhung-chi-phi-khong-duoc-tru-khi-tinh-thue-tndn")</f>
        <v>https://techcombank.com/thong-tin/blog/nhung-chi-phi-khong-duoc-tru-khi-tinh-thue-tndn</v>
      </c>
      <c r="BE53" s="17" t="str">
        <f>IFERROR(__xludf.DUMMYFUNCTION("""COMPUTED_VALUE"""),"thuế hộ kinh doanh")</f>
        <v>thuế hộ kinh doanh</v>
      </c>
      <c r="BF53" s="21" t="str">
        <f>IFERROR(__xludf.DUMMYFUNCTION("""COMPUTED_VALUE"""),"https://techcombank.com/thong-tin/blog/giai-dap-ve-thue-doanh-nghiep")</f>
        <v>https://techcombank.com/thong-tin/blog/giai-dap-ve-thue-doanh-nghiep</v>
      </c>
      <c r="BG53" s="17" t="str">
        <f>IFERROR(__xludf.DUMMYFUNCTION("""COMPUTED_VALUE"""),"hộ kinh doanh đóng thuế như thế nào")</f>
        <v>hộ kinh doanh đóng thuế như thế nào</v>
      </c>
      <c r="BH53" s="21" t="str">
        <f>IFERROR(__xludf.DUMMYFUNCTION("""COMPUTED_VALUE"""),"https://techcombank.com/thong-tin/blog/nen-thanh-lap-ho-kinh-doanh-ke-khai-hay-doanh-nghiep")</f>
        <v>https://techcombank.com/thong-tin/blog/nen-thanh-lap-ho-kinh-doanh-ke-khai-hay-doanh-nghiep</v>
      </c>
      <c r="BI53" s="17" t="str">
        <f>IFERROR(__xludf.DUMMYFUNCTION("""COMPUTED_VALUE"""),"thuế hộ kinh doanh")</f>
        <v>thuế hộ kinh doanh</v>
      </c>
      <c r="BJ53" s="21" t="str">
        <f>IFERROR(__xludf.DUMMYFUNCTION("""COMPUTED_VALUE"""),"https://techcombank.com/thong-tin/blog/due-diligence")</f>
        <v>https://techcombank.com/thong-tin/blog/due-diligence</v>
      </c>
      <c r="BK53" s="17" t="str">
        <f>IFERROR(__xludf.DUMMYFUNCTION("""COMPUTED_VALUE"""),"hộ kinh doanh đóng thuế như thế nào")</f>
        <v>hộ kinh doanh đóng thuế như thế nào</v>
      </c>
      <c r="BL53" s="21" t="str">
        <f>IFERROR(__xludf.DUMMYFUNCTION("""COMPUTED_VALUE"""),"https://techcombank.com/thong-tin/blog/vay-tin-chap-ho-kinh-doanh")</f>
        <v>https://techcombank.com/thong-tin/blog/vay-tin-chap-ho-kinh-doanh</v>
      </c>
      <c r="BM53" s="17" t="str">
        <f>IFERROR(__xludf.DUMMYFUNCTION("""COMPUTED_VALUE"""),"thuế hộ kinh doanh")</f>
        <v>thuế hộ kinh doanh</v>
      </c>
      <c r="BN53" s="21" t="str">
        <f>IFERROR(__xludf.DUMMYFUNCTION("""COMPUTED_VALUE"""),"https://techcombank.com/thong-tin/blog/tra-cuu-no-thue-ho-kinh-doanh")</f>
        <v>https://techcombank.com/thong-tin/blog/tra-cuu-no-thue-ho-kinh-doanh</v>
      </c>
      <c r="BO53" s="17" t="str">
        <f>IFERROR(__xludf.DUMMYFUNCTION("""COMPUTED_VALUE"""),"hộ kinh doanh đóng thuế như thế nào")</f>
        <v>hộ kinh doanh đóng thuế như thế nào</v>
      </c>
      <c r="BP53" s="21" t="str">
        <f>IFERROR(__xludf.DUMMYFUNCTION("""COMPUTED_VALUE"""),"https://techcombank.com/thong-tin/blog/lien-ket-tai-khoan-ngan-hang-voi-etax-mobile")</f>
        <v>https://techcombank.com/thong-tin/blog/lien-ket-tai-khoan-ngan-hang-voi-etax-mobile</v>
      </c>
      <c r="BQ53" s="17" t="str">
        <f>IFERROR(__xludf.DUMMYFUNCTION("""COMPUTED_VALUE"""),"thuế hộ kinh doanh")</f>
        <v>thuế hộ kinh doanh</v>
      </c>
      <c r="BR53" s="21" t="str">
        <f>IFERROR(__xludf.DUMMYFUNCTION("""COMPUTED_VALUE"""),"https://techcombank.com/thong-tin/blog/thu-tuc-vay-von-kinh-doanh-nho")</f>
        <v>https://techcombank.com/thong-tin/blog/thu-tuc-vay-von-kinh-doanh-nho</v>
      </c>
      <c r="BS53" s="17" t="str">
        <f>IFERROR(__xludf.DUMMYFUNCTION("""COMPUTED_VALUE"""),"hộ kinh doanh đóng thuế như thế nào")</f>
        <v>hộ kinh doanh đóng thuế như thế nào</v>
      </c>
      <c r="BT53" s="21" t="str">
        <f>IFERROR(__xludf.DUMMYFUNCTION("""COMPUTED_VALUE"""),"https://techcombank.com/thong-tin/blog/kiem-tra-thue-ho-kinh-doanh")</f>
        <v>https://techcombank.com/thong-tin/blog/kiem-tra-thue-ho-kinh-doanh</v>
      </c>
      <c r="BU53" s="17" t="str">
        <f>IFERROR(__xludf.DUMMYFUNCTION("""COMPUTED_VALUE"""),"thuế hộ kinh doanh")</f>
        <v>thuế hộ kinh doanh</v>
      </c>
      <c r="BV53" s="21" t="str">
        <f>IFERROR(__xludf.DUMMYFUNCTION("""COMPUTED_VALUE"""),"https://techcombank.com/thong-tin/blog/cac-sai-lam-pho-bien-khi-chuyen-doi-ho-kinh-doanh-len-sme")</f>
        <v>https://techcombank.com/thong-tin/blog/cac-sai-lam-pho-bien-khi-chuyen-doi-ho-kinh-doanh-len-sme</v>
      </c>
      <c r="BW53" s="17" t="str">
        <f>IFERROR(__xludf.DUMMYFUNCTION("""COMPUTED_VALUE"""),"hộ kinh doanh đóng thuế như thế nào")</f>
        <v>hộ kinh doanh đóng thuế như thế nào</v>
      </c>
      <c r="BX53" s="21" t="str">
        <f>IFERROR(__xludf.DUMMYFUNCTION("""COMPUTED_VALUE"""),"https://techcombank.com/thong-tin/blog/giay-phep-kinh-doanh")</f>
        <v>https://techcombank.com/thong-tin/blog/giay-phep-kinh-doanh</v>
      </c>
      <c r="BY53" s="17" t="str">
        <f>IFERROR(__xludf.DUMMYFUNCTION("""COMPUTED_VALUE"""),"thuế hộ kinh doanh")</f>
        <v>thuế hộ kinh doanh</v>
      </c>
      <c r="BZ53" s="21" t="str">
        <f>IFERROR(__xludf.DUMMYFUNCTION("""COMPUTED_VALUE"""),"https://techcombank.com/thong-tin/blog/tra-cuu-no-thue-ca-nhan")</f>
        <v>https://techcombank.com/thong-tin/blog/tra-cuu-no-thue-ca-nhan</v>
      </c>
      <c r="CA53" s="17" t="str">
        <f>IFERROR(__xludf.DUMMYFUNCTION("""COMPUTED_VALUE"""),"hộ kinh doanh đóng thuế như thế nào")</f>
        <v>hộ kinh doanh đóng thuế như thế nào</v>
      </c>
      <c r="CB53" s="21" t="str">
        <f>IFERROR(__xludf.DUMMYFUNCTION("""COMPUTED_VALUE"""),"https://techcombank.com/thong-tin/blog/chuyen-doi-hoa-don-dien-tu")</f>
        <v>https://techcombank.com/thong-tin/blog/chuyen-doi-hoa-don-dien-tu</v>
      </c>
      <c r="CC53" s="17" t="str">
        <f>IFERROR(__xludf.DUMMYFUNCTION("""COMPUTED_VALUE"""),"thuế hộ kinh doanh")</f>
        <v>thuế hộ kinh doanh</v>
      </c>
      <c r="CD53" s="21" t="str">
        <f>IFERROR(__xludf.DUMMYFUNCTION("""COMPUTED_VALUE"""),"https://techcombank.com/thong-tin/blog/hoan-thue-thu-nhap-ca-nhan")</f>
        <v>https://techcombank.com/thong-tin/blog/hoan-thue-thu-nhap-ca-nhan</v>
      </c>
      <c r="CE53" s="17" t="str">
        <f>IFERROR(__xludf.DUMMYFUNCTION("""COMPUTED_VALUE"""),"hộ kinh doanh đóng thuế như thế nào")</f>
        <v>hộ kinh doanh đóng thuế như thế nào</v>
      </c>
      <c r="CF53" s="21" t="str">
        <f>IFERROR(__xludf.DUMMYFUNCTION("""COMPUTED_VALUE"""),"https://techcombank.com/thong-tin/blog/dang-ky-kinh-doanh-la-gi")</f>
        <v>https://techcombank.com/thong-tin/blog/dang-ky-kinh-doanh-la-gi</v>
      </c>
      <c r="CG53" s="17" t="str">
        <f>IFERROR(__xludf.DUMMYFUNCTION("""COMPUTED_VALUE"""),"thuế hộ kinh doanh")</f>
        <v>thuế hộ kinh doanh</v>
      </c>
      <c r="CH53" s="21" t="str">
        <f>IFERROR(__xludf.DUMMYFUNCTION("""COMPUTED_VALUE"""),"https://techcombank.com/thong-tin/blog/thay-doi-dia-chi-ho-kinh-doanh")</f>
        <v>https://techcombank.com/thong-tin/blog/thay-doi-dia-chi-ho-kinh-doanh</v>
      </c>
      <c r="CI53" s="17" t="str">
        <f>IFERROR(__xludf.DUMMYFUNCTION("""COMPUTED_VALUE"""),"hộ kinh doanh đóng thuế như thế nào")</f>
        <v>hộ kinh doanh đóng thuế như thế nào</v>
      </c>
      <c r="CJ53" s="21" t="str">
        <f>IFERROR(__xludf.DUMMYFUNCTION("""COMPUTED_VALUE"""),"https://techcombank.com/thong-tin/blog/cach-dang-ky-ma-so-thue-ho-kinh-doanh-online")</f>
        <v>https://techcombank.com/thong-tin/blog/cach-dang-ky-ma-so-thue-ho-kinh-doanh-online</v>
      </c>
      <c r="CK53" s="17" t="str">
        <f>IFERROR(__xludf.DUMMYFUNCTION("""COMPUTED_VALUE"""),"thuế hộ kinh doanh")</f>
        <v>thuế hộ kinh doanh</v>
      </c>
      <c r="CL53" s="21" t="str">
        <f>IFERROR(__xludf.DUMMYFUNCTION("""COMPUTED_VALUE"""),"https://techcombank.com/thong-tin/blog/luu-y-khi-chuyen-doi-tu-ho-kinh-doanh-len-doanh-nghiep")</f>
        <v>https://techcombank.com/thong-tin/blog/luu-y-khi-chuyen-doi-tu-ho-kinh-doanh-len-doanh-nghiep</v>
      </c>
      <c r="CM53" s="17" t="str">
        <f>IFERROR(__xludf.DUMMYFUNCTION("""COMPUTED_VALUE"""),"hộ kinh doanh đóng thuế như thế nào")</f>
        <v>hộ kinh doanh đóng thuế như thế nào</v>
      </c>
      <c r="CN53" s="21" t="str">
        <f>IFERROR(__xludf.DUMMYFUNCTION("""COMPUTED_VALUE"""),"https://techcombank.com/thong-tin/blog/cach-kiem-tra-tai-khoan-ngan-hang-cua-cong-ty")</f>
        <v>https://techcombank.com/thong-tin/blog/cach-kiem-tra-tai-khoan-ngan-hang-cua-cong-ty</v>
      </c>
      <c r="CO53" s="17" t="str">
        <f>IFERROR(__xludf.DUMMYFUNCTION("""COMPUTED_VALUE"""),"thuế hộ kinh doanh")</f>
        <v>thuế hộ kinh doanh</v>
      </c>
      <c r="CP53" s="21" t="str">
        <f>IFERROR(__xludf.DUMMYFUNCTION("""COMPUTED_VALUE"""),"https://techcombank.com/thong-tin/blog/kiem-tra-ma-so-thue-doanh-nghiep")</f>
        <v>https://techcombank.com/thong-tin/blog/kiem-tra-ma-so-thue-doanh-nghiep</v>
      </c>
      <c r="CQ53" s="17" t="str">
        <f>IFERROR(__xludf.DUMMYFUNCTION("""COMPUTED_VALUE"""),"hộ kinh doanh đóng thuế như thế nào")</f>
        <v>hộ kinh doanh đóng thuế như thế nào</v>
      </c>
      <c r="CR53" s="21" t="str">
        <f>IFERROR(__xludf.DUMMYFUNCTION("""COMPUTED_VALUE"""),"https://techcombank.com/thong-tin/blog/barcode-la-gi")</f>
        <v>https://techcombank.com/thong-tin/blog/barcode-la-gi</v>
      </c>
      <c r="CS53" s="17" t="str">
        <f>IFERROR(__xludf.DUMMYFUNCTION("""COMPUTED_VALUE"""),"thuế hộ kinh doanh")</f>
        <v>thuế hộ kinh doanh</v>
      </c>
      <c r="CT53" s="21" t="str">
        <f>IFERROR(__xludf.DUMMYFUNCTION("""COMPUTED_VALUE"""),"https://techcombank.com/thong-tin/blog/tra-cuu-ma-so-thue-ho-kinh-doanh")</f>
        <v>https://techcombank.com/thong-tin/blog/tra-cuu-ma-so-thue-ho-kinh-doanh</v>
      </c>
      <c r="CU53" s="17" t="str">
        <f>IFERROR(__xludf.DUMMYFUNCTION("""COMPUTED_VALUE"""),"hộ kinh doanh đóng thuế như thế nào")</f>
        <v>hộ kinh doanh đóng thuế như thế nào</v>
      </c>
      <c r="CV53" s="21" t="str">
        <f>IFERROR(__xludf.DUMMYFUNCTION("""COMPUTED_VALUE"""),"https://techcombank.com/thong-tin/blog/dang-ky-thue-ho-kinh-doanh-ca-the-online")</f>
        <v>https://techcombank.com/thong-tin/blog/dang-ky-thue-ho-kinh-doanh-ca-the-online</v>
      </c>
      <c r="CW53" s="17" t="str">
        <f>IFERROR(__xludf.DUMMYFUNCTION("""COMPUTED_VALUE"""),"thuế hộ kinh doanh")</f>
        <v>thuế hộ kinh doanh</v>
      </c>
      <c r="CX53" s="21" t="str">
        <f>IFERROR(__xludf.DUMMYFUNCTION("""COMPUTED_VALUE"""),"https://techcombank.com/thong-tin/blog/chuyen-doi-so-ho-kinh-doanh")</f>
        <v>https://techcombank.com/thong-tin/blog/chuyen-doi-so-ho-kinh-doanh</v>
      </c>
      <c r="CY53" s="17" t="str">
        <f>IFERROR(__xludf.DUMMYFUNCTION("""COMPUTED_VALUE"""),"hộ kinh doanh đóng thuế như thế nào")</f>
        <v>hộ kinh doanh đóng thuế như thế nào</v>
      </c>
      <c r="CZ53" s="21" t="str">
        <f>IFERROR(__xludf.DUMMYFUNCTION("""COMPUTED_VALUE"""),"https://techcombank.com/thong-tin/blog/chinh-sach-thue-moi")</f>
        <v>https://techcombank.com/thong-tin/blog/chinh-sach-thue-moi</v>
      </c>
      <c r="DA53" s="17" t="str">
        <f>IFERROR(__xludf.DUMMYFUNCTION("""COMPUTED_VALUE"""),"thuế hộ kinh doanh")</f>
        <v>thuế hộ kinh doanh</v>
      </c>
      <c r="DB53" s="21" t="str">
        <f>IFERROR(__xludf.DUMMYFUNCTION("""COMPUTED_VALUE"""),"https://techcombank.com/thong-tin/blog/hoa-don-dien-tu")</f>
        <v>https://techcombank.com/thong-tin/blog/hoa-don-dien-tu</v>
      </c>
      <c r="DC53" s="17" t="str">
        <f>IFERROR(__xludf.DUMMYFUNCTION("""COMPUTED_VALUE"""),"hộ kinh doanh đóng thuế như thế nào")</f>
        <v>hộ kinh doanh đóng thuế như thế nào</v>
      </c>
      <c r="DD53" s="21" t="str">
        <f>IFERROR(__xludf.DUMMYFUNCTION("""COMPUTED_VALUE"""),"https://techcombank.com/thong-tin/blog/luat-thuong-mai-dien-tu")</f>
        <v>https://techcombank.com/thong-tin/blog/luat-thuong-mai-dien-tu</v>
      </c>
      <c r="DE53" s="17" t="str">
        <f>IFERROR(__xludf.DUMMYFUNCTION("""COMPUTED_VALUE"""),"thuế hộ kinh doanh")</f>
        <v>thuế hộ kinh doanh</v>
      </c>
      <c r="DF53" s="21" t="str">
        <f>IFERROR(__xludf.DUMMYFUNCTION("""COMPUTED_VALUE"""),"https://techcombank.com/thong-tin/blog/ke-khai-thue-ho-kinh-doanh-ca-the-online")</f>
        <v>https://techcombank.com/thong-tin/blog/ke-khai-thue-ho-kinh-doanh-ca-the-online</v>
      </c>
      <c r="DG53" s="17" t="str">
        <f>IFERROR(__xludf.DUMMYFUNCTION("""COMPUTED_VALUE"""),"hộ kinh doanh đóng thuế như thế nào")</f>
        <v>hộ kinh doanh đóng thuế như thế nào</v>
      </c>
      <c r="DH53" s="21" t="str">
        <f>IFERROR(__xludf.DUMMYFUNCTION("""COMPUTED_VALUE"""),"https://techcombank.com/thong-tin/blog/vay-the-chap-kinh-doanh")</f>
        <v>https://techcombank.com/thong-tin/blog/vay-the-chap-kinh-doanh</v>
      </c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  <c r="FN53" s="17"/>
      <c r="FO53" s="17"/>
      <c r="FP53" s="17"/>
      <c r="FQ53" s="17"/>
      <c r="FR53" s="17"/>
      <c r="FS53" s="17"/>
      <c r="FT53" s="17"/>
      <c r="FU53" s="17"/>
      <c r="FV53" s="17"/>
      <c r="FW53" s="17"/>
      <c r="FX53" s="17"/>
      <c r="FY53" s="17"/>
      <c r="FZ53" s="17"/>
      <c r="GA53" s="17"/>
      <c r="GB53" s="17"/>
      <c r="GC53" s="17"/>
      <c r="GD53" s="17"/>
      <c r="GE53" s="17"/>
      <c r="GF53" s="17"/>
      <c r="GG53" s="17"/>
      <c r="GH53" s="17"/>
      <c r="GI53" s="17"/>
      <c r="GJ53" s="17"/>
      <c r="GK53" s="17"/>
      <c r="GL53" s="17"/>
      <c r="GM53" s="17"/>
      <c r="GN53" s="17"/>
      <c r="GO53" s="17"/>
      <c r="GP53" s="17"/>
      <c r="GQ53" s="17"/>
      <c r="GR53" s="17"/>
      <c r="GS53" s="17"/>
      <c r="GT53" s="17"/>
      <c r="GU53" s="17"/>
      <c r="GV53" s="17"/>
      <c r="GW53" s="17"/>
      <c r="GX53" s="17"/>
      <c r="GY53" s="17"/>
      <c r="GZ53" s="17"/>
      <c r="HA53" s="17"/>
      <c r="HB53" s="17"/>
      <c r="HC53" s="17"/>
      <c r="HD53" s="17"/>
      <c r="HE53" s="17"/>
      <c r="HF53" s="17"/>
      <c r="HG53" s="17"/>
      <c r="HH53" s="17"/>
      <c r="HI53" s="17"/>
      <c r="HJ53" s="17"/>
      <c r="HK53" s="17"/>
      <c r="HL53" s="17"/>
      <c r="HM53" s="17"/>
      <c r="HN53" s="17"/>
      <c r="HO53" s="17"/>
      <c r="HP53" s="17"/>
      <c r="HQ53" s="17"/>
      <c r="HR53" s="17"/>
      <c r="HS53" s="17"/>
      <c r="HT53" s="17"/>
      <c r="HU53" s="17"/>
      <c r="HV53" s="17"/>
      <c r="HW53" s="17"/>
      <c r="HX53" s="17"/>
      <c r="HY53" s="17"/>
      <c r="HZ53" s="17"/>
      <c r="IA53" s="17"/>
      <c r="IB53" s="17"/>
      <c r="IC53" s="17"/>
      <c r="ID53" s="17"/>
      <c r="IE53" s="17"/>
      <c r="IF53" s="17"/>
      <c r="IG53" s="17"/>
      <c r="IH53" s="17"/>
      <c r="II53" s="17"/>
      <c r="IJ53" s="17"/>
      <c r="IK53" s="17"/>
      <c r="IL53" s="17"/>
      <c r="IM53" s="17"/>
      <c r="IN53" s="17"/>
      <c r="IO53" s="17"/>
      <c r="IP53" s="17"/>
      <c r="IQ53" s="17"/>
      <c r="IR53" s="17"/>
      <c r="IS53" s="17"/>
      <c r="IT53" s="17"/>
      <c r="IU53" s="17"/>
      <c r="IV53" s="17"/>
      <c r="IW53" s="17"/>
      <c r="IX53" s="17"/>
      <c r="IY53" s="17"/>
      <c r="IZ53" s="17"/>
      <c r="JA53" s="17"/>
      <c r="JB53" s="17"/>
      <c r="JC53" s="17"/>
      <c r="JD53" s="17"/>
      <c r="JE53" s="17"/>
      <c r="JF53" s="17"/>
      <c r="JG53" s="17"/>
      <c r="JH53" s="17"/>
      <c r="JI53" s="17"/>
      <c r="JJ53" s="17"/>
      <c r="JK53" s="17"/>
      <c r="JL53" s="17"/>
      <c r="JM53" s="17"/>
      <c r="JN53" s="17"/>
      <c r="JO53" s="17"/>
      <c r="JP53" s="17"/>
      <c r="JQ53" s="17"/>
      <c r="JR53" s="17"/>
      <c r="JS53" s="17"/>
      <c r="JT53" s="17"/>
      <c r="JU53" s="17"/>
      <c r="JV53" s="17"/>
      <c r="JW53" s="17"/>
      <c r="JX53" s="17"/>
      <c r="JY53" s="17"/>
      <c r="JZ53" s="17"/>
      <c r="KA53" s="17"/>
      <c r="KB53" s="17"/>
      <c r="KC53" s="17"/>
      <c r="KD53" s="17"/>
      <c r="KE53" s="17"/>
      <c r="KF53" s="17"/>
      <c r="KG53" s="17"/>
      <c r="KH53" s="17"/>
      <c r="KI53" s="17"/>
      <c r="KJ53" s="17"/>
      <c r="KK53" s="17"/>
      <c r="KL53" s="17"/>
      <c r="KM53" s="17"/>
      <c r="KN53" s="17"/>
      <c r="KO53" s="17"/>
      <c r="KP53" s="17"/>
      <c r="KQ53" s="17"/>
      <c r="KR53" s="17"/>
      <c r="KS53" s="17"/>
      <c r="KT53" s="17"/>
      <c r="KU53" s="17"/>
      <c r="KV53" s="17"/>
      <c r="KW53" s="17"/>
      <c r="KX53" s="17"/>
      <c r="KY53" s="17"/>
      <c r="KZ53" s="17"/>
      <c r="LA53" s="17"/>
      <c r="LB53" s="17"/>
      <c r="LC53" s="17"/>
      <c r="LD53" s="17"/>
      <c r="LE53" s="17"/>
      <c r="LF53" s="17"/>
      <c r="LG53" s="17"/>
      <c r="LH53" s="17"/>
      <c r="LI53" s="17"/>
      <c r="LJ53" s="17"/>
      <c r="LK53" s="17"/>
      <c r="LL53" s="17"/>
      <c r="LM53" s="17"/>
      <c r="LN53" s="17"/>
      <c r="LO53" s="17"/>
      <c r="LP53" s="17"/>
      <c r="LQ53" s="17"/>
      <c r="LR53" s="17"/>
      <c r="LS53" s="17"/>
      <c r="LT53" s="17"/>
      <c r="LU53" s="17"/>
      <c r="LV53" s="17"/>
      <c r="LW53" s="17"/>
      <c r="LX53" s="17"/>
      <c r="LY53" s="17"/>
      <c r="LZ53" s="17"/>
      <c r="MA53" s="17"/>
      <c r="MB53" s="17"/>
      <c r="MC53" s="17"/>
      <c r="MD53" s="17"/>
      <c r="ME53" s="17"/>
      <c r="MF53" s="17"/>
      <c r="MG53" s="17"/>
      <c r="MH53" s="17"/>
      <c r="MI53" s="17"/>
      <c r="MJ53" s="17"/>
      <c r="MK53" s="17"/>
      <c r="ML53" s="17"/>
      <c r="MM53" s="17"/>
      <c r="MN53" s="17"/>
      <c r="MO53" s="17"/>
      <c r="MP53" s="17"/>
      <c r="MQ53" s="17"/>
      <c r="MR53" s="17"/>
      <c r="MS53" s="17"/>
      <c r="MT53" s="17"/>
      <c r="MU53" s="17"/>
      <c r="MV53" s="17"/>
      <c r="MW53" s="17"/>
      <c r="MX53" s="17"/>
      <c r="MY53" s="17"/>
      <c r="MZ53" s="17"/>
      <c r="NA53" s="17"/>
      <c r="NB53" s="17"/>
      <c r="NC53" s="17"/>
      <c r="ND53" s="17"/>
      <c r="NE53" s="17"/>
      <c r="NF53" s="17"/>
      <c r="NG53" s="17"/>
      <c r="NH53" s="17"/>
      <c r="NI53" s="17"/>
      <c r="NJ53" s="17"/>
      <c r="NK53" s="17"/>
      <c r="NL53" s="17"/>
      <c r="NM53" s="17"/>
      <c r="NN53" s="17"/>
      <c r="NO53" s="17"/>
      <c r="NP53" s="17"/>
      <c r="NQ53" s="17"/>
      <c r="NR53" s="17"/>
      <c r="NS53" s="17"/>
      <c r="NT53" s="17"/>
      <c r="NU53" s="17"/>
      <c r="NV53" s="17"/>
      <c r="NW53" s="17"/>
      <c r="NX53" s="17"/>
      <c r="NY53" s="17"/>
      <c r="NZ53" s="17"/>
      <c r="OA53" s="17"/>
      <c r="OB53" s="17"/>
      <c r="OC53" s="17"/>
      <c r="OD53" s="17"/>
      <c r="OE53" s="17"/>
      <c r="OF53" s="17"/>
      <c r="OG53" s="17"/>
      <c r="OH53" s="17"/>
      <c r="OI53" s="17"/>
      <c r="OJ53" s="17"/>
      <c r="OK53" s="17"/>
      <c r="OL53" s="17"/>
      <c r="OM53" s="17"/>
      <c r="ON53" s="17"/>
      <c r="OO53" s="17"/>
      <c r="OP53" s="17"/>
      <c r="OQ53" s="17"/>
      <c r="OR53" s="17"/>
      <c r="OS53" s="17"/>
      <c r="OT53" s="17"/>
      <c r="OU53" s="17"/>
      <c r="OV53" s="17"/>
    </row>
    <row r="54" ht="18.0" customHeight="1">
      <c r="A54" s="16">
        <v>53.0</v>
      </c>
      <c r="B54" s="17" t="s">
        <v>1624</v>
      </c>
      <c r="C54" s="18" t="s">
        <v>1636</v>
      </c>
      <c r="D54" s="17" t="s">
        <v>586</v>
      </c>
      <c r="E54" s="16">
        <v>30.0</v>
      </c>
      <c r="F54" s="16">
        <f>COUNTIF('Tổng hợp 75 trang đích'!$B$2:$B$3400,$D54)</f>
        <v>30</v>
      </c>
      <c r="G54" s="16">
        <f>COUNTIFS('Tổng hợp 75 trang đích'!$B$2:$B$3400,$D54,'Tổng hợp 75 trang đích'!$K$2:$K$3400,"PHÙ HỢP CAO")</f>
        <v>2</v>
      </c>
      <c r="H54" s="16">
        <f>COUNTIFS('Tổng hợp 75 trang đích'!$B$2:$B$3400,$D54,'Tổng hợp 75 trang đích'!$K$2:$K$3400,"CÓ THỂ ĐI")</f>
        <v>3</v>
      </c>
      <c r="I54" s="16">
        <f>COUNTIFS('Tổng hợp 75 trang đích'!$B$2:$B$3400,$D54,'Tổng hợp 75 trang đích'!$K$2:$K$3400,"CẦN SOÁT")</f>
        <v>25</v>
      </c>
      <c r="J54" s="19" t="s">
        <v>555</v>
      </c>
      <c r="K54" s="19" t="b">
        <v>0</v>
      </c>
      <c r="L54" s="20" t="s">
        <v>333</v>
      </c>
      <c r="M54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đích'!$B$2:$B$3400=$D54),3,TR"&amp;"UE),1,2)),"""")"),"mô hình kinh doanh là gì")</f>
        <v>mô hình kinh doanh là gì</v>
      </c>
      <c r="N54" s="21" t="str">
        <f>IFERROR(__xludf.DUMMYFUNCTION("""COMPUTED_VALUE"""),"https://techcombank.com/thong-tin/blog/nhuong-quyen-la-gi")</f>
        <v>https://techcombank.com/thong-tin/blog/nhuong-quyen-la-gi</v>
      </c>
      <c r="O54" s="17" t="str">
        <f>IFERROR(__xludf.DUMMYFUNCTION("""COMPUTED_VALUE"""),"mô hình kinh doanh")</f>
        <v>mô hình kinh doanh</v>
      </c>
      <c r="P54" s="21" t="str">
        <f>IFERROR(__xludf.DUMMYFUNCTION("""COMPUTED_VALUE"""),"https://techcombank.com/thong-tin/blog/kinh-doanh-online")</f>
        <v>https://techcombank.com/thong-tin/blog/kinh-doanh-online</v>
      </c>
      <c r="Q54" s="17" t="str">
        <f>IFERROR(__xludf.DUMMYFUNCTION("""COMPUTED_VALUE"""),"mô hình kinh doanh là gì")</f>
        <v>mô hình kinh doanh là gì</v>
      </c>
      <c r="R54" s="21" t="str">
        <f>IFERROR(__xludf.DUMMYFUNCTION("""COMPUTED_VALUE"""),"https://techcombank.com/thong-tin/blog/one-stop-shop")</f>
        <v>https://techcombank.com/thong-tin/blog/one-stop-shop</v>
      </c>
      <c r="S54" s="17" t="str">
        <f>IFERROR(__xludf.DUMMYFUNCTION("""COMPUTED_VALUE"""),"mô hình kinh doanh")</f>
        <v>mô hình kinh doanh</v>
      </c>
      <c r="T54" s="21" t="str">
        <f>IFERROR(__xludf.DUMMYFUNCTION("""COMPUTED_VALUE"""),"https://techcombank.com/thong-tin/blog/cac-loai-hinh-doanh-nghiep")</f>
        <v>https://techcombank.com/thong-tin/blog/cac-loai-hinh-doanh-nghiep</v>
      </c>
      <c r="U54" s="17" t="str">
        <f>IFERROR(__xludf.DUMMYFUNCTION("""COMPUTED_VALUE"""),"mô hình kinh doanh là gì")</f>
        <v>mô hình kinh doanh là gì</v>
      </c>
      <c r="V54" s="21" t="str">
        <f>IFERROR(__xludf.DUMMYFUNCTION("""COMPUTED_VALUE"""),"https://techcombank.com/thong-tin/blog/merchant-la-gi")</f>
        <v>https://techcombank.com/thong-tin/blog/merchant-la-gi</v>
      </c>
      <c r="W54" s="17" t="str">
        <f>IFERROR(__xludf.DUMMYFUNCTION("""COMPUTED_VALUE"""),"mô hình kinh doanh")</f>
        <v>mô hình kinh doanh</v>
      </c>
      <c r="X54" s="21" t="str">
        <f>IFERROR(__xludf.DUMMYFUNCTION("""COMPUTED_VALUE"""),"https://techcombank.com/thong-tin/blog/huong-dan-dang-ky-thanh-lap-doanh-nghiep")</f>
        <v>https://techcombank.com/thong-tin/blog/huong-dan-dang-ky-thanh-lap-doanh-nghiep</v>
      </c>
      <c r="Y54" s="17" t="str">
        <f>IFERROR(__xludf.DUMMYFUNCTION("""COMPUTED_VALUE"""),"mô hình kinh doanh là gì")</f>
        <v>mô hình kinh doanh là gì</v>
      </c>
      <c r="Z54" s="21" t="str">
        <f>IFERROR(__xludf.DUMMYFUNCTION("""COMPUTED_VALUE"""),"https://techcombank.com/thong-tin/blog/khoi-nghiep-truoc-chinh-sach-thue-moi")</f>
        <v>https://techcombank.com/thong-tin/blog/khoi-nghiep-truoc-chinh-sach-thue-moi</v>
      </c>
      <c r="AA54" s="17" t="str">
        <f>IFERROR(__xludf.DUMMYFUNCTION("""COMPUTED_VALUE"""),"mô hình kinh doanh")</f>
        <v>mô hình kinh doanh</v>
      </c>
      <c r="AB54" s="21" t="str">
        <f>IFERROR(__xludf.DUMMYFUNCTION("""COMPUTED_VALUE"""),"https://techcombank.com/thong-tin/blog/mo-tai-khoan-ho-kinh-doanh")</f>
        <v>https://techcombank.com/thong-tin/blog/mo-tai-khoan-ho-kinh-doanh</v>
      </c>
      <c r="AC54" s="17" t="str">
        <f>IFERROR(__xludf.DUMMYFUNCTION("""COMPUTED_VALUE"""),"mô hình kinh doanh là gì")</f>
        <v>mô hình kinh doanh là gì</v>
      </c>
      <c r="AD54" s="21" t="str">
        <f>IFERROR(__xludf.DUMMYFUNCTION("""COMPUTED_VALUE"""),"https://techcombank.com/thong-tin/blog/quan-ly-chuoi-cua-hang")</f>
        <v>https://techcombank.com/thong-tin/blog/quan-ly-chuoi-cua-hang</v>
      </c>
      <c r="AE54" s="17" t="str">
        <f>IFERROR(__xludf.DUMMYFUNCTION("""COMPUTED_VALUE"""),"mô hình kinh doanh")</f>
        <v>mô hình kinh doanh</v>
      </c>
      <c r="AF54" s="21" t="str">
        <f>IFERROR(__xludf.DUMMYFUNCTION("""COMPUTED_VALUE"""),"https://techcombank.com/thong-tin/blog/kiem-tra-thue-ho-kinh-doanh")</f>
        <v>https://techcombank.com/thong-tin/blog/kiem-tra-thue-ho-kinh-doanh</v>
      </c>
      <c r="AG54" s="17" t="str">
        <f>IFERROR(__xludf.DUMMYFUNCTION("""COMPUTED_VALUE"""),"mô hình kinh doanh là gì")</f>
        <v>mô hình kinh doanh là gì</v>
      </c>
      <c r="AH54" s="21" t="str">
        <f>IFERROR(__xludf.DUMMYFUNCTION("""COMPUTED_VALUE"""),"https://techcombank.com/thong-tin/blog/giai-phap-quan-ly-chuoi-cua-hang")</f>
        <v>https://techcombank.com/thong-tin/blog/giai-phap-quan-ly-chuoi-cua-hang</v>
      </c>
      <c r="AI54" s="17" t="str">
        <f>IFERROR(__xludf.DUMMYFUNCTION("""COMPUTED_VALUE"""),"mô hình kinh doanh")</f>
        <v>mô hình kinh doanh</v>
      </c>
      <c r="AJ54" s="21" t="str">
        <f>IFERROR(__xludf.DUMMYFUNCTION("""COMPUTED_VALUE"""),"https://techcombank.com/thong-tin/blog/cach-dang-ky-ma-so-thue-ho-kinh-doanh-online")</f>
        <v>https://techcombank.com/thong-tin/blog/cach-dang-ky-ma-so-thue-ho-kinh-doanh-online</v>
      </c>
      <c r="AK54" s="17" t="str">
        <f>IFERROR(__xludf.DUMMYFUNCTION("""COMPUTED_VALUE"""),"mô hình kinh doanh là gì")</f>
        <v>mô hình kinh doanh là gì</v>
      </c>
      <c r="AL54" s="21" t="str">
        <f>IFERROR(__xludf.DUMMYFUNCTION("""COMPUTED_VALUE"""),"https://techcombank.com/thong-tin/blog/tra-cuu-ma-so-thue-ho-kinh-doanh")</f>
        <v>https://techcombank.com/thong-tin/blog/tra-cuu-ma-so-thue-ho-kinh-doanh</v>
      </c>
      <c r="AM54" s="17" t="str">
        <f>IFERROR(__xludf.DUMMYFUNCTION("""COMPUTED_VALUE"""),"mô hình kinh doanh")</f>
        <v>mô hình kinh doanh</v>
      </c>
      <c r="AN54" s="21" t="str">
        <f>IFERROR(__xludf.DUMMYFUNCTION("""COMPUTED_VALUE"""),"https://techcombank.com/thong-tin/blog/cua-hang-tien-loi")</f>
        <v>https://techcombank.com/thong-tin/blog/cua-hang-tien-loi</v>
      </c>
      <c r="AO54" s="17" t="str">
        <f>IFERROR(__xludf.DUMMYFUNCTION("""COMPUTED_VALUE"""),"mô hình kinh doanh là gì")</f>
        <v>mô hình kinh doanh là gì</v>
      </c>
      <c r="AP54" s="21" t="str">
        <f>IFERROR(__xludf.DUMMYFUNCTION("""COMPUTED_VALUE"""),"https://techcombank.com/thong-tin/blog/hieu-hiet-ve-tuan-thu-thue-cho-cac-doanh-nghiep-khoi-nghiep")</f>
        <v>https://techcombank.com/thong-tin/blog/hieu-hiet-ve-tuan-thu-thue-cho-cac-doanh-nghiep-khoi-nghiep</v>
      </c>
      <c r="AQ54" s="17" t="str">
        <f>IFERROR(__xludf.DUMMYFUNCTION("""COMPUTED_VALUE"""),"mô hình kinh doanh")</f>
        <v>mô hình kinh doanh</v>
      </c>
      <c r="AR54" s="21" t="str">
        <f>IFERROR(__xludf.DUMMYFUNCTION("""COMPUTED_VALUE"""),"https://techcombank.com/thong-tin/blog/vay-kinh-doanh-online")</f>
        <v>https://techcombank.com/thong-tin/blog/vay-kinh-doanh-online</v>
      </c>
      <c r="AS54" s="17" t="str">
        <f>IFERROR(__xludf.DUMMYFUNCTION("""COMPUTED_VALUE"""),"mô hình kinh doanh là gì")</f>
        <v>mô hình kinh doanh là gì</v>
      </c>
      <c r="AT54" s="21" t="str">
        <f>IFERROR(__xludf.DUMMYFUNCTION("""COMPUTED_VALUE"""),"https://techcombank.com/thong-tin/blog/chuan-bi-cho-doanh-nghiep-khoi-nghiep-truoc-nhung-thay-doi-ve-thue")</f>
        <v>https://techcombank.com/thong-tin/blog/chuan-bi-cho-doanh-nghiep-khoi-nghiep-truoc-nhung-thay-doi-ve-thue</v>
      </c>
      <c r="AU54" s="17" t="str">
        <f>IFERROR(__xludf.DUMMYFUNCTION("""COMPUTED_VALUE"""),"mô hình kinh doanh")</f>
        <v>mô hình kinh doanh</v>
      </c>
      <c r="AV54" s="21" t="str">
        <f>IFERROR(__xludf.DUMMYFUNCTION("""COMPUTED_VALUE"""),"https://techcombank.com/thong-tin/blog/quan-ly-chi-phi-doanh-nghiep")</f>
        <v>https://techcombank.com/thong-tin/blog/quan-ly-chi-phi-doanh-nghiep</v>
      </c>
      <c r="AW54" s="17" t="str">
        <f>IFERROR(__xludf.DUMMYFUNCTION("""COMPUTED_VALUE"""),"mô hình kinh doanh là gì")</f>
        <v>mô hình kinh doanh là gì</v>
      </c>
      <c r="AX54" s="21" t="str">
        <f>IFERROR(__xludf.DUMMYFUNCTION("""COMPUTED_VALUE"""),"https://techcombank.com/thong-tin/blog/tieu-dung-ben-vung")</f>
        <v>https://techcombank.com/thong-tin/blog/tieu-dung-ben-vung</v>
      </c>
      <c r="AY54" s="17" t="str">
        <f>IFERROR(__xludf.DUMMYFUNCTION("""COMPUTED_VALUE"""),"mô hình kinh doanh")</f>
        <v>mô hình kinh doanh</v>
      </c>
      <c r="AZ54" s="21" t="str">
        <f>IFERROR(__xludf.DUMMYFUNCTION("""COMPUTED_VALUE"""),"https://techcombank.com/thong-tin/blog/top-phan-mem-ban-hang")</f>
        <v>https://techcombank.com/thong-tin/blog/top-phan-mem-ban-hang</v>
      </c>
      <c r="BA54" s="17" t="str">
        <f>IFERROR(__xludf.DUMMYFUNCTION("""COMPUTED_VALUE"""),"mô hình kinh doanh là gì")</f>
        <v>mô hình kinh doanh là gì</v>
      </c>
      <c r="BB54" s="21" t="str">
        <f>IFERROR(__xludf.DUMMYFUNCTION("""COMPUTED_VALUE"""),"https://techcombank.com/thong-tin/blog/cach-tao-ma-qr")</f>
        <v>https://techcombank.com/thong-tin/blog/cach-tao-ma-qr</v>
      </c>
      <c r="BC54" s="17" t="str">
        <f>IFERROR(__xludf.DUMMYFUNCTION("""COMPUTED_VALUE"""),"mô hình kinh doanh")</f>
        <v>mô hình kinh doanh</v>
      </c>
      <c r="BD54" s="21" t="str">
        <f>IFERROR(__xludf.DUMMYFUNCTION("""COMPUTED_VALUE"""),"https://techcombank.com/thong-tin/blog/thue-phi-co-dinh-khi-chuyen-doi-tu-ho-kinh-doanh-len-doanh-nghiep")</f>
        <v>https://techcombank.com/thong-tin/blog/thue-phi-co-dinh-khi-chuyen-doi-tu-ho-kinh-doanh-len-doanh-nghiep</v>
      </c>
      <c r="BE54" s="17" t="str">
        <f>IFERROR(__xludf.DUMMYFUNCTION("""COMPUTED_VALUE"""),"mô hình kinh doanh là gì")</f>
        <v>mô hình kinh doanh là gì</v>
      </c>
      <c r="BF54" s="21" t="str">
        <f>IFERROR(__xludf.DUMMYFUNCTION("""COMPUTED_VALUE"""),"https://techcombank.com/thong-tin/blog/ho-kinh-doanh-ca-the")</f>
        <v>https://techcombank.com/thong-tin/blog/ho-kinh-doanh-ca-the</v>
      </c>
      <c r="BG54" s="17" t="str">
        <f>IFERROR(__xludf.DUMMYFUNCTION("""COMPUTED_VALUE"""),"mô hình kinh doanh")</f>
        <v>mô hình kinh doanh</v>
      </c>
      <c r="BH54" s="21" t="str">
        <f>IFERROR(__xludf.DUMMYFUNCTION("""COMPUTED_VALUE"""),"https://techcombank.com/thong-tin/blog/cac-sai-lam-pho-bien-khi-chuyen-doi-ho-kinh-doanh-len-sme")</f>
        <v>https://techcombank.com/thong-tin/blog/cac-sai-lam-pho-bien-khi-chuyen-doi-ho-kinh-doanh-len-sme</v>
      </c>
      <c r="BI54" s="17" t="str">
        <f>IFERROR(__xludf.DUMMYFUNCTION("""COMPUTED_VALUE"""),"mô hình kinh doanh là gì")</f>
        <v>mô hình kinh doanh là gì</v>
      </c>
      <c r="BJ54" s="21" t="str">
        <f>IFERROR(__xludf.DUMMYFUNCTION("""COMPUTED_VALUE"""),"https://techcombank.com/thong-tin/blog/tim-hieu-ve-chinh-sach-thue-moi")</f>
        <v>https://techcombank.com/thong-tin/blog/tim-hieu-ve-chinh-sach-thue-moi</v>
      </c>
      <c r="BK54" s="17" t="str">
        <f>IFERROR(__xludf.DUMMYFUNCTION("""COMPUTED_VALUE"""),"mô hình kinh doanh")</f>
        <v>mô hình kinh doanh</v>
      </c>
      <c r="BL54" s="21" t="str">
        <f>IFERROR(__xludf.DUMMYFUNCTION("""COMPUTED_VALUE"""),"https://techcombank.com/thong-tin/blog/chuyen-doi-ho-kinh-doanh-len-doanh-nghiep")</f>
        <v>https://techcombank.com/thong-tin/blog/chuyen-doi-ho-kinh-doanh-len-doanh-nghiep</v>
      </c>
      <c r="BM54" s="17" t="str">
        <f>IFERROR(__xludf.DUMMYFUNCTION("""COMPUTED_VALUE"""),"mô hình kinh doanh là gì")</f>
        <v>mô hình kinh doanh là gì</v>
      </c>
      <c r="BN54" s="21" t="str">
        <f>IFERROR(__xludf.DUMMYFUNCTION("""COMPUTED_VALUE"""),"https://techcombank.com/thong-tin/blog/nen-thanh-lap-ho-kinh-doanh-ke-khai-hay-doanh-nghiep")</f>
        <v>https://techcombank.com/thong-tin/blog/nen-thanh-lap-ho-kinh-doanh-ke-khai-hay-doanh-nghiep</v>
      </c>
      <c r="BO54" s="17" t="str">
        <f>IFERROR(__xludf.DUMMYFUNCTION("""COMPUTED_VALUE"""),"mô hình kinh doanh")</f>
        <v>mô hình kinh doanh</v>
      </c>
      <c r="BP54" s="21" t="str">
        <f>IFERROR(__xludf.DUMMYFUNCTION("""COMPUTED_VALUE"""),"https://techcombank.com/thong-tin/blog/tiem-nang-chuyen-doi-tu-ho-kinh-doanh-len-doanh-nghiep-sme")</f>
        <v>https://techcombank.com/thong-tin/blog/tiem-nang-chuyen-doi-tu-ho-kinh-doanh-len-doanh-nghiep-sme</v>
      </c>
      <c r="BQ54" s="17" t="str">
        <f>IFERROR(__xludf.DUMMYFUNCTION("""COMPUTED_VALUE"""),"mô hình kinh doanh là gì")</f>
        <v>mô hình kinh doanh là gì</v>
      </c>
      <c r="BR54" s="21" t="str">
        <f>IFERROR(__xludf.DUMMYFUNCTION("""COMPUTED_VALUE"""),"https://techcombank.com/thong-tin/blog/giay-phep-kinh-doanh")</f>
        <v>https://techcombank.com/thong-tin/blog/giay-phep-kinh-doanh</v>
      </c>
      <c r="BS54" s="17" t="str">
        <f>IFERROR(__xludf.DUMMYFUNCTION("""COMPUTED_VALUE"""),"mô hình kinh doanh")</f>
        <v>mô hình kinh doanh</v>
      </c>
      <c r="BT54" s="21" t="str">
        <f>IFERROR(__xludf.DUMMYFUNCTION("""COMPUTED_VALUE"""),"https://techcombank.com/thong-tin/blog/dang-ky-kinh-doanh-la-gi")</f>
        <v>https://techcombank.com/thong-tin/blog/dang-ky-kinh-doanh-la-gi</v>
      </c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  <c r="FN54" s="17"/>
      <c r="FO54" s="17"/>
      <c r="FP54" s="17"/>
      <c r="FQ54" s="17"/>
      <c r="FR54" s="17"/>
      <c r="FS54" s="17"/>
      <c r="FT54" s="17"/>
      <c r="FU54" s="17"/>
      <c r="FV54" s="17"/>
      <c r="FW54" s="17"/>
      <c r="FX54" s="17"/>
      <c r="FY54" s="17"/>
      <c r="FZ54" s="17"/>
      <c r="GA54" s="17"/>
      <c r="GB54" s="17"/>
      <c r="GC54" s="17"/>
      <c r="GD54" s="17"/>
      <c r="GE54" s="17"/>
      <c r="GF54" s="17"/>
      <c r="GG54" s="17"/>
      <c r="GH54" s="17"/>
      <c r="GI54" s="17"/>
      <c r="GJ54" s="17"/>
      <c r="GK54" s="17"/>
      <c r="GL54" s="17"/>
      <c r="GM54" s="17"/>
      <c r="GN54" s="17"/>
      <c r="GO54" s="17"/>
      <c r="GP54" s="17"/>
      <c r="GQ54" s="17"/>
      <c r="GR54" s="17"/>
      <c r="GS54" s="17"/>
      <c r="GT54" s="17"/>
      <c r="GU54" s="17"/>
      <c r="GV54" s="17"/>
      <c r="GW54" s="17"/>
      <c r="GX54" s="17"/>
      <c r="GY54" s="17"/>
      <c r="GZ54" s="17"/>
      <c r="HA54" s="17"/>
      <c r="HB54" s="17"/>
      <c r="HC54" s="17"/>
      <c r="HD54" s="17"/>
      <c r="HE54" s="17"/>
      <c r="HF54" s="17"/>
      <c r="HG54" s="17"/>
      <c r="HH54" s="17"/>
      <c r="HI54" s="17"/>
      <c r="HJ54" s="17"/>
      <c r="HK54" s="17"/>
      <c r="HL54" s="17"/>
      <c r="HM54" s="17"/>
      <c r="HN54" s="17"/>
      <c r="HO54" s="17"/>
      <c r="HP54" s="17"/>
      <c r="HQ54" s="17"/>
      <c r="HR54" s="17"/>
      <c r="HS54" s="17"/>
      <c r="HT54" s="17"/>
      <c r="HU54" s="17"/>
      <c r="HV54" s="17"/>
      <c r="HW54" s="17"/>
      <c r="HX54" s="17"/>
      <c r="HY54" s="17"/>
      <c r="HZ54" s="17"/>
      <c r="IA54" s="17"/>
      <c r="IB54" s="17"/>
      <c r="IC54" s="17"/>
      <c r="ID54" s="17"/>
      <c r="IE54" s="17"/>
      <c r="IF54" s="17"/>
      <c r="IG54" s="17"/>
      <c r="IH54" s="17"/>
      <c r="II54" s="17"/>
      <c r="IJ54" s="17"/>
      <c r="IK54" s="17"/>
      <c r="IL54" s="17"/>
      <c r="IM54" s="17"/>
      <c r="IN54" s="17"/>
      <c r="IO54" s="17"/>
      <c r="IP54" s="17"/>
      <c r="IQ54" s="17"/>
      <c r="IR54" s="17"/>
      <c r="IS54" s="17"/>
      <c r="IT54" s="17"/>
      <c r="IU54" s="17"/>
      <c r="IV54" s="17"/>
      <c r="IW54" s="17"/>
      <c r="IX54" s="17"/>
      <c r="IY54" s="17"/>
      <c r="IZ54" s="17"/>
      <c r="JA54" s="17"/>
      <c r="JB54" s="17"/>
      <c r="JC54" s="17"/>
      <c r="JD54" s="17"/>
      <c r="JE54" s="17"/>
      <c r="JF54" s="17"/>
      <c r="JG54" s="17"/>
      <c r="JH54" s="17"/>
      <c r="JI54" s="17"/>
      <c r="JJ54" s="17"/>
      <c r="JK54" s="17"/>
      <c r="JL54" s="17"/>
      <c r="JM54" s="17"/>
      <c r="JN54" s="17"/>
      <c r="JO54" s="17"/>
      <c r="JP54" s="17"/>
      <c r="JQ54" s="17"/>
      <c r="JR54" s="17"/>
      <c r="JS54" s="17"/>
      <c r="JT54" s="17"/>
      <c r="JU54" s="17"/>
      <c r="JV54" s="17"/>
      <c r="JW54" s="17"/>
      <c r="JX54" s="17"/>
      <c r="JY54" s="17"/>
      <c r="JZ54" s="17"/>
      <c r="KA54" s="17"/>
      <c r="KB54" s="17"/>
      <c r="KC54" s="17"/>
      <c r="KD54" s="17"/>
      <c r="KE54" s="17"/>
      <c r="KF54" s="17"/>
      <c r="KG54" s="17"/>
      <c r="KH54" s="17"/>
      <c r="KI54" s="17"/>
      <c r="KJ54" s="17"/>
      <c r="KK54" s="17"/>
      <c r="KL54" s="17"/>
      <c r="KM54" s="17"/>
      <c r="KN54" s="17"/>
      <c r="KO54" s="17"/>
      <c r="KP54" s="17"/>
      <c r="KQ54" s="17"/>
      <c r="KR54" s="17"/>
      <c r="KS54" s="17"/>
      <c r="KT54" s="17"/>
      <c r="KU54" s="17"/>
      <c r="KV54" s="17"/>
      <c r="KW54" s="17"/>
      <c r="KX54" s="17"/>
      <c r="KY54" s="17"/>
      <c r="KZ54" s="17"/>
      <c r="LA54" s="17"/>
      <c r="LB54" s="17"/>
      <c r="LC54" s="17"/>
      <c r="LD54" s="17"/>
      <c r="LE54" s="17"/>
      <c r="LF54" s="17"/>
      <c r="LG54" s="17"/>
      <c r="LH54" s="17"/>
      <c r="LI54" s="17"/>
      <c r="LJ54" s="17"/>
      <c r="LK54" s="17"/>
      <c r="LL54" s="17"/>
      <c r="LM54" s="17"/>
      <c r="LN54" s="17"/>
      <c r="LO54" s="17"/>
      <c r="LP54" s="17"/>
      <c r="LQ54" s="17"/>
      <c r="LR54" s="17"/>
      <c r="LS54" s="17"/>
      <c r="LT54" s="17"/>
      <c r="LU54" s="17"/>
      <c r="LV54" s="17"/>
      <c r="LW54" s="17"/>
      <c r="LX54" s="17"/>
      <c r="LY54" s="17"/>
      <c r="LZ54" s="17"/>
      <c r="MA54" s="17"/>
      <c r="MB54" s="17"/>
      <c r="MC54" s="17"/>
      <c r="MD54" s="17"/>
      <c r="ME54" s="17"/>
      <c r="MF54" s="17"/>
      <c r="MG54" s="17"/>
      <c r="MH54" s="17"/>
      <c r="MI54" s="17"/>
      <c r="MJ54" s="17"/>
      <c r="MK54" s="17"/>
      <c r="ML54" s="17"/>
      <c r="MM54" s="17"/>
      <c r="MN54" s="17"/>
      <c r="MO54" s="17"/>
      <c r="MP54" s="17"/>
      <c r="MQ54" s="17"/>
      <c r="MR54" s="17"/>
      <c r="MS54" s="17"/>
      <c r="MT54" s="17"/>
      <c r="MU54" s="17"/>
      <c r="MV54" s="17"/>
      <c r="MW54" s="17"/>
      <c r="MX54" s="17"/>
      <c r="MY54" s="17"/>
      <c r="MZ54" s="17"/>
      <c r="NA54" s="17"/>
      <c r="NB54" s="17"/>
      <c r="NC54" s="17"/>
      <c r="ND54" s="17"/>
      <c r="NE54" s="17"/>
      <c r="NF54" s="17"/>
      <c r="NG54" s="17"/>
      <c r="NH54" s="17"/>
      <c r="NI54" s="17"/>
      <c r="NJ54" s="17"/>
      <c r="NK54" s="17"/>
      <c r="NL54" s="17"/>
      <c r="NM54" s="17"/>
      <c r="NN54" s="17"/>
      <c r="NO54" s="17"/>
      <c r="NP54" s="17"/>
      <c r="NQ54" s="17"/>
      <c r="NR54" s="17"/>
      <c r="NS54" s="17"/>
      <c r="NT54" s="17"/>
      <c r="NU54" s="17"/>
      <c r="NV54" s="17"/>
      <c r="NW54" s="17"/>
      <c r="NX54" s="17"/>
      <c r="NY54" s="17"/>
      <c r="NZ54" s="17"/>
      <c r="OA54" s="17"/>
      <c r="OB54" s="17"/>
      <c r="OC54" s="17"/>
      <c r="OD54" s="17"/>
      <c r="OE54" s="17"/>
      <c r="OF54" s="17"/>
      <c r="OG54" s="17"/>
      <c r="OH54" s="17"/>
      <c r="OI54" s="17"/>
      <c r="OJ54" s="17"/>
      <c r="OK54" s="17"/>
      <c r="OL54" s="17"/>
      <c r="OM54" s="17"/>
      <c r="ON54" s="17"/>
      <c r="OO54" s="17"/>
      <c r="OP54" s="17"/>
      <c r="OQ54" s="17"/>
      <c r="OR54" s="17"/>
      <c r="OS54" s="17"/>
      <c r="OT54" s="17"/>
      <c r="OU54" s="17"/>
      <c r="OV54" s="17"/>
    </row>
    <row r="55" ht="18.0" customHeight="1">
      <c r="A55" s="16">
        <v>54.0</v>
      </c>
      <c r="B55" s="17" t="s">
        <v>1624</v>
      </c>
      <c r="C55" s="18" t="s">
        <v>1643</v>
      </c>
      <c r="D55" s="17" t="s">
        <v>588</v>
      </c>
      <c r="E55" s="16">
        <v>30.0</v>
      </c>
      <c r="F55" s="16">
        <f>COUNTIF('Tổng hợp 75 trang đích'!$B$2:$B$3400,$D55)</f>
        <v>30</v>
      </c>
      <c r="G55" s="16">
        <f>COUNTIFS('Tổng hợp 75 trang đích'!$B$2:$B$3400,$D55,'Tổng hợp 75 trang đích'!$K$2:$K$3400,"PHÙ HỢP CAO")</f>
        <v>4</v>
      </c>
      <c r="H55" s="16">
        <f>COUNTIFS('Tổng hợp 75 trang đích'!$B$2:$B$3400,$D55,'Tổng hợp 75 trang đích'!$K$2:$K$3400,"CÓ THỂ ĐI")</f>
        <v>1</v>
      </c>
      <c r="I55" s="16">
        <f>COUNTIFS('Tổng hợp 75 trang đích'!$B$2:$B$3400,$D55,'Tổng hợp 75 trang đích'!$K$2:$K$3400,"CẦN SOÁT")</f>
        <v>25</v>
      </c>
      <c r="J55" s="19" t="s">
        <v>555</v>
      </c>
      <c r="K55" s="19" t="b">
        <v>0</v>
      </c>
      <c r="L55" s="20" t="s">
        <v>333</v>
      </c>
      <c r="M55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đích'!$B$2:$B$3400=$D55),3,TR"&amp;"UE),1,2)),"""")"),"gửi mã QR ngân hàng")</f>
        <v>gửi mã QR ngân hàng</v>
      </c>
      <c r="N55" s="21" t="str">
        <f>IFERROR(__xludf.DUMMYFUNCTION("""COMPUTED_VALUE"""),"https://techcombank.com/thong-tin/blog/cach-tao-ma-qr")</f>
        <v>https://techcombank.com/thong-tin/blog/cach-tao-ma-qr</v>
      </c>
      <c r="O55" s="17" t="str">
        <f>IFERROR(__xludf.DUMMYFUNCTION("""COMPUTED_VALUE"""),"cách gửi mã QR ngân hàng")</f>
        <v>cách gửi mã QR ngân hàng</v>
      </c>
      <c r="P55" s="21" t="str">
        <f>IFERROR(__xludf.DUMMYFUNCTION("""COMPUTED_VALUE"""),"https://techcombank.com/thong-tin/blog/in-ma-qr-ngan-hang")</f>
        <v>https://techcombank.com/thong-tin/blog/in-ma-qr-ngan-hang</v>
      </c>
      <c r="Q55" s="17" t="str">
        <f>IFERROR(__xludf.DUMMYFUNCTION("""COMPUTED_VALUE"""),"gửi mã QR ngân hàng")</f>
        <v>gửi mã QR ngân hàng</v>
      </c>
      <c r="R55" s="21" t="str">
        <f>IFERROR(__xludf.DUMMYFUNCTION("""COMPUTED_VALUE"""),"https://techcombank.com/thong-tin/blog/lo-ma-qr-ngan-hang-co-sao-khong")</f>
        <v>https://techcombank.com/thong-tin/blog/lo-ma-qr-ngan-hang-co-sao-khong</v>
      </c>
      <c r="S55" s="17" t="str">
        <f>IFERROR(__xludf.DUMMYFUNCTION("""COMPUTED_VALUE"""),"cách gửi mã QR ngân hàng")</f>
        <v>cách gửi mã QR ngân hàng</v>
      </c>
      <c r="T55" s="21" t="str">
        <f>IFERROR(__xludf.DUMMYFUNCTION("""COMPUTED_VALUE"""),"https://techcombank.com/thong-tin/blog/lam-ma-qr-ngan-hang-co-mat-phi-khong")</f>
        <v>https://techcombank.com/thong-tin/blog/lam-ma-qr-ngan-hang-co-mat-phi-khong</v>
      </c>
      <c r="U55" s="17" t="str">
        <f>IFERROR(__xludf.DUMMYFUNCTION("""COMPUTED_VALUE"""),"gửi mã QR ngân hàng")</f>
        <v>gửi mã QR ngân hàng</v>
      </c>
      <c r="V55" s="21" t="str">
        <f>IFERROR(__xludf.DUMMYFUNCTION("""COMPUTED_VALUE"""),"https://techcombank.com/thong-tin/blog/ma-qr-ngan-hang-khong-hop-le")</f>
        <v>https://techcombank.com/thong-tin/blog/ma-qr-ngan-hang-khong-hop-le</v>
      </c>
      <c r="W55" s="17" t="str">
        <f>IFERROR(__xludf.DUMMYFUNCTION("""COMPUTED_VALUE"""),"cách gửi mã QR ngân hàng")</f>
        <v>cách gửi mã QR ngân hàng</v>
      </c>
      <c r="X55" s="21" t="str">
        <f>IFERROR(__xludf.DUMMYFUNCTION("""COMPUTED_VALUE"""),"https://techcombank.com/thong-tin/blog/quet-ma-qr-techcombank")</f>
        <v>https://techcombank.com/thong-tin/blog/quet-ma-qr-techcombank</v>
      </c>
      <c r="Y55" s="17" t="str">
        <f>IFERROR(__xludf.DUMMYFUNCTION("""COMPUTED_VALUE"""),"gửi mã QR ngân hàng")</f>
        <v>gửi mã QR ngân hàng</v>
      </c>
      <c r="Z55" s="21" t="str">
        <f>IFERROR(__xludf.DUMMYFUNCTION("""COMPUTED_VALUE"""),"https://techcombank.com/thong-tin/blog/tao-ma-qr-thanh-toan-cho-cua-hang")</f>
        <v>https://techcombank.com/thong-tin/blog/tao-ma-qr-thanh-toan-cho-cua-hang</v>
      </c>
      <c r="AA55" s="17" t="str">
        <f>IFERROR(__xludf.DUMMYFUNCTION("""COMPUTED_VALUE"""),"cách gửi mã QR ngân hàng")</f>
        <v>cách gửi mã QR ngân hàng</v>
      </c>
      <c r="AB55" s="21" t="str">
        <f>IFERROR(__xludf.DUMMYFUNCTION("""COMPUTED_VALUE"""),"https://techcombank.com/thong-tin/blog/pos")</f>
        <v>https://techcombank.com/thong-tin/blog/pos</v>
      </c>
      <c r="AC55" s="17" t="str">
        <f>IFERROR(__xludf.DUMMYFUNCTION("""COMPUTED_VALUE"""),"gửi mã QR ngân hàng")</f>
        <v>gửi mã QR ngân hàng</v>
      </c>
      <c r="AD55" s="21" t="str">
        <f>IFERROR(__xludf.DUMMYFUNCTION("""COMPUTED_VALUE"""),"https://techcombank.com/thong-tin/blog/softpos")</f>
        <v>https://techcombank.com/thong-tin/blog/softpos</v>
      </c>
      <c r="AE55" s="17" t="str">
        <f>IFERROR(__xludf.DUMMYFUNCTION("""COMPUTED_VALUE"""),"cách gửi mã QR ngân hàng")</f>
        <v>cách gửi mã QR ngân hàng</v>
      </c>
      <c r="AF55" s="21" t="str">
        <f>IFERROR(__xludf.DUMMYFUNCTION("""COMPUTED_VALUE"""),"https://techcombank.com/thong-tin/blog/merchant-la-gi")</f>
        <v>https://techcombank.com/thong-tin/blog/merchant-la-gi</v>
      </c>
      <c r="AG55" s="17" t="str">
        <f>IFERROR(__xludf.DUMMYFUNCTION("""COMPUTED_VALUE"""),"gửi mã QR ngân hàng")</f>
        <v>gửi mã QR ngân hàng</v>
      </c>
      <c r="AH55" s="21" t="str">
        <f>IFERROR(__xludf.DUMMYFUNCTION("""COMPUTED_VALUE"""),"https://techcombank.com/thong-tin/blog/ma-qr-lam-gia-duoc-khong")</f>
        <v>https://techcombank.com/thong-tin/blog/ma-qr-lam-gia-duoc-khong</v>
      </c>
      <c r="AI55" s="17" t="str">
        <f>IFERROR(__xludf.DUMMYFUNCTION("""COMPUTED_VALUE"""),"cách gửi mã QR ngân hàng")</f>
        <v>cách gửi mã QR ngân hàng</v>
      </c>
      <c r="AJ55" s="21" t="str">
        <f>IFERROR(__xludf.DUMMYFUNCTION("""COMPUTED_VALUE"""),"https://techcombank.com/thong-tin/blog/ma-qr-techcombank")</f>
        <v>https://techcombank.com/thong-tin/blog/ma-qr-techcombank</v>
      </c>
      <c r="AK55" s="17" t="str">
        <f>IFERROR(__xludf.DUMMYFUNCTION("""COMPUTED_VALUE"""),"gửi mã QR ngân hàng")</f>
        <v>gửi mã QR ngân hàng</v>
      </c>
      <c r="AL55" s="21" t="str">
        <f>IFERROR(__xludf.DUMMYFUNCTION("""COMPUTED_VALUE"""),"https://techcombank.com/thong-tin/blog/so-sanh-ma-qr-va-ma-vach")</f>
        <v>https://techcombank.com/thong-tin/blog/so-sanh-ma-qr-va-ma-vach</v>
      </c>
      <c r="AM55" s="17" t="str">
        <f>IFERROR(__xludf.DUMMYFUNCTION("""COMPUTED_VALUE"""),"cách gửi mã QR ngân hàng")</f>
        <v>cách gửi mã QR ngân hàng</v>
      </c>
      <c r="AN55" s="21" t="str">
        <f>IFERROR(__xludf.DUMMYFUNCTION("""COMPUTED_VALUE"""),"https://techcombank.com/thong-tin/blog/qr-code-doanh-nghiep")</f>
        <v>https://techcombank.com/thong-tin/blog/qr-code-doanh-nghiep</v>
      </c>
      <c r="AO55" s="17" t="str">
        <f>IFERROR(__xludf.DUMMYFUNCTION("""COMPUTED_VALUE"""),"gửi mã QR ngân hàng")</f>
        <v>gửi mã QR ngân hàng</v>
      </c>
      <c r="AP55" s="21" t="str">
        <f>IFERROR(__xludf.DUMMYFUNCTION("""COMPUTED_VALUE"""),"https://techcombank.com/thong-tin/blog/thanh-toan-bang-ma-qr")</f>
        <v>https://techcombank.com/thong-tin/blog/thanh-toan-bang-ma-qr</v>
      </c>
      <c r="AQ55" s="17" t="str">
        <f>IFERROR(__xludf.DUMMYFUNCTION("""COMPUTED_VALUE"""),"cách gửi mã QR ngân hàng")</f>
        <v>cách gửi mã QR ngân hàng</v>
      </c>
      <c r="AR55" s="21" t="str">
        <f>IFERROR(__xludf.DUMMYFUNCTION("""COMPUTED_VALUE"""),"https://techcombank.com/thong-tin/blog/cach-tao-ma-qr-code-mien-phi")</f>
        <v>https://techcombank.com/thong-tin/blog/cach-tao-ma-qr-code-mien-phi</v>
      </c>
      <c r="AS55" s="17" t="str">
        <f>IFERROR(__xludf.DUMMYFUNCTION("""COMPUTED_VALUE"""),"gửi mã QR ngân hàng")</f>
        <v>gửi mã QR ngân hàng</v>
      </c>
      <c r="AT55" s="21" t="str">
        <f>IFERROR(__xludf.DUMMYFUNCTION("""COMPUTED_VALUE"""),"https://techcombank.com/thong-tin/blog/qr-dong")</f>
        <v>https://techcombank.com/thong-tin/blog/qr-dong</v>
      </c>
      <c r="AU55" s="17" t="str">
        <f>IFERROR(__xludf.DUMMYFUNCTION("""COMPUTED_VALUE"""),"cách gửi mã QR ngân hàng")</f>
        <v>cách gửi mã QR ngân hàng</v>
      </c>
      <c r="AV55" s="21" t="str">
        <f>IFERROR(__xludf.DUMMYFUNCTION("""COMPUTED_VALUE"""),"https://techcombank.com/thong-tin/blog/rut-tien-bang-ma-qr-khac-ngan-hang-duoc-khong")</f>
        <v>https://techcombank.com/thong-tin/blog/rut-tien-bang-ma-qr-khac-ngan-hang-duoc-khong</v>
      </c>
      <c r="AW55" s="17" t="str">
        <f>IFERROR(__xludf.DUMMYFUNCTION("""COMPUTED_VALUE"""),"gửi mã QR ngân hàng")</f>
        <v>gửi mã QR ngân hàng</v>
      </c>
      <c r="AX55" s="21" t="str">
        <f>IFERROR(__xludf.DUMMYFUNCTION("""COMPUTED_VALUE"""),"https://techcombank.com/thong-tin/blog/thanh-toan-ma-qr-tro-thanh-phuong-thuc-duoc-ua-chuong-va-trien-khai-manh-me")</f>
        <v>https://techcombank.com/thong-tin/blog/thanh-toan-ma-qr-tro-thanh-phuong-thuc-duoc-ua-chuong-va-trien-khai-manh-me</v>
      </c>
      <c r="AY55" s="17" t="str">
        <f>IFERROR(__xludf.DUMMYFUNCTION("""COMPUTED_VALUE"""),"cách gửi mã QR ngân hàng")</f>
        <v>cách gửi mã QR ngân hàng</v>
      </c>
      <c r="AZ55" s="21" t="str">
        <f>IFERROR(__xludf.DUMMYFUNCTION("""COMPUTED_VALUE"""),"https://techcombank.com/thong-tin/blog/qr-code-phuong-thuc-thanh-toan-toi-uu-trong-ky-nguyen-so")</f>
        <v>https://techcombank.com/thong-tin/blog/qr-code-phuong-thuc-thanh-toan-toi-uu-trong-ky-nguyen-so</v>
      </c>
      <c r="BA55" s="17" t="str">
        <f>IFERROR(__xludf.DUMMYFUNCTION("""COMPUTED_VALUE"""),"gửi mã QR ngân hàng")</f>
        <v>gửi mã QR ngân hàng</v>
      </c>
      <c r="BB55" s="21" t="str">
        <f>IFERROR(__xludf.DUMMYFUNCTION("""COMPUTED_VALUE"""),"https://techcombank.com/thong-tin/blog/rut-tien-bang-ma-qr-la-gi-cach-thuc-hien-nhu-the-nao")</f>
        <v>https://techcombank.com/thong-tin/blog/rut-tien-bang-ma-qr-la-gi-cach-thuc-hien-nhu-the-nao</v>
      </c>
      <c r="BC55" s="17" t="str">
        <f>IFERROR(__xludf.DUMMYFUNCTION("""COMPUTED_VALUE"""),"cách gửi mã QR ngân hàng")</f>
        <v>cách gửi mã QR ngân hàng</v>
      </c>
      <c r="BD55" s="21" t="str">
        <f>IFERROR(__xludf.DUMMYFUNCTION("""COMPUTED_VALUE"""),"https://techcombank.com/thong-tin/blog/cach-chuyen-khoan-bang-dien-thoai")</f>
        <v>https://techcombank.com/thong-tin/blog/cach-chuyen-khoan-bang-dien-thoai</v>
      </c>
      <c r="BE55" s="17" t="str">
        <f>IFERROR(__xludf.DUMMYFUNCTION("""COMPUTED_VALUE"""),"gửi mã QR ngân hàng")</f>
        <v>gửi mã QR ngân hàng</v>
      </c>
      <c r="BF55" s="21" t="str">
        <f>IFERROR(__xludf.DUMMYFUNCTION("""COMPUTED_VALUE"""),"https://techcombank.com/thong-tin/blog/cach-rut-tien-atm")</f>
        <v>https://techcombank.com/thong-tin/blog/cach-rut-tien-atm</v>
      </c>
      <c r="BG55" s="17" t="str">
        <f>IFERROR(__xludf.DUMMYFUNCTION("""COMPUTED_VALUE"""),"cách gửi mã QR ngân hàng")</f>
        <v>cách gửi mã QR ngân hàng</v>
      </c>
      <c r="BH55" s="21" t="str">
        <f>IFERROR(__xludf.DUMMYFUNCTION("""COMPUTED_VALUE"""),"https://techcombank.com/thong-tin/blog/cach-chuyen-tien")</f>
        <v>https://techcombank.com/thong-tin/blog/cach-chuyen-tien</v>
      </c>
      <c r="BI55" s="17" t="str">
        <f>IFERROR(__xludf.DUMMYFUNCTION("""COMPUTED_VALUE"""),"gửi mã QR ngân hàng")</f>
        <v>gửi mã QR ngân hàng</v>
      </c>
      <c r="BJ55" s="21" t="str">
        <f>IFERROR(__xludf.DUMMYFUNCTION("""COMPUTED_VALUE"""),"https://techcombank.com/thong-tin/blog/cach-chuyen-tien-qua-ma-qr-techcombank")</f>
        <v>https://techcombank.com/thong-tin/blog/cach-chuyen-tien-qua-ma-qr-techcombank</v>
      </c>
      <c r="BK55" s="17" t="str">
        <f>IFERROR(__xludf.DUMMYFUNCTION("""COMPUTED_VALUE"""),"cách gửi mã QR ngân hàng")</f>
        <v>cách gửi mã QR ngân hàng</v>
      </c>
      <c r="BL55" s="21" t="str">
        <f>IFERROR(__xludf.DUMMYFUNCTION("""COMPUTED_VALUE"""),"https://techcombank.com/thong-tin/blog/thanh-toan-qr-thai-lan")</f>
        <v>https://techcombank.com/thong-tin/blog/thanh-toan-qr-thai-lan</v>
      </c>
      <c r="BM55" s="17" t="str">
        <f>IFERROR(__xludf.DUMMYFUNCTION("""COMPUTED_VALUE"""),"gửi mã QR ngân hàng")</f>
        <v>gửi mã QR ngân hàng</v>
      </c>
      <c r="BN55" s="21" t="str">
        <f>IFERROR(__xludf.DUMMYFUNCTION("""COMPUTED_VALUE"""),"https://techcombank.com/thong-tin/blog/one-stop-shop")</f>
        <v>https://techcombank.com/thong-tin/blog/one-stop-shop</v>
      </c>
      <c r="BO55" s="17" t="str">
        <f>IFERROR(__xludf.DUMMYFUNCTION("""COMPUTED_VALUE"""),"cách gửi mã QR ngân hàng")</f>
        <v>cách gửi mã QR ngân hàng</v>
      </c>
      <c r="BP55" s="21" t="str">
        <f>IFERROR(__xludf.DUMMYFUNCTION("""COMPUTED_VALUE"""),"https://techcombank.com/thong-tin/blog/loa-thong-bao-chuyen-khoan")</f>
        <v>https://techcombank.com/thong-tin/blog/loa-thong-bao-chuyen-khoan</v>
      </c>
      <c r="BQ55" s="17" t="str">
        <f>IFERROR(__xludf.DUMMYFUNCTION("""COMPUTED_VALUE"""),"gửi mã QR ngân hàng")</f>
        <v>gửi mã QR ngân hàng</v>
      </c>
      <c r="BR55" s="21" t="str">
        <f>IFERROR(__xludf.DUMMYFUNCTION("""COMPUTED_VALUE"""),"https://techcombank.com/thong-tin/blog/top-phan-mem-ban-hang")</f>
        <v>https://techcombank.com/thong-tin/blog/top-phan-mem-ban-hang</v>
      </c>
      <c r="BS55" s="17" t="str">
        <f>IFERROR(__xludf.DUMMYFUNCTION("""COMPUTED_VALUE"""),"cách gửi mã QR ngân hàng")</f>
        <v>cách gửi mã QR ngân hàng</v>
      </c>
      <c r="BT55" s="21" t="str">
        <f>IFERROR(__xludf.DUMMYFUNCTION("""COMPUTED_VALUE"""),"https://techcombank.com/thong-tin/blog/loa-ting-ting")</f>
        <v>https://techcombank.com/thong-tin/blog/loa-ting-ting</v>
      </c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  <c r="FN55" s="17"/>
      <c r="FO55" s="17"/>
      <c r="FP55" s="17"/>
      <c r="FQ55" s="17"/>
      <c r="FR55" s="17"/>
      <c r="FS55" s="17"/>
      <c r="FT55" s="17"/>
      <c r="FU55" s="17"/>
      <c r="FV55" s="17"/>
      <c r="FW55" s="17"/>
      <c r="FX55" s="17"/>
      <c r="FY55" s="17"/>
      <c r="FZ55" s="17"/>
      <c r="GA55" s="17"/>
      <c r="GB55" s="17"/>
      <c r="GC55" s="17"/>
      <c r="GD55" s="17"/>
      <c r="GE55" s="17"/>
      <c r="GF55" s="17"/>
      <c r="GG55" s="17"/>
      <c r="GH55" s="17"/>
      <c r="GI55" s="17"/>
      <c r="GJ55" s="17"/>
      <c r="GK55" s="17"/>
      <c r="GL55" s="17"/>
      <c r="GM55" s="17"/>
      <c r="GN55" s="17"/>
      <c r="GO55" s="17"/>
      <c r="GP55" s="17"/>
      <c r="GQ55" s="17"/>
      <c r="GR55" s="17"/>
      <c r="GS55" s="17"/>
      <c r="GT55" s="17"/>
      <c r="GU55" s="17"/>
      <c r="GV55" s="17"/>
      <c r="GW55" s="17"/>
      <c r="GX55" s="17"/>
      <c r="GY55" s="17"/>
      <c r="GZ55" s="17"/>
      <c r="HA55" s="17"/>
      <c r="HB55" s="17"/>
      <c r="HC55" s="17"/>
      <c r="HD55" s="17"/>
      <c r="HE55" s="17"/>
      <c r="HF55" s="17"/>
      <c r="HG55" s="17"/>
      <c r="HH55" s="17"/>
      <c r="HI55" s="17"/>
      <c r="HJ55" s="17"/>
      <c r="HK55" s="17"/>
      <c r="HL55" s="17"/>
      <c r="HM55" s="17"/>
      <c r="HN55" s="17"/>
      <c r="HO55" s="17"/>
      <c r="HP55" s="17"/>
      <c r="HQ55" s="17"/>
      <c r="HR55" s="17"/>
      <c r="HS55" s="17"/>
      <c r="HT55" s="17"/>
      <c r="HU55" s="17"/>
      <c r="HV55" s="17"/>
      <c r="HW55" s="17"/>
      <c r="HX55" s="17"/>
      <c r="HY55" s="17"/>
      <c r="HZ55" s="17"/>
      <c r="IA55" s="17"/>
      <c r="IB55" s="17"/>
      <c r="IC55" s="17"/>
      <c r="ID55" s="17"/>
      <c r="IE55" s="17"/>
      <c r="IF55" s="17"/>
      <c r="IG55" s="17"/>
      <c r="IH55" s="17"/>
      <c r="II55" s="17"/>
      <c r="IJ55" s="17"/>
      <c r="IK55" s="17"/>
      <c r="IL55" s="17"/>
      <c r="IM55" s="17"/>
      <c r="IN55" s="17"/>
      <c r="IO55" s="17"/>
      <c r="IP55" s="17"/>
      <c r="IQ55" s="17"/>
      <c r="IR55" s="17"/>
      <c r="IS55" s="17"/>
      <c r="IT55" s="17"/>
      <c r="IU55" s="17"/>
      <c r="IV55" s="17"/>
      <c r="IW55" s="17"/>
      <c r="IX55" s="17"/>
      <c r="IY55" s="17"/>
      <c r="IZ55" s="17"/>
      <c r="JA55" s="17"/>
      <c r="JB55" s="17"/>
      <c r="JC55" s="17"/>
      <c r="JD55" s="17"/>
      <c r="JE55" s="17"/>
      <c r="JF55" s="17"/>
      <c r="JG55" s="17"/>
      <c r="JH55" s="17"/>
      <c r="JI55" s="17"/>
      <c r="JJ55" s="17"/>
      <c r="JK55" s="17"/>
      <c r="JL55" s="17"/>
      <c r="JM55" s="17"/>
      <c r="JN55" s="17"/>
      <c r="JO55" s="17"/>
      <c r="JP55" s="17"/>
      <c r="JQ55" s="17"/>
      <c r="JR55" s="17"/>
      <c r="JS55" s="17"/>
      <c r="JT55" s="17"/>
      <c r="JU55" s="17"/>
      <c r="JV55" s="17"/>
      <c r="JW55" s="17"/>
      <c r="JX55" s="17"/>
      <c r="JY55" s="17"/>
      <c r="JZ55" s="17"/>
      <c r="KA55" s="17"/>
      <c r="KB55" s="17"/>
      <c r="KC55" s="17"/>
      <c r="KD55" s="17"/>
      <c r="KE55" s="17"/>
      <c r="KF55" s="17"/>
      <c r="KG55" s="17"/>
      <c r="KH55" s="17"/>
      <c r="KI55" s="17"/>
      <c r="KJ55" s="17"/>
      <c r="KK55" s="17"/>
      <c r="KL55" s="17"/>
      <c r="KM55" s="17"/>
      <c r="KN55" s="17"/>
      <c r="KO55" s="17"/>
      <c r="KP55" s="17"/>
      <c r="KQ55" s="17"/>
      <c r="KR55" s="17"/>
      <c r="KS55" s="17"/>
      <c r="KT55" s="17"/>
      <c r="KU55" s="17"/>
      <c r="KV55" s="17"/>
      <c r="KW55" s="17"/>
      <c r="KX55" s="17"/>
      <c r="KY55" s="17"/>
      <c r="KZ55" s="17"/>
      <c r="LA55" s="17"/>
      <c r="LB55" s="17"/>
      <c r="LC55" s="17"/>
      <c r="LD55" s="17"/>
      <c r="LE55" s="17"/>
      <c r="LF55" s="17"/>
      <c r="LG55" s="17"/>
      <c r="LH55" s="17"/>
      <c r="LI55" s="17"/>
      <c r="LJ55" s="17"/>
      <c r="LK55" s="17"/>
      <c r="LL55" s="17"/>
      <c r="LM55" s="17"/>
      <c r="LN55" s="17"/>
      <c r="LO55" s="17"/>
      <c r="LP55" s="17"/>
      <c r="LQ55" s="17"/>
      <c r="LR55" s="17"/>
      <c r="LS55" s="17"/>
      <c r="LT55" s="17"/>
      <c r="LU55" s="17"/>
      <c r="LV55" s="17"/>
      <c r="LW55" s="17"/>
      <c r="LX55" s="17"/>
      <c r="LY55" s="17"/>
      <c r="LZ55" s="17"/>
      <c r="MA55" s="17"/>
      <c r="MB55" s="17"/>
      <c r="MC55" s="17"/>
      <c r="MD55" s="17"/>
      <c r="ME55" s="17"/>
      <c r="MF55" s="17"/>
      <c r="MG55" s="17"/>
      <c r="MH55" s="17"/>
      <c r="MI55" s="17"/>
      <c r="MJ55" s="17"/>
      <c r="MK55" s="17"/>
      <c r="ML55" s="17"/>
      <c r="MM55" s="17"/>
      <c r="MN55" s="17"/>
      <c r="MO55" s="17"/>
      <c r="MP55" s="17"/>
      <c r="MQ55" s="17"/>
      <c r="MR55" s="17"/>
      <c r="MS55" s="17"/>
      <c r="MT55" s="17"/>
      <c r="MU55" s="17"/>
      <c r="MV55" s="17"/>
      <c r="MW55" s="17"/>
      <c r="MX55" s="17"/>
      <c r="MY55" s="17"/>
      <c r="MZ55" s="17"/>
      <c r="NA55" s="17"/>
      <c r="NB55" s="17"/>
      <c r="NC55" s="17"/>
      <c r="ND55" s="17"/>
      <c r="NE55" s="17"/>
      <c r="NF55" s="17"/>
      <c r="NG55" s="17"/>
      <c r="NH55" s="17"/>
      <c r="NI55" s="17"/>
      <c r="NJ55" s="17"/>
      <c r="NK55" s="17"/>
      <c r="NL55" s="17"/>
      <c r="NM55" s="17"/>
      <c r="NN55" s="17"/>
      <c r="NO55" s="17"/>
      <c r="NP55" s="17"/>
      <c r="NQ55" s="17"/>
      <c r="NR55" s="17"/>
      <c r="NS55" s="17"/>
      <c r="NT55" s="17"/>
      <c r="NU55" s="17"/>
      <c r="NV55" s="17"/>
      <c r="NW55" s="17"/>
      <c r="NX55" s="17"/>
      <c r="NY55" s="17"/>
      <c r="NZ55" s="17"/>
      <c r="OA55" s="17"/>
      <c r="OB55" s="17"/>
      <c r="OC55" s="17"/>
      <c r="OD55" s="17"/>
      <c r="OE55" s="17"/>
      <c r="OF55" s="17"/>
      <c r="OG55" s="17"/>
      <c r="OH55" s="17"/>
      <c r="OI55" s="17"/>
      <c r="OJ55" s="17"/>
      <c r="OK55" s="17"/>
      <c r="OL55" s="17"/>
      <c r="OM55" s="17"/>
      <c r="ON55" s="17"/>
      <c r="OO55" s="17"/>
      <c r="OP55" s="17"/>
      <c r="OQ55" s="17"/>
      <c r="OR55" s="17"/>
      <c r="OS55" s="17"/>
      <c r="OT55" s="17"/>
      <c r="OU55" s="17"/>
      <c r="OV55" s="17"/>
    </row>
    <row r="56" ht="18.0" customHeight="1">
      <c r="A56" s="16">
        <v>55.0</v>
      </c>
      <c r="B56" s="17" t="s">
        <v>1624</v>
      </c>
      <c r="C56" s="18" t="s">
        <v>1653</v>
      </c>
      <c r="D56" s="17" t="s">
        <v>589</v>
      </c>
      <c r="E56" s="16">
        <v>30.0</v>
      </c>
      <c r="F56" s="16">
        <f>COUNTIF('Tổng hợp 75 trang đích'!$B$2:$B$3400,$D56)</f>
        <v>30</v>
      </c>
      <c r="G56" s="16">
        <f>COUNTIFS('Tổng hợp 75 trang đích'!$B$2:$B$3400,$D56,'Tổng hợp 75 trang đích'!$K$2:$K$3400,"PHÙ HỢP CAO")</f>
        <v>3</v>
      </c>
      <c r="H56" s="16">
        <f>COUNTIFS('Tổng hợp 75 trang đích'!$B$2:$B$3400,$D56,'Tổng hợp 75 trang đích'!$K$2:$K$3400,"CÓ THỂ ĐI")</f>
        <v>2</v>
      </c>
      <c r="I56" s="16">
        <f>COUNTIFS('Tổng hợp 75 trang đích'!$B$2:$B$3400,$D56,'Tổng hợp 75 trang đích'!$K$2:$K$3400,"CẦN SOÁT")</f>
        <v>25</v>
      </c>
      <c r="J56" s="19" t="s">
        <v>555</v>
      </c>
      <c r="K56" s="19" t="b">
        <v>0</v>
      </c>
      <c r="L56" s="20" t="s">
        <v>333</v>
      </c>
      <c r="M56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đích'!$B$2:$B$3400=$D56),3,TR"&amp;"UE),1,2)),"""")"),"mở tài khoản hộ kinh doanh")</f>
        <v>mở tài khoản hộ kinh doanh</v>
      </c>
      <c r="N56" s="21" t="str">
        <f>IFERROR(__xludf.DUMMYFUNCTION("""COMPUTED_VALUE"""),"https://techcombank.com/thong-tin/blog/ho-kinh-doanh-can-gi-o-tai-khoan-ngan-hang")</f>
        <v>https://techcombank.com/thong-tin/blog/ho-kinh-doanh-can-gi-o-tai-khoan-ngan-hang</v>
      </c>
      <c r="O56" s="17" t="str">
        <f>IFERROR(__xludf.DUMMYFUNCTION("""COMPUTED_VALUE"""),"cách mở tài khoản hộ kinh doanh")</f>
        <v>cách mở tài khoản hộ kinh doanh</v>
      </c>
      <c r="P56" s="21" t="str">
        <f>IFERROR(__xludf.DUMMYFUNCTION("""COMPUTED_VALUE"""),"https://techcombank.com/thong-tin/blog/thanh-lap-ho-kinh-doanh-ca-the")</f>
        <v>https://techcombank.com/thong-tin/blog/thanh-lap-ho-kinh-doanh-ca-the</v>
      </c>
      <c r="Q56" s="17" t="str">
        <f>IFERROR(__xludf.DUMMYFUNCTION("""COMPUTED_VALUE"""),"tài khoản hộ kinh doanh")</f>
        <v>tài khoản hộ kinh doanh</v>
      </c>
      <c r="R56" s="21" t="str">
        <f>IFERROR(__xludf.DUMMYFUNCTION("""COMPUTED_VALUE"""),"https://techcombank.com/thong-tin/blog/khai-bao-tai-khoan-ngan-hang-voi-co-quan-thue")</f>
        <v>https://techcombank.com/thong-tin/blog/khai-bao-tai-khoan-ngan-hang-voi-co-quan-thue</v>
      </c>
      <c r="S56" s="17" t="str">
        <f>IFERROR(__xludf.DUMMYFUNCTION("""COMPUTED_VALUE"""),"mở tài khoản hộ kinh doanh")</f>
        <v>mở tài khoản hộ kinh doanh</v>
      </c>
      <c r="T56" s="21" t="str">
        <f>IFERROR(__xludf.DUMMYFUNCTION("""COMPUTED_VALUE"""),"https://techcombank.com/thong-tin/blog/ho-kinh-doanh-ca-the")</f>
        <v>https://techcombank.com/thong-tin/blog/ho-kinh-doanh-ca-the</v>
      </c>
      <c r="U56" s="17" t="str">
        <f>IFERROR(__xludf.DUMMYFUNCTION("""COMPUTED_VALUE"""),"cách mở tài khoản hộ kinh doanh")</f>
        <v>cách mở tài khoản hộ kinh doanh</v>
      </c>
      <c r="V56" s="21" t="str">
        <f>IFERROR(__xludf.DUMMYFUNCTION("""COMPUTED_VALUE"""),"https://techcombank.com/thong-tin/blog/cach-dang-ky-ma-so-thue-ho-kinh-doanh-online")</f>
        <v>https://techcombank.com/thong-tin/blog/cach-dang-ky-ma-so-thue-ho-kinh-doanh-online</v>
      </c>
      <c r="W56" s="17" t="str">
        <f>IFERROR(__xludf.DUMMYFUNCTION("""COMPUTED_VALUE"""),"tài khoản hộ kinh doanh")</f>
        <v>tài khoản hộ kinh doanh</v>
      </c>
      <c r="X56" s="21" t="str">
        <f>IFERROR(__xludf.DUMMYFUNCTION("""COMPUTED_VALUE"""),"https://techcombank.com/thong-tin/blog/ho-kinh-doanh-la-gi")</f>
        <v>https://techcombank.com/thong-tin/blog/ho-kinh-doanh-la-gi</v>
      </c>
      <c r="Y56" s="17" t="str">
        <f>IFERROR(__xludf.DUMMYFUNCTION("""COMPUTED_VALUE"""),"mở tài khoản hộ kinh doanh")</f>
        <v>mở tài khoản hộ kinh doanh</v>
      </c>
      <c r="Z56" s="21" t="str">
        <f>IFERROR(__xludf.DUMMYFUNCTION("""COMPUTED_VALUE"""),"https://techcombank.com/thong-tin/blog/thue-ho-kinh-doanh-2025")</f>
        <v>https://techcombank.com/thong-tin/blog/thue-ho-kinh-doanh-2025</v>
      </c>
      <c r="AA56" s="17" t="str">
        <f>IFERROR(__xludf.DUMMYFUNCTION("""COMPUTED_VALUE"""),"cách mở tài khoản hộ kinh doanh")</f>
        <v>cách mở tài khoản hộ kinh doanh</v>
      </c>
      <c r="AB56" s="21" t="str">
        <f>IFERROR(__xludf.DUMMYFUNCTION("""COMPUTED_VALUE"""),"https://techcombank.com/thong-tin/blog/cach-tao-ma-qr")</f>
        <v>https://techcombank.com/thong-tin/blog/cach-tao-ma-qr</v>
      </c>
      <c r="AC56" s="17" t="str">
        <f>IFERROR(__xludf.DUMMYFUNCTION("""COMPUTED_VALUE"""),"tài khoản hộ kinh doanh")</f>
        <v>tài khoản hộ kinh doanh</v>
      </c>
      <c r="AD56" s="21" t="str">
        <f>IFERROR(__xludf.DUMMYFUNCTION("""COMPUTED_VALUE"""),"https://techcombank.com/thong-tin/blog/cach-tinh-thue-ho-kinh-doanh-nho-le")</f>
        <v>https://techcombank.com/thong-tin/blog/cach-tinh-thue-ho-kinh-doanh-nho-le</v>
      </c>
      <c r="AE56" s="17" t="str">
        <f>IFERROR(__xludf.DUMMYFUNCTION("""COMPUTED_VALUE"""),"mở tài khoản hộ kinh doanh")</f>
        <v>mở tài khoản hộ kinh doanh</v>
      </c>
      <c r="AF56" s="21" t="str">
        <f>IFERROR(__xludf.DUMMYFUNCTION("""COMPUTED_VALUE"""),"https://techcombank.com/thong-tin/blog/loi-ich-khi-ho-kinh-doanh-chuyen-len-doanh-nghiep")</f>
        <v>https://techcombank.com/thong-tin/blog/loi-ich-khi-ho-kinh-doanh-chuyen-len-doanh-nghiep</v>
      </c>
      <c r="AG56" s="17" t="str">
        <f>IFERROR(__xludf.DUMMYFUNCTION("""COMPUTED_VALUE"""),"cách mở tài khoản hộ kinh doanh")</f>
        <v>cách mở tài khoản hộ kinh doanh</v>
      </c>
      <c r="AH56" s="21" t="str">
        <f>IFERROR(__xludf.DUMMYFUNCTION("""COMPUTED_VALUE"""),"https://techcombank.com/thong-tin/blog/tiem-nang-chuyen-doi-tu-ho-kinh-doanh-len-doanh-nghiep-sme")</f>
        <v>https://techcombank.com/thong-tin/blog/tiem-nang-chuyen-doi-tu-ho-kinh-doanh-len-doanh-nghiep-sme</v>
      </c>
      <c r="AI56" s="17" t="str">
        <f>IFERROR(__xludf.DUMMYFUNCTION("""COMPUTED_VALUE"""),"tài khoản hộ kinh doanh")</f>
        <v>tài khoản hộ kinh doanh</v>
      </c>
      <c r="AJ56" s="21" t="str">
        <f>IFERROR(__xludf.DUMMYFUNCTION("""COMPUTED_VALUE"""),"https://techcombank.com/thong-tin/blog/lai-suat-vay-kinh-doanh")</f>
        <v>https://techcombank.com/thong-tin/blog/lai-suat-vay-kinh-doanh</v>
      </c>
      <c r="AK56" s="17" t="str">
        <f>IFERROR(__xludf.DUMMYFUNCTION("""COMPUTED_VALUE"""),"mở tài khoản hộ kinh doanh")</f>
        <v>mở tài khoản hộ kinh doanh</v>
      </c>
      <c r="AL56" s="21" t="str">
        <f>IFERROR(__xludf.DUMMYFUNCTION("""COMPUTED_VALUE"""),"https://techcombank.com/thong-tin/blog/chuyen-doi-ho-kinh-doanh-len-doanh-nghiep")</f>
        <v>https://techcombank.com/thong-tin/blog/chuyen-doi-ho-kinh-doanh-len-doanh-nghiep</v>
      </c>
      <c r="AM56" s="17" t="str">
        <f>IFERROR(__xludf.DUMMYFUNCTION("""COMPUTED_VALUE"""),"cách mở tài khoản hộ kinh doanh")</f>
        <v>cách mở tài khoản hộ kinh doanh</v>
      </c>
      <c r="AN56" s="21" t="str">
        <f>IFERROR(__xludf.DUMMYFUNCTION("""COMPUTED_VALUE"""),"https://techcombank.com/thong-tin/blog/thanh-toan-khong-dung-tien-mat")</f>
        <v>https://techcombank.com/thong-tin/blog/thanh-toan-khong-dung-tien-mat</v>
      </c>
      <c r="AO56" s="17" t="str">
        <f>IFERROR(__xludf.DUMMYFUNCTION("""COMPUTED_VALUE"""),"tài khoản hộ kinh doanh")</f>
        <v>tài khoản hộ kinh doanh</v>
      </c>
      <c r="AP56" s="21" t="str">
        <f>IFERROR(__xludf.DUMMYFUNCTION("""COMPUTED_VALUE"""),"https://techcombank.com/thong-tin/blog/nen-thanh-lap-ho-kinh-doanh-ke-khai-hay-doanh-nghiep")</f>
        <v>https://techcombank.com/thong-tin/blog/nen-thanh-lap-ho-kinh-doanh-ke-khai-hay-doanh-nghiep</v>
      </c>
      <c r="AQ56" s="17" t="str">
        <f>IFERROR(__xludf.DUMMYFUNCTION("""COMPUTED_VALUE"""),"mở tài khoản hộ kinh doanh")</f>
        <v>mở tài khoản hộ kinh doanh</v>
      </c>
      <c r="AR56" s="21" t="str">
        <f>IFERROR(__xludf.DUMMYFUNCTION("""COMPUTED_VALUE"""),"https://techcombank.com/thong-tin/blog/vay-tin-chap-ho-kinh-doanh")</f>
        <v>https://techcombank.com/thong-tin/blog/vay-tin-chap-ho-kinh-doanh</v>
      </c>
      <c r="AS56" s="17" t="str">
        <f>IFERROR(__xludf.DUMMYFUNCTION("""COMPUTED_VALUE"""),"cách mở tài khoản hộ kinh doanh")</f>
        <v>cách mở tài khoản hộ kinh doanh</v>
      </c>
      <c r="AT56" s="21" t="str">
        <f>IFERROR(__xludf.DUMMYFUNCTION("""COMPUTED_VALUE"""),"https://techcombank.com/thong-tin/blog/tra-cuu-no-thue-ho-kinh-doanh")</f>
        <v>https://techcombank.com/thong-tin/blog/tra-cuu-no-thue-ho-kinh-doanh</v>
      </c>
      <c r="AU56" s="17" t="str">
        <f>IFERROR(__xludf.DUMMYFUNCTION("""COMPUTED_VALUE"""),"tài khoản hộ kinh doanh")</f>
        <v>tài khoản hộ kinh doanh</v>
      </c>
      <c r="AV56" s="21" t="str">
        <f>IFERROR(__xludf.DUMMYFUNCTION("""COMPUTED_VALUE"""),"https://techcombank.com/thong-tin/blog/lien-ket-tai-khoan-ngan-hang-voi-etax-mobile")</f>
        <v>https://techcombank.com/thong-tin/blog/lien-ket-tai-khoan-ngan-hang-voi-etax-mobile</v>
      </c>
      <c r="AW56" s="17" t="str">
        <f>IFERROR(__xludf.DUMMYFUNCTION("""COMPUTED_VALUE"""),"mở tài khoản hộ kinh doanh")</f>
        <v>mở tài khoản hộ kinh doanh</v>
      </c>
      <c r="AX56" s="21" t="str">
        <f>IFERROR(__xludf.DUMMYFUNCTION("""COMPUTED_VALUE"""),"https://techcombank.com/thong-tin/blog/thu-tuc-vay-von-kinh-doanh-nho")</f>
        <v>https://techcombank.com/thong-tin/blog/thu-tuc-vay-von-kinh-doanh-nho</v>
      </c>
      <c r="AY56" s="17" t="str">
        <f>IFERROR(__xludf.DUMMYFUNCTION("""COMPUTED_VALUE"""),"cách mở tài khoản hộ kinh doanh")</f>
        <v>cách mở tài khoản hộ kinh doanh</v>
      </c>
      <c r="AZ56" s="21" t="str">
        <f>IFERROR(__xludf.DUMMYFUNCTION("""COMPUTED_VALUE"""),"https://techcombank.com/thong-tin/blog/truy-thu-thue-ho-kinh-doanh")</f>
        <v>https://techcombank.com/thong-tin/blog/truy-thu-thue-ho-kinh-doanh</v>
      </c>
      <c r="BA56" s="17" t="str">
        <f>IFERROR(__xludf.DUMMYFUNCTION("""COMPUTED_VALUE"""),"tài khoản hộ kinh doanh")</f>
        <v>tài khoản hộ kinh doanh</v>
      </c>
      <c r="BB56" s="21" t="str">
        <f>IFERROR(__xludf.DUMMYFUNCTION("""COMPUTED_VALUE"""),"https://techcombank.com/thong-tin/blog/kiem-tra-thue-ho-kinh-doanh")</f>
        <v>https://techcombank.com/thong-tin/blog/kiem-tra-thue-ho-kinh-doanh</v>
      </c>
      <c r="BC56" s="17" t="str">
        <f>IFERROR(__xludf.DUMMYFUNCTION("""COMPUTED_VALUE"""),"mở tài khoản hộ kinh doanh")</f>
        <v>mở tài khoản hộ kinh doanh</v>
      </c>
      <c r="BD56" s="21" t="str">
        <f>IFERROR(__xludf.DUMMYFUNCTION("""COMPUTED_VALUE"""),"https://techcombank.com/thong-tin/blog/cac-sai-lam-pho-bien-khi-chuyen-doi-ho-kinh-doanh-len-sme")</f>
        <v>https://techcombank.com/thong-tin/blog/cac-sai-lam-pho-bien-khi-chuyen-doi-ho-kinh-doanh-len-sme</v>
      </c>
      <c r="BE56" s="17" t="str">
        <f>IFERROR(__xludf.DUMMYFUNCTION("""COMPUTED_VALUE"""),"cách mở tài khoản hộ kinh doanh")</f>
        <v>cách mở tài khoản hộ kinh doanh</v>
      </c>
      <c r="BF56" s="21" t="str">
        <f>IFERROR(__xludf.DUMMYFUNCTION("""COMPUTED_VALUE"""),"https://techcombank.com/thong-tin/blog/giay-phep-kinh-doanh")</f>
        <v>https://techcombank.com/thong-tin/blog/giay-phep-kinh-doanh</v>
      </c>
      <c r="BG56" s="17" t="str">
        <f>IFERROR(__xludf.DUMMYFUNCTION("""COMPUTED_VALUE"""),"tài khoản hộ kinh doanh")</f>
        <v>tài khoản hộ kinh doanh</v>
      </c>
      <c r="BH56" s="21" t="str">
        <f>IFERROR(__xludf.DUMMYFUNCTION("""COMPUTED_VALUE"""),"https://techcombank.com/thong-tin/blog/chuyen-doi-hoa-don-dien-tu")</f>
        <v>https://techcombank.com/thong-tin/blog/chuyen-doi-hoa-don-dien-tu</v>
      </c>
      <c r="BI56" s="17" t="str">
        <f>IFERROR(__xludf.DUMMYFUNCTION("""COMPUTED_VALUE"""),"mở tài khoản hộ kinh doanh")</f>
        <v>mở tài khoản hộ kinh doanh</v>
      </c>
      <c r="BJ56" s="21" t="str">
        <f>IFERROR(__xludf.DUMMYFUNCTION("""COMPUTED_VALUE"""),"https://techcombank.com/thong-tin/blog/dang-ky-kinh-doanh-la-gi")</f>
        <v>https://techcombank.com/thong-tin/blog/dang-ky-kinh-doanh-la-gi</v>
      </c>
      <c r="BK56" s="17" t="str">
        <f>IFERROR(__xludf.DUMMYFUNCTION("""COMPUTED_VALUE"""),"cách mở tài khoản hộ kinh doanh")</f>
        <v>cách mở tài khoản hộ kinh doanh</v>
      </c>
      <c r="BL56" s="21" t="str">
        <f>IFERROR(__xludf.DUMMYFUNCTION("""COMPUTED_VALUE"""),"https://techcombank.com/thong-tin/blog/thay-doi-dia-chi-ho-kinh-doanh")</f>
        <v>https://techcombank.com/thong-tin/blog/thay-doi-dia-chi-ho-kinh-doanh</v>
      </c>
      <c r="BM56" s="17" t="str">
        <f>IFERROR(__xludf.DUMMYFUNCTION("""COMPUTED_VALUE"""),"tài khoản hộ kinh doanh")</f>
        <v>tài khoản hộ kinh doanh</v>
      </c>
      <c r="BN56" s="21" t="str">
        <f>IFERROR(__xludf.DUMMYFUNCTION("""COMPUTED_VALUE"""),"https://techcombank.com/thong-tin/blog/nhung-ho-kinh-doanh-duoc-mien-thue")</f>
        <v>https://techcombank.com/thong-tin/blog/nhung-ho-kinh-doanh-duoc-mien-thue</v>
      </c>
      <c r="BO56" s="17" t="str">
        <f>IFERROR(__xludf.DUMMYFUNCTION("""COMPUTED_VALUE"""),"mở tài khoản hộ kinh doanh")</f>
        <v>mở tài khoản hộ kinh doanh</v>
      </c>
      <c r="BP56" s="21" t="str">
        <f>IFERROR(__xludf.DUMMYFUNCTION("""COMPUTED_VALUE"""),"https://techcombank.com/thong-tin/blog/luu-y-khi-chuyen-doi-tu-ho-kinh-doanh-len-doanh-nghiep")</f>
        <v>https://techcombank.com/thong-tin/blog/luu-y-khi-chuyen-doi-tu-ho-kinh-doanh-len-doanh-nghiep</v>
      </c>
      <c r="BQ56" s="17" t="str">
        <f>IFERROR(__xludf.DUMMYFUNCTION("""COMPUTED_VALUE"""),"cách mở tài khoản hộ kinh doanh")</f>
        <v>cách mở tài khoản hộ kinh doanh</v>
      </c>
      <c r="BR56" s="21" t="str">
        <f>IFERROR(__xludf.DUMMYFUNCTION("""COMPUTED_VALUE"""),"https://techcombank.com/thong-tin/blog/barcode-la-gi")</f>
        <v>https://techcombank.com/thong-tin/blog/barcode-la-gi</v>
      </c>
      <c r="BS56" s="17" t="str">
        <f>IFERROR(__xludf.DUMMYFUNCTION("""COMPUTED_VALUE"""),"tài khoản hộ kinh doanh")</f>
        <v>tài khoản hộ kinh doanh</v>
      </c>
      <c r="BT56" s="21" t="str">
        <f>IFERROR(__xludf.DUMMYFUNCTION("""COMPUTED_VALUE"""),"https://techcombank.com/thong-tin/blog/tra-cuu-ma-so-thue-ho-kinh-doanh")</f>
        <v>https://techcombank.com/thong-tin/blog/tra-cuu-ma-so-thue-ho-kinh-doanh</v>
      </c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  <c r="FN56" s="17"/>
      <c r="FO56" s="17"/>
      <c r="FP56" s="17"/>
      <c r="FQ56" s="17"/>
      <c r="FR56" s="17"/>
      <c r="FS56" s="17"/>
      <c r="FT56" s="17"/>
      <c r="FU56" s="17"/>
      <c r="FV56" s="17"/>
      <c r="FW56" s="17"/>
      <c r="FX56" s="17"/>
      <c r="FY56" s="17"/>
      <c r="FZ56" s="17"/>
      <c r="GA56" s="17"/>
      <c r="GB56" s="17"/>
      <c r="GC56" s="17"/>
      <c r="GD56" s="17"/>
      <c r="GE56" s="17"/>
      <c r="GF56" s="17"/>
      <c r="GG56" s="17"/>
      <c r="GH56" s="17"/>
      <c r="GI56" s="17"/>
      <c r="GJ56" s="17"/>
      <c r="GK56" s="17"/>
      <c r="GL56" s="17"/>
      <c r="GM56" s="17"/>
      <c r="GN56" s="17"/>
      <c r="GO56" s="17"/>
      <c r="GP56" s="17"/>
      <c r="GQ56" s="17"/>
      <c r="GR56" s="17"/>
      <c r="GS56" s="17"/>
      <c r="GT56" s="17"/>
      <c r="GU56" s="17"/>
      <c r="GV56" s="17"/>
      <c r="GW56" s="17"/>
      <c r="GX56" s="17"/>
      <c r="GY56" s="17"/>
      <c r="GZ56" s="17"/>
      <c r="HA56" s="17"/>
      <c r="HB56" s="17"/>
      <c r="HC56" s="17"/>
      <c r="HD56" s="17"/>
      <c r="HE56" s="17"/>
      <c r="HF56" s="17"/>
      <c r="HG56" s="17"/>
      <c r="HH56" s="17"/>
      <c r="HI56" s="17"/>
      <c r="HJ56" s="17"/>
      <c r="HK56" s="17"/>
      <c r="HL56" s="17"/>
      <c r="HM56" s="17"/>
      <c r="HN56" s="17"/>
      <c r="HO56" s="17"/>
      <c r="HP56" s="17"/>
      <c r="HQ56" s="17"/>
      <c r="HR56" s="17"/>
      <c r="HS56" s="17"/>
      <c r="HT56" s="17"/>
      <c r="HU56" s="17"/>
      <c r="HV56" s="17"/>
      <c r="HW56" s="17"/>
      <c r="HX56" s="17"/>
      <c r="HY56" s="17"/>
      <c r="HZ56" s="17"/>
      <c r="IA56" s="17"/>
      <c r="IB56" s="17"/>
      <c r="IC56" s="17"/>
      <c r="ID56" s="17"/>
      <c r="IE56" s="17"/>
      <c r="IF56" s="17"/>
      <c r="IG56" s="17"/>
      <c r="IH56" s="17"/>
      <c r="II56" s="17"/>
      <c r="IJ56" s="17"/>
      <c r="IK56" s="17"/>
      <c r="IL56" s="17"/>
      <c r="IM56" s="17"/>
      <c r="IN56" s="17"/>
      <c r="IO56" s="17"/>
      <c r="IP56" s="17"/>
      <c r="IQ56" s="17"/>
      <c r="IR56" s="17"/>
      <c r="IS56" s="17"/>
      <c r="IT56" s="17"/>
      <c r="IU56" s="17"/>
      <c r="IV56" s="17"/>
      <c r="IW56" s="17"/>
      <c r="IX56" s="17"/>
      <c r="IY56" s="17"/>
      <c r="IZ56" s="17"/>
      <c r="JA56" s="17"/>
      <c r="JB56" s="17"/>
      <c r="JC56" s="17"/>
      <c r="JD56" s="17"/>
      <c r="JE56" s="17"/>
      <c r="JF56" s="17"/>
      <c r="JG56" s="17"/>
      <c r="JH56" s="17"/>
      <c r="JI56" s="17"/>
      <c r="JJ56" s="17"/>
      <c r="JK56" s="17"/>
      <c r="JL56" s="17"/>
      <c r="JM56" s="17"/>
      <c r="JN56" s="17"/>
      <c r="JO56" s="17"/>
      <c r="JP56" s="17"/>
      <c r="JQ56" s="17"/>
      <c r="JR56" s="17"/>
      <c r="JS56" s="17"/>
      <c r="JT56" s="17"/>
      <c r="JU56" s="17"/>
      <c r="JV56" s="17"/>
      <c r="JW56" s="17"/>
      <c r="JX56" s="17"/>
      <c r="JY56" s="17"/>
      <c r="JZ56" s="17"/>
      <c r="KA56" s="17"/>
      <c r="KB56" s="17"/>
      <c r="KC56" s="17"/>
      <c r="KD56" s="17"/>
      <c r="KE56" s="17"/>
      <c r="KF56" s="17"/>
      <c r="KG56" s="17"/>
      <c r="KH56" s="17"/>
      <c r="KI56" s="17"/>
      <c r="KJ56" s="17"/>
      <c r="KK56" s="17"/>
      <c r="KL56" s="17"/>
      <c r="KM56" s="17"/>
      <c r="KN56" s="17"/>
      <c r="KO56" s="17"/>
      <c r="KP56" s="17"/>
      <c r="KQ56" s="17"/>
      <c r="KR56" s="17"/>
      <c r="KS56" s="17"/>
      <c r="KT56" s="17"/>
      <c r="KU56" s="17"/>
      <c r="KV56" s="17"/>
      <c r="KW56" s="17"/>
      <c r="KX56" s="17"/>
      <c r="KY56" s="17"/>
      <c r="KZ56" s="17"/>
      <c r="LA56" s="17"/>
      <c r="LB56" s="17"/>
      <c r="LC56" s="17"/>
      <c r="LD56" s="17"/>
      <c r="LE56" s="17"/>
      <c r="LF56" s="17"/>
      <c r="LG56" s="17"/>
      <c r="LH56" s="17"/>
      <c r="LI56" s="17"/>
      <c r="LJ56" s="17"/>
      <c r="LK56" s="17"/>
      <c r="LL56" s="17"/>
      <c r="LM56" s="17"/>
      <c r="LN56" s="17"/>
      <c r="LO56" s="17"/>
      <c r="LP56" s="17"/>
      <c r="LQ56" s="17"/>
      <c r="LR56" s="17"/>
      <c r="LS56" s="17"/>
      <c r="LT56" s="17"/>
      <c r="LU56" s="17"/>
      <c r="LV56" s="17"/>
      <c r="LW56" s="17"/>
      <c r="LX56" s="17"/>
      <c r="LY56" s="17"/>
      <c r="LZ56" s="17"/>
      <c r="MA56" s="17"/>
      <c r="MB56" s="17"/>
      <c r="MC56" s="17"/>
      <c r="MD56" s="17"/>
      <c r="ME56" s="17"/>
      <c r="MF56" s="17"/>
      <c r="MG56" s="17"/>
      <c r="MH56" s="17"/>
      <c r="MI56" s="17"/>
      <c r="MJ56" s="17"/>
      <c r="MK56" s="17"/>
      <c r="ML56" s="17"/>
      <c r="MM56" s="17"/>
      <c r="MN56" s="17"/>
      <c r="MO56" s="17"/>
      <c r="MP56" s="17"/>
      <c r="MQ56" s="17"/>
      <c r="MR56" s="17"/>
      <c r="MS56" s="17"/>
      <c r="MT56" s="17"/>
      <c r="MU56" s="17"/>
      <c r="MV56" s="17"/>
      <c r="MW56" s="17"/>
      <c r="MX56" s="17"/>
      <c r="MY56" s="17"/>
      <c r="MZ56" s="17"/>
      <c r="NA56" s="17"/>
      <c r="NB56" s="17"/>
      <c r="NC56" s="17"/>
      <c r="ND56" s="17"/>
      <c r="NE56" s="17"/>
      <c r="NF56" s="17"/>
      <c r="NG56" s="17"/>
      <c r="NH56" s="17"/>
      <c r="NI56" s="17"/>
      <c r="NJ56" s="17"/>
      <c r="NK56" s="17"/>
      <c r="NL56" s="17"/>
      <c r="NM56" s="17"/>
      <c r="NN56" s="17"/>
      <c r="NO56" s="17"/>
      <c r="NP56" s="17"/>
      <c r="NQ56" s="17"/>
      <c r="NR56" s="17"/>
      <c r="NS56" s="17"/>
      <c r="NT56" s="17"/>
      <c r="NU56" s="17"/>
      <c r="NV56" s="17"/>
      <c r="NW56" s="17"/>
      <c r="NX56" s="17"/>
      <c r="NY56" s="17"/>
      <c r="NZ56" s="17"/>
      <c r="OA56" s="17"/>
      <c r="OB56" s="17"/>
      <c r="OC56" s="17"/>
      <c r="OD56" s="17"/>
      <c r="OE56" s="17"/>
      <c r="OF56" s="17"/>
      <c r="OG56" s="17"/>
      <c r="OH56" s="17"/>
      <c r="OI56" s="17"/>
      <c r="OJ56" s="17"/>
      <c r="OK56" s="17"/>
      <c r="OL56" s="17"/>
      <c r="OM56" s="17"/>
      <c r="ON56" s="17"/>
      <c r="OO56" s="17"/>
      <c r="OP56" s="17"/>
      <c r="OQ56" s="17"/>
      <c r="OR56" s="17"/>
      <c r="OS56" s="17"/>
      <c r="OT56" s="17"/>
      <c r="OU56" s="17"/>
      <c r="OV56" s="17"/>
    </row>
    <row r="57" ht="18.0" customHeight="1">
      <c r="A57" s="16">
        <v>56.0</v>
      </c>
      <c r="B57" s="17" t="s">
        <v>1624</v>
      </c>
      <c r="C57" s="18" t="s">
        <v>1665</v>
      </c>
      <c r="D57" s="17" t="s">
        <v>591</v>
      </c>
      <c r="E57" s="16">
        <v>30.0</v>
      </c>
      <c r="F57" s="16">
        <f>COUNTIF('Tổng hợp 75 trang đích'!$B$2:$B$3400,$D57)</f>
        <v>30</v>
      </c>
      <c r="G57" s="16">
        <f>COUNTIFS('Tổng hợp 75 trang đích'!$B$2:$B$3400,$D57,'Tổng hợp 75 trang đích'!$K$2:$K$3400,"PHÙ HỢP CAO")</f>
        <v>3</v>
      </c>
      <c r="H57" s="16">
        <f>COUNTIFS('Tổng hợp 75 trang đích'!$B$2:$B$3400,$D57,'Tổng hợp 75 trang đích'!$K$2:$K$3400,"CÓ THỂ ĐI")</f>
        <v>2</v>
      </c>
      <c r="I57" s="16">
        <f>COUNTIFS('Tổng hợp 75 trang đích'!$B$2:$B$3400,$D57,'Tổng hợp 75 trang đích'!$K$2:$K$3400,"CẦN SOÁT")</f>
        <v>25</v>
      </c>
      <c r="J57" s="19" t="s">
        <v>555</v>
      </c>
      <c r="K57" s="19" t="b">
        <v>0</v>
      </c>
      <c r="L57" s="20" t="s">
        <v>333</v>
      </c>
      <c r="M57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đích'!$B$2:$B$3400=$D57),3,TR"&amp;"UE),1,2)),"""")"),"cách tính thuế hộ kinh doanh nhỏ lẻ")</f>
        <v>cách tính thuế hộ kinh doanh nhỏ lẻ</v>
      </c>
      <c r="N57" s="21" t="str">
        <f>IFERROR(__xludf.DUMMYFUNCTION("""COMPUTED_VALUE"""),"https://techcombank.com/thong-tin/blog/ke-khai-thue-ho-kinh-doanh-ca-the-online")</f>
        <v>https://techcombank.com/thong-tin/blog/ke-khai-thue-ho-kinh-doanh-ca-the-online</v>
      </c>
      <c r="O57" s="17" t="str">
        <f>IFERROR(__xludf.DUMMYFUNCTION("""COMPUTED_VALUE"""),"cách tính thuế hộ kinh doanh")</f>
        <v>cách tính thuế hộ kinh doanh</v>
      </c>
      <c r="P57" s="21" t="str">
        <f>IFERROR(__xludf.DUMMYFUNCTION("""COMPUTED_VALUE"""),"https://techcombank.com/thong-tin/blog/kiem-tra-thue-ho-kinh-doanh")</f>
        <v>https://techcombank.com/thong-tin/blog/kiem-tra-thue-ho-kinh-doanh</v>
      </c>
      <c r="Q57" s="17" t="str">
        <f>IFERROR(__xludf.DUMMYFUNCTION("""COMPUTED_VALUE"""),"cách tính thuế hộ kinh doanh nhỏ lẻ")</f>
        <v>cách tính thuế hộ kinh doanh nhỏ lẻ</v>
      </c>
      <c r="R57" s="21" t="str">
        <f>IFERROR(__xludf.DUMMYFUNCTION("""COMPUTED_VALUE"""),"https://techcombank.com/thong-tin/blog/thue-thuong-mai-dien-tu")</f>
        <v>https://techcombank.com/thong-tin/blog/thue-thuong-mai-dien-tu</v>
      </c>
      <c r="S57" s="17" t="str">
        <f>IFERROR(__xludf.DUMMYFUNCTION("""COMPUTED_VALUE"""),"cách tính thuế hộ kinh doanh")</f>
        <v>cách tính thuế hộ kinh doanh</v>
      </c>
      <c r="T57" s="21" t="str">
        <f>IFERROR(__xludf.DUMMYFUNCTION("""COMPUTED_VALUE"""),"https://techcombank.com/thong-tin/blog/chinh-sach-thue-moi")</f>
        <v>https://techcombank.com/thong-tin/blog/chinh-sach-thue-moi</v>
      </c>
      <c r="U57" s="17" t="str">
        <f>IFERROR(__xludf.DUMMYFUNCTION("""COMPUTED_VALUE"""),"cách tính thuế hộ kinh doanh nhỏ lẻ")</f>
        <v>cách tính thuế hộ kinh doanh nhỏ lẻ</v>
      </c>
      <c r="V57" s="21" t="str">
        <f>IFERROR(__xludf.DUMMYFUNCTION("""COMPUTED_VALUE"""),"https://techcombank.com/thong-tin/blog/ho-kinh-doanh-ca-the")</f>
        <v>https://techcombank.com/thong-tin/blog/ho-kinh-doanh-ca-the</v>
      </c>
      <c r="W57" s="17" t="str">
        <f>IFERROR(__xludf.DUMMYFUNCTION("""COMPUTED_VALUE"""),"cách tính thuế hộ kinh doanh")</f>
        <v>cách tính thuế hộ kinh doanh</v>
      </c>
      <c r="X57" s="21" t="str">
        <f>IFERROR(__xludf.DUMMYFUNCTION("""COMPUTED_VALUE"""),"https://techcombank.com/thong-tin/blog/ho-kinh-doanh-la-gi")</f>
        <v>https://techcombank.com/thong-tin/blog/ho-kinh-doanh-la-gi</v>
      </c>
      <c r="Y57" s="17" t="str">
        <f>IFERROR(__xludf.DUMMYFUNCTION("""COMPUTED_VALUE"""),"cách tính thuế hộ kinh doanh nhỏ lẻ")</f>
        <v>cách tính thuế hộ kinh doanh nhỏ lẻ</v>
      </c>
      <c r="Z57" s="21" t="str">
        <f>IFERROR(__xludf.DUMMYFUNCTION("""COMPUTED_VALUE"""),"https://techcombank.com/thong-tin/blog/thanh-lap-ho-kinh-doanh-ca-the")</f>
        <v>https://techcombank.com/thong-tin/blog/thanh-lap-ho-kinh-doanh-ca-the</v>
      </c>
      <c r="AA57" s="17" t="str">
        <f>IFERROR(__xludf.DUMMYFUNCTION("""COMPUTED_VALUE"""),"cách tính thuế hộ kinh doanh")</f>
        <v>cách tính thuế hộ kinh doanh</v>
      </c>
      <c r="AB57" s="21" t="str">
        <f>IFERROR(__xludf.DUMMYFUNCTION("""COMPUTED_VALUE"""),"https://techcombank.com/thong-tin/blog/thue-ho-kinh-doanh-2025")</f>
        <v>https://techcombank.com/thong-tin/blog/thue-ho-kinh-doanh-2025</v>
      </c>
      <c r="AC57" s="17" t="str">
        <f>IFERROR(__xludf.DUMMYFUNCTION("""COMPUTED_VALUE"""),"cách tính thuế hộ kinh doanh nhỏ lẻ")</f>
        <v>cách tính thuế hộ kinh doanh nhỏ lẻ</v>
      </c>
      <c r="AD57" s="21" t="str">
        <f>IFERROR(__xludf.DUMMYFUNCTION("""COMPUTED_VALUE"""),"https://techcombank.com/thong-tin/blog/cach-tao-ma-qr")</f>
        <v>https://techcombank.com/thong-tin/blog/cach-tao-ma-qr</v>
      </c>
      <c r="AE57" s="17" t="str">
        <f>IFERROR(__xludf.DUMMYFUNCTION("""COMPUTED_VALUE"""),"cách tính thuế hộ kinh doanh")</f>
        <v>cách tính thuế hộ kinh doanh</v>
      </c>
      <c r="AF57" s="21" t="str">
        <f>IFERROR(__xludf.DUMMYFUNCTION("""COMPUTED_VALUE"""),"https://techcombank.com/thong-tin/blog/loi-ich-khi-ho-kinh-doanh-chuyen-len-doanh-nghiep")</f>
        <v>https://techcombank.com/thong-tin/blog/loi-ich-khi-ho-kinh-doanh-chuyen-len-doanh-nghiep</v>
      </c>
      <c r="AG57" s="17" t="str">
        <f>IFERROR(__xludf.DUMMYFUNCTION("""COMPUTED_VALUE"""),"cách tính thuế hộ kinh doanh nhỏ lẻ")</f>
        <v>cách tính thuế hộ kinh doanh nhỏ lẻ</v>
      </c>
      <c r="AH57" s="21" t="str">
        <f>IFERROR(__xludf.DUMMYFUNCTION("""COMPUTED_VALUE"""),"https://techcombank.com/thong-tin/blog/tiem-nang-chuyen-doi-tu-ho-kinh-doanh-len-doanh-nghiep-sme")</f>
        <v>https://techcombank.com/thong-tin/blog/tiem-nang-chuyen-doi-tu-ho-kinh-doanh-len-doanh-nghiep-sme</v>
      </c>
      <c r="AI57" s="17" t="str">
        <f>IFERROR(__xludf.DUMMYFUNCTION("""COMPUTED_VALUE"""),"cách tính thuế hộ kinh doanh")</f>
        <v>cách tính thuế hộ kinh doanh</v>
      </c>
      <c r="AJ57" s="21" t="str">
        <f>IFERROR(__xludf.DUMMYFUNCTION("""COMPUTED_VALUE"""),"https://techcombank.com/thong-tin/blog/lai-suat-vay-kinh-doanh")</f>
        <v>https://techcombank.com/thong-tin/blog/lai-suat-vay-kinh-doanh</v>
      </c>
      <c r="AK57" s="17" t="str">
        <f>IFERROR(__xludf.DUMMYFUNCTION("""COMPUTED_VALUE"""),"cách tính thuế hộ kinh doanh nhỏ lẻ")</f>
        <v>cách tính thuế hộ kinh doanh nhỏ lẻ</v>
      </c>
      <c r="AL57" s="21" t="str">
        <f>IFERROR(__xludf.DUMMYFUNCTION("""COMPUTED_VALUE"""),"https://techcombank.com/thong-tin/blog/chuyen-doi-ho-kinh-doanh-len-doanh-nghiep")</f>
        <v>https://techcombank.com/thong-tin/blog/chuyen-doi-ho-kinh-doanh-len-doanh-nghiep</v>
      </c>
      <c r="AM57" s="17" t="str">
        <f>IFERROR(__xludf.DUMMYFUNCTION("""COMPUTED_VALUE"""),"cách tính thuế hộ kinh doanh")</f>
        <v>cách tính thuế hộ kinh doanh</v>
      </c>
      <c r="AN57" s="21" t="str">
        <f>IFERROR(__xludf.DUMMYFUNCTION("""COMPUTED_VALUE"""),"https://techcombank.com/thong-tin/blog/thanh-toan-khong-dung-tien-mat")</f>
        <v>https://techcombank.com/thong-tin/blog/thanh-toan-khong-dung-tien-mat</v>
      </c>
      <c r="AO57" s="17" t="str">
        <f>IFERROR(__xludf.DUMMYFUNCTION("""COMPUTED_VALUE"""),"cách tính thuế hộ kinh doanh nhỏ lẻ")</f>
        <v>cách tính thuế hộ kinh doanh nhỏ lẻ</v>
      </c>
      <c r="AP57" s="21" t="str">
        <f>IFERROR(__xludf.DUMMYFUNCTION("""COMPUTED_VALUE"""),"https://techcombank.com/thong-tin/blog/mo-tai-khoan-ho-kinh-doanh")</f>
        <v>https://techcombank.com/thong-tin/blog/mo-tai-khoan-ho-kinh-doanh</v>
      </c>
      <c r="AQ57" s="17" t="str">
        <f>IFERROR(__xludf.DUMMYFUNCTION("""COMPUTED_VALUE"""),"cách tính thuế hộ kinh doanh")</f>
        <v>cách tính thuế hộ kinh doanh</v>
      </c>
      <c r="AR57" s="21" t="str">
        <f>IFERROR(__xludf.DUMMYFUNCTION("""COMPUTED_VALUE"""),"https://techcombank.com/thong-tin/blog/nen-thanh-lap-ho-kinh-doanh-ke-khai-hay-doanh-nghiep")</f>
        <v>https://techcombank.com/thong-tin/blog/nen-thanh-lap-ho-kinh-doanh-ke-khai-hay-doanh-nghiep</v>
      </c>
      <c r="AS57" s="17" t="str">
        <f>IFERROR(__xludf.DUMMYFUNCTION("""COMPUTED_VALUE"""),"cách tính thuế hộ kinh doanh nhỏ lẻ")</f>
        <v>cách tính thuế hộ kinh doanh nhỏ lẻ</v>
      </c>
      <c r="AT57" s="21" t="str">
        <f>IFERROR(__xludf.DUMMYFUNCTION("""COMPUTED_VALUE"""),"https://techcombank.com/thong-tin/blog/vay-tin-chap-ho-kinh-doanh")</f>
        <v>https://techcombank.com/thong-tin/blog/vay-tin-chap-ho-kinh-doanh</v>
      </c>
      <c r="AU57" s="17" t="str">
        <f>IFERROR(__xludf.DUMMYFUNCTION("""COMPUTED_VALUE"""),"cách tính thuế hộ kinh doanh")</f>
        <v>cách tính thuế hộ kinh doanh</v>
      </c>
      <c r="AV57" s="21" t="str">
        <f>IFERROR(__xludf.DUMMYFUNCTION("""COMPUTED_VALUE"""),"https://techcombank.com/thong-tin/blog/tra-cuu-no-thue-ho-kinh-doanh")</f>
        <v>https://techcombank.com/thong-tin/blog/tra-cuu-no-thue-ho-kinh-doanh</v>
      </c>
      <c r="AW57" s="17" t="str">
        <f>IFERROR(__xludf.DUMMYFUNCTION("""COMPUTED_VALUE"""),"cách tính thuế hộ kinh doanh nhỏ lẻ")</f>
        <v>cách tính thuế hộ kinh doanh nhỏ lẻ</v>
      </c>
      <c r="AX57" s="21" t="str">
        <f>IFERROR(__xludf.DUMMYFUNCTION("""COMPUTED_VALUE"""),"https://techcombank.com/thong-tin/blog/lien-ket-tai-khoan-ngan-hang-voi-etax-mobile")</f>
        <v>https://techcombank.com/thong-tin/blog/lien-ket-tai-khoan-ngan-hang-voi-etax-mobile</v>
      </c>
      <c r="AY57" s="17" t="str">
        <f>IFERROR(__xludf.DUMMYFUNCTION("""COMPUTED_VALUE"""),"cách tính thuế hộ kinh doanh")</f>
        <v>cách tính thuế hộ kinh doanh</v>
      </c>
      <c r="AZ57" s="21" t="str">
        <f>IFERROR(__xludf.DUMMYFUNCTION("""COMPUTED_VALUE"""),"https://techcombank.com/thong-tin/blog/thu-tuc-vay-von-kinh-doanh-nho")</f>
        <v>https://techcombank.com/thong-tin/blog/thu-tuc-vay-von-kinh-doanh-nho</v>
      </c>
      <c r="BA57" s="17" t="str">
        <f>IFERROR(__xludf.DUMMYFUNCTION("""COMPUTED_VALUE"""),"cách tính thuế hộ kinh doanh nhỏ lẻ")</f>
        <v>cách tính thuế hộ kinh doanh nhỏ lẻ</v>
      </c>
      <c r="BB57" s="21" t="str">
        <f>IFERROR(__xludf.DUMMYFUNCTION("""COMPUTED_VALUE"""),"https://techcombank.com/thong-tin/blog/truy-thu-thue-ho-kinh-doanh")</f>
        <v>https://techcombank.com/thong-tin/blog/truy-thu-thue-ho-kinh-doanh</v>
      </c>
      <c r="BC57" s="17" t="str">
        <f>IFERROR(__xludf.DUMMYFUNCTION("""COMPUTED_VALUE"""),"cách tính thuế hộ kinh doanh")</f>
        <v>cách tính thuế hộ kinh doanh</v>
      </c>
      <c r="BD57" s="21" t="str">
        <f>IFERROR(__xludf.DUMMYFUNCTION("""COMPUTED_VALUE"""),"https://techcombank.com/thong-tin/blog/cac-sai-lam-pho-bien-khi-chuyen-doi-ho-kinh-doanh-len-sme")</f>
        <v>https://techcombank.com/thong-tin/blog/cac-sai-lam-pho-bien-khi-chuyen-doi-ho-kinh-doanh-len-sme</v>
      </c>
      <c r="BE57" s="17" t="str">
        <f>IFERROR(__xludf.DUMMYFUNCTION("""COMPUTED_VALUE"""),"cách tính thuế hộ kinh doanh nhỏ lẻ")</f>
        <v>cách tính thuế hộ kinh doanh nhỏ lẻ</v>
      </c>
      <c r="BF57" s="21" t="str">
        <f>IFERROR(__xludf.DUMMYFUNCTION("""COMPUTED_VALUE"""),"https://techcombank.com/thong-tin/blog/giay-phep-kinh-doanh")</f>
        <v>https://techcombank.com/thong-tin/blog/giay-phep-kinh-doanh</v>
      </c>
      <c r="BG57" s="17" t="str">
        <f>IFERROR(__xludf.DUMMYFUNCTION("""COMPUTED_VALUE"""),"cách tính thuế hộ kinh doanh")</f>
        <v>cách tính thuế hộ kinh doanh</v>
      </c>
      <c r="BH57" s="21" t="str">
        <f>IFERROR(__xludf.DUMMYFUNCTION("""COMPUTED_VALUE"""),"https://techcombank.com/thong-tin/blog/chuyen-doi-hoa-don-dien-tu")</f>
        <v>https://techcombank.com/thong-tin/blog/chuyen-doi-hoa-don-dien-tu</v>
      </c>
      <c r="BI57" s="17" t="str">
        <f>IFERROR(__xludf.DUMMYFUNCTION("""COMPUTED_VALUE"""),"cách tính thuế hộ kinh doanh nhỏ lẻ")</f>
        <v>cách tính thuế hộ kinh doanh nhỏ lẻ</v>
      </c>
      <c r="BJ57" s="21" t="str">
        <f>IFERROR(__xludf.DUMMYFUNCTION("""COMPUTED_VALUE"""),"https://techcombank.com/thong-tin/blog/dang-ky-kinh-doanh-la-gi")</f>
        <v>https://techcombank.com/thong-tin/blog/dang-ky-kinh-doanh-la-gi</v>
      </c>
      <c r="BK57" s="17" t="str">
        <f>IFERROR(__xludf.DUMMYFUNCTION("""COMPUTED_VALUE"""),"cách tính thuế hộ kinh doanh")</f>
        <v>cách tính thuế hộ kinh doanh</v>
      </c>
      <c r="BL57" s="21" t="str">
        <f>IFERROR(__xludf.DUMMYFUNCTION("""COMPUTED_VALUE"""),"https://techcombank.com/thong-tin/blog/thay-doi-dia-chi-ho-kinh-doanh")</f>
        <v>https://techcombank.com/thong-tin/blog/thay-doi-dia-chi-ho-kinh-doanh</v>
      </c>
      <c r="BM57" s="17" t="str">
        <f>IFERROR(__xludf.DUMMYFUNCTION("""COMPUTED_VALUE"""),"cách tính thuế hộ kinh doanh nhỏ lẻ")</f>
        <v>cách tính thuế hộ kinh doanh nhỏ lẻ</v>
      </c>
      <c r="BN57" s="21" t="str">
        <f>IFERROR(__xludf.DUMMYFUNCTION("""COMPUTED_VALUE"""),"https://techcombank.com/thong-tin/blog/cach-dang-ky-ma-so-thue-ho-kinh-doanh-online")</f>
        <v>https://techcombank.com/thong-tin/blog/cach-dang-ky-ma-so-thue-ho-kinh-doanh-online</v>
      </c>
      <c r="BO57" s="17" t="str">
        <f>IFERROR(__xludf.DUMMYFUNCTION("""COMPUTED_VALUE"""),"cách tính thuế hộ kinh doanh")</f>
        <v>cách tính thuế hộ kinh doanh</v>
      </c>
      <c r="BP57" s="21" t="str">
        <f>IFERROR(__xludf.DUMMYFUNCTION("""COMPUTED_VALUE"""),"https://techcombank.com/thong-tin/blog/nhung-ho-kinh-doanh-duoc-mien-thue")</f>
        <v>https://techcombank.com/thong-tin/blog/nhung-ho-kinh-doanh-duoc-mien-thue</v>
      </c>
      <c r="BQ57" s="17" t="str">
        <f>IFERROR(__xludf.DUMMYFUNCTION("""COMPUTED_VALUE"""),"cách tính thuế hộ kinh doanh nhỏ lẻ")</f>
        <v>cách tính thuế hộ kinh doanh nhỏ lẻ</v>
      </c>
      <c r="BR57" s="21" t="str">
        <f>IFERROR(__xludf.DUMMYFUNCTION("""COMPUTED_VALUE"""),"https://techcombank.com/thong-tin/blog/luu-y-khi-chuyen-doi-tu-ho-kinh-doanh-len-doanh-nghiep")</f>
        <v>https://techcombank.com/thong-tin/blog/luu-y-khi-chuyen-doi-tu-ho-kinh-doanh-len-doanh-nghiep</v>
      </c>
      <c r="BS57" s="17" t="str">
        <f>IFERROR(__xludf.DUMMYFUNCTION("""COMPUTED_VALUE"""),"cách tính thuế hộ kinh doanh")</f>
        <v>cách tính thuế hộ kinh doanh</v>
      </c>
      <c r="BT57" s="21" t="str">
        <f>IFERROR(__xludf.DUMMYFUNCTION("""COMPUTED_VALUE"""),"https://techcombank.com/thong-tin/blog/barcode-la-gi")</f>
        <v>https://techcombank.com/thong-tin/blog/barcode-la-gi</v>
      </c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  <c r="EW57" s="17"/>
      <c r="EX57" s="17"/>
      <c r="EY57" s="17"/>
      <c r="EZ57" s="17"/>
      <c r="FA57" s="17"/>
      <c r="FB57" s="17"/>
      <c r="FC57" s="17"/>
      <c r="FD57" s="17"/>
      <c r="FE57" s="17"/>
      <c r="FF57" s="17"/>
      <c r="FG57" s="17"/>
      <c r="FH57" s="17"/>
      <c r="FI57" s="17"/>
      <c r="FJ57" s="17"/>
      <c r="FK57" s="17"/>
      <c r="FL57" s="17"/>
      <c r="FM57" s="17"/>
      <c r="FN57" s="17"/>
      <c r="FO57" s="17"/>
      <c r="FP57" s="17"/>
      <c r="FQ57" s="17"/>
      <c r="FR57" s="17"/>
      <c r="FS57" s="17"/>
      <c r="FT57" s="17"/>
      <c r="FU57" s="17"/>
      <c r="FV57" s="17"/>
      <c r="FW57" s="17"/>
      <c r="FX57" s="17"/>
      <c r="FY57" s="17"/>
      <c r="FZ57" s="17"/>
      <c r="GA57" s="17"/>
      <c r="GB57" s="17"/>
      <c r="GC57" s="17"/>
      <c r="GD57" s="17"/>
      <c r="GE57" s="17"/>
      <c r="GF57" s="17"/>
      <c r="GG57" s="17"/>
      <c r="GH57" s="17"/>
      <c r="GI57" s="17"/>
      <c r="GJ57" s="17"/>
      <c r="GK57" s="17"/>
      <c r="GL57" s="17"/>
      <c r="GM57" s="17"/>
      <c r="GN57" s="17"/>
      <c r="GO57" s="17"/>
      <c r="GP57" s="17"/>
      <c r="GQ57" s="17"/>
      <c r="GR57" s="17"/>
      <c r="GS57" s="17"/>
      <c r="GT57" s="17"/>
      <c r="GU57" s="17"/>
      <c r="GV57" s="17"/>
      <c r="GW57" s="17"/>
      <c r="GX57" s="17"/>
      <c r="GY57" s="17"/>
      <c r="GZ57" s="17"/>
      <c r="HA57" s="17"/>
      <c r="HB57" s="17"/>
      <c r="HC57" s="17"/>
      <c r="HD57" s="17"/>
      <c r="HE57" s="17"/>
      <c r="HF57" s="17"/>
      <c r="HG57" s="17"/>
      <c r="HH57" s="17"/>
      <c r="HI57" s="17"/>
      <c r="HJ57" s="17"/>
      <c r="HK57" s="17"/>
      <c r="HL57" s="17"/>
      <c r="HM57" s="17"/>
      <c r="HN57" s="17"/>
      <c r="HO57" s="17"/>
      <c r="HP57" s="17"/>
      <c r="HQ57" s="17"/>
      <c r="HR57" s="17"/>
      <c r="HS57" s="17"/>
      <c r="HT57" s="17"/>
      <c r="HU57" s="17"/>
      <c r="HV57" s="17"/>
      <c r="HW57" s="17"/>
      <c r="HX57" s="17"/>
      <c r="HY57" s="17"/>
      <c r="HZ57" s="17"/>
      <c r="IA57" s="17"/>
      <c r="IB57" s="17"/>
      <c r="IC57" s="17"/>
      <c r="ID57" s="17"/>
      <c r="IE57" s="17"/>
      <c r="IF57" s="17"/>
      <c r="IG57" s="17"/>
      <c r="IH57" s="17"/>
      <c r="II57" s="17"/>
      <c r="IJ57" s="17"/>
      <c r="IK57" s="17"/>
      <c r="IL57" s="17"/>
      <c r="IM57" s="17"/>
      <c r="IN57" s="17"/>
      <c r="IO57" s="17"/>
      <c r="IP57" s="17"/>
      <c r="IQ57" s="17"/>
      <c r="IR57" s="17"/>
      <c r="IS57" s="17"/>
      <c r="IT57" s="17"/>
      <c r="IU57" s="17"/>
      <c r="IV57" s="17"/>
      <c r="IW57" s="17"/>
      <c r="IX57" s="17"/>
      <c r="IY57" s="17"/>
      <c r="IZ57" s="17"/>
      <c r="JA57" s="17"/>
      <c r="JB57" s="17"/>
      <c r="JC57" s="17"/>
      <c r="JD57" s="17"/>
      <c r="JE57" s="17"/>
      <c r="JF57" s="17"/>
      <c r="JG57" s="17"/>
      <c r="JH57" s="17"/>
      <c r="JI57" s="17"/>
      <c r="JJ57" s="17"/>
      <c r="JK57" s="17"/>
      <c r="JL57" s="17"/>
      <c r="JM57" s="17"/>
      <c r="JN57" s="17"/>
      <c r="JO57" s="17"/>
      <c r="JP57" s="17"/>
      <c r="JQ57" s="17"/>
      <c r="JR57" s="17"/>
      <c r="JS57" s="17"/>
      <c r="JT57" s="17"/>
      <c r="JU57" s="17"/>
      <c r="JV57" s="17"/>
      <c r="JW57" s="17"/>
      <c r="JX57" s="17"/>
      <c r="JY57" s="17"/>
      <c r="JZ57" s="17"/>
      <c r="KA57" s="17"/>
      <c r="KB57" s="17"/>
      <c r="KC57" s="17"/>
      <c r="KD57" s="17"/>
      <c r="KE57" s="17"/>
      <c r="KF57" s="17"/>
      <c r="KG57" s="17"/>
      <c r="KH57" s="17"/>
      <c r="KI57" s="17"/>
      <c r="KJ57" s="17"/>
      <c r="KK57" s="17"/>
      <c r="KL57" s="17"/>
      <c r="KM57" s="17"/>
      <c r="KN57" s="17"/>
      <c r="KO57" s="17"/>
      <c r="KP57" s="17"/>
      <c r="KQ57" s="17"/>
      <c r="KR57" s="17"/>
      <c r="KS57" s="17"/>
      <c r="KT57" s="17"/>
      <c r="KU57" s="17"/>
      <c r="KV57" s="17"/>
      <c r="KW57" s="17"/>
      <c r="KX57" s="17"/>
      <c r="KY57" s="17"/>
      <c r="KZ57" s="17"/>
      <c r="LA57" s="17"/>
      <c r="LB57" s="17"/>
      <c r="LC57" s="17"/>
      <c r="LD57" s="17"/>
      <c r="LE57" s="17"/>
      <c r="LF57" s="17"/>
      <c r="LG57" s="17"/>
      <c r="LH57" s="17"/>
      <c r="LI57" s="17"/>
      <c r="LJ57" s="17"/>
      <c r="LK57" s="17"/>
      <c r="LL57" s="17"/>
      <c r="LM57" s="17"/>
      <c r="LN57" s="17"/>
      <c r="LO57" s="17"/>
      <c r="LP57" s="17"/>
      <c r="LQ57" s="17"/>
      <c r="LR57" s="17"/>
      <c r="LS57" s="17"/>
      <c r="LT57" s="17"/>
      <c r="LU57" s="17"/>
      <c r="LV57" s="17"/>
      <c r="LW57" s="17"/>
      <c r="LX57" s="17"/>
      <c r="LY57" s="17"/>
      <c r="LZ57" s="17"/>
      <c r="MA57" s="17"/>
      <c r="MB57" s="17"/>
      <c r="MC57" s="17"/>
      <c r="MD57" s="17"/>
      <c r="ME57" s="17"/>
      <c r="MF57" s="17"/>
      <c r="MG57" s="17"/>
      <c r="MH57" s="17"/>
      <c r="MI57" s="17"/>
      <c r="MJ57" s="17"/>
      <c r="MK57" s="17"/>
      <c r="ML57" s="17"/>
      <c r="MM57" s="17"/>
      <c r="MN57" s="17"/>
      <c r="MO57" s="17"/>
      <c r="MP57" s="17"/>
      <c r="MQ57" s="17"/>
      <c r="MR57" s="17"/>
      <c r="MS57" s="17"/>
      <c r="MT57" s="17"/>
      <c r="MU57" s="17"/>
      <c r="MV57" s="17"/>
      <c r="MW57" s="17"/>
      <c r="MX57" s="17"/>
      <c r="MY57" s="17"/>
      <c r="MZ57" s="17"/>
      <c r="NA57" s="17"/>
      <c r="NB57" s="17"/>
      <c r="NC57" s="17"/>
      <c r="ND57" s="17"/>
      <c r="NE57" s="17"/>
      <c r="NF57" s="17"/>
      <c r="NG57" s="17"/>
      <c r="NH57" s="17"/>
      <c r="NI57" s="17"/>
      <c r="NJ57" s="17"/>
      <c r="NK57" s="17"/>
      <c r="NL57" s="17"/>
      <c r="NM57" s="17"/>
      <c r="NN57" s="17"/>
      <c r="NO57" s="17"/>
      <c r="NP57" s="17"/>
      <c r="NQ57" s="17"/>
      <c r="NR57" s="17"/>
      <c r="NS57" s="17"/>
      <c r="NT57" s="17"/>
      <c r="NU57" s="17"/>
      <c r="NV57" s="17"/>
      <c r="NW57" s="17"/>
      <c r="NX57" s="17"/>
      <c r="NY57" s="17"/>
      <c r="NZ57" s="17"/>
      <c r="OA57" s="17"/>
      <c r="OB57" s="17"/>
      <c r="OC57" s="17"/>
      <c r="OD57" s="17"/>
      <c r="OE57" s="17"/>
      <c r="OF57" s="17"/>
      <c r="OG57" s="17"/>
      <c r="OH57" s="17"/>
      <c r="OI57" s="17"/>
      <c r="OJ57" s="17"/>
      <c r="OK57" s="17"/>
      <c r="OL57" s="17"/>
      <c r="OM57" s="17"/>
      <c r="ON57" s="17"/>
      <c r="OO57" s="17"/>
      <c r="OP57" s="17"/>
      <c r="OQ57" s="17"/>
      <c r="OR57" s="17"/>
      <c r="OS57" s="17"/>
      <c r="OT57" s="17"/>
      <c r="OU57" s="17"/>
      <c r="OV57" s="17"/>
    </row>
    <row r="58" ht="18.0" customHeight="1">
      <c r="A58" s="16">
        <v>57.0</v>
      </c>
      <c r="B58" s="17" t="s">
        <v>1672</v>
      </c>
      <c r="C58" s="18" t="s">
        <v>1675</v>
      </c>
      <c r="D58" s="17" t="s">
        <v>365</v>
      </c>
      <c r="E58" s="16">
        <v>50.0</v>
      </c>
      <c r="F58" s="16">
        <f>COUNTIF('Tổng hợp 75 trang đích'!$B$2:$B$3400,$D58)</f>
        <v>50</v>
      </c>
      <c r="G58" s="16">
        <f>COUNTIFS('Tổng hợp 75 trang đích'!$B$2:$B$3400,$D58,'Tổng hợp 75 trang đích'!$K$2:$K$3400,"PHÙ HỢP CAO")</f>
        <v>4</v>
      </c>
      <c r="H58" s="16">
        <f>COUNTIFS('Tổng hợp 75 trang đích'!$B$2:$B$3400,$D58,'Tổng hợp 75 trang đích'!$K$2:$K$3400,"CÓ THỂ ĐI")</f>
        <v>1</v>
      </c>
      <c r="I58" s="16">
        <f>COUNTIFS('Tổng hợp 75 trang đích'!$B$2:$B$3400,$D58,'Tổng hợp 75 trang đích'!$K$2:$K$3400,"CẦN SOÁT")</f>
        <v>45</v>
      </c>
      <c r="J58" s="19" t="s">
        <v>555</v>
      </c>
      <c r="K58" s="19" t="b">
        <v>0</v>
      </c>
      <c r="L58" s="20" t="s">
        <v>333</v>
      </c>
      <c r="M58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đích'!$B$2:$B$3400=$D58),3,TR"&amp;"UE),1,2)),"""")"),"cách tính lãi suất vay ngân hàng")</f>
        <v>cách tính lãi suất vay ngân hàng</v>
      </c>
      <c r="N58" s="21" t="str">
        <f>IFERROR(__xludf.DUMMYFUNCTION("""COMPUTED_VALUE"""),"https://techcombank.com/thong-tin/blog/du-no-la-gi")</f>
        <v>https://techcombank.com/thong-tin/blog/du-no-la-gi</v>
      </c>
      <c r="O58" s="17" t="str">
        <f>IFERROR(__xludf.DUMMYFUNCTION("""COMPUTED_VALUE"""),"cách tính lãi suất vay")</f>
        <v>cách tính lãi suất vay</v>
      </c>
      <c r="P58" s="21" t="str">
        <f>IFERROR(__xludf.DUMMYFUNCTION("""COMPUTED_VALUE"""),"https://techcombank.com/thong-tin/blog/an-han-no-goc-la-gi")</f>
        <v>https://techcombank.com/thong-tin/blog/an-han-no-goc-la-gi</v>
      </c>
      <c r="Q58" s="17" t="str">
        <f>IFERROR(__xludf.DUMMYFUNCTION("""COMPUTED_VALUE"""),"cách tính lãi suất vay ngân hàng")</f>
        <v>cách tính lãi suất vay ngân hàng</v>
      </c>
      <c r="R58" s="21" t="str">
        <f>IFERROR(__xludf.DUMMYFUNCTION("""COMPUTED_VALUE"""),"https://techcombank.com/thong-tin/blog/lai-suat-tha-noi")</f>
        <v>https://techcombank.com/thong-tin/blog/lai-suat-tha-noi</v>
      </c>
      <c r="S58" s="17" t="str">
        <f>IFERROR(__xludf.DUMMYFUNCTION("""COMPUTED_VALUE"""),"cách tính lãi suất vay")</f>
        <v>cách tính lãi suất vay</v>
      </c>
      <c r="T58" s="21" t="str">
        <f>IFERROR(__xludf.DUMMYFUNCTION("""COMPUTED_VALUE"""),"https://techcombank.com/thong-tin/blog/cong-thuc-tinh-lai-suat-thuc")</f>
        <v>https://techcombank.com/thong-tin/blog/cong-thuc-tinh-lai-suat-thuc</v>
      </c>
      <c r="U58" s="17" t="str">
        <f>IFERROR(__xludf.DUMMYFUNCTION("""COMPUTED_VALUE"""),"cách tính lãi suất vay ngân hàng")</f>
        <v>cách tính lãi suất vay ngân hàng</v>
      </c>
      <c r="V58" s="21" t="str">
        <f>IFERROR(__xludf.DUMMYFUNCTION("""COMPUTED_VALUE"""),"https://techcombank.com/thong-tin/blog/vay-tra-gop")</f>
        <v>https://techcombank.com/thong-tin/blog/vay-tra-gop</v>
      </c>
      <c r="W58" s="17" t="str">
        <f>IFERROR(__xludf.DUMMYFUNCTION("""COMPUTED_VALUE"""),"cách tính lãi suất vay")</f>
        <v>cách tính lãi suất vay</v>
      </c>
      <c r="X58" s="21" t="str">
        <f>IFERROR(__xludf.DUMMYFUNCTION("""COMPUTED_VALUE"""),"https://techcombank.com/thong-tin/blog/lai-suat-vay-kinh-doanh")</f>
        <v>https://techcombank.com/thong-tin/blog/lai-suat-vay-kinh-doanh</v>
      </c>
      <c r="Y58" s="17" t="str">
        <f>IFERROR(__xludf.DUMMYFUNCTION("""COMPUTED_VALUE"""),"cách tính lãi suất vay ngân hàng")</f>
        <v>cách tính lãi suất vay ngân hàng</v>
      </c>
      <c r="Z58" s="21" t="str">
        <f>IFERROR(__xludf.DUMMYFUNCTION("""COMPUTED_VALUE"""),"https://techcombank.com/thong-tin/blog/cac-hinh-thuc-vay-von-ngan-hang")</f>
        <v>https://techcombank.com/thong-tin/blog/cac-hinh-thuc-vay-von-ngan-hang</v>
      </c>
      <c r="AA58" s="17" t="str">
        <f>IFERROR(__xludf.DUMMYFUNCTION("""COMPUTED_VALUE"""),"cách tính lãi suất vay")</f>
        <v>cách tính lãi suất vay</v>
      </c>
      <c r="AB58" s="21" t="str">
        <f>IFERROR(__xludf.DUMMYFUNCTION("""COMPUTED_VALUE"""),"https://techcombank.com/thong-tin/blog/loi-nhuan")</f>
        <v>https://techcombank.com/thong-tin/blog/loi-nhuan</v>
      </c>
      <c r="AC58" s="17" t="str">
        <f>IFERROR(__xludf.DUMMYFUNCTION("""COMPUTED_VALUE"""),"cách tính lãi suất vay ngân hàng")</f>
        <v>cách tính lãi suất vay ngân hàng</v>
      </c>
      <c r="AD58" s="21" t="str">
        <f>IFERROR(__xludf.DUMMYFUNCTION("""COMPUTED_VALUE"""),"https://techcombank.com/thong-tin/blog/co-nen-mua-o-to-tra-gop")</f>
        <v>https://techcombank.com/thong-tin/blog/co-nen-mua-o-to-tra-gop</v>
      </c>
      <c r="AE58" s="17" t="str">
        <f>IFERROR(__xludf.DUMMYFUNCTION("""COMPUTED_VALUE"""),"cách tính lãi suất vay")</f>
        <v>cách tính lãi suất vay</v>
      </c>
      <c r="AF58" s="21" t="str">
        <f>IFERROR(__xludf.DUMMYFUNCTION("""COMPUTED_VALUE"""),"https://techcombank.com/thong-tin/blog/thanh-toan-khoan-vay")</f>
        <v>https://techcombank.com/thong-tin/blog/thanh-toan-khoan-vay</v>
      </c>
      <c r="AG58" s="17" t="str">
        <f>IFERROR(__xludf.DUMMYFUNCTION("""COMPUTED_VALUE"""),"cách tính lãi suất vay ngân hàng")</f>
        <v>cách tính lãi suất vay ngân hàng</v>
      </c>
      <c r="AH58" s="21" t="str">
        <f>IFERROR(__xludf.DUMMYFUNCTION("""COMPUTED_VALUE"""),"https://techcombank.com/thong-tin/blog/vay-300-trieu")</f>
        <v>https://techcombank.com/thong-tin/blog/vay-300-trieu</v>
      </c>
      <c r="AI58" s="17" t="str">
        <f>IFERROR(__xludf.DUMMYFUNCTION("""COMPUTED_VALUE"""),"cách tính lãi suất vay")</f>
        <v>cách tính lãi suất vay</v>
      </c>
      <c r="AJ58" s="21" t="str">
        <f>IFERROR(__xludf.DUMMYFUNCTION("""COMPUTED_VALUE"""),"https://techcombank.com/thong-tin/blog/kiem-tra-no-xau")</f>
        <v>https://techcombank.com/thong-tin/blog/kiem-tra-no-xau</v>
      </c>
      <c r="AK58" s="17" t="str">
        <f>IFERROR(__xludf.DUMMYFUNCTION("""COMPUTED_VALUE"""),"cách tính lãi suất vay ngân hàng")</f>
        <v>cách tính lãi suất vay ngân hàng</v>
      </c>
      <c r="AL58" s="21" t="str">
        <f>IFERROR(__xludf.DUMMYFUNCTION("""COMPUTED_VALUE"""),"https://techcombank.com/thong-tin/blog/mua-truoc-tra-sau")</f>
        <v>https://techcombank.com/thong-tin/blog/mua-truoc-tra-sau</v>
      </c>
      <c r="AM58" s="17" t="str">
        <f>IFERROR(__xludf.DUMMYFUNCTION("""COMPUTED_VALUE"""),"cách tính lãi suất vay")</f>
        <v>cách tính lãi suất vay</v>
      </c>
      <c r="AN58" s="21" t="str">
        <f>IFERROR(__xludf.DUMMYFUNCTION("""COMPUTED_VALUE"""),"https://techcombank.com/thong-tin/blog/the-visa-de-lam-gi")</f>
        <v>https://techcombank.com/thong-tin/blog/the-visa-de-lam-gi</v>
      </c>
      <c r="AO58" s="17" t="str">
        <f>IFERROR(__xludf.DUMMYFUNCTION("""COMPUTED_VALUE"""),"cách tính lãi suất vay ngân hàng")</f>
        <v>cách tính lãi suất vay ngân hàng</v>
      </c>
      <c r="AP58" s="21" t="str">
        <f>IFERROR(__xludf.DUMMYFUNCTION("""COMPUTED_VALUE"""),"https://techcombank.com/thong-tin/blog/rui-ro-khi-vay-the-chap-ngan-hang")</f>
        <v>https://techcombank.com/thong-tin/blog/rui-ro-khi-vay-the-chap-ngan-hang</v>
      </c>
      <c r="AQ58" s="17" t="str">
        <f>IFERROR(__xludf.DUMMYFUNCTION("""COMPUTED_VALUE"""),"cách tính lãi suất vay")</f>
        <v>cách tính lãi suất vay</v>
      </c>
      <c r="AR58" s="21" t="str">
        <f>IFERROR(__xludf.DUMMYFUNCTION("""COMPUTED_VALUE"""),"https://techcombank.com/thong-tin/blog/vay-tin-chap-va-vay-the-chap")</f>
        <v>https://techcombank.com/thong-tin/blog/vay-tin-chap-va-vay-the-chap</v>
      </c>
      <c r="AS58" s="17" t="str">
        <f>IFERROR(__xludf.DUMMYFUNCTION("""COMPUTED_VALUE"""),"cách tính lãi suất vay ngân hàng")</f>
        <v>cách tính lãi suất vay ngân hàng</v>
      </c>
      <c r="AT58" s="21" t="str">
        <f>IFERROR(__xludf.DUMMYFUNCTION("""COMPUTED_VALUE"""),"https://techcombank.com/thong-tin/blog/lai-suat-vay-the-chap")</f>
        <v>https://techcombank.com/thong-tin/blog/lai-suat-vay-the-chap</v>
      </c>
      <c r="AU58" s="17" t="str">
        <f>IFERROR(__xludf.DUMMYFUNCTION("""COMPUTED_VALUE"""),"cách tính lãi suất vay")</f>
        <v>cách tính lãi suất vay</v>
      </c>
      <c r="AV58" s="21" t="str">
        <f>IFERROR(__xludf.DUMMYFUNCTION("""COMPUTED_VALUE"""),"https://techcombank.com/thong-tin/blog/tat-toan")</f>
        <v>https://techcombank.com/thong-tin/blog/tat-toan</v>
      </c>
      <c r="AW58" s="17" t="str">
        <f>IFERROR(__xludf.DUMMYFUNCTION("""COMPUTED_VALUE"""),"cách tính lãi suất vay ngân hàng")</f>
        <v>cách tính lãi suất vay ngân hàng</v>
      </c>
      <c r="AX58" s="21" t="str">
        <f>IFERROR(__xludf.DUMMYFUNCTION("""COMPUTED_VALUE"""),"https://techcombank.com/thong-tin/blog/dao-han-la-gi")</f>
        <v>https://techcombank.com/thong-tin/blog/dao-han-la-gi</v>
      </c>
      <c r="AY58" s="17" t="str">
        <f>IFERROR(__xludf.DUMMYFUNCTION("""COMPUTED_VALUE"""),"cách tính lãi suất vay")</f>
        <v>cách tính lãi suất vay</v>
      </c>
      <c r="AZ58" s="21" t="str">
        <f>IFERROR(__xludf.DUMMYFUNCTION("""COMPUTED_VALUE"""),"https://techcombank.com/thong-tin/blog/vay-mua-xe-tra-gop-ngan-hang-nao-tot-nhat")</f>
        <v>https://techcombank.com/thong-tin/blog/vay-mua-xe-tra-gop-ngan-hang-nao-tot-nhat</v>
      </c>
      <c r="BA58" s="17" t="str">
        <f>IFERROR(__xludf.DUMMYFUNCTION("""COMPUTED_VALUE"""),"cách tính lãi suất vay ngân hàng")</f>
        <v>cách tính lãi suất vay ngân hàng</v>
      </c>
      <c r="BB58" s="21" t="str">
        <f>IFERROR(__xludf.DUMMYFUNCTION("""COMPUTED_VALUE"""),"https://techcombank.com/thong-tin/blog/lai-suat-vay-thau-chi")</f>
        <v>https://techcombank.com/thong-tin/blog/lai-suat-vay-thau-chi</v>
      </c>
      <c r="BC58" s="17" t="str">
        <f>IFERROR(__xludf.DUMMYFUNCTION("""COMPUTED_VALUE"""),"cách tính lãi suất vay")</f>
        <v>cách tính lãi suất vay</v>
      </c>
      <c r="BD58" s="21" t="str">
        <f>IFERROR(__xludf.DUMMYFUNCTION("""COMPUTED_VALUE"""),"https://techcombank.com/thong-tin/blog/vay-mua-nha-tra-gop")</f>
        <v>https://techcombank.com/thong-tin/blog/vay-mua-nha-tra-gop</v>
      </c>
      <c r="BE58" s="17" t="str">
        <f>IFERROR(__xludf.DUMMYFUNCTION("""COMPUTED_VALUE"""),"cách tính lãi suất vay ngân hàng")</f>
        <v>cách tính lãi suất vay ngân hàng</v>
      </c>
      <c r="BF58" s="21" t="str">
        <f>IFERROR(__xludf.DUMMYFUNCTION("""COMPUTED_VALUE"""),"https://techcombank.com/thong-tin/blog/cach-thanh-toan-the-tin-dung")</f>
        <v>https://techcombank.com/thong-tin/blog/cach-thanh-toan-the-tin-dung</v>
      </c>
      <c r="BG58" s="17" t="str">
        <f>IFERROR(__xludf.DUMMYFUNCTION("""COMPUTED_VALUE"""),"cách tính lãi suất vay")</f>
        <v>cách tính lãi suất vay</v>
      </c>
      <c r="BH58" s="21" t="str">
        <f>IFERROR(__xludf.DUMMYFUNCTION("""COMPUTED_VALUE"""),"https://techcombank.com/thong-tin/blog/quy-trinh-tat-toan-khoan-vay-the-chap")</f>
        <v>https://techcombank.com/thong-tin/blog/quy-trinh-tat-toan-khoan-vay-the-chap</v>
      </c>
      <c r="BI58" s="17" t="str">
        <f>IFERROR(__xludf.DUMMYFUNCTION("""COMPUTED_VALUE"""),"cách tính lãi suất vay ngân hàng")</f>
        <v>cách tính lãi suất vay ngân hàng</v>
      </c>
      <c r="BJ58" s="21" t="str">
        <f>IFERROR(__xludf.DUMMYFUNCTION("""COMPUTED_VALUE"""),"https://techcombank.com/thong-tin/blog/vay-40-trieu")</f>
        <v>https://techcombank.com/thong-tin/blog/vay-40-trieu</v>
      </c>
      <c r="BK58" s="17" t="str">
        <f>IFERROR(__xludf.DUMMYFUNCTION("""COMPUTED_VALUE"""),"cách tính lãi suất vay")</f>
        <v>cách tính lãi suất vay</v>
      </c>
      <c r="BL58" s="21" t="str">
        <f>IFERROR(__xludf.DUMMYFUNCTION("""COMPUTED_VALUE"""),"https://techcombank.com/thong-tin/blog/thu-tuc-mua-xe-tra-gop")</f>
        <v>https://techcombank.com/thong-tin/blog/thu-tuc-mua-xe-tra-gop</v>
      </c>
      <c r="BM58" s="17" t="str">
        <f>IFERROR(__xludf.DUMMYFUNCTION("""COMPUTED_VALUE"""),"cách tính lãi suất vay ngân hàng")</f>
        <v>cách tính lãi suất vay ngân hàng</v>
      </c>
      <c r="BN58" s="21" t="str">
        <f>IFERROR(__xludf.DUMMYFUNCTION("""COMPUTED_VALUE"""),"https://techcombank.com/thong-tin/blog/vay-100-trieu")</f>
        <v>https://techcombank.com/thong-tin/blog/vay-100-trieu</v>
      </c>
      <c r="BO58" s="17" t="str">
        <f>IFERROR(__xludf.DUMMYFUNCTION("""COMPUTED_VALUE"""),"cách tính lãi suất vay")</f>
        <v>cách tính lãi suất vay</v>
      </c>
      <c r="BP58" s="21" t="str">
        <f>IFERROR(__xludf.DUMMYFUNCTION("""COMPUTED_VALUE"""),"https://techcombank.com/thong-tin/blog/vay-ngan-hang-chi-can-cccd")</f>
        <v>https://techcombank.com/thong-tin/blog/vay-ngan-hang-chi-can-cccd</v>
      </c>
      <c r="BQ58" s="17" t="str">
        <f>IFERROR(__xludf.DUMMYFUNCTION("""COMPUTED_VALUE"""),"cách tính lãi suất vay ngân hàng")</f>
        <v>cách tính lãi suất vay ngân hàng</v>
      </c>
      <c r="BR58" s="21" t="str">
        <f>IFERROR(__xludf.DUMMYFUNCTION("""COMPUTED_VALUE"""),"https://techcombank.com/thong-tin/blog/tra-gop-shopee")</f>
        <v>https://techcombank.com/thong-tin/blog/tra-gop-shopee</v>
      </c>
      <c r="BS58" s="17" t="str">
        <f>IFERROR(__xludf.DUMMYFUNCTION("""COMPUTED_VALUE"""),"cách tính lãi suất vay")</f>
        <v>cách tính lãi suất vay</v>
      </c>
      <c r="BT58" s="21" t="str">
        <f>IFERROR(__xludf.DUMMYFUNCTION("""COMPUTED_VALUE"""),"https://techcombank.com/thong-tin/blog/tra-gop-hoc-phi")</f>
        <v>https://techcombank.com/thong-tin/blog/tra-gop-hoc-phi</v>
      </c>
      <c r="BU58" s="17" t="str">
        <f>IFERROR(__xludf.DUMMYFUNCTION("""COMPUTED_VALUE"""),"cách tính lãi suất vay ngân hàng")</f>
        <v>cách tính lãi suất vay ngân hàng</v>
      </c>
      <c r="BV58" s="21" t="str">
        <f>IFERROR(__xludf.DUMMYFUNCTION("""COMPUTED_VALUE"""),"https://techcombank.com/thong-tin/blog/thanh-toan-tra-gop-qua-the-tin-dung")</f>
        <v>https://techcombank.com/thong-tin/blog/thanh-toan-tra-gop-qua-the-tin-dung</v>
      </c>
      <c r="BW58" s="17" t="str">
        <f>IFERROR(__xludf.DUMMYFUNCTION("""COMPUTED_VALUE"""),"cách tính lãi suất vay")</f>
        <v>cách tính lãi suất vay</v>
      </c>
      <c r="BX58" s="21" t="str">
        <f>IFERROR(__xludf.DUMMYFUNCTION("""COMPUTED_VALUE"""),"https://techcombank.com/thong-tin/blog/tra-gop-lazada")</f>
        <v>https://techcombank.com/thong-tin/blog/tra-gop-lazada</v>
      </c>
      <c r="BY58" s="17" t="str">
        <f>IFERROR(__xludf.DUMMYFUNCTION("""COMPUTED_VALUE"""),"cách tính lãi suất vay ngân hàng")</f>
        <v>cách tính lãi suất vay ngân hàng</v>
      </c>
      <c r="BZ58" s="21" t="str">
        <f>IFERROR(__xludf.DUMMYFUNCTION("""COMPUTED_VALUE"""),"https://techcombank.com/thong-tin/blog/lai-suat-vay-the-chap-so-do")</f>
        <v>https://techcombank.com/thong-tin/blog/lai-suat-vay-the-chap-so-do</v>
      </c>
      <c r="CA58" s="17" t="str">
        <f>IFERROR(__xludf.DUMMYFUNCTION("""COMPUTED_VALUE"""),"cách tính lãi suất vay")</f>
        <v>cách tính lãi suất vay</v>
      </c>
      <c r="CB58" s="21" t="str">
        <f>IFERROR(__xludf.DUMMYFUNCTION("""COMPUTED_VALUE"""),"https://techcombank.com/thong-tin/blog/nen-mua-xe-tra-gop-hay-tra-thang")</f>
        <v>https://techcombank.com/thong-tin/blog/nen-mua-xe-tra-gop-hay-tra-thang</v>
      </c>
      <c r="CC58" s="17" t="str">
        <f>IFERROR(__xludf.DUMMYFUNCTION("""COMPUTED_VALUE"""),"cách tính lãi suất vay ngân hàng")</f>
        <v>cách tính lãi suất vay ngân hàng</v>
      </c>
      <c r="CD58" s="21" t="str">
        <f>IFERROR(__xludf.DUMMYFUNCTION("""COMPUTED_VALUE"""),"https://techcombank.com/thong-tin/blog/vay-15-trieu")</f>
        <v>https://techcombank.com/thong-tin/blog/vay-15-trieu</v>
      </c>
      <c r="CE58" s="17" t="str">
        <f>IFERROR(__xludf.DUMMYFUNCTION("""COMPUTED_VALUE"""),"cách tính lãi suất vay")</f>
        <v>cách tính lãi suất vay</v>
      </c>
      <c r="CF58" s="21" t="str">
        <f>IFERROR(__xludf.DUMMYFUNCTION("""COMPUTED_VALUE"""),"https://techcombank.com/thong-tin/blog/sao-ke-the-tin-dung-la-gi")</f>
        <v>https://techcombank.com/thong-tin/blog/sao-ke-the-tin-dung-la-gi</v>
      </c>
      <c r="CG58" s="17" t="str">
        <f>IFERROR(__xludf.DUMMYFUNCTION("""COMPUTED_VALUE"""),"cách tính lãi suất vay ngân hàng")</f>
        <v>cách tính lãi suất vay ngân hàng</v>
      </c>
      <c r="CH58" s="21" t="str">
        <f>IFERROR(__xludf.DUMMYFUNCTION("""COMPUTED_VALUE"""),"https://techcombank.com/thong-tin/blog/lai-suat-vay-tieu-dung")</f>
        <v>https://techcombank.com/thong-tin/blog/lai-suat-vay-tieu-dung</v>
      </c>
      <c r="CI58" s="17" t="str">
        <f>IFERROR(__xludf.DUMMYFUNCTION("""COMPUTED_VALUE"""),"cách tính lãi suất vay")</f>
        <v>cách tính lãi suất vay</v>
      </c>
      <c r="CJ58" s="21" t="str">
        <f>IFERROR(__xludf.DUMMYFUNCTION("""COMPUTED_VALUE"""),"https://techcombank.com/thong-tin/blog/lam-ho-so-tra-gop-dien-thoai")</f>
        <v>https://techcombank.com/thong-tin/blog/lam-ho-so-tra-gop-dien-thoai</v>
      </c>
      <c r="CK58" s="17" t="str">
        <f>IFERROR(__xludf.DUMMYFUNCTION("""COMPUTED_VALUE"""),"cách tính lãi suất vay ngân hàng")</f>
        <v>cách tính lãi suất vay ngân hàng</v>
      </c>
      <c r="CL58" s="21" t="str">
        <f>IFERROR(__xludf.DUMMYFUNCTION("""COMPUTED_VALUE"""),"https://techcombank.com/thong-tin/blog/vay-30-trieu")</f>
        <v>https://techcombank.com/thong-tin/blog/vay-30-trieu</v>
      </c>
      <c r="CM58" s="17" t="str">
        <f>IFERROR(__xludf.DUMMYFUNCTION("""COMPUTED_VALUE"""),"cách tính lãi suất vay")</f>
        <v>cách tính lãi suất vay</v>
      </c>
      <c r="CN58" s="21" t="str">
        <f>IFERROR(__xludf.DUMMYFUNCTION("""COMPUTED_VALUE"""),"https://techcombank.com/thong-tin/blog/thu-tuc-vay-von-ngan-hang-de-xay-nha")</f>
        <v>https://techcombank.com/thong-tin/blog/thu-tuc-vay-von-ngan-hang-de-xay-nha</v>
      </c>
      <c r="CO58" s="17" t="str">
        <f>IFERROR(__xludf.DUMMYFUNCTION("""COMPUTED_VALUE"""),"cách tính lãi suất vay ngân hàng")</f>
        <v>cách tính lãi suất vay ngân hàng</v>
      </c>
      <c r="CP58" s="21" t="str">
        <f>IFERROR(__xludf.DUMMYFUNCTION("""COMPUTED_VALUE"""),"https://techcombank.com/thong-tin/blog/lai-suat-ngan-hang-cho-vay-xay-nha")</f>
        <v>https://techcombank.com/thong-tin/blog/lai-suat-ngan-hang-cho-vay-xay-nha</v>
      </c>
      <c r="CQ58" s="17" t="str">
        <f>IFERROR(__xludf.DUMMYFUNCTION("""COMPUTED_VALUE"""),"cách tính lãi suất vay")</f>
        <v>cách tính lãi suất vay</v>
      </c>
      <c r="CR58" s="21" t="str">
        <f>IFERROR(__xludf.DUMMYFUNCTION("""COMPUTED_VALUE"""),"https://techcombank.com/thong-tin/blog/cach-su-dung-the-tin-dung")</f>
        <v>https://techcombank.com/thong-tin/blog/cach-su-dung-the-tin-dung</v>
      </c>
      <c r="CS58" s="17" t="str">
        <f>IFERROR(__xludf.DUMMYFUNCTION("""COMPUTED_VALUE"""),"cách tính lãi suất vay ngân hàng")</f>
        <v>cách tính lãi suất vay ngân hàng</v>
      </c>
      <c r="CT58" s="21" t="str">
        <f>IFERROR(__xludf.DUMMYFUNCTION("""COMPUTED_VALUE"""),"https://techcombank.com/thong-tin/blog/vay-mua-nha-o-xa-hoi")</f>
        <v>https://techcombank.com/thong-tin/blog/vay-mua-nha-o-xa-hoi</v>
      </c>
      <c r="CU58" s="17" t="str">
        <f>IFERROR(__xludf.DUMMYFUNCTION("""COMPUTED_VALUE"""),"cách tính lãi suất vay")</f>
        <v>cách tính lãi suất vay</v>
      </c>
      <c r="CV58" s="21" t="str">
        <f>IFERROR(__xludf.DUMMYFUNCTION("""COMPUTED_VALUE"""),"https://techcombank.com/thong-tin/blog/vay-200-trieu")</f>
        <v>https://techcombank.com/thong-tin/blog/vay-200-trieu</v>
      </c>
      <c r="CW58" s="17" t="str">
        <f>IFERROR(__xludf.DUMMYFUNCTION("""COMPUTED_VALUE"""),"cách tính lãi suất vay ngân hàng")</f>
        <v>cách tính lãi suất vay ngân hàng</v>
      </c>
      <c r="CX58" s="21" t="str">
        <f>IFERROR(__xludf.DUMMYFUNCTION("""COMPUTED_VALUE"""),"https://techcombank.com/thong-tin/blog/kinh-nghiem-vay-tien-ngan-hang-xay-nha")</f>
        <v>https://techcombank.com/thong-tin/blog/kinh-nghiem-vay-tien-ngan-hang-xay-nha</v>
      </c>
      <c r="CY58" s="17" t="str">
        <f>IFERROR(__xludf.DUMMYFUNCTION("""COMPUTED_VALUE"""),"cách tính lãi suất vay")</f>
        <v>cách tính lãi suất vay</v>
      </c>
      <c r="CZ58" s="21" t="str">
        <f>IFERROR(__xludf.DUMMYFUNCTION("""COMPUTED_VALUE"""),"https://techcombank.com/thong-tin/blog/vay-tin-chap-theo-luong")</f>
        <v>https://techcombank.com/thong-tin/blog/vay-tin-chap-theo-luong</v>
      </c>
      <c r="DA58" s="17" t="str">
        <f>IFERROR(__xludf.DUMMYFUNCTION("""COMPUTED_VALUE"""),"cách tính lãi suất vay ngân hàng")</f>
        <v>cách tính lãi suất vay ngân hàng</v>
      </c>
      <c r="DB58" s="21" t="str">
        <f>IFERROR(__xludf.DUMMYFUNCTION("""COMPUTED_VALUE"""),"https://techcombank.com/thong-tin/blog/tra-gop-qua-the-tin-dung")</f>
        <v>https://techcombank.com/thong-tin/blog/tra-gop-qua-the-tin-dung</v>
      </c>
      <c r="DC58" s="17" t="str">
        <f>IFERROR(__xludf.DUMMYFUNCTION("""COMPUTED_VALUE"""),"cách tính lãi suất vay")</f>
        <v>cách tính lãi suất vay</v>
      </c>
      <c r="DD58" s="21" t="str">
        <f>IFERROR(__xludf.DUMMYFUNCTION("""COMPUTED_VALUE"""),"https://techcombank.com/thong-tin/blog/cach-su-dung-the-visa-techcombank")</f>
        <v>https://techcombank.com/thong-tin/blog/cach-su-dung-the-visa-techcombank</v>
      </c>
      <c r="DE58" s="17" t="str">
        <f>IFERROR(__xludf.DUMMYFUNCTION("""COMPUTED_VALUE"""),"cách tính lãi suất vay ngân hàng")</f>
        <v>cách tính lãi suất vay ngân hàng</v>
      </c>
      <c r="DF58" s="21" t="str">
        <f>IFERROR(__xludf.DUMMYFUNCTION("""COMPUTED_VALUE"""),"https://techcombank.com/thong-tin/blog/lai-suat-vay-ngan-hang")</f>
        <v>https://techcombank.com/thong-tin/blog/lai-suat-vay-ngan-hang</v>
      </c>
      <c r="DG58" s="17" t="str">
        <f>IFERROR(__xludf.DUMMYFUNCTION("""COMPUTED_VALUE"""),"cách tính lãi suất vay")</f>
        <v>cách tính lãi suất vay</v>
      </c>
      <c r="DH58" s="21" t="str">
        <f>IFERROR(__xludf.DUMMYFUNCTION("""COMPUTED_VALUE"""),"https://techcombank.com/thong-tin/blog/du-no-tin-dung-la-gi")</f>
        <v>https://techcombank.com/thong-tin/blog/du-no-tin-dung-la-gi</v>
      </c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  <c r="FM58" s="17"/>
      <c r="FN58" s="17"/>
      <c r="FO58" s="17"/>
      <c r="FP58" s="17"/>
      <c r="FQ58" s="17"/>
      <c r="FR58" s="17"/>
      <c r="FS58" s="17"/>
      <c r="FT58" s="17"/>
      <c r="FU58" s="17"/>
      <c r="FV58" s="17"/>
      <c r="FW58" s="17"/>
      <c r="FX58" s="17"/>
      <c r="FY58" s="17"/>
      <c r="FZ58" s="17"/>
      <c r="GA58" s="17"/>
      <c r="GB58" s="17"/>
      <c r="GC58" s="17"/>
      <c r="GD58" s="17"/>
      <c r="GE58" s="17"/>
      <c r="GF58" s="17"/>
      <c r="GG58" s="17"/>
      <c r="GH58" s="17"/>
      <c r="GI58" s="17"/>
      <c r="GJ58" s="17"/>
      <c r="GK58" s="17"/>
      <c r="GL58" s="17"/>
      <c r="GM58" s="17"/>
      <c r="GN58" s="17"/>
      <c r="GO58" s="17"/>
      <c r="GP58" s="17"/>
      <c r="GQ58" s="17"/>
      <c r="GR58" s="17"/>
      <c r="GS58" s="17"/>
      <c r="GT58" s="17"/>
      <c r="GU58" s="17"/>
      <c r="GV58" s="17"/>
      <c r="GW58" s="17"/>
      <c r="GX58" s="17"/>
      <c r="GY58" s="17"/>
      <c r="GZ58" s="17"/>
      <c r="HA58" s="17"/>
      <c r="HB58" s="17"/>
      <c r="HC58" s="17"/>
      <c r="HD58" s="17"/>
      <c r="HE58" s="17"/>
      <c r="HF58" s="17"/>
      <c r="HG58" s="17"/>
      <c r="HH58" s="17"/>
      <c r="HI58" s="17"/>
      <c r="HJ58" s="17"/>
      <c r="HK58" s="17"/>
      <c r="HL58" s="17"/>
      <c r="HM58" s="17"/>
      <c r="HN58" s="17"/>
      <c r="HO58" s="17"/>
      <c r="HP58" s="17"/>
      <c r="HQ58" s="17"/>
      <c r="HR58" s="17"/>
      <c r="HS58" s="17"/>
      <c r="HT58" s="17"/>
      <c r="HU58" s="17"/>
      <c r="HV58" s="17"/>
      <c r="HW58" s="17"/>
      <c r="HX58" s="17"/>
      <c r="HY58" s="17"/>
      <c r="HZ58" s="17"/>
      <c r="IA58" s="17"/>
      <c r="IB58" s="17"/>
      <c r="IC58" s="17"/>
      <c r="ID58" s="17"/>
      <c r="IE58" s="17"/>
      <c r="IF58" s="17"/>
      <c r="IG58" s="17"/>
      <c r="IH58" s="17"/>
      <c r="II58" s="17"/>
      <c r="IJ58" s="17"/>
      <c r="IK58" s="17"/>
      <c r="IL58" s="17"/>
      <c r="IM58" s="17"/>
      <c r="IN58" s="17"/>
      <c r="IO58" s="17"/>
      <c r="IP58" s="17"/>
      <c r="IQ58" s="17"/>
      <c r="IR58" s="17"/>
      <c r="IS58" s="17"/>
      <c r="IT58" s="17"/>
      <c r="IU58" s="17"/>
      <c r="IV58" s="17"/>
      <c r="IW58" s="17"/>
      <c r="IX58" s="17"/>
      <c r="IY58" s="17"/>
      <c r="IZ58" s="17"/>
      <c r="JA58" s="17"/>
      <c r="JB58" s="17"/>
      <c r="JC58" s="17"/>
      <c r="JD58" s="17"/>
      <c r="JE58" s="17"/>
      <c r="JF58" s="17"/>
      <c r="JG58" s="17"/>
      <c r="JH58" s="17"/>
      <c r="JI58" s="17"/>
      <c r="JJ58" s="17"/>
      <c r="JK58" s="17"/>
      <c r="JL58" s="17"/>
      <c r="JM58" s="17"/>
      <c r="JN58" s="17"/>
      <c r="JO58" s="17"/>
      <c r="JP58" s="17"/>
      <c r="JQ58" s="17"/>
      <c r="JR58" s="17"/>
      <c r="JS58" s="17"/>
      <c r="JT58" s="17"/>
      <c r="JU58" s="17"/>
      <c r="JV58" s="17"/>
      <c r="JW58" s="17"/>
      <c r="JX58" s="17"/>
      <c r="JY58" s="17"/>
      <c r="JZ58" s="17"/>
      <c r="KA58" s="17"/>
      <c r="KB58" s="17"/>
      <c r="KC58" s="17"/>
      <c r="KD58" s="17"/>
      <c r="KE58" s="17"/>
      <c r="KF58" s="17"/>
      <c r="KG58" s="17"/>
      <c r="KH58" s="17"/>
      <c r="KI58" s="17"/>
      <c r="KJ58" s="17"/>
      <c r="KK58" s="17"/>
      <c r="KL58" s="17"/>
      <c r="KM58" s="17"/>
      <c r="KN58" s="17"/>
      <c r="KO58" s="17"/>
      <c r="KP58" s="17"/>
      <c r="KQ58" s="17"/>
      <c r="KR58" s="17"/>
      <c r="KS58" s="17"/>
      <c r="KT58" s="17"/>
      <c r="KU58" s="17"/>
      <c r="KV58" s="17"/>
      <c r="KW58" s="17"/>
      <c r="KX58" s="17"/>
      <c r="KY58" s="17"/>
      <c r="KZ58" s="17"/>
      <c r="LA58" s="17"/>
      <c r="LB58" s="17"/>
      <c r="LC58" s="17"/>
      <c r="LD58" s="17"/>
      <c r="LE58" s="17"/>
      <c r="LF58" s="17"/>
      <c r="LG58" s="17"/>
      <c r="LH58" s="17"/>
      <c r="LI58" s="17"/>
      <c r="LJ58" s="17"/>
      <c r="LK58" s="17"/>
      <c r="LL58" s="17"/>
      <c r="LM58" s="17"/>
      <c r="LN58" s="17"/>
      <c r="LO58" s="17"/>
      <c r="LP58" s="17"/>
      <c r="LQ58" s="17"/>
      <c r="LR58" s="17"/>
      <c r="LS58" s="17"/>
      <c r="LT58" s="17"/>
      <c r="LU58" s="17"/>
      <c r="LV58" s="17"/>
      <c r="LW58" s="17"/>
      <c r="LX58" s="17"/>
      <c r="LY58" s="17"/>
      <c r="LZ58" s="17"/>
      <c r="MA58" s="17"/>
      <c r="MB58" s="17"/>
      <c r="MC58" s="17"/>
      <c r="MD58" s="17"/>
      <c r="ME58" s="17"/>
      <c r="MF58" s="17"/>
      <c r="MG58" s="17"/>
      <c r="MH58" s="17"/>
      <c r="MI58" s="17"/>
      <c r="MJ58" s="17"/>
      <c r="MK58" s="17"/>
      <c r="ML58" s="17"/>
      <c r="MM58" s="17"/>
      <c r="MN58" s="17"/>
      <c r="MO58" s="17"/>
      <c r="MP58" s="17"/>
      <c r="MQ58" s="17"/>
      <c r="MR58" s="17"/>
      <c r="MS58" s="17"/>
      <c r="MT58" s="17"/>
      <c r="MU58" s="17"/>
      <c r="MV58" s="17"/>
      <c r="MW58" s="17"/>
      <c r="MX58" s="17"/>
      <c r="MY58" s="17"/>
      <c r="MZ58" s="17"/>
      <c r="NA58" s="17"/>
      <c r="NB58" s="17"/>
      <c r="NC58" s="17"/>
      <c r="ND58" s="17"/>
      <c r="NE58" s="17"/>
      <c r="NF58" s="17"/>
      <c r="NG58" s="17"/>
      <c r="NH58" s="17"/>
      <c r="NI58" s="17"/>
      <c r="NJ58" s="17"/>
      <c r="NK58" s="17"/>
      <c r="NL58" s="17"/>
      <c r="NM58" s="17"/>
      <c r="NN58" s="17"/>
      <c r="NO58" s="17"/>
      <c r="NP58" s="17"/>
      <c r="NQ58" s="17"/>
      <c r="NR58" s="17"/>
      <c r="NS58" s="17"/>
      <c r="NT58" s="17"/>
      <c r="NU58" s="17"/>
      <c r="NV58" s="17"/>
      <c r="NW58" s="17"/>
      <c r="NX58" s="17"/>
      <c r="NY58" s="17"/>
      <c r="NZ58" s="17"/>
      <c r="OA58" s="17"/>
      <c r="OB58" s="17"/>
      <c r="OC58" s="17"/>
      <c r="OD58" s="17"/>
      <c r="OE58" s="17"/>
      <c r="OF58" s="17"/>
      <c r="OG58" s="17"/>
      <c r="OH58" s="17"/>
      <c r="OI58" s="17"/>
      <c r="OJ58" s="17"/>
      <c r="OK58" s="17"/>
      <c r="OL58" s="17"/>
      <c r="OM58" s="17"/>
      <c r="ON58" s="17"/>
      <c r="OO58" s="17"/>
      <c r="OP58" s="17"/>
      <c r="OQ58" s="17"/>
      <c r="OR58" s="17"/>
      <c r="OS58" s="17"/>
      <c r="OT58" s="17"/>
      <c r="OU58" s="17"/>
      <c r="OV58" s="17"/>
    </row>
    <row r="59" ht="18.0" customHeight="1">
      <c r="A59" s="16">
        <v>58.0</v>
      </c>
      <c r="B59" s="17" t="s">
        <v>1672</v>
      </c>
      <c r="C59" s="18" t="s">
        <v>1686</v>
      </c>
      <c r="D59" s="17" t="s">
        <v>404</v>
      </c>
      <c r="E59" s="16">
        <v>30.0</v>
      </c>
      <c r="F59" s="16">
        <f>COUNTIF('Tổng hợp 75 trang đích'!$B$2:$B$3400,$D59)</f>
        <v>30</v>
      </c>
      <c r="G59" s="16">
        <f>COUNTIFS('Tổng hợp 75 trang đích'!$B$2:$B$3400,$D59,'Tổng hợp 75 trang đích'!$K$2:$K$3400,"PHÙ HỢP CAO")</f>
        <v>4</v>
      </c>
      <c r="H59" s="16">
        <f>COUNTIFS('Tổng hợp 75 trang đích'!$B$2:$B$3400,$D59,'Tổng hợp 75 trang đích'!$K$2:$K$3400,"CÓ THỂ ĐI")</f>
        <v>1</v>
      </c>
      <c r="I59" s="16">
        <f>COUNTIFS('Tổng hợp 75 trang đích'!$B$2:$B$3400,$D59,'Tổng hợp 75 trang đích'!$K$2:$K$3400,"CẦN SOÁT")</f>
        <v>25</v>
      </c>
      <c r="J59" s="19" t="s">
        <v>555</v>
      </c>
      <c r="K59" s="19" t="b">
        <v>0</v>
      </c>
      <c r="L59" s="20" t="s">
        <v>333</v>
      </c>
      <c r="M59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đích'!$B$2:$B$3400=$D59),3,TR"&amp;"UE),1,2)),"""")"),"lãi suất vay thế chấp sổ đỏ")</f>
        <v>lãi suất vay thế chấp sổ đỏ</v>
      </c>
      <c r="N59" s="21" t="str">
        <f>IFERROR(__xludf.DUMMYFUNCTION("""COMPUTED_VALUE"""),"https://techcombank.com/thong-tin/blog/han-muc-vay-the-chap-so-do")</f>
        <v>https://techcombank.com/thong-tin/blog/han-muc-vay-the-chap-so-do</v>
      </c>
      <c r="O59" s="17" t="str">
        <f>IFERROR(__xludf.DUMMYFUNCTION("""COMPUTED_VALUE"""),"vay thế chấp sổ đỏ")</f>
        <v>vay thế chấp sổ đỏ</v>
      </c>
      <c r="P59" s="21" t="str">
        <f>IFERROR(__xludf.DUMMYFUNCTION("""COMPUTED_VALUE"""),"https://techcombank.com/thong-tin/blog/vay-the-chap-so-hong")</f>
        <v>https://techcombank.com/thong-tin/blog/vay-the-chap-so-hong</v>
      </c>
      <c r="Q59" s="17" t="str">
        <f>IFERROR(__xludf.DUMMYFUNCTION("""COMPUTED_VALUE"""),"lãi suất vay thế chấp sổ hồng")</f>
        <v>lãi suất vay thế chấp sổ hồng</v>
      </c>
      <c r="R59" s="21" t="str">
        <f>IFERROR(__xludf.DUMMYFUNCTION("""COMPUTED_VALUE"""),"https://techcombank.com/thong-tin/blog/kinh-nghiem-vay-the-chap-ngan-hang")</f>
        <v>https://techcombank.com/thong-tin/blog/kinh-nghiem-vay-the-chap-ngan-hang</v>
      </c>
      <c r="S59" s="17" t="str">
        <f>IFERROR(__xludf.DUMMYFUNCTION("""COMPUTED_VALUE"""),"vay thế chấp sổ đỏ ngân hàng")</f>
        <v>vay thế chấp sổ đỏ ngân hàng</v>
      </c>
      <c r="T59" s="21" t="str">
        <f>IFERROR(__xludf.DUMMYFUNCTION("""COMPUTED_VALUE"""),"https://techcombank.com/thong-tin/blog/nen-vay-the-chap-ngan-hang-nao")</f>
        <v>https://techcombank.com/thong-tin/blog/nen-vay-the-chap-ngan-hang-nao</v>
      </c>
      <c r="U59" s="17" t="str">
        <f>IFERROR(__xludf.DUMMYFUNCTION("""COMPUTED_VALUE"""),"lãi suất vay thế chấp sổ đỏ")</f>
        <v>lãi suất vay thế chấp sổ đỏ</v>
      </c>
      <c r="V59" s="21" t="str">
        <f>IFERROR(__xludf.DUMMYFUNCTION("""COMPUTED_VALUE"""),"https://techcombank.com/thong-tin/blog/vay-the-chap-la-gi")</f>
        <v>https://techcombank.com/thong-tin/blog/vay-the-chap-la-gi</v>
      </c>
      <c r="W59" s="17" t="str">
        <f>IFERROR(__xludf.DUMMYFUNCTION("""COMPUTED_VALUE"""),"vay thế chấp sổ đỏ")</f>
        <v>vay thế chấp sổ đỏ</v>
      </c>
      <c r="X59" s="21" t="str">
        <f>IFERROR(__xludf.DUMMYFUNCTION("""COMPUTED_VALUE"""),"https://techcombank.com/thong-tin/blog/vay-von-doanh-nghiep-khong-the-chap")</f>
        <v>https://techcombank.com/thong-tin/blog/vay-von-doanh-nghiep-khong-the-chap</v>
      </c>
      <c r="Y59" s="17" t="str">
        <f>IFERROR(__xludf.DUMMYFUNCTION("""COMPUTED_VALUE"""),"lãi suất vay thế chấp sổ hồng")</f>
        <v>lãi suất vay thế chấp sổ hồng</v>
      </c>
      <c r="Z59" s="21" t="str">
        <f>IFERROR(__xludf.DUMMYFUNCTION("""COMPUTED_VALUE"""),"https://techcombank.com/thong-tin/blog/vay-ngan-han")</f>
        <v>https://techcombank.com/thong-tin/blog/vay-ngan-han</v>
      </c>
      <c r="AA59" s="17" t="str">
        <f>IFERROR(__xludf.DUMMYFUNCTION("""COMPUTED_VALUE"""),"vay thế chấp sổ đỏ ngân hàng")</f>
        <v>vay thế chấp sổ đỏ ngân hàng</v>
      </c>
      <c r="AB59" s="21" t="str">
        <f>IFERROR(__xludf.DUMMYFUNCTION("""COMPUTED_VALUE"""),"https://techcombank.com/thong-tin/blog/thu-tuc-vay-von-kinh-doanh-nho")</f>
        <v>https://techcombank.com/thong-tin/blog/thu-tuc-vay-von-kinh-doanh-nho</v>
      </c>
      <c r="AC59" s="17" t="str">
        <f>IFERROR(__xludf.DUMMYFUNCTION("""COMPUTED_VALUE"""),"lãi suất vay thế chấp sổ đỏ")</f>
        <v>lãi suất vay thế chấp sổ đỏ</v>
      </c>
      <c r="AD59" s="21" t="str">
        <f>IFERROR(__xludf.DUMMYFUNCTION("""COMPUTED_VALUE"""),"https://techcombank.com/thong-tin/blog/cac-hinh-thuc-vay-von-ngan-hang")</f>
        <v>https://techcombank.com/thong-tin/blog/cac-hinh-thuc-vay-von-ngan-hang</v>
      </c>
      <c r="AE59" s="17" t="str">
        <f>IFERROR(__xludf.DUMMYFUNCTION("""COMPUTED_VALUE"""),"vay thế chấp sổ đỏ")</f>
        <v>vay thế chấp sổ đỏ</v>
      </c>
      <c r="AF59" s="21" t="str">
        <f>IFERROR(__xludf.DUMMYFUNCTION("""COMPUTED_VALUE"""),"https://techcombank.com/thong-tin/blog/vay-san-xuat-kinh-doanh")</f>
        <v>https://techcombank.com/thong-tin/blog/vay-san-xuat-kinh-doanh</v>
      </c>
      <c r="AG59" s="17" t="str">
        <f>IFERROR(__xludf.DUMMYFUNCTION("""COMPUTED_VALUE"""),"lãi suất vay thế chấp sổ hồng")</f>
        <v>lãi suất vay thế chấp sổ hồng</v>
      </c>
      <c r="AH59" s="21" t="str">
        <f>IFERROR(__xludf.DUMMYFUNCTION("""COMPUTED_VALUE"""),"https://techcombank.com/thong-tin/blog/vay-the-chap-kinh-doanh")</f>
        <v>https://techcombank.com/thong-tin/blog/vay-the-chap-kinh-doanh</v>
      </c>
      <c r="AI59" s="17" t="str">
        <f>IFERROR(__xludf.DUMMYFUNCTION("""COMPUTED_VALUE"""),"vay thế chấp sổ đỏ ngân hàng")</f>
        <v>vay thế chấp sổ đỏ ngân hàng</v>
      </c>
      <c r="AJ59" s="21" t="str">
        <f>IFERROR(__xludf.DUMMYFUNCTION("""COMPUTED_VALUE"""),"https://techcombank.com/thong-tin/blog/vay-the-chap-khong-tra-duoc")</f>
        <v>https://techcombank.com/thong-tin/blog/vay-the-chap-khong-tra-duoc</v>
      </c>
      <c r="AK59" s="17" t="str">
        <f>IFERROR(__xludf.DUMMYFUNCTION("""COMPUTED_VALUE"""),"lãi suất vay thế chấp sổ đỏ")</f>
        <v>lãi suất vay thế chấp sổ đỏ</v>
      </c>
      <c r="AL59" s="21" t="str">
        <f>IFERROR(__xludf.DUMMYFUNCTION("""COMPUTED_VALUE"""),"https://techcombank.com/thong-tin/blog/vay-the-chap-so-bao-hiem-xa-hoi")</f>
        <v>https://techcombank.com/thong-tin/blog/vay-the-chap-so-bao-hiem-xa-hoi</v>
      </c>
      <c r="AM59" s="17" t="str">
        <f>IFERROR(__xludf.DUMMYFUNCTION("""COMPUTED_VALUE"""),"vay thế chấp sổ đỏ")</f>
        <v>vay thế chấp sổ đỏ</v>
      </c>
      <c r="AN59" s="21" t="str">
        <f>IFERROR(__xludf.DUMMYFUNCTION("""COMPUTED_VALUE"""),"https://techcombank.com/thong-tin/blog/rui-ro-khi-vay-the-chap-ngan-hang")</f>
        <v>https://techcombank.com/thong-tin/blog/rui-ro-khi-vay-the-chap-ngan-hang</v>
      </c>
      <c r="AO59" s="17" t="str">
        <f>IFERROR(__xludf.DUMMYFUNCTION("""COMPUTED_VALUE"""),"lãi suất vay thế chấp sổ hồng")</f>
        <v>lãi suất vay thế chấp sổ hồng</v>
      </c>
      <c r="AP59" s="21" t="str">
        <f>IFERROR(__xludf.DUMMYFUNCTION("""COMPUTED_VALUE"""),"https://techcombank.com/thong-tin/blog/vay-tin-chap-va-vay-the-chap")</f>
        <v>https://techcombank.com/thong-tin/blog/vay-tin-chap-va-vay-the-chap</v>
      </c>
      <c r="AQ59" s="17" t="str">
        <f>IFERROR(__xludf.DUMMYFUNCTION("""COMPUTED_VALUE"""),"vay thế chấp sổ đỏ ngân hàng")</f>
        <v>vay thế chấp sổ đỏ ngân hàng</v>
      </c>
      <c r="AR59" s="21" t="str">
        <f>IFERROR(__xludf.DUMMYFUNCTION("""COMPUTED_VALUE"""),"https://techcombank.com/thong-tin/blog/lai-suat-vay-the-chap")</f>
        <v>https://techcombank.com/thong-tin/blog/lai-suat-vay-the-chap</v>
      </c>
      <c r="AS59" s="17" t="str">
        <f>IFERROR(__xludf.DUMMYFUNCTION("""COMPUTED_VALUE"""),"lãi suất vay thế chấp sổ đỏ")</f>
        <v>lãi suất vay thế chấp sổ đỏ</v>
      </c>
      <c r="AT59" s="21" t="str">
        <f>IFERROR(__xludf.DUMMYFUNCTION("""COMPUTED_VALUE"""),"https://techcombank.com/thong-tin/blog/quy-trinh-tat-toan-khoan-vay-the-chap")</f>
        <v>https://techcombank.com/thong-tin/blog/quy-trinh-tat-toan-khoan-vay-the-chap</v>
      </c>
      <c r="AU59" s="17" t="str">
        <f>IFERROR(__xludf.DUMMYFUNCTION("""COMPUTED_VALUE"""),"vay thế chấp sổ đỏ")</f>
        <v>vay thế chấp sổ đỏ</v>
      </c>
      <c r="AV59" s="21" t="str">
        <f>IFERROR(__xludf.DUMMYFUNCTION("""COMPUTED_VALUE"""),"https://techcombank.com/thong-tin/blog/vay-the-chap-xe-o-to-cu")</f>
        <v>https://techcombank.com/thong-tin/blog/vay-the-chap-xe-o-to-cu</v>
      </c>
      <c r="AW59" s="17" t="str">
        <f>IFERROR(__xludf.DUMMYFUNCTION("""COMPUTED_VALUE"""),"lãi suất vay thế chấp sổ hồng")</f>
        <v>lãi suất vay thế chấp sổ hồng</v>
      </c>
      <c r="AX59" s="21" t="str">
        <f>IFERROR(__xludf.DUMMYFUNCTION("""COMPUTED_VALUE"""),"https://techcombank.com/thong-tin/blog/vay-the-chap-qua-luong")</f>
        <v>https://techcombank.com/thong-tin/blog/vay-the-chap-qua-luong</v>
      </c>
      <c r="AY59" s="17" t="str">
        <f>IFERROR(__xludf.DUMMYFUNCTION("""COMPUTED_VALUE"""),"vay thế chấp sổ đỏ ngân hàng")</f>
        <v>vay thế chấp sổ đỏ ngân hàng</v>
      </c>
      <c r="AZ59" s="21" t="str">
        <f>IFERROR(__xludf.DUMMYFUNCTION("""COMPUTED_VALUE"""),"https://techcombank.com/thong-tin/blog/ho-so-thu-tuc-xoa-the-chap")</f>
        <v>https://techcombank.com/thong-tin/blog/ho-so-thu-tuc-xoa-the-chap</v>
      </c>
      <c r="BA59" s="17" t="str">
        <f>IFERROR(__xludf.DUMMYFUNCTION("""COMPUTED_VALUE"""),"lãi suất vay thế chấp sổ đỏ")</f>
        <v>lãi suất vay thế chấp sổ đỏ</v>
      </c>
      <c r="BB59" s="21" t="str">
        <f>IFERROR(__xludf.DUMMYFUNCTION("""COMPUTED_VALUE"""),"https://techcombank.com/thong-tin/blog/nen-mua-xe-tra-gop-hay-tra-thang")</f>
        <v>https://techcombank.com/thong-tin/blog/nen-mua-xe-tra-gop-hay-tra-thang</v>
      </c>
      <c r="BC59" s="17" t="str">
        <f>IFERROR(__xludf.DUMMYFUNCTION("""COMPUTED_VALUE"""),"vay thế chấp sổ đỏ")</f>
        <v>vay thế chấp sổ đỏ</v>
      </c>
      <c r="BD59" s="21" t="str">
        <f>IFERROR(__xludf.DUMMYFUNCTION("""COMPUTED_VALUE"""),"https://techcombank.com/thong-tin/blog/giai-ngan-vay-the-chap")</f>
        <v>https://techcombank.com/thong-tin/blog/giai-ngan-vay-the-chap</v>
      </c>
      <c r="BE59" s="17" t="str">
        <f>IFERROR(__xludf.DUMMYFUNCTION("""COMPUTED_VALUE"""),"lãi suất vay thế chấp sổ hồng")</f>
        <v>lãi suất vay thế chấp sổ hồng</v>
      </c>
      <c r="BF59" s="21" t="str">
        <f>IFERROR(__xludf.DUMMYFUNCTION("""COMPUTED_VALUE"""),"https://techcombank.com/thong-tin/blog/no-xau-co-vay-the-chap-duoc-khong")</f>
        <v>https://techcombank.com/thong-tin/blog/no-xau-co-vay-the-chap-duoc-khong</v>
      </c>
      <c r="BG59" s="17" t="str">
        <f>IFERROR(__xludf.DUMMYFUNCTION("""COMPUTED_VALUE"""),"vay thế chấp sổ đỏ ngân hàng")</f>
        <v>vay thế chấp sổ đỏ ngân hàng</v>
      </c>
      <c r="BH59" s="21" t="str">
        <f>IFERROR(__xludf.DUMMYFUNCTION("""COMPUTED_VALUE"""),"https://techcombank.com/thong-tin/blog/phi-vay-the-chap")</f>
        <v>https://techcombank.com/thong-tin/blog/phi-vay-the-chap</v>
      </c>
      <c r="BI59" s="17" t="str">
        <f>IFERROR(__xludf.DUMMYFUNCTION("""COMPUTED_VALUE"""),"lãi suất vay thế chấp sổ đỏ")</f>
        <v>lãi suất vay thế chấp sổ đỏ</v>
      </c>
      <c r="BJ59" s="21" t="str">
        <f>IFERROR(__xludf.DUMMYFUNCTION("""COMPUTED_VALUE"""),"https://techcombank.com/thong-tin/blog/cac-hinh-thuc-cho-vay-tieu-dung")</f>
        <v>https://techcombank.com/thong-tin/blog/cac-hinh-thuc-cho-vay-tieu-dung</v>
      </c>
      <c r="BK59" s="17" t="str">
        <f>IFERROR(__xludf.DUMMYFUNCTION("""COMPUTED_VALUE"""),"vay thế chấp sổ đỏ")</f>
        <v>vay thế chấp sổ đỏ</v>
      </c>
      <c r="BL59" s="21" t="str">
        <f>IFERROR(__xludf.DUMMYFUNCTION("""COMPUTED_VALUE"""),"https://techcombank.com/thong-tin/blog/vay-the-chap-toi-da-duoc-bao-nhieu")</f>
        <v>https://techcombank.com/thong-tin/blog/vay-the-chap-toi-da-duoc-bao-nhieu</v>
      </c>
      <c r="BM59" s="17" t="str">
        <f>IFERROR(__xludf.DUMMYFUNCTION("""COMPUTED_VALUE"""),"lãi suất vay thế chấp sổ hồng")</f>
        <v>lãi suất vay thế chấp sổ hồng</v>
      </c>
      <c r="BN59" s="21" t="str">
        <f>IFERROR(__xludf.DUMMYFUNCTION("""COMPUTED_VALUE"""),"https://techcombank.com/thong-tin/blog/dieu-kien-vay-the-chap")</f>
        <v>https://techcombank.com/thong-tin/blog/dieu-kien-vay-the-chap</v>
      </c>
      <c r="BO59" s="17" t="str">
        <f>IFERROR(__xludf.DUMMYFUNCTION("""COMPUTED_VALUE"""),"vay thế chấp sổ đỏ ngân hàng")</f>
        <v>vay thế chấp sổ đỏ ngân hàng</v>
      </c>
      <c r="BP59" s="21" t="str">
        <f>IFERROR(__xludf.DUMMYFUNCTION("""COMPUTED_VALUE"""),"https://techcombank.com/thong-tin/blog/lai-suat-vay-mua-o-to")</f>
        <v>https://techcombank.com/thong-tin/blog/lai-suat-vay-mua-o-to</v>
      </c>
      <c r="BQ59" s="17" t="str">
        <f>IFERROR(__xludf.DUMMYFUNCTION("""COMPUTED_VALUE"""),"lãi suất vay thế chấp sổ đỏ")</f>
        <v>lãi suất vay thế chấp sổ đỏ</v>
      </c>
      <c r="BR59" s="21" t="str">
        <f>IFERROR(__xludf.DUMMYFUNCTION("""COMPUTED_VALUE"""),"https://techcombank.com/thong-tin/blog/the-chap-la-gi")</f>
        <v>https://techcombank.com/thong-tin/blog/the-chap-la-gi</v>
      </c>
      <c r="BS59" s="17" t="str">
        <f>IFERROR(__xludf.DUMMYFUNCTION("""COMPUTED_VALUE"""),"vay thế chấp sổ đỏ")</f>
        <v>vay thế chấp sổ đỏ</v>
      </c>
      <c r="BT59" s="21" t="str">
        <f>IFERROR(__xludf.DUMMYFUNCTION("""COMPUTED_VALUE"""),"https://techcombank.com/thong-tin/blog/vay-the-chap-khong-chung-minh-thu-nhap")</f>
        <v>https://techcombank.com/thong-tin/blog/vay-the-chap-khong-chung-minh-thu-nhap</v>
      </c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  <c r="FN59" s="17"/>
      <c r="FO59" s="17"/>
      <c r="FP59" s="17"/>
      <c r="FQ59" s="17"/>
      <c r="FR59" s="17"/>
      <c r="FS59" s="17"/>
      <c r="FT59" s="17"/>
      <c r="FU59" s="17"/>
      <c r="FV59" s="17"/>
      <c r="FW59" s="17"/>
      <c r="FX59" s="17"/>
      <c r="FY59" s="17"/>
      <c r="FZ59" s="17"/>
      <c r="GA59" s="17"/>
      <c r="GB59" s="17"/>
      <c r="GC59" s="17"/>
      <c r="GD59" s="17"/>
      <c r="GE59" s="17"/>
      <c r="GF59" s="17"/>
      <c r="GG59" s="17"/>
      <c r="GH59" s="17"/>
      <c r="GI59" s="17"/>
      <c r="GJ59" s="17"/>
      <c r="GK59" s="17"/>
      <c r="GL59" s="17"/>
      <c r="GM59" s="17"/>
      <c r="GN59" s="17"/>
      <c r="GO59" s="17"/>
      <c r="GP59" s="17"/>
      <c r="GQ59" s="17"/>
      <c r="GR59" s="17"/>
      <c r="GS59" s="17"/>
      <c r="GT59" s="17"/>
      <c r="GU59" s="17"/>
      <c r="GV59" s="17"/>
      <c r="GW59" s="17"/>
      <c r="GX59" s="17"/>
      <c r="GY59" s="17"/>
      <c r="GZ59" s="17"/>
      <c r="HA59" s="17"/>
      <c r="HB59" s="17"/>
      <c r="HC59" s="17"/>
      <c r="HD59" s="17"/>
      <c r="HE59" s="17"/>
      <c r="HF59" s="17"/>
      <c r="HG59" s="17"/>
      <c r="HH59" s="17"/>
      <c r="HI59" s="17"/>
      <c r="HJ59" s="17"/>
      <c r="HK59" s="17"/>
      <c r="HL59" s="17"/>
      <c r="HM59" s="17"/>
      <c r="HN59" s="17"/>
      <c r="HO59" s="17"/>
      <c r="HP59" s="17"/>
      <c r="HQ59" s="17"/>
      <c r="HR59" s="17"/>
      <c r="HS59" s="17"/>
      <c r="HT59" s="17"/>
      <c r="HU59" s="17"/>
      <c r="HV59" s="17"/>
      <c r="HW59" s="17"/>
      <c r="HX59" s="17"/>
      <c r="HY59" s="17"/>
      <c r="HZ59" s="17"/>
      <c r="IA59" s="17"/>
      <c r="IB59" s="17"/>
      <c r="IC59" s="17"/>
      <c r="ID59" s="17"/>
      <c r="IE59" s="17"/>
      <c r="IF59" s="17"/>
      <c r="IG59" s="17"/>
      <c r="IH59" s="17"/>
      <c r="II59" s="17"/>
      <c r="IJ59" s="17"/>
      <c r="IK59" s="17"/>
      <c r="IL59" s="17"/>
      <c r="IM59" s="17"/>
      <c r="IN59" s="17"/>
      <c r="IO59" s="17"/>
      <c r="IP59" s="17"/>
      <c r="IQ59" s="17"/>
      <c r="IR59" s="17"/>
      <c r="IS59" s="17"/>
      <c r="IT59" s="17"/>
      <c r="IU59" s="17"/>
      <c r="IV59" s="17"/>
      <c r="IW59" s="17"/>
      <c r="IX59" s="17"/>
      <c r="IY59" s="17"/>
      <c r="IZ59" s="17"/>
      <c r="JA59" s="17"/>
      <c r="JB59" s="17"/>
      <c r="JC59" s="17"/>
      <c r="JD59" s="17"/>
      <c r="JE59" s="17"/>
      <c r="JF59" s="17"/>
      <c r="JG59" s="17"/>
      <c r="JH59" s="17"/>
      <c r="JI59" s="17"/>
      <c r="JJ59" s="17"/>
      <c r="JK59" s="17"/>
      <c r="JL59" s="17"/>
      <c r="JM59" s="17"/>
      <c r="JN59" s="17"/>
      <c r="JO59" s="17"/>
      <c r="JP59" s="17"/>
      <c r="JQ59" s="17"/>
      <c r="JR59" s="17"/>
      <c r="JS59" s="17"/>
      <c r="JT59" s="17"/>
      <c r="JU59" s="17"/>
      <c r="JV59" s="17"/>
      <c r="JW59" s="17"/>
      <c r="JX59" s="17"/>
      <c r="JY59" s="17"/>
      <c r="JZ59" s="17"/>
      <c r="KA59" s="17"/>
      <c r="KB59" s="17"/>
      <c r="KC59" s="17"/>
      <c r="KD59" s="17"/>
      <c r="KE59" s="17"/>
      <c r="KF59" s="17"/>
      <c r="KG59" s="17"/>
      <c r="KH59" s="17"/>
      <c r="KI59" s="17"/>
      <c r="KJ59" s="17"/>
      <c r="KK59" s="17"/>
      <c r="KL59" s="17"/>
      <c r="KM59" s="17"/>
      <c r="KN59" s="17"/>
      <c r="KO59" s="17"/>
      <c r="KP59" s="17"/>
      <c r="KQ59" s="17"/>
      <c r="KR59" s="17"/>
      <c r="KS59" s="17"/>
      <c r="KT59" s="17"/>
      <c r="KU59" s="17"/>
      <c r="KV59" s="17"/>
      <c r="KW59" s="17"/>
      <c r="KX59" s="17"/>
      <c r="KY59" s="17"/>
      <c r="KZ59" s="17"/>
      <c r="LA59" s="17"/>
      <c r="LB59" s="17"/>
      <c r="LC59" s="17"/>
      <c r="LD59" s="17"/>
      <c r="LE59" s="17"/>
      <c r="LF59" s="17"/>
      <c r="LG59" s="17"/>
      <c r="LH59" s="17"/>
      <c r="LI59" s="17"/>
      <c r="LJ59" s="17"/>
      <c r="LK59" s="17"/>
      <c r="LL59" s="17"/>
      <c r="LM59" s="17"/>
      <c r="LN59" s="17"/>
      <c r="LO59" s="17"/>
      <c r="LP59" s="17"/>
      <c r="LQ59" s="17"/>
      <c r="LR59" s="17"/>
      <c r="LS59" s="17"/>
      <c r="LT59" s="17"/>
      <c r="LU59" s="17"/>
      <c r="LV59" s="17"/>
      <c r="LW59" s="17"/>
      <c r="LX59" s="17"/>
      <c r="LY59" s="17"/>
      <c r="LZ59" s="17"/>
      <c r="MA59" s="17"/>
      <c r="MB59" s="17"/>
      <c r="MC59" s="17"/>
      <c r="MD59" s="17"/>
      <c r="ME59" s="17"/>
      <c r="MF59" s="17"/>
      <c r="MG59" s="17"/>
      <c r="MH59" s="17"/>
      <c r="MI59" s="17"/>
      <c r="MJ59" s="17"/>
      <c r="MK59" s="17"/>
      <c r="ML59" s="17"/>
      <c r="MM59" s="17"/>
      <c r="MN59" s="17"/>
      <c r="MO59" s="17"/>
      <c r="MP59" s="17"/>
      <c r="MQ59" s="17"/>
      <c r="MR59" s="17"/>
      <c r="MS59" s="17"/>
      <c r="MT59" s="17"/>
      <c r="MU59" s="17"/>
      <c r="MV59" s="17"/>
      <c r="MW59" s="17"/>
      <c r="MX59" s="17"/>
      <c r="MY59" s="17"/>
      <c r="MZ59" s="17"/>
      <c r="NA59" s="17"/>
      <c r="NB59" s="17"/>
      <c r="NC59" s="17"/>
      <c r="ND59" s="17"/>
      <c r="NE59" s="17"/>
      <c r="NF59" s="17"/>
      <c r="NG59" s="17"/>
      <c r="NH59" s="17"/>
      <c r="NI59" s="17"/>
      <c r="NJ59" s="17"/>
      <c r="NK59" s="17"/>
      <c r="NL59" s="17"/>
      <c r="NM59" s="17"/>
      <c r="NN59" s="17"/>
      <c r="NO59" s="17"/>
      <c r="NP59" s="17"/>
      <c r="NQ59" s="17"/>
      <c r="NR59" s="17"/>
      <c r="NS59" s="17"/>
      <c r="NT59" s="17"/>
      <c r="NU59" s="17"/>
      <c r="NV59" s="17"/>
      <c r="NW59" s="17"/>
      <c r="NX59" s="17"/>
      <c r="NY59" s="17"/>
      <c r="NZ59" s="17"/>
      <c r="OA59" s="17"/>
      <c r="OB59" s="17"/>
      <c r="OC59" s="17"/>
      <c r="OD59" s="17"/>
      <c r="OE59" s="17"/>
      <c r="OF59" s="17"/>
      <c r="OG59" s="17"/>
      <c r="OH59" s="17"/>
      <c r="OI59" s="17"/>
      <c r="OJ59" s="17"/>
      <c r="OK59" s="17"/>
      <c r="OL59" s="17"/>
      <c r="OM59" s="17"/>
      <c r="ON59" s="17"/>
      <c r="OO59" s="17"/>
      <c r="OP59" s="17"/>
      <c r="OQ59" s="17"/>
      <c r="OR59" s="17"/>
      <c r="OS59" s="17"/>
      <c r="OT59" s="17"/>
      <c r="OU59" s="17"/>
      <c r="OV59" s="17"/>
    </row>
    <row r="60" ht="18.0" customHeight="1">
      <c r="A60" s="16">
        <v>59.0</v>
      </c>
      <c r="B60" s="17" t="s">
        <v>1672</v>
      </c>
      <c r="C60" s="18" t="s">
        <v>1708</v>
      </c>
      <c r="D60" s="17" t="s">
        <v>567</v>
      </c>
      <c r="E60" s="16">
        <v>30.0</v>
      </c>
      <c r="F60" s="16">
        <f>COUNTIF('Tổng hợp 75 trang đích'!$B$2:$B$3400,$D60)</f>
        <v>30</v>
      </c>
      <c r="G60" s="16">
        <f>COUNTIFS('Tổng hợp 75 trang đích'!$B$2:$B$3400,$D60,'Tổng hợp 75 trang đích'!$K$2:$K$3400,"PHÙ HỢP CAO")</f>
        <v>2</v>
      </c>
      <c r="H60" s="16">
        <f>COUNTIFS('Tổng hợp 75 trang đích'!$B$2:$B$3400,$D60,'Tổng hợp 75 trang đích'!$K$2:$K$3400,"CÓ THỂ ĐI")</f>
        <v>3</v>
      </c>
      <c r="I60" s="16">
        <f>COUNTIFS('Tổng hợp 75 trang đích'!$B$2:$B$3400,$D60,'Tổng hợp 75 trang đích'!$K$2:$K$3400,"CẦN SOÁT")</f>
        <v>25</v>
      </c>
      <c r="J60" s="19" t="s">
        <v>555</v>
      </c>
      <c r="K60" s="19" t="b">
        <v>0</v>
      </c>
      <c r="L60" s="20" t="s">
        <v>333</v>
      </c>
      <c r="M60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đích'!$B$2:$B$3400=$D60),3,TR"&amp;"UE),1,2)),"""")"),"thủ tục xóa thế chấp")</f>
        <v>thủ tục xóa thế chấp</v>
      </c>
      <c r="N60" s="21" t="str">
        <f>IFERROR(__xludf.DUMMYFUNCTION("""COMPUTED_VALUE"""),"https://techcombank.com/thong-tin/blog/quy-trinh-tat-toan-khoan-vay-the-chap")</f>
        <v>https://techcombank.com/thong-tin/blog/quy-trinh-tat-toan-khoan-vay-the-chap</v>
      </c>
      <c r="O60" s="17" t="str">
        <f>IFERROR(__xludf.DUMMYFUNCTION("""COMPUTED_VALUE"""),"hồ sơ thủ tục xóa thế chấp")</f>
        <v>hồ sơ thủ tục xóa thế chấp</v>
      </c>
      <c r="P60" s="21" t="str">
        <f>IFERROR(__xludf.DUMMYFUNCTION("""COMPUTED_VALUE"""),"https://techcombank.com/thong-tin/blog/tat-toan")</f>
        <v>https://techcombank.com/thong-tin/blog/tat-toan</v>
      </c>
      <c r="Q60" s="17" t="str">
        <f>IFERROR(__xludf.DUMMYFUNCTION("""COMPUTED_VALUE"""),"xóa thế chấp sổ đỏ")</f>
        <v>xóa thế chấp sổ đỏ</v>
      </c>
      <c r="R60" s="21" t="str">
        <f>IFERROR(__xludf.DUMMYFUNCTION("""COMPUTED_VALUE"""),"https://techcombank.com/thong-tin/blog/the-chap-la-gi")</f>
        <v>https://techcombank.com/thong-tin/blog/the-chap-la-gi</v>
      </c>
      <c r="S60" s="17" t="str">
        <f>IFERROR(__xludf.DUMMYFUNCTION("""COMPUTED_VALUE"""),"thủ tục giải chấp sổ đỏ")</f>
        <v>thủ tục giải chấp sổ đỏ</v>
      </c>
      <c r="T60" s="21" t="str">
        <f>IFERROR(__xludf.DUMMYFUNCTION("""COMPUTED_VALUE"""),"https://techcombank.com/thong-tin/blog/vay-the-chap-khong-tra-duoc")</f>
        <v>https://techcombank.com/thong-tin/blog/vay-the-chap-khong-tra-duoc</v>
      </c>
      <c r="U60" s="17" t="str">
        <f>IFERROR(__xludf.DUMMYFUNCTION("""COMPUTED_VALUE"""),"thủ tục xóa thế chấp")</f>
        <v>thủ tục xóa thế chấp</v>
      </c>
      <c r="V60" s="21" t="str">
        <f>IFERROR(__xludf.DUMMYFUNCTION("""COMPUTED_VALUE"""),"https://techcombank.com/thong-tin/blog/giai-ngan-vay-the-chap")</f>
        <v>https://techcombank.com/thong-tin/blog/giai-ngan-vay-the-chap</v>
      </c>
      <c r="W60" s="17" t="str">
        <f>IFERROR(__xludf.DUMMYFUNCTION("""COMPUTED_VALUE"""),"hồ sơ thủ tục xóa thế chấp")</f>
        <v>hồ sơ thủ tục xóa thế chấp</v>
      </c>
      <c r="X60" s="21" t="str">
        <f>IFERROR(__xludf.DUMMYFUNCTION("""COMPUTED_VALUE"""),"https://techcombank.com/thong-tin/blog/vay-von-doanh-nghiep-khong-the-chap")</f>
        <v>https://techcombank.com/thong-tin/blog/vay-von-doanh-nghiep-khong-the-chap</v>
      </c>
      <c r="Y60" s="17" t="str">
        <f>IFERROR(__xludf.DUMMYFUNCTION("""COMPUTED_VALUE"""),"xóa thế chấp sổ đỏ")</f>
        <v>xóa thế chấp sổ đỏ</v>
      </c>
      <c r="Z60" s="21" t="str">
        <f>IFERROR(__xludf.DUMMYFUNCTION("""COMPUTED_VALUE"""),"https://techcombank.com/thong-tin/blog/vay-ngan-han")</f>
        <v>https://techcombank.com/thong-tin/blog/vay-ngan-han</v>
      </c>
      <c r="AA60" s="17" t="str">
        <f>IFERROR(__xludf.DUMMYFUNCTION("""COMPUTED_VALUE"""),"thủ tục giải chấp sổ đỏ")</f>
        <v>thủ tục giải chấp sổ đỏ</v>
      </c>
      <c r="AB60" s="21" t="str">
        <f>IFERROR(__xludf.DUMMYFUNCTION("""COMPUTED_VALUE"""),"https://techcombank.com/thong-tin/blog/thu-tuc-vay-von-kinh-doanh-nho")</f>
        <v>https://techcombank.com/thong-tin/blog/thu-tuc-vay-von-kinh-doanh-nho</v>
      </c>
      <c r="AC60" s="17" t="str">
        <f>IFERROR(__xludf.DUMMYFUNCTION("""COMPUTED_VALUE"""),"thủ tục xóa thế chấp")</f>
        <v>thủ tục xóa thế chấp</v>
      </c>
      <c r="AD60" s="21" t="str">
        <f>IFERROR(__xludf.DUMMYFUNCTION("""COMPUTED_VALUE"""),"https://techcombank.com/thong-tin/blog/cac-hinh-thuc-vay-von-ngan-hang")</f>
        <v>https://techcombank.com/thong-tin/blog/cac-hinh-thuc-vay-von-ngan-hang</v>
      </c>
      <c r="AE60" s="17" t="str">
        <f>IFERROR(__xludf.DUMMYFUNCTION("""COMPUTED_VALUE"""),"hồ sơ thủ tục xóa thế chấp")</f>
        <v>hồ sơ thủ tục xóa thế chấp</v>
      </c>
      <c r="AF60" s="21" t="str">
        <f>IFERROR(__xludf.DUMMYFUNCTION("""COMPUTED_VALUE"""),"https://techcombank.com/thong-tin/blog/vay-san-xuat-kinh-doanh")</f>
        <v>https://techcombank.com/thong-tin/blog/vay-san-xuat-kinh-doanh</v>
      </c>
      <c r="AG60" s="17" t="str">
        <f>IFERROR(__xludf.DUMMYFUNCTION("""COMPUTED_VALUE"""),"xóa thế chấp sổ đỏ")</f>
        <v>xóa thế chấp sổ đỏ</v>
      </c>
      <c r="AH60" s="21" t="str">
        <f>IFERROR(__xludf.DUMMYFUNCTION("""COMPUTED_VALUE"""),"https://techcombank.com/thong-tin/blog/vay-the-chap-kinh-doanh")</f>
        <v>https://techcombank.com/thong-tin/blog/vay-the-chap-kinh-doanh</v>
      </c>
      <c r="AI60" s="17" t="str">
        <f>IFERROR(__xludf.DUMMYFUNCTION("""COMPUTED_VALUE"""),"thủ tục giải chấp sổ đỏ")</f>
        <v>thủ tục giải chấp sổ đỏ</v>
      </c>
      <c r="AJ60" s="21" t="str">
        <f>IFERROR(__xludf.DUMMYFUNCTION("""COMPUTED_VALUE"""),"https://techcombank.com/thong-tin/blog/vay-the-chap-so-bao-hiem-xa-hoi")</f>
        <v>https://techcombank.com/thong-tin/blog/vay-the-chap-so-bao-hiem-xa-hoi</v>
      </c>
      <c r="AK60" s="17" t="str">
        <f>IFERROR(__xludf.DUMMYFUNCTION("""COMPUTED_VALUE"""),"thủ tục xóa thế chấp")</f>
        <v>thủ tục xóa thế chấp</v>
      </c>
      <c r="AL60" s="21" t="str">
        <f>IFERROR(__xludf.DUMMYFUNCTION("""COMPUTED_VALUE"""),"https://techcombank.com/thong-tin/blog/nen-vay-the-chap-ngan-hang-nao")</f>
        <v>https://techcombank.com/thong-tin/blog/nen-vay-the-chap-ngan-hang-nao</v>
      </c>
      <c r="AM60" s="17" t="str">
        <f>IFERROR(__xludf.DUMMYFUNCTION("""COMPUTED_VALUE"""),"hồ sơ thủ tục xóa thế chấp")</f>
        <v>hồ sơ thủ tục xóa thế chấp</v>
      </c>
      <c r="AN60" s="21" t="str">
        <f>IFERROR(__xludf.DUMMYFUNCTION("""COMPUTED_VALUE"""),"https://techcombank.com/thong-tin/blog/vay-the-chap-la-gi")</f>
        <v>https://techcombank.com/thong-tin/blog/vay-the-chap-la-gi</v>
      </c>
      <c r="AO60" s="17" t="str">
        <f>IFERROR(__xludf.DUMMYFUNCTION("""COMPUTED_VALUE"""),"xóa thế chấp sổ đỏ")</f>
        <v>xóa thế chấp sổ đỏ</v>
      </c>
      <c r="AP60" s="21" t="str">
        <f>IFERROR(__xludf.DUMMYFUNCTION("""COMPUTED_VALUE"""),"https://techcombank.com/thong-tin/blog/tat-toan-so-tiet-kiem")</f>
        <v>https://techcombank.com/thong-tin/blog/tat-toan-so-tiet-kiem</v>
      </c>
      <c r="AQ60" s="17" t="str">
        <f>IFERROR(__xludf.DUMMYFUNCTION("""COMPUTED_VALUE"""),"thủ tục giải chấp sổ đỏ")</f>
        <v>thủ tục giải chấp sổ đỏ</v>
      </c>
      <c r="AR60" s="21" t="str">
        <f>IFERROR(__xludf.DUMMYFUNCTION("""COMPUTED_VALUE"""),"https://techcombank.com/thong-tin/blog/rui-ro-khi-vay-the-chap-ngan-hang")</f>
        <v>https://techcombank.com/thong-tin/blog/rui-ro-khi-vay-the-chap-ngan-hang</v>
      </c>
      <c r="AS60" s="17" t="str">
        <f>IFERROR(__xludf.DUMMYFUNCTION("""COMPUTED_VALUE"""),"thủ tục xóa thế chấp")</f>
        <v>thủ tục xóa thế chấp</v>
      </c>
      <c r="AT60" s="21" t="str">
        <f>IFERROR(__xludf.DUMMYFUNCTION("""COMPUTED_VALUE"""),"https://techcombank.com/thong-tin/blog/vay-tin-chap-va-vay-the-chap")</f>
        <v>https://techcombank.com/thong-tin/blog/vay-tin-chap-va-vay-the-chap</v>
      </c>
      <c r="AU60" s="17" t="str">
        <f>IFERROR(__xludf.DUMMYFUNCTION("""COMPUTED_VALUE"""),"hồ sơ thủ tục xóa thế chấp")</f>
        <v>hồ sơ thủ tục xóa thế chấp</v>
      </c>
      <c r="AV60" s="21" t="str">
        <f>IFERROR(__xludf.DUMMYFUNCTION("""COMPUTED_VALUE"""),"https://techcombank.com/thong-tin/blog/lai-suat-vay-the-chap")</f>
        <v>https://techcombank.com/thong-tin/blog/lai-suat-vay-the-chap</v>
      </c>
      <c r="AW60" s="17" t="str">
        <f>IFERROR(__xludf.DUMMYFUNCTION("""COMPUTED_VALUE"""),"xóa thế chấp sổ đỏ")</f>
        <v>xóa thế chấp sổ đỏ</v>
      </c>
      <c r="AX60" s="21" t="str">
        <f>IFERROR(__xludf.DUMMYFUNCTION("""COMPUTED_VALUE"""),"https://techcombank.com/thong-tin/blog/kinh-nghiem-vay-the-chap-ngan-hang")</f>
        <v>https://techcombank.com/thong-tin/blog/kinh-nghiem-vay-the-chap-ngan-hang</v>
      </c>
      <c r="AY60" s="17" t="str">
        <f>IFERROR(__xludf.DUMMYFUNCTION("""COMPUTED_VALUE"""),"thủ tục giải chấp sổ đỏ")</f>
        <v>thủ tục giải chấp sổ đỏ</v>
      </c>
      <c r="AZ60" s="21" t="str">
        <f>IFERROR(__xludf.DUMMYFUNCTION("""COMPUTED_VALUE"""),"https://techcombank.com/thong-tin/blog/vay-the-chap-xe-o-to-cu")</f>
        <v>https://techcombank.com/thong-tin/blog/vay-the-chap-xe-o-to-cu</v>
      </c>
      <c r="BA60" s="17" t="str">
        <f>IFERROR(__xludf.DUMMYFUNCTION("""COMPUTED_VALUE"""),"thủ tục xóa thế chấp")</f>
        <v>thủ tục xóa thế chấp</v>
      </c>
      <c r="BB60" s="21" t="str">
        <f>IFERROR(__xludf.DUMMYFUNCTION("""COMPUTED_VALUE"""),"https://techcombank.com/thong-tin/blog/vay-the-chap-qua-luong")</f>
        <v>https://techcombank.com/thong-tin/blog/vay-the-chap-qua-luong</v>
      </c>
      <c r="BC60" s="17" t="str">
        <f>IFERROR(__xludf.DUMMYFUNCTION("""COMPUTED_VALUE"""),"hồ sơ thủ tục xóa thế chấp")</f>
        <v>hồ sơ thủ tục xóa thế chấp</v>
      </c>
      <c r="BD60" s="21" t="str">
        <f>IFERROR(__xludf.DUMMYFUNCTION("""COMPUTED_VALUE"""),"https://techcombank.com/thong-tin/blog/lai-suat-vay-the-chap-so-do")</f>
        <v>https://techcombank.com/thong-tin/blog/lai-suat-vay-the-chap-so-do</v>
      </c>
      <c r="BE60" s="17" t="str">
        <f>IFERROR(__xludf.DUMMYFUNCTION("""COMPUTED_VALUE"""),"xóa thế chấp sổ đỏ")</f>
        <v>xóa thế chấp sổ đỏ</v>
      </c>
      <c r="BF60" s="21" t="str">
        <f>IFERROR(__xludf.DUMMYFUNCTION("""COMPUTED_VALUE"""),"https://techcombank.com/thong-tin/blog/tat-toan-chung-chi-tien-gui")</f>
        <v>https://techcombank.com/thong-tin/blog/tat-toan-chung-chi-tien-gui</v>
      </c>
      <c r="BG60" s="17" t="str">
        <f>IFERROR(__xludf.DUMMYFUNCTION("""COMPUTED_VALUE"""),"thủ tục giải chấp sổ đỏ")</f>
        <v>thủ tục giải chấp sổ đỏ</v>
      </c>
      <c r="BH60" s="21" t="str">
        <f>IFERROR(__xludf.DUMMYFUNCTION("""COMPUTED_VALUE"""),"https://techcombank.com/thong-tin/blog/nen-mua-xe-tra-gop-hay-tra-thang")</f>
        <v>https://techcombank.com/thong-tin/blog/nen-mua-xe-tra-gop-hay-tra-thang</v>
      </c>
      <c r="BI60" s="17" t="str">
        <f>IFERROR(__xludf.DUMMYFUNCTION("""COMPUTED_VALUE"""),"thủ tục xóa thế chấp")</f>
        <v>thủ tục xóa thế chấp</v>
      </c>
      <c r="BJ60" s="21" t="str">
        <f>IFERROR(__xludf.DUMMYFUNCTION("""COMPUTED_VALUE"""),"https://techcombank.com/thong-tin/blog/vay-the-chap-so-hong")</f>
        <v>https://techcombank.com/thong-tin/blog/vay-the-chap-so-hong</v>
      </c>
      <c r="BK60" s="17" t="str">
        <f>IFERROR(__xludf.DUMMYFUNCTION("""COMPUTED_VALUE"""),"hồ sơ thủ tục xóa thế chấp")</f>
        <v>hồ sơ thủ tục xóa thế chấp</v>
      </c>
      <c r="BL60" s="21" t="str">
        <f>IFERROR(__xludf.DUMMYFUNCTION("""COMPUTED_VALUE"""),"https://techcombank.com/thong-tin/blog/no-xau-mo-the-tin-dung-duoc-khong")</f>
        <v>https://techcombank.com/thong-tin/blog/no-xau-mo-the-tin-dung-duoc-khong</v>
      </c>
      <c r="BM60" s="17" t="str">
        <f>IFERROR(__xludf.DUMMYFUNCTION("""COMPUTED_VALUE"""),"xóa thế chấp sổ đỏ")</f>
        <v>xóa thế chấp sổ đỏ</v>
      </c>
      <c r="BN60" s="21" t="str">
        <f>IFERROR(__xludf.DUMMYFUNCTION("""COMPUTED_VALUE"""),"https://techcombank.com/thong-tin/blog/no-xau-co-vay-the-chap-duoc-khong")</f>
        <v>https://techcombank.com/thong-tin/blog/no-xau-co-vay-the-chap-duoc-khong</v>
      </c>
      <c r="BO60" s="17" t="str">
        <f>IFERROR(__xludf.DUMMYFUNCTION("""COMPUTED_VALUE"""),"thủ tục giải chấp sổ đỏ")</f>
        <v>thủ tục giải chấp sổ đỏ</v>
      </c>
      <c r="BP60" s="21" t="str">
        <f>IFERROR(__xludf.DUMMYFUNCTION("""COMPUTED_VALUE"""),"https://techcombank.com/thong-tin/blog/han-muc-vay-the-chap-so-do")</f>
        <v>https://techcombank.com/thong-tin/blog/han-muc-vay-the-chap-so-do</v>
      </c>
      <c r="BQ60" s="17" t="str">
        <f>IFERROR(__xludf.DUMMYFUNCTION("""COMPUTED_VALUE"""),"thủ tục xóa thế chấp")</f>
        <v>thủ tục xóa thế chấp</v>
      </c>
      <c r="BR60" s="21" t="str">
        <f>IFERROR(__xludf.DUMMYFUNCTION("""COMPUTED_VALUE"""),"https://techcombank.com/thong-tin/blog/gui-tiet-kiem-online-co-rut-truoc-han-duoc-khong")</f>
        <v>https://techcombank.com/thong-tin/blog/gui-tiet-kiem-online-co-rut-truoc-han-duoc-khong</v>
      </c>
      <c r="BS60" s="17" t="str">
        <f>IFERROR(__xludf.DUMMYFUNCTION("""COMPUTED_VALUE"""),"hồ sơ thủ tục xóa thế chấp")</f>
        <v>hồ sơ thủ tục xóa thế chấp</v>
      </c>
      <c r="BT60" s="21" t="str">
        <f>IFERROR(__xludf.DUMMYFUNCTION("""COMPUTED_VALUE"""),"https://techcombank.com/thong-tin/blog/phi-vay-the-chap")</f>
        <v>https://techcombank.com/thong-tin/blog/phi-vay-the-chap</v>
      </c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  <c r="FN60" s="17"/>
      <c r="FO60" s="17"/>
      <c r="FP60" s="17"/>
      <c r="FQ60" s="17"/>
      <c r="FR60" s="17"/>
      <c r="FS60" s="17"/>
      <c r="FT60" s="17"/>
      <c r="FU60" s="17"/>
      <c r="FV60" s="17"/>
      <c r="FW60" s="17"/>
      <c r="FX60" s="17"/>
      <c r="FY60" s="17"/>
      <c r="FZ60" s="17"/>
      <c r="GA60" s="17"/>
      <c r="GB60" s="17"/>
      <c r="GC60" s="17"/>
      <c r="GD60" s="17"/>
      <c r="GE60" s="17"/>
      <c r="GF60" s="17"/>
      <c r="GG60" s="17"/>
      <c r="GH60" s="17"/>
      <c r="GI60" s="17"/>
      <c r="GJ60" s="17"/>
      <c r="GK60" s="17"/>
      <c r="GL60" s="17"/>
      <c r="GM60" s="17"/>
      <c r="GN60" s="17"/>
      <c r="GO60" s="17"/>
      <c r="GP60" s="17"/>
      <c r="GQ60" s="17"/>
      <c r="GR60" s="17"/>
      <c r="GS60" s="17"/>
      <c r="GT60" s="17"/>
      <c r="GU60" s="17"/>
      <c r="GV60" s="17"/>
      <c r="GW60" s="17"/>
      <c r="GX60" s="17"/>
      <c r="GY60" s="17"/>
      <c r="GZ60" s="17"/>
      <c r="HA60" s="17"/>
      <c r="HB60" s="17"/>
      <c r="HC60" s="17"/>
      <c r="HD60" s="17"/>
      <c r="HE60" s="17"/>
      <c r="HF60" s="17"/>
      <c r="HG60" s="17"/>
      <c r="HH60" s="17"/>
      <c r="HI60" s="17"/>
      <c r="HJ60" s="17"/>
      <c r="HK60" s="17"/>
      <c r="HL60" s="17"/>
      <c r="HM60" s="17"/>
      <c r="HN60" s="17"/>
      <c r="HO60" s="17"/>
      <c r="HP60" s="17"/>
      <c r="HQ60" s="17"/>
      <c r="HR60" s="17"/>
      <c r="HS60" s="17"/>
      <c r="HT60" s="17"/>
      <c r="HU60" s="17"/>
      <c r="HV60" s="17"/>
      <c r="HW60" s="17"/>
      <c r="HX60" s="17"/>
      <c r="HY60" s="17"/>
      <c r="HZ60" s="17"/>
      <c r="IA60" s="17"/>
      <c r="IB60" s="17"/>
      <c r="IC60" s="17"/>
      <c r="ID60" s="17"/>
      <c r="IE60" s="17"/>
      <c r="IF60" s="17"/>
      <c r="IG60" s="17"/>
      <c r="IH60" s="17"/>
      <c r="II60" s="17"/>
      <c r="IJ60" s="17"/>
      <c r="IK60" s="17"/>
      <c r="IL60" s="17"/>
      <c r="IM60" s="17"/>
      <c r="IN60" s="17"/>
      <c r="IO60" s="17"/>
      <c r="IP60" s="17"/>
      <c r="IQ60" s="17"/>
      <c r="IR60" s="17"/>
      <c r="IS60" s="17"/>
      <c r="IT60" s="17"/>
      <c r="IU60" s="17"/>
      <c r="IV60" s="17"/>
      <c r="IW60" s="17"/>
      <c r="IX60" s="17"/>
      <c r="IY60" s="17"/>
      <c r="IZ60" s="17"/>
      <c r="JA60" s="17"/>
      <c r="JB60" s="17"/>
      <c r="JC60" s="17"/>
      <c r="JD60" s="17"/>
      <c r="JE60" s="17"/>
      <c r="JF60" s="17"/>
      <c r="JG60" s="17"/>
      <c r="JH60" s="17"/>
      <c r="JI60" s="17"/>
      <c r="JJ60" s="17"/>
      <c r="JK60" s="17"/>
      <c r="JL60" s="17"/>
      <c r="JM60" s="17"/>
      <c r="JN60" s="17"/>
      <c r="JO60" s="17"/>
      <c r="JP60" s="17"/>
      <c r="JQ60" s="17"/>
      <c r="JR60" s="17"/>
      <c r="JS60" s="17"/>
      <c r="JT60" s="17"/>
      <c r="JU60" s="17"/>
      <c r="JV60" s="17"/>
      <c r="JW60" s="17"/>
      <c r="JX60" s="17"/>
      <c r="JY60" s="17"/>
      <c r="JZ60" s="17"/>
      <c r="KA60" s="17"/>
      <c r="KB60" s="17"/>
      <c r="KC60" s="17"/>
      <c r="KD60" s="17"/>
      <c r="KE60" s="17"/>
      <c r="KF60" s="17"/>
      <c r="KG60" s="17"/>
      <c r="KH60" s="17"/>
      <c r="KI60" s="17"/>
      <c r="KJ60" s="17"/>
      <c r="KK60" s="17"/>
      <c r="KL60" s="17"/>
      <c r="KM60" s="17"/>
      <c r="KN60" s="17"/>
      <c r="KO60" s="17"/>
      <c r="KP60" s="17"/>
      <c r="KQ60" s="17"/>
      <c r="KR60" s="17"/>
      <c r="KS60" s="17"/>
      <c r="KT60" s="17"/>
      <c r="KU60" s="17"/>
      <c r="KV60" s="17"/>
      <c r="KW60" s="17"/>
      <c r="KX60" s="17"/>
      <c r="KY60" s="17"/>
      <c r="KZ60" s="17"/>
      <c r="LA60" s="17"/>
      <c r="LB60" s="17"/>
      <c r="LC60" s="17"/>
      <c r="LD60" s="17"/>
      <c r="LE60" s="17"/>
      <c r="LF60" s="17"/>
      <c r="LG60" s="17"/>
      <c r="LH60" s="17"/>
      <c r="LI60" s="17"/>
      <c r="LJ60" s="17"/>
      <c r="LK60" s="17"/>
      <c r="LL60" s="17"/>
      <c r="LM60" s="17"/>
      <c r="LN60" s="17"/>
      <c r="LO60" s="17"/>
      <c r="LP60" s="17"/>
      <c r="LQ60" s="17"/>
      <c r="LR60" s="17"/>
      <c r="LS60" s="17"/>
      <c r="LT60" s="17"/>
      <c r="LU60" s="17"/>
      <c r="LV60" s="17"/>
      <c r="LW60" s="17"/>
      <c r="LX60" s="17"/>
      <c r="LY60" s="17"/>
      <c r="LZ60" s="17"/>
      <c r="MA60" s="17"/>
      <c r="MB60" s="17"/>
      <c r="MC60" s="17"/>
      <c r="MD60" s="17"/>
      <c r="ME60" s="17"/>
      <c r="MF60" s="17"/>
      <c r="MG60" s="17"/>
      <c r="MH60" s="17"/>
      <c r="MI60" s="17"/>
      <c r="MJ60" s="17"/>
      <c r="MK60" s="17"/>
      <c r="ML60" s="17"/>
      <c r="MM60" s="17"/>
      <c r="MN60" s="17"/>
      <c r="MO60" s="17"/>
      <c r="MP60" s="17"/>
      <c r="MQ60" s="17"/>
      <c r="MR60" s="17"/>
      <c r="MS60" s="17"/>
      <c r="MT60" s="17"/>
      <c r="MU60" s="17"/>
      <c r="MV60" s="17"/>
      <c r="MW60" s="17"/>
      <c r="MX60" s="17"/>
      <c r="MY60" s="17"/>
      <c r="MZ60" s="17"/>
      <c r="NA60" s="17"/>
      <c r="NB60" s="17"/>
      <c r="NC60" s="17"/>
      <c r="ND60" s="17"/>
      <c r="NE60" s="17"/>
      <c r="NF60" s="17"/>
      <c r="NG60" s="17"/>
      <c r="NH60" s="17"/>
      <c r="NI60" s="17"/>
      <c r="NJ60" s="17"/>
      <c r="NK60" s="17"/>
      <c r="NL60" s="17"/>
      <c r="NM60" s="17"/>
      <c r="NN60" s="17"/>
      <c r="NO60" s="17"/>
      <c r="NP60" s="17"/>
      <c r="NQ60" s="17"/>
      <c r="NR60" s="17"/>
      <c r="NS60" s="17"/>
      <c r="NT60" s="17"/>
      <c r="NU60" s="17"/>
      <c r="NV60" s="17"/>
      <c r="NW60" s="17"/>
      <c r="NX60" s="17"/>
      <c r="NY60" s="17"/>
      <c r="NZ60" s="17"/>
      <c r="OA60" s="17"/>
      <c r="OB60" s="17"/>
      <c r="OC60" s="17"/>
      <c r="OD60" s="17"/>
      <c r="OE60" s="17"/>
      <c r="OF60" s="17"/>
      <c r="OG60" s="17"/>
      <c r="OH60" s="17"/>
      <c r="OI60" s="17"/>
      <c r="OJ60" s="17"/>
      <c r="OK60" s="17"/>
      <c r="OL60" s="17"/>
      <c r="OM60" s="17"/>
      <c r="ON60" s="17"/>
      <c r="OO60" s="17"/>
      <c r="OP60" s="17"/>
      <c r="OQ60" s="17"/>
      <c r="OR60" s="17"/>
      <c r="OS60" s="17"/>
      <c r="OT60" s="17"/>
      <c r="OU60" s="17"/>
      <c r="OV60" s="17"/>
    </row>
    <row r="61" ht="18.0" customHeight="1">
      <c r="A61" s="16">
        <v>60.0</v>
      </c>
      <c r="B61" s="17" t="s">
        <v>1717</v>
      </c>
      <c r="C61" s="18" t="s">
        <v>1721</v>
      </c>
      <c r="D61" s="17" t="s">
        <v>594</v>
      </c>
      <c r="E61" s="16">
        <v>200.0</v>
      </c>
      <c r="F61" s="16">
        <f>COUNTIF('Tổng hợp 75 trang đích'!$B$2:$B$3400,$D61)</f>
        <v>200</v>
      </c>
      <c r="G61" s="16">
        <f>COUNTIFS('Tổng hợp 75 trang đích'!$B$2:$B$3400,$D61,'Tổng hợp 75 trang đích'!$K$2:$K$3400,"PHÙ HỢP CAO")</f>
        <v>4</v>
      </c>
      <c r="H61" s="16">
        <f>COUNTIFS('Tổng hợp 75 trang đích'!$B$2:$B$3400,$D61,'Tổng hợp 75 trang đích'!$K$2:$K$3400,"CÓ THỂ ĐI")</f>
        <v>1</v>
      </c>
      <c r="I61" s="16">
        <f>COUNTIFS('Tổng hợp 75 trang đích'!$B$2:$B$3400,$D61,'Tổng hợp 75 trang đích'!$K$2:$K$3400,"CẦN SOÁT")</f>
        <v>195</v>
      </c>
      <c r="J61" s="19" t="s">
        <v>555</v>
      </c>
      <c r="K61" s="19" t="b">
        <v>0</v>
      </c>
      <c r="L61" s="20" t="s">
        <v>333</v>
      </c>
      <c r="M61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đích'!$B$2:$B$3400=$D61),3,TR"&amp;"UE),1,2)),"""")"),"lãi suất ngân hàng")</f>
        <v>lãi suất ngân hàng</v>
      </c>
      <c r="N61" s="21" t="str">
        <f>IFERROR(__xludf.DUMMYFUNCTION("""COMPUTED_VALUE"""),"https://techcombank.com/thong-tin/blog/nen-gui-tiet-kiem-6-thang-hay-1-nam")</f>
        <v>https://techcombank.com/thong-tin/blog/nen-gui-tiet-kiem-6-thang-hay-1-nam</v>
      </c>
      <c r="O61" s="17" t="str">
        <f>IFERROR(__xludf.DUMMYFUNCTION("""COMPUTED_VALUE"""),"lãi suất ngân hàng hôm nay")</f>
        <v>lãi suất ngân hàng hôm nay</v>
      </c>
      <c r="P61" s="21" t="str">
        <f>IFERROR(__xludf.DUMMYFUNCTION("""COMPUTED_VALUE"""),"https://techcombank.com/thong-tin/blog/tai-sao-gui-tiet-kiem-online-lai-suat-cao-hon")</f>
        <v>https://techcombank.com/thong-tin/blog/tai-sao-gui-tiet-kiem-online-lai-suat-cao-hon</v>
      </c>
      <c r="Q61" s="17" t="str">
        <f>IFERROR(__xludf.DUMMYFUNCTION("""COMPUTED_VALUE"""),"lãi suất ngân hàng nào cao nhất")</f>
        <v>lãi suất ngân hàng nào cao nhất</v>
      </c>
      <c r="R61" s="21" t="str">
        <f>IFERROR(__xludf.DUMMYFUNCTION("""COMPUTED_VALUE"""),"https://techcombank.com/thong-tin/blog/co-nen-gui-tiet-kiem-ngan-hang")</f>
        <v>https://techcombank.com/thong-tin/blog/co-nen-gui-tiet-kiem-ngan-hang</v>
      </c>
      <c r="S61" s="17" t="str">
        <f>IFERROR(__xludf.DUMMYFUNCTION("""COMPUTED_VALUE"""),"lãi suất ngân hàng hiện nay")</f>
        <v>lãi suất ngân hàng hiện nay</v>
      </c>
      <c r="T61" s="21" t="str">
        <f>IFERROR(__xludf.DUMMYFUNCTION("""COMPUTED_VALUE"""),"https://techcombank.com/thong-tin/blog/tien-gui-co-ky-han")</f>
        <v>https://techcombank.com/thong-tin/blog/tien-gui-co-ky-han</v>
      </c>
      <c r="U61" s="17" t="str">
        <f>IFERROR(__xludf.DUMMYFUNCTION("""COMPUTED_VALUE"""),"lãi suất tiền gửi ngân hàng")</f>
        <v>lãi suất tiền gửi ngân hàng</v>
      </c>
      <c r="V61" s="21" t="str">
        <f>IFERROR(__xludf.DUMMYFUNCTION("""COMPUTED_VALUE"""),"https://techcombank.com/thong-tin/blog/so-sanh-gui-tiet-kiem-online-va-tai-quay")</f>
        <v>https://techcombank.com/thong-tin/blog/so-sanh-gui-tiet-kiem-online-va-tai-quay</v>
      </c>
      <c r="W61" s="17" t="str">
        <f>IFERROR(__xludf.DUMMYFUNCTION("""COMPUTED_VALUE"""),"lãi suất gửi tiết kiệm ngân hàng")</f>
        <v>lãi suất gửi tiết kiệm ngân hàng</v>
      </c>
      <c r="X61" s="21" t="str">
        <f>IFERROR(__xludf.DUMMYFUNCTION("""COMPUTED_VALUE"""),"https://techcombank.com/thong-tin/blog/so-tiet-kiem-ngan-hang")</f>
        <v>https://techcombank.com/thong-tin/blog/so-tiet-kiem-ngan-hang</v>
      </c>
      <c r="Y61" s="17" t="str">
        <f>IFERROR(__xludf.DUMMYFUNCTION("""COMPUTED_VALUE"""),"lãi suất ngân hàng tiền gửi")</f>
        <v>lãi suất ngân hàng tiền gửi</v>
      </c>
      <c r="Z61" s="21" t="str">
        <f>IFERROR(__xludf.DUMMYFUNCTION("""COMPUTED_VALUE"""),"https://techcombank.com/thong-tin/blog/quy-trinh-gui-tien-tiet-kiem")</f>
        <v>https://techcombank.com/thong-tin/blog/quy-trinh-gui-tien-tiet-kiem</v>
      </c>
      <c r="AA61" s="17" t="str">
        <f>IFERROR(__xludf.DUMMYFUNCTION("""COMPUTED_VALUE"""),"lãi suất ngân hàng")</f>
        <v>lãi suất ngân hàng</v>
      </c>
      <c r="AB61" s="21" t="str">
        <f>IFERROR(__xludf.DUMMYFUNCTION("""COMPUTED_VALUE"""),"https://techcombank.com/thong-tin/blog/gui-tiet-kiem-theo-ngay")</f>
        <v>https://techcombank.com/thong-tin/blog/gui-tiet-kiem-theo-ngay</v>
      </c>
      <c r="AC61" s="17" t="str">
        <f>IFERROR(__xludf.DUMMYFUNCTION("""COMPUTED_VALUE"""),"lãi suất ngân hàng hôm nay")</f>
        <v>lãi suất ngân hàng hôm nay</v>
      </c>
      <c r="AD61" s="21" t="str">
        <f>IFERROR(__xludf.DUMMYFUNCTION("""COMPUTED_VALUE"""),"https://techcombank.com/thong-tin/blog/gui-tiet-kiem-vang")</f>
        <v>https://techcombank.com/thong-tin/blog/gui-tiet-kiem-vang</v>
      </c>
      <c r="AE61" s="17" t="str">
        <f>IFERROR(__xludf.DUMMYFUNCTION("""COMPUTED_VALUE"""),"lãi suất ngân hàng nào cao nhất")</f>
        <v>lãi suất ngân hàng nào cao nhất</v>
      </c>
      <c r="AF61" s="21" t="str">
        <f>IFERROR(__xludf.DUMMYFUNCTION("""COMPUTED_VALUE"""),"https://techcombank.com/thong-tin/blog/gia-cao-su")</f>
        <v>https://techcombank.com/thong-tin/blog/gia-cao-su</v>
      </c>
      <c r="AG61" s="17" t="str">
        <f>IFERROR(__xludf.DUMMYFUNCTION("""COMPUTED_VALUE"""),"lãi suất ngân hàng hiện nay")</f>
        <v>lãi suất ngân hàng hiện nay</v>
      </c>
      <c r="AH61" s="21" t="str">
        <f>IFERROR(__xludf.DUMMYFUNCTION("""COMPUTED_VALUE"""),"https://techcombank.com/thong-tin/blog/nen-gui-tiet-kiem-thong-thuong-hay-tich-luy")</f>
        <v>https://techcombank.com/thong-tin/blog/nen-gui-tiet-kiem-thong-thuong-hay-tich-luy</v>
      </c>
      <c r="AI61" s="17" t="str">
        <f>IFERROR(__xludf.DUMMYFUNCTION("""COMPUTED_VALUE"""),"lãi suất tiền gửi ngân hàng")</f>
        <v>lãi suất tiền gửi ngân hàng</v>
      </c>
      <c r="AJ61" s="21" t="str">
        <f>IFERROR(__xludf.DUMMYFUNCTION("""COMPUTED_VALUE"""),"https://techcombank.com/thong-tin/blog/nen-de-tien-trong-the-hay-gui-tiet-kiem")</f>
        <v>https://techcombank.com/thong-tin/blog/nen-de-tien-trong-the-hay-gui-tiet-kiem</v>
      </c>
      <c r="AK61" s="17" t="str">
        <f>IFERROR(__xludf.DUMMYFUNCTION("""COMPUTED_VALUE"""),"lãi suất gửi tiết kiệm ngân hàng")</f>
        <v>lãi suất gửi tiết kiệm ngân hàng</v>
      </c>
      <c r="AL61" s="21" t="str">
        <f>IFERROR(__xludf.DUMMYFUNCTION("""COMPUTED_VALUE"""),"https://techcombank.com/thong-tin/blog/tien-gui-khong-ky-han")</f>
        <v>https://techcombank.com/thong-tin/blog/tien-gui-khong-ky-han</v>
      </c>
      <c r="AM61" s="17" t="str">
        <f>IFERROR(__xludf.DUMMYFUNCTION("""COMPUTED_VALUE"""),"lãi suất ngân hàng tiền gửi")</f>
        <v>lãi suất ngân hàng tiền gửi</v>
      </c>
      <c r="AN61" s="21" t="str">
        <f>IFERROR(__xludf.DUMMYFUNCTION("""COMPUTED_VALUE"""),"https://techcombank.com/thong-tin/blog/vay-mua-nha-tra-gop")</f>
        <v>https://techcombank.com/thong-tin/blog/vay-mua-nha-tra-gop</v>
      </c>
      <c r="AO61" s="17" t="str">
        <f>IFERROR(__xludf.DUMMYFUNCTION("""COMPUTED_VALUE"""),"lãi suất ngân hàng")</f>
        <v>lãi suất ngân hàng</v>
      </c>
      <c r="AP61" s="21" t="str">
        <f>IFERROR(__xludf.DUMMYFUNCTION("""COMPUTED_VALUE"""),"https://techcombank.com/thong-tin/blog/co-nen-gui-tiet-kiem-online")</f>
        <v>https://techcombank.com/thong-tin/blog/co-nen-gui-tiet-kiem-online</v>
      </c>
      <c r="AQ61" s="17" t="str">
        <f>IFERROR(__xludf.DUMMYFUNCTION("""COMPUTED_VALUE"""),"lãi suất ngân hàng hôm nay")</f>
        <v>lãi suất ngân hàng hôm nay</v>
      </c>
      <c r="AR61" s="21" t="str">
        <f>IFERROR(__xludf.DUMMYFUNCTION("""COMPUTED_VALUE"""),"https://techcombank.com/thong-tin/blog/gui-tiet-kiem-ngan-hang-van-la-lua-chon-an-toan-trong-thoi-ky-kinh-te-con-nhieu-bien-dong")</f>
        <v>https://techcombank.com/thong-tin/blog/gui-tiet-kiem-ngan-hang-van-la-lua-chon-an-toan-trong-thoi-ky-kinh-te-con-nhieu-bien-dong</v>
      </c>
      <c r="AS61" s="17" t="str">
        <f>IFERROR(__xludf.DUMMYFUNCTION("""COMPUTED_VALUE"""),"lãi suất ngân hàng nào cao nhất")</f>
        <v>lãi suất ngân hàng nào cao nhất</v>
      </c>
      <c r="AT61" s="21" t="str">
        <f>IFERROR(__xludf.DUMMYFUNCTION("""COMPUTED_VALUE"""),"https://techcombank.com/thong-tin/blog/cach-gui-tiet-kiem-online")</f>
        <v>https://techcombank.com/thong-tin/blog/cach-gui-tiet-kiem-online</v>
      </c>
      <c r="AU61" s="17" t="str">
        <f>IFERROR(__xludf.DUMMYFUNCTION("""COMPUTED_VALUE"""),"lãi suất ngân hàng hiện nay")</f>
        <v>lãi suất ngân hàng hiện nay</v>
      </c>
      <c r="AV61" s="21" t="str">
        <f>IFERROR(__xludf.DUMMYFUNCTION("""COMPUTED_VALUE"""),"https://techcombank.com/thong-tin/blog/gui-tien-ngan-hang-co-an-toan-khong")</f>
        <v>https://techcombank.com/thong-tin/blog/gui-tien-ngan-hang-co-an-toan-khong</v>
      </c>
      <c r="AW61" s="17" t="str">
        <f>IFERROR(__xludf.DUMMYFUNCTION("""COMPUTED_VALUE"""),"lãi suất tiền gửi ngân hàng")</f>
        <v>lãi suất tiền gửi ngân hàng</v>
      </c>
      <c r="AX61" s="21" t="str">
        <f>IFERROR(__xludf.DUMMYFUNCTION("""COMPUTED_VALUE"""),"https://techcombank.com/thong-tin/blog/dau-tu-trai-phieu-doanh-nghiep-dung-ham-lai-suat-cao")</f>
        <v>https://techcombank.com/thong-tin/blog/dau-tu-trai-phieu-doanh-nghiep-dung-ham-lai-suat-cao</v>
      </c>
      <c r="AY61" s="17" t="str">
        <f>IFERROR(__xludf.DUMMYFUNCTION("""COMPUTED_VALUE"""),"lãi suất gửi tiết kiệm ngân hàng")</f>
        <v>lãi suất gửi tiết kiệm ngân hàng</v>
      </c>
      <c r="AZ61" s="21" t="str">
        <f>IFERROR(__xludf.DUMMYFUNCTION("""COMPUTED_VALUE"""),"https://techcombank.com/thong-tin/blog/casa-la-gi")</f>
        <v>https://techcombank.com/thong-tin/blog/casa-la-gi</v>
      </c>
      <c r="BA61" s="17" t="str">
        <f>IFERROR(__xludf.DUMMYFUNCTION("""COMPUTED_VALUE"""),"lãi suất ngân hàng tiền gửi")</f>
        <v>lãi suất ngân hàng tiền gửi</v>
      </c>
      <c r="BB61" s="21" t="str">
        <f>IFERROR(__xludf.DUMMYFUNCTION("""COMPUTED_VALUE"""),"https://techcombank.com/thong-tin/blog/gui-tiet-kiem-tich-luy-la-gi")</f>
        <v>https://techcombank.com/thong-tin/blog/gui-tiet-kiem-tich-luy-la-gi</v>
      </c>
      <c r="BC61" s="17" t="str">
        <f>IFERROR(__xludf.DUMMYFUNCTION("""COMPUTED_VALUE"""),"lãi suất ngân hàng")</f>
        <v>lãi suất ngân hàng</v>
      </c>
      <c r="BD61" s="21" t="str">
        <f>IFERROR(__xludf.DUMMYFUNCTION("""COMPUTED_VALUE"""),"https://techcombank.com/thong-tin/blog/gui-tiet-kiem-lay-lai-hang-thang")</f>
        <v>https://techcombank.com/thong-tin/blog/gui-tiet-kiem-lay-lai-hang-thang</v>
      </c>
      <c r="BE61" s="17" t="str">
        <f>IFERROR(__xludf.DUMMYFUNCTION("""COMPUTED_VALUE"""),"lãi suất ngân hàng hôm nay")</f>
        <v>lãi suất ngân hàng hôm nay</v>
      </c>
      <c r="BF61" s="21" t="str">
        <f>IFERROR(__xludf.DUMMYFUNCTION("""COMPUTED_VALUE"""),"https://techcombank.com/thong-tin/blog/rui-ro-khi-gui-tiet-kiem-online")</f>
        <v>https://techcombank.com/thong-tin/blog/rui-ro-khi-gui-tiet-kiem-online</v>
      </c>
      <c r="BG61" s="17" t="str">
        <f>IFERROR(__xludf.DUMMYFUNCTION("""COMPUTED_VALUE"""),"lãi suất ngân hàng nào cao nhất")</f>
        <v>lãi suất ngân hàng nào cao nhất</v>
      </c>
      <c r="BH61" s="21" t="str">
        <f>IFERROR(__xludf.DUMMYFUNCTION("""COMPUTED_VALUE"""),"https://techcombank.com/thong-tin/blog/cach-tinh-lai-suat-tien-gui-tiet-kiem")</f>
        <v>https://techcombank.com/thong-tin/blog/cach-tinh-lai-suat-tien-gui-tiet-kiem</v>
      </c>
      <c r="BI61" s="17" t="str">
        <f>IFERROR(__xludf.DUMMYFUNCTION("""COMPUTED_VALUE"""),"lãi suất ngân hàng hiện nay")</f>
        <v>lãi suất ngân hàng hiện nay</v>
      </c>
      <c r="BJ61" s="21" t="str">
        <f>IFERROR(__xludf.DUMMYFUNCTION("""COMPUTED_VALUE"""),"https://techcombank.com/thong-tin/blog/chon-kenh-dau-tu-an-toan-trong-boi-canh-thi-truong-bien-dong")</f>
        <v>https://techcombank.com/thong-tin/blog/chon-kenh-dau-tu-an-toan-trong-boi-canh-thi-truong-bien-dong</v>
      </c>
      <c r="BK61" s="17" t="str">
        <f>IFERROR(__xludf.DUMMYFUNCTION("""COMPUTED_VALUE"""),"lãi suất tiền gửi ngân hàng")</f>
        <v>lãi suất tiền gửi ngân hàng</v>
      </c>
      <c r="BL61" s="21" t="str">
        <f>IFERROR(__xludf.DUMMYFUNCTION("""COMPUTED_VALUE"""),"https://techcombank.com/thong-tin/blog/mo-so-tiet-kiem-can-bao-nhieu-tien")</f>
        <v>https://techcombank.com/thong-tin/blog/mo-so-tiet-kiem-can-bao-nhieu-tien</v>
      </c>
      <c r="BM61" s="17" t="str">
        <f>IFERROR(__xludf.DUMMYFUNCTION("""COMPUTED_VALUE"""),"lãi suất gửi tiết kiệm ngân hàng")</f>
        <v>lãi suất gửi tiết kiệm ngân hàng</v>
      </c>
      <c r="BN61" s="21" t="str">
        <f>IFERROR(__xludf.DUMMYFUNCTION("""COMPUTED_VALUE"""),"https://techcombank.com/thong-tin/blog/gui-tiet-kiem-ngoai-te")</f>
        <v>https://techcombank.com/thong-tin/blog/gui-tiet-kiem-ngoai-te</v>
      </c>
      <c r="BO61" s="17" t="str">
        <f>IFERROR(__xludf.DUMMYFUNCTION("""COMPUTED_VALUE"""),"lãi suất ngân hàng tiền gửi")</f>
        <v>lãi suất ngân hàng tiền gửi</v>
      </c>
      <c r="BP61" s="21" t="str">
        <f>IFERROR(__xludf.DUMMYFUNCTION("""COMPUTED_VALUE"""),"https://techcombank.com/thong-tin/blog/rui-ro-khi-gui-tiet-kiem-ngan-hang")</f>
        <v>https://techcombank.com/thong-tin/blog/rui-ro-khi-gui-tiet-kiem-ngan-hang</v>
      </c>
      <c r="BQ61" s="17" t="str">
        <f>IFERROR(__xludf.DUMMYFUNCTION("""COMPUTED_VALUE"""),"lãi suất ngân hàng")</f>
        <v>lãi suất ngân hàng</v>
      </c>
      <c r="BR61" s="21" t="str">
        <f>IFERROR(__xludf.DUMMYFUNCTION("""COMPUTED_VALUE"""),"https://techcombank.com/thong-tin/blog/gui-tiet-kiem-hang-thang")</f>
        <v>https://techcombank.com/thong-tin/blog/gui-tiet-kiem-hang-thang</v>
      </c>
      <c r="BS61" s="17" t="str">
        <f>IFERROR(__xludf.DUMMYFUNCTION("""COMPUTED_VALUE"""),"lãi suất ngân hàng hôm nay")</f>
        <v>lãi suất ngân hàng hôm nay</v>
      </c>
      <c r="BT61" s="21" t="str">
        <f>IFERROR(__xludf.DUMMYFUNCTION("""COMPUTED_VALUE"""),"https://techcombank.com/thong-tin/blog/xu-huong-dau-tu-trai-phieu-ky-han-duoi-mot-nam-lua-chon-an-toan-khi-thi-truong-bien-dong")</f>
        <v>https://techcombank.com/thong-tin/blog/xu-huong-dau-tu-trai-phieu-ky-han-duoi-mot-nam-lua-chon-an-toan-khi-thi-truong-bien-dong</v>
      </c>
      <c r="BU61" s="17" t="str">
        <f>IFERROR(__xludf.DUMMYFUNCTION("""COMPUTED_VALUE"""),"lãi suất ngân hàng nào cao nhất")</f>
        <v>lãi suất ngân hàng nào cao nhất</v>
      </c>
      <c r="BV61" s="21" t="str">
        <f>IFERROR(__xludf.DUMMYFUNCTION("""COMPUTED_VALUE"""),"https://techcombank.com/thong-tin/blog/gui-tiet-kiem-online-bi-mat-tien")</f>
        <v>https://techcombank.com/thong-tin/blog/gui-tiet-kiem-online-bi-mat-tien</v>
      </c>
      <c r="BW61" s="17" t="str">
        <f>IFERROR(__xludf.DUMMYFUNCTION("""COMPUTED_VALUE"""),"lãi suất ngân hàng hiện nay")</f>
        <v>lãi suất ngân hàng hiện nay</v>
      </c>
      <c r="BX61" s="21" t="str">
        <f>IFERROR(__xludf.DUMMYFUNCTION("""COMPUTED_VALUE"""),"https://techcombank.com/thong-tin/blog/kinh-nghiem-gui-tiet-kiem-online")</f>
        <v>https://techcombank.com/thong-tin/blog/kinh-nghiem-gui-tiet-kiem-online</v>
      </c>
      <c r="BY61" s="17" t="str">
        <f>IFERROR(__xludf.DUMMYFUNCTION("""COMPUTED_VALUE"""),"lãi suất tiền gửi ngân hàng")</f>
        <v>lãi suất tiền gửi ngân hàng</v>
      </c>
      <c r="BZ61" s="21" t="str">
        <f>IFERROR(__xludf.DUMMYFUNCTION("""COMPUTED_VALUE"""),"https://techcombank.com/thong-tin/blog/gui-tiet-kiem-online-co-rut-truoc-han-duoc-khong")</f>
        <v>https://techcombank.com/thong-tin/blog/gui-tiet-kiem-online-co-rut-truoc-han-duoc-khong</v>
      </c>
      <c r="CA61" s="17" t="str">
        <f>IFERROR(__xludf.DUMMYFUNCTION("""COMPUTED_VALUE"""),"lãi suất gửi tiết kiệm ngân hàng")</f>
        <v>lãi suất gửi tiết kiệm ngân hàng</v>
      </c>
      <c r="CB61" s="21" t="str">
        <f>IFERROR(__xludf.DUMMYFUNCTION("""COMPUTED_VALUE"""),"https://techcombank.com/thong-tin/blog/gui-tiet-kiem-online-quay-vong-ca-goc-va-lai")</f>
        <v>https://techcombank.com/thong-tin/blog/gui-tiet-kiem-online-quay-vong-ca-goc-va-lai</v>
      </c>
      <c r="CC61" s="17" t="str">
        <f>IFERROR(__xludf.DUMMYFUNCTION("""COMPUTED_VALUE"""),"lãi suất ngân hàng tiền gửi")</f>
        <v>lãi suất ngân hàng tiền gửi</v>
      </c>
      <c r="CD61" s="21" t="str">
        <f>IFERROR(__xludf.DUMMYFUNCTION("""COMPUTED_VALUE"""),"https://techcombank.com/thong-tin/blog/chung-chi-tien-gui-khac-gi-so-tiet-kiem")</f>
        <v>https://techcombank.com/thong-tin/blog/chung-chi-tien-gui-khac-gi-so-tiet-kiem</v>
      </c>
      <c r="CE61" s="17" t="str">
        <f>IFERROR(__xludf.DUMMYFUNCTION("""COMPUTED_VALUE"""),"lãi suất ngân hàng")</f>
        <v>lãi suất ngân hàng</v>
      </c>
      <c r="CF61" s="21" t="str">
        <f>IFERROR(__xludf.DUMMYFUNCTION("""COMPUTED_VALUE"""),"https://techcombank.com/thong-tin/blog/chung-chi-tien-gui-co-duoc-rut-truoc-han")</f>
        <v>https://techcombank.com/thong-tin/blog/chung-chi-tien-gui-co-duoc-rut-truoc-han</v>
      </c>
      <c r="CG61" s="17" t="str">
        <f>IFERROR(__xludf.DUMMYFUNCTION("""COMPUTED_VALUE"""),"lãi suất ngân hàng hôm nay")</f>
        <v>lãi suất ngân hàng hôm nay</v>
      </c>
      <c r="CH61" s="21" t="str">
        <f>IFERROR(__xludf.DUMMYFUNCTION("""COMPUTED_VALUE"""),"https://techcombank.com/thong-tin/blog/cach-tiet-kiem-tien-sinh-loi")</f>
        <v>https://techcombank.com/thong-tin/blog/cach-tiet-kiem-tien-sinh-loi</v>
      </c>
      <c r="CI61" s="17" t="str">
        <f>IFERROR(__xludf.DUMMYFUNCTION("""COMPUTED_VALUE"""),"lãi suất ngân hàng nào cao nhất")</f>
        <v>lãi suất ngân hàng nào cao nhất</v>
      </c>
      <c r="CJ61" s="21" t="str">
        <f>IFERROR(__xludf.DUMMYFUNCTION("""COMPUTED_VALUE"""),"https://techcombank.com/thong-tin/blog/co-50-trieu-nen-mua-vang-hay-gui-tiet-kiem")</f>
        <v>https://techcombank.com/thong-tin/blog/co-50-trieu-nen-mua-vang-hay-gui-tiet-kiem</v>
      </c>
      <c r="CK61" s="17" t="str">
        <f>IFERROR(__xludf.DUMMYFUNCTION("""COMPUTED_VALUE"""),"lãi suất ngân hàng hiện nay")</f>
        <v>lãi suất ngân hàng hiện nay</v>
      </c>
      <c r="CL61" s="21" t="str">
        <f>IFERROR(__xludf.DUMMYFUNCTION("""COMPUTED_VALUE"""),"https://techcombank.com/thong-tin/blog/lai-suat-cho-vay-doanh-nghiep")</f>
        <v>https://techcombank.com/thong-tin/blog/lai-suat-cho-vay-doanh-nghiep</v>
      </c>
      <c r="CM61" s="17" t="str">
        <f>IFERROR(__xludf.DUMMYFUNCTION("""COMPUTED_VALUE"""),"lãi suất tiền gửi ngân hàng")</f>
        <v>lãi suất tiền gửi ngân hàng</v>
      </c>
      <c r="CN61" s="21" t="str">
        <f>IFERROR(__xludf.DUMMYFUNCTION("""COMPUTED_VALUE"""),"https://techcombank.com/thong-tin/blog/lai-suat-gui-tiet-kiem-usd")</f>
        <v>https://techcombank.com/thong-tin/blog/lai-suat-gui-tiet-kiem-usd</v>
      </c>
      <c r="CO61" s="17" t="str">
        <f>IFERROR(__xludf.DUMMYFUNCTION("""COMPUTED_VALUE"""),"lãi suất gửi tiết kiệm ngân hàng")</f>
        <v>lãi suất gửi tiết kiệm ngân hàng</v>
      </c>
      <c r="CP61" s="21" t="str">
        <f>IFERROR(__xludf.DUMMYFUNCTION("""COMPUTED_VALUE"""),"https://techcombank.com/thong-tin/blog/gui-tiet-kiem-usd")</f>
        <v>https://techcombank.com/thong-tin/blog/gui-tiet-kiem-usd</v>
      </c>
      <c r="CQ61" s="17" t="str">
        <f>IFERROR(__xludf.DUMMYFUNCTION("""COMPUTED_VALUE"""),"lãi suất ngân hàng tiền gửi")</f>
        <v>lãi suất ngân hàng tiền gửi</v>
      </c>
      <c r="CR61" s="21" t="str">
        <f>IFERROR(__xludf.DUMMYFUNCTION("""COMPUTED_VALUE"""),"https://techcombank.com/thong-tin/blog/cach-tinh-ty-gia-ky-han")</f>
        <v>https://techcombank.com/thong-tin/blog/cach-tinh-ty-gia-ky-han</v>
      </c>
      <c r="CS61" s="17" t="str">
        <f>IFERROR(__xludf.DUMMYFUNCTION("""COMPUTED_VALUE"""),"lãi suất ngân hàng")</f>
        <v>lãi suất ngân hàng</v>
      </c>
      <c r="CT61" s="21" t="str">
        <f>IFERROR(__xludf.DUMMYFUNCTION("""COMPUTED_VALUE"""),"https://techcombank.com/thong-tin/blog/lai-suat-chung-chi-tien-gui-cac-ngan-hang")</f>
        <v>https://techcombank.com/thong-tin/blog/lai-suat-chung-chi-tien-gui-cac-ngan-hang</v>
      </c>
      <c r="CU61" s="17" t="str">
        <f>IFERROR(__xludf.DUMMYFUNCTION("""COMPUTED_VALUE"""),"lãi suất ngân hàng hôm nay")</f>
        <v>lãi suất ngân hàng hôm nay</v>
      </c>
      <c r="CV61" s="21" t="str">
        <f>IFERROR(__xludf.DUMMYFUNCTION("""COMPUTED_VALUE"""),"https://techcombank.com/thong-tin/blog/app-gui-tien-tiet-kiem")</f>
        <v>https://techcombank.com/thong-tin/blog/app-gui-tien-tiet-kiem</v>
      </c>
      <c r="CW61" s="17" t="str">
        <f>IFERROR(__xludf.DUMMYFUNCTION("""COMPUTED_VALUE"""),"lãi suất ngân hàng nào cao nhất")</f>
        <v>lãi suất ngân hàng nào cao nhất</v>
      </c>
      <c r="CX61" s="21" t="str">
        <f>IFERROR(__xludf.DUMMYFUNCTION("""COMPUTED_VALUE"""),"https://techcombank.com/thong-tin/blog/bi-quyet-tiet-kiem-tien-mua-nha")</f>
        <v>https://techcombank.com/thong-tin/blog/bi-quyet-tiet-kiem-tien-mua-nha</v>
      </c>
      <c r="CY61" s="17" t="str">
        <f>IFERROR(__xludf.DUMMYFUNCTION("""COMPUTED_VALUE"""),"lãi suất ngân hàng hiện nay")</f>
        <v>lãi suất ngân hàng hiện nay</v>
      </c>
      <c r="CZ61" s="21" t="str">
        <f>IFERROR(__xludf.DUMMYFUNCTION("""COMPUTED_VALUE"""),"https://techcombank.com/thong-tin/blog/tat-toan-so-tiet-kiem")</f>
        <v>https://techcombank.com/thong-tin/blog/tat-toan-so-tiet-kiem</v>
      </c>
      <c r="DA61" s="17" t="str">
        <f>IFERROR(__xludf.DUMMYFUNCTION("""COMPUTED_VALUE"""),"lãi suất tiền gửi ngân hàng")</f>
        <v>lãi suất tiền gửi ngân hàng</v>
      </c>
      <c r="DB61" s="21" t="str">
        <f>IFERROR(__xludf.DUMMYFUNCTION("""COMPUTED_VALUE"""),"https://techcombank.com/thong-tin/blog/tra-gop-shopee")</f>
        <v>https://techcombank.com/thong-tin/blog/tra-gop-shopee</v>
      </c>
      <c r="DC61" s="17" t="str">
        <f>IFERROR(__xludf.DUMMYFUNCTION("""COMPUTED_VALUE"""),"lãi suất gửi tiết kiệm ngân hàng")</f>
        <v>lãi suất gửi tiết kiệm ngân hàng</v>
      </c>
      <c r="DD61" s="21" t="str">
        <f>IFERROR(__xludf.DUMMYFUNCTION("""COMPUTED_VALUE"""),"https://techcombank.com/thong-tin/blog/vay-thau-chi-bang-so-tiet-kiem")</f>
        <v>https://techcombank.com/thong-tin/blog/vay-thau-chi-bang-so-tiet-kiem</v>
      </c>
      <c r="DE61" s="17" t="str">
        <f>IFERROR(__xludf.DUMMYFUNCTION("""COMPUTED_VALUE"""),"lãi suất ngân hàng tiền gửi")</f>
        <v>lãi suất ngân hàng tiền gửi</v>
      </c>
      <c r="DF61" s="21" t="str">
        <f>IFERROR(__xludf.DUMMYFUNCTION("""COMPUTED_VALUE"""),"https://techcombank.com/thong-tin/blog/chung-chi-tien-gui-la-gi")</f>
        <v>https://techcombank.com/thong-tin/blog/chung-chi-tien-gui-la-gi</v>
      </c>
      <c r="DG61" s="17" t="str">
        <f>IFERROR(__xludf.DUMMYFUNCTION("""COMPUTED_VALUE"""),"lãi suất ngân hàng")</f>
        <v>lãi suất ngân hàng</v>
      </c>
      <c r="DH61" s="21" t="str">
        <f>IFERROR(__xludf.DUMMYFUNCTION("""COMPUTED_VALUE"""),"https://techcombank.com/thong-tin/blog/ngan-hang-so")</f>
        <v>https://techcombank.com/thong-tin/blog/ngan-hang-so</v>
      </c>
      <c r="DI61" s="17" t="str">
        <f>IFERROR(__xludf.DUMMYFUNCTION("""COMPUTED_VALUE"""),"lãi suất ngân hàng hôm nay")</f>
        <v>lãi suất ngân hàng hôm nay</v>
      </c>
      <c r="DJ61" s="21" t="str">
        <f>IFERROR(__xludf.DUMMYFUNCTION("""COMPUTED_VALUE"""),"https://techcombank.com/thong-tin/blog/lap-ke-hoach-chi-tieu-ca-nhan")</f>
        <v>https://techcombank.com/thong-tin/blog/lap-ke-hoach-chi-tieu-ca-nhan</v>
      </c>
      <c r="DK61" s="17" t="str">
        <f>IFERROR(__xludf.DUMMYFUNCTION("""COMPUTED_VALUE"""),"lãi suất ngân hàng nào cao nhất")</f>
        <v>lãi suất ngân hàng nào cao nhất</v>
      </c>
      <c r="DL61" s="21" t="str">
        <f>IFERROR(__xludf.DUMMYFUNCTION("""COMPUTED_VALUE"""),"https://techcombank.com/thong-tin/blog/ke-hoach-tai-chinh")</f>
        <v>https://techcombank.com/thong-tin/blog/ke-hoach-tai-chinh</v>
      </c>
      <c r="DM61" s="17" t="str">
        <f>IFERROR(__xludf.DUMMYFUNCTION("""COMPUTED_VALUE"""),"lãi suất ngân hàng hiện nay")</f>
        <v>lãi suất ngân hàng hiện nay</v>
      </c>
      <c r="DN61" s="21" t="str">
        <f>IFERROR(__xludf.DUMMYFUNCTION("""COMPUTED_VALUE"""),"https://techcombank.com/thong-tin/blog/tich-luy-tai-san")</f>
        <v>https://techcombank.com/thong-tin/blog/tich-luy-tai-san</v>
      </c>
      <c r="DO61" s="17" t="str">
        <f>IFERROR(__xludf.DUMMYFUNCTION("""COMPUTED_VALUE"""),"lãi suất tiền gửi ngân hàng")</f>
        <v>lãi suất tiền gửi ngân hàng</v>
      </c>
      <c r="DP61" s="21" t="str">
        <f>IFERROR(__xludf.DUMMYFUNCTION("""COMPUTED_VALUE"""),"https://techcombank.com/thong-tin/blog/nghich-ly-nha-dau-tu-che-trai-phieu-lai-suat-cao-ua-ma-an-toan-du-lai-suat-thap-hon-05-1")</f>
        <v>https://techcombank.com/thong-tin/blog/nghich-ly-nha-dau-tu-che-trai-phieu-lai-suat-cao-ua-ma-an-toan-du-lai-suat-thap-hon-05-1</v>
      </c>
      <c r="DQ61" s="17" t="str">
        <f>IFERROR(__xludf.DUMMYFUNCTION("""COMPUTED_VALUE"""),"lãi suất gửi tiết kiệm ngân hàng")</f>
        <v>lãi suất gửi tiết kiệm ngân hàng</v>
      </c>
      <c r="DR61" s="21" t="str">
        <f>IFERROR(__xludf.DUMMYFUNCTION("""COMPUTED_VALUE"""),"https://techcombank.com/thong-tin/blog/thi-truong-trai-phieu-co-hoi-dau-tu-trai-phieu-vang-du-lai-suat-thap")</f>
        <v>https://techcombank.com/thong-tin/blog/thi-truong-trai-phieu-co-hoi-dau-tu-trai-phieu-vang-du-lai-suat-thap</v>
      </c>
      <c r="DS61" s="17" t="str">
        <f>IFERROR(__xludf.DUMMYFUNCTION("""COMPUTED_VALUE"""),"lãi suất ngân hàng tiền gửi")</f>
        <v>lãi suất ngân hàng tiền gửi</v>
      </c>
      <c r="DT61" s="21" t="str">
        <f>IFERROR(__xludf.DUMMYFUNCTION("""COMPUTED_VALUE"""),"https://techcombank.com/thong-tin/blog/techcombank-sinh-loi-tu-dong")</f>
        <v>https://techcombank.com/thong-tin/blog/techcombank-sinh-loi-tu-dong</v>
      </c>
      <c r="DU61" s="17" t="str">
        <f>IFERROR(__xludf.DUMMYFUNCTION("""COMPUTED_VALUE"""),"lãi suất ngân hàng")</f>
        <v>lãi suất ngân hàng</v>
      </c>
      <c r="DV61" s="21" t="str">
        <f>IFERROR(__xludf.DUMMYFUNCTION("""COMPUTED_VALUE"""),"https://techcombank.com/thong-tin/blog/lai-kep-ngan-hang")</f>
        <v>https://techcombank.com/thong-tin/blog/lai-kep-ngan-hang</v>
      </c>
      <c r="DW61" s="17" t="str">
        <f>IFERROR(__xludf.DUMMYFUNCTION("""COMPUTED_VALUE"""),"lãi suất ngân hàng hôm nay")</f>
        <v>lãi suất ngân hàng hôm nay</v>
      </c>
      <c r="DX61" s="21" t="str">
        <f>IFERROR(__xludf.DUMMYFUNCTION("""COMPUTED_VALUE"""),"https://techcombank.com/thong-tin/blog/lai-suat-chung-chi-quy")</f>
        <v>https://techcombank.com/thong-tin/blog/lai-suat-chung-chi-quy</v>
      </c>
      <c r="DY61" s="17" t="str">
        <f>IFERROR(__xludf.DUMMYFUNCTION("""COMPUTED_VALUE"""),"lãi suất ngân hàng nào cao nhất")</f>
        <v>lãi suất ngân hàng nào cao nhất</v>
      </c>
      <c r="DZ61" s="21" t="str">
        <f>IFERROR(__xludf.DUMMYFUNCTION("""COMPUTED_VALUE"""),"https://techcombank.com/thong-tin/blog/mo-tai-khoan-tiet-kiem-cho-con")</f>
        <v>https://techcombank.com/thong-tin/blog/mo-tai-khoan-tiet-kiem-cho-con</v>
      </c>
      <c r="EA61" s="17" t="str">
        <f>IFERROR(__xludf.DUMMYFUNCTION("""COMPUTED_VALUE"""),"lãi suất ngân hàng hiện nay")</f>
        <v>lãi suất ngân hàng hiện nay</v>
      </c>
      <c r="EB61" s="21" t="str">
        <f>IFERROR(__xludf.DUMMYFUNCTION("""COMPUTED_VALUE"""),"https://techcombank.com/thong-tin/blog/vay-100-trieu")</f>
        <v>https://techcombank.com/thong-tin/blog/vay-100-trieu</v>
      </c>
      <c r="EC61" s="17" t="str">
        <f>IFERROR(__xludf.DUMMYFUNCTION("""COMPUTED_VALUE"""),"lãi suất tiền gửi ngân hàng")</f>
        <v>lãi suất tiền gửi ngân hàng</v>
      </c>
      <c r="ED61" s="21" t="str">
        <f>IFERROR(__xludf.DUMMYFUNCTION("""COMPUTED_VALUE"""),"https://techcombank.com/thong-tin/blog/quy-du-phong-tai-chinh-la-gi")</f>
        <v>https://techcombank.com/thong-tin/blog/quy-du-phong-tai-chinh-la-gi</v>
      </c>
      <c r="EE61" s="17" t="str">
        <f>IFERROR(__xludf.DUMMYFUNCTION("""COMPUTED_VALUE"""),"lãi suất gửi tiết kiệm ngân hàng")</f>
        <v>lãi suất gửi tiết kiệm ngân hàng</v>
      </c>
      <c r="EF61" s="21" t="str">
        <f>IFERROR(__xludf.DUMMYFUNCTION("""COMPUTED_VALUE"""),"https://techcombank.com/thong-tin/blog/loi-ich-cua-ngan-hang-so-voi-sme")</f>
        <v>https://techcombank.com/thong-tin/blog/loi-ich-cua-ngan-hang-so-voi-sme</v>
      </c>
      <c r="EG61" s="17" t="str">
        <f>IFERROR(__xludf.DUMMYFUNCTION("""COMPUTED_VALUE"""),"lãi suất ngân hàng tiền gửi")</f>
        <v>lãi suất ngân hàng tiền gửi</v>
      </c>
      <c r="EH61" s="21" t="str">
        <f>IFERROR(__xludf.DUMMYFUNCTION("""COMPUTED_VALUE"""),"https://techcombank.com/thong-tin/blog/rut-tien-tiet-kiem-truoc-thoi-han")</f>
        <v>https://techcombank.com/thong-tin/blog/rut-tien-tiet-kiem-truoc-thoi-han</v>
      </c>
      <c r="EI61" s="17" t="str">
        <f>IFERROR(__xludf.DUMMYFUNCTION("""COMPUTED_VALUE"""),"lãi suất ngân hàng")</f>
        <v>lãi suất ngân hàng</v>
      </c>
      <c r="EJ61" s="21" t="str">
        <f>IFERROR(__xludf.DUMMYFUNCTION("""COMPUTED_VALUE"""),"https://techcombank.com/thong-tin/blog/lai-suat-la-gi")</f>
        <v>https://techcombank.com/thong-tin/blog/lai-suat-la-gi</v>
      </c>
      <c r="EK61" s="17" t="str">
        <f>IFERROR(__xludf.DUMMYFUNCTION("""COMPUTED_VALUE"""),"lãi suất ngân hàng hôm nay")</f>
        <v>lãi suất ngân hàng hôm nay</v>
      </c>
      <c r="EL61" s="21" t="str">
        <f>IFERROR(__xludf.DUMMYFUNCTION("""COMPUTED_VALUE"""),"https://techcombank.com/thong-tin/blog/vi-sao-lai-suat-trai-phieu-tai-tcbs-lai-thap-hon-so-voi-cac-to-chuc-phat-hanh-khac")</f>
        <v>https://techcombank.com/thong-tin/blog/vi-sao-lai-suat-trai-phieu-tai-tcbs-lai-thap-hon-so-voi-cac-to-chuc-phat-hanh-khac</v>
      </c>
      <c r="EM61" s="17" t="str">
        <f>IFERROR(__xludf.DUMMYFUNCTION("""COMPUTED_VALUE"""),"lãi suất ngân hàng nào cao nhất")</f>
        <v>lãi suất ngân hàng nào cao nhất</v>
      </c>
      <c r="EN61" s="21" t="str">
        <f>IFERROR(__xludf.DUMMYFUNCTION("""COMPUTED_VALUE"""),"https://techcombank.com/thong-tin/blog/cach-dau-tu")</f>
        <v>https://techcombank.com/thong-tin/blog/cach-dau-tu</v>
      </c>
      <c r="EO61" s="17" t="str">
        <f>IFERROR(__xludf.DUMMYFUNCTION("""COMPUTED_VALUE"""),"lãi suất ngân hàng hiện nay")</f>
        <v>lãi suất ngân hàng hiện nay</v>
      </c>
      <c r="EP61" s="21" t="str">
        <f>IFERROR(__xludf.DUMMYFUNCTION("""COMPUTED_VALUE"""),"https://techcombank.com/thong-tin/blog/vay-bo-sung-von-luu-dong")</f>
        <v>https://techcombank.com/thong-tin/blog/vay-bo-sung-von-luu-dong</v>
      </c>
      <c r="EQ61" s="17" t="str">
        <f>IFERROR(__xludf.DUMMYFUNCTION("""COMPUTED_VALUE"""),"lãi suất tiền gửi ngân hàng")</f>
        <v>lãi suất tiền gửi ngân hàng</v>
      </c>
      <c r="ER61" s="21" t="str">
        <f>IFERROR(__xludf.DUMMYFUNCTION("""COMPUTED_VALUE"""),"https://techcombank.com/thong-tin/blog/vay-ngan-han")</f>
        <v>https://techcombank.com/thong-tin/blog/vay-ngan-han</v>
      </c>
      <c r="ES61" s="17" t="str">
        <f>IFERROR(__xludf.DUMMYFUNCTION("""COMPUTED_VALUE"""),"lãi suất gửi tiết kiệm ngân hàng")</f>
        <v>lãi suất gửi tiết kiệm ngân hàng</v>
      </c>
      <c r="ET61" s="21" t="str">
        <f>IFERROR(__xludf.DUMMYFUNCTION("""COMPUTED_VALUE"""),"https://techcombank.com/thong-tin/blog/cho-vay-kinh-doanh-ho-gia-dinh")</f>
        <v>https://techcombank.com/thong-tin/blog/cho-vay-kinh-doanh-ho-gia-dinh</v>
      </c>
      <c r="EU61" s="17" t="str">
        <f>IFERROR(__xludf.DUMMYFUNCTION("""COMPUTED_VALUE"""),"lãi suất ngân hàng tiền gửi")</f>
        <v>lãi suất ngân hàng tiền gửi</v>
      </c>
      <c r="EV61" s="21" t="str">
        <f>IFERROR(__xludf.DUMMYFUNCTION("""COMPUTED_VALUE"""),"https://techcombank.com/thong-tin/blog/vay-von-doanh-nghiep-nho")</f>
        <v>https://techcombank.com/thong-tin/blog/vay-von-doanh-nghiep-nho</v>
      </c>
      <c r="EW61" s="17" t="str">
        <f>IFERROR(__xludf.DUMMYFUNCTION("""COMPUTED_VALUE"""),"lãi suất ngân hàng")</f>
        <v>lãi suất ngân hàng</v>
      </c>
      <c r="EX61" s="21" t="str">
        <f>IFERROR(__xludf.DUMMYFUNCTION("""COMPUTED_VALUE"""),"https://techcombank.com/thong-tin/blog/vay-mua-chung-cu")</f>
        <v>https://techcombank.com/thong-tin/blog/vay-mua-chung-cu</v>
      </c>
      <c r="EY61" s="17" t="str">
        <f>IFERROR(__xludf.DUMMYFUNCTION("""COMPUTED_VALUE"""),"lãi suất ngân hàng hôm nay")</f>
        <v>lãi suất ngân hàng hôm nay</v>
      </c>
      <c r="EZ61" s="21" t="str">
        <f>IFERROR(__xludf.DUMMYFUNCTION("""COMPUTED_VALUE"""),"https://techcombank.com/thong-tin/blog/tra-gop-hoc-phi")</f>
        <v>https://techcombank.com/thong-tin/blog/tra-gop-hoc-phi</v>
      </c>
      <c r="FA61" s="17" t="str">
        <f>IFERROR(__xludf.DUMMYFUNCTION("""COMPUTED_VALUE"""),"lãi suất ngân hàng nào cao nhất")</f>
        <v>lãi suất ngân hàng nào cao nhất</v>
      </c>
      <c r="FB61" s="21" t="str">
        <f>IFERROR(__xludf.DUMMYFUNCTION("""COMPUTED_VALUE"""),"https://techcombank.com/thong-tin/blog/vay-50-trieu")</f>
        <v>https://techcombank.com/thong-tin/blog/vay-50-trieu</v>
      </c>
      <c r="FC61" s="17" t="str">
        <f>IFERROR(__xludf.DUMMYFUNCTION("""COMPUTED_VALUE"""),"lãi suất ngân hàng hiện nay")</f>
        <v>lãi suất ngân hàng hiện nay</v>
      </c>
      <c r="FD61" s="21" t="str">
        <f>IFERROR(__xludf.DUMMYFUNCTION("""COMPUTED_VALUE"""),"https://techcombank.com/thong-tin/blog/chung-chi-tien-gui-co-an-toan-khong")</f>
        <v>https://techcombank.com/thong-tin/blog/chung-chi-tien-gui-co-an-toan-khong</v>
      </c>
      <c r="FE61" s="17" t="str">
        <f>IFERROR(__xludf.DUMMYFUNCTION("""COMPUTED_VALUE"""),"lãi suất tiền gửi ngân hàng")</f>
        <v>lãi suất tiền gửi ngân hàng</v>
      </c>
      <c r="FF61" s="21" t="str">
        <f>IFERROR(__xludf.DUMMYFUNCTION("""COMPUTED_VALUE"""),"https://techcombank.com/thong-tin/blog/vay-mua-dien-thoai")</f>
        <v>https://techcombank.com/thong-tin/blog/vay-mua-dien-thoai</v>
      </c>
      <c r="FG61" s="17" t="str">
        <f>IFERROR(__xludf.DUMMYFUNCTION("""COMPUTED_VALUE"""),"lãi suất gửi tiết kiệm ngân hàng")</f>
        <v>lãi suất gửi tiết kiệm ngân hàng</v>
      </c>
      <c r="FH61" s="21" t="str">
        <f>IFERROR(__xludf.DUMMYFUNCTION("""COMPUTED_VALUE"""),"https://techcombank.com/thong-tin/blog/tien-nhan-roi-nen-lam-gi")</f>
        <v>https://techcombank.com/thong-tin/blog/tien-nhan-roi-nen-lam-gi</v>
      </c>
      <c r="FI61" s="17" t="str">
        <f>IFERROR(__xludf.DUMMYFUNCTION("""COMPUTED_VALUE"""),"lãi suất ngân hàng tiền gửi")</f>
        <v>lãi suất ngân hàng tiền gửi</v>
      </c>
      <c r="FJ61" s="21" t="str">
        <f>IFERROR(__xludf.DUMMYFUNCTION("""COMPUTED_VALUE"""),"https://techcombank.com/thong-tin/blog/cong-thuc-tinh-lai-suat-thuc")</f>
        <v>https://techcombank.com/thong-tin/blog/cong-thuc-tinh-lai-suat-thuc</v>
      </c>
      <c r="FK61" s="17" t="str">
        <f>IFERROR(__xludf.DUMMYFUNCTION("""COMPUTED_VALUE"""),"lãi suất ngân hàng")</f>
        <v>lãi suất ngân hàng</v>
      </c>
      <c r="FL61" s="21" t="str">
        <f>IFERROR(__xludf.DUMMYFUNCTION("""COMPUTED_VALUE"""),"https://techcombank.com/thong-tin/blog/nen-vay-tin-chap-o-dau")</f>
        <v>https://techcombank.com/thong-tin/blog/nen-vay-tin-chap-o-dau</v>
      </c>
      <c r="FM61" s="17" t="str">
        <f>IFERROR(__xludf.DUMMYFUNCTION("""COMPUTED_VALUE"""),"lãi suất ngân hàng hôm nay")</f>
        <v>lãi suất ngân hàng hôm nay</v>
      </c>
      <c r="FN61" s="21" t="str">
        <f>IFERROR(__xludf.DUMMYFUNCTION("""COMPUTED_VALUE"""),"https://techcombank.com/thong-tin/blog/diem-tin-dung")</f>
        <v>https://techcombank.com/thong-tin/blog/diem-tin-dung</v>
      </c>
      <c r="FO61" s="17" t="str">
        <f>IFERROR(__xludf.DUMMYFUNCTION("""COMPUTED_VALUE"""),"lãi suất ngân hàng nào cao nhất")</f>
        <v>lãi suất ngân hàng nào cao nhất</v>
      </c>
      <c r="FP61" s="21" t="str">
        <f>IFERROR(__xludf.DUMMYFUNCTION("""COMPUTED_VALUE"""),"https://techcombank.com/thong-tin/blog/kinh-nghiem-vay-the-chap-ngan-hang")</f>
        <v>https://techcombank.com/thong-tin/blog/kinh-nghiem-vay-the-chap-ngan-hang</v>
      </c>
      <c r="FQ61" s="17" t="str">
        <f>IFERROR(__xludf.DUMMYFUNCTION("""COMPUTED_VALUE"""),"lãi suất ngân hàng hiện nay")</f>
        <v>lãi suất ngân hàng hiện nay</v>
      </c>
      <c r="FR61" s="21" t="str">
        <f>IFERROR(__xludf.DUMMYFUNCTION("""COMPUTED_VALUE"""),"https://techcombank.com/thong-tin/blog/cho-vay-tieu-dung-la-gi")</f>
        <v>https://techcombank.com/thong-tin/blog/cho-vay-tieu-dung-la-gi</v>
      </c>
      <c r="FS61" s="17" t="str">
        <f>IFERROR(__xludf.DUMMYFUNCTION("""COMPUTED_VALUE"""),"lãi suất tiền gửi ngân hàng")</f>
        <v>lãi suất tiền gửi ngân hàng</v>
      </c>
      <c r="FT61" s="21" t="str">
        <f>IFERROR(__xludf.DUMMYFUNCTION("""COMPUTED_VALUE"""),"https://techcombank.com/thong-tin/blog/vay-15-trieu")</f>
        <v>https://techcombank.com/thong-tin/blog/vay-15-trieu</v>
      </c>
      <c r="FU61" s="17" t="str">
        <f>IFERROR(__xludf.DUMMYFUNCTION("""COMPUTED_VALUE"""),"lãi suất gửi tiết kiệm ngân hàng")</f>
        <v>lãi suất gửi tiết kiệm ngân hàng</v>
      </c>
      <c r="FV61" s="21" t="str">
        <f>IFERROR(__xludf.DUMMYFUNCTION("""COMPUTED_VALUE"""),"https://techcombank.com/thong-tin/blog/lai-suat-tha-noi")</f>
        <v>https://techcombank.com/thong-tin/blog/lai-suat-tha-noi</v>
      </c>
      <c r="FW61" s="17" t="str">
        <f>IFERROR(__xludf.DUMMYFUNCTION("""COMPUTED_VALUE"""),"lãi suất ngân hàng tiền gửi")</f>
        <v>lãi suất ngân hàng tiền gửi</v>
      </c>
      <c r="FX61" s="21" t="str">
        <f>IFERROR(__xludf.DUMMYFUNCTION("""COMPUTED_VALUE"""),"https://techcombank.com/thong-tin/blog/vay-tien-mat")</f>
        <v>https://techcombank.com/thong-tin/blog/vay-tien-mat</v>
      </c>
      <c r="FY61" s="17" t="str">
        <f>IFERROR(__xludf.DUMMYFUNCTION("""COMPUTED_VALUE"""),"lãi suất ngân hàng")</f>
        <v>lãi suất ngân hàng</v>
      </c>
      <c r="FZ61" s="21" t="str">
        <f>IFERROR(__xludf.DUMMYFUNCTION("""COMPUTED_VALUE"""),"https://techcombank.com/thong-tin/blog/cach-tiet-kiem-tien")</f>
        <v>https://techcombank.com/thong-tin/blog/cach-tiet-kiem-tien</v>
      </c>
      <c r="GA61" s="17" t="str">
        <f>IFERROR(__xludf.DUMMYFUNCTION("""COMPUTED_VALUE"""),"lãi suất ngân hàng hôm nay")</f>
        <v>lãi suất ngân hàng hôm nay</v>
      </c>
      <c r="GB61" s="21" t="str">
        <f>IFERROR(__xludf.DUMMYFUNCTION("""COMPUTED_VALUE"""),"https://techcombank.com/thong-tin/blog/lai-suat-qua-han")</f>
        <v>https://techcombank.com/thong-tin/blog/lai-suat-qua-han</v>
      </c>
      <c r="GC61" s="17" t="str">
        <f>IFERROR(__xludf.DUMMYFUNCTION("""COMPUTED_VALUE"""),"lãi suất ngân hàng nào cao nhất")</f>
        <v>lãi suất ngân hàng nào cao nhất</v>
      </c>
      <c r="GD61" s="21" t="str">
        <f>IFERROR(__xludf.DUMMYFUNCTION("""COMPUTED_VALUE"""),"https://techcombank.com/thong-tin/blog/app-vay-tien-nhanh")</f>
        <v>https://techcombank.com/thong-tin/blog/app-vay-tien-nhanh</v>
      </c>
      <c r="GE61" s="17" t="str">
        <f>IFERROR(__xludf.DUMMYFUNCTION("""COMPUTED_VALUE"""),"lãi suất ngân hàng hiện nay")</f>
        <v>lãi suất ngân hàng hiện nay</v>
      </c>
      <c r="GF61" s="21" t="str">
        <f>IFERROR(__xludf.DUMMYFUNCTION("""COMPUTED_VALUE"""),"https://techcombank.com/thong-tin/blog/tin-chap-doanh-nghiep")</f>
        <v>https://techcombank.com/thong-tin/blog/tin-chap-doanh-nghiep</v>
      </c>
      <c r="GG61" s="17" t="str">
        <f>IFERROR(__xludf.DUMMYFUNCTION("""COMPUTED_VALUE"""),"lãi suất tiền gửi ngân hàng")</f>
        <v>lãi suất tiền gửi ngân hàng</v>
      </c>
      <c r="GH61" s="21" t="str">
        <f>IFERROR(__xludf.DUMMYFUNCTION("""COMPUTED_VALUE"""),"https://techcombank.com/thong-tin/blog/vay-sinh-vien")</f>
        <v>https://techcombank.com/thong-tin/blog/vay-sinh-vien</v>
      </c>
      <c r="GI61" s="17" t="str">
        <f>IFERROR(__xludf.DUMMYFUNCTION("""COMPUTED_VALUE"""),"lãi suất gửi tiết kiệm ngân hàng")</f>
        <v>lãi suất gửi tiết kiệm ngân hàng</v>
      </c>
      <c r="GJ61" s="21" t="str">
        <f>IFERROR(__xludf.DUMMYFUNCTION("""COMPUTED_VALUE"""),"https://techcombank.com/thong-tin/blog/vay-the-chap-so-hong")</f>
        <v>https://techcombank.com/thong-tin/blog/vay-the-chap-so-hong</v>
      </c>
      <c r="GK61" s="17" t="str">
        <f>IFERROR(__xludf.DUMMYFUNCTION("""COMPUTED_VALUE"""),"lãi suất ngân hàng tiền gửi")</f>
        <v>lãi suất ngân hàng tiền gửi</v>
      </c>
      <c r="GL61" s="21" t="str">
        <f>IFERROR(__xludf.DUMMYFUNCTION("""COMPUTED_VALUE"""),"https://techcombank.com/thong-tin/blog/lai-suat-vay-mua-o-to")</f>
        <v>https://techcombank.com/thong-tin/blog/lai-suat-vay-mua-o-to</v>
      </c>
      <c r="GM61" s="17" t="str">
        <f>IFERROR(__xludf.DUMMYFUNCTION("""COMPUTED_VALUE"""),"lãi suất ngân hàng")</f>
        <v>lãi suất ngân hàng</v>
      </c>
      <c r="GN61" s="21" t="str">
        <f>IFERROR(__xludf.DUMMYFUNCTION("""COMPUTED_VALUE"""),"https://techcombank.com/thong-tin/blog/bao-hiem-vat-chat-xe-o-to")</f>
        <v>https://techcombank.com/thong-tin/blog/bao-hiem-vat-chat-xe-o-to</v>
      </c>
      <c r="GO61" s="17" t="str">
        <f>IFERROR(__xludf.DUMMYFUNCTION("""COMPUTED_VALUE"""),"lãi suất ngân hàng hôm nay")</f>
        <v>lãi suất ngân hàng hôm nay</v>
      </c>
      <c r="GP61" s="21" t="str">
        <f>IFERROR(__xludf.DUMMYFUNCTION("""COMPUTED_VALUE"""),"https://techcombank.com/thong-tin/blog/vay-300-trieu")</f>
        <v>https://techcombank.com/thong-tin/blog/vay-300-trieu</v>
      </c>
      <c r="GQ61" s="17" t="str">
        <f>IFERROR(__xludf.DUMMYFUNCTION("""COMPUTED_VALUE"""),"lãi suất ngân hàng nào cao nhất")</f>
        <v>lãi suất ngân hàng nào cao nhất</v>
      </c>
      <c r="GR61" s="21" t="str">
        <f>IFERROR(__xludf.DUMMYFUNCTION("""COMPUTED_VALUE"""),"https://techcombank.com/thong-tin/blog/vay-the-chap-xe-o-to-cu")</f>
        <v>https://techcombank.com/thong-tin/blog/vay-the-chap-xe-o-to-cu</v>
      </c>
      <c r="GS61" s="17" t="str">
        <f>IFERROR(__xludf.DUMMYFUNCTION("""COMPUTED_VALUE"""),"lãi suất ngân hàng hiện nay")</f>
        <v>lãi suất ngân hàng hiện nay</v>
      </c>
      <c r="GT61" s="21" t="str">
        <f>IFERROR(__xludf.DUMMYFUNCTION("""COMPUTED_VALUE"""),"https://techcombank.com/thong-tin/blog/thu-tuc-mua-xe-tra-gop")</f>
        <v>https://techcombank.com/thong-tin/blog/thu-tuc-mua-xe-tra-gop</v>
      </c>
      <c r="GU61" s="17" t="str">
        <f>IFERROR(__xludf.DUMMYFUNCTION("""COMPUTED_VALUE"""),"lãi suất tiền gửi ngân hàng")</f>
        <v>lãi suất tiền gửi ngân hàng</v>
      </c>
      <c r="GV61" s="21" t="str">
        <f>IFERROR(__xludf.DUMMYFUNCTION("""COMPUTED_VALUE"""),"https://techcombank.com/thong-tin/blog/lai-suat-the-tin-dung")</f>
        <v>https://techcombank.com/thong-tin/blog/lai-suat-the-tin-dung</v>
      </c>
      <c r="GW61" s="17" t="str">
        <f>IFERROR(__xludf.DUMMYFUNCTION("""COMPUTED_VALUE"""),"lãi suất gửi tiết kiệm ngân hàng")</f>
        <v>lãi suất gửi tiết kiệm ngân hàng</v>
      </c>
      <c r="GX61" s="21" t="str">
        <f>IFERROR(__xludf.DUMMYFUNCTION("""COMPUTED_VALUE"""),"https://techcombank.com/thong-tin/blog/tra-gop-lazada")</f>
        <v>https://techcombank.com/thong-tin/blog/tra-gop-lazada</v>
      </c>
      <c r="GY61" s="17" t="str">
        <f>IFERROR(__xludf.DUMMYFUNCTION("""COMPUTED_VALUE"""),"lãi suất ngân hàng tiền gửi")</f>
        <v>lãi suất ngân hàng tiền gửi</v>
      </c>
      <c r="GZ61" s="21" t="str">
        <f>IFERROR(__xludf.DUMMYFUNCTION("""COMPUTED_VALUE"""),"https://techcombank.com/thong-tin/blog/lam-ho-so-tra-gop-dien-thoai")</f>
        <v>https://techcombank.com/thong-tin/blog/lam-ho-so-tra-gop-dien-thoai</v>
      </c>
      <c r="HA61" s="17" t="str">
        <f>IFERROR(__xludf.DUMMYFUNCTION("""COMPUTED_VALUE"""),"lãi suất ngân hàng")</f>
        <v>lãi suất ngân hàng</v>
      </c>
      <c r="HB61" s="21" t="str">
        <f>IFERROR(__xludf.DUMMYFUNCTION("""COMPUTED_VALUE"""),"https://techcombank.com/thong-tin/blog/vay-30-trieu")</f>
        <v>https://techcombank.com/thong-tin/blog/vay-30-trieu</v>
      </c>
      <c r="HC61" s="17" t="str">
        <f>IFERROR(__xludf.DUMMYFUNCTION("""COMPUTED_VALUE"""),"lãi suất ngân hàng hôm nay")</f>
        <v>lãi suất ngân hàng hôm nay</v>
      </c>
      <c r="HD61" s="21" t="str">
        <f>IFERROR(__xludf.DUMMYFUNCTION("""COMPUTED_VALUE"""),"https://techcombank.com/thong-tin/blog/lai-suat-ngan-hang-cho-vay-xay-nha")</f>
        <v>https://techcombank.com/thong-tin/blog/lai-suat-ngan-hang-cho-vay-xay-nha</v>
      </c>
      <c r="HE61" s="17" t="str">
        <f>IFERROR(__xludf.DUMMYFUNCTION("""COMPUTED_VALUE"""),"lãi suất ngân hàng nào cao nhất")</f>
        <v>lãi suất ngân hàng nào cao nhất</v>
      </c>
      <c r="HF61" s="21" t="str">
        <f>IFERROR(__xludf.DUMMYFUNCTION("""COMPUTED_VALUE"""),"https://techcombank.com/thong-tin/blog/cach-su-dung-the-tin-dung")</f>
        <v>https://techcombank.com/thong-tin/blog/cach-su-dung-the-tin-dung</v>
      </c>
      <c r="HG61" s="17" t="str">
        <f>IFERROR(__xludf.DUMMYFUNCTION("""COMPUTED_VALUE"""),"lãi suất ngân hàng hiện nay")</f>
        <v>lãi suất ngân hàng hiện nay</v>
      </c>
      <c r="HH61" s="21" t="str">
        <f>IFERROR(__xludf.DUMMYFUNCTION("""COMPUTED_VALUE"""),"https://techcombank.com/thong-tin/blog/vay-mua-nha-o-xa-hoi")</f>
        <v>https://techcombank.com/thong-tin/blog/vay-mua-nha-o-xa-hoi</v>
      </c>
      <c r="HI61" s="17" t="str">
        <f>IFERROR(__xludf.DUMMYFUNCTION("""COMPUTED_VALUE"""),"lãi suất tiền gửi ngân hàng")</f>
        <v>lãi suất tiền gửi ngân hàng</v>
      </c>
      <c r="HJ61" s="21" t="str">
        <f>IFERROR(__xludf.DUMMYFUNCTION("""COMPUTED_VALUE"""),"https://techcombank.com/thong-tin/blog/dao-han-la-gi")</f>
        <v>https://techcombank.com/thong-tin/blog/dao-han-la-gi</v>
      </c>
      <c r="HK61" s="17" t="str">
        <f>IFERROR(__xludf.DUMMYFUNCTION("""COMPUTED_VALUE"""),"lãi suất gửi tiết kiệm ngân hàng")</f>
        <v>lãi suất gửi tiết kiệm ngân hàng</v>
      </c>
      <c r="HL61" s="21" t="str">
        <f>IFERROR(__xludf.DUMMYFUNCTION("""COMPUTED_VALUE"""),"https://techcombank.com/thong-tin/blog/vay-mua-xe-tra-gop-ngan-hang-nao-tot-nhat")</f>
        <v>https://techcombank.com/thong-tin/blog/vay-mua-xe-tra-gop-ngan-hang-nao-tot-nhat</v>
      </c>
      <c r="HM61" s="17" t="str">
        <f>IFERROR(__xludf.DUMMYFUNCTION("""COMPUTED_VALUE"""),"lãi suất ngân hàng tiền gửi")</f>
        <v>lãi suất ngân hàng tiền gửi</v>
      </c>
      <c r="HN61" s="21" t="str">
        <f>IFERROR(__xludf.DUMMYFUNCTION("""COMPUTED_VALUE"""),"https://techcombank.com/thong-tin/blog/nen-mua-xe-tra-gop-hay-tra-thang")</f>
        <v>https://techcombank.com/thong-tin/blog/nen-mua-xe-tra-gop-hay-tra-thang</v>
      </c>
      <c r="HO61" s="17" t="str">
        <f>IFERROR(__xludf.DUMMYFUNCTION("""COMPUTED_VALUE"""),"lãi suất ngân hàng")</f>
        <v>lãi suất ngân hàng</v>
      </c>
      <c r="HP61" s="21" t="str">
        <f>IFERROR(__xludf.DUMMYFUNCTION("""COMPUTED_VALUE"""),"https://techcombank.com/thong-tin/blog/vay-tin-chap-la-gi")</f>
        <v>https://techcombank.com/thong-tin/blog/vay-tin-chap-la-gi</v>
      </c>
      <c r="HQ61" s="17" t="str">
        <f>IFERROR(__xludf.DUMMYFUNCTION("""COMPUTED_VALUE"""),"lãi suất ngân hàng hôm nay")</f>
        <v>lãi suất ngân hàng hôm nay</v>
      </c>
      <c r="HR61" s="21" t="str">
        <f>IFERROR(__xludf.DUMMYFUNCTION("""COMPUTED_VALUE"""),"https://techcombank.com/thong-tin/blog/vay-the-chap-kinh-doanh")</f>
        <v>https://techcombank.com/thong-tin/blog/vay-the-chap-kinh-doanh</v>
      </c>
      <c r="HS61" s="17" t="str">
        <f>IFERROR(__xludf.DUMMYFUNCTION("""COMPUTED_VALUE"""),"lãi suất ngân hàng nào cao nhất")</f>
        <v>lãi suất ngân hàng nào cao nhất</v>
      </c>
      <c r="HT61" s="21" t="str">
        <f>IFERROR(__xludf.DUMMYFUNCTION("""COMPUTED_VALUE"""),"https://techcombank.com/thong-tin/blog/the-ghi-no-va-the-tin-dung")</f>
        <v>https://techcombank.com/thong-tin/blog/the-ghi-no-va-the-tin-dung</v>
      </c>
      <c r="HU61" s="17" t="str">
        <f>IFERROR(__xludf.DUMMYFUNCTION("""COMPUTED_VALUE"""),"lãi suất ngân hàng hiện nay")</f>
        <v>lãi suất ngân hàng hiện nay</v>
      </c>
      <c r="HV61" s="21" t="str">
        <f>IFERROR(__xludf.DUMMYFUNCTION("""COMPUTED_VALUE"""),"https://techcombank.com/thong-tin/blog/lai-suat-vay-the-chap")</f>
        <v>https://techcombank.com/thong-tin/blog/lai-suat-vay-the-chap</v>
      </c>
      <c r="HW61" s="17" t="str">
        <f>IFERROR(__xludf.DUMMYFUNCTION("""COMPUTED_VALUE"""),"lãi suất tiền gửi ngân hàng")</f>
        <v>lãi suất tiền gửi ngân hàng</v>
      </c>
      <c r="HX61" s="21" t="str">
        <f>IFERROR(__xludf.DUMMYFUNCTION("""COMPUTED_VALUE"""),"https://techcombank.com/thong-tin/blog/lai-suat-vay-thau-chi")</f>
        <v>https://techcombank.com/thong-tin/blog/lai-suat-vay-thau-chi</v>
      </c>
      <c r="HY61" s="17" t="str">
        <f>IFERROR(__xludf.DUMMYFUNCTION("""COMPUTED_VALUE"""),"lãi suất gửi tiết kiệm ngân hàng")</f>
        <v>lãi suất gửi tiết kiệm ngân hàng</v>
      </c>
      <c r="HZ61" s="21" t="str">
        <f>IFERROR(__xludf.DUMMYFUNCTION("""COMPUTED_VALUE"""),"https://techcombank.com/thong-tin/blog/lai-suat-vay-tieu-dung")</f>
        <v>https://techcombank.com/thong-tin/blog/lai-suat-vay-tieu-dung</v>
      </c>
      <c r="IA61" s="17" t="str">
        <f>IFERROR(__xludf.DUMMYFUNCTION("""COMPUTED_VALUE"""),"lãi suất ngân hàng tiền gửi")</f>
        <v>lãi suất ngân hàng tiền gửi</v>
      </c>
      <c r="IB61" s="21" t="str">
        <f>IFERROR(__xludf.DUMMYFUNCTION("""COMPUTED_VALUE"""),"https://techcombank.com/thong-tin/blog/cach-tinh-lai-vay-ngan-hang")</f>
        <v>https://techcombank.com/thong-tin/blog/cach-tinh-lai-vay-ngan-hang</v>
      </c>
      <c r="IC61" s="17" t="str">
        <f>IFERROR(__xludf.DUMMYFUNCTION("""COMPUTED_VALUE"""),"lãi suất ngân hàng")</f>
        <v>lãi suất ngân hàng</v>
      </c>
      <c r="ID61" s="21" t="str">
        <f>IFERROR(__xludf.DUMMYFUNCTION("""COMPUTED_VALUE"""),"https://techcombank.com/thong-tin/blog/lai-suat-vay-ngan-hang")</f>
        <v>https://techcombank.com/thong-tin/blog/lai-suat-vay-ngan-hang</v>
      </c>
      <c r="IE61" s="17" t="str">
        <f>IFERROR(__xludf.DUMMYFUNCTION("""COMPUTED_VALUE"""),"lãi suất ngân hàng hôm nay")</f>
        <v>lãi suất ngân hàng hôm nay</v>
      </c>
      <c r="IF61" s="21" t="str">
        <f>IFERROR(__xludf.DUMMYFUNCTION("""COMPUTED_VALUE"""),"https://techcombank.com/thong-tin/blog/uu-dai-the-tin-dung-techcombank-signature")</f>
        <v>https://techcombank.com/thong-tin/blog/uu-dai-the-tin-dung-techcombank-signature</v>
      </c>
      <c r="IG61" s="17" t="str">
        <f>IFERROR(__xludf.DUMMYFUNCTION("""COMPUTED_VALUE"""),"lãi suất ngân hàng nào cao nhất")</f>
        <v>lãi suất ngân hàng nào cao nhất</v>
      </c>
      <c r="IH61" s="21" t="str">
        <f>IFERROR(__xludf.DUMMYFUNCTION("""COMPUTED_VALUE"""),"https://techcombank.com/thong-tin/blog/lai-suat-vay-tin-chap")</f>
        <v>https://techcombank.com/thong-tin/blog/lai-suat-vay-tin-chap</v>
      </c>
      <c r="II61" s="17" t="str">
        <f>IFERROR(__xludf.DUMMYFUNCTION("""COMPUTED_VALUE"""),"lãi suất ngân hàng hiện nay")</f>
        <v>lãi suất ngân hàng hiện nay</v>
      </c>
      <c r="IJ61" s="21" t="str">
        <f>IFERROR(__xludf.DUMMYFUNCTION("""COMPUTED_VALUE"""),"https://techcombank.com/thong-tin/blog/lai-suat-vay-kinh-doanh")</f>
        <v>https://techcombank.com/thong-tin/blog/lai-suat-vay-kinh-doanh</v>
      </c>
      <c r="IK61" s="17" t="str">
        <f>IFERROR(__xludf.DUMMYFUNCTION("""COMPUTED_VALUE"""),"lãi suất tiền gửi ngân hàng")</f>
        <v>lãi suất tiền gửi ngân hàng</v>
      </c>
      <c r="IL61" s="21" t="str">
        <f>IFERROR(__xludf.DUMMYFUNCTION("""COMPUTED_VALUE"""),"https://techcombank.com/thong-tin/blog/vay-tin-chap-va-vay-the-chap")</f>
        <v>https://techcombank.com/thong-tin/blog/vay-tin-chap-va-vay-the-chap</v>
      </c>
      <c r="IM61" s="17" t="str">
        <f>IFERROR(__xludf.DUMMYFUNCTION("""COMPUTED_VALUE"""),"lãi suất gửi tiết kiệm ngân hàng")</f>
        <v>lãi suất gửi tiết kiệm ngân hàng</v>
      </c>
      <c r="IN61" s="21" t="str">
        <f>IFERROR(__xludf.DUMMYFUNCTION("""COMPUTED_VALUE"""),"https://techcombank.com/thong-tin/blog/lai-suat-vay-the-chap-so-do")</f>
        <v>https://techcombank.com/thong-tin/blog/lai-suat-vay-the-chap-so-do</v>
      </c>
      <c r="IO61" s="17" t="str">
        <f>IFERROR(__xludf.DUMMYFUNCTION("""COMPUTED_VALUE"""),"lãi suất ngân hàng tiền gửi")</f>
        <v>lãi suất ngân hàng tiền gửi</v>
      </c>
      <c r="IP61" s="21" t="str">
        <f>IFERROR(__xludf.DUMMYFUNCTION("""COMPUTED_VALUE"""),"https://techcombank.com/thong-tin/blog/dac-san-hai-phong")</f>
        <v>https://techcombank.com/thong-tin/blog/dac-san-hai-phong</v>
      </c>
      <c r="IQ61" s="17" t="str">
        <f>IFERROR(__xludf.DUMMYFUNCTION("""COMPUTED_VALUE"""),"lãi suất ngân hàng")</f>
        <v>lãi suất ngân hàng</v>
      </c>
      <c r="IR61" s="21" t="str">
        <f>IFERROR(__xludf.DUMMYFUNCTION("""COMPUTED_VALUE"""),"https://techcombank.com/thong-tin/blog/ngan-hang-dien-tu")</f>
        <v>https://techcombank.com/thong-tin/blog/ngan-hang-dien-tu</v>
      </c>
      <c r="IS61" s="17" t="str">
        <f>IFERROR(__xludf.DUMMYFUNCTION("""COMPUTED_VALUE"""),"lãi suất ngân hàng hôm nay")</f>
        <v>lãi suất ngân hàng hôm nay</v>
      </c>
      <c r="IT61" s="21" t="str">
        <f>IFERROR(__xludf.DUMMYFUNCTION("""COMPUTED_VALUE"""),"https://techcombank.com/thong-tin/blog/nhung-kho-khan-khi-tiet-kiem-tien")</f>
        <v>https://techcombank.com/thong-tin/blog/nhung-kho-khan-khi-tiet-kiem-tien</v>
      </c>
      <c r="IU61" s="17" t="str">
        <f>IFERROR(__xludf.DUMMYFUNCTION("""COMPUTED_VALUE"""),"lãi suất ngân hàng nào cao nhất")</f>
        <v>lãi suất ngân hàng nào cao nhất</v>
      </c>
      <c r="IV61" s="21" t="str">
        <f>IFERROR(__xludf.DUMMYFUNCTION("""COMPUTED_VALUE"""),"https://techcombank.com/thong-tin/blog/loi-ich-cua-mua-sam-online")</f>
        <v>https://techcombank.com/thong-tin/blog/loi-ich-cua-mua-sam-online</v>
      </c>
      <c r="IW61" s="17" t="str">
        <f>IFERROR(__xludf.DUMMYFUNCTION("""COMPUTED_VALUE"""),"lãi suất ngân hàng hiện nay")</f>
        <v>lãi suất ngân hàng hiện nay</v>
      </c>
      <c r="IX61" s="21" t="str">
        <f>IFERROR(__xludf.DUMMYFUNCTION("""COMPUTED_VALUE"""),"https://techcombank.com/thong-tin/blog/voucher-coopmart")</f>
        <v>https://techcombank.com/thong-tin/blog/voucher-coopmart</v>
      </c>
      <c r="IY61" s="17" t="str">
        <f>IFERROR(__xludf.DUMMYFUNCTION("""COMPUTED_VALUE"""),"lãi suất tiền gửi ngân hàng")</f>
        <v>lãi suất tiền gửi ngân hàng</v>
      </c>
      <c r="IZ61" s="21" t="str">
        <f>IFERROR(__xludf.DUMMYFUNCTION("""COMPUTED_VALUE"""),"https://techcombank.com/thong-tin/blog/dau-tu-tai-chinh-ca-nhan")</f>
        <v>https://techcombank.com/thong-tin/blog/dau-tu-tai-chinh-ca-nhan</v>
      </c>
      <c r="JA61" s="17" t="str">
        <f>IFERROR(__xludf.DUMMYFUNCTION("""COMPUTED_VALUE"""),"lãi suất gửi tiết kiệm ngân hàng")</f>
        <v>lãi suất gửi tiết kiệm ngân hàng</v>
      </c>
      <c r="JB61" s="21" t="str">
        <f>IFERROR(__xludf.DUMMYFUNCTION("""COMPUTED_VALUE"""),"https://techcombank.com/thong-tin/blog/dang-ky-thanh-lap-doanh-nghiep")</f>
        <v>https://techcombank.com/thong-tin/blog/dang-ky-thanh-lap-doanh-nghiep</v>
      </c>
      <c r="JC61" s="17" t="str">
        <f>IFERROR(__xludf.DUMMYFUNCTION("""COMPUTED_VALUE"""),"lãi suất ngân hàng tiền gửi")</f>
        <v>lãi suất ngân hàng tiền gửi</v>
      </c>
      <c r="JD61" s="21" t="str">
        <f>IFERROR(__xludf.DUMMYFUNCTION("""COMPUTED_VALUE"""),"https://techcombank.com/thong-tin/blog/quan-ly-chuoi-cua-hang")</f>
        <v>https://techcombank.com/thong-tin/blog/quan-ly-chuoi-cua-hang</v>
      </c>
      <c r="JE61" s="17" t="str">
        <f>IFERROR(__xludf.DUMMYFUNCTION("""COMPUTED_VALUE"""),"lãi suất ngân hàng")</f>
        <v>lãi suất ngân hàng</v>
      </c>
      <c r="JF61" s="21" t="str">
        <f>IFERROR(__xludf.DUMMYFUNCTION("""COMPUTED_VALUE"""),"https://techcombank.com/thong-tin/blog/woomaster")</f>
        <v>https://techcombank.com/thong-tin/blog/woomaster</v>
      </c>
      <c r="JG61" s="17" t="str">
        <f>IFERROR(__xludf.DUMMYFUNCTION("""COMPUTED_VALUE"""),"lãi suất ngân hàng hôm nay")</f>
        <v>lãi suất ngân hàng hôm nay</v>
      </c>
      <c r="JH61" s="21" t="str">
        <f>IFERROR(__xludf.DUMMYFUNCTION("""COMPUTED_VALUE"""),"https://techcombank.com/thong-tin/blog/nap-xu-tiktok")</f>
        <v>https://techcombank.com/thong-tin/blog/nap-xu-tiktok</v>
      </c>
      <c r="JI61" s="17" t="str">
        <f>IFERROR(__xludf.DUMMYFUNCTION("""COMPUTED_VALUE"""),"lãi suất ngân hàng nào cao nhất")</f>
        <v>lãi suất ngân hàng nào cao nhất</v>
      </c>
      <c r="JJ61" s="21" t="str">
        <f>IFERROR(__xludf.DUMMYFUNCTION("""COMPUTED_VALUE"""),"https://techcombank.com/thong-tin/blog/cach-tiet-kiem-tien-theo-tuan")</f>
        <v>https://techcombank.com/thong-tin/blog/cach-tiet-kiem-tien-theo-tuan</v>
      </c>
      <c r="JK61" s="17" t="str">
        <f>IFERROR(__xludf.DUMMYFUNCTION("""COMPUTED_VALUE"""),"lãi suất ngân hàng hiện nay")</f>
        <v>lãi suất ngân hàng hiện nay</v>
      </c>
      <c r="JL61" s="21" t="str">
        <f>IFERROR(__xludf.DUMMYFUNCTION("""COMPUTED_VALUE"""),"https://techcombank.com/thong-tin/blog/quan-ly-tai-chinh-cho-dan-van-phong")</f>
        <v>https://techcombank.com/thong-tin/blog/quan-ly-tai-chinh-cho-dan-van-phong</v>
      </c>
      <c r="JM61" s="17" t="str">
        <f>IFERROR(__xludf.DUMMYFUNCTION("""COMPUTED_VALUE"""),"lãi suất tiền gửi ngân hàng")</f>
        <v>lãi suất tiền gửi ngân hàng</v>
      </c>
      <c r="JN61" s="21" t="str">
        <f>IFERROR(__xludf.DUMMYFUNCTION("""COMPUTED_VALUE"""),"https://techcombank.com/thong-tin/blog/dau-tu-ngan-han")</f>
        <v>https://techcombank.com/thong-tin/blog/dau-tu-ngan-han</v>
      </c>
      <c r="JO61" s="17" t="str">
        <f>IFERROR(__xludf.DUMMYFUNCTION("""COMPUTED_VALUE"""),"lãi suất gửi tiết kiệm ngân hàng")</f>
        <v>lãi suất gửi tiết kiệm ngân hàng</v>
      </c>
      <c r="JP61" s="21" t="str">
        <f>IFERROR(__xludf.DUMMYFUNCTION("""COMPUTED_VALUE"""),"https://techcombank.com/thong-tin/blog/tiet-kiem-tien-moi-ngay")</f>
        <v>https://techcombank.com/thong-tin/blog/tiet-kiem-tien-moi-ngay</v>
      </c>
      <c r="JQ61" s="17" t="str">
        <f>IFERROR(__xludf.DUMMYFUNCTION("""COMPUTED_VALUE"""),"lãi suất ngân hàng tiền gửi")</f>
        <v>lãi suất ngân hàng tiền gửi</v>
      </c>
      <c r="JR61" s="21" t="str">
        <f>IFERROR(__xludf.DUMMYFUNCTION("""COMPUTED_VALUE"""),"https://techcombank.com/thong-tin/blog/cach-tiet-kiem-100-trieu-1-nam")</f>
        <v>https://techcombank.com/thong-tin/blog/cach-tiet-kiem-100-trieu-1-nam</v>
      </c>
      <c r="JS61" s="17" t="str">
        <f>IFERROR(__xludf.DUMMYFUNCTION("""COMPUTED_VALUE"""),"lãi suất ngân hàng")</f>
        <v>lãi suất ngân hàng</v>
      </c>
      <c r="JT61" s="21" t="str">
        <f>IFERROR(__xludf.DUMMYFUNCTION("""COMPUTED_VALUE"""),"https://techcombank.com/thong-tin/blog/dau-tu-dai-han")</f>
        <v>https://techcombank.com/thong-tin/blog/dau-tu-dai-han</v>
      </c>
      <c r="JU61" s="17" t="str">
        <f>IFERROR(__xludf.DUMMYFUNCTION("""COMPUTED_VALUE"""),"lãi suất ngân hàng hôm nay")</f>
        <v>lãi suất ngân hàng hôm nay</v>
      </c>
      <c r="JV61" s="21" t="str">
        <f>IFERROR(__xludf.DUMMYFUNCTION("""COMPUTED_VALUE"""),"https://techcombank.com/thong-tin/blog/tai-khoan-tiet-kiem")</f>
        <v>https://techcombank.com/thong-tin/blog/tai-khoan-tiet-kiem</v>
      </c>
      <c r="JW61" s="17" t="str">
        <f>IFERROR(__xludf.DUMMYFUNCTION("""COMPUTED_VALUE"""),"lãi suất ngân hàng nào cao nhất")</f>
        <v>lãi suất ngân hàng nào cao nhất</v>
      </c>
      <c r="JX61" s="21" t="str">
        <f>IFERROR(__xludf.DUMMYFUNCTION("""COMPUTED_VALUE"""),"https://techcombank.com/thong-tin/blog/the-nao-la-tiet-kiem")</f>
        <v>https://techcombank.com/thong-tin/blog/the-nao-la-tiet-kiem</v>
      </c>
      <c r="JY61" s="17" t="str">
        <f>IFERROR(__xludf.DUMMYFUNCTION("""COMPUTED_VALUE"""),"lãi suất ngân hàng hiện nay")</f>
        <v>lãi suất ngân hàng hiện nay</v>
      </c>
      <c r="JZ61" s="21" t="str">
        <f>IFERROR(__xludf.DUMMYFUNCTION("""COMPUTED_VALUE"""),"https://techcombank.com/thong-tin/blog/thanh-toan-khi-du-lich-singapore")</f>
        <v>https://techcombank.com/thong-tin/blog/thanh-toan-khi-du-lich-singapore</v>
      </c>
      <c r="KA61" s="17" t="str">
        <f>IFERROR(__xludf.DUMMYFUNCTION("""COMPUTED_VALUE"""),"lãi suất tiền gửi ngân hàng")</f>
        <v>lãi suất tiền gửi ngân hàng</v>
      </c>
      <c r="KB61" s="21" t="str">
        <f>IFERROR(__xludf.DUMMYFUNCTION("""COMPUTED_VALUE"""),"https://techcombank.com/thong-tin/blog/loa-thong-bao-chuyen-khoan")</f>
        <v>https://techcombank.com/thong-tin/blog/loa-thong-bao-chuyen-khoan</v>
      </c>
      <c r="KC61" s="17" t="str">
        <f>IFERROR(__xludf.DUMMYFUNCTION("""COMPUTED_VALUE"""),"lãi suất gửi tiết kiệm ngân hàng")</f>
        <v>lãi suất gửi tiết kiệm ngân hàng</v>
      </c>
      <c r="KD61" s="21" t="str">
        <f>IFERROR(__xludf.DUMMYFUNCTION("""COMPUTED_VALUE"""),"https://techcombank.com/thong-tin/blog/dat-xe-xanh-sm")</f>
        <v>https://techcombank.com/thong-tin/blog/dat-xe-xanh-sm</v>
      </c>
      <c r="KE61" s="17" t="str">
        <f>IFERROR(__xludf.DUMMYFUNCTION("""COMPUTED_VALUE"""),"lãi suất ngân hàng tiền gửi")</f>
        <v>lãi suất ngân hàng tiền gửi</v>
      </c>
      <c r="KF61" s="21" t="str">
        <f>IFERROR(__xludf.DUMMYFUNCTION("""COMPUTED_VALUE"""),"https://techcombank.com/thong-tin/blog/cach-tiet-kiem-tien-cua-nguoi-nhat")</f>
        <v>https://techcombank.com/thong-tin/blog/cach-tiet-kiem-tien-cua-nguoi-nhat</v>
      </c>
      <c r="KG61" s="17" t="str">
        <f>IFERROR(__xludf.DUMMYFUNCTION("""COMPUTED_VALUE"""),"lãi suất ngân hàng")</f>
        <v>lãi suất ngân hàng</v>
      </c>
      <c r="KH61" s="21" t="str">
        <f>IFERROR(__xludf.DUMMYFUNCTION("""COMPUTED_VALUE"""),"https://techcombank.com/thong-tin/blog/tai-khoan-thanh-toan-la-gi")</f>
        <v>https://techcombank.com/thong-tin/blog/tai-khoan-thanh-toan-la-gi</v>
      </c>
      <c r="KI61" s="17" t="str">
        <f>IFERROR(__xludf.DUMMYFUNCTION("""COMPUTED_VALUE"""),"lãi suất ngân hàng hôm nay")</f>
        <v>lãi suất ngân hàng hôm nay</v>
      </c>
      <c r="KJ61" s="21" t="str">
        <f>IFERROR(__xludf.DUMMYFUNCTION("""COMPUTED_VALUE"""),"https://techcombank.com/thong-tin/blog/gui-them-tien-vao-so-tiet-kiem")</f>
        <v>https://techcombank.com/thong-tin/blog/gui-them-tien-vao-so-tiet-kiem</v>
      </c>
      <c r="KK61" s="17" t="str">
        <f>IFERROR(__xludf.DUMMYFUNCTION("""COMPUTED_VALUE"""),"lãi suất ngân hàng nào cao nhất")</f>
        <v>lãi suất ngân hàng nào cao nhất</v>
      </c>
      <c r="KL61" s="21" t="str">
        <f>IFERROR(__xludf.DUMMYFUNCTION("""COMPUTED_VALUE"""),"https://techcombank.com/thong-tin/blog/loi-ich-cua-viec-tiet-kiem-tien")</f>
        <v>https://techcombank.com/thong-tin/blog/loi-ich-cua-viec-tiet-kiem-tien</v>
      </c>
      <c r="KM61" s="17" t="str">
        <f>IFERROR(__xludf.DUMMYFUNCTION("""COMPUTED_VALUE"""),"lãi suất ngân hàng hiện nay")</f>
        <v>lãi suất ngân hàng hiện nay</v>
      </c>
      <c r="KN61" s="21" t="str">
        <f>IFERROR(__xludf.DUMMYFUNCTION("""COMPUTED_VALUE"""),"https://techcombank.com/thong-tin/blog/mo-the-ghi-no")</f>
        <v>https://techcombank.com/thong-tin/blog/mo-the-ghi-no</v>
      </c>
      <c r="KO61" s="17" t="str">
        <f>IFERROR(__xludf.DUMMYFUNCTION("""COMPUTED_VALUE"""),"lãi suất tiền gửi ngân hàng")</f>
        <v>lãi suất tiền gửi ngân hàng</v>
      </c>
      <c r="KP61" s="21" t="str">
        <f>IFERROR(__xludf.DUMMYFUNCTION("""COMPUTED_VALUE"""),"https://techcombank.com/thong-tin/blog/phan-mem-lap-ke-hoach-tai-chinh-ca-nhan")</f>
        <v>https://techcombank.com/thong-tin/blog/phan-mem-lap-ke-hoach-tai-chinh-ca-nhan</v>
      </c>
      <c r="KQ61" s="17" t="str">
        <f>IFERROR(__xludf.DUMMYFUNCTION("""COMPUTED_VALUE"""),"lãi suất gửi tiết kiệm ngân hàng")</f>
        <v>lãi suất gửi tiết kiệm ngân hàng</v>
      </c>
      <c r="KR61" s="21" t="str">
        <f>IFERROR(__xludf.DUMMYFUNCTION("""COMPUTED_VALUE"""),"https://techcombank.com/thong-tin/blog/thanh-toan-tien-nuoc-online")</f>
        <v>https://techcombank.com/thong-tin/blog/thanh-toan-tien-nuoc-online</v>
      </c>
      <c r="KS61" s="17" t="str">
        <f>IFERROR(__xludf.DUMMYFUNCTION("""COMPUTED_VALUE"""),"lãi suất ngân hàng tiền gửi")</f>
        <v>lãi suất ngân hàng tiền gửi</v>
      </c>
      <c r="KT61" s="21" t="str">
        <f>IFERROR(__xludf.DUMMYFUNCTION("""COMPUTED_VALUE"""),"https://techcombank.com/thong-tin/blog/mat-so-tiet-kiem")</f>
        <v>https://techcombank.com/thong-tin/blog/mat-so-tiet-kiem</v>
      </c>
      <c r="KU61" s="17" t="str">
        <f>IFERROR(__xludf.DUMMYFUNCTION("""COMPUTED_VALUE"""),"lãi suất ngân hàng")</f>
        <v>lãi suất ngân hàng</v>
      </c>
      <c r="KV61" s="21" t="str">
        <f>IFERROR(__xludf.DUMMYFUNCTION("""COMPUTED_VALUE"""),"https://techcombank.com/thong-tin/blog/thanh-toan-hoc-phi-online")</f>
        <v>https://techcombank.com/thong-tin/blog/thanh-toan-hoc-phi-online</v>
      </c>
      <c r="KW61" s="17" t="str">
        <f>IFERROR(__xludf.DUMMYFUNCTION("""COMPUTED_VALUE"""),"lãi suất ngân hàng hôm nay")</f>
        <v>lãi suất ngân hàng hôm nay</v>
      </c>
      <c r="KX61" s="21" t="str">
        <f>IFERROR(__xludf.DUMMYFUNCTION("""COMPUTED_VALUE"""),"https://techcombank.com/thong-tin/blog/uu-dai-mua-iphone-18")</f>
        <v>https://techcombank.com/thong-tin/blog/uu-dai-mua-iphone-18</v>
      </c>
      <c r="KY61" s="17" t="str">
        <f>IFERROR(__xludf.DUMMYFUNCTION("""COMPUTED_VALUE"""),"lãi suất ngân hàng nào cao nhất")</f>
        <v>lãi suất ngân hàng nào cao nhất</v>
      </c>
      <c r="KZ61" s="21" t="str">
        <f>IFERROR(__xludf.DUMMYFUNCTION("""COMPUTED_VALUE"""),"https://techcombank.com/thong-tin/blog/thanh-toan-khi-du-lich-han-quoc")</f>
        <v>https://techcombank.com/thong-tin/blog/thanh-toan-khi-du-lich-han-quoc</v>
      </c>
      <c r="LA61" s="17" t="str">
        <f>IFERROR(__xludf.DUMMYFUNCTION("""COMPUTED_VALUE"""),"lãi suất ngân hàng hiện nay")</f>
        <v>lãi suất ngân hàng hiện nay</v>
      </c>
      <c r="LB61" s="21" t="str">
        <f>IFERROR(__xludf.DUMMYFUNCTION("""COMPUTED_VALUE"""),"https://techcombank.com/thong-tin/blog/co-nen-gui-chung-chi-tien-gui")</f>
        <v>https://techcombank.com/thong-tin/blog/co-nen-gui-chung-chi-tien-gui</v>
      </c>
      <c r="LC61" s="17" t="str">
        <f>IFERROR(__xludf.DUMMYFUNCTION("""COMPUTED_VALUE"""),"lãi suất tiền gửi ngân hàng")</f>
        <v>lãi suất tiền gửi ngân hàng</v>
      </c>
      <c r="LD61" s="21" t="str">
        <f>IFERROR(__xludf.DUMMYFUNCTION("""COMPUTED_VALUE"""),"https://techcombank.com/thong-tin/blog/cashback-the-thanh-toan")</f>
        <v>https://techcombank.com/thong-tin/blog/cashback-the-thanh-toan</v>
      </c>
      <c r="LE61" s="17" t="str">
        <f>IFERROR(__xludf.DUMMYFUNCTION("""COMPUTED_VALUE"""),"lãi suất gửi tiết kiệm ngân hàng")</f>
        <v>lãi suất gửi tiết kiệm ngân hàng</v>
      </c>
      <c r="LF61" s="21" t="str">
        <f>IFERROR(__xludf.DUMMYFUNCTION("""COMPUTED_VALUE"""),"https://techcombank.com/thong-tin/blog/hoc-cach-tiet-kiem-tien-luong")</f>
        <v>https://techcombank.com/thong-tin/blog/hoc-cach-tiet-kiem-tien-luong</v>
      </c>
      <c r="LG61" s="17" t="str">
        <f>IFERROR(__xludf.DUMMYFUNCTION("""COMPUTED_VALUE"""),"lãi suất ngân hàng tiền gửi")</f>
        <v>lãi suất ngân hàng tiền gửi</v>
      </c>
      <c r="LH61" s="21" t="str">
        <f>IFERROR(__xludf.DUMMYFUNCTION("""COMPUTED_VALUE"""),"https://techcombank.com/thong-tin/blog/thanh-toan-khi-du-lich-nhat-ban")</f>
        <v>https://techcombank.com/thong-tin/blog/thanh-toan-khi-du-lich-nhat-ban</v>
      </c>
      <c r="LI61" s="17" t="str">
        <f>IFERROR(__xludf.DUMMYFUNCTION("""COMPUTED_VALUE"""),"lãi suất ngân hàng")</f>
        <v>lãi suất ngân hàng</v>
      </c>
      <c r="LJ61" s="21" t="str">
        <f>IFERROR(__xludf.DUMMYFUNCTION("""COMPUTED_VALUE"""),"https://techcombank.com/thong-tin/blog/gui-tien-sang-nuoc-ngoai")</f>
        <v>https://techcombank.com/thong-tin/blog/gui-tien-sang-nuoc-ngoai</v>
      </c>
      <c r="LK61" s="17" t="str">
        <f>IFERROR(__xludf.DUMMYFUNCTION("""COMPUTED_VALUE"""),"lãi suất ngân hàng hôm nay")</f>
        <v>lãi suất ngân hàng hôm nay</v>
      </c>
      <c r="LL61" s="21" t="str">
        <f>IFERROR(__xludf.DUMMYFUNCTION("""COMPUTED_VALUE"""),"https://techcombank.com/thong-tin/blog/chuyen-tien-tu-han-sang-viet-nam")</f>
        <v>https://techcombank.com/thong-tin/blog/chuyen-tien-tu-han-sang-viet-nam</v>
      </c>
      <c r="LM61" s="17" t="str">
        <f>IFERROR(__xludf.DUMMYFUNCTION("""COMPUTED_VALUE"""),"lãi suất ngân hàng nào cao nhất")</f>
        <v>lãi suất ngân hàng nào cao nhất</v>
      </c>
      <c r="LN61" s="21" t="str">
        <f>IFERROR(__xludf.DUMMYFUNCTION("""COMPUTED_VALUE"""),"https://techcombank.com/thong-tin/blog/cach-tiet-kiem-tien-hieu-qua-cho-gia-dinh")</f>
        <v>https://techcombank.com/thong-tin/blog/cach-tiet-kiem-tien-hieu-qua-cho-gia-dinh</v>
      </c>
      <c r="LO61" s="17" t="str">
        <f>IFERROR(__xludf.DUMMYFUNCTION("""COMPUTED_VALUE"""),"lãi suất ngân hàng hiện nay")</f>
        <v>lãi suất ngân hàng hiện nay</v>
      </c>
      <c r="LP61" s="21" t="str">
        <f>IFERROR(__xludf.DUMMYFUNCTION("""COMPUTED_VALUE"""),"https://techcombank.com/thong-tin/blog/tiet-kiem-khi-di-du-lich")</f>
        <v>https://techcombank.com/thong-tin/blog/tiet-kiem-khi-di-du-lich</v>
      </c>
      <c r="LQ61" s="17" t="str">
        <f>IFERROR(__xludf.DUMMYFUNCTION("""COMPUTED_VALUE"""),"lãi suất tiền gửi ngân hàng")</f>
        <v>lãi suất tiền gửi ngân hàng</v>
      </c>
      <c r="LR61" s="21" t="str">
        <f>IFERROR(__xludf.DUMMYFUNCTION("""COMPUTED_VALUE"""),"https://techcombank.com/thong-tin/blog/uu-dai-the-tin-dung")</f>
        <v>https://techcombank.com/thong-tin/blog/uu-dai-the-tin-dung</v>
      </c>
      <c r="LS61" s="17" t="str">
        <f>IFERROR(__xludf.DUMMYFUNCTION("""COMPUTED_VALUE"""),"lãi suất gửi tiết kiệm ngân hàng")</f>
        <v>lãi suất gửi tiết kiệm ngân hàng</v>
      </c>
      <c r="LT61" s="21" t="str">
        <f>IFERROR(__xludf.DUMMYFUNCTION("""COMPUTED_VALUE"""),"https://techcombank.com/thong-tin/blog/tat-toan-chung-chi-tien-gui")</f>
        <v>https://techcombank.com/thong-tin/blog/tat-toan-chung-chi-tien-gui</v>
      </c>
      <c r="LU61" s="17" t="str">
        <f>IFERROR(__xludf.DUMMYFUNCTION("""COMPUTED_VALUE"""),"lãi suất ngân hàng tiền gửi")</f>
        <v>lãi suất ngân hàng tiền gửi</v>
      </c>
      <c r="LV61" s="21" t="str">
        <f>IFERROR(__xludf.DUMMYFUNCTION("""COMPUTED_VALUE"""),"https://techcombank.com/thong-tin/blog/tai-khoan-ngan-hang-la-gi")</f>
        <v>https://techcombank.com/thong-tin/blog/tai-khoan-ngan-hang-la-gi</v>
      </c>
      <c r="LW61" s="17" t="str">
        <f>IFERROR(__xludf.DUMMYFUNCTION("""COMPUTED_VALUE"""),"lãi suất ngân hàng")</f>
        <v>lãi suất ngân hàng</v>
      </c>
      <c r="LX61" s="21" t="str">
        <f>IFERROR(__xludf.DUMMYFUNCTION("""COMPUTED_VALUE"""),"https://techcombank.com/thong-tin/blog/mo-the-tin-dung-khong-can-chung-minh-thu-nhap")</f>
        <v>https://techcombank.com/thong-tin/blog/mo-the-tin-dung-khong-can-chung-minh-thu-nhap</v>
      </c>
      <c r="LY61" s="17" t="str">
        <f>IFERROR(__xludf.DUMMYFUNCTION("""COMPUTED_VALUE"""),"lãi suất ngân hàng hôm nay")</f>
        <v>lãi suất ngân hàng hôm nay</v>
      </c>
      <c r="LZ61" s="21" t="str">
        <f>IFERROR(__xludf.DUMMYFUNCTION("""COMPUTED_VALUE"""),"https://techcombank.com/thong-tin/blog/tat-toan")</f>
        <v>https://techcombank.com/thong-tin/blog/tat-toan</v>
      </c>
      <c r="MA61" s="17" t="str">
        <f>IFERROR(__xludf.DUMMYFUNCTION("""COMPUTED_VALUE"""),"lãi suất ngân hàng nào cao nhất")</f>
        <v>lãi suất ngân hàng nào cao nhất</v>
      </c>
      <c r="MB61" s="21" t="str">
        <f>IFERROR(__xludf.DUMMYFUNCTION("""COMPUTED_VALUE"""),"https://techcombank.com/thong-tin/blog/chuyen-tien-di-uc")</f>
        <v>https://techcombank.com/thong-tin/blog/chuyen-tien-di-uc</v>
      </c>
      <c r="MC61" s="17" t="str">
        <f>IFERROR(__xludf.DUMMYFUNCTION("""COMPUTED_VALUE"""),"lãi suất ngân hàng hiện nay")</f>
        <v>lãi suất ngân hàng hiện nay</v>
      </c>
      <c r="MD61" s="21" t="str">
        <f>IFERROR(__xludf.DUMMYFUNCTION("""COMPUTED_VALUE"""),"https://techcombank.com/thong-tin/blog/chuyen-tien-tu-nhat-ve-viet-nam")</f>
        <v>https://techcombank.com/thong-tin/blog/chuyen-tien-tu-nhat-ve-viet-nam</v>
      </c>
      <c r="ME61" s="17" t="str">
        <f>IFERROR(__xludf.DUMMYFUNCTION("""COMPUTED_VALUE"""),"lãi suất tiền gửi ngân hàng")</f>
        <v>lãi suất tiền gửi ngân hàng</v>
      </c>
      <c r="MF61" s="21" t="str">
        <f>IFERROR(__xludf.DUMMYFUNCTION("""COMPUTED_VALUE"""),"https://techcombank.com/thong-tin/blog/gui-tien-du-hoc")</f>
        <v>https://techcombank.com/thong-tin/blog/gui-tien-du-hoc</v>
      </c>
      <c r="MG61" s="17" t="str">
        <f>IFERROR(__xludf.DUMMYFUNCTION("""COMPUTED_VALUE"""),"lãi suất gửi tiết kiệm ngân hàng")</f>
        <v>lãi suất gửi tiết kiệm ngân hàng</v>
      </c>
      <c r="MH61" s="21" t="str">
        <f>IFERROR(__xludf.DUMMYFUNCTION("""COMPUTED_VALUE"""),"https://techcombank.com/thong-tin/blog/nguyen-tac-quan-ly-tai-chinh-ca-nhan")</f>
        <v>https://techcombank.com/thong-tin/blog/nguyen-tac-quan-ly-tai-chinh-ca-nhan</v>
      </c>
      <c r="MI61" s="17" t="str">
        <f>IFERROR(__xludf.DUMMYFUNCTION("""COMPUTED_VALUE"""),"lãi suất ngân hàng tiền gửi")</f>
        <v>lãi suất ngân hàng tiền gửi</v>
      </c>
      <c r="MJ61" s="21" t="str">
        <f>IFERROR(__xludf.DUMMYFUNCTION("""COMPUTED_VALUE"""),"https://techcombank.com/thong-tin/blog/5-trieu-mua-duoc-bao-nhieu-vang")</f>
        <v>https://techcombank.com/thong-tin/blog/5-trieu-mua-duoc-bao-nhieu-vang</v>
      </c>
      <c r="MK61" s="17" t="str">
        <f>IFERROR(__xludf.DUMMYFUNCTION("""COMPUTED_VALUE"""),"lãi suất ngân hàng")</f>
        <v>lãi suất ngân hàng</v>
      </c>
      <c r="ML61" s="21" t="str">
        <f>IFERROR(__xludf.DUMMYFUNCTION("""COMPUTED_VALUE"""),"https://techcombank.com/thong-tin/blog/quan-ly-tai-chinh-doanh-nghiep-nho")</f>
        <v>https://techcombank.com/thong-tin/blog/quan-ly-tai-chinh-doanh-nghiep-nho</v>
      </c>
      <c r="MM61" s="17" t="str">
        <f>IFERROR(__xludf.DUMMYFUNCTION("""COMPUTED_VALUE"""),"lãi suất ngân hàng hôm nay")</f>
        <v>lãi suất ngân hàng hôm nay</v>
      </c>
      <c r="MN61" s="21" t="str">
        <f>IFERROR(__xludf.DUMMYFUNCTION("""COMPUTED_VALUE"""),"https://techcombank.com/thong-tin/blog/tai-san-va-tieu-san-la-gi")</f>
        <v>https://techcombank.com/thong-tin/blog/tai-san-va-tieu-san-la-gi</v>
      </c>
      <c r="MO61" s="17" t="str">
        <f>IFERROR(__xludf.DUMMYFUNCTION("""COMPUTED_VALUE"""),"lãi suất ngân hàng nào cao nhất")</f>
        <v>lãi suất ngân hàng nào cao nhất</v>
      </c>
      <c r="MP61" s="21" t="str">
        <f>IFERROR(__xludf.DUMMYFUNCTION("""COMPUTED_VALUE"""),"https://techcombank.com/thong-tin/blog/lap-ke-hoach-tai-chinh-ca-nhan")</f>
        <v>https://techcombank.com/thong-tin/blog/lap-ke-hoach-tai-chinh-ca-nhan</v>
      </c>
      <c r="MQ61" s="17" t="str">
        <f>IFERROR(__xludf.DUMMYFUNCTION("""COMPUTED_VALUE"""),"lãi suất ngân hàng hiện nay")</f>
        <v>lãi suất ngân hàng hiện nay</v>
      </c>
      <c r="MR61" s="21" t="str">
        <f>IFERROR(__xludf.DUMMYFUNCTION("""COMPUTED_VALUE"""),"https://techcombank.com/thong-tin/blog/cac-chung-chi-quy-o-viet-nam")</f>
        <v>https://techcombank.com/thong-tin/blog/cac-chung-chi-quy-o-viet-nam</v>
      </c>
      <c r="MS61" s="17" t="str">
        <f>IFERROR(__xludf.DUMMYFUNCTION("""COMPUTED_VALUE"""),"lãi suất tiền gửi ngân hàng")</f>
        <v>lãi suất tiền gửi ngân hàng</v>
      </c>
      <c r="MT61" s="21" t="str">
        <f>IFERROR(__xludf.DUMMYFUNCTION("""COMPUTED_VALUE"""),"https://techcombank.com/thong-tin/blog/dau-tu-quy-mo")</f>
        <v>https://techcombank.com/thong-tin/blog/dau-tu-quy-mo</v>
      </c>
      <c r="MU61" s="17" t="str">
        <f>IFERROR(__xludf.DUMMYFUNCTION("""COMPUTED_VALUE"""),"lãi suất gửi tiết kiệm ngân hàng")</f>
        <v>lãi suất gửi tiết kiệm ngân hàng</v>
      </c>
      <c r="MV61" s="21" t="str">
        <f>IFERROR(__xludf.DUMMYFUNCTION("""COMPUTED_VALUE"""),"https://techcombank.com/thong-tin/blog/6-chiec-lo-tai-chinh-ca-nhan")</f>
        <v>https://techcombank.com/thong-tin/blog/6-chiec-lo-tai-chinh-ca-nhan</v>
      </c>
      <c r="MW61" s="17" t="str">
        <f>IFERROR(__xludf.DUMMYFUNCTION("""COMPUTED_VALUE"""),"lãi suất ngân hàng tiền gửi")</f>
        <v>lãi suất ngân hàng tiền gửi</v>
      </c>
      <c r="MX61" s="21" t="str">
        <f>IFERROR(__xludf.DUMMYFUNCTION("""COMPUTED_VALUE"""),"https://techcombank.com/thong-tin/blog/hu-chi-tieu")</f>
        <v>https://techcombank.com/thong-tin/blog/hu-chi-tieu</v>
      </c>
      <c r="MY61" s="17" t="str">
        <f>IFERROR(__xludf.DUMMYFUNCTION("""COMPUTED_VALUE"""),"lãi suất ngân hàng")</f>
        <v>lãi suất ngân hàng</v>
      </c>
      <c r="MZ61" s="21" t="str">
        <f>IFERROR(__xludf.DUMMYFUNCTION("""COMPUTED_VALUE"""),"https://techcombank.com/thong-tin/blog/cach-quan-ly-tai-san")</f>
        <v>https://techcombank.com/thong-tin/blog/cach-quan-ly-tai-san</v>
      </c>
      <c r="NA61" s="17" t="str">
        <f>IFERROR(__xludf.DUMMYFUNCTION("""COMPUTED_VALUE"""),"lãi suất ngân hàng hôm nay")</f>
        <v>lãi suất ngân hàng hôm nay</v>
      </c>
      <c r="NB61" s="21" t="str">
        <f>IFERROR(__xludf.DUMMYFUNCTION("""COMPUTED_VALUE"""),"https://techcombank.com/thong-tin/blog/npv-la-gi")</f>
        <v>https://techcombank.com/thong-tin/blog/npv-la-gi</v>
      </c>
      <c r="NC61" s="17" t="str">
        <f>IFERROR(__xludf.DUMMYFUNCTION("""COMPUTED_VALUE"""),"lãi suất ngân hàng nào cao nhất")</f>
        <v>lãi suất ngân hàng nào cao nhất</v>
      </c>
      <c r="ND61" s="21" t="str">
        <f>IFERROR(__xludf.DUMMYFUNCTION("""COMPUTED_VALUE"""),"https://techcombank.com/thong-tin/blog/chung-chi-tien-gui-co-duoc-bao-hiem-khong")</f>
        <v>https://techcombank.com/thong-tin/blog/chung-chi-tien-gui-co-duoc-bao-hiem-khong</v>
      </c>
      <c r="NE61" s="17" t="str">
        <f>IFERROR(__xludf.DUMMYFUNCTION("""COMPUTED_VALUE"""),"lãi suất ngân hàng hiện nay")</f>
        <v>lãi suất ngân hàng hiện nay</v>
      </c>
      <c r="NF61" s="21" t="str">
        <f>IFERROR(__xludf.DUMMYFUNCTION("""COMPUTED_VALUE"""),"https://techcombank.com/thong-tin/blog/chuyen-nhuong-chung-chi-tien-gui")</f>
        <v>https://techcombank.com/thong-tin/blog/chuyen-nhuong-chung-chi-tien-gui</v>
      </c>
      <c r="NG61" s="17" t="str">
        <f>IFERROR(__xludf.DUMMYFUNCTION("""COMPUTED_VALUE"""),"lãi suất tiền gửi ngân hàng")</f>
        <v>lãi suất tiền gửi ngân hàng</v>
      </c>
      <c r="NH61" s="21" t="str">
        <f>IFERROR(__xludf.DUMMYFUNCTION("""COMPUTED_VALUE"""),"https://techcombank.com/thong-tin/blog/chung-chi-tien-gui-co-phai-la-trai-phieu-khong")</f>
        <v>https://techcombank.com/thong-tin/blog/chung-chi-tien-gui-co-phai-la-trai-phieu-khong</v>
      </c>
      <c r="NI61" s="17" t="str">
        <f>IFERROR(__xludf.DUMMYFUNCTION("""COMPUTED_VALUE"""),"lãi suất gửi tiết kiệm ngân hàng")</f>
        <v>lãi suất gửi tiết kiệm ngân hàng</v>
      </c>
      <c r="NJ61" s="21" t="str">
        <f>IFERROR(__xludf.DUMMYFUNCTION("""COMPUTED_VALUE"""),"https://techcombank.com/thong-tin/blog/thi-truong-trai-phieu-am-tro-lai-nha-dau-tu-san-sang-cho-nhung-co-hoi-sinh-loi-moi")</f>
        <v>https://techcombank.com/thong-tin/blog/thi-truong-trai-phieu-am-tro-lai-nha-dau-tu-san-sang-cho-nhung-co-hoi-sinh-loi-moi</v>
      </c>
      <c r="NK61" s="17" t="str">
        <f>IFERROR(__xludf.DUMMYFUNCTION("""COMPUTED_VALUE"""),"lãi suất ngân hàng tiền gửi")</f>
        <v>lãi suất ngân hàng tiền gửi</v>
      </c>
      <c r="NL61" s="21" t="str">
        <f>IFERROR(__xludf.DUMMYFUNCTION("""COMPUTED_VALUE"""),"https://techcombank.com/thong-tin/blog/tinh-thanh-khoan-la-gi")</f>
        <v>https://techcombank.com/thong-tin/blog/tinh-thanh-khoan-la-gi</v>
      </c>
      <c r="NM61" s="17" t="str">
        <f>IFERROR(__xludf.DUMMYFUNCTION("""COMPUTED_VALUE"""),"lãi suất ngân hàng")</f>
        <v>lãi suất ngân hàng</v>
      </c>
      <c r="NN61" s="21" t="str">
        <f>IFERROR(__xludf.DUMMYFUNCTION("""COMPUTED_VALUE"""),"https://techcombank.com/thong-tin/blog/kinh-nghiem-mua-vang-tich-tru")</f>
        <v>https://techcombank.com/thong-tin/blog/kinh-nghiem-mua-vang-tich-tru</v>
      </c>
      <c r="NO61" s="17" t="str">
        <f>IFERROR(__xludf.DUMMYFUNCTION("""COMPUTED_VALUE"""),"lãi suất ngân hàng hôm nay")</f>
        <v>lãi suất ngân hàng hôm nay</v>
      </c>
      <c r="NP61" s="21" t="str">
        <f>IFERROR(__xludf.DUMMYFUNCTION("""COMPUTED_VALUE"""),"https://techcombank.com/thong-tin/blog/mo-tai-khoan-ngan-hang-cho-tre-em")</f>
        <v>https://techcombank.com/thong-tin/blog/mo-tai-khoan-ngan-hang-cho-tre-em</v>
      </c>
      <c r="NQ61" s="17" t="str">
        <f>IFERROR(__xludf.DUMMYFUNCTION("""COMPUTED_VALUE"""),"lãi suất ngân hàng nào cao nhất")</f>
        <v>lãi suất ngân hàng nào cao nhất</v>
      </c>
      <c r="NR61" s="21" t="str">
        <f>IFERROR(__xludf.DUMMYFUNCTION("""COMPUTED_VALUE"""),"https://techcombank.com/thong-tin/blog/danh-muc-dau-tu")</f>
        <v>https://techcombank.com/thong-tin/blog/danh-muc-dau-tu</v>
      </c>
      <c r="NS61" s="17" t="str">
        <f>IFERROR(__xludf.DUMMYFUNCTION("""COMPUTED_VALUE"""),"lãi suất ngân hàng hiện nay")</f>
        <v>lãi suất ngân hàng hiện nay</v>
      </c>
      <c r="NT61" s="21" t="str">
        <f>IFERROR(__xludf.DUMMYFUNCTION("""COMPUTED_VALUE"""),"https://techcombank.com/thong-tin/blog/vay-tin-chap-theo-luong")</f>
        <v>https://techcombank.com/thong-tin/blog/vay-tin-chap-theo-luong</v>
      </c>
      <c r="NU61" s="17" t="str">
        <f>IFERROR(__xludf.DUMMYFUNCTION("""COMPUTED_VALUE"""),"lãi suất tiền gửi ngân hàng")</f>
        <v>lãi suất tiền gửi ngân hàng</v>
      </c>
      <c r="NV61" s="21" t="str">
        <f>IFERROR(__xludf.DUMMYFUNCTION("""COMPUTED_VALUE"""),"https://techcombank.com/thong-tin/blog/cach-tinh-loi-nhuan-chung-chi-tien-gui")</f>
        <v>https://techcombank.com/thong-tin/blog/cach-tinh-loi-nhuan-chung-chi-tien-gui</v>
      </c>
      <c r="NW61" s="17" t="str">
        <f>IFERROR(__xludf.DUMMYFUNCTION("""COMPUTED_VALUE"""),"lãi suất gửi tiết kiệm ngân hàng")</f>
        <v>lãi suất gửi tiết kiệm ngân hàng</v>
      </c>
      <c r="NX61" s="21" t="str">
        <f>IFERROR(__xludf.DUMMYFUNCTION("""COMPUTED_VALUE"""),"https://techcombank.com/thong-tin/blog/rut-tien-bao-hiem-nhan-tho-khi-het-han")</f>
        <v>https://techcombank.com/thong-tin/blog/rut-tien-bao-hiem-nhan-tho-khi-het-han</v>
      </c>
      <c r="NY61" s="17" t="str">
        <f>IFERROR(__xludf.DUMMYFUNCTION("""COMPUTED_VALUE"""),"lãi suất ngân hàng tiền gửi")</f>
        <v>lãi suất ngân hàng tiền gửi</v>
      </c>
      <c r="NZ61" s="21" t="str">
        <f>IFERROR(__xludf.DUMMYFUNCTION("""COMPUTED_VALUE"""),"https://techcombank.com/thong-tin/blog/ho-kinh-doanh-can-gi-o-tai-khoan-ngan-hang")</f>
        <v>https://techcombank.com/thong-tin/blog/ho-kinh-doanh-can-gi-o-tai-khoan-ngan-hang</v>
      </c>
      <c r="OA61" s="17" t="str">
        <f>IFERROR(__xludf.DUMMYFUNCTION("""COMPUTED_VALUE"""),"lãi suất ngân hàng")</f>
        <v>lãi suất ngân hàng</v>
      </c>
      <c r="OB61" s="21" t="str">
        <f>IFERROR(__xludf.DUMMYFUNCTION("""COMPUTED_VALUE"""),"https://techcombank.com/thong-tin/blog/du-no-tin-dung-la-gi")</f>
        <v>https://techcombank.com/thong-tin/blog/du-no-tin-dung-la-gi</v>
      </c>
      <c r="OC61" s="17" t="str">
        <f>IFERROR(__xludf.DUMMYFUNCTION("""COMPUTED_VALUE"""),"lãi suất ngân hàng hôm nay")</f>
        <v>lãi suất ngân hàng hôm nay</v>
      </c>
      <c r="OD61" s="21" t="str">
        <f>IFERROR(__xludf.DUMMYFUNCTION("""COMPUTED_VALUE"""),"https://techcombank.com/thong-tin/blog/bao-hiem-lien-ket-dau-tu")</f>
        <v>https://techcombank.com/thong-tin/blog/bao-hiem-lien-ket-dau-tu</v>
      </c>
      <c r="OE61" s="17" t="str">
        <f>IFERROR(__xludf.DUMMYFUNCTION("""COMPUTED_VALUE"""),"lãi suất ngân hàng nào cao nhất")</f>
        <v>lãi suất ngân hàng nào cao nhất</v>
      </c>
      <c r="OF61" s="21" t="str">
        <f>IFERROR(__xludf.DUMMYFUNCTION("""COMPUTED_VALUE"""),"https://techcombank.com/thong-tin/blog/anh-sang-cuoi-duong-ham-xuat-hien-trai-phieu-doanh-nghiep-tot-va-an-toan-se-duoc-nha-dau-tu-chon")</f>
        <v>https://techcombank.com/thong-tin/blog/anh-sang-cuoi-duong-ham-xuat-hien-trai-phieu-doanh-nghiep-tot-va-an-toan-se-duoc-nha-dau-tu-chon</v>
      </c>
      <c r="OG61" s="17" t="str">
        <f>IFERROR(__xludf.DUMMYFUNCTION("""COMPUTED_VALUE"""),"lãi suất ngân hàng hiện nay")</f>
        <v>lãi suất ngân hàng hiện nay</v>
      </c>
      <c r="OH61" s="21" t="str">
        <f>IFERROR(__xludf.DUMMYFUNCTION("""COMPUTED_VALUE"""),"https://techcombank.com/thong-tin/blog/vang-giam")</f>
        <v>https://techcombank.com/thong-tin/blog/vang-giam</v>
      </c>
      <c r="OI61" s="17" t="str">
        <f>IFERROR(__xludf.DUMMYFUNCTION("""COMPUTED_VALUE"""),"lãi suất tiền gửi ngân hàng")</f>
        <v>lãi suất tiền gửi ngân hàng</v>
      </c>
      <c r="OJ61" s="21" t="str">
        <f>IFERROR(__xludf.DUMMYFUNCTION("""COMPUTED_VALUE"""),"https://techcombank.com/thong-tin/blog/chung-chi-quy-dong")</f>
        <v>https://techcombank.com/thong-tin/blog/chung-chi-quy-dong</v>
      </c>
      <c r="OK61" s="17" t="str">
        <f>IFERROR(__xludf.DUMMYFUNCTION("""COMPUTED_VALUE"""),"lãi suất gửi tiết kiệm ngân hàng")</f>
        <v>lãi suất gửi tiết kiệm ngân hàng</v>
      </c>
      <c r="OL61" s="21" t="str">
        <f>IFERROR(__xludf.DUMMYFUNCTION("""COMPUTED_VALUE"""),"https://techcombank.com/thong-tin/blog/bang-can-doi-tai-chinh")</f>
        <v>https://techcombank.com/thong-tin/blog/bang-can-doi-tai-chinh</v>
      </c>
      <c r="OM61" s="17" t="str">
        <f>IFERROR(__xludf.DUMMYFUNCTION("""COMPUTED_VALUE"""),"lãi suất ngân hàng tiền gửi")</f>
        <v>lãi suất ngân hàng tiền gửi</v>
      </c>
      <c r="ON61" s="21" t="str">
        <f>IFERROR(__xludf.DUMMYFUNCTION("""COMPUTED_VALUE"""),"https://techcombank.com/thong-tin/blog/bao-hiem-sinh-ky-la-gi")</f>
        <v>https://techcombank.com/thong-tin/blog/bao-hiem-sinh-ky-la-gi</v>
      </c>
      <c r="OO61" s="17" t="str">
        <f>IFERROR(__xludf.DUMMYFUNCTION("""COMPUTED_VALUE"""),"lãi suất ngân hàng")</f>
        <v>lãi suất ngân hàng</v>
      </c>
      <c r="OP61" s="21" t="str">
        <f>IFERROR(__xludf.DUMMYFUNCTION("""COMPUTED_VALUE"""),"https://techcombank.com/thong-tin/blog/ly-do-ngan-hang-so-tro-thanh-cong-cu-tai-chinh-hang-dau-cua-gioi-tre")</f>
        <v>https://techcombank.com/thong-tin/blog/ly-do-ngan-hang-so-tro-thanh-cong-cu-tai-chinh-hang-dau-cua-gioi-tre</v>
      </c>
      <c r="OQ61" s="17" t="str">
        <f>IFERROR(__xludf.DUMMYFUNCTION("""COMPUTED_VALUE"""),"lãi suất ngân hàng hôm nay")</f>
        <v>lãi suất ngân hàng hôm nay</v>
      </c>
      <c r="OR61" s="21" t="str">
        <f>IFERROR(__xludf.DUMMYFUNCTION("""COMPUTED_VALUE"""),"https://techcombank.com/thong-tin/blog/ngan-hang-xanh")</f>
        <v>https://techcombank.com/thong-tin/blog/ngan-hang-xanh</v>
      </c>
      <c r="OS61" s="17" t="str">
        <f>IFERROR(__xludf.DUMMYFUNCTION("""COMPUTED_VALUE"""),"lãi suất ngân hàng nào cao nhất")</f>
        <v>lãi suất ngân hàng nào cao nhất</v>
      </c>
      <c r="OT61" s="21" t="str">
        <f>IFERROR(__xludf.DUMMYFUNCTION("""COMPUTED_VALUE"""),"https://techcombank.com/thong-tin/blog/chung-chi-quy-mo-va-dong")</f>
        <v>https://techcombank.com/thong-tin/blog/chung-chi-quy-mo-va-dong</v>
      </c>
      <c r="OU61" s="17" t="str">
        <f>IFERROR(__xludf.DUMMYFUNCTION("""COMPUTED_VALUE"""),"lãi suất ngân hàng hiện nay")</f>
        <v>lãi suất ngân hàng hiện nay</v>
      </c>
      <c r="OV61" s="21" t="str">
        <f>IFERROR(__xludf.DUMMYFUNCTION("""COMPUTED_VALUE"""),"https://techcombank.com/thong-tin/blog/bi-quyet-lua-chon-trai-phieu-an-toan-cho-nha-dau-tu")</f>
        <v>https://techcombank.com/thong-tin/blog/bi-quyet-lua-chon-trai-phieu-an-toan-cho-nha-dau-tu</v>
      </c>
    </row>
    <row r="62" ht="18.0" customHeight="1">
      <c r="A62" s="16">
        <v>61.0</v>
      </c>
      <c r="B62" s="17" t="s">
        <v>1717</v>
      </c>
      <c r="C62" s="18" t="s">
        <v>1739</v>
      </c>
      <c r="D62" s="17" t="s">
        <v>595</v>
      </c>
      <c r="E62" s="16">
        <v>150.0</v>
      </c>
      <c r="F62" s="16">
        <f>COUNTIF('Tổng hợp 75 trang đích'!$B$2:$B$3400,$D62)</f>
        <v>150</v>
      </c>
      <c r="G62" s="16">
        <f>COUNTIFS('Tổng hợp 75 trang đích'!$B$2:$B$3400,$D62,'Tổng hợp 75 trang đích'!$K$2:$K$3400,"PHÙ HỢP CAO")</f>
        <v>3</v>
      </c>
      <c r="H62" s="16">
        <f>COUNTIFS('Tổng hợp 75 trang đích'!$B$2:$B$3400,$D62,'Tổng hợp 75 trang đích'!$K$2:$K$3400,"CÓ THỂ ĐI")</f>
        <v>2</v>
      </c>
      <c r="I62" s="16">
        <f>COUNTIFS('Tổng hợp 75 trang đích'!$B$2:$B$3400,$D62,'Tổng hợp 75 trang đích'!$K$2:$K$3400,"CẦN SOÁT")</f>
        <v>145</v>
      </c>
      <c r="J62" s="19" t="s">
        <v>555</v>
      </c>
      <c r="K62" s="19" t="b">
        <v>0</v>
      </c>
      <c r="L62" s="20" t="s">
        <v>333</v>
      </c>
      <c r="M62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đích'!$B$2:$B$3400=$D62),3,TR"&amp;"UE),1,2)),"""")"),"cách tính lãi suất tiết kiệm ngân hàng")</f>
        <v>cách tính lãi suất tiết kiệm ngân hàng</v>
      </c>
      <c r="N62" s="21" t="str">
        <f>IFERROR(__xludf.DUMMYFUNCTION("""COMPUTED_VALUE"""),"https://techcombank.com/thong-tin/blog/lai-kep-ngan-hang")</f>
        <v>https://techcombank.com/thong-tin/blog/lai-kep-ngan-hang</v>
      </c>
      <c r="O62" s="17" t="str">
        <f>IFERROR(__xludf.DUMMYFUNCTION("""COMPUTED_VALUE"""),"cách tính lãi suất ngân hàng")</f>
        <v>cách tính lãi suất ngân hàng</v>
      </c>
      <c r="P62" s="21" t="str">
        <f>IFERROR(__xludf.DUMMYFUNCTION("""COMPUTED_VALUE"""),"https://techcombank.com/thong-tin/blog/gui-tiet-kiem-lay-lai-hang-thang")</f>
        <v>https://techcombank.com/thong-tin/blog/gui-tiet-kiem-lay-lai-hang-thang</v>
      </c>
      <c r="Q62" s="17" t="str">
        <f>IFERROR(__xludf.DUMMYFUNCTION("""COMPUTED_VALUE"""),"tính lãi suất ngân hàng")</f>
        <v>tính lãi suất ngân hàng</v>
      </c>
      <c r="R62" s="21" t="str">
        <f>IFERROR(__xludf.DUMMYFUNCTION("""COMPUTED_VALUE"""),"https://techcombank.com/thong-tin/blog/gui-tiet-kiem-hang-thang")</f>
        <v>https://techcombank.com/thong-tin/blog/gui-tiet-kiem-hang-thang</v>
      </c>
      <c r="S62" s="17" t="str">
        <f>IFERROR(__xludf.DUMMYFUNCTION("""COMPUTED_VALUE"""),"tính lãi suất tiết kiệm")</f>
        <v>tính lãi suất tiết kiệm</v>
      </c>
      <c r="T62" s="21" t="str">
        <f>IFERROR(__xludf.DUMMYFUNCTION("""COMPUTED_VALUE"""),"https://techcombank.com/thong-tin/blog/tien-gui-khong-ky-han")</f>
        <v>https://techcombank.com/thong-tin/blog/tien-gui-khong-ky-han</v>
      </c>
      <c r="U62" s="17" t="str">
        <f>IFERROR(__xludf.DUMMYFUNCTION("""COMPUTED_VALUE"""),"cách tính lãi suất tiết kiệm ngân hàng")</f>
        <v>cách tính lãi suất tiết kiệm ngân hàng</v>
      </c>
      <c r="V62" s="21" t="str">
        <f>IFERROR(__xludf.DUMMYFUNCTION("""COMPUTED_VALUE"""),"https://techcombank.com/thong-tin/blog/dao-han-la-gi")</f>
        <v>https://techcombank.com/thong-tin/blog/dao-han-la-gi</v>
      </c>
      <c r="W62" s="17" t="str">
        <f>IFERROR(__xludf.DUMMYFUNCTION("""COMPUTED_VALUE"""),"cách tính lãi suất ngân hàng")</f>
        <v>cách tính lãi suất ngân hàng</v>
      </c>
      <c r="X62" s="21" t="str">
        <f>IFERROR(__xludf.DUMMYFUNCTION("""COMPUTED_VALUE"""),"https://techcombank.com/thong-tin/blog/lai-suat-vay-kinh-doanh")</f>
        <v>https://techcombank.com/thong-tin/blog/lai-suat-vay-kinh-doanh</v>
      </c>
      <c r="Y62" s="17" t="str">
        <f>IFERROR(__xludf.DUMMYFUNCTION("""COMPUTED_VALUE"""),"tính lãi suất ngân hàng")</f>
        <v>tính lãi suất ngân hàng</v>
      </c>
      <c r="Z62" s="21" t="str">
        <f>IFERROR(__xludf.DUMMYFUNCTION("""COMPUTED_VALUE"""),"https://techcombank.com/thong-tin/blog/cong-thuc-tinh-lai-suat-thuc")</f>
        <v>https://techcombank.com/thong-tin/blog/cong-thuc-tinh-lai-suat-thuc</v>
      </c>
      <c r="AA62" s="17" t="str">
        <f>IFERROR(__xludf.DUMMYFUNCTION("""COMPUTED_VALUE"""),"tính lãi suất tiết kiệm")</f>
        <v>tính lãi suất tiết kiệm</v>
      </c>
      <c r="AB62" s="21" t="str">
        <f>IFERROR(__xludf.DUMMYFUNCTION("""COMPUTED_VALUE"""),"https://techcombank.com/thong-tin/blog/quy-trinh-gui-tien-tiet-kiem")</f>
        <v>https://techcombank.com/thong-tin/blog/quy-trinh-gui-tien-tiet-kiem</v>
      </c>
      <c r="AC62" s="17" t="str">
        <f>IFERROR(__xludf.DUMMYFUNCTION("""COMPUTED_VALUE"""),"cách tính lãi suất tiết kiệm ngân hàng")</f>
        <v>cách tính lãi suất tiết kiệm ngân hàng</v>
      </c>
      <c r="AD62" s="21" t="str">
        <f>IFERROR(__xludf.DUMMYFUNCTION("""COMPUTED_VALUE"""),"https://techcombank.com/thong-tin/blog/gui-tiet-kiem-theo-ngay")</f>
        <v>https://techcombank.com/thong-tin/blog/gui-tiet-kiem-theo-ngay</v>
      </c>
      <c r="AE62" s="17" t="str">
        <f>IFERROR(__xludf.DUMMYFUNCTION("""COMPUTED_VALUE"""),"cách tính lãi suất ngân hàng")</f>
        <v>cách tính lãi suất ngân hàng</v>
      </c>
      <c r="AF62" s="21" t="str">
        <f>IFERROR(__xludf.DUMMYFUNCTION("""COMPUTED_VALUE"""),"https://techcombank.com/thong-tin/blog/gui-tiet-kiem-vang")</f>
        <v>https://techcombank.com/thong-tin/blog/gui-tiet-kiem-vang</v>
      </c>
      <c r="AG62" s="17" t="str">
        <f>IFERROR(__xludf.DUMMYFUNCTION("""COMPUTED_VALUE"""),"tính lãi suất ngân hàng")</f>
        <v>tính lãi suất ngân hàng</v>
      </c>
      <c r="AH62" s="21" t="str">
        <f>IFERROR(__xludf.DUMMYFUNCTION("""COMPUTED_VALUE"""),"https://techcombank.com/thong-tin/blog/nen-gui-tiet-kiem-thong-thuong-hay-tich-luy")</f>
        <v>https://techcombank.com/thong-tin/blog/nen-gui-tiet-kiem-thong-thuong-hay-tich-luy</v>
      </c>
      <c r="AI62" s="17" t="str">
        <f>IFERROR(__xludf.DUMMYFUNCTION("""COMPUTED_VALUE"""),"tính lãi suất tiết kiệm")</f>
        <v>tính lãi suất tiết kiệm</v>
      </c>
      <c r="AJ62" s="21" t="str">
        <f>IFERROR(__xludf.DUMMYFUNCTION("""COMPUTED_VALUE"""),"https://techcombank.com/thong-tin/blog/tai-sao-gui-tiet-kiem-online-lai-suat-cao-hon")</f>
        <v>https://techcombank.com/thong-tin/blog/tai-sao-gui-tiet-kiem-online-lai-suat-cao-hon</v>
      </c>
      <c r="AK62" s="17" t="str">
        <f>IFERROR(__xludf.DUMMYFUNCTION("""COMPUTED_VALUE"""),"cách tính lãi suất tiết kiệm ngân hàng")</f>
        <v>cách tính lãi suất tiết kiệm ngân hàng</v>
      </c>
      <c r="AL62" s="21" t="str">
        <f>IFERROR(__xludf.DUMMYFUNCTION("""COMPUTED_VALUE"""),"https://techcombank.com/thong-tin/blog/rui-ro-khi-vay-the-chap-ngan-hang")</f>
        <v>https://techcombank.com/thong-tin/blog/rui-ro-khi-vay-the-chap-ngan-hang</v>
      </c>
      <c r="AM62" s="17" t="str">
        <f>IFERROR(__xludf.DUMMYFUNCTION("""COMPUTED_VALUE"""),"cách tính lãi suất ngân hàng")</f>
        <v>cách tính lãi suất ngân hàng</v>
      </c>
      <c r="AN62" s="21" t="str">
        <f>IFERROR(__xludf.DUMMYFUNCTION("""COMPUTED_VALUE"""),"https://techcombank.com/thong-tin/blog/nen-de-tien-trong-the-hay-gui-tiet-kiem")</f>
        <v>https://techcombank.com/thong-tin/blog/nen-de-tien-trong-the-hay-gui-tiet-kiem</v>
      </c>
      <c r="AO62" s="17" t="str">
        <f>IFERROR(__xludf.DUMMYFUNCTION("""COMPUTED_VALUE"""),"tính lãi suất ngân hàng")</f>
        <v>tính lãi suất ngân hàng</v>
      </c>
      <c r="AP62" s="21" t="str">
        <f>IFERROR(__xludf.DUMMYFUNCTION("""COMPUTED_VALUE"""),"https://techcombank.com/thong-tin/blog/lai-suat-vay-thau-chi")</f>
        <v>https://techcombank.com/thong-tin/blog/lai-suat-vay-thau-chi</v>
      </c>
      <c r="AQ62" s="17" t="str">
        <f>IFERROR(__xludf.DUMMYFUNCTION("""COMPUTED_VALUE"""),"tính lãi suất tiết kiệm")</f>
        <v>tính lãi suất tiết kiệm</v>
      </c>
      <c r="AR62" s="21" t="str">
        <f>IFERROR(__xludf.DUMMYFUNCTION("""COMPUTED_VALUE"""),"https://techcombank.com/thong-tin/blog/qua-han-thanh-toan-the-tin-dung-1-ngay")</f>
        <v>https://techcombank.com/thong-tin/blog/qua-han-thanh-toan-the-tin-dung-1-ngay</v>
      </c>
      <c r="AS62" s="17" t="str">
        <f>IFERROR(__xludf.DUMMYFUNCTION("""COMPUTED_VALUE"""),"cách tính lãi suất tiết kiệm ngân hàng")</f>
        <v>cách tính lãi suất tiết kiệm ngân hàng</v>
      </c>
      <c r="AT62" s="21" t="str">
        <f>IFERROR(__xludf.DUMMYFUNCTION("""COMPUTED_VALUE"""),"https://techcombank.com/thong-tin/blog/co-nen-gui-tiet-kiem-ngan-hang")</f>
        <v>https://techcombank.com/thong-tin/blog/co-nen-gui-tiet-kiem-ngan-hang</v>
      </c>
      <c r="AU62" s="17" t="str">
        <f>IFERROR(__xludf.DUMMYFUNCTION("""COMPUTED_VALUE"""),"cách tính lãi suất ngân hàng")</f>
        <v>cách tính lãi suất ngân hàng</v>
      </c>
      <c r="AV62" s="21" t="str">
        <f>IFERROR(__xludf.DUMMYFUNCTION("""COMPUTED_VALUE"""),"https://techcombank.com/thong-tin/blog/lai-suat-tiet-kiem")</f>
        <v>https://techcombank.com/thong-tin/blog/lai-suat-tiet-kiem</v>
      </c>
      <c r="AW62" s="17" t="str">
        <f>IFERROR(__xludf.DUMMYFUNCTION("""COMPUTED_VALUE"""),"tính lãi suất ngân hàng")</f>
        <v>tính lãi suất ngân hàng</v>
      </c>
      <c r="AX62" s="21" t="str">
        <f>IFERROR(__xludf.DUMMYFUNCTION("""COMPUTED_VALUE"""),"https://techcombank.com/thong-tin/blog/co-nen-gui-tiet-kiem-online")</f>
        <v>https://techcombank.com/thong-tin/blog/co-nen-gui-tiet-kiem-online</v>
      </c>
      <c r="AY62" s="17" t="str">
        <f>IFERROR(__xludf.DUMMYFUNCTION("""COMPUTED_VALUE"""),"tính lãi suất tiết kiệm")</f>
        <v>tính lãi suất tiết kiệm</v>
      </c>
      <c r="AZ62" s="21" t="str">
        <f>IFERROR(__xludf.DUMMYFUNCTION("""COMPUTED_VALUE"""),"https://techcombank.com/thong-tin/blog/gui-tiet-kiem-ngan-hang-van-la-lua-chon-an-toan-trong-thoi-ky-kinh-te-con-nhieu-bien-dong")</f>
        <v>https://techcombank.com/thong-tin/blog/gui-tiet-kiem-ngan-hang-van-la-lua-chon-an-toan-trong-thoi-ky-kinh-te-con-nhieu-bien-dong</v>
      </c>
      <c r="BA62" s="17" t="str">
        <f>IFERROR(__xludf.DUMMYFUNCTION("""COMPUTED_VALUE"""),"cách tính lãi suất tiết kiệm ngân hàng")</f>
        <v>cách tính lãi suất tiết kiệm ngân hàng</v>
      </c>
      <c r="BB62" s="21" t="str">
        <f>IFERROR(__xludf.DUMMYFUNCTION("""COMPUTED_VALUE"""),"https://techcombank.com/thong-tin/blog/cach-gui-tiet-kiem-online")</f>
        <v>https://techcombank.com/thong-tin/blog/cach-gui-tiet-kiem-online</v>
      </c>
      <c r="BC62" s="17" t="str">
        <f>IFERROR(__xludf.DUMMYFUNCTION("""COMPUTED_VALUE"""),"cách tính lãi suất ngân hàng")</f>
        <v>cách tính lãi suất ngân hàng</v>
      </c>
      <c r="BD62" s="21" t="str">
        <f>IFERROR(__xludf.DUMMYFUNCTION("""COMPUTED_VALUE"""),"https://techcombank.com/thong-tin/blog/gui-tien-ngan-hang-co-an-toan-khong")</f>
        <v>https://techcombank.com/thong-tin/blog/gui-tien-ngan-hang-co-an-toan-khong</v>
      </c>
      <c r="BE62" s="17" t="str">
        <f>IFERROR(__xludf.DUMMYFUNCTION("""COMPUTED_VALUE"""),"tính lãi suất ngân hàng")</f>
        <v>tính lãi suất ngân hàng</v>
      </c>
      <c r="BF62" s="21" t="str">
        <f>IFERROR(__xludf.DUMMYFUNCTION("""COMPUTED_VALUE"""),"https://techcombank.com/thong-tin/blog/dau-tu-trai-phieu-doanh-nghiep-dung-ham-lai-suat-cao")</f>
        <v>https://techcombank.com/thong-tin/blog/dau-tu-trai-phieu-doanh-nghiep-dung-ham-lai-suat-cao</v>
      </c>
      <c r="BG62" s="17" t="str">
        <f>IFERROR(__xludf.DUMMYFUNCTION("""COMPUTED_VALUE"""),"tính lãi suất tiết kiệm")</f>
        <v>tính lãi suất tiết kiệm</v>
      </c>
      <c r="BH62" s="21" t="str">
        <f>IFERROR(__xludf.DUMMYFUNCTION("""COMPUTED_VALUE"""),"https://techcombank.com/thong-tin/blog/nen-gui-tiet-kiem-6-thang-hay-1-nam")</f>
        <v>https://techcombank.com/thong-tin/blog/nen-gui-tiet-kiem-6-thang-hay-1-nam</v>
      </c>
      <c r="BI62" s="17" t="str">
        <f>IFERROR(__xludf.DUMMYFUNCTION("""COMPUTED_VALUE"""),"cách tính lãi suất tiết kiệm ngân hàng")</f>
        <v>cách tính lãi suất tiết kiệm ngân hàng</v>
      </c>
      <c r="BJ62" s="21" t="str">
        <f>IFERROR(__xludf.DUMMYFUNCTION("""COMPUTED_VALUE"""),"https://techcombank.com/thong-tin/blog/lai-suat-the-tin-dung")</f>
        <v>https://techcombank.com/thong-tin/blog/lai-suat-the-tin-dung</v>
      </c>
      <c r="BK62" s="17" t="str">
        <f>IFERROR(__xludf.DUMMYFUNCTION("""COMPUTED_VALUE"""),"cách tính lãi suất ngân hàng")</f>
        <v>cách tính lãi suất ngân hàng</v>
      </c>
      <c r="BL62" s="21" t="str">
        <f>IFERROR(__xludf.DUMMYFUNCTION("""COMPUTED_VALUE"""),"https://techcombank.com/thong-tin/blog/gui-tiet-kiem-tich-luy-la-gi")</f>
        <v>https://techcombank.com/thong-tin/blog/gui-tiet-kiem-tich-luy-la-gi</v>
      </c>
      <c r="BM62" s="17" t="str">
        <f>IFERROR(__xludf.DUMMYFUNCTION("""COMPUTED_VALUE"""),"tính lãi suất ngân hàng")</f>
        <v>tính lãi suất ngân hàng</v>
      </c>
      <c r="BN62" s="21" t="str">
        <f>IFERROR(__xludf.DUMMYFUNCTION("""COMPUTED_VALUE"""),"https://techcombank.com/thong-tin/blog/lai-suat-vay-the-chap-so-do")</f>
        <v>https://techcombank.com/thong-tin/blog/lai-suat-vay-the-chap-so-do</v>
      </c>
      <c r="BO62" s="17" t="str">
        <f>IFERROR(__xludf.DUMMYFUNCTION("""COMPUTED_VALUE"""),"tính lãi suất tiết kiệm")</f>
        <v>tính lãi suất tiết kiệm</v>
      </c>
      <c r="BP62" s="21" t="str">
        <f>IFERROR(__xludf.DUMMYFUNCTION("""COMPUTED_VALUE"""),"https://techcombank.com/thong-tin/blog/rui-ro-khi-gui-tiet-kiem-online")</f>
        <v>https://techcombank.com/thong-tin/blog/rui-ro-khi-gui-tiet-kiem-online</v>
      </c>
      <c r="BQ62" s="17" t="str">
        <f>IFERROR(__xludf.DUMMYFUNCTION("""COMPUTED_VALUE"""),"cách tính lãi suất tiết kiệm ngân hàng")</f>
        <v>cách tính lãi suất tiết kiệm ngân hàng</v>
      </c>
      <c r="BR62" s="21" t="str">
        <f>IFERROR(__xludf.DUMMYFUNCTION("""COMPUTED_VALUE"""),"https://techcombank.com/thong-tin/blog/lai-suat-tha-noi")</f>
        <v>https://techcombank.com/thong-tin/blog/lai-suat-tha-noi</v>
      </c>
      <c r="BS62" s="17" t="str">
        <f>IFERROR(__xludf.DUMMYFUNCTION("""COMPUTED_VALUE"""),"cách tính lãi suất ngân hàng")</f>
        <v>cách tính lãi suất ngân hàng</v>
      </c>
      <c r="BT62" s="21" t="str">
        <f>IFERROR(__xludf.DUMMYFUNCTION("""COMPUTED_VALUE"""),"https://techcombank.com/thong-tin/blog/lai-suat-vay-tieu-dung")</f>
        <v>https://techcombank.com/thong-tin/blog/lai-suat-vay-tieu-dung</v>
      </c>
      <c r="BU62" s="17" t="str">
        <f>IFERROR(__xludf.DUMMYFUNCTION("""COMPUTED_VALUE"""),"tính lãi suất ngân hàng")</f>
        <v>tính lãi suất ngân hàng</v>
      </c>
      <c r="BV62" s="21" t="str">
        <f>IFERROR(__xludf.DUMMYFUNCTION("""COMPUTED_VALUE"""),"https://techcombank.com/thong-tin/blog/chon-kenh-dau-tu-an-toan-trong-boi-canh-thi-truong-bien-dong")</f>
        <v>https://techcombank.com/thong-tin/blog/chon-kenh-dau-tu-an-toan-trong-boi-canh-thi-truong-bien-dong</v>
      </c>
      <c r="BW62" s="17" t="str">
        <f>IFERROR(__xludf.DUMMYFUNCTION("""COMPUTED_VALUE"""),"tính lãi suất tiết kiệm")</f>
        <v>tính lãi suất tiết kiệm</v>
      </c>
      <c r="BX62" s="21" t="str">
        <f>IFERROR(__xludf.DUMMYFUNCTION("""COMPUTED_VALUE"""),"https://techcombank.com/thong-tin/blog/gui-tiet-kiem-ngoai-te")</f>
        <v>https://techcombank.com/thong-tin/blog/gui-tiet-kiem-ngoai-te</v>
      </c>
      <c r="BY62" s="17" t="str">
        <f>IFERROR(__xludf.DUMMYFUNCTION("""COMPUTED_VALUE"""),"cách tính lãi suất tiết kiệm ngân hàng")</f>
        <v>cách tính lãi suất tiết kiệm ngân hàng</v>
      </c>
      <c r="BZ62" s="21" t="str">
        <f>IFERROR(__xludf.DUMMYFUNCTION("""COMPUTED_VALUE"""),"https://techcombank.com/thong-tin/blog/lai-suat-ngan-hang-cho-vay-xay-nha")</f>
        <v>https://techcombank.com/thong-tin/blog/lai-suat-ngan-hang-cho-vay-xay-nha</v>
      </c>
      <c r="CA62" s="17" t="str">
        <f>IFERROR(__xludf.DUMMYFUNCTION("""COMPUTED_VALUE"""),"cách tính lãi suất ngân hàng")</f>
        <v>cách tính lãi suất ngân hàng</v>
      </c>
      <c r="CB62" s="21" t="str">
        <f>IFERROR(__xludf.DUMMYFUNCTION("""COMPUTED_VALUE"""),"https://techcombank.com/thong-tin/blog/rui-ro-khi-gui-tiet-kiem-ngan-hang")</f>
        <v>https://techcombank.com/thong-tin/blog/rui-ro-khi-gui-tiet-kiem-ngan-hang</v>
      </c>
      <c r="CC62" s="17" t="str">
        <f>IFERROR(__xludf.DUMMYFUNCTION("""COMPUTED_VALUE"""),"tính lãi suất ngân hàng")</f>
        <v>tính lãi suất ngân hàng</v>
      </c>
      <c r="CD62" s="21" t="str">
        <f>IFERROR(__xludf.DUMMYFUNCTION("""COMPUTED_VALUE"""),"https://techcombank.com/thong-tin/blog/tra-no-vay-thau-chi-nhu-the-nao")</f>
        <v>https://techcombank.com/thong-tin/blog/tra-no-vay-thau-chi-nhu-the-nao</v>
      </c>
      <c r="CE62" s="17" t="str">
        <f>IFERROR(__xludf.DUMMYFUNCTION("""COMPUTED_VALUE"""),"tính lãi suất tiết kiệm")</f>
        <v>tính lãi suất tiết kiệm</v>
      </c>
      <c r="CF62" s="21" t="str">
        <f>IFERROR(__xludf.DUMMYFUNCTION("""COMPUTED_VALUE"""),"https://techcombank.com/thong-tin/blog/cach-tinh-lai-vay-ngan-hang")</f>
        <v>https://techcombank.com/thong-tin/blog/cach-tinh-lai-vay-ngan-hang</v>
      </c>
      <c r="CG62" s="17" t="str">
        <f>IFERROR(__xludf.DUMMYFUNCTION("""COMPUTED_VALUE"""),"cách tính lãi suất tiết kiệm ngân hàng")</f>
        <v>cách tính lãi suất tiết kiệm ngân hàng</v>
      </c>
      <c r="CH62" s="21" t="str">
        <f>IFERROR(__xludf.DUMMYFUNCTION("""COMPUTED_VALUE"""),"https://techcombank.com/thong-tin/blog/gui-tiet-kiem-online-bi-mat-tien")</f>
        <v>https://techcombank.com/thong-tin/blog/gui-tiet-kiem-online-bi-mat-tien</v>
      </c>
      <c r="CI62" s="17" t="str">
        <f>IFERROR(__xludf.DUMMYFUNCTION("""COMPUTED_VALUE"""),"cách tính lãi suất ngân hàng")</f>
        <v>cách tính lãi suất ngân hàng</v>
      </c>
      <c r="CJ62" s="21" t="str">
        <f>IFERROR(__xludf.DUMMYFUNCTION("""COMPUTED_VALUE"""),"https://techcombank.com/thong-tin/blog/kinh-nghiem-gui-tiet-kiem-online")</f>
        <v>https://techcombank.com/thong-tin/blog/kinh-nghiem-gui-tiet-kiem-online</v>
      </c>
      <c r="CK62" s="17" t="str">
        <f>IFERROR(__xludf.DUMMYFUNCTION("""COMPUTED_VALUE"""),"tính lãi suất ngân hàng")</f>
        <v>tính lãi suất ngân hàng</v>
      </c>
      <c r="CL62" s="21" t="str">
        <f>IFERROR(__xludf.DUMMYFUNCTION("""COMPUTED_VALUE"""),"https://techcombank.com/thong-tin/blog/vay-thau-chi-bang-so-tiet-kiem")</f>
        <v>https://techcombank.com/thong-tin/blog/vay-thau-chi-bang-so-tiet-kiem</v>
      </c>
      <c r="CM62" s="17" t="str">
        <f>IFERROR(__xludf.DUMMYFUNCTION("""COMPUTED_VALUE"""),"tính lãi suất tiết kiệm")</f>
        <v>tính lãi suất tiết kiệm</v>
      </c>
      <c r="CN62" s="21" t="str">
        <f>IFERROR(__xludf.DUMMYFUNCTION("""COMPUTED_VALUE"""),"https://techcombank.com/thong-tin/blog/lai-suat-vay-ngan-hang")</f>
        <v>https://techcombank.com/thong-tin/blog/lai-suat-vay-ngan-hang</v>
      </c>
      <c r="CO62" s="17" t="str">
        <f>IFERROR(__xludf.DUMMYFUNCTION("""COMPUTED_VALUE"""),"cách tính lãi suất tiết kiệm ngân hàng")</f>
        <v>cách tính lãi suất tiết kiệm ngân hàng</v>
      </c>
      <c r="CP62" s="21" t="str">
        <f>IFERROR(__xludf.DUMMYFUNCTION("""COMPUTED_VALUE"""),"https://techcombank.com/thong-tin/blog/gui-tiet-kiem-online-co-rut-truoc-han-duoc-khong")</f>
        <v>https://techcombank.com/thong-tin/blog/gui-tiet-kiem-online-co-rut-truoc-han-duoc-khong</v>
      </c>
      <c r="CQ62" s="17" t="str">
        <f>IFERROR(__xludf.DUMMYFUNCTION("""COMPUTED_VALUE"""),"cách tính lãi suất ngân hàng")</f>
        <v>cách tính lãi suất ngân hàng</v>
      </c>
      <c r="CR62" s="21" t="str">
        <f>IFERROR(__xludf.DUMMYFUNCTION("""COMPUTED_VALUE"""),"https://techcombank.com/thong-tin/blog/gui-tiet-kiem-online-quay-vong-ca-goc-va-lai")</f>
        <v>https://techcombank.com/thong-tin/blog/gui-tiet-kiem-online-quay-vong-ca-goc-va-lai</v>
      </c>
      <c r="CS62" s="17" t="str">
        <f>IFERROR(__xludf.DUMMYFUNCTION("""COMPUTED_VALUE"""),"tính lãi suất ngân hàng")</f>
        <v>tính lãi suất ngân hàng</v>
      </c>
      <c r="CT62" s="21" t="str">
        <f>IFERROR(__xludf.DUMMYFUNCTION("""COMPUTED_VALUE"""),"https://techcombank.com/thong-tin/blog/chung-chi-tien-gui-khac-gi-so-tiet-kiem")</f>
        <v>https://techcombank.com/thong-tin/blog/chung-chi-tien-gui-khac-gi-so-tiet-kiem</v>
      </c>
      <c r="CU62" s="17" t="str">
        <f>IFERROR(__xludf.DUMMYFUNCTION("""COMPUTED_VALUE"""),"tính lãi suất tiết kiệm")</f>
        <v>tính lãi suất tiết kiệm</v>
      </c>
      <c r="CV62" s="21" t="str">
        <f>IFERROR(__xludf.DUMMYFUNCTION("""COMPUTED_VALUE"""),"https://techcombank.com/thong-tin/blog/dau-tu-dai-han")</f>
        <v>https://techcombank.com/thong-tin/blog/dau-tu-dai-han</v>
      </c>
      <c r="CW62" s="17" t="str">
        <f>IFERROR(__xludf.DUMMYFUNCTION("""COMPUTED_VALUE"""),"cách tính lãi suất tiết kiệm ngân hàng")</f>
        <v>cách tính lãi suất tiết kiệm ngân hàng</v>
      </c>
      <c r="CX62" s="21" t="str">
        <f>IFERROR(__xludf.DUMMYFUNCTION("""COMPUTED_VALUE"""),"https://techcombank.com/thong-tin/blog/so-sanh-gui-tiet-kiem-online-va-tai-quay")</f>
        <v>https://techcombank.com/thong-tin/blog/so-sanh-gui-tiet-kiem-online-va-tai-quay</v>
      </c>
      <c r="CY62" s="17" t="str">
        <f>IFERROR(__xludf.DUMMYFUNCTION("""COMPUTED_VALUE"""),"cách tính lãi suất ngân hàng")</f>
        <v>cách tính lãi suất ngân hàng</v>
      </c>
      <c r="CZ62" s="21" t="str">
        <f>IFERROR(__xludf.DUMMYFUNCTION("""COMPUTED_VALUE"""),"https://techcombank.com/thong-tin/blog/lai-suat-vay-tin-chap")</f>
        <v>https://techcombank.com/thong-tin/blog/lai-suat-vay-tin-chap</v>
      </c>
      <c r="DA62" s="17" t="str">
        <f>IFERROR(__xludf.DUMMYFUNCTION("""COMPUTED_VALUE"""),"tính lãi suất ngân hàng")</f>
        <v>tính lãi suất ngân hàng</v>
      </c>
      <c r="DB62" s="21" t="str">
        <f>IFERROR(__xludf.DUMMYFUNCTION("""COMPUTED_VALUE"""),"https://techcombank.com/thong-tin/blog/cach-tiet-kiem-tien-sinh-loi")</f>
        <v>https://techcombank.com/thong-tin/blog/cach-tiet-kiem-tien-sinh-loi</v>
      </c>
      <c r="DC62" s="17" t="str">
        <f>IFERROR(__xludf.DUMMYFUNCTION("""COMPUTED_VALUE"""),"tính lãi suất tiết kiệm")</f>
        <v>tính lãi suất tiết kiệm</v>
      </c>
      <c r="DD62" s="21" t="str">
        <f>IFERROR(__xludf.DUMMYFUNCTION("""COMPUTED_VALUE"""),"https://techcombank.com/thong-tin/blog/co-50-trieu-nen-mua-vang-hay-gui-tiet-kiem")</f>
        <v>https://techcombank.com/thong-tin/blog/co-50-trieu-nen-mua-vang-hay-gui-tiet-kiem</v>
      </c>
      <c r="DE62" s="17" t="str">
        <f>IFERROR(__xludf.DUMMYFUNCTION("""COMPUTED_VALUE"""),"cách tính lãi suất tiết kiệm ngân hàng")</f>
        <v>cách tính lãi suất tiết kiệm ngân hàng</v>
      </c>
      <c r="DF62" s="21" t="str">
        <f>IFERROR(__xludf.DUMMYFUNCTION("""COMPUTED_VALUE"""),"https://techcombank.com/thong-tin/blog/vay-20-trieu")</f>
        <v>https://techcombank.com/thong-tin/blog/vay-20-trieu</v>
      </c>
      <c r="DG62" s="17" t="str">
        <f>IFERROR(__xludf.DUMMYFUNCTION("""COMPUTED_VALUE"""),"cách tính lãi suất ngân hàng")</f>
        <v>cách tính lãi suất ngân hàng</v>
      </c>
      <c r="DH62" s="21" t="str">
        <f>IFERROR(__xludf.DUMMYFUNCTION("""COMPUTED_VALUE"""),"https://techcombank.com/thong-tin/blog/vay-tin-chap-la-gi")</f>
        <v>https://techcombank.com/thong-tin/blog/vay-tin-chap-la-gi</v>
      </c>
      <c r="DI62" s="17" t="str">
        <f>IFERROR(__xludf.DUMMYFUNCTION("""COMPUTED_VALUE"""),"tính lãi suất ngân hàng")</f>
        <v>tính lãi suất ngân hàng</v>
      </c>
      <c r="DJ62" s="21" t="str">
        <f>IFERROR(__xludf.DUMMYFUNCTION("""COMPUTED_VALUE"""),"https://techcombank.com/thong-tin/blog/tien-gui-co-ky-han")</f>
        <v>https://techcombank.com/thong-tin/blog/tien-gui-co-ky-han</v>
      </c>
      <c r="DK62" s="17" t="str">
        <f>IFERROR(__xludf.DUMMYFUNCTION("""COMPUTED_VALUE"""),"tính lãi suất tiết kiệm")</f>
        <v>tính lãi suất tiết kiệm</v>
      </c>
      <c r="DL62" s="21" t="str">
        <f>IFERROR(__xludf.DUMMYFUNCTION("""COMPUTED_VALUE"""),"https://techcombank.com/thong-tin/blog/lai-suat-gui-tiet-kiem-usd")</f>
        <v>https://techcombank.com/thong-tin/blog/lai-suat-gui-tiet-kiem-usd</v>
      </c>
      <c r="DM62" s="17" t="str">
        <f>IFERROR(__xludf.DUMMYFUNCTION("""COMPUTED_VALUE"""),"cách tính lãi suất tiết kiệm ngân hàng")</f>
        <v>cách tính lãi suất tiết kiệm ngân hàng</v>
      </c>
      <c r="DN62" s="21" t="str">
        <f>IFERROR(__xludf.DUMMYFUNCTION("""COMPUTED_VALUE"""),"https://techcombank.com/thong-tin/blog/gui-tiet-kiem-usd")</f>
        <v>https://techcombank.com/thong-tin/blog/gui-tiet-kiem-usd</v>
      </c>
      <c r="DO62" s="17" t="str">
        <f>IFERROR(__xludf.DUMMYFUNCTION("""COMPUTED_VALUE"""),"cách tính lãi suất ngân hàng")</f>
        <v>cách tính lãi suất ngân hàng</v>
      </c>
      <c r="DP62" s="21" t="str">
        <f>IFERROR(__xludf.DUMMYFUNCTION("""COMPUTED_VALUE"""),"https://techcombank.com/thong-tin/blog/lai-suat-chung-chi-tien-gui-cac-ngan-hang")</f>
        <v>https://techcombank.com/thong-tin/blog/lai-suat-chung-chi-tien-gui-cac-ngan-hang</v>
      </c>
      <c r="DQ62" s="17" t="str">
        <f>IFERROR(__xludf.DUMMYFUNCTION("""COMPUTED_VALUE"""),"tính lãi suất ngân hàng")</f>
        <v>tính lãi suất ngân hàng</v>
      </c>
      <c r="DR62" s="21" t="str">
        <f>IFERROR(__xludf.DUMMYFUNCTION("""COMPUTED_VALUE"""),"https://techcombank.com/thong-tin/blog/so-tiet-kiem-ngan-hang")</f>
        <v>https://techcombank.com/thong-tin/blog/so-tiet-kiem-ngan-hang</v>
      </c>
      <c r="DS62" s="17" t="str">
        <f>IFERROR(__xludf.DUMMYFUNCTION("""COMPUTED_VALUE"""),"tính lãi suất tiết kiệm")</f>
        <v>tính lãi suất tiết kiệm</v>
      </c>
      <c r="DT62" s="21" t="str">
        <f>IFERROR(__xludf.DUMMYFUNCTION("""COMPUTED_VALUE"""),"https://techcombank.com/thong-tin/blog/app-gui-tien-tiet-kiem")</f>
        <v>https://techcombank.com/thong-tin/blog/app-gui-tien-tiet-kiem</v>
      </c>
      <c r="DU62" s="17" t="str">
        <f>IFERROR(__xludf.DUMMYFUNCTION("""COMPUTED_VALUE"""),"cách tính lãi suất tiết kiệm ngân hàng")</f>
        <v>cách tính lãi suất tiết kiệm ngân hàng</v>
      </c>
      <c r="DV62" s="21" t="str">
        <f>IFERROR(__xludf.DUMMYFUNCTION("""COMPUTED_VALUE"""),"https://techcombank.com/thong-tin/blog/bi-quyet-tiet-kiem-tien-mua-nha")</f>
        <v>https://techcombank.com/thong-tin/blog/bi-quyet-tiet-kiem-tien-mua-nha</v>
      </c>
      <c r="DW62" s="17" t="str">
        <f>IFERROR(__xludf.DUMMYFUNCTION("""COMPUTED_VALUE"""),"cách tính lãi suất ngân hàng")</f>
        <v>cách tính lãi suất ngân hàng</v>
      </c>
      <c r="DX62" s="21" t="str">
        <f>IFERROR(__xludf.DUMMYFUNCTION("""COMPUTED_VALUE"""),"https://techcombank.com/thong-tin/blog/tat-toan-so-tiet-kiem")</f>
        <v>https://techcombank.com/thong-tin/blog/tat-toan-so-tiet-kiem</v>
      </c>
      <c r="DY62" s="17" t="str">
        <f>IFERROR(__xludf.DUMMYFUNCTION("""COMPUTED_VALUE"""),"tính lãi suất ngân hàng")</f>
        <v>tính lãi suất ngân hàng</v>
      </c>
      <c r="DZ62" s="21" t="str">
        <f>IFERROR(__xludf.DUMMYFUNCTION("""COMPUTED_VALUE"""),"https://techcombank.com/thong-tin/blog/tra-gop-shopee")</f>
        <v>https://techcombank.com/thong-tin/blog/tra-gop-shopee</v>
      </c>
      <c r="EA62" s="17" t="str">
        <f>IFERROR(__xludf.DUMMYFUNCTION("""COMPUTED_VALUE"""),"tính lãi suất tiết kiệm")</f>
        <v>tính lãi suất tiết kiệm</v>
      </c>
      <c r="EB62" s="21" t="str">
        <f>IFERROR(__xludf.DUMMYFUNCTION("""COMPUTED_VALUE"""),"https://techcombank.com/thong-tin/blog/chung-chi-tien-gui-la-gi")</f>
        <v>https://techcombank.com/thong-tin/blog/chung-chi-tien-gui-la-gi</v>
      </c>
      <c r="EC62" s="17" t="str">
        <f>IFERROR(__xludf.DUMMYFUNCTION("""COMPUTED_VALUE"""),"cách tính lãi suất tiết kiệm ngân hàng")</f>
        <v>cách tính lãi suất tiết kiệm ngân hàng</v>
      </c>
      <c r="ED62" s="21" t="str">
        <f>IFERROR(__xludf.DUMMYFUNCTION("""COMPUTED_VALUE"""),"https://techcombank.com/thong-tin/blog/ngan-hang-so")</f>
        <v>https://techcombank.com/thong-tin/blog/ngan-hang-so</v>
      </c>
      <c r="EE62" s="17" t="str">
        <f>IFERROR(__xludf.DUMMYFUNCTION("""COMPUTED_VALUE"""),"cách tính lãi suất ngân hàng")</f>
        <v>cách tính lãi suất ngân hàng</v>
      </c>
      <c r="EF62" s="21" t="str">
        <f>IFERROR(__xludf.DUMMYFUNCTION("""COMPUTED_VALUE"""),"https://techcombank.com/thong-tin/blog/lap-ke-hoach-chi-tieu-ca-nhan")</f>
        <v>https://techcombank.com/thong-tin/blog/lap-ke-hoach-chi-tieu-ca-nhan</v>
      </c>
      <c r="EG62" s="17" t="str">
        <f>IFERROR(__xludf.DUMMYFUNCTION("""COMPUTED_VALUE"""),"tính lãi suất ngân hàng")</f>
        <v>tính lãi suất ngân hàng</v>
      </c>
      <c r="EH62" s="21" t="str">
        <f>IFERROR(__xludf.DUMMYFUNCTION("""COMPUTED_VALUE"""),"https://techcombank.com/thong-tin/blog/ke-hoach-tai-chinh")</f>
        <v>https://techcombank.com/thong-tin/blog/ke-hoach-tai-chinh</v>
      </c>
      <c r="EI62" s="17" t="str">
        <f>IFERROR(__xludf.DUMMYFUNCTION("""COMPUTED_VALUE"""),"tính lãi suất tiết kiệm")</f>
        <v>tính lãi suất tiết kiệm</v>
      </c>
      <c r="EJ62" s="21" t="str">
        <f>IFERROR(__xludf.DUMMYFUNCTION("""COMPUTED_VALUE"""),"https://techcombank.com/thong-tin/blog/tich-luy-tai-san")</f>
        <v>https://techcombank.com/thong-tin/blog/tich-luy-tai-san</v>
      </c>
      <c r="EK62" s="17" t="str">
        <f>IFERROR(__xludf.DUMMYFUNCTION("""COMPUTED_VALUE"""),"cách tính lãi suất tiết kiệm ngân hàng")</f>
        <v>cách tính lãi suất tiết kiệm ngân hàng</v>
      </c>
      <c r="EL62" s="21" t="str">
        <f>IFERROR(__xludf.DUMMYFUNCTION("""COMPUTED_VALUE"""),"https://techcombank.com/thong-tin/blog/nghich-ly-nha-dau-tu-che-trai-phieu-lai-suat-cao-ua-ma-an-toan-du-lai-suat-thap-hon-05-1")</f>
        <v>https://techcombank.com/thong-tin/blog/nghich-ly-nha-dau-tu-che-trai-phieu-lai-suat-cao-ua-ma-an-toan-du-lai-suat-thap-hon-05-1</v>
      </c>
      <c r="EM62" s="17" t="str">
        <f>IFERROR(__xludf.DUMMYFUNCTION("""COMPUTED_VALUE"""),"cách tính lãi suất ngân hàng")</f>
        <v>cách tính lãi suất ngân hàng</v>
      </c>
      <c r="EN62" s="21" t="str">
        <f>IFERROR(__xludf.DUMMYFUNCTION("""COMPUTED_VALUE"""),"https://techcombank.com/thong-tin/blog/thi-truong-trai-phieu-co-hoi-dau-tu-trai-phieu-vang-du-lai-suat-thap")</f>
        <v>https://techcombank.com/thong-tin/blog/thi-truong-trai-phieu-co-hoi-dau-tu-trai-phieu-vang-du-lai-suat-thap</v>
      </c>
      <c r="EO62" s="17" t="str">
        <f>IFERROR(__xludf.DUMMYFUNCTION("""COMPUTED_VALUE"""),"tính lãi suất ngân hàng")</f>
        <v>tính lãi suất ngân hàng</v>
      </c>
      <c r="EP62" s="21" t="str">
        <f>IFERROR(__xludf.DUMMYFUNCTION("""COMPUTED_VALUE"""),"https://techcombank.com/thong-tin/blog/techcombank-sinh-loi-tu-dong")</f>
        <v>https://techcombank.com/thong-tin/blog/techcombank-sinh-loi-tu-dong</v>
      </c>
      <c r="EQ62" s="17" t="str">
        <f>IFERROR(__xludf.DUMMYFUNCTION("""COMPUTED_VALUE"""),"tính lãi suất tiết kiệm")</f>
        <v>tính lãi suất tiết kiệm</v>
      </c>
      <c r="ER62" s="21" t="str">
        <f>IFERROR(__xludf.DUMMYFUNCTION("""COMPUTED_VALUE"""),"https://techcombank.com/thong-tin/blog/mo-so-tiet-kiem-can-bao-nhieu-tien")</f>
        <v>https://techcombank.com/thong-tin/blog/mo-so-tiet-kiem-can-bao-nhieu-tien</v>
      </c>
      <c r="ES62" s="17" t="str">
        <f>IFERROR(__xludf.DUMMYFUNCTION("""COMPUTED_VALUE"""),"cách tính lãi suất tiết kiệm ngân hàng")</f>
        <v>cách tính lãi suất tiết kiệm ngân hàng</v>
      </c>
      <c r="ET62" s="21" t="str">
        <f>IFERROR(__xludf.DUMMYFUNCTION("""COMPUTED_VALUE"""),"https://techcombank.com/thong-tin/blog/lai-suat-chung-chi-quy")</f>
        <v>https://techcombank.com/thong-tin/blog/lai-suat-chung-chi-quy</v>
      </c>
      <c r="EU62" s="17" t="str">
        <f>IFERROR(__xludf.DUMMYFUNCTION("""COMPUTED_VALUE"""),"cách tính lãi suất ngân hàng")</f>
        <v>cách tính lãi suất ngân hàng</v>
      </c>
      <c r="EV62" s="21" t="str">
        <f>IFERROR(__xludf.DUMMYFUNCTION("""COMPUTED_VALUE"""),"https://techcombank.com/thong-tin/blog/lai-suat-cho-vay-doanh-nghiep")</f>
        <v>https://techcombank.com/thong-tin/blog/lai-suat-cho-vay-doanh-nghiep</v>
      </c>
      <c r="EW62" s="17" t="str">
        <f>IFERROR(__xludf.DUMMYFUNCTION("""COMPUTED_VALUE"""),"tính lãi suất ngân hàng")</f>
        <v>tính lãi suất ngân hàng</v>
      </c>
      <c r="EX62" s="21" t="str">
        <f>IFERROR(__xludf.DUMMYFUNCTION("""COMPUTED_VALUE"""),"https://techcombank.com/thong-tin/blog/mo-tai-khoan-tiet-kiem-cho-con")</f>
        <v>https://techcombank.com/thong-tin/blog/mo-tai-khoan-tiet-kiem-cho-con</v>
      </c>
      <c r="EY62" s="17" t="str">
        <f>IFERROR(__xludf.DUMMYFUNCTION("""COMPUTED_VALUE"""),"tính lãi suất tiết kiệm")</f>
        <v>tính lãi suất tiết kiệm</v>
      </c>
      <c r="EZ62" s="21" t="str">
        <f>IFERROR(__xludf.DUMMYFUNCTION("""COMPUTED_VALUE"""),"https://techcombank.com/thong-tin/blog/vay-100-trieu")</f>
        <v>https://techcombank.com/thong-tin/blog/vay-100-trieu</v>
      </c>
      <c r="FA62" s="17" t="str">
        <f>IFERROR(__xludf.DUMMYFUNCTION("""COMPUTED_VALUE"""),"cách tính lãi suất tiết kiệm ngân hàng")</f>
        <v>cách tính lãi suất tiết kiệm ngân hàng</v>
      </c>
      <c r="FB62" s="21" t="str">
        <f>IFERROR(__xludf.DUMMYFUNCTION("""COMPUTED_VALUE"""),"https://techcombank.com/thong-tin/blog/quy-du-phong-tai-chinh-la-gi")</f>
        <v>https://techcombank.com/thong-tin/blog/quy-du-phong-tai-chinh-la-gi</v>
      </c>
      <c r="FC62" s="17" t="str">
        <f>IFERROR(__xludf.DUMMYFUNCTION("""COMPUTED_VALUE"""),"cách tính lãi suất ngân hàng")</f>
        <v>cách tính lãi suất ngân hàng</v>
      </c>
      <c r="FD62" s="21" t="str">
        <f>IFERROR(__xludf.DUMMYFUNCTION("""COMPUTED_VALUE"""),"https://techcombank.com/thong-tin/blog/loi-ich-cua-ngan-hang-so-voi-sme")</f>
        <v>https://techcombank.com/thong-tin/blog/loi-ich-cua-ngan-hang-so-voi-sme</v>
      </c>
      <c r="FE62" s="17" t="str">
        <f>IFERROR(__xludf.DUMMYFUNCTION("""COMPUTED_VALUE"""),"tính lãi suất ngân hàng")</f>
        <v>tính lãi suất ngân hàng</v>
      </c>
      <c r="FF62" s="21" t="str">
        <f>IFERROR(__xludf.DUMMYFUNCTION("""COMPUTED_VALUE"""),"https://techcombank.com/thong-tin/blog/rut-tien-tiet-kiem-truoc-thoi-han")</f>
        <v>https://techcombank.com/thong-tin/blog/rut-tien-tiet-kiem-truoc-thoi-han</v>
      </c>
      <c r="FG62" s="17" t="str">
        <f>IFERROR(__xludf.DUMMYFUNCTION("""COMPUTED_VALUE"""),"tính lãi suất tiết kiệm")</f>
        <v>tính lãi suất tiết kiệm</v>
      </c>
      <c r="FH62" s="21" t="str">
        <f>IFERROR(__xludf.DUMMYFUNCTION("""COMPUTED_VALUE"""),"https://techcombank.com/thong-tin/blog/lai-suat-la-gi")</f>
        <v>https://techcombank.com/thong-tin/blog/lai-suat-la-gi</v>
      </c>
      <c r="FI62" s="17" t="str">
        <f>IFERROR(__xludf.DUMMYFUNCTION("""COMPUTED_VALUE"""),"cách tính lãi suất tiết kiệm ngân hàng")</f>
        <v>cách tính lãi suất tiết kiệm ngân hàng</v>
      </c>
      <c r="FJ62" s="21" t="str">
        <f>IFERROR(__xludf.DUMMYFUNCTION("""COMPUTED_VALUE"""),"https://techcombank.com/thong-tin/blog/vi-sao-lai-suat-trai-phieu-tai-tcbs-lai-thap-hon-so-voi-cac-to-chuc-phat-hanh-khac")</f>
        <v>https://techcombank.com/thong-tin/blog/vi-sao-lai-suat-trai-phieu-tai-tcbs-lai-thap-hon-so-voi-cac-to-chuc-phat-hanh-khac</v>
      </c>
      <c r="FK62" s="17" t="str">
        <f>IFERROR(__xludf.DUMMYFUNCTION("""COMPUTED_VALUE"""),"cách tính lãi suất ngân hàng")</f>
        <v>cách tính lãi suất ngân hàng</v>
      </c>
      <c r="FL62" s="21" t="str">
        <f>IFERROR(__xludf.DUMMYFUNCTION("""COMPUTED_VALUE"""),"https://techcombank.com/thong-tin/blog/cach-dau-tu")</f>
        <v>https://techcombank.com/thong-tin/blog/cach-dau-tu</v>
      </c>
      <c r="FM62" s="17" t="str">
        <f>IFERROR(__xludf.DUMMYFUNCTION("""COMPUTED_VALUE"""),"tính lãi suất ngân hàng")</f>
        <v>tính lãi suất ngân hàng</v>
      </c>
      <c r="FN62" s="21" t="str">
        <f>IFERROR(__xludf.DUMMYFUNCTION("""COMPUTED_VALUE"""),"https://techcombank.com/thong-tin/blog/vay-bo-sung-von-luu-dong")</f>
        <v>https://techcombank.com/thong-tin/blog/vay-bo-sung-von-luu-dong</v>
      </c>
      <c r="FO62" s="17" t="str">
        <f>IFERROR(__xludf.DUMMYFUNCTION("""COMPUTED_VALUE"""),"tính lãi suất tiết kiệm")</f>
        <v>tính lãi suất tiết kiệm</v>
      </c>
      <c r="FP62" s="21" t="str">
        <f>IFERROR(__xludf.DUMMYFUNCTION("""COMPUTED_VALUE"""),"https://techcombank.com/thong-tin/blog/vay-ngan-han")</f>
        <v>https://techcombank.com/thong-tin/blog/vay-ngan-han</v>
      </c>
      <c r="FQ62" s="17" t="str">
        <f>IFERROR(__xludf.DUMMYFUNCTION("""COMPUTED_VALUE"""),"cách tính lãi suất tiết kiệm ngân hàng")</f>
        <v>cách tính lãi suất tiết kiệm ngân hàng</v>
      </c>
      <c r="FR62" s="21" t="str">
        <f>IFERROR(__xludf.DUMMYFUNCTION("""COMPUTED_VALUE"""),"https://techcombank.com/thong-tin/blog/cho-vay-kinh-doanh-ho-gia-dinh")</f>
        <v>https://techcombank.com/thong-tin/blog/cho-vay-kinh-doanh-ho-gia-dinh</v>
      </c>
      <c r="FS62" s="17" t="str">
        <f>IFERROR(__xludf.DUMMYFUNCTION("""COMPUTED_VALUE"""),"cách tính lãi suất ngân hàng")</f>
        <v>cách tính lãi suất ngân hàng</v>
      </c>
      <c r="FT62" s="21" t="str">
        <f>IFERROR(__xludf.DUMMYFUNCTION("""COMPUTED_VALUE"""),"https://techcombank.com/thong-tin/blog/vay-von-doanh-nghiep-nho")</f>
        <v>https://techcombank.com/thong-tin/blog/vay-von-doanh-nghiep-nho</v>
      </c>
      <c r="FU62" s="17" t="str">
        <f>IFERROR(__xludf.DUMMYFUNCTION("""COMPUTED_VALUE"""),"tính lãi suất ngân hàng")</f>
        <v>tính lãi suất ngân hàng</v>
      </c>
      <c r="FV62" s="21" t="str">
        <f>IFERROR(__xludf.DUMMYFUNCTION("""COMPUTED_VALUE"""),"https://techcombank.com/thong-tin/blog/vay-mua-chung-cu")</f>
        <v>https://techcombank.com/thong-tin/blog/vay-mua-chung-cu</v>
      </c>
      <c r="FW62" s="17" t="str">
        <f>IFERROR(__xludf.DUMMYFUNCTION("""COMPUTED_VALUE"""),"tính lãi suất tiết kiệm")</f>
        <v>tính lãi suất tiết kiệm</v>
      </c>
      <c r="FX62" s="21" t="str">
        <f>IFERROR(__xludf.DUMMYFUNCTION("""COMPUTED_VALUE"""),"https://techcombank.com/thong-tin/blog/tra-gop-hoc-phi")</f>
        <v>https://techcombank.com/thong-tin/blog/tra-gop-hoc-phi</v>
      </c>
      <c r="FY62" s="17" t="str">
        <f>IFERROR(__xludf.DUMMYFUNCTION("""COMPUTED_VALUE"""),"cách tính lãi suất tiết kiệm ngân hàng")</f>
        <v>cách tính lãi suất tiết kiệm ngân hàng</v>
      </c>
      <c r="FZ62" s="21" t="str">
        <f>IFERROR(__xludf.DUMMYFUNCTION("""COMPUTED_VALUE"""),"https://techcombank.com/thong-tin/blog/vay-50-trieu")</f>
        <v>https://techcombank.com/thong-tin/blog/vay-50-trieu</v>
      </c>
      <c r="GA62" s="17" t="str">
        <f>IFERROR(__xludf.DUMMYFUNCTION("""COMPUTED_VALUE"""),"cách tính lãi suất ngân hàng")</f>
        <v>cách tính lãi suất ngân hàng</v>
      </c>
      <c r="GB62" s="21" t="str">
        <f>IFERROR(__xludf.DUMMYFUNCTION("""COMPUTED_VALUE"""),"https://techcombank.com/thong-tin/blog/chung-chi-tien-gui-co-an-toan-khong")</f>
        <v>https://techcombank.com/thong-tin/blog/chung-chi-tien-gui-co-an-toan-khong</v>
      </c>
      <c r="GC62" s="17" t="str">
        <f>IFERROR(__xludf.DUMMYFUNCTION("""COMPUTED_VALUE"""),"tính lãi suất ngân hàng")</f>
        <v>tính lãi suất ngân hàng</v>
      </c>
      <c r="GD62" s="21" t="str">
        <f>IFERROR(__xludf.DUMMYFUNCTION("""COMPUTED_VALUE"""),"https://techcombank.com/thong-tin/blog/vay-mua-dien-thoai")</f>
        <v>https://techcombank.com/thong-tin/blog/vay-mua-dien-thoai</v>
      </c>
      <c r="GE62" s="17" t="str">
        <f>IFERROR(__xludf.DUMMYFUNCTION("""COMPUTED_VALUE"""),"tính lãi suất tiết kiệm")</f>
        <v>tính lãi suất tiết kiệm</v>
      </c>
      <c r="GF62" s="21" t="str">
        <f>IFERROR(__xludf.DUMMYFUNCTION("""COMPUTED_VALUE"""),"https://techcombank.com/thong-tin/blog/tien-nhan-roi-nen-lam-gi")</f>
        <v>https://techcombank.com/thong-tin/blog/tien-nhan-roi-nen-lam-gi</v>
      </c>
      <c r="GG62" s="17" t="str">
        <f>IFERROR(__xludf.DUMMYFUNCTION("""COMPUTED_VALUE"""),"cách tính lãi suất tiết kiệm ngân hàng")</f>
        <v>cách tính lãi suất tiết kiệm ngân hàng</v>
      </c>
      <c r="GH62" s="21" t="str">
        <f>IFERROR(__xludf.DUMMYFUNCTION("""COMPUTED_VALUE"""),"https://techcombank.com/thong-tin/blog/nen-vay-tin-chap-o-dau")</f>
        <v>https://techcombank.com/thong-tin/blog/nen-vay-tin-chap-o-dau</v>
      </c>
      <c r="GI62" s="17" t="str">
        <f>IFERROR(__xludf.DUMMYFUNCTION("""COMPUTED_VALUE"""),"cách tính lãi suất ngân hàng")</f>
        <v>cách tính lãi suất ngân hàng</v>
      </c>
      <c r="GJ62" s="21" t="str">
        <f>IFERROR(__xludf.DUMMYFUNCTION("""COMPUTED_VALUE"""),"https://techcombank.com/thong-tin/blog/diem-tin-dung")</f>
        <v>https://techcombank.com/thong-tin/blog/diem-tin-dung</v>
      </c>
      <c r="GK62" s="17" t="str">
        <f>IFERROR(__xludf.DUMMYFUNCTION("""COMPUTED_VALUE"""),"tính lãi suất ngân hàng")</f>
        <v>tính lãi suất ngân hàng</v>
      </c>
      <c r="GL62" s="21" t="str">
        <f>IFERROR(__xludf.DUMMYFUNCTION("""COMPUTED_VALUE"""),"https://techcombank.com/thong-tin/blog/kinh-nghiem-vay-the-chap-ngan-hang")</f>
        <v>https://techcombank.com/thong-tin/blog/kinh-nghiem-vay-the-chap-ngan-hang</v>
      </c>
      <c r="GM62" s="17" t="str">
        <f>IFERROR(__xludf.DUMMYFUNCTION("""COMPUTED_VALUE"""),"tính lãi suất tiết kiệm")</f>
        <v>tính lãi suất tiết kiệm</v>
      </c>
      <c r="GN62" s="21" t="str">
        <f>IFERROR(__xludf.DUMMYFUNCTION("""COMPUTED_VALUE"""),"https://techcombank.com/thong-tin/blog/cho-vay-tieu-dung-la-gi")</f>
        <v>https://techcombank.com/thong-tin/blog/cho-vay-tieu-dung-la-gi</v>
      </c>
      <c r="GO62" s="17" t="str">
        <f>IFERROR(__xludf.DUMMYFUNCTION("""COMPUTED_VALUE"""),"cách tính lãi suất tiết kiệm ngân hàng")</f>
        <v>cách tính lãi suất tiết kiệm ngân hàng</v>
      </c>
      <c r="GP62" s="21" t="str">
        <f>IFERROR(__xludf.DUMMYFUNCTION("""COMPUTED_VALUE"""),"https://techcombank.com/thong-tin/blog/vay-15-trieu")</f>
        <v>https://techcombank.com/thong-tin/blog/vay-15-trieu</v>
      </c>
      <c r="GQ62" s="17" t="str">
        <f>IFERROR(__xludf.DUMMYFUNCTION("""COMPUTED_VALUE"""),"cách tính lãi suất ngân hàng")</f>
        <v>cách tính lãi suất ngân hàng</v>
      </c>
      <c r="GR62" s="21" t="str">
        <f>IFERROR(__xludf.DUMMYFUNCTION("""COMPUTED_VALUE"""),"https://techcombank.com/thong-tin/blog/vay-tien-mat")</f>
        <v>https://techcombank.com/thong-tin/blog/vay-tien-mat</v>
      </c>
      <c r="GS62" s="17" t="str">
        <f>IFERROR(__xludf.DUMMYFUNCTION("""COMPUTED_VALUE"""),"tính lãi suất ngân hàng")</f>
        <v>tính lãi suất ngân hàng</v>
      </c>
      <c r="GT62" s="21" t="str">
        <f>IFERROR(__xludf.DUMMYFUNCTION("""COMPUTED_VALUE"""),"https://techcombank.com/thong-tin/blog/cach-tiet-kiem-tien")</f>
        <v>https://techcombank.com/thong-tin/blog/cach-tiet-kiem-tien</v>
      </c>
      <c r="GU62" s="17" t="str">
        <f>IFERROR(__xludf.DUMMYFUNCTION("""COMPUTED_VALUE"""),"tính lãi suất tiết kiệm")</f>
        <v>tính lãi suất tiết kiệm</v>
      </c>
      <c r="GV62" s="21" t="str">
        <f>IFERROR(__xludf.DUMMYFUNCTION("""COMPUTED_VALUE"""),"https://techcombank.com/thong-tin/blog/lai-suat-qua-han")</f>
        <v>https://techcombank.com/thong-tin/blog/lai-suat-qua-han</v>
      </c>
      <c r="GW62" s="17" t="str">
        <f>IFERROR(__xludf.DUMMYFUNCTION("""COMPUTED_VALUE"""),"cách tính lãi suất tiết kiệm ngân hàng")</f>
        <v>cách tính lãi suất tiết kiệm ngân hàng</v>
      </c>
      <c r="GX62" s="21" t="str">
        <f>IFERROR(__xludf.DUMMYFUNCTION("""COMPUTED_VALUE"""),"https://techcombank.com/thong-tin/blog/app-vay-tien-nhanh")</f>
        <v>https://techcombank.com/thong-tin/blog/app-vay-tien-nhanh</v>
      </c>
      <c r="GY62" s="17" t="str">
        <f>IFERROR(__xludf.DUMMYFUNCTION("""COMPUTED_VALUE"""),"cách tính lãi suất ngân hàng")</f>
        <v>cách tính lãi suất ngân hàng</v>
      </c>
      <c r="GZ62" s="21" t="str">
        <f>IFERROR(__xludf.DUMMYFUNCTION("""COMPUTED_VALUE"""),"https://techcombank.com/thong-tin/blog/tin-chap-doanh-nghiep")</f>
        <v>https://techcombank.com/thong-tin/blog/tin-chap-doanh-nghiep</v>
      </c>
      <c r="HA62" s="17" t="str">
        <f>IFERROR(__xludf.DUMMYFUNCTION("""COMPUTED_VALUE"""),"tính lãi suất ngân hàng")</f>
        <v>tính lãi suất ngân hàng</v>
      </c>
      <c r="HB62" s="21" t="str">
        <f>IFERROR(__xludf.DUMMYFUNCTION("""COMPUTED_VALUE"""),"https://techcombank.com/thong-tin/blog/vay-sinh-vien")</f>
        <v>https://techcombank.com/thong-tin/blog/vay-sinh-vien</v>
      </c>
      <c r="HC62" s="17" t="str">
        <f>IFERROR(__xludf.DUMMYFUNCTION("""COMPUTED_VALUE"""),"tính lãi suất tiết kiệm")</f>
        <v>tính lãi suất tiết kiệm</v>
      </c>
      <c r="HD62" s="21" t="str">
        <f>IFERROR(__xludf.DUMMYFUNCTION("""COMPUTED_VALUE"""),"https://techcombank.com/thong-tin/blog/vay-the-chap-so-hong")</f>
        <v>https://techcombank.com/thong-tin/blog/vay-the-chap-so-hong</v>
      </c>
      <c r="HE62" s="17" t="str">
        <f>IFERROR(__xludf.DUMMYFUNCTION("""COMPUTED_VALUE"""),"cách tính lãi suất tiết kiệm ngân hàng")</f>
        <v>cách tính lãi suất tiết kiệm ngân hàng</v>
      </c>
      <c r="HF62" s="21" t="str">
        <f>IFERROR(__xludf.DUMMYFUNCTION("""COMPUTED_VALUE"""),"https://techcombank.com/thong-tin/blog/lai-suat-vay-mua-o-to")</f>
        <v>https://techcombank.com/thong-tin/blog/lai-suat-vay-mua-o-to</v>
      </c>
      <c r="HG62" s="17" t="str">
        <f>IFERROR(__xludf.DUMMYFUNCTION("""COMPUTED_VALUE"""),"cách tính lãi suất ngân hàng")</f>
        <v>cách tính lãi suất ngân hàng</v>
      </c>
      <c r="HH62" s="21" t="str">
        <f>IFERROR(__xludf.DUMMYFUNCTION("""COMPUTED_VALUE"""),"https://techcombank.com/thong-tin/blog/bao-hiem-vat-chat-xe-o-to")</f>
        <v>https://techcombank.com/thong-tin/blog/bao-hiem-vat-chat-xe-o-to</v>
      </c>
      <c r="HI62" s="17" t="str">
        <f>IFERROR(__xludf.DUMMYFUNCTION("""COMPUTED_VALUE"""),"tính lãi suất ngân hàng")</f>
        <v>tính lãi suất ngân hàng</v>
      </c>
      <c r="HJ62" s="21" t="str">
        <f>IFERROR(__xludf.DUMMYFUNCTION("""COMPUTED_VALUE"""),"https://techcombank.com/thong-tin/blog/vay-300-trieu")</f>
        <v>https://techcombank.com/thong-tin/blog/vay-300-trieu</v>
      </c>
      <c r="HK62" s="17" t="str">
        <f>IFERROR(__xludf.DUMMYFUNCTION("""COMPUTED_VALUE"""),"tính lãi suất tiết kiệm")</f>
        <v>tính lãi suất tiết kiệm</v>
      </c>
      <c r="HL62" s="21" t="str">
        <f>IFERROR(__xludf.DUMMYFUNCTION("""COMPUTED_VALUE"""),"https://techcombank.com/thong-tin/blog/vay-the-chap-xe-o-to-cu")</f>
        <v>https://techcombank.com/thong-tin/blog/vay-the-chap-xe-o-to-cu</v>
      </c>
      <c r="HM62" s="17" t="str">
        <f>IFERROR(__xludf.DUMMYFUNCTION("""COMPUTED_VALUE"""),"cách tính lãi suất tiết kiệm ngân hàng")</f>
        <v>cách tính lãi suất tiết kiệm ngân hàng</v>
      </c>
      <c r="HN62" s="21" t="str">
        <f>IFERROR(__xludf.DUMMYFUNCTION("""COMPUTED_VALUE"""),"https://techcombank.com/thong-tin/blog/thu-tuc-mua-xe-tra-gop")</f>
        <v>https://techcombank.com/thong-tin/blog/thu-tuc-mua-xe-tra-gop</v>
      </c>
      <c r="HO62" s="17" t="str">
        <f>IFERROR(__xludf.DUMMYFUNCTION("""COMPUTED_VALUE"""),"cách tính lãi suất ngân hàng")</f>
        <v>cách tính lãi suất ngân hàng</v>
      </c>
      <c r="HP62" s="21" t="str">
        <f>IFERROR(__xludf.DUMMYFUNCTION("""COMPUTED_VALUE"""),"https://techcombank.com/thong-tin/blog/tra-gop-lazada")</f>
        <v>https://techcombank.com/thong-tin/blog/tra-gop-lazada</v>
      </c>
      <c r="HQ62" s="17" t="str">
        <f>IFERROR(__xludf.DUMMYFUNCTION("""COMPUTED_VALUE"""),"tính lãi suất ngân hàng")</f>
        <v>tính lãi suất ngân hàng</v>
      </c>
      <c r="HR62" s="21" t="str">
        <f>IFERROR(__xludf.DUMMYFUNCTION("""COMPUTED_VALUE"""),"https://techcombank.com/thong-tin/blog/lam-ho-so-tra-gop-dien-thoai")</f>
        <v>https://techcombank.com/thong-tin/blog/lam-ho-so-tra-gop-dien-thoai</v>
      </c>
      <c r="HS62" s="17" t="str">
        <f>IFERROR(__xludf.DUMMYFUNCTION("""COMPUTED_VALUE"""),"tính lãi suất tiết kiệm")</f>
        <v>tính lãi suất tiết kiệm</v>
      </c>
      <c r="HT62" s="21" t="str">
        <f>IFERROR(__xludf.DUMMYFUNCTION("""COMPUTED_VALUE"""),"https://techcombank.com/thong-tin/blog/vay-30-trieu")</f>
        <v>https://techcombank.com/thong-tin/blog/vay-30-trieu</v>
      </c>
      <c r="HU62" s="17" t="str">
        <f>IFERROR(__xludf.DUMMYFUNCTION("""COMPUTED_VALUE"""),"cách tính lãi suất tiết kiệm ngân hàng")</f>
        <v>cách tính lãi suất tiết kiệm ngân hàng</v>
      </c>
      <c r="HV62" s="21" t="str">
        <f>IFERROR(__xludf.DUMMYFUNCTION("""COMPUTED_VALUE"""),"https://techcombank.com/thong-tin/blog/cach-su-dung-the-tin-dung")</f>
        <v>https://techcombank.com/thong-tin/blog/cach-su-dung-the-tin-dung</v>
      </c>
      <c r="HW62" s="17" t="str">
        <f>IFERROR(__xludf.DUMMYFUNCTION("""COMPUTED_VALUE"""),"cách tính lãi suất ngân hàng")</f>
        <v>cách tính lãi suất ngân hàng</v>
      </c>
      <c r="HX62" s="21" t="str">
        <f>IFERROR(__xludf.DUMMYFUNCTION("""COMPUTED_VALUE"""),"https://techcombank.com/thong-tin/blog/vay-mua-nha-o-xa-hoi")</f>
        <v>https://techcombank.com/thong-tin/blog/vay-mua-nha-o-xa-hoi</v>
      </c>
      <c r="HY62" s="17" t="str">
        <f>IFERROR(__xludf.DUMMYFUNCTION("""COMPUTED_VALUE"""),"tính lãi suất ngân hàng")</f>
        <v>tính lãi suất ngân hàng</v>
      </c>
      <c r="HZ62" s="21" t="str">
        <f>IFERROR(__xludf.DUMMYFUNCTION("""COMPUTED_VALUE"""),"https://techcombank.com/thong-tin/blog/vay-mua-xe-tra-gop-ngan-hang-nao-tot-nhat")</f>
        <v>https://techcombank.com/thong-tin/blog/vay-mua-xe-tra-gop-ngan-hang-nao-tot-nhat</v>
      </c>
      <c r="IA62" s="17" t="str">
        <f>IFERROR(__xludf.DUMMYFUNCTION("""COMPUTED_VALUE"""),"tính lãi suất tiết kiệm")</f>
        <v>tính lãi suất tiết kiệm</v>
      </c>
      <c r="IB62" s="21" t="str">
        <f>IFERROR(__xludf.DUMMYFUNCTION("""COMPUTED_VALUE"""),"https://techcombank.com/thong-tin/blog/nen-mua-xe-tra-gop-hay-tra-thang")</f>
        <v>https://techcombank.com/thong-tin/blog/nen-mua-xe-tra-gop-hay-tra-thang</v>
      </c>
      <c r="IC62" s="17" t="str">
        <f>IFERROR(__xludf.DUMMYFUNCTION("""COMPUTED_VALUE"""),"cách tính lãi suất tiết kiệm ngân hàng")</f>
        <v>cách tính lãi suất tiết kiệm ngân hàng</v>
      </c>
      <c r="ID62" s="21" t="str">
        <f>IFERROR(__xludf.DUMMYFUNCTION("""COMPUTED_VALUE"""),"https://techcombank.com/thong-tin/blog/vay-the-chap-kinh-doanh")</f>
        <v>https://techcombank.com/thong-tin/blog/vay-the-chap-kinh-doanh</v>
      </c>
      <c r="IE62" s="17" t="str">
        <f>IFERROR(__xludf.DUMMYFUNCTION("""COMPUTED_VALUE"""),"cách tính lãi suất ngân hàng")</f>
        <v>cách tính lãi suất ngân hàng</v>
      </c>
      <c r="IF62" s="21" t="str">
        <f>IFERROR(__xludf.DUMMYFUNCTION("""COMPUTED_VALUE"""),"https://techcombank.com/thong-tin/blog/the-ghi-no-va-the-tin-dung")</f>
        <v>https://techcombank.com/thong-tin/blog/the-ghi-no-va-the-tin-dung</v>
      </c>
      <c r="IG62" s="17" t="str">
        <f>IFERROR(__xludf.DUMMYFUNCTION("""COMPUTED_VALUE"""),"tính lãi suất ngân hàng")</f>
        <v>tính lãi suất ngân hàng</v>
      </c>
      <c r="IH62" s="21" t="str">
        <f>IFERROR(__xludf.DUMMYFUNCTION("""COMPUTED_VALUE"""),"https://techcombank.com/thong-tin/blog/lai-suat-vay-the-chap")</f>
        <v>https://techcombank.com/thong-tin/blog/lai-suat-vay-the-chap</v>
      </c>
      <c r="II62" s="17" t="str">
        <f>IFERROR(__xludf.DUMMYFUNCTION("""COMPUTED_VALUE"""),"tính lãi suất tiết kiệm")</f>
        <v>tính lãi suất tiết kiệm</v>
      </c>
      <c r="IJ62" s="21" t="str">
        <f>IFERROR(__xludf.DUMMYFUNCTION("""COMPUTED_VALUE"""),"https://techcombank.com/thong-tin/blog/uu-dai-the-tin-dung-techcombank-signature")</f>
        <v>https://techcombank.com/thong-tin/blog/uu-dai-the-tin-dung-techcombank-signature</v>
      </c>
      <c r="IK62" s="17" t="str">
        <f>IFERROR(__xludf.DUMMYFUNCTION("""COMPUTED_VALUE"""),"cách tính lãi suất tiết kiệm ngân hàng")</f>
        <v>cách tính lãi suất tiết kiệm ngân hàng</v>
      </c>
      <c r="IL62" s="21" t="str">
        <f>IFERROR(__xludf.DUMMYFUNCTION("""COMPUTED_VALUE"""),"https://techcombank.com/thong-tin/blog/vay-tin-chap-va-vay-the-chap")</f>
        <v>https://techcombank.com/thong-tin/blog/vay-tin-chap-va-vay-the-chap</v>
      </c>
      <c r="IM62" s="17" t="str">
        <f>IFERROR(__xludf.DUMMYFUNCTION("""COMPUTED_VALUE"""),"cách tính lãi suất ngân hàng")</f>
        <v>cách tính lãi suất ngân hàng</v>
      </c>
      <c r="IN62" s="21" t="str">
        <f>IFERROR(__xludf.DUMMYFUNCTION("""COMPUTED_VALUE"""),"https://techcombank.com/thong-tin/blog/dac-san-hai-phong")</f>
        <v>https://techcombank.com/thong-tin/blog/dac-san-hai-phong</v>
      </c>
      <c r="IO62" s="17" t="str">
        <f>IFERROR(__xludf.DUMMYFUNCTION("""COMPUTED_VALUE"""),"tính lãi suất ngân hàng")</f>
        <v>tính lãi suất ngân hàng</v>
      </c>
      <c r="IP62" s="21" t="str">
        <f>IFERROR(__xludf.DUMMYFUNCTION("""COMPUTED_VALUE"""),"https://techcombank.com/thong-tin/blog/ngan-hang-dien-tu")</f>
        <v>https://techcombank.com/thong-tin/blog/ngan-hang-dien-tu</v>
      </c>
      <c r="IQ62" s="17" t="str">
        <f>IFERROR(__xludf.DUMMYFUNCTION("""COMPUTED_VALUE"""),"tính lãi suất tiết kiệm")</f>
        <v>tính lãi suất tiết kiệm</v>
      </c>
      <c r="IR62" s="21" t="str">
        <f>IFERROR(__xludf.DUMMYFUNCTION("""COMPUTED_VALUE"""),"https://techcombank.com/thong-tin/blog/nhung-kho-khan-khi-tiet-kiem-tien")</f>
        <v>https://techcombank.com/thong-tin/blog/nhung-kho-khan-khi-tiet-kiem-tien</v>
      </c>
      <c r="IS62" s="17" t="str">
        <f>IFERROR(__xludf.DUMMYFUNCTION("""COMPUTED_VALUE"""),"cách tính lãi suất tiết kiệm ngân hàng")</f>
        <v>cách tính lãi suất tiết kiệm ngân hàng</v>
      </c>
      <c r="IT62" s="21" t="str">
        <f>IFERROR(__xludf.DUMMYFUNCTION("""COMPUTED_VALUE"""),"https://techcombank.com/thong-tin/blog/loi-ich-cua-mua-sam-online")</f>
        <v>https://techcombank.com/thong-tin/blog/loi-ich-cua-mua-sam-online</v>
      </c>
      <c r="IU62" s="17" t="str">
        <f>IFERROR(__xludf.DUMMYFUNCTION("""COMPUTED_VALUE"""),"cách tính lãi suất ngân hàng")</f>
        <v>cách tính lãi suất ngân hàng</v>
      </c>
      <c r="IV62" s="21" t="str">
        <f>IFERROR(__xludf.DUMMYFUNCTION("""COMPUTED_VALUE"""),"https://techcombank.com/thong-tin/blog/xu-huong-dau-tu-trai-phieu-ky-han-duoi-mot-nam-lua-chon-an-toan-khi-thi-truong-bien-dong")</f>
        <v>https://techcombank.com/thong-tin/blog/xu-huong-dau-tu-trai-phieu-ky-han-duoi-mot-nam-lua-chon-an-toan-khi-thi-truong-bien-dong</v>
      </c>
      <c r="IW62" s="17" t="str">
        <f>IFERROR(__xludf.DUMMYFUNCTION("""COMPUTED_VALUE"""),"tính lãi suất ngân hàng")</f>
        <v>tính lãi suất ngân hàng</v>
      </c>
      <c r="IX62" s="21" t="str">
        <f>IFERROR(__xludf.DUMMYFUNCTION("""COMPUTED_VALUE"""),"https://techcombank.com/thong-tin/blog/voucher-coopmart")</f>
        <v>https://techcombank.com/thong-tin/blog/voucher-coopmart</v>
      </c>
      <c r="IY62" s="17" t="str">
        <f>IFERROR(__xludf.DUMMYFUNCTION("""COMPUTED_VALUE"""),"tính lãi suất tiết kiệm")</f>
        <v>tính lãi suất tiết kiệm</v>
      </c>
      <c r="IZ62" s="21" t="str">
        <f>IFERROR(__xludf.DUMMYFUNCTION("""COMPUTED_VALUE"""),"https://techcombank.com/thong-tin/blog/dau-tu-tai-chinh-ca-nhan")</f>
        <v>https://techcombank.com/thong-tin/blog/dau-tu-tai-chinh-ca-nhan</v>
      </c>
      <c r="JA62" s="17" t="str">
        <f>IFERROR(__xludf.DUMMYFUNCTION("""COMPUTED_VALUE"""),"cách tính lãi suất tiết kiệm ngân hàng")</f>
        <v>cách tính lãi suất tiết kiệm ngân hàng</v>
      </c>
      <c r="JB62" s="21" t="str">
        <f>IFERROR(__xludf.DUMMYFUNCTION("""COMPUTED_VALUE"""),"https://techcombank.com/thong-tin/blog/dang-ky-thanh-lap-doanh-nghiep")</f>
        <v>https://techcombank.com/thong-tin/blog/dang-ky-thanh-lap-doanh-nghiep</v>
      </c>
      <c r="JC62" s="17" t="str">
        <f>IFERROR(__xludf.DUMMYFUNCTION("""COMPUTED_VALUE"""),"cách tính lãi suất ngân hàng")</f>
        <v>cách tính lãi suất ngân hàng</v>
      </c>
      <c r="JD62" s="21" t="str">
        <f>IFERROR(__xludf.DUMMYFUNCTION("""COMPUTED_VALUE"""),"https://techcombank.com/thong-tin/blog/quan-ly-chuoi-cua-hang")</f>
        <v>https://techcombank.com/thong-tin/blog/quan-ly-chuoi-cua-hang</v>
      </c>
      <c r="JE62" s="17" t="str">
        <f>IFERROR(__xludf.DUMMYFUNCTION("""COMPUTED_VALUE"""),"tính lãi suất ngân hàng")</f>
        <v>tính lãi suất ngân hàng</v>
      </c>
      <c r="JF62" s="21" t="str">
        <f>IFERROR(__xludf.DUMMYFUNCTION("""COMPUTED_VALUE"""),"https://techcombank.com/thong-tin/blog/woomaster")</f>
        <v>https://techcombank.com/thong-tin/blog/woomaster</v>
      </c>
      <c r="JG62" s="17" t="str">
        <f>IFERROR(__xludf.DUMMYFUNCTION("""COMPUTED_VALUE"""),"tính lãi suất tiết kiệm")</f>
        <v>tính lãi suất tiết kiệm</v>
      </c>
      <c r="JH62" s="21" t="str">
        <f>IFERROR(__xludf.DUMMYFUNCTION("""COMPUTED_VALUE"""),"https://techcombank.com/thong-tin/blog/nap-xu-tiktok")</f>
        <v>https://techcombank.com/thong-tin/blog/nap-xu-tiktok</v>
      </c>
      <c r="JI62" s="17" t="str">
        <f>IFERROR(__xludf.DUMMYFUNCTION("""COMPUTED_VALUE"""),"cách tính lãi suất tiết kiệm ngân hàng")</f>
        <v>cách tính lãi suất tiết kiệm ngân hàng</v>
      </c>
      <c r="JJ62" s="21" t="str">
        <f>IFERROR(__xludf.DUMMYFUNCTION("""COMPUTED_VALUE"""),"https://techcombank.com/thong-tin/blog/cach-tiet-kiem-tien-theo-tuan")</f>
        <v>https://techcombank.com/thong-tin/blog/cach-tiet-kiem-tien-theo-tuan</v>
      </c>
      <c r="JK62" s="17" t="str">
        <f>IFERROR(__xludf.DUMMYFUNCTION("""COMPUTED_VALUE"""),"cách tính lãi suất ngân hàng")</f>
        <v>cách tính lãi suất ngân hàng</v>
      </c>
      <c r="JL62" s="21" t="str">
        <f>IFERROR(__xludf.DUMMYFUNCTION("""COMPUTED_VALUE"""),"https://techcombank.com/thong-tin/blog/quan-ly-tai-chinh-cho-dan-van-phong")</f>
        <v>https://techcombank.com/thong-tin/blog/quan-ly-tai-chinh-cho-dan-van-phong</v>
      </c>
      <c r="JM62" s="17" t="str">
        <f>IFERROR(__xludf.DUMMYFUNCTION("""COMPUTED_VALUE"""),"tính lãi suất ngân hàng")</f>
        <v>tính lãi suất ngân hàng</v>
      </c>
      <c r="JN62" s="21" t="str">
        <f>IFERROR(__xludf.DUMMYFUNCTION("""COMPUTED_VALUE"""),"https://techcombank.com/thong-tin/blog/dau-tu-ngan-han")</f>
        <v>https://techcombank.com/thong-tin/blog/dau-tu-ngan-han</v>
      </c>
      <c r="JO62" s="17" t="str">
        <f>IFERROR(__xludf.DUMMYFUNCTION("""COMPUTED_VALUE"""),"tính lãi suất tiết kiệm")</f>
        <v>tính lãi suất tiết kiệm</v>
      </c>
      <c r="JP62" s="21" t="str">
        <f>IFERROR(__xludf.DUMMYFUNCTION("""COMPUTED_VALUE"""),"https://techcombank.com/thong-tin/blog/tiet-kiem-tien-moi-ngay")</f>
        <v>https://techcombank.com/thong-tin/blog/tiet-kiem-tien-moi-ngay</v>
      </c>
      <c r="JQ62" s="17" t="str">
        <f>IFERROR(__xludf.DUMMYFUNCTION("""COMPUTED_VALUE"""),"cách tính lãi suất tiết kiệm ngân hàng")</f>
        <v>cách tính lãi suất tiết kiệm ngân hàng</v>
      </c>
      <c r="JR62" s="21" t="str">
        <f>IFERROR(__xludf.DUMMYFUNCTION("""COMPUTED_VALUE"""),"https://techcombank.com/thong-tin/blog/cach-tiet-kiem-100-trieu-1-nam")</f>
        <v>https://techcombank.com/thong-tin/blog/cach-tiet-kiem-100-trieu-1-nam</v>
      </c>
      <c r="JS62" s="17" t="str">
        <f>IFERROR(__xludf.DUMMYFUNCTION("""COMPUTED_VALUE"""),"cách tính lãi suất ngân hàng")</f>
        <v>cách tính lãi suất ngân hàng</v>
      </c>
      <c r="JT62" s="21" t="str">
        <f>IFERROR(__xludf.DUMMYFUNCTION("""COMPUTED_VALUE"""),"https://techcombank.com/thong-tin/blog/tai-khoan-tiet-kiem")</f>
        <v>https://techcombank.com/thong-tin/blog/tai-khoan-tiet-kiem</v>
      </c>
      <c r="JU62" s="17" t="str">
        <f>IFERROR(__xludf.DUMMYFUNCTION("""COMPUTED_VALUE"""),"tính lãi suất ngân hàng")</f>
        <v>tính lãi suất ngân hàng</v>
      </c>
      <c r="JV62" s="21" t="str">
        <f>IFERROR(__xludf.DUMMYFUNCTION("""COMPUTED_VALUE"""),"https://techcombank.com/thong-tin/blog/the-nao-la-tiet-kiem")</f>
        <v>https://techcombank.com/thong-tin/blog/the-nao-la-tiet-kiem</v>
      </c>
      <c r="JW62" s="17" t="str">
        <f>IFERROR(__xludf.DUMMYFUNCTION("""COMPUTED_VALUE"""),"tính lãi suất tiết kiệm")</f>
        <v>tính lãi suất tiết kiệm</v>
      </c>
      <c r="JX62" s="21" t="str">
        <f>IFERROR(__xludf.DUMMYFUNCTION("""COMPUTED_VALUE"""),"https://techcombank.com/thong-tin/blog/thanh-toan-khi-du-lich-singapore")</f>
        <v>https://techcombank.com/thong-tin/blog/thanh-toan-khi-du-lich-singapore</v>
      </c>
      <c r="JY62" s="17" t="str">
        <f>IFERROR(__xludf.DUMMYFUNCTION("""COMPUTED_VALUE"""),"cách tính lãi suất tiết kiệm ngân hàng")</f>
        <v>cách tính lãi suất tiết kiệm ngân hàng</v>
      </c>
      <c r="JZ62" s="21" t="str">
        <f>IFERROR(__xludf.DUMMYFUNCTION("""COMPUTED_VALUE"""),"https://techcombank.com/thong-tin/blog/loa-thong-bao-chuyen-khoan")</f>
        <v>https://techcombank.com/thong-tin/blog/loa-thong-bao-chuyen-khoan</v>
      </c>
      <c r="KA62" s="17" t="str">
        <f>IFERROR(__xludf.DUMMYFUNCTION("""COMPUTED_VALUE"""),"cách tính lãi suất ngân hàng")</f>
        <v>cách tính lãi suất ngân hàng</v>
      </c>
      <c r="KB62" s="21" t="str">
        <f>IFERROR(__xludf.DUMMYFUNCTION("""COMPUTED_VALUE"""),"https://techcombank.com/thong-tin/blog/dat-xe-xanh-sm")</f>
        <v>https://techcombank.com/thong-tin/blog/dat-xe-xanh-sm</v>
      </c>
      <c r="KC62" s="17" t="str">
        <f>IFERROR(__xludf.DUMMYFUNCTION("""COMPUTED_VALUE"""),"tính lãi suất ngân hàng")</f>
        <v>tính lãi suất ngân hàng</v>
      </c>
      <c r="KD62" s="21" t="str">
        <f>IFERROR(__xludf.DUMMYFUNCTION("""COMPUTED_VALUE"""),"https://techcombank.com/thong-tin/blog/cach-tiet-kiem-tien-cua-nguoi-nhat")</f>
        <v>https://techcombank.com/thong-tin/blog/cach-tiet-kiem-tien-cua-nguoi-nhat</v>
      </c>
      <c r="KE62" s="17" t="str">
        <f>IFERROR(__xludf.DUMMYFUNCTION("""COMPUTED_VALUE"""),"tính lãi suất tiết kiệm")</f>
        <v>tính lãi suất tiết kiệm</v>
      </c>
      <c r="KF62" s="21" t="str">
        <f>IFERROR(__xludf.DUMMYFUNCTION("""COMPUTED_VALUE"""),"https://techcombank.com/thong-tin/blog/tai-khoan-thanh-toan-la-gi")</f>
        <v>https://techcombank.com/thong-tin/blog/tai-khoan-thanh-toan-la-gi</v>
      </c>
      <c r="KG62" s="17" t="str">
        <f>IFERROR(__xludf.DUMMYFUNCTION("""COMPUTED_VALUE"""),"cách tính lãi suất tiết kiệm ngân hàng")</f>
        <v>cách tính lãi suất tiết kiệm ngân hàng</v>
      </c>
      <c r="KH62" s="21" t="str">
        <f>IFERROR(__xludf.DUMMYFUNCTION("""COMPUTED_VALUE"""),"https://techcombank.com/thong-tin/blog/gui-them-tien-vao-so-tiet-kiem")</f>
        <v>https://techcombank.com/thong-tin/blog/gui-them-tien-vao-so-tiet-kiem</v>
      </c>
      <c r="KI62" s="17" t="str">
        <f>IFERROR(__xludf.DUMMYFUNCTION("""COMPUTED_VALUE"""),"cách tính lãi suất ngân hàng")</f>
        <v>cách tính lãi suất ngân hàng</v>
      </c>
      <c r="KJ62" s="21" t="str">
        <f>IFERROR(__xludf.DUMMYFUNCTION("""COMPUTED_VALUE"""),"https://techcombank.com/thong-tin/blog/loi-ich-cua-viec-tiet-kiem-tien")</f>
        <v>https://techcombank.com/thong-tin/blog/loi-ich-cua-viec-tiet-kiem-tien</v>
      </c>
      <c r="KK62" s="17" t="str">
        <f>IFERROR(__xludf.DUMMYFUNCTION("""COMPUTED_VALUE"""),"tính lãi suất ngân hàng")</f>
        <v>tính lãi suất ngân hàng</v>
      </c>
      <c r="KL62" s="21" t="str">
        <f>IFERROR(__xludf.DUMMYFUNCTION("""COMPUTED_VALUE"""),"https://techcombank.com/thong-tin/blog/mo-the-ghi-no")</f>
        <v>https://techcombank.com/thong-tin/blog/mo-the-ghi-no</v>
      </c>
      <c r="KM62" s="17" t="str">
        <f>IFERROR(__xludf.DUMMYFUNCTION("""COMPUTED_VALUE"""),"tính lãi suất tiết kiệm")</f>
        <v>tính lãi suất tiết kiệm</v>
      </c>
      <c r="KN62" s="21" t="str">
        <f>IFERROR(__xludf.DUMMYFUNCTION("""COMPUTED_VALUE"""),"https://techcombank.com/thong-tin/blog/phan-mem-lap-ke-hoach-tai-chinh-ca-nhan")</f>
        <v>https://techcombank.com/thong-tin/blog/phan-mem-lap-ke-hoach-tai-chinh-ca-nhan</v>
      </c>
      <c r="KO62" s="17" t="str">
        <f>IFERROR(__xludf.DUMMYFUNCTION("""COMPUTED_VALUE"""),"cách tính lãi suất tiết kiệm ngân hàng")</f>
        <v>cách tính lãi suất tiết kiệm ngân hàng</v>
      </c>
      <c r="KP62" s="21" t="str">
        <f>IFERROR(__xludf.DUMMYFUNCTION("""COMPUTED_VALUE"""),"https://techcombank.com/thong-tin/blog/thanh-toan-tien-nuoc-online")</f>
        <v>https://techcombank.com/thong-tin/blog/thanh-toan-tien-nuoc-online</v>
      </c>
      <c r="KQ62" s="17" t="str">
        <f>IFERROR(__xludf.DUMMYFUNCTION("""COMPUTED_VALUE"""),"cách tính lãi suất ngân hàng")</f>
        <v>cách tính lãi suất ngân hàng</v>
      </c>
      <c r="KR62" s="21" t="str">
        <f>IFERROR(__xludf.DUMMYFUNCTION("""COMPUTED_VALUE"""),"https://techcombank.com/thong-tin/blog/mat-so-tiet-kiem")</f>
        <v>https://techcombank.com/thong-tin/blog/mat-so-tiet-kiem</v>
      </c>
      <c r="KS62" s="17" t="str">
        <f>IFERROR(__xludf.DUMMYFUNCTION("""COMPUTED_VALUE"""),"tính lãi suất ngân hàng")</f>
        <v>tính lãi suất ngân hàng</v>
      </c>
      <c r="KT62" s="21" t="str">
        <f>IFERROR(__xludf.DUMMYFUNCTION("""COMPUTED_VALUE"""),"https://techcombank.com/thong-tin/blog/thanh-toan-hoc-phi-online")</f>
        <v>https://techcombank.com/thong-tin/blog/thanh-toan-hoc-phi-online</v>
      </c>
      <c r="KU62" s="17" t="str">
        <f>IFERROR(__xludf.DUMMYFUNCTION("""COMPUTED_VALUE"""),"tính lãi suất tiết kiệm")</f>
        <v>tính lãi suất tiết kiệm</v>
      </c>
      <c r="KV62" s="21" t="str">
        <f>IFERROR(__xludf.DUMMYFUNCTION("""COMPUTED_VALUE"""),"https://techcombank.com/thong-tin/blog/chung-chi-tien-gui-co-duoc-rut-truoc-han")</f>
        <v>https://techcombank.com/thong-tin/blog/chung-chi-tien-gui-co-duoc-rut-truoc-han</v>
      </c>
      <c r="KW62" s="17" t="str">
        <f>IFERROR(__xludf.DUMMYFUNCTION("""COMPUTED_VALUE"""),"cách tính lãi suất tiết kiệm ngân hàng")</f>
        <v>cách tính lãi suất tiết kiệm ngân hàng</v>
      </c>
      <c r="KX62" s="21" t="str">
        <f>IFERROR(__xludf.DUMMYFUNCTION("""COMPUTED_VALUE"""),"https://techcombank.com/thong-tin/blog/uu-dai-mua-iphone-18")</f>
        <v>https://techcombank.com/thong-tin/blog/uu-dai-mua-iphone-18</v>
      </c>
      <c r="KY62" s="17" t="str">
        <f>IFERROR(__xludf.DUMMYFUNCTION("""COMPUTED_VALUE"""),"cách tính lãi suất ngân hàng")</f>
        <v>cách tính lãi suất ngân hàng</v>
      </c>
      <c r="KZ62" s="21" t="str">
        <f>IFERROR(__xludf.DUMMYFUNCTION("""COMPUTED_VALUE"""),"https://techcombank.com/thong-tin/blog/thanh-toan-khi-du-lich-han-quoc")</f>
        <v>https://techcombank.com/thong-tin/blog/thanh-toan-khi-du-lich-han-quoc</v>
      </c>
      <c r="LA62" s="17"/>
      <c r="LB62" s="17"/>
      <c r="LC62" s="17"/>
      <c r="LD62" s="17"/>
      <c r="LE62" s="17"/>
      <c r="LF62" s="17"/>
      <c r="LG62" s="17"/>
      <c r="LH62" s="17"/>
      <c r="LI62" s="17"/>
      <c r="LJ62" s="17"/>
      <c r="LK62" s="17"/>
      <c r="LL62" s="17"/>
      <c r="LM62" s="17"/>
      <c r="LN62" s="17"/>
      <c r="LO62" s="17"/>
      <c r="LP62" s="17"/>
      <c r="LQ62" s="17"/>
      <c r="LR62" s="17"/>
      <c r="LS62" s="17"/>
      <c r="LT62" s="17"/>
      <c r="LU62" s="17"/>
      <c r="LV62" s="17"/>
      <c r="LW62" s="17"/>
      <c r="LX62" s="17"/>
      <c r="LY62" s="17"/>
      <c r="LZ62" s="17"/>
      <c r="MA62" s="17"/>
      <c r="MB62" s="17"/>
      <c r="MC62" s="17"/>
      <c r="MD62" s="17"/>
      <c r="ME62" s="17"/>
      <c r="MF62" s="17"/>
      <c r="MG62" s="17"/>
      <c r="MH62" s="17"/>
      <c r="MI62" s="17"/>
      <c r="MJ62" s="17"/>
      <c r="MK62" s="17"/>
      <c r="ML62" s="17"/>
      <c r="MM62" s="17"/>
      <c r="MN62" s="17"/>
      <c r="MO62" s="17"/>
      <c r="MP62" s="17"/>
      <c r="MQ62" s="17"/>
      <c r="MR62" s="17"/>
      <c r="MS62" s="17"/>
      <c r="MT62" s="17"/>
      <c r="MU62" s="17"/>
      <c r="MV62" s="17"/>
      <c r="MW62" s="17"/>
      <c r="MX62" s="17"/>
      <c r="MY62" s="17"/>
      <c r="MZ62" s="17"/>
      <c r="NA62" s="17"/>
      <c r="NB62" s="17"/>
      <c r="NC62" s="17"/>
      <c r="ND62" s="17"/>
      <c r="NE62" s="17"/>
      <c r="NF62" s="17"/>
      <c r="NG62" s="17"/>
      <c r="NH62" s="17"/>
      <c r="NI62" s="17"/>
      <c r="NJ62" s="17"/>
      <c r="NK62" s="17"/>
      <c r="NL62" s="17"/>
      <c r="NM62" s="17"/>
      <c r="NN62" s="17"/>
      <c r="NO62" s="17"/>
      <c r="NP62" s="17"/>
      <c r="NQ62" s="17"/>
      <c r="NR62" s="17"/>
      <c r="NS62" s="17"/>
      <c r="NT62" s="17"/>
      <c r="NU62" s="17"/>
      <c r="NV62" s="17"/>
      <c r="NW62" s="17"/>
      <c r="NX62" s="17"/>
      <c r="NY62" s="17"/>
      <c r="NZ62" s="17"/>
      <c r="OA62" s="17"/>
      <c r="OB62" s="17"/>
      <c r="OC62" s="17"/>
      <c r="OD62" s="17"/>
      <c r="OE62" s="17"/>
      <c r="OF62" s="17"/>
      <c r="OG62" s="17"/>
      <c r="OH62" s="17"/>
      <c r="OI62" s="17"/>
      <c r="OJ62" s="17"/>
      <c r="OK62" s="17"/>
      <c r="OL62" s="17"/>
      <c r="OM62" s="17"/>
      <c r="ON62" s="17"/>
      <c r="OO62" s="17"/>
      <c r="OP62" s="17"/>
      <c r="OQ62" s="17"/>
      <c r="OR62" s="17"/>
      <c r="OS62" s="17"/>
      <c r="OT62" s="17"/>
      <c r="OU62" s="17"/>
      <c r="OV62" s="17"/>
    </row>
    <row r="63" ht="18.0" customHeight="1">
      <c r="A63" s="16">
        <v>62.0</v>
      </c>
      <c r="B63" s="17" t="s">
        <v>1717</v>
      </c>
      <c r="C63" s="18" t="s">
        <v>1753</v>
      </c>
      <c r="D63" s="17" t="s">
        <v>596</v>
      </c>
      <c r="E63" s="16">
        <v>30.0</v>
      </c>
      <c r="F63" s="16">
        <f>COUNTIF('Tổng hợp 75 trang đích'!$B$2:$B$3400,$D63)</f>
        <v>30</v>
      </c>
      <c r="G63" s="16">
        <f>COUNTIFS('Tổng hợp 75 trang đích'!$B$2:$B$3400,$D63,'Tổng hợp 75 trang đích'!$K$2:$K$3400,"PHÙ HỢP CAO")</f>
        <v>3</v>
      </c>
      <c r="H63" s="16">
        <f>COUNTIFS('Tổng hợp 75 trang đích'!$B$2:$B$3400,$D63,'Tổng hợp 75 trang đích'!$K$2:$K$3400,"CÓ THỂ ĐI")</f>
        <v>2</v>
      </c>
      <c r="I63" s="16">
        <f>COUNTIFS('Tổng hợp 75 trang đích'!$B$2:$B$3400,$D63,'Tổng hợp 75 trang đích'!$K$2:$K$3400,"CẦN SOÁT")</f>
        <v>25</v>
      </c>
      <c r="J63" s="19" t="s">
        <v>555</v>
      </c>
      <c r="K63" s="19" t="b">
        <v>0</v>
      </c>
      <c r="L63" s="20" t="s">
        <v>333</v>
      </c>
      <c r="M63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đích'!$B$2:$B$3400=$D63),3,TR"&amp;"UE),1,2)),"""")"),"rút tiền tiết kiệm trước thời hạn")</f>
        <v>rút tiền tiết kiệm trước thời hạn</v>
      </c>
      <c r="N63" s="21" t="str">
        <f>IFERROR(__xludf.DUMMYFUNCTION("""COMPUTED_VALUE"""),"https://techcombank.com/thong-tin/blog/tat-toan-so-tiet-kiem")</f>
        <v>https://techcombank.com/thong-tin/blog/tat-toan-so-tiet-kiem</v>
      </c>
      <c r="O63" s="17" t="str">
        <f>IFERROR(__xludf.DUMMYFUNCTION("""COMPUTED_VALUE"""),"rút tiết kiệm trước hạn")</f>
        <v>rút tiết kiệm trước hạn</v>
      </c>
      <c r="P63" s="21" t="str">
        <f>IFERROR(__xludf.DUMMYFUNCTION("""COMPUTED_VALUE"""),"https://techcombank.com/thong-tin/blog/gui-tiet-kiem-online-co-rut-truoc-han-duoc-khong")</f>
        <v>https://techcombank.com/thong-tin/blog/gui-tiet-kiem-online-co-rut-truoc-han-duoc-khong</v>
      </c>
      <c r="Q63" s="17" t="str">
        <f>IFERROR(__xludf.DUMMYFUNCTION("""COMPUTED_VALUE"""),"rút tiền tiết kiệm trước thời hạn")</f>
        <v>rút tiền tiết kiệm trước thời hạn</v>
      </c>
      <c r="R63" s="21" t="str">
        <f>IFERROR(__xludf.DUMMYFUNCTION("""COMPUTED_VALUE"""),"https://techcombank.com/thong-tin/blog/vay-thau-chi-bang-so-tiet-kiem")</f>
        <v>https://techcombank.com/thong-tin/blog/vay-thau-chi-bang-so-tiet-kiem</v>
      </c>
      <c r="S63" s="17" t="str">
        <f>IFERROR(__xludf.DUMMYFUNCTION("""COMPUTED_VALUE"""),"rút tiết kiệm trước hạn")</f>
        <v>rút tiết kiệm trước hạn</v>
      </c>
      <c r="T63" s="21" t="str">
        <f>IFERROR(__xludf.DUMMYFUNCTION("""COMPUTED_VALUE"""),"https://techcombank.com/thong-tin/blog/mat-so-tiet-kiem")</f>
        <v>https://techcombank.com/thong-tin/blog/mat-so-tiet-kiem</v>
      </c>
      <c r="U63" s="17" t="str">
        <f>IFERROR(__xludf.DUMMYFUNCTION("""COMPUTED_VALUE"""),"rút tiền tiết kiệm trước thời hạn")</f>
        <v>rút tiền tiết kiệm trước thời hạn</v>
      </c>
      <c r="V63" s="21" t="str">
        <f>IFERROR(__xludf.DUMMYFUNCTION("""COMPUTED_VALUE"""),"https://techcombank.com/thong-tin/blog/gui-them-tien-vao-so-tiet-kiem")</f>
        <v>https://techcombank.com/thong-tin/blog/gui-them-tien-vao-so-tiet-kiem</v>
      </c>
      <c r="W63" s="17" t="str">
        <f>IFERROR(__xludf.DUMMYFUNCTION("""COMPUTED_VALUE"""),"rút tiết kiệm trước hạn")</f>
        <v>rút tiết kiệm trước hạn</v>
      </c>
      <c r="X63" s="21" t="str">
        <f>IFERROR(__xludf.DUMMYFUNCTION("""COMPUTED_VALUE"""),"https://techcombank.com/thong-tin/blog/so-tiet-kiem-ngan-hang")</f>
        <v>https://techcombank.com/thong-tin/blog/so-tiet-kiem-ngan-hang</v>
      </c>
      <c r="Y63" s="17" t="str">
        <f>IFERROR(__xludf.DUMMYFUNCTION("""COMPUTED_VALUE"""),"rút tiền tiết kiệm trước thời hạn")</f>
        <v>rút tiền tiết kiệm trước thời hạn</v>
      </c>
      <c r="Z63" s="21" t="str">
        <f>IFERROR(__xludf.DUMMYFUNCTION("""COMPUTED_VALUE"""),"https://techcombank.com/thong-tin/blog/tat-toan")</f>
        <v>https://techcombank.com/thong-tin/blog/tat-toan</v>
      </c>
      <c r="AA63" s="17" t="str">
        <f>IFERROR(__xludf.DUMMYFUNCTION("""COMPUTED_VALUE"""),"rút tiết kiệm trước hạn")</f>
        <v>rút tiết kiệm trước hạn</v>
      </c>
      <c r="AB63" s="21" t="str">
        <f>IFERROR(__xludf.DUMMYFUNCTION("""COMPUTED_VALUE"""),"https://techcombank.com/thong-tin/blog/dao-han-la-gi")</f>
        <v>https://techcombank.com/thong-tin/blog/dao-han-la-gi</v>
      </c>
      <c r="AC63" s="17" t="str">
        <f>IFERROR(__xludf.DUMMYFUNCTION("""COMPUTED_VALUE"""),"rút tiền tiết kiệm trước thời hạn")</f>
        <v>rút tiền tiết kiệm trước thời hạn</v>
      </c>
      <c r="AD63" s="21" t="str">
        <f>IFERROR(__xludf.DUMMYFUNCTION("""COMPUTED_VALUE"""),"https://techcombank.com/thong-tin/blog/quy-trinh-tat-toan-khoan-vay-the-chap")</f>
        <v>https://techcombank.com/thong-tin/blog/quy-trinh-tat-toan-khoan-vay-the-chap</v>
      </c>
      <c r="AE63" s="17" t="str">
        <f>IFERROR(__xludf.DUMMYFUNCTION("""COMPUTED_VALUE"""),"rút tiết kiệm trước hạn")</f>
        <v>rút tiết kiệm trước hạn</v>
      </c>
      <c r="AF63" s="21" t="str">
        <f>IFERROR(__xludf.DUMMYFUNCTION("""COMPUTED_VALUE"""),"https://techcombank.com/thong-tin/blog/tat-toan-chung-chi-tien-gui")</f>
        <v>https://techcombank.com/thong-tin/blog/tat-toan-chung-chi-tien-gui</v>
      </c>
      <c r="AG63" s="17" t="str">
        <f>IFERROR(__xludf.DUMMYFUNCTION("""COMPUTED_VALUE"""),"rút tiền tiết kiệm trước thời hạn")</f>
        <v>rút tiền tiết kiệm trước thời hạn</v>
      </c>
      <c r="AH63" s="21" t="str">
        <f>IFERROR(__xludf.DUMMYFUNCTION("""COMPUTED_VALUE"""),"https://techcombank.com/thong-tin/blog/mo-so-tiet-kiem-can-bao-nhieu-tien")</f>
        <v>https://techcombank.com/thong-tin/blog/mo-so-tiet-kiem-can-bao-nhieu-tien</v>
      </c>
      <c r="AI63" s="17" t="str">
        <f>IFERROR(__xludf.DUMMYFUNCTION("""COMPUTED_VALUE"""),"rút tiết kiệm trước hạn")</f>
        <v>rút tiết kiệm trước hạn</v>
      </c>
      <c r="AJ63" s="21" t="str">
        <f>IFERROR(__xludf.DUMMYFUNCTION("""COMPUTED_VALUE"""),"https://techcombank.com/thong-tin/blog/chuyen-nhuong-chung-chi-tien-gui")</f>
        <v>https://techcombank.com/thong-tin/blog/chuyen-nhuong-chung-chi-tien-gui</v>
      </c>
      <c r="AK63" s="17" t="str">
        <f>IFERROR(__xludf.DUMMYFUNCTION("""COMPUTED_VALUE"""),"rút tiền tiết kiệm trước thời hạn")</f>
        <v>rút tiền tiết kiệm trước thời hạn</v>
      </c>
      <c r="AL63" s="21" t="str">
        <f>IFERROR(__xludf.DUMMYFUNCTION("""COMPUTED_VALUE"""),"https://techcombank.com/thong-tin/blog/no-xau-mo-the-tin-dung-duoc-khong")</f>
        <v>https://techcombank.com/thong-tin/blog/no-xau-mo-the-tin-dung-duoc-khong</v>
      </c>
      <c r="AM63" s="17" t="str">
        <f>IFERROR(__xludf.DUMMYFUNCTION("""COMPUTED_VALUE"""),"rút tiết kiệm trước hạn")</f>
        <v>rút tiết kiệm trước hạn</v>
      </c>
      <c r="AN63" s="21" t="str">
        <f>IFERROR(__xludf.DUMMYFUNCTION("""COMPUTED_VALUE"""),"https://techcombank.com/thong-tin/blog/rut-tien-bao-hiem-nhan-tho-khi-het-han")</f>
        <v>https://techcombank.com/thong-tin/blog/rut-tien-bao-hiem-nhan-tho-khi-het-han</v>
      </c>
      <c r="AO63" s="17" t="str">
        <f>IFERROR(__xludf.DUMMYFUNCTION("""COMPUTED_VALUE"""),"rút tiền tiết kiệm trước thời hạn")</f>
        <v>rút tiền tiết kiệm trước thời hạn</v>
      </c>
      <c r="AP63" s="21" t="str">
        <f>IFERROR(__xludf.DUMMYFUNCTION("""COMPUTED_VALUE"""),"https://techcombank.com/thong-tin/blog/mo-the-tin-dung-khong-can-chung-minh-thu-nhap")</f>
        <v>https://techcombank.com/thong-tin/blog/mo-the-tin-dung-khong-can-chung-minh-thu-nhap</v>
      </c>
      <c r="AQ63" s="17" t="str">
        <f>IFERROR(__xludf.DUMMYFUNCTION("""COMPUTED_VALUE"""),"rút tiết kiệm trước hạn")</f>
        <v>rút tiết kiệm trước hạn</v>
      </c>
      <c r="AR63" s="21" t="str">
        <f>IFERROR(__xludf.DUMMYFUNCTION("""COMPUTED_VALUE"""),"https://techcombank.com/thong-tin/blog/chung-chi-tien-gui-khac-gi-so-tiet-kiem")</f>
        <v>https://techcombank.com/thong-tin/blog/chung-chi-tien-gui-khac-gi-so-tiet-kiem</v>
      </c>
      <c r="AS63" s="17" t="str">
        <f>IFERROR(__xludf.DUMMYFUNCTION("""COMPUTED_VALUE"""),"rút tiền tiết kiệm trước thời hạn")</f>
        <v>rút tiền tiết kiệm trước thời hạn</v>
      </c>
      <c r="AT63" s="21" t="str">
        <f>IFERROR(__xludf.DUMMYFUNCTION("""COMPUTED_VALUE"""),"https://techcombank.com/thong-tin/blog/chung-chi-tien-gui-co-duoc-rut-truoc-han")</f>
        <v>https://techcombank.com/thong-tin/blog/chung-chi-tien-gui-co-duoc-rut-truoc-han</v>
      </c>
      <c r="AU63" s="17" t="str">
        <f>IFERROR(__xludf.DUMMYFUNCTION("""COMPUTED_VALUE"""),"rút tiết kiệm trước hạn")</f>
        <v>rút tiết kiệm trước hạn</v>
      </c>
      <c r="AV63" s="21" t="str">
        <f>IFERROR(__xludf.DUMMYFUNCTION("""COMPUTED_VALUE"""),"https://techcombank.com/thong-tin/blog/vay-20-trieu")</f>
        <v>https://techcombank.com/thong-tin/blog/vay-20-trieu</v>
      </c>
      <c r="AW63" s="17" t="str">
        <f>IFERROR(__xludf.DUMMYFUNCTION("""COMPUTED_VALUE"""),"rút tiền tiết kiệm trước thời hạn")</f>
        <v>rút tiền tiết kiệm trước thời hạn</v>
      </c>
      <c r="AX63" s="21" t="str">
        <f>IFERROR(__xludf.DUMMYFUNCTION("""COMPUTED_VALUE"""),"https://techcombank.com/thong-tin/blog/tien-gui-co-ky-han")</f>
        <v>https://techcombank.com/thong-tin/blog/tien-gui-co-ky-han</v>
      </c>
      <c r="AY63" s="17" t="str">
        <f>IFERROR(__xludf.DUMMYFUNCTION("""COMPUTED_VALUE"""),"rút tiết kiệm trước hạn")</f>
        <v>rút tiết kiệm trước hạn</v>
      </c>
      <c r="AZ63" s="21" t="str">
        <f>IFERROR(__xludf.DUMMYFUNCTION("""COMPUTED_VALUE"""),"https://techcombank.com/thong-tin/blog/lai-suat-chung-chi-tien-gui-cac-ngan-hang")</f>
        <v>https://techcombank.com/thong-tin/blog/lai-suat-chung-chi-tien-gui-cac-ngan-hang</v>
      </c>
      <c r="BA63" s="17" t="str">
        <f>IFERROR(__xludf.DUMMYFUNCTION("""COMPUTED_VALUE"""),"rút tiền tiết kiệm trước thời hạn")</f>
        <v>rút tiền tiết kiệm trước thời hạn</v>
      </c>
      <c r="BB63" s="21" t="str">
        <f>IFERROR(__xludf.DUMMYFUNCTION("""COMPUTED_VALUE"""),"https://techcombank.com/thong-tin/blog/gui-tiet-kiem-theo-ngay")</f>
        <v>https://techcombank.com/thong-tin/blog/gui-tiet-kiem-theo-ngay</v>
      </c>
      <c r="BC63" s="17" t="str">
        <f>IFERROR(__xludf.DUMMYFUNCTION("""COMPUTED_VALUE"""),"rút tiết kiệm trước hạn")</f>
        <v>rút tiết kiệm trước hạn</v>
      </c>
      <c r="BD63" s="21" t="str">
        <f>IFERROR(__xludf.DUMMYFUNCTION("""COMPUTED_VALUE"""),"https://techcombank.com/thong-tin/blog/nen-gui-tiet-kiem-6-thang-hay-1-nam")</f>
        <v>https://techcombank.com/thong-tin/blog/nen-gui-tiet-kiem-6-thang-hay-1-nam</v>
      </c>
      <c r="BE63" s="17" t="str">
        <f>IFERROR(__xludf.DUMMYFUNCTION("""COMPUTED_VALUE"""),"rút tiền tiết kiệm trước thời hạn")</f>
        <v>rút tiền tiết kiệm trước thời hạn</v>
      </c>
      <c r="BF63" s="21" t="str">
        <f>IFERROR(__xludf.DUMMYFUNCTION("""COMPUTED_VALUE"""),"https://techcombank.com/thong-tin/blog/cach-su-dung-the-tin-dung")</f>
        <v>https://techcombank.com/thong-tin/blog/cach-su-dung-the-tin-dung</v>
      </c>
      <c r="BG63" s="17" t="str">
        <f>IFERROR(__xludf.DUMMYFUNCTION("""COMPUTED_VALUE"""),"rút tiết kiệm trước hạn")</f>
        <v>rút tiết kiệm trước hạn</v>
      </c>
      <c r="BH63" s="21" t="str">
        <f>IFERROR(__xludf.DUMMYFUNCTION("""COMPUTED_VALUE"""),"https://techcombank.com/thong-tin/blog/chon-kenh-dau-tu-an-toan-trong-boi-canh-thi-truong-bien-dong")</f>
        <v>https://techcombank.com/thong-tin/blog/chon-kenh-dau-tu-an-toan-trong-boi-canh-thi-truong-bien-dong</v>
      </c>
      <c r="BI63" s="17" t="str">
        <f>IFERROR(__xludf.DUMMYFUNCTION("""COMPUTED_VALUE"""),"rút tiền tiết kiệm trước thời hạn")</f>
        <v>rút tiền tiết kiệm trước thời hạn</v>
      </c>
      <c r="BJ63" s="21" t="str">
        <f>IFERROR(__xludf.DUMMYFUNCTION("""COMPUTED_VALUE"""),"https://techcombank.com/thong-tin/blog/kinh-nghiem-gui-tiet-kiem-online")</f>
        <v>https://techcombank.com/thong-tin/blog/kinh-nghiem-gui-tiet-kiem-online</v>
      </c>
      <c r="BK63" s="17" t="str">
        <f>IFERROR(__xludf.DUMMYFUNCTION("""COMPUTED_VALUE"""),"rút tiết kiệm trước hạn")</f>
        <v>rút tiết kiệm trước hạn</v>
      </c>
      <c r="BL63" s="21" t="str">
        <f>IFERROR(__xludf.DUMMYFUNCTION("""COMPUTED_VALUE"""),"https://techcombank.com/thong-tin/blog/so-sanh-gui-tiet-kiem-online-va-tai-quay")</f>
        <v>https://techcombank.com/thong-tin/blog/so-sanh-gui-tiet-kiem-online-va-tai-quay</v>
      </c>
      <c r="BM63" s="17" t="str">
        <f>IFERROR(__xludf.DUMMYFUNCTION("""COMPUTED_VALUE"""),"rút tiền tiết kiệm trước thời hạn")</f>
        <v>rút tiền tiết kiệm trước thời hạn</v>
      </c>
      <c r="BN63" s="21" t="str">
        <f>IFERROR(__xludf.DUMMYFUNCTION("""COMPUTED_VALUE"""),"https://techcombank.com/thong-tin/blog/cach-tiet-kiem-tien-sinh-loi")</f>
        <v>https://techcombank.com/thong-tin/blog/cach-tiet-kiem-tien-sinh-loi</v>
      </c>
      <c r="BO63" s="17" t="str">
        <f>IFERROR(__xludf.DUMMYFUNCTION("""COMPUTED_VALUE"""),"rút tiết kiệm trước hạn")</f>
        <v>rút tiết kiệm trước hạn</v>
      </c>
      <c r="BP63" s="21" t="str">
        <f>IFERROR(__xludf.DUMMYFUNCTION("""COMPUTED_VALUE"""),"https://techcombank.com/thong-tin/blog/gui-tiet-kiem-hang-thang")</f>
        <v>https://techcombank.com/thong-tin/blog/gui-tiet-kiem-hang-thang</v>
      </c>
      <c r="BQ63" s="17" t="str">
        <f>IFERROR(__xludf.DUMMYFUNCTION("""COMPUTED_VALUE"""),"rút tiền tiết kiệm trước thời hạn")</f>
        <v>rút tiền tiết kiệm trước thời hạn</v>
      </c>
      <c r="BR63" s="21" t="str">
        <f>IFERROR(__xludf.DUMMYFUNCTION("""COMPUTED_VALUE"""),"https://techcombank.com/thong-tin/blog/gui-tiet-kiem-vang")</f>
        <v>https://techcombank.com/thong-tin/blog/gui-tiet-kiem-vang</v>
      </c>
      <c r="BS63" s="17" t="str">
        <f>IFERROR(__xludf.DUMMYFUNCTION("""COMPUTED_VALUE"""),"rút tiết kiệm trước hạn")</f>
        <v>rút tiết kiệm trước hạn</v>
      </c>
      <c r="BT63" s="21" t="str">
        <f>IFERROR(__xludf.DUMMYFUNCTION("""COMPUTED_VALUE"""),"https://techcombank.com/thong-tin/blog/dau-tu-trai-phieu-doanh-nghiep-dung-ham-lai-suat-cao")</f>
        <v>https://techcombank.com/thong-tin/blog/dau-tu-trai-phieu-doanh-nghiep-dung-ham-lai-suat-cao</v>
      </c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  <c r="FM63" s="17"/>
      <c r="FN63" s="17"/>
      <c r="FO63" s="17"/>
      <c r="FP63" s="17"/>
      <c r="FQ63" s="17"/>
      <c r="FR63" s="17"/>
      <c r="FS63" s="17"/>
      <c r="FT63" s="17"/>
      <c r="FU63" s="17"/>
      <c r="FV63" s="17"/>
      <c r="FW63" s="17"/>
      <c r="FX63" s="17"/>
      <c r="FY63" s="17"/>
      <c r="FZ63" s="17"/>
      <c r="GA63" s="17"/>
      <c r="GB63" s="17"/>
      <c r="GC63" s="17"/>
      <c r="GD63" s="17"/>
      <c r="GE63" s="17"/>
      <c r="GF63" s="17"/>
      <c r="GG63" s="17"/>
      <c r="GH63" s="17"/>
      <c r="GI63" s="17"/>
      <c r="GJ63" s="17"/>
      <c r="GK63" s="17"/>
      <c r="GL63" s="17"/>
      <c r="GM63" s="17"/>
      <c r="GN63" s="17"/>
      <c r="GO63" s="17"/>
      <c r="GP63" s="17"/>
      <c r="GQ63" s="17"/>
      <c r="GR63" s="17"/>
      <c r="GS63" s="17"/>
      <c r="GT63" s="17"/>
      <c r="GU63" s="17"/>
      <c r="GV63" s="17"/>
      <c r="GW63" s="17"/>
      <c r="GX63" s="17"/>
      <c r="GY63" s="17"/>
      <c r="GZ63" s="17"/>
      <c r="HA63" s="17"/>
      <c r="HB63" s="17"/>
      <c r="HC63" s="17"/>
      <c r="HD63" s="17"/>
      <c r="HE63" s="17"/>
      <c r="HF63" s="17"/>
      <c r="HG63" s="17"/>
      <c r="HH63" s="17"/>
      <c r="HI63" s="17"/>
      <c r="HJ63" s="17"/>
      <c r="HK63" s="17"/>
      <c r="HL63" s="17"/>
      <c r="HM63" s="17"/>
      <c r="HN63" s="17"/>
      <c r="HO63" s="17"/>
      <c r="HP63" s="17"/>
      <c r="HQ63" s="17"/>
      <c r="HR63" s="17"/>
      <c r="HS63" s="17"/>
      <c r="HT63" s="17"/>
      <c r="HU63" s="17"/>
      <c r="HV63" s="17"/>
      <c r="HW63" s="17"/>
      <c r="HX63" s="17"/>
      <c r="HY63" s="17"/>
      <c r="HZ63" s="17"/>
      <c r="IA63" s="17"/>
      <c r="IB63" s="17"/>
      <c r="IC63" s="17"/>
      <c r="ID63" s="17"/>
      <c r="IE63" s="17"/>
      <c r="IF63" s="17"/>
      <c r="IG63" s="17"/>
      <c r="IH63" s="17"/>
      <c r="II63" s="17"/>
      <c r="IJ63" s="17"/>
      <c r="IK63" s="17"/>
      <c r="IL63" s="17"/>
      <c r="IM63" s="17"/>
      <c r="IN63" s="17"/>
      <c r="IO63" s="17"/>
      <c r="IP63" s="17"/>
      <c r="IQ63" s="17"/>
      <c r="IR63" s="17"/>
      <c r="IS63" s="17"/>
      <c r="IT63" s="17"/>
      <c r="IU63" s="17"/>
      <c r="IV63" s="17"/>
      <c r="IW63" s="17"/>
      <c r="IX63" s="17"/>
      <c r="IY63" s="17"/>
      <c r="IZ63" s="17"/>
      <c r="JA63" s="17"/>
      <c r="JB63" s="17"/>
      <c r="JC63" s="17"/>
      <c r="JD63" s="17"/>
      <c r="JE63" s="17"/>
      <c r="JF63" s="17"/>
      <c r="JG63" s="17"/>
      <c r="JH63" s="17"/>
      <c r="JI63" s="17"/>
      <c r="JJ63" s="17"/>
      <c r="JK63" s="17"/>
      <c r="JL63" s="17"/>
      <c r="JM63" s="17"/>
      <c r="JN63" s="17"/>
      <c r="JO63" s="17"/>
      <c r="JP63" s="17"/>
      <c r="JQ63" s="17"/>
      <c r="JR63" s="17"/>
      <c r="JS63" s="17"/>
      <c r="JT63" s="17"/>
      <c r="JU63" s="17"/>
      <c r="JV63" s="17"/>
      <c r="JW63" s="17"/>
      <c r="JX63" s="17"/>
      <c r="JY63" s="17"/>
      <c r="JZ63" s="17"/>
      <c r="KA63" s="17"/>
      <c r="KB63" s="17"/>
      <c r="KC63" s="17"/>
      <c r="KD63" s="17"/>
      <c r="KE63" s="17"/>
      <c r="KF63" s="17"/>
      <c r="KG63" s="17"/>
      <c r="KH63" s="17"/>
      <c r="KI63" s="17"/>
      <c r="KJ63" s="17"/>
      <c r="KK63" s="17"/>
      <c r="KL63" s="17"/>
      <c r="KM63" s="17"/>
      <c r="KN63" s="17"/>
      <c r="KO63" s="17"/>
      <c r="KP63" s="17"/>
      <c r="KQ63" s="17"/>
      <c r="KR63" s="17"/>
      <c r="KS63" s="17"/>
      <c r="KT63" s="17"/>
      <c r="KU63" s="17"/>
      <c r="KV63" s="17"/>
      <c r="KW63" s="17"/>
      <c r="KX63" s="17"/>
      <c r="KY63" s="17"/>
      <c r="KZ63" s="17"/>
      <c r="LA63" s="17"/>
      <c r="LB63" s="17"/>
      <c r="LC63" s="17"/>
      <c r="LD63" s="17"/>
      <c r="LE63" s="17"/>
      <c r="LF63" s="17"/>
      <c r="LG63" s="17"/>
      <c r="LH63" s="17"/>
      <c r="LI63" s="17"/>
      <c r="LJ63" s="17"/>
      <c r="LK63" s="17"/>
      <c r="LL63" s="17"/>
      <c r="LM63" s="17"/>
      <c r="LN63" s="17"/>
      <c r="LO63" s="17"/>
      <c r="LP63" s="17"/>
      <c r="LQ63" s="17"/>
      <c r="LR63" s="17"/>
      <c r="LS63" s="17"/>
      <c r="LT63" s="17"/>
      <c r="LU63" s="17"/>
      <c r="LV63" s="17"/>
      <c r="LW63" s="17"/>
      <c r="LX63" s="17"/>
      <c r="LY63" s="17"/>
      <c r="LZ63" s="17"/>
      <c r="MA63" s="17"/>
      <c r="MB63" s="17"/>
      <c r="MC63" s="17"/>
      <c r="MD63" s="17"/>
      <c r="ME63" s="17"/>
      <c r="MF63" s="17"/>
      <c r="MG63" s="17"/>
      <c r="MH63" s="17"/>
      <c r="MI63" s="17"/>
      <c r="MJ63" s="17"/>
      <c r="MK63" s="17"/>
      <c r="ML63" s="17"/>
      <c r="MM63" s="17"/>
      <c r="MN63" s="17"/>
      <c r="MO63" s="17"/>
      <c r="MP63" s="17"/>
      <c r="MQ63" s="17"/>
      <c r="MR63" s="17"/>
      <c r="MS63" s="17"/>
      <c r="MT63" s="17"/>
      <c r="MU63" s="17"/>
      <c r="MV63" s="17"/>
      <c r="MW63" s="17"/>
      <c r="MX63" s="17"/>
      <c r="MY63" s="17"/>
      <c r="MZ63" s="17"/>
      <c r="NA63" s="17"/>
      <c r="NB63" s="17"/>
      <c r="NC63" s="17"/>
      <c r="ND63" s="17"/>
      <c r="NE63" s="17"/>
      <c r="NF63" s="17"/>
      <c r="NG63" s="17"/>
      <c r="NH63" s="17"/>
      <c r="NI63" s="17"/>
      <c r="NJ63" s="17"/>
      <c r="NK63" s="17"/>
      <c r="NL63" s="17"/>
      <c r="NM63" s="17"/>
      <c r="NN63" s="17"/>
      <c r="NO63" s="17"/>
      <c r="NP63" s="17"/>
      <c r="NQ63" s="17"/>
      <c r="NR63" s="17"/>
      <c r="NS63" s="17"/>
      <c r="NT63" s="17"/>
      <c r="NU63" s="17"/>
      <c r="NV63" s="17"/>
      <c r="NW63" s="17"/>
      <c r="NX63" s="17"/>
      <c r="NY63" s="17"/>
      <c r="NZ63" s="17"/>
      <c r="OA63" s="17"/>
      <c r="OB63" s="17"/>
      <c r="OC63" s="17"/>
      <c r="OD63" s="17"/>
      <c r="OE63" s="17"/>
      <c r="OF63" s="17"/>
      <c r="OG63" s="17"/>
      <c r="OH63" s="17"/>
      <c r="OI63" s="17"/>
      <c r="OJ63" s="17"/>
      <c r="OK63" s="17"/>
      <c r="OL63" s="17"/>
      <c r="OM63" s="17"/>
      <c r="ON63" s="17"/>
      <c r="OO63" s="17"/>
      <c r="OP63" s="17"/>
      <c r="OQ63" s="17"/>
      <c r="OR63" s="17"/>
      <c r="OS63" s="17"/>
      <c r="OT63" s="17"/>
      <c r="OU63" s="17"/>
      <c r="OV63" s="17"/>
    </row>
    <row r="64" ht="18.0" customHeight="1">
      <c r="A64" s="16">
        <v>63.0</v>
      </c>
      <c r="B64" s="17" t="s">
        <v>1717</v>
      </c>
      <c r="C64" s="18" t="s">
        <v>1767</v>
      </c>
      <c r="D64" s="17" t="s">
        <v>598</v>
      </c>
      <c r="E64" s="16">
        <v>30.0</v>
      </c>
      <c r="F64" s="16">
        <f>COUNTIF('Tổng hợp 75 trang đích'!$B$2:$B$3400,$D64)</f>
        <v>30</v>
      </c>
      <c r="G64" s="16">
        <f>COUNTIFS('Tổng hợp 75 trang đích'!$B$2:$B$3400,$D64,'Tổng hợp 75 trang đích'!$K$2:$K$3400,"PHÙ HỢP CAO")</f>
        <v>4</v>
      </c>
      <c r="H64" s="16">
        <f>COUNTIFS('Tổng hợp 75 trang đích'!$B$2:$B$3400,$D64,'Tổng hợp 75 trang đích'!$K$2:$K$3400,"CÓ THỂ ĐI")</f>
        <v>1</v>
      </c>
      <c r="I64" s="16">
        <f>COUNTIFS('Tổng hợp 75 trang đích'!$B$2:$B$3400,$D64,'Tổng hợp 75 trang đích'!$K$2:$K$3400,"CẦN SOÁT")</f>
        <v>25</v>
      </c>
      <c r="J64" s="19" t="s">
        <v>555</v>
      </c>
      <c r="K64" s="19" t="b">
        <v>0</v>
      </c>
      <c r="L64" s="20" t="s">
        <v>333</v>
      </c>
      <c r="M64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đích'!$B$2:$B$3400=$D64),3,TR"&amp;"UE),1,2)),"""")"),"sổ tiết kiệm ngân hàng")</f>
        <v>sổ tiết kiệm ngân hàng</v>
      </c>
      <c r="N64" s="21" t="str">
        <f>IFERROR(__xludf.DUMMYFUNCTION("""COMPUTED_VALUE"""),"https://techcombank.com/thong-tin/blog/mo-so-tiet-kiem-can-bao-nhieu-tien")</f>
        <v>https://techcombank.com/thong-tin/blog/mo-so-tiet-kiem-can-bao-nhieu-tien</v>
      </c>
      <c r="O64" s="17" t="str">
        <f>IFERROR(__xludf.DUMMYFUNCTION("""COMPUTED_VALUE"""),"sổ tiết kiệm")</f>
        <v>sổ tiết kiệm</v>
      </c>
      <c r="P64" s="21" t="str">
        <f>IFERROR(__xludf.DUMMYFUNCTION("""COMPUTED_VALUE"""),"https://techcombank.com/thong-tin/blog/tai-khoan-tiet-kiem")</f>
        <v>https://techcombank.com/thong-tin/blog/tai-khoan-tiet-kiem</v>
      </c>
      <c r="Q64" s="17" t="str">
        <f>IFERROR(__xludf.DUMMYFUNCTION("""COMPUTED_VALUE"""),"sổ tiết kiệm ngân hàng")</f>
        <v>sổ tiết kiệm ngân hàng</v>
      </c>
      <c r="R64" s="21" t="str">
        <f>IFERROR(__xludf.DUMMYFUNCTION("""COMPUTED_VALUE"""),"https://techcombank.com/thong-tin/blog/mat-so-tiet-kiem")</f>
        <v>https://techcombank.com/thong-tin/blog/mat-so-tiet-kiem</v>
      </c>
      <c r="S64" s="17" t="str">
        <f>IFERROR(__xludf.DUMMYFUNCTION("""COMPUTED_VALUE"""),"sổ tiết kiệm")</f>
        <v>sổ tiết kiệm</v>
      </c>
      <c r="T64" s="21" t="str">
        <f>IFERROR(__xludf.DUMMYFUNCTION("""COMPUTED_VALUE"""),"https://techcombank.com/thong-tin/blog/gui-them-tien-vao-so-tiet-kiem")</f>
        <v>https://techcombank.com/thong-tin/blog/gui-them-tien-vao-so-tiet-kiem</v>
      </c>
      <c r="U64" s="17" t="str">
        <f>IFERROR(__xludf.DUMMYFUNCTION("""COMPUTED_VALUE"""),"sổ tiết kiệm ngân hàng")</f>
        <v>sổ tiết kiệm ngân hàng</v>
      </c>
      <c r="V64" s="21" t="str">
        <f>IFERROR(__xludf.DUMMYFUNCTION("""COMPUTED_VALUE"""),"https://techcombank.com/thong-tin/blog/quy-trinh-gui-tien-tiet-kiem")</f>
        <v>https://techcombank.com/thong-tin/blog/quy-trinh-gui-tien-tiet-kiem</v>
      </c>
      <c r="W64" s="17" t="str">
        <f>IFERROR(__xludf.DUMMYFUNCTION("""COMPUTED_VALUE"""),"sổ tiết kiệm")</f>
        <v>sổ tiết kiệm</v>
      </c>
      <c r="X64" s="21" t="str">
        <f>IFERROR(__xludf.DUMMYFUNCTION("""COMPUTED_VALUE"""),"https://techcombank.com/thong-tin/blog/gui-tiet-kiem-theo-ngay")</f>
        <v>https://techcombank.com/thong-tin/blog/gui-tiet-kiem-theo-ngay</v>
      </c>
      <c r="Y64" s="17" t="str">
        <f>IFERROR(__xludf.DUMMYFUNCTION("""COMPUTED_VALUE"""),"sổ tiết kiệm ngân hàng")</f>
        <v>sổ tiết kiệm ngân hàng</v>
      </c>
      <c r="Z64" s="21" t="str">
        <f>IFERROR(__xludf.DUMMYFUNCTION("""COMPUTED_VALUE"""),"https://techcombank.com/thong-tin/blog/tai-khoan-thanh-toan-la-gi")</f>
        <v>https://techcombank.com/thong-tin/blog/tai-khoan-thanh-toan-la-gi</v>
      </c>
      <c r="AA64" s="17" t="str">
        <f>IFERROR(__xludf.DUMMYFUNCTION("""COMPUTED_VALUE"""),"sổ tiết kiệm")</f>
        <v>sổ tiết kiệm</v>
      </c>
      <c r="AB64" s="21" t="str">
        <f>IFERROR(__xludf.DUMMYFUNCTION("""COMPUTED_VALUE"""),"https://techcombank.com/thong-tin/blog/gui-tiet-kiem-vang")</f>
        <v>https://techcombank.com/thong-tin/blog/gui-tiet-kiem-vang</v>
      </c>
      <c r="AC64" s="17" t="str">
        <f>IFERROR(__xludf.DUMMYFUNCTION("""COMPUTED_VALUE"""),"sổ tiết kiệm ngân hàng")</f>
        <v>sổ tiết kiệm ngân hàng</v>
      </c>
      <c r="AD64" s="21" t="str">
        <f>IFERROR(__xludf.DUMMYFUNCTION("""COMPUTED_VALUE"""),"https://techcombank.com/thong-tin/blog/nen-gui-tiet-kiem-thong-thuong-hay-tich-luy")</f>
        <v>https://techcombank.com/thong-tin/blog/nen-gui-tiet-kiem-thong-thuong-hay-tich-luy</v>
      </c>
      <c r="AE64" s="17" t="str">
        <f>IFERROR(__xludf.DUMMYFUNCTION("""COMPUTED_VALUE"""),"sổ tiết kiệm")</f>
        <v>sổ tiết kiệm</v>
      </c>
      <c r="AF64" s="21" t="str">
        <f>IFERROR(__xludf.DUMMYFUNCTION("""COMPUTED_VALUE"""),"https://techcombank.com/thong-tin/blog/tai-sao-gui-tiet-kiem-online-lai-suat-cao-hon")</f>
        <v>https://techcombank.com/thong-tin/blog/tai-sao-gui-tiet-kiem-online-lai-suat-cao-hon</v>
      </c>
      <c r="AG64" s="17" t="str">
        <f>IFERROR(__xludf.DUMMYFUNCTION("""COMPUTED_VALUE"""),"sổ tiết kiệm ngân hàng")</f>
        <v>sổ tiết kiệm ngân hàng</v>
      </c>
      <c r="AH64" s="21" t="str">
        <f>IFERROR(__xludf.DUMMYFUNCTION("""COMPUTED_VALUE"""),"https://techcombank.com/thong-tin/blog/tat-toan-so-tiet-kiem")</f>
        <v>https://techcombank.com/thong-tin/blog/tat-toan-so-tiet-kiem</v>
      </c>
      <c r="AI64" s="17" t="str">
        <f>IFERROR(__xludf.DUMMYFUNCTION("""COMPUTED_VALUE"""),"sổ tiết kiệm")</f>
        <v>sổ tiết kiệm</v>
      </c>
      <c r="AJ64" s="21" t="str">
        <f>IFERROR(__xludf.DUMMYFUNCTION("""COMPUTED_VALUE"""),"https://techcombank.com/thong-tin/blog/tat-toan")</f>
        <v>https://techcombank.com/thong-tin/blog/tat-toan</v>
      </c>
      <c r="AK64" s="17" t="str">
        <f>IFERROR(__xludf.DUMMYFUNCTION("""COMPUTED_VALUE"""),"sổ tiết kiệm ngân hàng")</f>
        <v>sổ tiết kiệm ngân hàng</v>
      </c>
      <c r="AL64" s="21" t="str">
        <f>IFERROR(__xludf.DUMMYFUNCTION("""COMPUTED_VALUE"""),"https://techcombank.com/thong-tin/blog/dao-han-la-gi")</f>
        <v>https://techcombank.com/thong-tin/blog/dao-han-la-gi</v>
      </c>
      <c r="AM64" s="17" t="str">
        <f>IFERROR(__xludf.DUMMYFUNCTION("""COMPUTED_VALUE"""),"sổ tiết kiệm")</f>
        <v>sổ tiết kiệm</v>
      </c>
      <c r="AN64" s="21" t="str">
        <f>IFERROR(__xludf.DUMMYFUNCTION("""COMPUTED_VALUE"""),"https://techcombank.com/thong-tin/blog/nen-de-tien-trong-the-hay-gui-tiet-kiem")</f>
        <v>https://techcombank.com/thong-tin/blog/nen-de-tien-trong-the-hay-gui-tiet-kiem</v>
      </c>
      <c r="AO64" s="17" t="str">
        <f>IFERROR(__xludf.DUMMYFUNCTION("""COMPUTED_VALUE"""),"sổ tiết kiệm ngân hàng")</f>
        <v>sổ tiết kiệm ngân hàng</v>
      </c>
      <c r="AP64" s="21" t="str">
        <f>IFERROR(__xludf.DUMMYFUNCTION("""COMPUTED_VALUE"""),"https://techcombank.com/thong-tin/blog/co-nen-gui-tiet-kiem-ngan-hang")</f>
        <v>https://techcombank.com/thong-tin/blog/co-nen-gui-tiet-kiem-ngan-hang</v>
      </c>
      <c r="AQ64" s="17" t="str">
        <f>IFERROR(__xludf.DUMMYFUNCTION("""COMPUTED_VALUE"""),"sổ tiết kiệm")</f>
        <v>sổ tiết kiệm</v>
      </c>
      <c r="AR64" s="21" t="str">
        <f>IFERROR(__xludf.DUMMYFUNCTION("""COMPUTED_VALUE"""),"https://techcombank.com/thong-tin/blog/lai-suat-tiet-kiem")</f>
        <v>https://techcombank.com/thong-tin/blog/lai-suat-tiet-kiem</v>
      </c>
      <c r="AS64" s="17" t="str">
        <f>IFERROR(__xludf.DUMMYFUNCTION("""COMPUTED_VALUE"""),"sổ tiết kiệm ngân hàng")</f>
        <v>sổ tiết kiệm ngân hàng</v>
      </c>
      <c r="AT64" s="21" t="str">
        <f>IFERROR(__xludf.DUMMYFUNCTION("""COMPUTED_VALUE"""),"https://techcombank.com/thong-tin/blog/co-nen-gui-tiet-kiem-online")</f>
        <v>https://techcombank.com/thong-tin/blog/co-nen-gui-tiet-kiem-online</v>
      </c>
      <c r="AU64" s="17" t="str">
        <f>IFERROR(__xludf.DUMMYFUNCTION("""COMPUTED_VALUE"""),"sổ tiết kiệm")</f>
        <v>sổ tiết kiệm</v>
      </c>
      <c r="AV64" s="21" t="str">
        <f>IFERROR(__xludf.DUMMYFUNCTION("""COMPUTED_VALUE"""),"https://techcombank.com/thong-tin/blog/gui-tiet-kiem-ngan-hang-van-la-lua-chon-an-toan-trong-thoi-ky-kinh-te-con-nhieu-bien-dong")</f>
        <v>https://techcombank.com/thong-tin/blog/gui-tiet-kiem-ngan-hang-van-la-lua-chon-an-toan-trong-thoi-ky-kinh-te-con-nhieu-bien-dong</v>
      </c>
      <c r="AW64" s="17" t="str">
        <f>IFERROR(__xludf.DUMMYFUNCTION("""COMPUTED_VALUE"""),"sổ tiết kiệm ngân hàng")</f>
        <v>sổ tiết kiệm ngân hàng</v>
      </c>
      <c r="AX64" s="21" t="str">
        <f>IFERROR(__xludf.DUMMYFUNCTION("""COMPUTED_VALUE"""),"https://techcombank.com/thong-tin/blog/cach-gui-tiet-kiem-online")</f>
        <v>https://techcombank.com/thong-tin/blog/cach-gui-tiet-kiem-online</v>
      </c>
      <c r="AY64" s="17" t="str">
        <f>IFERROR(__xludf.DUMMYFUNCTION("""COMPUTED_VALUE"""),"sổ tiết kiệm")</f>
        <v>sổ tiết kiệm</v>
      </c>
      <c r="AZ64" s="21" t="str">
        <f>IFERROR(__xludf.DUMMYFUNCTION("""COMPUTED_VALUE"""),"https://techcombank.com/thong-tin/blog/gui-tien-ngan-hang-co-an-toan-khong")</f>
        <v>https://techcombank.com/thong-tin/blog/gui-tien-ngan-hang-co-an-toan-khong</v>
      </c>
      <c r="BA64" s="17" t="str">
        <f>IFERROR(__xludf.DUMMYFUNCTION("""COMPUTED_VALUE"""),"sổ tiết kiệm ngân hàng")</f>
        <v>sổ tiết kiệm ngân hàng</v>
      </c>
      <c r="BB64" s="21" t="str">
        <f>IFERROR(__xludf.DUMMYFUNCTION("""COMPUTED_VALUE"""),"https://techcombank.com/thong-tin/blog/nen-gui-tiet-kiem-6-thang-hay-1-nam")</f>
        <v>https://techcombank.com/thong-tin/blog/nen-gui-tiet-kiem-6-thang-hay-1-nam</v>
      </c>
      <c r="BC64" s="17" t="str">
        <f>IFERROR(__xludf.DUMMYFUNCTION("""COMPUTED_VALUE"""),"sổ tiết kiệm")</f>
        <v>sổ tiết kiệm</v>
      </c>
      <c r="BD64" s="21" t="str">
        <f>IFERROR(__xludf.DUMMYFUNCTION("""COMPUTED_VALUE"""),"https://techcombank.com/thong-tin/blog/mo-tai-khoan-tiet-kiem-cho-con")</f>
        <v>https://techcombank.com/thong-tin/blog/mo-tai-khoan-tiet-kiem-cho-con</v>
      </c>
      <c r="BE64" s="17" t="str">
        <f>IFERROR(__xludf.DUMMYFUNCTION("""COMPUTED_VALUE"""),"sổ tiết kiệm ngân hàng")</f>
        <v>sổ tiết kiệm ngân hàng</v>
      </c>
      <c r="BF64" s="21" t="str">
        <f>IFERROR(__xludf.DUMMYFUNCTION("""COMPUTED_VALUE"""),"https://techcombank.com/thong-tin/blog/gui-tiet-kiem-tich-luy-la-gi")</f>
        <v>https://techcombank.com/thong-tin/blog/gui-tiet-kiem-tich-luy-la-gi</v>
      </c>
      <c r="BG64" s="17" t="str">
        <f>IFERROR(__xludf.DUMMYFUNCTION("""COMPUTED_VALUE"""),"sổ tiết kiệm")</f>
        <v>sổ tiết kiệm</v>
      </c>
      <c r="BH64" s="21" t="str">
        <f>IFERROR(__xludf.DUMMYFUNCTION("""COMPUTED_VALUE"""),"https://techcombank.com/thong-tin/blog/gui-tiet-kiem-lay-lai-hang-thang")</f>
        <v>https://techcombank.com/thong-tin/blog/gui-tiet-kiem-lay-lai-hang-thang</v>
      </c>
      <c r="BI64" s="17" t="str">
        <f>IFERROR(__xludf.DUMMYFUNCTION("""COMPUTED_VALUE"""),"sổ tiết kiệm ngân hàng")</f>
        <v>sổ tiết kiệm ngân hàng</v>
      </c>
      <c r="BJ64" s="21" t="str">
        <f>IFERROR(__xludf.DUMMYFUNCTION("""COMPUTED_VALUE"""),"https://techcombank.com/thong-tin/blog/rui-ro-khi-gui-tiet-kiem-online")</f>
        <v>https://techcombank.com/thong-tin/blog/rui-ro-khi-gui-tiet-kiem-online</v>
      </c>
      <c r="BK64" s="17" t="str">
        <f>IFERROR(__xludf.DUMMYFUNCTION("""COMPUTED_VALUE"""),"sổ tiết kiệm")</f>
        <v>sổ tiết kiệm</v>
      </c>
      <c r="BL64" s="21" t="str">
        <f>IFERROR(__xludf.DUMMYFUNCTION("""COMPUTED_VALUE"""),"https://techcombank.com/thong-tin/blog/cach-tinh-lai-suat-tien-gui-tiet-kiem")</f>
        <v>https://techcombank.com/thong-tin/blog/cach-tinh-lai-suat-tien-gui-tiet-kiem</v>
      </c>
      <c r="BM64" s="17" t="str">
        <f>IFERROR(__xludf.DUMMYFUNCTION("""COMPUTED_VALUE"""),"sổ tiết kiệm ngân hàng")</f>
        <v>sổ tiết kiệm ngân hàng</v>
      </c>
      <c r="BN64" s="21" t="str">
        <f>IFERROR(__xludf.DUMMYFUNCTION("""COMPUTED_VALUE"""),"https://techcombank.com/thong-tin/blog/gui-tiet-kiem-ngoai-te")</f>
        <v>https://techcombank.com/thong-tin/blog/gui-tiet-kiem-ngoai-te</v>
      </c>
      <c r="BO64" s="17" t="str">
        <f>IFERROR(__xludf.DUMMYFUNCTION("""COMPUTED_VALUE"""),"sổ tiết kiệm")</f>
        <v>sổ tiết kiệm</v>
      </c>
      <c r="BP64" s="21" t="str">
        <f>IFERROR(__xludf.DUMMYFUNCTION("""COMPUTED_VALUE"""),"https://techcombank.com/thong-tin/blog/rui-ro-khi-gui-tiet-kiem-ngan-hang")</f>
        <v>https://techcombank.com/thong-tin/blog/rui-ro-khi-gui-tiet-kiem-ngan-hang</v>
      </c>
      <c r="BQ64" s="17" t="str">
        <f>IFERROR(__xludf.DUMMYFUNCTION("""COMPUTED_VALUE"""),"sổ tiết kiệm ngân hàng")</f>
        <v>sổ tiết kiệm ngân hàng</v>
      </c>
      <c r="BR64" s="21" t="str">
        <f>IFERROR(__xludf.DUMMYFUNCTION("""COMPUTED_VALUE"""),"https://techcombank.com/thong-tin/blog/gui-tiet-kiem-hang-thang")</f>
        <v>https://techcombank.com/thong-tin/blog/gui-tiet-kiem-hang-thang</v>
      </c>
      <c r="BS64" s="17" t="str">
        <f>IFERROR(__xludf.DUMMYFUNCTION("""COMPUTED_VALUE"""),"sổ tiết kiệm")</f>
        <v>sổ tiết kiệm</v>
      </c>
      <c r="BT64" s="21" t="str">
        <f>IFERROR(__xludf.DUMMYFUNCTION("""COMPUTED_VALUE"""),"https://techcombank.com/thong-tin/blog/gui-tiet-kiem-online-bi-mat-tien")</f>
        <v>https://techcombank.com/thong-tin/blog/gui-tiet-kiem-online-bi-mat-tien</v>
      </c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  <c r="FN64" s="17"/>
      <c r="FO64" s="17"/>
      <c r="FP64" s="17"/>
      <c r="FQ64" s="17"/>
      <c r="FR64" s="17"/>
      <c r="FS64" s="17"/>
      <c r="FT64" s="17"/>
      <c r="FU64" s="17"/>
      <c r="FV64" s="17"/>
      <c r="FW64" s="17"/>
      <c r="FX64" s="17"/>
      <c r="FY64" s="17"/>
      <c r="FZ64" s="17"/>
      <c r="GA64" s="17"/>
      <c r="GB64" s="17"/>
      <c r="GC64" s="17"/>
      <c r="GD64" s="17"/>
      <c r="GE64" s="17"/>
      <c r="GF64" s="17"/>
      <c r="GG64" s="17"/>
      <c r="GH64" s="17"/>
      <c r="GI64" s="17"/>
      <c r="GJ64" s="17"/>
      <c r="GK64" s="17"/>
      <c r="GL64" s="17"/>
      <c r="GM64" s="17"/>
      <c r="GN64" s="17"/>
      <c r="GO64" s="17"/>
      <c r="GP64" s="17"/>
      <c r="GQ64" s="17"/>
      <c r="GR64" s="17"/>
      <c r="GS64" s="17"/>
      <c r="GT64" s="17"/>
      <c r="GU64" s="17"/>
      <c r="GV64" s="17"/>
      <c r="GW64" s="17"/>
      <c r="GX64" s="17"/>
      <c r="GY64" s="17"/>
      <c r="GZ64" s="17"/>
      <c r="HA64" s="17"/>
      <c r="HB64" s="17"/>
      <c r="HC64" s="17"/>
      <c r="HD64" s="17"/>
      <c r="HE64" s="17"/>
      <c r="HF64" s="17"/>
      <c r="HG64" s="17"/>
      <c r="HH64" s="17"/>
      <c r="HI64" s="17"/>
      <c r="HJ64" s="17"/>
      <c r="HK64" s="17"/>
      <c r="HL64" s="17"/>
      <c r="HM64" s="17"/>
      <c r="HN64" s="17"/>
      <c r="HO64" s="17"/>
      <c r="HP64" s="17"/>
      <c r="HQ64" s="17"/>
      <c r="HR64" s="17"/>
      <c r="HS64" s="17"/>
      <c r="HT64" s="17"/>
      <c r="HU64" s="17"/>
      <c r="HV64" s="17"/>
      <c r="HW64" s="17"/>
      <c r="HX64" s="17"/>
      <c r="HY64" s="17"/>
      <c r="HZ64" s="17"/>
      <c r="IA64" s="17"/>
      <c r="IB64" s="17"/>
      <c r="IC64" s="17"/>
      <c r="ID64" s="17"/>
      <c r="IE64" s="17"/>
      <c r="IF64" s="17"/>
      <c r="IG64" s="17"/>
      <c r="IH64" s="17"/>
      <c r="II64" s="17"/>
      <c r="IJ64" s="17"/>
      <c r="IK64" s="17"/>
      <c r="IL64" s="17"/>
      <c r="IM64" s="17"/>
      <c r="IN64" s="17"/>
      <c r="IO64" s="17"/>
      <c r="IP64" s="17"/>
      <c r="IQ64" s="17"/>
      <c r="IR64" s="17"/>
      <c r="IS64" s="17"/>
      <c r="IT64" s="17"/>
      <c r="IU64" s="17"/>
      <c r="IV64" s="17"/>
      <c r="IW64" s="17"/>
      <c r="IX64" s="17"/>
      <c r="IY64" s="17"/>
      <c r="IZ64" s="17"/>
      <c r="JA64" s="17"/>
      <c r="JB64" s="17"/>
      <c r="JC64" s="17"/>
      <c r="JD64" s="17"/>
      <c r="JE64" s="17"/>
      <c r="JF64" s="17"/>
      <c r="JG64" s="17"/>
      <c r="JH64" s="17"/>
      <c r="JI64" s="17"/>
      <c r="JJ64" s="17"/>
      <c r="JK64" s="17"/>
      <c r="JL64" s="17"/>
      <c r="JM64" s="17"/>
      <c r="JN64" s="17"/>
      <c r="JO64" s="17"/>
      <c r="JP64" s="17"/>
      <c r="JQ64" s="17"/>
      <c r="JR64" s="17"/>
      <c r="JS64" s="17"/>
      <c r="JT64" s="17"/>
      <c r="JU64" s="17"/>
      <c r="JV64" s="17"/>
      <c r="JW64" s="17"/>
      <c r="JX64" s="17"/>
      <c r="JY64" s="17"/>
      <c r="JZ64" s="17"/>
      <c r="KA64" s="17"/>
      <c r="KB64" s="17"/>
      <c r="KC64" s="17"/>
      <c r="KD64" s="17"/>
      <c r="KE64" s="17"/>
      <c r="KF64" s="17"/>
      <c r="KG64" s="17"/>
      <c r="KH64" s="17"/>
      <c r="KI64" s="17"/>
      <c r="KJ64" s="17"/>
      <c r="KK64" s="17"/>
      <c r="KL64" s="17"/>
      <c r="KM64" s="17"/>
      <c r="KN64" s="17"/>
      <c r="KO64" s="17"/>
      <c r="KP64" s="17"/>
      <c r="KQ64" s="17"/>
      <c r="KR64" s="17"/>
      <c r="KS64" s="17"/>
      <c r="KT64" s="17"/>
      <c r="KU64" s="17"/>
      <c r="KV64" s="17"/>
      <c r="KW64" s="17"/>
      <c r="KX64" s="17"/>
      <c r="KY64" s="17"/>
      <c r="KZ64" s="17"/>
      <c r="LA64" s="17"/>
      <c r="LB64" s="17"/>
      <c r="LC64" s="17"/>
      <c r="LD64" s="17"/>
      <c r="LE64" s="17"/>
      <c r="LF64" s="17"/>
      <c r="LG64" s="17"/>
      <c r="LH64" s="17"/>
      <c r="LI64" s="17"/>
      <c r="LJ64" s="17"/>
      <c r="LK64" s="17"/>
      <c r="LL64" s="17"/>
      <c r="LM64" s="17"/>
      <c r="LN64" s="17"/>
      <c r="LO64" s="17"/>
      <c r="LP64" s="17"/>
      <c r="LQ64" s="17"/>
      <c r="LR64" s="17"/>
      <c r="LS64" s="17"/>
      <c r="LT64" s="17"/>
      <c r="LU64" s="17"/>
      <c r="LV64" s="17"/>
      <c r="LW64" s="17"/>
      <c r="LX64" s="17"/>
      <c r="LY64" s="17"/>
      <c r="LZ64" s="17"/>
      <c r="MA64" s="17"/>
      <c r="MB64" s="17"/>
      <c r="MC64" s="17"/>
      <c r="MD64" s="17"/>
      <c r="ME64" s="17"/>
      <c r="MF64" s="17"/>
      <c r="MG64" s="17"/>
      <c r="MH64" s="17"/>
      <c r="MI64" s="17"/>
      <c r="MJ64" s="17"/>
      <c r="MK64" s="17"/>
      <c r="ML64" s="17"/>
      <c r="MM64" s="17"/>
      <c r="MN64" s="17"/>
      <c r="MO64" s="17"/>
      <c r="MP64" s="17"/>
      <c r="MQ64" s="17"/>
      <c r="MR64" s="17"/>
      <c r="MS64" s="17"/>
      <c r="MT64" s="17"/>
      <c r="MU64" s="17"/>
      <c r="MV64" s="17"/>
      <c r="MW64" s="17"/>
      <c r="MX64" s="17"/>
      <c r="MY64" s="17"/>
      <c r="MZ64" s="17"/>
      <c r="NA64" s="17"/>
      <c r="NB64" s="17"/>
      <c r="NC64" s="17"/>
      <c r="ND64" s="17"/>
      <c r="NE64" s="17"/>
      <c r="NF64" s="17"/>
      <c r="NG64" s="17"/>
      <c r="NH64" s="17"/>
      <c r="NI64" s="17"/>
      <c r="NJ64" s="17"/>
      <c r="NK64" s="17"/>
      <c r="NL64" s="17"/>
      <c r="NM64" s="17"/>
      <c r="NN64" s="17"/>
      <c r="NO64" s="17"/>
      <c r="NP64" s="17"/>
      <c r="NQ64" s="17"/>
      <c r="NR64" s="17"/>
      <c r="NS64" s="17"/>
      <c r="NT64" s="17"/>
      <c r="NU64" s="17"/>
      <c r="NV64" s="17"/>
      <c r="NW64" s="17"/>
      <c r="NX64" s="17"/>
      <c r="NY64" s="17"/>
      <c r="NZ64" s="17"/>
      <c r="OA64" s="17"/>
      <c r="OB64" s="17"/>
      <c r="OC64" s="17"/>
      <c r="OD64" s="17"/>
      <c r="OE64" s="17"/>
      <c r="OF64" s="17"/>
      <c r="OG64" s="17"/>
      <c r="OH64" s="17"/>
      <c r="OI64" s="17"/>
      <c r="OJ64" s="17"/>
      <c r="OK64" s="17"/>
      <c r="OL64" s="17"/>
      <c r="OM64" s="17"/>
      <c r="ON64" s="17"/>
      <c r="OO64" s="17"/>
      <c r="OP64" s="17"/>
      <c r="OQ64" s="17"/>
      <c r="OR64" s="17"/>
      <c r="OS64" s="17"/>
      <c r="OT64" s="17"/>
      <c r="OU64" s="17"/>
      <c r="OV64" s="17"/>
    </row>
    <row r="65" ht="18.0" customHeight="1">
      <c r="A65" s="16">
        <v>64.0</v>
      </c>
      <c r="B65" s="17" t="s">
        <v>1717</v>
      </c>
      <c r="C65" s="18" t="s">
        <v>1781</v>
      </c>
      <c r="D65" s="17" t="s">
        <v>600</v>
      </c>
      <c r="E65" s="16">
        <v>30.0</v>
      </c>
      <c r="F65" s="16">
        <f>COUNTIF('Tổng hợp 75 trang đích'!$B$2:$B$3400,$D65)</f>
        <v>30</v>
      </c>
      <c r="G65" s="16">
        <f>COUNTIFS('Tổng hợp 75 trang đích'!$B$2:$B$3400,$D65,'Tổng hợp 75 trang đích'!$K$2:$K$3400,"PHÙ HỢP CAO")</f>
        <v>5</v>
      </c>
      <c r="H65" s="16">
        <f>COUNTIFS('Tổng hợp 75 trang đích'!$B$2:$B$3400,$D65,'Tổng hợp 75 trang đích'!$K$2:$K$3400,"CÓ THỂ ĐI")</f>
        <v>0</v>
      </c>
      <c r="I65" s="16">
        <f>COUNTIFS('Tổng hợp 75 trang đích'!$B$2:$B$3400,$D65,'Tổng hợp 75 trang đích'!$K$2:$K$3400,"CẦN SOÁT")</f>
        <v>25</v>
      </c>
      <c r="J65" s="19" t="s">
        <v>555</v>
      </c>
      <c r="K65" s="19" t="b">
        <v>0</v>
      </c>
      <c r="L65" s="20" t="s">
        <v>333</v>
      </c>
      <c r="M65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đích'!$B$2:$B$3400=$D65),3,TR"&amp;"UE),1,2)),"""")"),"cách tiết kiệm tiền")</f>
        <v>cách tiết kiệm tiền</v>
      </c>
      <c r="N65" s="21" t="str">
        <f>IFERROR(__xludf.DUMMYFUNCTION("""COMPUTED_VALUE"""),"https://techcombank.com/thong-tin/blog/cach-tiet-kiem-tien-theo-tuan")</f>
        <v>https://techcombank.com/thong-tin/blog/cach-tiet-kiem-tien-theo-tuan</v>
      </c>
      <c r="O65" s="17" t="str">
        <f>IFERROR(__xludf.DUMMYFUNCTION("""COMPUTED_VALUE"""),"cách tiết kiệm tiền hiệu quả")</f>
        <v>cách tiết kiệm tiền hiệu quả</v>
      </c>
      <c r="P65" s="21" t="str">
        <f>IFERROR(__xludf.DUMMYFUNCTION("""COMPUTED_VALUE"""),"https://techcombank.com/thong-tin/blog/tiet-kiem-tien-moi-ngay")</f>
        <v>https://techcombank.com/thong-tin/blog/tiet-kiem-tien-moi-ngay</v>
      </c>
      <c r="Q65" s="17" t="str">
        <f>IFERROR(__xludf.DUMMYFUNCTION("""COMPUTED_VALUE"""),"cách tiết kiệm tiền")</f>
        <v>cách tiết kiệm tiền</v>
      </c>
      <c r="R65" s="21" t="str">
        <f>IFERROR(__xludf.DUMMYFUNCTION("""COMPUTED_VALUE"""),"https://techcombank.com/thong-tin/blog/hoc-cach-tiet-kiem-tien-luong")</f>
        <v>https://techcombank.com/thong-tin/blog/hoc-cach-tiet-kiem-tien-luong</v>
      </c>
      <c r="S65" s="17" t="str">
        <f>IFERROR(__xludf.DUMMYFUNCTION("""COMPUTED_VALUE"""),"cách tiết kiệm tiền hiệu quả")</f>
        <v>cách tiết kiệm tiền hiệu quả</v>
      </c>
      <c r="T65" s="21" t="str">
        <f>IFERROR(__xludf.DUMMYFUNCTION("""COMPUTED_VALUE"""),"https://techcombank.com/thong-tin/blog/loi-ich-cua-viec-tiet-kiem-tien")</f>
        <v>https://techcombank.com/thong-tin/blog/loi-ich-cua-viec-tiet-kiem-tien</v>
      </c>
      <c r="U65" s="17" t="str">
        <f>IFERROR(__xludf.DUMMYFUNCTION("""COMPUTED_VALUE"""),"cách tiết kiệm tiền")</f>
        <v>cách tiết kiệm tiền</v>
      </c>
      <c r="V65" s="21" t="str">
        <f>IFERROR(__xludf.DUMMYFUNCTION("""COMPUTED_VALUE"""),"https://techcombank.com/thong-tin/blog/the-nao-la-tiet-kiem")</f>
        <v>https://techcombank.com/thong-tin/blog/the-nao-la-tiet-kiem</v>
      </c>
      <c r="W65" s="17" t="str">
        <f>IFERROR(__xludf.DUMMYFUNCTION("""COMPUTED_VALUE"""),"cách tiết kiệm tiền hiệu quả")</f>
        <v>cách tiết kiệm tiền hiệu quả</v>
      </c>
      <c r="X65" s="21" t="str">
        <f>IFERROR(__xludf.DUMMYFUNCTION("""COMPUTED_VALUE"""),"https://techcombank.com/thong-tin/blog/mo-tai-khoan-doanh-nghiep")</f>
        <v>https://techcombank.com/thong-tin/blog/mo-tai-khoan-doanh-nghiep</v>
      </c>
      <c r="Y65" s="17" t="str">
        <f>IFERROR(__xludf.DUMMYFUNCTION("""COMPUTED_VALUE"""),"cách tiết kiệm tiền")</f>
        <v>cách tiết kiệm tiền</v>
      </c>
      <c r="Z65" s="21" t="str">
        <f>IFERROR(__xludf.DUMMYFUNCTION("""COMPUTED_VALUE"""),"https://techcombank.com/thong-tin/blog/vi-dien-tu")</f>
        <v>https://techcombank.com/thong-tin/blog/vi-dien-tu</v>
      </c>
      <c r="AA65" s="17" t="str">
        <f>IFERROR(__xludf.DUMMYFUNCTION("""COMPUTED_VALUE"""),"cách tiết kiệm tiền hiệu quả")</f>
        <v>cách tiết kiệm tiền hiệu quả</v>
      </c>
      <c r="AB65" s="21" t="str">
        <f>IFERROR(__xludf.DUMMYFUNCTION("""COMPUTED_VALUE"""),"https://techcombank.com/thong-tin/blog/ke-hoach-tai-chinh")</f>
        <v>https://techcombank.com/thong-tin/blog/ke-hoach-tai-chinh</v>
      </c>
      <c r="AC65" s="17" t="str">
        <f>IFERROR(__xludf.DUMMYFUNCTION("""COMPUTED_VALUE"""),"cách tiết kiệm tiền")</f>
        <v>cách tiết kiệm tiền</v>
      </c>
      <c r="AD65" s="21" t="str">
        <f>IFERROR(__xludf.DUMMYFUNCTION("""COMPUTED_VALUE"""),"https://techcombank.com/thong-tin/blog/ma-mcc")</f>
        <v>https://techcombank.com/thong-tin/blog/ma-mcc</v>
      </c>
      <c r="AE65" s="17" t="str">
        <f>IFERROR(__xludf.DUMMYFUNCTION("""COMPUTED_VALUE"""),"cách tiết kiệm tiền hiệu quả")</f>
        <v>cách tiết kiệm tiền hiệu quả</v>
      </c>
      <c r="AF65" s="21" t="str">
        <f>IFERROR(__xludf.DUMMYFUNCTION("""COMPUTED_VALUE"""),"https://techcombank.com/thong-tin/blog/chinh-sach-thue-moi")</f>
        <v>https://techcombank.com/thong-tin/blog/chinh-sach-thue-moi</v>
      </c>
      <c r="AG65" s="17" t="str">
        <f>IFERROR(__xludf.DUMMYFUNCTION("""COMPUTED_VALUE"""),"cách tiết kiệm tiền")</f>
        <v>cách tiết kiệm tiền</v>
      </c>
      <c r="AH65" s="21" t="str">
        <f>IFERROR(__xludf.DUMMYFUNCTION("""COMPUTED_VALUE"""),"https://techcombank.com/thong-tin/blog/ghi-chep-chi-tieu")</f>
        <v>https://techcombank.com/thong-tin/blog/ghi-chep-chi-tieu</v>
      </c>
      <c r="AI65" s="17" t="str">
        <f>IFERROR(__xludf.DUMMYFUNCTION("""COMPUTED_VALUE"""),"cách tiết kiệm tiền hiệu quả")</f>
        <v>cách tiết kiệm tiền hiệu quả</v>
      </c>
      <c r="AJ65" s="21" t="str">
        <f>IFERROR(__xludf.DUMMYFUNCTION("""COMPUTED_VALUE"""),"https://techcombank.com/thong-tin/blog/vi-tra-sau")</f>
        <v>https://techcombank.com/thong-tin/blog/vi-tra-sau</v>
      </c>
      <c r="AK65" s="17" t="str">
        <f>IFERROR(__xludf.DUMMYFUNCTION("""COMPUTED_VALUE"""),"cách tiết kiệm tiền")</f>
        <v>cách tiết kiệm tiền</v>
      </c>
      <c r="AL65" s="21" t="str">
        <f>IFERROR(__xludf.DUMMYFUNCTION("""COMPUTED_VALUE"""),"https://techcombank.com/thong-tin/blog/thue-phi-co-dinh-khi-chuyen-doi-tu-ho-kinh-doanh-len-doanh-nghiep")</f>
        <v>https://techcombank.com/thong-tin/blog/thue-phi-co-dinh-khi-chuyen-doi-tu-ho-kinh-doanh-len-doanh-nghiep</v>
      </c>
      <c r="AM65" s="17" t="str">
        <f>IFERROR(__xludf.DUMMYFUNCTION("""COMPUTED_VALUE"""),"cách tiết kiệm tiền hiệu quả")</f>
        <v>cách tiết kiệm tiền hiệu quả</v>
      </c>
      <c r="AN65" s="21" t="str">
        <f>IFERROR(__xludf.DUMMYFUNCTION("""COMPUTED_VALUE"""),"https://techcombank.com/thong-tin/blog/ngan-hang-so-cho-doanh-nghiep")</f>
        <v>https://techcombank.com/thong-tin/blog/ngan-hang-so-cho-doanh-nghiep</v>
      </c>
      <c r="AO65" s="17" t="str">
        <f>IFERROR(__xludf.DUMMYFUNCTION("""COMPUTED_VALUE"""),"cách tiết kiệm tiền")</f>
        <v>cách tiết kiệm tiền</v>
      </c>
      <c r="AP65" s="21" t="str">
        <f>IFERROR(__xludf.DUMMYFUNCTION("""COMPUTED_VALUE"""),"https://techcombank.com/thong-tin/blog/chinh-sach-tang-luong-huu")</f>
        <v>https://techcombank.com/thong-tin/blog/chinh-sach-tang-luong-huu</v>
      </c>
      <c r="AQ65" s="17" t="str">
        <f>IFERROR(__xludf.DUMMYFUNCTION("""COMPUTED_VALUE"""),"cách tiết kiệm tiền hiệu quả")</f>
        <v>cách tiết kiệm tiền hiệu quả</v>
      </c>
      <c r="AR65" s="21" t="str">
        <f>IFERROR(__xludf.DUMMYFUNCTION("""COMPUTED_VALUE"""),"https://techcombank.com/thong-tin/blog/tinh-thanh-khoan-la-gi")</f>
        <v>https://techcombank.com/thong-tin/blog/tinh-thanh-khoan-la-gi</v>
      </c>
      <c r="AS65" s="17" t="str">
        <f>IFERROR(__xludf.DUMMYFUNCTION("""COMPUTED_VALUE"""),"cách tiết kiệm tiền")</f>
        <v>cách tiết kiệm tiền</v>
      </c>
      <c r="AT65" s="21" t="str">
        <f>IFERROR(__xludf.DUMMYFUNCTION("""COMPUTED_VALUE"""),"https://techcombank.com/thong-tin/blog/loi-ich-cua-ngan-hang-so-voi-sme")</f>
        <v>https://techcombank.com/thong-tin/blog/loi-ich-cua-ngan-hang-so-voi-sme</v>
      </c>
      <c r="AU65" s="17" t="str">
        <f>IFERROR(__xludf.DUMMYFUNCTION("""COMPUTED_VALUE"""),"cách tiết kiệm tiền hiệu quả")</f>
        <v>cách tiết kiệm tiền hiệu quả</v>
      </c>
      <c r="AV65" s="21" t="str">
        <f>IFERROR(__xludf.DUMMYFUNCTION("""COMPUTED_VALUE"""),"https://techcombank.com/thong-tin/blog/npv-la-gi")</f>
        <v>https://techcombank.com/thong-tin/blog/npv-la-gi</v>
      </c>
      <c r="AW65" s="17" t="str">
        <f>IFERROR(__xludf.DUMMYFUNCTION("""COMPUTED_VALUE"""),"cách tiết kiệm tiền")</f>
        <v>cách tiết kiệm tiền</v>
      </c>
      <c r="AX65" s="21" t="str">
        <f>IFERROR(__xludf.DUMMYFUNCTION("""COMPUTED_VALUE"""),"https://techcombank.com/thong-tin/blog/quan-ly-tai-chinh-doanh-nghiep-la-gi")</f>
        <v>https://techcombank.com/thong-tin/blog/quan-ly-tai-chinh-doanh-nghiep-la-gi</v>
      </c>
      <c r="AY65" s="17" t="str">
        <f>IFERROR(__xludf.DUMMYFUNCTION("""COMPUTED_VALUE"""),"cách tiết kiệm tiền hiệu quả")</f>
        <v>cách tiết kiệm tiền hiệu quả</v>
      </c>
      <c r="AZ65" s="21" t="str">
        <f>IFERROR(__xludf.DUMMYFUNCTION("""COMPUTED_VALUE"""),"https://techcombank.com/thong-tin/blog/quan-ly-tai-chinh-doanh-nghiep-nho")</f>
        <v>https://techcombank.com/thong-tin/blog/quan-ly-tai-chinh-doanh-nghiep-nho</v>
      </c>
      <c r="BA65" s="17" t="str">
        <f>IFERROR(__xludf.DUMMYFUNCTION("""COMPUTED_VALUE"""),"cách tiết kiệm tiền")</f>
        <v>cách tiết kiệm tiền</v>
      </c>
      <c r="BB65" s="21" t="str">
        <f>IFERROR(__xludf.DUMMYFUNCTION("""COMPUTED_VALUE"""),"https://techcombank.com/thong-tin/blog/uu-dai-the-tin-dung-techcombank-signature")</f>
        <v>https://techcombank.com/thong-tin/blog/uu-dai-the-tin-dung-techcombank-signature</v>
      </c>
      <c r="BC65" s="17" t="str">
        <f>IFERROR(__xludf.DUMMYFUNCTION("""COMPUTED_VALUE"""),"cách tiết kiệm tiền hiệu quả")</f>
        <v>cách tiết kiệm tiền hiệu quả</v>
      </c>
      <c r="BD65" s="21" t="str">
        <f>IFERROR(__xludf.DUMMYFUNCTION("""COMPUTED_VALUE"""),"https://techcombank.com/thong-tin/blog/tai-san-va-tieu-san-la-gi")</f>
        <v>https://techcombank.com/thong-tin/blog/tai-san-va-tieu-san-la-gi</v>
      </c>
      <c r="BE65" s="17" t="str">
        <f>IFERROR(__xludf.DUMMYFUNCTION("""COMPUTED_VALUE"""),"cách tiết kiệm tiền")</f>
        <v>cách tiết kiệm tiền</v>
      </c>
      <c r="BF65" s="21" t="str">
        <f>IFERROR(__xludf.DUMMYFUNCTION("""COMPUTED_VALUE"""),"https://techcombank.com/thong-tin/blog/cach-tiet-kiem-tien-cua-nguoi-nhat")</f>
        <v>https://techcombank.com/thong-tin/blog/cach-tiet-kiem-tien-cua-nguoi-nhat</v>
      </c>
      <c r="BG65" s="17" t="str">
        <f>IFERROR(__xludf.DUMMYFUNCTION("""COMPUTED_VALUE"""),"cách tiết kiệm tiền hiệu quả")</f>
        <v>cách tiết kiệm tiền hiệu quả</v>
      </c>
      <c r="BH65" s="21" t="str">
        <f>IFERROR(__xludf.DUMMYFUNCTION("""COMPUTED_VALUE"""),"https://techcombank.com/thong-tin/blog/sai-lam-ve-tai-chinh-ca-nhan")</f>
        <v>https://techcombank.com/thong-tin/blog/sai-lam-ve-tai-chinh-ca-nhan</v>
      </c>
      <c r="BI65" s="17" t="str">
        <f>IFERROR(__xludf.DUMMYFUNCTION("""COMPUTED_VALUE"""),"cách tiết kiệm tiền")</f>
        <v>cách tiết kiệm tiền</v>
      </c>
      <c r="BJ65" s="21" t="str">
        <f>IFERROR(__xludf.DUMMYFUNCTION("""COMPUTED_VALUE"""),"https://techcombank.com/thong-tin/blog/lam-phat-la-gi")</f>
        <v>https://techcombank.com/thong-tin/blog/lam-phat-la-gi</v>
      </c>
      <c r="BK65" s="17" t="str">
        <f>IFERROR(__xludf.DUMMYFUNCTION("""COMPUTED_VALUE"""),"cách tiết kiệm tiền hiệu quả")</f>
        <v>cách tiết kiệm tiền hiệu quả</v>
      </c>
      <c r="BL65" s="21" t="str">
        <f>IFERROR(__xludf.DUMMYFUNCTION("""COMPUTED_VALUE"""),"https://techcombank.com/thong-tin/blog/cach-tiet-kiem-tien-hieu-qua-cho-gia-dinh")</f>
        <v>https://techcombank.com/thong-tin/blog/cach-tiet-kiem-tien-hieu-qua-cho-gia-dinh</v>
      </c>
      <c r="BM65" s="17" t="str">
        <f>IFERROR(__xludf.DUMMYFUNCTION("""COMPUTED_VALUE"""),"cách tiết kiệm tiền")</f>
        <v>cách tiết kiệm tiền</v>
      </c>
      <c r="BN65" s="21" t="str">
        <f>IFERROR(__xludf.DUMMYFUNCTION("""COMPUTED_VALUE"""),"https://techcombank.com/thong-tin/blog/dau-chan-carbon")</f>
        <v>https://techcombank.com/thong-tin/blog/dau-chan-carbon</v>
      </c>
      <c r="BO65" s="17" t="str">
        <f>IFERROR(__xludf.DUMMYFUNCTION("""COMPUTED_VALUE"""),"cách tiết kiệm tiền hiệu quả")</f>
        <v>cách tiết kiệm tiền hiệu quả</v>
      </c>
      <c r="BP65" s="21" t="str">
        <f>IFERROR(__xludf.DUMMYFUNCTION("""COMPUTED_VALUE"""),"https://techcombank.com/thong-tin/blog/mo-tai-khoan-ngan-hang-cho-tre-em")</f>
        <v>https://techcombank.com/thong-tin/blog/mo-tai-khoan-ngan-hang-cho-tre-em</v>
      </c>
      <c r="BQ65" s="17" t="str">
        <f>IFERROR(__xludf.DUMMYFUNCTION("""COMPUTED_VALUE"""),"cách tiết kiệm tiền")</f>
        <v>cách tiết kiệm tiền</v>
      </c>
      <c r="BR65" s="21" t="str">
        <f>IFERROR(__xludf.DUMMYFUNCTION("""COMPUTED_VALUE"""),"https://techcombank.com/thong-tin/blog/app-mua-truoc-tra-sau")</f>
        <v>https://techcombank.com/thong-tin/blog/app-mua-truoc-tra-sau</v>
      </c>
      <c r="BS65" s="17" t="str">
        <f>IFERROR(__xludf.DUMMYFUNCTION("""COMPUTED_VALUE"""),"cách tiết kiệm tiền hiệu quả")</f>
        <v>cách tiết kiệm tiền hiệu quả</v>
      </c>
      <c r="BT65" s="21" t="str">
        <f>IFERROR(__xludf.DUMMYFUNCTION("""COMPUTED_VALUE"""),"https://techcombank.com/thong-tin/blog/phan-mem-quan-ly-tai-chinh-doanh-nghiep")</f>
        <v>https://techcombank.com/thong-tin/blog/phan-mem-quan-ly-tai-chinh-doanh-nghiep</v>
      </c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  <c r="EW65" s="17"/>
      <c r="EX65" s="17"/>
      <c r="EY65" s="17"/>
      <c r="EZ65" s="17"/>
      <c r="FA65" s="17"/>
      <c r="FB65" s="17"/>
      <c r="FC65" s="17"/>
      <c r="FD65" s="17"/>
      <c r="FE65" s="17"/>
      <c r="FF65" s="17"/>
      <c r="FG65" s="17"/>
      <c r="FH65" s="17"/>
      <c r="FI65" s="17"/>
      <c r="FJ65" s="17"/>
      <c r="FK65" s="17"/>
      <c r="FL65" s="17"/>
      <c r="FM65" s="17"/>
      <c r="FN65" s="17"/>
      <c r="FO65" s="17"/>
      <c r="FP65" s="17"/>
      <c r="FQ65" s="17"/>
      <c r="FR65" s="17"/>
      <c r="FS65" s="17"/>
      <c r="FT65" s="17"/>
      <c r="FU65" s="17"/>
      <c r="FV65" s="17"/>
      <c r="FW65" s="17"/>
      <c r="FX65" s="17"/>
      <c r="FY65" s="17"/>
      <c r="FZ65" s="17"/>
      <c r="GA65" s="17"/>
      <c r="GB65" s="17"/>
      <c r="GC65" s="17"/>
      <c r="GD65" s="17"/>
      <c r="GE65" s="17"/>
      <c r="GF65" s="17"/>
      <c r="GG65" s="17"/>
      <c r="GH65" s="17"/>
      <c r="GI65" s="17"/>
      <c r="GJ65" s="17"/>
      <c r="GK65" s="17"/>
      <c r="GL65" s="17"/>
      <c r="GM65" s="17"/>
      <c r="GN65" s="17"/>
      <c r="GO65" s="17"/>
      <c r="GP65" s="17"/>
      <c r="GQ65" s="17"/>
      <c r="GR65" s="17"/>
      <c r="GS65" s="17"/>
      <c r="GT65" s="17"/>
      <c r="GU65" s="17"/>
      <c r="GV65" s="17"/>
      <c r="GW65" s="17"/>
      <c r="GX65" s="17"/>
      <c r="GY65" s="17"/>
      <c r="GZ65" s="17"/>
      <c r="HA65" s="17"/>
      <c r="HB65" s="17"/>
      <c r="HC65" s="17"/>
      <c r="HD65" s="17"/>
      <c r="HE65" s="17"/>
      <c r="HF65" s="17"/>
      <c r="HG65" s="17"/>
      <c r="HH65" s="17"/>
      <c r="HI65" s="17"/>
      <c r="HJ65" s="17"/>
      <c r="HK65" s="17"/>
      <c r="HL65" s="17"/>
      <c r="HM65" s="17"/>
      <c r="HN65" s="17"/>
      <c r="HO65" s="17"/>
      <c r="HP65" s="17"/>
      <c r="HQ65" s="17"/>
      <c r="HR65" s="17"/>
      <c r="HS65" s="17"/>
      <c r="HT65" s="17"/>
      <c r="HU65" s="17"/>
      <c r="HV65" s="17"/>
      <c r="HW65" s="17"/>
      <c r="HX65" s="17"/>
      <c r="HY65" s="17"/>
      <c r="HZ65" s="17"/>
      <c r="IA65" s="17"/>
      <c r="IB65" s="17"/>
      <c r="IC65" s="17"/>
      <c r="ID65" s="17"/>
      <c r="IE65" s="17"/>
      <c r="IF65" s="17"/>
      <c r="IG65" s="17"/>
      <c r="IH65" s="17"/>
      <c r="II65" s="17"/>
      <c r="IJ65" s="17"/>
      <c r="IK65" s="17"/>
      <c r="IL65" s="17"/>
      <c r="IM65" s="17"/>
      <c r="IN65" s="17"/>
      <c r="IO65" s="17"/>
      <c r="IP65" s="17"/>
      <c r="IQ65" s="17"/>
      <c r="IR65" s="17"/>
      <c r="IS65" s="17"/>
      <c r="IT65" s="17"/>
      <c r="IU65" s="17"/>
      <c r="IV65" s="17"/>
      <c r="IW65" s="17"/>
      <c r="IX65" s="17"/>
      <c r="IY65" s="17"/>
      <c r="IZ65" s="17"/>
      <c r="JA65" s="17"/>
      <c r="JB65" s="17"/>
      <c r="JC65" s="17"/>
      <c r="JD65" s="17"/>
      <c r="JE65" s="17"/>
      <c r="JF65" s="17"/>
      <c r="JG65" s="17"/>
      <c r="JH65" s="17"/>
      <c r="JI65" s="17"/>
      <c r="JJ65" s="17"/>
      <c r="JK65" s="17"/>
      <c r="JL65" s="17"/>
      <c r="JM65" s="17"/>
      <c r="JN65" s="17"/>
      <c r="JO65" s="17"/>
      <c r="JP65" s="17"/>
      <c r="JQ65" s="17"/>
      <c r="JR65" s="17"/>
      <c r="JS65" s="17"/>
      <c r="JT65" s="17"/>
      <c r="JU65" s="17"/>
      <c r="JV65" s="17"/>
      <c r="JW65" s="17"/>
      <c r="JX65" s="17"/>
      <c r="JY65" s="17"/>
      <c r="JZ65" s="17"/>
      <c r="KA65" s="17"/>
      <c r="KB65" s="17"/>
      <c r="KC65" s="17"/>
      <c r="KD65" s="17"/>
      <c r="KE65" s="17"/>
      <c r="KF65" s="17"/>
      <c r="KG65" s="17"/>
      <c r="KH65" s="17"/>
      <c r="KI65" s="17"/>
      <c r="KJ65" s="17"/>
      <c r="KK65" s="17"/>
      <c r="KL65" s="17"/>
      <c r="KM65" s="17"/>
      <c r="KN65" s="17"/>
      <c r="KO65" s="17"/>
      <c r="KP65" s="17"/>
      <c r="KQ65" s="17"/>
      <c r="KR65" s="17"/>
      <c r="KS65" s="17"/>
      <c r="KT65" s="17"/>
      <c r="KU65" s="17"/>
      <c r="KV65" s="17"/>
      <c r="KW65" s="17"/>
      <c r="KX65" s="17"/>
      <c r="KY65" s="17"/>
      <c r="KZ65" s="17"/>
      <c r="LA65" s="17"/>
      <c r="LB65" s="17"/>
      <c r="LC65" s="17"/>
      <c r="LD65" s="17"/>
      <c r="LE65" s="17"/>
      <c r="LF65" s="17"/>
      <c r="LG65" s="17"/>
      <c r="LH65" s="17"/>
      <c r="LI65" s="17"/>
      <c r="LJ65" s="17"/>
      <c r="LK65" s="17"/>
      <c r="LL65" s="17"/>
      <c r="LM65" s="17"/>
      <c r="LN65" s="17"/>
      <c r="LO65" s="17"/>
      <c r="LP65" s="17"/>
      <c r="LQ65" s="17"/>
      <c r="LR65" s="17"/>
      <c r="LS65" s="17"/>
      <c r="LT65" s="17"/>
      <c r="LU65" s="17"/>
      <c r="LV65" s="17"/>
      <c r="LW65" s="17"/>
      <c r="LX65" s="17"/>
      <c r="LY65" s="17"/>
      <c r="LZ65" s="17"/>
      <c r="MA65" s="17"/>
      <c r="MB65" s="17"/>
      <c r="MC65" s="17"/>
      <c r="MD65" s="17"/>
      <c r="ME65" s="17"/>
      <c r="MF65" s="17"/>
      <c r="MG65" s="17"/>
      <c r="MH65" s="17"/>
      <c r="MI65" s="17"/>
      <c r="MJ65" s="17"/>
      <c r="MK65" s="17"/>
      <c r="ML65" s="17"/>
      <c r="MM65" s="17"/>
      <c r="MN65" s="17"/>
      <c r="MO65" s="17"/>
      <c r="MP65" s="17"/>
      <c r="MQ65" s="17"/>
      <c r="MR65" s="17"/>
      <c r="MS65" s="17"/>
      <c r="MT65" s="17"/>
      <c r="MU65" s="17"/>
      <c r="MV65" s="17"/>
      <c r="MW65" s="17"/>
      <c r="MX65" s="17"/>
      <c r="MY65" s="17"/>
      <c r="MZ65" s="17"/>
      <c r="NA65" s="17"/>
      <c r="NB65" s="17"/>
      <c r="NC65" s="17"/>
      <c r="ND65" s="17"/>
      <c r="NE65" s="17"/>
      <c r="NF65" s="17"/>
      <c r="NG65" s="17"/>
      <c r="NH65" s="17"/>
      <c r="NI65" s="17"/>
      <c r="NJ65" s="17"/>
      <c r="NK65" s="17"/>
      <c r="NL65" s="17"/>
      <c r="NM65" s="17"/>
      <c r="NN65" s="17"/>
      <c r="NO65" s="17"/>
      <c r="NP65" s="17"/>
      <c r="NQ65" s="17"/>
      <c r="NR65" s="17"/>
      <c r="NS65" s="17"/>
      <c r="NT65" s="17"/>
      <c r="NU65" s="17"/>
      <c r="NV65" s="17"/>
      <c r="NW65" s="17"/>
      <c r="NX65" s="17"/>
      <c r="NY65" s="17"/>
      <c r="NZ65" s="17"/>
      <c r="OA65" s="17"/>
      <c r="OB65" s="17"/>
      <c r="OC65" s="17"/>
      <c r="OD65" s="17"/>
      <c r="OE65" s="17"/>
      <c r="OF65" s="17"/>
      <c r="OG65" s="17"/>
      <c r="OH65" s="17"/>
      <c r="OI65" s="17"/>
      <c r="OJ65" s="17"/>
      <c r="OK65" s="17"/>
      <c r="OL65" s="17"/>
      <c r="OM65" s="17"/>
      <c r="ON65" s="17"/>
      <c r="OO65" s="17"/>
      <c r="OP65" s="17"/>
      <c r="OQ65" s="17"/>
      <c r="OR65" s="17"/>
      <c r="OS65" s="17"/>
      <c r="OT65" s="17"/>
      <c r="OU65" s="17"/>
      <c r="OV65" s="17"/>
    </row>
    <row r="66" ht="18.0" customHeight="1">
      <c r="A66" s="16">
        <v>65.0</v>
      </c>
      <c r="B66" s="17" t="s">
        <v>1717</v>
      </c>
      <c r="C66" s="18" t="s">
        <v>1799</v>
      </c>
      <c r="D66" s="17" t="s">
        <v>601</v>
      </c>
      <c r="E66" s="16">
        <v>30.0</v>
      </c>
      <c r="F66" s="16">
        <f>COUNTIF('Tổng hợp 75 trang đích'!$B$2:$B$3400,$D66)</f>
        <v>30</v>
      </c>
      <c r="G66" s="16">
        <f>COUNTIFS('Tổng hợp 75 trang đích'!$B$2:$B$3400,$D66,'Tổng hợp 75 trang đích'!$K$2:$K$3400,"PHÙ HỢP CAO")</f>
        <v>5</v>
      </c>
      <c r="H66" s="16">
        <f>COUNTIFS('Tổng hợp 75 trang đích'!$B$2:$B$3400,$D66,'Tổng hợp 75 trang đích'!$K$2:$K$3400,"CÓ THỂ ĐI")</f>
        <v>0</v>
      </c>
      <c r="I66" s="16">
        <f>COUNTIFS('Tổng hợp 75 trang đích'!$B$2:$B$3400,$D66,'Tổng hợp 75 trang đích'!$K$2:$K$3400,"CẦN SOÁT")</f>
        <v>25</v>
      </c>
      <c r="J66" s="19" t="s">
        <v>555</v>
      </c>
      <c r="K66" s="19" t="b">
        <v>0</v>
      </c>
      <c r="L66" s="20" t="s">
        <v>333</v>
      </c>
      <c r="M66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đích'!$B$2:$B$3400=$D66),3,TR"&amp;"UE),1,2)),"""")"),"rủi ro khi gửi tiết kiệm online")</f>
        <v>rủi ro khi gửi tiết kiệm online</v>
      </c>
      <c r="N66" s="21" t="str">
        <f>IFERROR(__xludf.DUMMYFUNCTION("""COMPUTED_VALUE"""),"https://techcombank.com/thong-tin/blog/co-nen-gui-tiet-kiem-online")</f>
        <v>https://techcombank.com/thong-tin/blog/co-nen-gui-tiet-kiem-online</v>
      </c>
      <c r="O66" s="17" t="str">
        <f>IFERROR(__xludf.DUMMYFUNCTION("""COMPUTED_VALUE"""),"gửi tiết kiệm online có an toàn không")</f>
        <v>gửi tiết kiệm online có an toàn không</v>
      </c>
      <c r="P66" s="21" t="str">
        <f>IFERROR(__xludf.DUMMYFUNCTION("""COMPUTED_VALUE"""),"https://techcombank.com/thong-tin/blog/gui-tiet-kiem-online-bi-mat-tien")</f>
        <v>https://techcombank.com/thong-tin/blog/gui-tiet-kiem-online-bi-mat-tien</v>
      </c>
      <c r="Q66" s="17" t="str">
        <f>IFERROR(__xludf.DUMMYFUNCTION("""COMPUTED_VALUE"""),"rủi ro khi gửi tiết kiệm online")</f>
        <v>rủi ro khi gửi tiết kiệm online</v>
      </c>
      <c r="R66" s="21" t="str">
        <f>IFERROR(__xludf.DUMMYFUNCTION("""COMPUTED_VALUE"""),"https://techcombank.com/thong-tin/blog/kinh-nghiem-gui-tiet-kiem-online")</f>
        <v>https://techcombank.com/thong-tin/blog/kinh-nghiem-gui-tiet-kiem-online</v>
      </c>
      <c r="S66" s="17" t="str">
        <f>IFERROR(__xludf.DUMMYFUNCTION("""COMPUTED_VALUE"""),"gửi tiết kiệm online có an toàn không")</f>
        <v>gửi tiết kiệm online có an toàn không</v>
      </c>
      <c r="T66" s="21" t="str">
        <f>IFERROR(__xludf.DUMMYFUNCTION("""COMPUTED_VALUE"""),"https://techcombank.com/thong-tin/blog/cach-gui-tiet-kiem-online")</f>
        <v>https://techcombank.com/thong-tin/blog/cach-gui-tiet-kiem-online</v>
      </c>
      <c r="U66" s="17" t="str">
        <f>IFERROR(__xludf.DUMMYFUNCTION("""COMPUTED_VALUE"""),"rủi ro khi gửi tiết kiệm online")</f>
        <v>rủi ro khi gửi tiết kiệm online</v>
      </c>
      <c r="V66" s="21" t="str">
        <f>IFERROR(__xludf.DUMMYFUNCTION("""COMPUTED_VALUE"""),"https://techcombank.com/thong-tin/blog/rui-ro-khi-gui-tiet-kiem-ngan-hang")</f>
        <v>https://techcombank.com/thong-tin/blog/rui-ro-khi-gui-tiet-kiem-ngan-hang</v>
      </c>
      <c r="W66" s="17" t="str">
        <f>IFERROR(__xludf.DUMMYFUNCTION("""COMPUTED_VALUE"""),"gửi tiết kiệm online có an toàn không")</f>
        <v>gửi tiết kiệm online có an toàn không</v>
      </c>
      <c r="X66" s="21" t="str">
        <f>IFERROR(__xludf.DUMMYFUNCTION("""COMPUTED_VALUE"""),"https://techcombank.com/thong-tin/blog/tra-luong-tien-mat")</f>
        <v>https://techcombank.com/thong-tin/blog/tra-luong-tien-mat</v>
      </c>
      <c r="Y66" s="17" t="str">
        <f>IFERROR(__xludf.DUMMYFUNCTION("""COMPUTED_VALUE"""),"rủi ro khi gửi tiết kiệm online")</f>
        <v>rủi ro khi gửi tiết kiệm online</v>
      </c>
      <c r="Z66" s="21" t="str">
        <f>IFERROR(__xludf.DUMMYFUNCTION("""COMPUTED_VALUE"""),"https://techcombank.com/thong-tin/blog/due-diligence")</f>
        <v>https://techcombank.com/thong-tin/blog/due-diligence</v>
      </c>
      <c r="AA66" s="17" t="str">
        <f>IFERROR(__xludf.DUMMYFUNCTION("""COMPUTED_VALUE"""),"gửi tiết kiệm online có an toàn không")</f>
        <v>gửi tiết kiệm online có an toàn không</v>
      </c>
      <c r="AB66" s="21" t="str">
        <f>IFERROR(__xludf.DUMMYFUNCTION("""COMPUTED_VALUE"""),"https://techcombank.com/thong-tin/blog/cho-vay-hop-von-la-gi")</f>
        <v>https://techcombank.com/thong-tin/blog/cho-vay-hop-von-la-gi</v>
      </c>
      <c r="AC66" s="17" t="str">
        <f>IFERROR(__xludf.DUMMYFUNCTION("""COMPUTED_VALUE"""),"rủi ro khi gửi tiết kiệm online")</f>
        <v>rủi ro khi gửi tiết kiệm online</v>
      </c>
      <c r="AD66" s="21" t="str">
        <f>IFERROR(__xludf.DUMMYFUNCTION("""COMPUTED_VALUE"""),"https://techcombank.com/thong-tin/blog/cac-sai-lam-pho-bien-khi-chuyen-doi-ho-kinh-doanh-len-sme")</f>
        <v>https://techcombank.com/thong-tin/blog/cac-sai-lam-pho-bien-khi-chuyen-doi-ho-kinh-doanh-len-sme</v>
      </c>
      <c r="AE66" s="17" t="str">
        <f>IFERROR(__xludf.DUMMYFUNCTION("""COMPUTED_VALUE"""),"gửi tiết kiệm online có an toàn không")</f>
        <v>gửi tiết kiệm online có an toàn không</v>
      </c>
      <c r="AF66" s="21" t="str">
        <f>IFERROR(__xludf.DUMMYFUNCTION("""COMPUTED_VALUE"""),"https://techcombank.com/thong-tin/blog/tinh-thanh-khoan-la-gi")</f>
        <v>https://techcombank.com/thong-tin/blog/tinh-thanh-khoan-la-gi</v>
      </c>
      <c r="AG66" s="17" t="str">
        <f>IFERROR(__xludf.DUMMYFUNCTION("""COMPUTED_VALUE"""),"rủi ro khi gửi tiết kiệm online")</f>
        <v>rủi ro khi gửi tiết kiệm online</v>
      </c>
      <c r="AH66" s="21" t="str">
        <f>IFERROR(__xludf.DUMMYFUNCTION("""COMPUTED_VALUE"""),"https://techcombank.com/thong-tin/blog/phat-cham-dang-ky-thue-ho-kinh-doanh")</f>
        <v>https://techcombank.com/thong-tin/blog/phat-cham-dang-ky-thue-ho-kinh-doanh</v>
      </c>
      <c r="AI66" s="17" t="str">
        <f>IFERROR(__xludf.DUMMYFUNCTION("""COMPUTED_VALUE"""),"gửi tiết kiệm online có an toàn không")</f>
        <v>gửi tiết kiệm online có an toàn không</v>
      </c>
      <c r="AJ66" s="21" t="str">
        <f>IFERROR(__xludf.DUMMYFUNCTION("""COMPUTED_VALUE"""),"https://techcombank.com/thong-tin/blog/quy-trinh-gui-tien-tiet-kiem")</f>
        <v>https://techcombank.com/thong-tin/blog/quy-trinh-gui-tien-tiet-kiem</v>
      </c>
      <c r="AK66" s="17" t="str">
        <f>IFERROR(__xludf.DUMMYFUNCTION("""COMPUTED_VALUE"""),"rủi ro khi gửi tiết kiệm online")</f>
        <v>rủi ro khi gửi tiết kiệm online</v>
      </c>
      <c r="AL66" s="21" t="str">
        <f>IFERROR(__xludf.DUMMYFUNCTION("""COMPUTED_VALUE"""),"https://techcombank.com/thong-tin/blog/vay-the-chap-khong-tra-duoc")</f>
        <v>https://techcombank.com/thong-tin/blog/vay-the-chap-khong-tra-duoc</v>
      </c>
      <c r="AM66" s="17" t="str">
        <f>IFERROR(__xludf.DUMMYFUNCTION("""COMPUTED_VALUE"""),"gửi tiết kiệm online có an toàn không")</f>
        <v>gửi tiết kiệm online có an toàn không</v>
      </c>
      <c r="AN66" s="21" t="str">
        <f>IFERROR(__xludf.DUMMYFUNCTION("""COMPUTED_VALUE"""),"https://techcombank.com/thong-tin/blog/phan-bo-tai-san")</f>
        <v>https://techcombank.com/thong-tin/blog/phan-bo-tai-san</v>
      </c>
      <c r="AO66" s="17" t="str">
        <f>IFERROR(__xludf.DUMMYFUNCTION("""COMPUTED_VALUE"""),"rủi ro khi gửi tiết kiệm online")</f>
        <v>rủi ro khi gửi tiết kiệm online</v>
      </c>
      <c r="AP66" s="21" t="str">
        <f>IFERROR(__xludf.DUMMYFUNCTION("""COMPUTED_VALUE"""),"https://techcombank.com/thong-tin/blog/vay-the-chap-so-bao-hiem-xa-hoi")</f>
        <v>https://techcombank.com/thong-tin/blog/vay-the-chap-so-bao-hiem-xa-hoi</v>
      </c>
      <c r="AQ66" s="17" t="str">
        <f>IFERROR(__xludf.DUMMYFUNCTION("""COMPUTED_VALUE"""),"gửi tiết kiệm online có an toàn không")</f>
        <v>gửi tiết kiệm online có an toàn không</v>
      </c>
      <c r="AR66" s="21" t="str">
        <f>IFERROR(__xludf.DUMMYFUNCTION("""COMPUTED_VALUE"""),"https://techcombank.com/thong-tin/blog/mat-the-tin-dung-co-bi-mat-tien-khong")</f>
        <v>https://techcombank.com/thong-tin/blog/mat-the-tin-dung-co-bi-mat-tien-khong</v>
      </c>
      <c r="AS66" s="17" t="str">
        <f>IFERROR(__xludf.DUMMYFUNCTION("""COMPUTED_VALUE"""),"rủi ro khi gửi tiết kiệm online")</f>
        <v>rủi ro khi gửi tiết kiệm online</v>
      </c>
      <c r="AT66" s="21" t="str">
        <f>IFERROR(__xludf.DUMMYFUNCTION("""COMPUTED_VALUE"""),"https://techcombank.com/thong-tin/blog/chung-chi-quy-va-co-phieu")</f>
        <v>https://techcombank.com/thong-tin/blog/chung-chi-quy-va-co-phieu</v>
      </c>
      <c r="AU66" s="17" t="str">
        <f>IFERROR(__xludf.DUMMYFUNCTION("""COMPUTED_VALUE"""),"gửi tiết kiệm online có an toàn không")</f>
        <v>gửi tiết kiệm online có an toàn không</v>
      </c>
      <c r="AV66" s="21" t="str">
        <f>IFERROR(__xludf.DUMMYFUNCTION("""COMPUTED_VALUE"""),"https://techcombank.com/thong-tin/blog/gui-tiet-kiem-vang")</f>
        <v>https://techcombank.com/thong-tin/blog/gui-tiet-kiem-vang</v>
      </c>
      <c r="AW66" s="17" t="str">
        <f>IFERROR(__xludf.DUMMYFUNCTION("""COMPUTED_VALUE"""),"rủi ro khi gửi tiết kiệm online")</f>
        <v>rủi ro khi gửi tiết kiệm online</v>
      </c>
      <c r="AX66" s="21" t="str">
        <f>IFERROR(__xludf.DUMMYFUNCTION("""COMPUTED_VALUE"""),"https://techcombank.com/thong-tin/blog/lo-so-tai-khoan-ngan-hang-co-sao-khong")</f>
        <v>https://techcombank.com/thong-tin/blog/lo-so-tai-khoan-ngan-hang-co-sao-khong</v>
      </c>
      <c r="AY66" s="17" t="str">
        <f>IFERROR(__xludf.DUMMYFUNCTION("""COMPUTED_VALUE"""),"gửi tiết kiệm online có an toàn không")</f>
        <v>gửi tiết kiệm online có an toàn không</v>
      </c>
      <c r="AZ66" s="21" t="str">
        <f>IFERROR(__xludf.DUMMYFUNCTION("""COMPUTED_VALUE"""),"https://techcombank.com/thong-tin/blog/tai-sao-gui-tiet-kiem-online-lai-suat-cao-hon")</f>
        <v>https://techcombank.com/thong-tin/blog/tai-sao-gui-tiet-kiem-online-lai-suat-cao-hon</v>
      </c>
      <c r="BA66" s="17" t="str">
        <f>IFERROR(__xludf.DUMMYFUNCTION("""COMPUTED_VALUE"""),"rủi ro khi gửi tiết kiệm online")</f>
        <v>rủi ro khi gửi tiết kiệm online</v>
      </c>
      <c r="BB66" s="21" t="str">
        <f>IFERROR(__xludf.DUMMYFUNCTION("""COMPUTED_VALUE"""),"https://techcombank.com/thong-tin/blog/rui-ro-khi-vay-the-chap-ngan-hang")</f>
        <v>https://techcombank.com/thong-tin/blog/rui-ro-khi-vay-the-chap-ngan-hang</v>
      </c>
      <c r="BC66" s="17" t="str">
        <f>IFERROR(__xludf.DUMMYFUNCTION("""COMPUTED_VALUE"""),"gửi tiết kiệm online có an toàn không")</f>
        <v>gửi tiết kiệm online có an toàn không</v>
      </c>
      <c r="BD66" s="21" t="str">
        <f>IFERROR(__xludf.DUMMYFUNCTION("""COMPUTED_VALUE"""),"https://techcombank.com/thong-tin/blog/the-atm-khong-rut-duoc-tien")</f>
        <v>https://techcombank.com/thong-tin/blog/the-atm-khong-rut-duoc-tien</v>
      </c>
      <c r="BE66" s="17" t="str">
        <f>IFERROR(__xludf.DUMMYFUNCTION("""COMPUTED_VALUE"""),"rủi ro khi gửi tiết kiệm online")</f>
        <v>rủi ro khi gửi tiết kiệm online</v>
      </c>
      <c r="BF66" s="21" t="str">
        <f>IFERROR(__xludf.DUMMYFUNCTION("""COMPUTED_VALUE"""),"https://techcombank.com/thong-tin/blog/phuong-phap-dau-tu-chung-chi-quy")</f>
        <v>https://techcombank.com/thong-tin/blog/phuong-phap-dau-tu-chung-chi-quy</v>
      </c>
      <c r="BG66" s="17" t="str">
        <f>IFERROR(__xludf.DUMMYFUNCTION("""COMPUTED_VALUE"""),"gửi tiết kiệm online có an toàn không")</f>
        <v>gửi tiết kiệm online có an toàn không</v>
      </c>
      <c r="BH66" s="21" t="str">
        <f>IFERROR(__xludf.DUMMYFUNCTION("""COMPUTED_VALUE"""),"https://techcombank.com/thong-tin/blog/gia-chung-chi-quy-la-gi")</f>
        <v>https://techcombank.com/thong-tin/blog/gia-chung-chi-quy-la-gi</v>
      </c>
      <c r="BI66" s="17" t="str">
        <f>IFERROR(__xludf.DUMMYFUNCTION("""COMPUTED_VALUE"""),"rủi ro khi gửi tiết kiệm online")</f>
        <v>rủi ro khi gửi tiết kiệm online</v>
      </c>
      <c r="BJ66" s="21" t="str">
        <f>IFERROR(__xludf.DUMMYFUNCTION("""COMPUTED_VALUE"""),"https://techcombank.com/thong-tin/blog/chung-chi-quy-va-chung-khoan")</f>
        <v>https://techcombank.com/thong-tin/blog/chung-chi-quy-va-chung-khoan</v>
      </c>
      <c r="BK66" s="17" t="str">
        <f>IFERROR(__xludf.DUMMYFUNCTION("""COMPUTED_VALUE"""),"gửi tiết kiệm online có an toàn không")</f>
        <v>gửi tiết kiệm online có an toàn không</v>
      </c>
      <c r="BL66" s="21" t="str">
        <f>IFERROR(__xludf.DUMMYFUNCTION("""COMPUTED_VALUE"""),"https://techcombank.com/thong-tin/blog/danh-muc-dau-tu")</f>
        <v>https://techcombank.com/thong-tin/blog/danh-muc-dau-tu</v>
      </c>
      <c r="BM66" s="17" t="str">
        <f>IFERROR(__xludf.DUMMYFUNCTION("""COMPUTED_VALUE"""),"rủi ro khi gửi tiết kiệm online")</f>
        <v>rủi ro khi gửi tiết kiệm online</v>
      </c>
      <c r="BN66" s="21" t="str">
        <f>IFERROR(__xludf.DUMMYFUNCTION("""COMPUTED_VALUE"""),"https://techcombank.com/thong-tin/blog/cach-khoa-the-ngan-hang")</f>
        <v>https://techcombank.com/thong-tin/blog/cach-khoa-the-ngan-hang</v>
      </c>
      <c r="BO66" s="17" t="str">
        <f>IFERROR(__xludf.DUMMYFUNCTION("""COMPUTED_VALUE"""),"gửi tiết kiệm online có an toàn không")</f>
        <v>gửi tiết kiệm online có an toàn không</v>
      </c>
      <c r="BP66" s="21" t="str">
        <f>IFERROR(__xludf.DUMMYFUNCTION("""COMPUTED_VALUE"""),"https://techcombank.com/thong-tin/blog/cac-chung-chi-quy-o-viet-nam")</f>
        <v>https://techcombank.com/thong-tin/blog/cac-chung-chi-quy-o-viet-nam</v>
      </c>
      <c r="BQ66" s="17" t="str">
        <f>IFERROR(__xludf.DUMMYFUNCTION("""COMPUTED_VALUE"""),"rủi ro khi gửi tiết kiệm online")</f>
        <v>rủi ro khi gửi tiết kiệm online</v>
      </c>
      <c r="BR66" s="21" t="str">
        <f>IFERROR(__xludf.DUMMYFUNCTION("""COMPUTED_VALUE"""),"https://techcombank.com/thong-tin/blog/mo-tai-khoan-ngan-hang-online-co-an-toan-khong")</f>
        <v>https://techcombank.com/thong-tin/blog/mo-tai-khoan-ngan-hang-online-co-an-toan-khong</v>
      </c>
      <c r="BS66" s="17" t="str">
        <f>IFERROR(__xludf.DUMMYFUNCTION("""COMPUTED_VALUE"""),"gửi tiết kiệm online có an toàn không")</f>
        <v>gửi tiết kiệm online có an toàn không</v>
      </c>
      <c r="BT66" s="21" t="str">
        <f>IFERROR(__xludf.DUMMYFUNCTION("""COMPUTED_VALUE"""),"https://techcombank.com/thong-tin/blog/tra-no-vay-thau-chi-nhu-the-nao")</f>
        <v>https://techcombank.com/thong-tin/blog/tra-no-vay-thau-chi-nhu-the-nao</v>
      </c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  <c r="FN66" s="17"/>
      <c r="FO66" s="17"/>
      <c r="FP66" s="17"/>
      <c r="FQ66" s="17"/>
      <c r="FR66" s="17"/>
      <c r="FS66" s="17"/>
      <c r="FT66" s="17"/>
      <c r="FU66" s="17"/>
      <c r="FV66" s="17"/>
      <c r="FW66" s="17"/>
      <c r="FX66" s="17"/>
      <c r="FY66" s="17"/>
      <c r="FZ66" s="17"/>
      <c r="GA66" s="17"/>
      <c r="GB66" s="17"/>
      <c r="GC66" s="17"/>
      <c r="GD66" s="17"/>
      <c r="GE66" s="17"/>
      <c r="GF66" s="17"/>
      <c r="GG66" s="17"/>
      <c r="GH66" s="17"/>
      <c r="GI66" s="17"/>
      <c r="GJ66" s="17"/>
      <c r="GK66" s="17"/>
      <c r="GL66" s="17"/>
      <c r="GM66" s="17"/>
      <c r="GN66" s="17"/>
      <c r="GO66" s="17"/>
      <c r="GP66" s="17"/>
      <c r="GQ66" s="17"/>
      <c r="GR66" s="17"/>
      <c r="GS66" s="17"/>
      <c r="GT66" s="17"/>
      <c r="GU66" s="17"/>
      <c r="GV66" s="17"/>
      <c r="GW66" s="17"/>
      <c r="GX66" s="17"/>
      <c r="GY66" s="17"/>
      <c r="GZ66" s="17"/>
      <c r="HA66" s="17"/>
      <c r="HB66" s="17"/>
      <c r="HC66" s="17"/>
      <c r="HD66" s="17"/>
      <c r="HE66" s="17"/>
      <c r="HF66" s="17"/>
      <c r="HG66" s="17"/>
      <c r="HH66" s="17"/>
      <c r="HI66" s="17"/>
      <c r="HJ66" s="17"/>
      <c r="HK66" s="17"/>
      <c r="HL66" s="17"/>
      <c r="HM66" s="17"/>
      <c r="HN66" s="17"/>
      <c r="HO66" s="17"/>
      <c r="HP66" s="17"/>
      <c r="HQ66" s="17"/>
      <c r="HR66" s="17"/>
      <c r="HS66" s="17"/>
      <c r="HT66" s="17"/>
      <c r="HU66" s="17"/>
      <c r="HV66" s="17"/>
      <c r="HW66" s="17"/>
      <c r="HX66" s="17"/>
      <c r="HY66" s="17"/>
      <c r="HZ66" s="17"/>
      <c r="IA66" s="17"/>
      <c r="IB66" s="17"/>
      <c r="IC66" s="17"/>
      <c r="ID66" s="17"/>
      <c r="IE66" s="17"/>
      <c r="IF66" s="17"/>
      <c r="IG66" s="17"/>
      <c r="IH66" s="17"/>
      <c r="II66" s="17"/>
      <c r="IJ66" s="17"/>
      <c r="IK66" s="17"/>
      <c r="IL66" s="17"/>
      <c r="IM66" s="17"/>
      <c r="IN66" s="17"/>
      <c r="IO66" s="17"/>
      <c r="IP66" s="17"/>
      <c r="IQ66" s="17"/>
      <c r="IR66" s="17"/>
      <c r="IS66" s="17"/>
      <c r="IT66" s="17"/>
      <c r="IU66" s="17"/>
      <c r="IV66" s="17"/>
      <c r="IW66" s="17"/>
      <c r="IX66" s="17"/>
      <c r="IY66" s="17"/>
      <c r="IZ66" s="17"/>
      <c r="JA66" s="17"/>
      <c r="JB66" s="17"/>
      <c r="JC66" s="17"/>
      <c r="JD66" s="17"/>
      <c r="JE66" s="17"/>
      <c r="JF66" s="17"/>
      <c r="JG66" s="17"/>
      <c r="JH66" s="17"/>
      <c r="JI66" s="17"/>
      <c r="JJ66" s="17"/>
      <c r="JK66" s="17"/>
      <c r="JL66" s="17"/>
      <c r="JM66" s="17"/>
      <c r="JN66" s="17"/>
      <c r="JO66" s="17"/>
      <c r="JP66" s="17"/>
      <c r="JQ66" s="17"/>
      <c r="JR66" s="17"/>
      <c r="JS66" s="17"/>
      <c r="JT66" s="17"/>
      <c r="JU66" s="17"/>
      <c r="JV66" s="17"/>
      <c r="JW66" s="17"/>
      <c r="JX66" s="17"/>
      <c r="JY66" s="17"/>
      <c r="JZ66" s="17"/>
      <c r="KA66" s="17"/>
      <c r="KB66" s="17"/>
      <c r="KC66" s="17"/>
      <c r="KD66" s="17"/>
      <c r="KE66" s="17"/>
      <c r="KF66" s="17"/>
      <c r="KG66" s="17"/>
      <c r="KH66" s="17"/>
      <c r="KI66" s="17"/>
      <c r="KJ66" s="17"/>
      <c r="KK66" s="17"/>
      <c r="KL66" s="17"/>
      <c r="KM66" s="17"/>
      <c r="KN66" s="17"/>
      <c r="KO66" s="17"/>
      <c r="KP66" s="17"/>
      <c r="KQ66" s="17"/>
      <c r="KR66" s="17"/>
      <c r="KS66" s="17"/>
      <c r="KT66" s="17"/>
      <c r="KU66" s="17"/>
      <c r="KV66" s="17"/>
      <c r="KW66" s="17"/>
      <c r="KX66" s="17"/>
      <c r="KY66" s="17"/>
      <c r="KZ66" s="17"/>
      <c r="LA66" s="17"/>
      <c r="LB66" s="17"/>
      <c r="LC66" s="17"/>
      <c r="LD66" s="17"/>
      <c r="LE66" s="17"/>
      <c r="LF66" s="17"/>
      <c r="LG66" s="17"/>
      <c r="LH66" s="17"/>
      <c r="LI66" s="17"/>
      <c r="LJ66" s="17"/>
      <c r="LK66" s="17"/>
      <c r="LL66" s="17"/>
      <c r="LM66" s="17"/>
      <c r="LN66" s="17"/>
      <c r="LO66" s="17"/>
      <c r="LP66" s="17"/>
      <c r="LQ66" s="17"/>
      <c r="LR66" s="17"/>
      <c r="LS66" s="17"/>
      <c r="LT66" s="17"/>
      <c r="LU66" s="17"/>
      <c r="LV66" s="17"/>
      <c r="LW66" s="17"/>
      <c r="LX66" s="17"/>
      <c r="LY66" s="17"/>
      <c r="LZ66" s="17"/>
      <c r="MA66" s="17"/>
      <c r="MB66" s="17"/>
      <c r="MC66" s="17"/>
      <c r="MD66" s="17"/>
      <c r="ME66" s="17"/>
      <c r="MF66" s="17"/>
      <c r="MG66" s="17"/>
      <c r="MH66" s="17"/>
      <c r="MI66" s="17"/>
      <c r="MJ66" s="17"/>
      <c r="MK66" s="17"/>
      <c r="ML66" s="17"/>
      <c r="MM66" s="17"/>
      <c r="MN66" s="17"/>
      <c r="MO66" s="17"/>
      <c r="MP66" s="17"/>
      <c r="MQ66" s="17"/>
      <c r="MR66" s="17"/>
      <c r="MS66" s="17"/>
      <c r="MT66" s="17"/>
      <c r="MU66" s="17"/>
      <c r="MV66" s="17"/>
      <c r="MW66" s="17"/>
      <c r="MX66" s="17"/>
      <c r="MY66" s="17"/>
      <c r="MZ66" s="17"/>
      <c r="NA66" s="17"/>
      <c r="NB66" s="17"/>
      <c r="NC66" s="17"/>
      <c r="ND66" s="17"/>
      <c r="NE66" s="17"/>
      <c r="NF66" s="17"/>
      <c r="NG66" s="17"/>
      <c r="NH66" s="17"/>
      <c r="NI66" s="17"/>
      <c r="NJ66" s="17"/>
      <c r="NK66" s="17"/>
      <c r="NL66" s="17"/>
      <c r="NM66" s="17"/>
      <c r="NN66" s="17"/>
      <c r="NO66" s="17"/>
      <c r="NP66" s="17"/>
      <c r="NQ66" s="17"/>
      <c r="NR66" s="17"/>
      <c r="NS66" s="17"/>
      <c r="NT66" s="17"/>
      <c r="NU66" s="17"/>
      <c r="NV66" s="17"/>
      <c r="NW66" s="17"/>
      <c r="NX66" s="17"/>
      <c r="NY66" s="17"/>
      <c r="NZ66" s="17"/>
      <c r="OA66" s="17"/>
      <c r="OB66" s="17"/>
      <c r="OC66" s="17"/>
      <c r="OD66" s="17"/>
      <c r="OE66" s="17"/>
      <c r="OF66" s="17"/>
      <c r="OG66" s="17"/>
      <c r="OH66" s="17"/>
      <c r="OI66" s="17"/>
      <c r="OJ66" s="17"/>
      <c r="OK66" s="17"/>
      <c r="OL66" s="17"/>
      <c r="OM66" s="17"/>
      <c r="ON66" s="17"/>
      <c r="OO66" s="17"/>
      <c r="OP66" s="17"/>
      <c r="OQ66" s="17"/>
      <c r="OR66" s="17"/>
      <c r="OS66" s="17"/>
      <c r="OT66" s="17"/>
      <c r="OU66" s="17"/>
      <c r="OV66" s="17"/>
    </row>
    <row r="67" ht="18.0" customHeight="1">
      <c r="A67" s="16">
        <v>66.0</v>
      </c>
      <c r="B67" s="17" t="s">
        <v>1812</v>
      </c>
      <c r="C67" s="18" t="s">
        <v>1816</v>
      </c>
      <c r="D67" s="17" t="s">
        <v>602</v>
      </c>
      <c r="E67" s="16">
        <v>150.0</v>
      </c>
      <c r="F67" s="16">
        <f>COUNTIF('Tổng hợp 75 trang đích'!$B$2:$B$3400,$D67)</f>
        <v>150</v>
      </c>
      <c r="G67" s="16">
        <f>COUNTIFS('Tổng hợp 75 trang đích'!$B$2:$B$3400,$D67,'Tổng hợp 75 trang đích'!$K$2:$K$3400,"PHÙ HỢP CAO")</f>
        <v>3</v>
      </c>
      <c r="H67" s="16">
        <f>COUNTIFS('Tổng hợp 75 trang đích'!$B$2:$B$3400,$D67,'Tổng hợp 75 trang đích'!$K$2:$K$3400,"CÓ THỂ ĐI")</f>
        <v>2</v>
      </c>
      <c r="I67" s="16">
        <f>COUNTIFS('Tổng hợp 75 trang đích'!$B$2:$B$3400,$D67,'Tổng hợp 75 trang đích'!$K$2:$K$3400,"CẦN SOÁT")</f>
        <v>145</v>
      </c>
      <c r="J67" s="19" t="s">
        <v>555</v>
      </c>
      <c r="K67" s="19" t="b">
        <v>0</v>
      </c>
      <c r="L67" s="20" t="s">
        <v>333</v>
      </c>
      <c r="M67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đích'!$B$2:$B$3400=$D67),3,TR"&amp;"UE),1,2)),"""")"),"tính lãi suất vay ngân hàng")</f>
        <v>tính lãi suất vay ngân hàng</v>
      </c>
      <c r="N67" s="21" t="str">
        <f>IFERROR(__xludf.DUMMYFUNCTION("""COMPUTED_VALUE"""),"https://techcombank.com/thong-tin/blog/vay-100-trieu")</f>
        <v>https://techcombank.com/thong-tin/blog/vay-100-trieu</v>
      </c>
      <c r="O67" s="17" t="str">
        <f>IFERROR(__xludf.DUMMYFUNCTION("""COMPUTED_VALUE"""),"tính lãi vay ngân hàng")</f>
        <v>tính lãi vay ngân hàng</v>
      </c>
      <c r="P67" s="21" t="str">
        <f>IFERROR(__xludf.DUMMYFUNCTION("""COMPUTED_VALUE"""),"https://techcombank.com/thong-tin/blog/vay-200-trieu")</f>
        <v>https://techcombank.com/thong-tin/blog/vay-200-trieu</v>
      </c>
      <c r="Q67" s="17" t="str">
        <f>IFERROR(__xludf.DUMMYFUNCTION("""COMPUTED_VALUE"""),"bảng tính lãi suất vay ngân hàng")</f>
        <v>bảng tính lãi suất vay ngân hàng</v>
      </c>
      <c r="R67" s="21" t="str">
        <f>IFERROR(__xludf.DUMMYFUNCTION("""COMPUTED_VALUE"""),"https://techcombank.com/thong-tin/blog/vay-300-trieu")</f>
        <v>https://techcombank.com/thong-tin/blog/vay-300-trieu</v>
      </c>
      <c r="S67" s="17" t="str">
        <f>IFERROR(__xludf.DUMMYFUNCTION("""COMPUTED_VALUE"""),"tính lãi suất vay ngân hàng")</f>
        <v>tính lãi suất vay ngân hàng</v>
      </c>
      <c r="T67" s="21" t="str">
        <f>IFERROR(__xludf.DUMMYFUNCTION("""COMPUTED_VALUE"""),"https://techcombank.com/thong-tin/blog/vay-tra-gop")</f>
        <v>https://techcombank.com/thong-tin/blog/vay-tra-gop</v>
      </c>
      <c r="U67" s="17" t="str">
        <f>IFERROR(__xludf.DUMMYFUNCTION("""COMPUTED_VALUE"""),"tính lãi vay ngân hàng")</f>
        <v>tính lãi vay ngân hàng</v>
      </c>
      <c r="V67" s="21" t="str">
        <f>IFERROR(__xludf.DUMMYFUNCTION("""COMPUTED_VALUE"""),"https://techcombank.com/thong-tin/blog/dang-vay-tra-gop-co-vay-them-duoc-khong")</f>
        <v>https://techcombank.com/thong-tin/blog/dang-vay-tra-gop-co-vay-them-duoc-khong</v>
      </c>
      <c r="W67" s="17" t="str">
        <f>IFERROR(__xludf.DUMMYFUNCTION("""COMPUTED_VALUE"""),"bảng tính lãi suất vay ngân hàng")</f>
        <v>bảng tính lãi suất vay ngân hàng</v>
      </c>
      <c r="X67" s="21" t="str">
        <f>IFERROR(__xludf.DUMMYFUNCTION("""COMPUTED_VALUE"""),"https://techcombank.com/thong-tin/blog/lai-suat-vay-kinh-doanh")</f>
        <v>https://techcombank.com/thong-tin/blog/lai-suat-vay-kinh-doanh</v>
      </c>
      <c r="Y67" s="17" t="str">
        <f>IFERROR(__xludf.DUMMYFUNCTION("""COMPUTED_VALUE"""),"tính lãi suất vay ngân hàng")</f>
        <v>tính lãi suất vay ngân hàng</v>
      </c>
      <c r="Z67" s="21" t="str">
        <f>IFERROR(__xludf.DUMMYFUNCTION("""COMPUTED_VALUE"""),"https://techcombank.com/thong-tin/blog/cac-hinh-thuc-vay-von-ngan-hang")</f>
        <v>https://techcombank.com/thong-tin/blog/cac-hinh-thuc-vay-von-ngan-hang</v>
      </c>
      <c r="AA67" s="17" t="str">
        <f>IFERROR(__xludf.DUMMYFUNCTION("""COMPUTED_VALUE"""),"tính lãi vay ngân hàng")</f>
        <v>tính lãi vay ngân hàng</v>
      </c>
      <c r="AB67" s="21" t="str">
        <f>IFERROR(__xludf.DUMMYFUNCTION("""COMPUTED_VALUE"""),"https://techcombank.com/thong-tin/blog/loi-nhuan")</f>
        <v>https://techcombank.com/thong-tin/blog/loi-nhuan</v>
      </c>
      <c r="AC67" s="17" t="str">
        <f>IFERROR(__xludf.DUMMYFUNCTION("""COMPUTED_VALUE"""),"bảng tính lãi suất vay ngân hàng")</f>
        <v>bảng tính lãi suất vay ngân hàng</v>
      </c>
      <c r="AD67" s="21" t="str">
        <f>IFERROR(__xludf.DUMMYFUNCTION("""COMPUTED_VALUE"""),"https://techcombank.com/thong-tin/blog/co-nen-mua-o-to-tra-gop")</f>
        <v>https://techcombank.com/thong-tin/blog/co-nen-mua-o-to-tra-gop</v>
      </c>
      <c r="AE67" s="17" t="str">
        <f>IFERROR(__xludf.DUMMYFUNCTION("""COMPUTED_VALUE"""),"tính lãi suất vay ngân hàng")</f>
        <v>tính lãi suất vay ngân hàng</v>
      </c>
      <c r="AF67" s="21" t="str">
        <f>IFERROR(__xludf.DUMMYFUNCTION("""COMPUTED_VALUE"""),"https://techcombank.com/thong-tin/blog/thanh-toan-khoan-vay")</f>
        <v>https://techcombank.com/thong-tin/blog/thanh-toan-khoan-vay</v>
      </c>
      <c r="AG67" s="17" t="str">
        <f>IFERROR(__xludf.DUMMYFUNCTION("""COMPUTED_VALUE"""),"tính lãi vay ngân hàng")</f>
        <v>tính lãi vay ngân hàng</v>
      </c>
      <c r="AH67" s="21" t="str">
        <f>IFERROR(__xludf.DUMMYFUNCTION("""COMPUTED_VALUE"""),"https://techcombank.com/thong-tin/blog/kiem-tra-no-xau")</f>
        <v>https://techcombank.com/thong-tin/blog/kiem-tra-no-xau</v>
      </c>
      <c r="AI67" s="17" t="str">
        <f>IFERROR(__xludf.DUMMYFUNCTION("""COMPUTED_VALUE"""),"bảng tính lãi suất vay ngân hàng")</f>
        <v>bảng tính lãi suất vay ngân hàng</v>
      </c>
      <c r="AJ67" s="21" t="str">
        <f>IFERROR(__xludf.DUMMYFUNCTION("""COMPUTED_VALUE"""),"https://techcombank.com/thong-tin/blog/mua-truoc-tra-sau")</f>
        <v>https://techcombank.com/thong-tin/blog/mua-truoc-tra-sau</v>
      </c>
      <c r="AK67" s="17" t="str">
        <f>IFERROR(__xludf.DUMMYFUNCTION("""COMPUTED_VALUE"""),"tính lãi suất vay ngân hàng")</f>
        <v>tính lãi suất vay ngân hàng</v>
      </c>
      <c r="AL67" s="21" t="str">
        <f>IFERROR(__xludf.DUMMYFUNCTION("""COMPUTED_VALUE"""),"https://techcombank.com/thong-tin/blog/the-visa-de-lam-gi")</f>
        <v>https://techcombank.com/thong-tin/blog/the-visa-de-lam-gi</v>
      </c>
      <c r="AM67" s="17" t="str">
        <f>IFERROR(__xludf.DUMMYFUNCTION("""COMPUTED_VALUE"""),"tính lãi vay ngân hàng")</f>
        <v>tính lãi vay ngân hàng</v>
      </c>
      <c r="AN67" s="21" t="str">
        <f>IFERROR(__xludf.DUMMYFUNCTION("""COMPUTED_VALUE"""),"https://techcombank.com/thong-tin/blog/rui-ro-khi-vay-the-chap-ngan-hang")</f>
        <v>https://techcombank.com/thong-tin/blog/rui-ro-khi-vay-the-chap-ngan-hang</v>
      </c>
      <c r="AO67" s="17" t="str">
        <f>IFERROR(__xludf.DUMMYFUNCTION("""COMPUTED_VALUE"""),"bảng tính lãi suất vay ngân hàng")</f>
        <v>bảng tính lãi suất vay ngân hàng</v>
      </c>
      <c r="AP67" s="21" t="str">
        <f>IFERROR(__xludf.DUMMYFUNCTION("""COMPUTED_VALUE"""),"https://techcombank.com/thong-tin/blog/vay-tin-chap-va-vay-the-chap")</f>
        <v>https://techcombank.com/thong-tin/blog/vay-tin-chap-va-vay-the-chap</v>
      </c>
      <c r="AQ67" s="17" t="str">
        <f>IFERROR(__xludf.DUMMYFUNCTION("""COMPUTED_VALUE"""),"tính lãi suất vay ngân hàng")</f>
        <v>tính lãi suất vay ngân hàng</v>
      </c>
      <c r="AR67" s="21" t="str">
        <f>IFERROR(__xludf.DUMMYFUNCTION("""COMPUTED_VALUE"""),"https://techcombank.com/thong-tin/blog/lai-suat-vay-the-chap")</f>
        <v>https://techcombank.com/thong-tin/blog/lai-suat-vay-the-chap</v>
      </c>
      <c r="AS67" s="17" t="str">
        <f>IFERROR(__xludf.DUMMYFUNCTION("""COMPUTED_VALUE"""),"tính lãi vay ngân hàng")</f>
        <v>tính lãi vay ngân hàng</v>
      </c>
      <c r="AT67" s="21" t="str">
        <f>IFERROR(__xludf.DUMMYFUNCTION("""COMPUTED_VALUE"""),"https://techcombank.com/thong-tin/blog/tat-toan")</f>
        <v>https://techcombank.com/thong-tin/blog/tat-toan</v>
      </c>
      <c r="AU67" s="17" t="str">
        <f>IFERROR(__xludf.DUMMYFUNCTION("""COMPUTED_VALUE"""),"bảng tính lãi suất vay ngân hàng")</f>
        <v>bảng tính lãi suất vay ngân hàng</v>
      </c>
      <c r="AV67" s="21" t="str">
        <f>IFERROR(__xludf.DUMMYFUNCTION("""COMPUTED_VALUE"""),"https://techcombank.com/thong-tin/blog/dao-han-la-gi")</f>
        <v>https://techcombank.com/thong-tin/blog/dao-han-la-gi</v>
      </c>
      <c r="AW67" s="17" t="str">
        <f>IFERROR(__xludf.DUMMYFUNCTION("""COMPUTED_VALUE"""),"tính lãi suất vay ngân hàng")</f>
        <v>tính lãi suất vay ngân hàng</v>
      </c>
      <c r="AX67" s="21" t="str">
        <f>IFERROR(__xludf.DUMMYFUNCTION("""COMPUTED_VALUE"""),"https://techcombank.com/thong-tin/blog/vay-mua-xe-tra-gop-ngan-hang-nao-tot-nhat")</f>
        <v>https://techcombank.com/thong-tin/blog/vay-mua-xe-tra-gop-ngan-hang-nao-tot-nhat</v>
      </c>
      <c r="AY67" s="17" t="str">
        <f>IFERROR(__xludf.DUMMYFUNCTION("""COMPUTED_VALUE"""),"tính lãi vay ngân hàng")</f>
        <v>tính lãi vay ngân hàng</v>
      </c>
      <c r="AZ67" s="21" t="str">
        <f>IFERROR(__xludf.DUMMYFUNCTION("""COMPUTED_VALUE"""),"https://techcombank.com/thong-tin/blog/lai-suat-vay-thau-chi")</f>
        <v>https://techcombank.com/thong-tin/blog/lai-suat-vay-thau-chi</v>
      </c>
      <c r="BA67" s="17" t="str">
        <f>IFERROR(__xludf.DUMMYFUNCTION("""COMPUTED_VALUE"""),"bảng tính lãi suất vay ngân hàng")</f>
        <v>bảng tính lãi suất vay ngân hàng</v>
      </c>
      <c r="BB67" s="21" t="str">
        <f>IFERROR(__xludf.DUMMYFUNCTION("""COMPUTED_VALUE"""),"https://techcombank.com/thong-tin/blog/vay-mua-nha-tra-gop")</f>
        <v>https://techcombank.com/thong-tin/blog/vay-mua-nha-tra-gop</v>
      </c>
      <c r="BC67" s="17" t="str">
        <f>IFERROR(__xludf.DUMMYFUNCTION("""COMPUTED_VALUE"""),"tính lãi suất vay ngân hàng")</f>
        <v>tính lãi suất vay ngân hàng</v>
      </c>
      <c r="BD67" s="21" t="str">
        <f>IFERROR(__xludf.DUMMYFUNCTION("""COMPUTED_VALUE"""),"https://techcombank.com/thong-tin/blog/quy-trinh-tat-toan-khoan-vay-the-chap")</f>
        <v>https://techcombank.com/thong-tin/blog/quy-trinh-tat-toan-khoan-vay-the-chap</v>
      </c>
      <c r="BE67" s="17" t="str">
        <f>IFERROR(__xludf.DUMMYFUNCTION("""COMPUTED_VALUE"""),"tính lãi vay ngân hàng")</f>
        <v>tính lãi vay ngân hàng</v>
      </c>
      <c r="BF67" s="21" t="str">
        <f>IFERROR(__xludf.DUMMYFUNCTION("""COMPUTED_VALUE"""),"https://techcombank.com/thong-tin/blog/vay-40-trieu")</f>
        <v>https://techcombank.com/thong-tin/blog/vay-40-trieu</v>
      </c>
      <c r="BG67" s="17" t="str">
        <f>IFERROR(__xludf.DUMMYFUNCTION("""COMPUTED_VALUE"""),"bảng tính lãi suất vay ngân hàng")</f>
        <v>bảng tính lãi suất vay ngân hàng</v>
      </c>
      <c r="BH67" s="21" t="str">
        <f>IFERROR(__xludf.DUMMYFUNCTION("""COMPUTED_VALUE"""),"https://techcombank.com/thong-tin/blog/thu-tuc-mua-xe-tra-gop")</f>
        <v>https://techcombank.com/thong-tin/blog/thu-tuc-mua-xe-tra-gop</v>
      </c>
      <c r="BI67" s="17" t="str">
        <f>IFERROR(__xludf.DUMMYFUNCTION("""COMPUTED_VALUE"""),"tính lãi suất vay ngân hàng")</f>
        <v>tính lãi suất vay ngân hàng</v>
      </c>
      <c r="BJ67" s="21" t="str">
        <f>IFERROR(__xludf.DUMMYFUNCTION("""COMPUTED_VALUE"""),"https://techcombank.com/thong-tin/blog/vay-ngan-hang-chi-can-cccd")</f>
        <v>https://techcombank.com/thong-tin/blog/vay-ngan-hang-chi-can-cccd</v>
      </c>
      <c r="BK67" s="17" t="str">
        <f>IFERROR(__xludf.DUMMYFUNCTION("""COMPUTED_VALUE"""),"tính lãi vay ngân hàng")</f>
        <v>tính lãi vay ngân hàng</v>
      </c>
      <c r="BL67" s="21" t="str">
        <f>IFERROR(__xludf.DUMMYFUNCTION("""COMPUTED_VALUE"""),"https://techcombank.com/thong-tin/blog/tra-gop-shopee")</f>
        <v>https://techcombank.com/thong-tin/blog/tra-gop-shopee</v>
      </c>
      <c r="BM67" s="17" t="str">
        <f>IFERROR(__xludf.DUMMYFUNCTION("""COMPUTED_VALUE"""),"bảng tính lãi suất vay ngân hàng")</f>
        <v>bảng tính lãi suất vay ngân hàng</v>
      </c>
      <c r="BN67" s="21" t="str">
        <f>IFERROR(__xludf.DUMMYFUNCTION("""COMPUTED_VALUE"""),"https://techcombank.com/thong-tin/blog/tra-gop-hoc-phi")</f>
        <v>https://techcombank.com/thong-tin/blog/tra-gop-hoc-phi</v>
      </c>
      <c r="BO67" s="17" t="str">
        <f>IFERROR(__xludf.DUMMYFUNCTION("""COMPUTED_VALUE"""),"tính lãi suất vay ngân hàng")</f>
        <v>tính lãi suất vay ngân hàng</v>
      </c>
      <c r="BP67" s="21" t="str">
        <f>IFERROR(__xludf.DUMMYFUNCTION("""COMPUTED_VALUE"""),"https://techcombank.com/thong-tin/blog/thanh-toan-tra-gop-qua-the-tin-dung")</f>
        <v>https://techcombank.com/thong-tin/blog/thanh-toan-tra-gop-qua-the-tin-dung</v>
      </c>
      <c r="BQ67" s="17" t="str">
        <f>IFERROR(__xludf.DUMMYFUNCTION("""COMPUTED_VALUE"""),"tính lãi vay ngân hàng")</f>
        <v>tính lãi vay ngân hàng</v>
      </c>
      <c r="BR67" s="21" t="str">
        <f>IFERROR(__xludf.DUMMYFUNCTION("""COMPUTED_VALUE"""),"https://techcombank.com/thong-tin/blog/tra-gop-lazada")</f>
        <v>https://techcombank.com/thong-tin/blog/tra-gop-lazada</v>
      </c>
      <c r="BS67" s="17" t="str">
        <f>IFERROR(__xludf.DUMMYFUNCTION("""COMPUTED_VALUE"""),"bảng tính lãi suất vay ngân hàng")</f>
        <v>bảng tính lãi suất vay ngân hàng</v>
      </c>
      <c r="BT67" s="21" t="str">
        <f>IFERROR(__xludf.DUMMYFUNCTION("""COMPUTED_VALUE"""),"https://techcombank.com/thong-tin/blog/lai-suat-vay-the-chap-so-do")</f>
        <v>https://techcombank.com/thong-tin/blog/lai-suat-vay-the-chap-so-do</v>
      </c>
      <c r="BU67" s="17" t="str">
        <f>IFERROR(__xludf.DUMMYFUNCTION("""COMPUTED_VALUE"""),"tính lãi suất vay ngân hàng")</f>
        <v>tính lãi suất vay ngân hàng</v>
      </c>
      <c r="BV67" s="21" t="str">
        <f>IFERROR(__xludf.DUMMYFUNCTION("""COMPUTED_VALUE"""),"https://techcombank.com/thong-tin/blog/nen-mua-xe-tra-gop-hay-tra-thang")</f>
        <v>https://techcombank.com/thong-tin/blog/nen-mua-xe-tra-gop-hay-tra-thang</v>
      </c>
      <c r="BW67" s="17" t="str">
        <f>IFERROR(__xludf.DUMMYFUNCTION("""COMPUTED_VALUE"""),"tính lãi vay ngân hàng")</f>
        <v>tính lãi vay ngân hàng</v>
      </c>
      <c r="BX67" s="21" t="str">
        <f>IFERROR(__xludf.DUMMYFUNCTION("""COMPUTED_VALUE"""),"https://techcombank.com/thong-tin/blog/vay-15-trieu")</f>
        <v>https://techcombank.com/thong-tin/blog/vay-15-trieu</v>
      </c>
      <c r="BY67" s="17" t="str">
        <f>IFERROR(__xludf.DUMMYFUNCTION("""COMPUTED_VALUE"""),"bảng tính lãi suất vay ngân hàng")</f>
        <v>bảng tính lãi suất vay ngân hàng</v>
      </c>
      <c r="BZ67" s="21" t="str">
        <f>IFERROR(__xludf.DUMMYFUNCTION("""COMPUTED_VALUE"""),"https://techcombank.com/thong-tin/blog/lai-suat-vay-tieu-dung")</f>
        <v>https://techcombank.com/thong-tin/blog/lai-suat-vay-tieu-dung</v>
      </c>
      <c r="CA67" s="17" t="str">
        <f>IFERROR(__xludf.DUMMYFUNCTION("""COMPUTED_VALUE"""),"tính lãi suất vay ngân hàng")</f>
        <v>tính lãi suất vay ngân hàng</v>
      </c>
      <c r="CB67" s="21" t="str">
        <f>IFERROR(__xludf.DUMMYFUNCTION("""COMPUTED_VALUE"""),"https://techcombank.com/thong-tin/blog/lam-ho-so-tra-gop-dien-thoai")</f>
        <v>https://techcombank.com/thong-tin/blog/lam-ho-so-tra-gop-dien-thoai</v>
      </c>
      <c r="CC67" s="17" t="str">
        <f>IFERROR(__xludf.DUMMYFUNCTION("""COMPUTED_VALUE"""),"tính lãi vay ngân hàng")</f>
        <v>tính lãi vay ngân hàng</v>
      </c>
      <c r="CD67" s="21" t="str">
        <f>IFERROR(__xludf.DUMMYFUNCTION("""COMPUTED_VALUE"""),"https://techcombank.com/thong-tin/blog/vay-30-trieu")</f>
        <v>https://techcombank.com/thong-tin/blog/vay-30-trieu</v>
      </c>
      <c r="CE67" s="17" t="str">
        <f>IFERROR(__xludf.DUMMYFUNCTION("""COMPUTED_VALUE"""),"bảng tính lãi suất vay ngân hàng")</f>
        <v>bảng tính lãi suất vay ngân hàng</v>
      </c>
      <c r="CF67" s="21" t="str">
        <f>IFERROR(__xludf.DUMMYFUNCTION("""COMPUTED_VALUE"""),"https://techcombank.com/thong-tin/blog/thu-tuc-vay-von-ngan-hang-de-xay-nha")</f>
        <v>https://techcombank.com/thong-tin/blog/thu-tuc-vay-von-ngan-hang-de-xay-nha</v>
      </c>
      <c r="CG67" s="17" t="str">
        <f>IFERROR(__xludf.DUMMYFUNCTION("""COMPUTED_VALUE"""),"tính lãi suất vay ngân hàng")</f>
        <v>tính lãi suất vay ngân hàng</v>
      </c>
      <c r="CH67" s="21" t="str">
        <f>IFERROR(__xludf.DUMMYFUNCTION("""COMPUTED_VALUE"""),"https://techcombank.com/thong-tin/blog/cach-su-dung-the-tin-dung")</f>
        <v>https://techcombank.com/thong-tin/blog/cach-su-dung-the-tin-dung</v>
      </c>
      <c r="CI67" s="17" t="str">
        <f>IFERROR(__xludf.DUMMYFUNCTION("""COMPUTED_VALUE"""),"tính lãi vay ngân hàng")</f>
        <v>tính lãi vay ngân hàng</v>
      </c>
      <c r="CJ67" s="21" t="str">
        <f>IFERROR(__xludf.DUMMYFUNCTION("""COMPUTED_VALUE"""),"https://techcombank.com/thong-tin/blog/vay-mua-nha-o-xa-hoi")</f>
        <v>https://techcombank.com/thong-tin/blog/vay-mua-nha-o-xa-hoi</v>
      </c>
      <c r="CK67" s="17" t="str">
        <f>IFERROR(__xludf.DUMMYFUNCTION("""COMPUTED_VALUE"""),"bảng tính lãi suất vay ngân hàng")</f>
        <v>bảng tính lãi suất vay ngân hàng</v>
      </c>
      <c r="CL67" s="21" t="str">
        <f>IFERROR(__xludf.DUMMYFUNCTION("""COMPUTED_VALUE"""),"https://techcombank.com/thong-tin/blog/kinh-nghiem-vay-tien-ngan-hang-xay-nha")</f>
        <v>https://techcombank.com/thong-tin/blog/kinh-nghiem-vay-tien-ngan-hang-xay-nha</v>
      </c>
      <c r="CM67" s="17" t="str">
        <f>IFERROR(__xludf.DUMMYFUNCTION("""COMPUTED_VALUE"""),"tính lãi suất vay ngân hàng")</f>
        <v>tính lãi suất vay ngân hàng</v>
      </c>
      <c r="CN67" s="21" t="str">
        <f>IFERROR(__xludf.DUMMYFUNCTION("""COMPUTED_VALUE"""),"https://techcombank.com/thong-tin/blog/vay-tin-chap-theo-luong")</f>
        <v>https://techcombank.com/thong-tin/blog/vay-tin-chap-theo-luong</v>
      </c>
      <c r="CO67" s="17" t="str">
        <f>IFERROR(__xludf.DUMMYFUNCTION("""COMPUTED_VALUE"""),"tính lãi vay ngân hàng")</f>
        <v>tính lãi vay ngân hàng</v>
      </c>
      <c r="CP67" s="21" t="str">
        <f>IFERROR(__xludf.DUMMYFUNCTION("""COMPUTED_VALUE"""),"https://techcombank.com/thong-tin/blog/tra-gop-qua-the-tin-dung")</f>
        <v>https://techcombank.com/thong-tin/blog/tra-gop-qua-the-tin-dung</v>
      </c>
      <c r="CQ67" s="17" t="str">
        <f>IFERROR(__xludf.DUMMYFUNCTION("""COMPUTED_VALUE"""),"bảng tính lãi suất vay ngân hàng")</f>
        <v>bảng tính lãi suất vay ngân hàng</v>
      </c>
      <c r="CR67" s="21" t="str">
        <f>IFERROR(__xludf.DUMMYFUNCTION("""COMPUTED_VALUE"""),"https://techcombank.com/thong-tin/blog/cach-tinh-lai-vay-ngan-hang")</f>
        <v>https://techcombank.com/thong-tin/blog/cach-tinh-lai-vay-ngan-hang</v>
      </c>
      <c r="CS67" s="17" t="str">
        <f>IFERROR(__xludf.DUMMYFUNCTION("""COMPUTED_VALUE"""),"tính lãi suất vay ngân hàng")</f>
        <v>tính lãi suất vay ngân hàng</v>
      </c>
      <c r="CT67" s="21" t="str">
        <f>IFERROR(__xludf.DUMMYFUNCTION("""COMPUTED_VALUE"""),"https://techcombank.com/thong-tin/blog/cach-su-dung-the-visa-techcombank")</f>
        <v>https://techcombank.com/thong-tin/blog/cach-su-dung-the-visa-techcombank</v>
      </c>
      <c r="CU67" s="17" t="str">
        <f>IFERROR(__xludf.DUMMYFUNCTION("""COMPUTED_VALUE"""),"tính lãi vay ngân hàng")</f>
        <v>tính lãi vay ngân hàng</v>
      </c>
      <c r="CV67" s="21" t="str">
        <f>IFERROR(__xludf.DUMMYFUNCTION("""COMPUTED_VALUE"""),"https://techcombank.com/thong-tin/blog/lai-suat-vay-ngan-hang")</f>
        <v>https://techcombank.com/thong-tin/blog/lai-suat-vay-ngan-hang</v>
      </c>
      <c r="CW67" s="17" t="str">
        <f>IFERROR(__xludf.DUMMYFUNCTION("""COMPUTED_VALUE"""),"bảng tính lãi suất vay ngân hàng")</f>
        <v>bảng tính lãi suất vay ngân hàng</v>
      </c>
      <c r="CX67" s="21" t="str">
        <f>IFERROR(__xludf.DUMMYFUNCTION("""COMPUTED_VALUE"""),"https://techcombank.com/thong-tin/blog/du-no-tin-dung-la-gi")</f>
        <v>https://techcombank.com/thong-tin/blog/du-no-tin-dung-la-gi</v>
      </c>
      <c r="CY67" s="17" t="str">
        <f>IFERROR(__xludf.DUMMYFUNCTION("""COMPUTED_VALUE"""),"tính lãi suất vay ngân hàng")</f>
        <v>tính lãi suất vay ngân hàng</v>
      </c>
      <c r="CZ67" s="21" t="str">
        <f>IFERROR(__xludf.DUMMYFUNCTION("""COMPUTED_VALUE"""),"https://techcombank.com/thong-tin/blog/mua-nha-tra-gop-dua-truoc-100-trieu")</f>
        <v>https://techcombank.com/thong-tin/blog/mua-nha-tra-gop-dua-truoc-100-trieu</v>
      </c>
      <c r="DA67" s="17" t="str">
        <f>IFERROR(__xludf.DUMMYFUNCTION("""COMPUTED_VALUE"""),"tính lãi vay ngân hàng")</f>
        <v>tính lãi vay ngân hàng</v>
      </c>
      <c r="DB67" s="21" t="str">
        <f>IFERROR(__xludf.DUMMYFUNCTION("""COMPUTED_VALUE"""),"https://techcombank.com/thong-tin/blog/vay-han-muc-la-gi")</f>
        <v>https://techcombank.com/thong-tin/blog/vay-han-muc-la-gi</v>
      </c>
      <c r="DC67" s="17" t="str">
        <f>IFERROR(__xludf.DUMMYFUNCTION("""COMPUTED_VALUE"""),"bảng tính lãi suất vay ngân hàng")</f>
        <v>bảng tính lãi suất vay ngân hàng</v>
      </c>
      <c r="DD67" s="21" t="str">
        <f>IFERROR(__xludf.DUMMYFUNCTION("""COMPUTED_VALUE"""),"https://techcombank.com/thong-tin/blog/lai-suat-vay-mua-o-to")</f>
        <v>https://techcombank.com/thong-tin/blog/lai-suat-vay-mua-o-to</v>
      </c>
      <c r="DE67" s="17" t="str">
        <f>IFERROR(__xludf.DUMMYFUNCTION("""COMPUTED_VALUE"""),"tính lãi suất vay ngân hàng")</f>
        <v>tính lãi suất vay ngân hàng</v>
      </c>
      <c r="DF67" s="21" t="str">
        <f>IFERROR(__xludf.DUMMYFUNCTION("""COMPUTED_VALUE"""),"https://techcombank.com/thong-tin/blog/no-xau-nhom-2")</f>
        <v>https://techcombank.com/thong-tin/blog/no-xau-nhom-2</v>
      </c>
      <c r="DG67" s="17" t="str">
        <f>IFERROR(__xludf.DUMMYFUNCTION("""COMPUTED_VALUE"""),"tính lãi vay ngân hàng")</f>
        <v>tính lãi vay ngân hàng</v>
      </c>
      <c r="DH67" s="21" t="str">
        <f>IFERROR(__xludf.DUMMYFUNCTION("""COMPUTED_VALUE"""),"https://techcombank.com/thong-tin/blog/lai-suat-vay-tin-chap")</f>
        <v>https://techcombank.com/thong-tin/blog/lai-suat-vay-tin-chap</v>
      </c>
      <c r="DI67" s="17" t="str">
        <f>IFERROR(__xludf.DUMMYFUNCTION("""COMPUTED_VALUE"""),"bảng tính lãi suất vay ngân hàng")</f>
        <v>bảng tính lãi suất vay ngân hàng</v>
      </c>
      <c r="DJ67" s="21" t="str">
        <f>IFERROR(__xludf.DUMMYFUNCTION("""COMPUTED_VALUE"""),"https://techcombank.com/thong-tin/blog/co-100-trieu-co-mua-nen-mua-tra-gop")</f>
        <v>https://techcombank.com/thong-tin/blog/co-100-trieu-co-mua-nen-mua-tra-gop</v>
      </c>
      <c r="DK67" s="17" t="str">
        <f>IFERROR(__xludf.DUMMYFUNCTION("""COMPUTED_VALUE"""),"tính lãi suất vay ngân hàng")</f>
        <v>tính lãi suất vay ngân hàng</v>
      </c>
      <c r="DL67" s="21" t="str">
        <f>IFERROR(__xludf.DUMMYFUNCTION("""COMPUTED_VALUE"""),"https://techcombank.com/thong-tin/blog/bao-hiem-vat-chat-xe-o-to")</f>
        <v>https://techcombank.com/thong-tin/blog/bao-hiem-vat-chat-xe-o-to</v>
      </c>
      <c r="DM67" s="17" t="str">
        <f>IFERROR(__xludf.DUMMYFUNCTION("""COMPUTED_VALUE"""),"tính lãi vay ngân hàng")</f>
        <v>tính lãi vay ngân hàng</v>
      </c>
      <c r="DN67" s="21" t="str">
        <f>IFERROR(__xludf.DUMMYFUNCTION("""COMPUTED_VALUE"""),"https://techcombank.com/thong-tin/blog/han-muc-tra-gop-the-tin-dung")</f>
        <v>https://techcombank.com/thong-tin/blog/han-muc-tra-gop-the-tin-dung</v>
      </c>
      <c r="DO67" s="17" t="str">
        <f>IFERROR(__xludf.DUMMYFUNCTION("""COMPUTED_VALUE"""),"bảng tính lãi suất vay ngân hàng")</f>
        <v>bảng tính lãi suất vay ngân hàng</v>
      </c>
      <c r="DP67" s="21" t="str">
        <f>IFERROR(__xludf.DUMMYFUNCTION("""COMPUTED_VALUE"""),"https://techcombank.com/thong-tin/blog/quy-trinh-cho-vay-tieu-dung")</f>
        <v>https://techcombank.com/thong-tin/blog/quy-trinh-cho-vay-tieu-dung</v>
      </c>
      <c r="DQ67" s="17" t="str">
        <f>IFERROR(__xludf.DUMMYFUNCTION("""COMPUTED_VALUE"""),"tính lãi suất vay ngân hàng")</f>
        <v>tính lãi suất vay ngân hàng</v>
      </c>
      <c r="DR67" s="21" t="str">
        <f>IFERROR(__xludf.DUMMYFUNCTION("""COMPUTED_VALUE"""),"https://techcombank.com/thong-tin/blog/vay-20-trieu")</f>
        <v>https://techcombank.com/thong-tin/blog/vay-20-trieu</v>
      </c>
      <c r="DS67" s="17" t="str">
        <f>IFERROR(__xludf.DUMMYFUNCTION("""COMPUTED_VALUE"""),"tính lãi vay ngân hàng")</f>
        <v>tính lãi vay ngân hàng</v>
      </c>
      <c r="DT67" s="21" t="str">
        <f>IFERROR(__xludf.DUMMYFUNCTION("""COMPUTED_VALUE"""),"https://techcombank.com/thong-tin/blog/kinh-nghiem-vay-tien-mua-nha")</f>
        <v>https://techcombank.com/thong-tin/blog/kinh-nghiem-vay-tien-mua-nha</v>
      </c>
      <c r="DU67" s="17" t="str">
        <f>IFERROR(__xludf.DUMMYFUNCTION("""COMPUTED_VALUE"""),"bảng tính lãi suất vay ngân hàng")</f>
        <v>bảng tính lãi suất vay ngân hàng</v>
      </c>
      <c r="DV67" s="21" t="str">
        <f>IFERROR(__xludf.DUMMYFUNCTION("""COMPUTED_VALUE"""),"https://techcombank.com/thong-tin/blog/vay-tin-chap-la-gi")</f>
        <v>https://techcombank.com/thong-tin/blog/vay-tin-chap-la-gi</v>
      </c>
      <c r="DW67" s="17" t="str">
        <f>IFERROR(__xludf.DUMMYFUNCTION("""COMPUTED_VALUE"""),"tính lãi suất vay ngân hàng")</f>
        <v>tính lãi suất vay ngân hàng</v>
      </c>
      <c r="DX67" s="21" t="str">
        <f>IFERROR(__xludf.DUMMYFUNCTION("""COMPUTED_VALUE"""),"https://techcombank.com/thong-tin/blog/vay-mua-dien-thoai")</f>
        <v>https://techcombank.com/thong-tin/blog/vay-mua-dien-thoai</v>
      </c>
      <c r="DY67" s="17" t="str">
        <f>IFERROR(__xludf.DUMMYFUNCTION("""COMPUTED_VALUE"""),"tính lãi vay ngân hàng")</f>
        <v>tính lãi vay ngân hàng</v>
      </c>
      <c r="DZ67" s="21" t="str">
        <f>IFERROR(__xludf.DUMMYFUNCTION("""COMPUTED_VALUE"""),"https://techcombank.com/thong-tin/blog/vay-the-chap-hop-dong-mua-ban-can-ho")</f>
        <v>https://techcombank.com/thong-tin/blog/vay-the-chap-hop-dong-mua-ban-can-ho</v>
      </c>
      <c r="EA67" s="17" t="str">
        <f>IFERROR(__xludf.DUMMYFUNCTION("""COMPUTED_VALUE"""),"bảng tính lãi suất vay ngân hàng")</f>
        <v>bảng tính lãi suất vay ngân hàng</v>
      </c>
      <c r="EB67" s="21" t="str">
        <f>IFERROR(__xludf.DUMMYFUNCTION("""COMPUTED_VALUE"""),"https://techcombank.com/thong-tin/blog/lai-suat-cho-vay-doanh-nghiep")</f>
        <v>https://techcombank.com/thong-tin/blog/lai-suat-cho-vay-doanh-nghiep</v>
      </c>
      <c r="EC67" s="17" t="str">
        <f>IFERROR(__xludf.DUMMYFUNCTION("""COMPUTED_VALUE"""),"tính lãi suất vay ngân hàng")</f>
        <v>tính lãi suất vay ngân hàng</v>
      </c>
      <c r="ED67" s="21" t="str">
        <f>IFERROR(__xludf.DUMMYFUNCTION("""COMPUTED_VALUE"""),"https://techcombank.com/thong-tin/blog/vay-thau-chi-bang-so-tiet-kiem")</f>
        <v>https://techcombank.com/thong-tin/blog/vay-thau-chi-bang-so-tiet-kiem</v>
      </c>
      <c r="EE67" s="17" t="str">
        <f>IFERROR(__xludf.DUMMYFUNCTION("""COMPUTED_VALUE"""),"tính lãi vay ngân hàng")</f>
        <v>tính lãi vay ngân hàng</v>
      </c>
      <c r="EF67" s="21" t="str">
        <f>IFERROR(__xludf.DUMMYFUNCTION("""COMPUTED_VALUE"""),"https://techcombank.com/thong-tin/blog/lai-suat-ngan-hang-cho-vay-xay-nha")</f>
        <v>https://techcombank.com/thong-tin/blog/lai-suat-ngan-hang-cho-vay-xay-nha</v>
      </c>
      <c r="EG67" s="17" t="str">
        <f>IFERROR(__xludf.DUMMYFUNCTION("""COMPUTED_VALUE"""),"bảng tính lãi suất vay ngân hàng")</f>
        <v>bảng tính lãi suất vay ngân hàng</v>
      </c>
      <c r="EH67" s="21" t="str">
        <f>IFERROR(__xludf.DUMMYFUNCTION("""COMPUTED_VALUE"""),"https://techcombank.com/thong-tin/blog/lai-suat-tha-noi")</f>
        <v>https://techcombank.com/thong-tin/blog/lai-suat-tha-noi</v>
      </c>
      <c r="EI67" s="17" t="str">
        <f>IFERROR(__xludf.DUMMYFUNCTION("""COMPUTED_VALUE"""),"tính lãi suất vay ngân hàng")</f>
        <v>tính lãi suất vay ngân hàng</v>
      </c>
      <c r="EJ67" s="21" t="str">
        <f>IFERROR(__xludf.DUMMYFUNCTION("""COMPUTED_VALUE"""),"https://techcombank.com/thong-tin/blog/tra-no-vay-thau-chi-nhu-the-nao")</f>
        <v>https://techcombank.com/thong-tin/blog/tra-no-vay-thau-chi-nhu-the-nao</v>
      </c>
      <c r="EK67" s="17" t="str">
        <f>IFERROR(__xludf.DUMMYFUNCTION("""COMPUTED_VALUE"""),"tính lãi vay ngân hàng")</f>
        <v>tính lãi vay ngân hàng</v>
      </c>
      <c r="EL67" s="21" t="str">
        <f>IFERROR(__xludf.DUMMYFUNCTION("""COMPUTED_VALUE"""),"https://techcombank.com/thong-tin/blog/tin-chap-doanh-nghiep")</f>
        <v>https://techcombank.com/thong-tin/blog/tin-chap-doanh-nghiep</v>
      </c>
      <c r="EM67" s="17" t="str">
        <f>IFERROR(__xludf.DUMMYFUNCTION("""COMPUTED_VALUE"""),"bảng tính lãi suất vay ngân hàng")</f>
        <v>bảng tính lãi suất vay ngân hàng</v>
      </c>
      <c r="EN67" s="21" t="str">
        <f>IFERROR(__xludf.DUMMYFUNCTION("""COMPUTED_VALUE"""),"https://techcombank.com/thong-tin/blog/vay-the-chap-xe-o-to-cu")</f>
        <v>https://techcombank.com/thong-tin/blog/vay-the-chap-xe-o-to-cu</v>
      </c>
      <c r="EO67" s="17" t="str">
        <f>IFERROR(__xludf.DUMMYFUNCTION("""COMPUTED_VALUE"""),"tính lãi suất vay ngân hàng")</f>
        <v>tính lãi suất vay ngân hàng</v>
      </c>
      <c r="EP67" s="21" t="str">
        <f>IFERROR(__xludf.DUMMYFUNCTION("""COMPUTED_VALUE"""),"https://techcombank.com/thong-tin/blog/vay-san-xuat-kinh-doanh")</f>
        <v>https://techcombank.com/thong-tin/blog/vay-san-xuat-kinh-doanh</v>
      </c>
      <c r="EQ67" s="17" t="str">
        <f>IFERROR(__xludf.DUMMYFUNCTION("""COMPUTED_VALUE"""),"tính lãi vay ngân hàng")</f>
        <v>tính lãi vay ngân hàng</v>
      </c>
      <c r="ER67" s="21" t="str">
        <f>IFERROR(__xludf.DUMMYFUNCTION("""COMPUTED_VALUE"""),"https://techcombank.com/thong-tin/blog/nen-vay-tin-chap-o-dau")</f>
        <v>https://techcombank.com/thong-tin/blog/nen-vay-tin-chap-o-dau</v>
      </c>
      <c r="ES67" s="17" t="str">
        <f>IFERROR(__xludf.DUMMYFUNCTION("""COMPUTED_VALUE"""),"bảng tính lãi suất vay ngân hàng")</f>
        <v>bảng tính lãi suất vay ngân hàng</v>
      </c>
      <c r="ET67" s="21" t="str">
        <f>IFERROR(__xludf.DUMMYFUNCTION("""COMPUTED_VALUE"""),"https://techcombank.com/thong-tin/blog/vay-the-chap-so-hong")</f>
        <v>https://techcombank.com/thong-tin/blog/vay-the-chap-so-hong</v>
      </c>
      <c r="EU67" s="17" t="str">
        <f>IFERROR(__xludf.DUMMYFUNCTION("""COMPUTED_VALUE"""),"tính lãi suất vay ngân hàng")</f>
        <v>tính lãi suất vay ngân hàng</v>
      </c>
      <c r="EV67" s="21" t="str">
        <f>IFERROR(__xludf.DUMMYFUNCTION("""COMPUTED_VALUE"""),"https://techcombank.com/thong-tin/blog/vay-the-chap-kinh-doanh")</f>
        <v>https://techcombank.com/thong-tin/blog/vay-the-chap-kinh-doanh</v>
      </c>
      <c r="EW67" s="17" t="str">
        <f>IFERROR(__xludf.DUMMYFUNCTION("""COMPUTED_VALUE"""),"tính lãi vay ngân hàng")</f>
        <v>tính lãi vay ngân hàng</v>
      </c>
      <c r="EX67" s="21" t="str">
        <f>IFERROR(__xludf.DUMMYFUNCTION("""COMPUTED_VALUE"""),"https://techcombank.com/thong-tin/blog/giai-ngan-vay-the-chap")</f>
        <v>https://techcombank.com/thong-tin/blog/giai-ngan-vay-the-chap</v>
      </c>
      <c r="EY67" s="17" t="str">
        <f>IFERROR(__xludf.DUMMYFUNCTION("""COMPUTED_VALUE"""),"bảng tính lãi suất vay ngân hàng")</f>
        <v>bảng tính lãi suất vay ngân hàng</v>
      </c>
      <c r="EZ67" s="21" t="str">
        <f>IFERROR(__xludf.DUMMYFUNCTION("""COMPUTED_VALUE"""),"https://techcombank.com/thong-tin/blog/vay-the-chap-toi-da-duoc-bao-nhieu")</f>
        <v>https://techcombank.com/thong-tin/blog/vay-the-chap-toi-da-duoc-bao-nhieu</v>
      </c>
      <c r="FA67" s="17" t="str">
        <f>IFERROR(__xludf.DUMMYFUNCTION("""COMPUTED_VALUE"""),"tính lãi suất vay ngân hàng")</f>
        <v>tính lãi suất vay ngân hàng</v>
      </c>
      <c r="FB67" s="21" t="str">
        <f>IFERROR(__xludf.DUMMYFUNCTION("""COMPUTED_VALUE"""),"https://techcombank.com/thong-tin/blog/cac-hinh-thuc-cho-vay-tieu-dung")</f>
        <v>https://techcombank.com/thong-tin/blog/cac-hinh-thuc-cho-vay-tieu-dung</v>
      </c>
      <c r="FC67" s="17" t="str">
        <f>IFERROR(__xludf.DUMMYFUNCTION("""COMPUTED_VALUE"""),"tính lãi vay ngân hàng")</f>
        <v>tính lãi vay ngân hàng</v>
      </c>
      <c r="FD67" s="21" t="str">
        <f>IFERROR(__xludf.DUMMYFUNCTION("""COMPUTED_VALUE"""),"https://techcombank.com/thong-tin/blog/vay-ngan-han")</f>
        <v>https://techcombank.com/thong-tin/blog/vay-ngan-han</v>
      </c>
      <c r="FE67" s="17" t="str">
        <f>IFERROR(__xludf.DUMMYFUNCTION("""COMPUTED_VALUE"""),"bảng tính lãi suất vay ngân hàng")</f>
        <v>bảng tính lãi suất vay ngân hàng</v>
      </c>
      <c r="FF67" s="21" t="str">
        <f>IFERROR(__xludf.DUMMYFUNCTION("""COMPUTED_VALUE"""),"https://techcombank.com/thong-tin/blog/cho-vay-kinh-doanh-ho-gia-dinh")</f>
        <v>https://techcombank.com/thong-tin/blog/cho-vay-kinh-doanh-ho-gia-dinh</v>
      </c>
      <c r="FG67" s="17" t="str">
        <f>IFERROR(__xludf.DUMMYFUNCTION("""COMPUTED_VALUE"""),"tính lãi suất vay ngân hàng")</f>
        <v>tính lãi suất vay ngân hàng</v>
      </c>
      <c r="FH67" s="21" t="str">
        <f>IFERROR(__xludf.DUMMYFUNCTION("""COMPUTED_VALUE"""),"https://techcombank.com/thong-tin/blog/vay-von-doanh-nghiep-nho")</f>
        <v>https://techcombank.com/thong-tin/blog/vay-von-doanh-nghiep-nho</v>
      </c>
      <c r="FI67" s="17" t="str">
        <f>IFERROR(__xludf.DUMMYFUNCTION("""COMPUTED_VALUE"""),"tính lãi vay ngân hàng")</f>
        <v>tính lãi vay ngân hàng</v>
      </c>
      <c r="FJ67" s="21" t="str">
        <f>IFERROR(__xludf.DUMMYFUNCTION("""COMPUTED_VALUE"""),"https://techcombank.com/thong-tin/blog/han-muc-thau-chi-la-gi")</f>
        <v>https://techcombank.com/thong-tin/blog/han-muc-thau-chi-la-gi</v>
      </c>
      <c r="FK67" s="17" t="str">
        <f>IFERROR(__xludf.DUMMYFUNCTION("""COMPUTED_VALUE"""),"bảng tính lãi suất vay ngân hàng")</f>
        <v>bảng tính lãi suất vay ngân hàng</v>
      </c>
      <c r="FL67" s="21" t="str">
        <f>IFERROR(__xludf.DUMMYFUNCTION("""COMPUTED_VALUE"""),"https://techcombank.com/thong-tin/blog/vay-tin-chap-toi-da-duoc-bao-nhieu")</f>
        <v>https://techcombank.com/thong-tin/blog/vay-tin-chap-toi-da-duoc-bao-nhieu</v>
      </c>
      <c r="FM67" s="17" t="str">
        <f>IFERROR(__xludf.DUMMYFUNCTION("""COMPUTED_VALUE"""),"tính lãi suất vay ngân hàng")</f>
        <v>tính lãi suất vay ngân hàng</v>
      </c>
      <c r="FN67" s="21" t="str">
        <f>IFERROR(__xludf.DUMMYFUNCTION("""COMPUTED_VALUE"""),"https://techcombank.com/thong-tin/blog/diem-tin-dung")</f>
        <v>https://techcombank.com/thong-tin/blog/diem-tin-dung</v>
      </c>
      <c r="FO67" s="17" t="str">
        <f>IFERROR(__xludf.DUMMYFUNCTION("""COMPUTED_VALUE"""),"tính lãi vay ngân hàng")</f>
        <v>tính lãi vay ngân hàng</v>
      </c>
      <c r="FP67" s="21" t="str">
        <f>IFERROR(__xludf.DUMMYFUNCTION("""COMPUTED_VALUE"""),"https://techcombank.com/thong-tin/blog/kinh-nghiem-vay-the-chap-ngan-hang")</f>
        <v>https://techcombank.com/thong-tin/blog/kinh-nghiem-vay-the-chap-ngan-hang</v>
      </c>
      <c r="FQ67" s="17" t="str">
        <f>IFERROR(__xludf.DUMMYFUNCTION("""COMPUTED_VALUE"""),"bảng tính lãi suất vay ngân hàng")</f>
        <v>bảng tính lãi suất vay ngân hàng</v>
      </c>
      <c r="FR67" s="21" t="str">
        <f>IFERROR(__xludf.DUMMYFUNCTION("""COMPUTED_VALUE"""),"https://techcombank.com/thong-tin/blog/bi-quyet-tiet-kiem-tien-mua-nha")</f>
        <v>https://techcombank.com/thong-tin/blog/bi-quyet-tiet-kiem-tien-mua-nha</v>
      </c>
      <c r="FS67" s="17" t="str">
        <f>IFERROR(__xludf.DUMMYFUNCTION("""COMPUTED_VALUE"""),"tính lãi suất vay ngân hàng")</f>
        <v>tính lãi suất vay ngân hàng</v>
      </c>
      <c r="FT67" s="21" t="str">
        <f>IFERROR(__xludf.DUMMYFUNCTION("""COMPUTED_VALUE"""),"https://techcombank.com/thong-tin/blog/no-nhom-3")</f>
        <v>https://techcombank.com/thong-tin/blog/no-nhom-3</v>
      </c>
      <c r="FU67" s="17" t="str">
        <f>IFERROR(__xludf.DUMMYFUNCTION("""COMPUTED_VALUE"""),"tính lãi vay ngân hàng")</f>
        <v>tính lãi vay ngân hàng</v>
      </c>
      <c r="FV67" s="21" t="str">
        <f>IFERROR(__xludf.DUMMYFUNCTION("""COMPUTED_VALUE"""),"https://techcombank.com/thong-tin/blog/vay-tien-mat")</f>
        <v>https://techcombank.com/thong-tin/blog/vay-tien-mat</v>
      </c>
      <c r="FW67" s="17" t="str">
        <f>IFERROR(__xludf.DUMMYFUNCTION("""COMPUTED_VALUE"""),"bảng tính lãi suất vay ngân hàng")</f>
        <v>bảng tính lãi suất vay ngân hàng</v>
      </c>
      <c r="FX67" s="21" t="str">
        <f>IFERROR(__xludf.DUMMYFUNCTION("""COMPUTED_VALUE"""),"https://techcombank.com/thong-tin/blog/han-muc-vay-the-chap-so-do")</f>
        <v>https://techcombank.com/thong-tin/blog/han-muc-vay-the-chap-so-do</v>
      </c>
      <c r="FY67" s="17" t="str">
        <f>IFERROR(__xludf.DUMMYFUNCTION("""COMPUTED_VALUE"""),"tính lãi suất vay ngân hàng")</f>
        <v>tính lãi suất vay ngân hàng</v>
      </c>
      <c r="FZ67" s="21" t="str">
        <f>IFERROR(__xludf.DUMMYFUNCTION("""COMPUTED_VALUE"""),"https://techcombank.com/thong-tin/blog/vay-sinh-vien")</f>
        <v>https://techcombank.com/thong-tin/blog/vay-sinh-vien</v>
      </c>
      <c r="GA67" s="17" t="str">
        <f>IFERROR(__xludf.DUMMYFUNCTION("""COMPUTED_VALUE"""),"tính lãi vay ngân hàng")</f>
        <v>tính lãi vay ngân hàng</v>
      </c>
      <c r="GB67" s="21" t="str">
        <f>IFERROR(__xludf.DUMMYFUNCTION("""COMPUTED_VALUE"""),"https://techcombank.com/thong-tin/blog/vay-tin-chap-no-xau")</f>
        <v>https://techcombank.com/thong-tin/blog/vay-tin-chap-no-xau</v>
      </c>
      <c r="GC67" s="17" t="str">
        <f>IFERROR(__xludf.DUMMYFUNCTION("""COMPUTED_VALUE"""),"bảng tính lãi suất vay ngân hàng")</f>
        <v>bảng tính lãi suất vay ngân hàng</v>
      </c>
      <c r="GD67" s="21" t="str">
        <f>IFERROR(__xludf.DUMMYFUNCTION("""COMPUTED_VALUE"""),"https://techcombank.com/thong-tin/blog/no-xau-co-vay-the-chap-duoc-khong")</f>
        <v>https://techcombank.com/thong-tin/blog/no-xau-co-vay-the-chap-duoc-khong</v>
      </c>
      <c r="GE67" s="17" t="str">
        <f>IFERROR(__xludf.DUMMYFUNCTION("""COMPUTED_VALUE"""),"tính lãi suất vay ngân hàng")</f>
        <v>tính lãi suất vay ngân hàng</v>
      </c>
      <c r="GF67" s="21" t="str">
        <f>IFERROR(__xludf.DUMMYFUNCTION("""COMPUTED_VALUE"""),"https://techcombank.com/thong-tin/blog/thu-tuc-vay-von-kinh-doanh-nho")</f>
        <v>https://techcombank.com/thong-tin/blog/thu-tuc-vay-von-kinh-doanh-nho</v>
      </c>
      <c r="GG67" s="17" t="str">
        <f>IFERROR(__xludf.DUMMYFUNCTION("""COMPUTED_VALUE"""),"tính lãi vay ngân hàng")</f>
        <v>tính lãi vay ngân hàng</v>
      </c>
      <c r="GH67" s="21" t="str">
        <f>IFERROR(__xludf.DUMMYFUNCTION("""COMPUTED_VALUE"""),"https://techcombank.com/thong-tin/blog/vay-thau-chi-la-gi")</f>
        <v>https://techcombank.com/thong-tin/blog/vay-thau-chi-la-gi</v>
      </c>
      <c r="GI67" s="17" t="str">
        <f>IFERROR(__xludf.DUMMYFUNCTION("""COMPUTED_VALUE"""),"bảng tính lãi suất vay ngân hàng")</f>
        <v>bảng tính lãi suất vay ngân hàng</v>
      </c>
      <c r="GJ67" s="21" t="str">
        <f>IFERROR(__xludf.DUMMYFUNCTION("""COMPUTED_VALUE"""),"https://techcombank.com/thong-tin/blog/vay-tin-chap-khong-tra-duoc-co-sao-khong")</f>
        <v>https://techcombank.com/thong-tin/blog/vay-tin-chap-khong-tra-duoc-co-sao-khong</v>
      </c>
      <c r="GK67" s="17" t="str">
        <f>IFERROR(__xludf.DUMMYFUNCTION("""COMPUTED_VALUE"""),"tính lãi suất vay ngân hàng")</f>
        <v>tính lãi suất vay ngân hàng</v>
      </c>
      <c r="GL67" s="21" t="str">
        <f>IFERROR(__xludf.DUMMYFUNCTION("""COMPUTED_VALUE"""),"https://techcombank.com/thong-tin/blog/vay-von-doanh-nghiep-khong-the-chap")</f>
        <v>https://techcombank.com/thong-tin/blog/vay-von-doanh-nghiep-khong-the-chap</v>
      </c>
      <c r="GM67" s="17" t="str">
        <f>IFERROR(__xludf.DUMMYFUNCTION("""COMPUTED_VALUE"""),"tính lãi vay ngân hàng")</f>
        <v>tính lãi vay ngân hàng</v>
      </c>
      <c r="GN67" s="21" t="str">
        <f>IFERROR(__xludf.DUMMYFUNCTION("""COMPUTED_VALUE"""),"https://techcombank.com/thong-tin/blog/vay-tin-chap-cho-doanh-nghiep-moi-thanh-lap")</f>
        <v>https://techcombank.com/thong-tin/blog/vay-tin-chap-cho-doanh-nghiep-moi-thanh-lap</v>
      </c>
      <c r="GO67" s="17" t="str">
        <f>IFERROR(__xludf.DUMMYFUNCTION("""COMPUTED_VALUE"""),"bảng tính lãi suất vay ngân hàng")</f>
        <v>bảng tính lãi suất vay ngân hàng</v>
      </c>
      <c r="GP67" s="21" t="str">
        <f>IFERROR(__xludf.DUMMYFUNCTION("""COMPUTED_VALUE"""),"https://techcombank.com/thong-tin/blog/vay-kinh-doanh-online")</f>
        <v>https://techcombank.com/thong-tin/blog/vay-kinh-doanh-online</v>
      </c>
      <c r="GQ67" s="17" t="str">
        <f>IFERROR(__xludf.DUMMYFUNCTION("""COMPUTED_VALUE"""),"tính lãi suất vay ngân hàng")</f>
        <v>tính lãi suất vay ngân hàng</v>
      </c>
      <c r="GR67" s="21" t="str">
        <f>IFERROR(__xludf.DUMMYFUNCTION("""COMPUTED_VALUE"""),"https://techcombank.com/thong-tin/blog/co-nen-vay-ngan-hang-mua-nha")</f>
        <v>https://techcombank.com/thong-tin/blog/co-nen-vay-ngan-hang-mua-nha</v>
      </c>
      <c r="GS67" s="17" t="str">
        <f>IFERROR(__xludf.DUMMYFUNCTION("""COMPUTED_VALUE"""),"tính lãi vay ngân hàng")</f>
        <v>tính lãi vay ngân hàng</v>
      </c>
      <c r="GT67" s="21" t="str">
        <f>IFERROR(__xludf.DUMMYFUNCTION("""COMPUTED_VALUE"""),"https://techcombank.com/thong-tin/blog/ho-so-vay-tin-chap")</f>
        <v>https://techcombank.com/thong-tin/blog/ho-so-vay-tin-chap</v>
      </c>
      <c r="GU67" s="17" t="str">
        <f>IFERROR(__xludf.DUMMYFUNCTION("""COMPUTED_VALUE"""),"bảng tính lãi suất vay ngân hàng")</f>
        <v>bảng tính lãi suất vay ngân hàng</v>
      </c>
      <c r="GV67" s="21" t="str">
        <f>IFERROR(__xludf.DUMMYFUNCTION("""COMPUTED_VALUE"""),"https://techcombank.com/thong-tin/blog/thu-tuc-vay-ngan-hang-mua-nha")</f>
        <v>https://techcombank.com/thong-tin/blog/thu-tuc-vay-ngan-hang-mua-nha</v>
      </c>
      <c r="GW67" s="17" t="str">
        <f>IFERROR(__xludf.DUMMYFUNCTION("""COMPUTED_VALUE"""),"tính lãi suất vay ngân hàng")</f>
        <v>tính lãi suất vay ngân hàng</v>
      </c>
      <c r="GX67" s="21" t="str">
        <f>IFERROR(__xludf.DUMMYFUNCTION("""COMPUTED_VALUE"""),"https://techcombank.com/thong-tin/blog/thoi-han-vay-thau-chi")</f>
        <v>https://techcombank.com/thong-tin/blog/thoi-han-vay-thau-chi</v>
      </c>
      <c r="GY67" s="17" t="str">
        <f>IFERROR(__xludf.DUMMYFUNCTION("""COMPUTED_VALUE"""),"tính lãi vay ngân hàng")</f>
        <v>tính lãi vay ngân hàng</v>
      </c>
      <c r="GZ67" s="21" t="str">
        <f>IFERROR(__xludf.DUMMYFUNCTION("""COMPUTED_VALUE"""),"https://techcombank.com/thong-tin/blog/phi-vay-the-chap")</f>
        <v>https://techcombank.com/thong-tin/blog/phi-vay-the-chap</v>
      </c>
      <c r="HA67" s="17" t="str">
        <f>IFERROR(__xludf.DUMMYFUNCTION("""COMPUTED_VALUE"""),"bảng tính lãi suất vay ngân hàng")</f>
        <v>bảng tính lãi suất vay ngân hàng</v>
      </c>
      <c r="HB67" s="21" t="str">
        <f>IFERROR(__xludf.DUMMYFUNCTION("""COMPUTED_VALUE"""),"https://techcombank.com/thong-tin/blog/the-chap-la-gi")</f>
        <v>https://techcombank.com/thong-tin/blog/the-chap-la-gi</v>
      </c>
      <c r="HC67" s="17" t="str">
        <f>IFERROR(__xludf.DUMMYFUNCTION("""COMPUTED_VALUE"""),"tính lãi suất vay ngân hàng")</f>
        <v>tính lãi suất vay ngân hàng</v>
      </c>
      <c r="HD67" s="21" t="str">
        <f>IFERROR(__xludf.DUMMYFUNCTION("""COMPUTED_VALUE"""),"https://techcombank.com/thong-tin/blog/vay-the-chap-khong-chung-minh-thu-nhap")</f>
        <v>https://techcombank.com/thong-tin/blog/vay-the-chap-khong-chung-minh-thu-nhap</v>
      </c>
      <c r="HE67" s="17" t="str">
        <f>IFERROR(__xludf.DUMMYFUNCTION("""COMPUTED_VALUE"""),"tính lãi vay ngân hàng")</f>
        <v>tính lãi vay ngân hàng</v>
      </c>
      <c r="HF67" s="21" t="str">
        <f>IFERROR(__xludf.DUMMYFUNCTION("""COMPUTED_VALUE"""),"https://techcombank.com/thong-tin/blog/vay-the-chap-la-gi")</f>
        <v>https://techcombank.com/thong-tin/blog/vay-the-chap-la-gi</v>
      </c>
      <c r="HG67" s="17" t="str">
        <f>IFERROR(__xludf.DUMMYFUNCTION("""COMPUTED_VALUE"""),"bảng tính lãi suất vay ngân hàng")</f>
        <v>bảng tính lãi suất vay ngân hàng</v>
      </c>
      <c r="HH67" s="21" t="str">
        <f>IFERROR(__xludf.DUMMYFUNCTION("""COMPUTED_VALUE"""),"https://techcombank.com/thong-tin/blog/vay-bo-sung-von-luu-dong")</f>
        <v>https://techcombank.com/thong-tin/blog/vay-bo-sung-von-luu-dong</v>
      </c>
      <c r="HI67" s="17" t="str">
        <f>IFERROR(__xludf.DUMMYFUNCTION("""COMPUTED_VALUE"""),"tính lãi suất vay ngân hàng")</f>
        <v>tính lãi suất vay ngân hàng</v>
      </c>
      <c r="HJ67" s="21" t="str">
        <f>IFERROR(__xludf.DUMMYFUNCTION("""COMPUTED_VALUE"""),"https://techcombank.com/thong-tin/blog/cong-thuc-tinh-lai-suat-thuc")</f>
        <v>https://techcombank.com/thong-tin/blog/cong-thuc-tinh-lai-suat-thuc</v>
      </c>
      <c r="HK67" s="17" t="str">
        <f>IFERROR(__xludf.DUMMYFUNCTION("""COMPUTED_VALUE"""),"tính lãi vay ngân hàng")</f>
        <v>tính lãi vay ngân hàng</v>
      </c>
      <c r="HL67" s="21" t="str">
        <f>IFERROR(__xludf.DUMMYFUNCTION("""COMPUTED_VALUE"""),"https://techcombank.com/thong-tin/blog/vay-the-chap-so-bao-hiem-xa-hoi")</f>
        <v>https://techcombank.com/thong-tin/blog/vay-the-chap-so-bao-hiem-xa-hoi</v>
      </c>
      <c r="HM67" s="17" t="str">
        <f>IFERROR(__xludf.DUMMYFUNCTION("""COMPUTED_VALUE"""),"bảng tính lãi suất vay ngân hàng")</f>
        <v>bảng tính lãi suất vay ngân hàng</v>
      </c>
      <c r="HN67" s="21" t="str">
        <f>IFERROR(__xludf.DUMMYFUNCTION("""COMPUTED_VALUE"""),"https://techcombank.com/thong-tin/blog/nen-vay-the-chap-ngan-hang-nao")</f>
        <v>https://techcombank.com/thong-tin/blog/nen-vay-the-chap-ngan-hang-nao</v>
      </c>
      <c r="HO67" s="17" t="str">
        <f>IFERROR(__xludf.DUMMYFUNCTION("""COMPUTED_VALUE"""),"tính lãi suất vay ngân hàng")</f>
        <v>tính lãi suất vay ngân hàng</v>
      </c>
      <c r="HP67" s="21" t="str">
        <f>IFERROR(__xludf.DUMMYFUNCTION("""COMPUTED_VALUE"""),"https://techcombank.com/thong-tin/blog/lai-kep-ngan-hang")</f>
        <v>https://techcombank.com/thong-tin/blog/lai-kep-ngan-hang</v>
      </c>
      <c r="HQ67" s="17" t="str">
        <f>IFERROR(__xludf.DUMMYFUNCTION("""COMPUTED_VALUE"""),"tính lãi vay ngân hàng")</f>
        <v>tính lãi vay ngân hàng</v>
      </c>
      <c r="HR67" s="21" t="str">
        <f>IFERROR(__xludf.DUMMYFUNCTION("""COMPUTED_VALUE"""),"https://techcombank.com/thong-tin/blog/tien-gui-khong-ky-han")</f>
        <v>https://techcombank.com/thong-tin/blog/tien-gui-khong-ky-han</v>
      </c>
      <c r="HS67" s="17" t="str">
        <f>IFERROR(__xludf.DUMMYFUNCTION("""COMPUTED_VALUE"""),"bảng tính lãi suất vay ngân hàng")</f>
        <v>bảng tính lãi suất vay ngân hàng</v>
      </c>
      <c r="HT67" s="21" t="str">
        <f>IFERROR(__xludf.DUMMYFUNCTION("""COMPUTED_VALUE"""),"https://techcombank.com/thong-tin/blog/vay-mua-chung-cu")</f>
        <v>https://techcombank.com/thong-tin/blog/vay-mua-chung-cu</v>
      </c>
      <c r="HU67" s="17" t="str">
        <f>IFERROR(__xludf.DUMMYFUNCTION("""COMPUTED_VALUE"""),"tính lãi suất vay ngân hàng")</f>
        <v>tính lãi suất vay ngân hàng</v>
      </c>
      <c r="HV67" s="21" t="str">
        <f>IFERROR(__xludf.DUMMYFUNCTION("""COMPUTED_VALUE"""),"https://techcombank.com/thong-tin/blog/vay-50-trieu")</f>
        <v>https://techcombank.com/thong-tin/blog/vay-50-trieu</v>
      </c>
      <c r="HW67" s="17" t="str">
        <f>IFERROR(__xludf.DUMMYFUNCTION("""COMPUTED_VALUE"""),"tính lãi vay ngân hàng")</f>
        <v>tính lãi vay ngân hàng</v>
      </c>
      <c r="HX67" s="21" t="str">
        <f>IFERROR(__xludf.DUMMYFUNCTION("""COMPUTED_VALUE"""),"https://techcombank.com/thong-tin/blog/vay-tin-chap-ho-kinh-doanh")</f>
        <v>https://techcombank.com/thong-tin/blog/vay-tin-chap-ho-kinh-doanh</v>
      </c>
      <c r="HY67" s="17" t="str">
        <f>IFERROR(__xludf.DUMMYFUNCTION("""COMPUTED_VALUE"""),"bảng tính lãi suất vay ngân hàng")</f>
        <v>bảng tính lãi suất vay ngân hàng</v>
      </c>
      <c r="HZ67" s="21" t="str">
        <f>IFERROR(__xludf.DUMMYFUNCTION("""COMPUTED_VALUE"""),"https://techcombank.com/thong-tin/blog/no-chu-y-la-gi")</f>
        <v>https://techcombank.com/thong-tin/blog/no-chu-y-la-gi</v>
      </c>
      <c r="IA67" s="17" t="str">
        <f>IFERROR(__xludf.DUMMYFUNCTION("""COMPUTED_VALUE"""),"tính lãi suất vay ngân hàng")</f>
        <v>tính lãi suất vay ngân hàng</v>
      </c>
      <c r="IB67" s="21" t="str">
        <f>IFERROR(__xludf.DUMMYFUNCTION("""COMPUTED_VALUE"""),"https://techcombank.com/thong-tin/blog/no-xau-la-gi")</f>
        <v>https://techcombank.com/thong-tin/blog/no-xau-la-gi</v>
      </c>
      <c r="IC67" s="17" t="str">
        <f>IFERROR(__xludf.DUMMYFUNCTION("""COMPUTED_VALUE"""),"tính lãi vay ngân hàng")</f>
        <v>tính lãi vay ngân hàng</v>
      </c>
      <c r="ID67" s="21" t="str">
        <f>IFERROR(__xludf.DUMMYFUNCTION("""COMPUTED_VALUE"""),"https://techcombank.com/thong-tin/blog/cho-vay-tieu-dung-la-gi")</f>
        <v>https://techcombank.com/thong-tin/blog/cho-vay-tieu-dung-la-gi</v>
      </c>
      <c r="IE67" s="17" t="str">
        <f>IFERROR(__xludf.DUMMYFUNCTION("""COMPUTED_VALUE"""),"bảng tính lãi suất vay ngân hàng")</f>
        <v>bảng tính lãi suất vay ngân hàng</v>
      </c>
      <c r="IF67" s="21" t="str">
        <f>IFERROR(__xludf.DUMMYFUNCTION("""COMPUTED_VALUE"""),"https://techcombank.com/thong-tin/blog/cic-la-gi")</f>
        <v>https://techcombank.com/thong-tin/blog/cic-la-gi</v>
      </c>
      <c r="IG67" s="17" t="str">
        <f>IFERROR(__xludf.DUMMYFUNCTION("""COMPUTED_VALUE"""),"tính lãi suất vay ngân hàng")</f>
        <v>tính lãi suất vay ngân hàng</v>
      </c>
      <c r="IH67" s="21" t="str">
        <f>IFERROR(__xludf.DUMMYFUNCTION("""COMPUTED_VALUE"""),"https://techcombank.com/thong-tin/blog/dieu-kien-vay-the-chap")</f>
        <v>https://techcombank.com/thong-tin/blog/dieu-kien-vay-the-chap</v>
      </c>
      <c r="II67" s="17" t="str">
        <f>IFERROR(__xludf.DUMMYFUNCTION("""COMPUTED_VALUE"""),"tính lãi vay ngân hàng")</f>
        <v>tính lãi vay ngân hàng</v>
      </c>
      <c r="IJ67" s="21" t="str">
        <f>IFERROR(__xludf.DUMMYFUNCTION("""COMPUTED_VALUE"""),"https://techcombank.com/thong-tin/blog/app-vay-tien-nhanh")</f>
        <v>https://techcombank.com/thong-tin/blog/app-vay-tien-nhanh</v>
      </c>
      <c r="IK67" s="17" t="str">
        <f>IFERROR(__xludf.DUMMYFUNCTION("""COMPUTED_VALUE"""),"bảng tính lãi suất vay ngân hàng")</f>
        <v>bảng tính lãi suất vay ngân hàng</v>
      </c>
      <c r="IL67" s="21" t="str">
        <f>IFERROR(__xludf.DUMMYFUNCTION("""COMPUTED_VALUE"""),"https://techcombank.com/thong-tin/blog/lai-suat-the-tin-dung")</f>
        <v>https://techcombank.com/thong-tin/blog/lai-suat-the-tin-dung</v>
      </c>
      <c r="IM67" s="17" t="str">
        <f>IFERROR(__xludf.DUMMYFUNCTION("""COMPUTED_VALUE"""),"tính lãi suất vay ngân hàng")</f>
        <v>tính lãi suất vay ngân hàng</v>
      </c>
      <c r="IN67" s="21" t="str">
        <f>IFERROR(__xludf.DUMMYFUNCTION("""COMPUTED_VALUE"""),"https://techcombank.com/thong-tin/blog/cach-tinh-lai-suat-tien-gui-tiet-kiem")</f>
        <v>https://techcombank.com/thong-tin/blog/cach-tinh-lai-suat-tien-gui-tiet-kiem</v>
      </c>
      <c r="IO67" s="17" t="str">
        <f>IFERROR(__xludf.DUMMYFUNCTION("""COMPUTED_VALUE"""),"tính lãi vay ngân hàng")</f>
        <v>tính lãi vay ngân hàng</v>
      </c>
      <c r="IP67" s="21" t="str">
        <f>IFERROR(__xludf.DUMMYFUNCTION("""COMPUTED_VALUE"""),"https://techcombank.com/thong-tin/blog/gui-tiet-kiem-hang-thang")</f>
        <v>https://techcombank.com/thong-tin/blog/gui-tiet-kiem-hang-thang</v>
      </c>
      <c r="IQ67" s="17" t="str">
        <f>IFERROR(__xludf.DUMMYFUNCTION("""COMPUTED_VALUE"""),"bảng tính lãi suất vay ngân hàng")</f>
        <v>bảng tính lãi suất vay ngân hàng</v>
      </c>
      <c r="IR67" s="21" t="str">
        <f>IFERROR(__xludf.DUMMYFUNCTION("""COMPUTED_VALUE"""),"https://techcombank.com/thong-tin/blog/tien-gui-co-ky-han")</f>
        <v>https://techcombank.com/thong-tin/blog/tien-gui-co-ky-han</v>
      </c>
      <c r="IS67" s="17" t="str">
        <f>IFERROR(__xludf.DUMMYFUNCTION("""COMPUTED_VALUE"""),"tính lãi suất vay ngân hàng")</f>
        <v>tính lãi suất vay ngân hàng</v>
      </c>
      <c r="IT67" s="21" t="str">
        <f>IFERROR(__xludf.DUMMYFUNCTION("""COMPUTED_VALUE"""),"https://techcombank.com/thong-tin/blog/vay-the-chap-khong-tra-duoc")</f>
        <v>https://techcombank.com/thong-tin/blog/vay-the-chap-khong-tra-duoc</v>
      </c>
      <c r="IU67" s="17" t="str">
        <f>IFERROR(__xludf.DUMMYFUNCTION("""COMPUTED_VALUE"""),"tính lãi vay ngân hàng")</f>
        <v>tính lãi vay ngân hàng</v>
      </c>
      <c r="IV67" s="21" t="str">
        <f>IFERROR(__xludf.DUMMYFUNCTION("""COMPUTED_VALUE"""),"https://techcombank.com/thong-tin/blog/vay-the-chap-qua-luong")</f>
        <v>https://techcombank.com/thong-tin/blog/vay-the-chap-qua-luong</v>
      </c>
      <c r="IW67" s="17" t="str">
        <f>IFERROR(__xludf.DUMMYFUNCTION("""COMPUTED_VALUE"""),"bảng tính lãi suất vay ngân hàng")</f>
        <v>bảng tính lãi suất vay ngân hàng</v>
      </c>
      <c r="IX67" s="21" t="str">
        <f>IFERROR(__xludf.DUMMYFUNCTION("""COMPUTED_VALUE"""),"https://techcombank.com/thong-tin/blog/bao-lanh-vay-von")</f>
        <v>https://techcombank.com/thong-tin/blog/bao-lanh-vay-von</v>
      </c>
      <c r="IY67" s="17" t="str">
        <f>IFERROR(__xludf.DUMMYFUNCTION("""COMPUTED_VALUE"""),"tính lãi suất vay ngân hàng")</f>
        <v>tính lãi suất vay ngân hàng</v>
      </c>
      <c r="IZ67" s="21" t="str">
        <f>IFERROR(__xludf.DUMMYFUNCTION("""COMPUTED_VALUE"""),"https://techcombank.com/thong-tin/blog/thu-tuc-vay-von-doanh-nghiep")</f>
        <v>https://techcombank.com/thong-tin/blog/thu-tuc-vay-von-doanh-nghiep</v>
      </c>
      <c r="JA67" s="17" t="str">
        <f>IFERROR(__xludf.DUMMYFUNCTION("""COMPUTED_VALUE"""),"tính lãi vay ngân hàng")</f>
        <v>tính lãi vay ngân hàng</v>
      </c>
      <c r="JB67" s="21" t="str">
        <f>IFERROR(__xludf.DUMMYFUNCTION("""COMPUTED_VALUE"""),"https://techcombank.com/thong-tin/blog/ho-so-vay-von-cua-doanh-nghiep-gom-nhung-gi")</f>
        <v>https://techcombank.com/thong-tin/blog/ho-so-vay-von-cua-doanh-nghiep-gom-nhung-gi</v>
      </c>
      <c r="JC67" s="17" t="str">
        <f>IFERROR(__xludf.DUMMYFUNCTION("""COMPUTED_VALUE"""),"bảng tính lãi suất vay ngân hàng")</f>
        <v>bảng tính lãi suất vay ngân hàng</v>
      </c>
      <c r="JD67" s="21" t="str">
        <f>IFERROR(__xludf.DUMMYFUNCTION("""COMPUTED_VALUE"""),"https://techcombank.com/thong-tin/blog/cho-vay-tung-lan")</f>
        <v>https://techcombank.com/thong-tin/blog/cho-vay-tung-lan</v>
      </c>
      <c r="JE67" s="17" t="str">
        <f>IFERROR(__xludf.DUMMYFUNCTION("""COMPUTED_VALUE"""),"tính lãi suất vay ngân hàng")</f>
        <v>tính lãi suất vay ngân hàng</v>
      </c>
      <c r="JF67" s="21" t="str">
        <f>IFERROR(__xludf.DUMMYFUNCTION("""COMPUTED_VALUE"""),"https://techcombank.com/thong-tin/blog/tin-dung-tieu-dung")</f>
        <v>https://techcombank.com/thong-tin/blog/tin-dung-tieu-dung</v>
      </c>
      <c r="JG67" s="17" t="str">
        <f>IFERROR(__xludf.DUMMYFUNCTION("""COMPUTED_VALUE"""),"tính lãi vay ngân hàng")</f>
        <v>tính lãi vay ngân hàng</v>
      </c>
      <c r="JH67" s="21" t="str">
        <f>IFERROR(__xludf.DUMMYFUNCTION("""COMPUTED_VALUE"""),"https://techcombank.com/thong-tin/blog/tin-dung-doanh-nghiep")</f>
        <v>https://techcombank.com/thong-tin/blog/tin-dung-doanh-nghiep</v>
      </c>
      <c r="JI67" s="17" t="str">
        <f>IFERROR(__xludf.DUMMYFUNCTION("""COMPUTED_VALUE"""),"bảng tính lãi suất vay ngân hàng")</f>
        <v>bảng tính lãi suất vay ngân hàng</v>
      </c>
      <c r="JJ67" s="21" t="str">
        <f>IFERROR(__xludf.DUMMYFUNCTION("""COMPUTED_VALUE"""),"https://techcombank.com/thong-tin/blog/cho-vay-hop-von-la-gi")</f>
        <v>https://techcombank.com/thong-tin/blog/cho-vay-hop-von-la-gi</v>
      </c>
      <c r="JK67" s="17" t="str">
        <f>IFERROR(__xludf.DUMMYFUNCTION("""COMPUTED_VALUE"""),"tính lãi suất vay ngân hàng")</f>
        <v>tính lãi suất vay ngân hàng</v>
      </c>
      <c r="JL67" s="21" t="str">
        <f>IFERROR(__xludf.DUMMYFUNCTION("""COMPUTED_VALUE"""),"https://techcombank.com/thong-tin/blog/von-luu-dong-la-gi")</f>
        <v>https://techcombank.com/thong-tin/blog/von-luu-dong-la-gi</v>
      </c>
      <c r="JM67" s="17" t="str">
        <f>IFERROR(__xludf.DUMMYFUNCTION("""COMPUTED_VALUE"""),"tính lãi vay ngân hàng")</f>
        <v>tính lãi vay ngân hàng</v>
      </c>
      <c r="JN67" s="21" t="str">
        <f>IFERROR(__xludf.DUMMYFUNCTION("""COMPUTED_VALUE"""),"https://techcombank.com/thong-tin/blog/nhu-cau-vay-tieu-dung-cua-nguoi-viet-du-kien-tang-manh-trong-thoi-gian-toi")</f>
        <v>https://techcombank.com/thong-tin/blog/nhu-cau-vay-tieu-dung-cua-nguoi-viet-du-kien-tang-manh-trong-thoi-gian-toi</v>
      </c>
      <c r="JO67" s="17" t="str">
        <f>IFERROR(__xludf.DUMMYFUNCTION("""COMPUTED_VALUE"""),"bảng tính lãi suất vay ngân hàng")</f>
        <v>bảng tính lãi suất vay ngân hàng</v>
      </c>
      <c r="JP67" s="21" t="str">
        <f>IFERROR(__xludf.DUMMYFUNCTION("""COMPUTED_VALUE"""),"https://techcombank.com/thong-tin/blog/vay-sieu-toc")</f>
        <v>https://techcombank.com/thong-tin/blog/vay-sieu-toc</v>
      </c>
      <c r="JQ67" s="17" t="str">
        <f>IFERROR(__xludf.DUMMYFUNCTION("""COMPUTED_VALUE"""),"tính lãi suất vay ngân hàng")</f>
        <v>tính lãi suất vay ngân hàng</v>
      </c>
      <c r="JR67" s="21" t="str">
        <f>IFERROR(__xludf.DUMMYFUNCTION("""COMPUTED_VALUE"""),"https://techcombank.com/thong-tin/blog/tap-doan-thanh-quang-khoi-sac-kinh-doanh-nho-nguon-von-vay-tin-dung-techcombank-tren-nen-tang-misa-lending")</f>
        <v>https://techcombank.com/thong-tin/blog/tap-doan-thanh-quang-khoi-sac-kinh-doanh-nho-nguon-von-vay-tin-dung-techcombank-tren-nen-tang-misa-lending</v>
      </c>
      <c r="JS67" s="17" t="str">
        <f>IFERROR(__xludf.DUMMYFUNCTION("""COMPUTED_VALUE"""),"tính lãi vay ngân hàng")</f>
        <v>tính lãi vay ngân hàng</v>
      </c>
      <c r="JT67" s="21" t="str">
        <f>IFERROR(__xludf.DUMMYFUNCTION("""COMPUTED_VALUE"""),"https://techcombank.com/thong-tin/blog/dieu-kien-vay-von-ngan-hang")</f>
        <v>https://techcombank.com/thong-tin/blog/dieu-kien-vay-von-ngan-hang</v>
      </c>
      <c r="JU67" s="17" t="str">
        <f>IFERROR(__xludf.DUMMYFUNCTION("""COMPUTED_VALUE"""),"bảng tính lãi suất vay ngân hàng")</f>
        <v>bảng tính lãi suất vay ngân hàng</v>
      </c>
      <c r="JV67" s="21" t="str">
        <f>IFERROR(__xludf.DUMMYFUNCTION("""COMPUTED_VALUE"""),"https://techcombank.com/thong-tin/blog/vay-tien-online")</f>
        <v>https://techcombank.com/thong-tin/blog/vay-tien-online</v>
      </c>
      <c r="JW67" s="17" t="str">
        <f>IFERROR(__xludf.DUMMYFUNCTION("""COMPUTED_VALUE"""),"tính lãi suất vay ngân hàng")</f>
        <v>tính lãi suất vay ngân hàng</v>
      </c>
      <c r="JX67" s="21" t="str">
        <f>IFERROR(__xludf.DUMMYFUNCTION("""COMPUTED_VALUE"""),"https://techcombank.com/thong-tin/blog/vay-du-hoc")</f>
        <v>https://techcombank.com/thong-tin/blog/vay-du-hoc</v>
      </c>
      <c r="JY67" s="17" t="str">
        <f>IFERROR(__xludf.DUMMYFUNCTION("""COMPUTED_VALUE"""),"tính lãi vay ngân hàng")</f>
        <v>tính lãi vay ngân hàng</v>
      </c>
      <c r="JZ67" s="21" t="str">
        <f>IFERROR(__xludf.DUMMYFUNCTION("""COMPUTED_VALUE"""),"https://techcombank.com/thong-tin/blog/vay-ngan-hang-1-ty-moi-thang-tra-bao-nhieu")</f>
        <v>https://techcombank.com/thong-tin/blog/vay-ngan-hang-1-ty-moi-thang-tra-bao-nhieu</v>
      </c>
      <c r="KA67" s="17" t="str">
        <f>IFERROR(__xludf.DUMMYFUNCTION("""COMPUTED_VALUE"""),"bảng tính lãi suất vay ngân hàng")</f>
        <v>bảng tính lãi suất vay ngân hàng</v>
      </c>
      <c r="KB67" s="21" t="str">
        <f>IFERROR(__xludf.DUMMYFUNCTION("""COMPUTED_VALUE"""),"https://techcombank.com/thong-tin/blog/no-xau-mo-the-tin-dung-duoc-khong")</f>
        <v>https://techcombank.com/thong-tin/blog/no-xau-mo-the-tin-dung-duoc-khong</v>
      </c>
      <c r="KC67" s="17" t="str">
        <f>IFERROR(__xludf.DUMMYFUNCTION("""COMPUTED_VALUE"""),"tính lãi suất vay ngân hàng")</f>
        <v>tính lãi suất vay ngân hàng</v>
      </c>
      <c r="KD67" s="21" t="str">
        <f>IFERROR(__xludf.DUMMYFUNCTION("""COMPUTED_VALUE"""),"https://techcombank.com/thong-tin/blog/qua-han-thanh-toan-the-tin-dung-1-ngay")</f>
        <v>https://techcombank.com/thong-tin/blog/qua-han-thanh-toan-the-tin-dung-1-ngay</v>
      </c>
      <c r="KE67" s="17" t="str">
        <f>IFERROR(__xludf.DUMMYFUNCTION("""COMPUTED_VALUE"""),"tính lãi vay ngân hàng")</f>
        <v>tính lãi vay ngân hàng</v>
      </c>
      <c r="KF67" s="21" t="str">
        <f>IFERROR(__xludf.DUMMYFUNCTION("""COMPUTED_VALUE"""),"https://techcombank.com/thong-tin/blog/gui-tiet-kiem-online-co-rut-truoc-han-duoc-khong")</f>
        <v>https://techcombank.com/thong-tin/blog/gui-tiet-kiem-online-co-rut-truoc-han-duoc-khong</v>
      </c>
      <c r="KG67" s="17" t="str">
        <f>IFERROR(__xludf.DUMMYFUNCTION("""COMPUTED_VALUE"""),"bảng tính lãi suất vay ngân hàng")</f>
        <v>bảng tính lãi suất vay ngân hàng</v>
      </c>
      <c r="KH67" s="21" t="str">
        <f>IFERROR(__xludf.DUMMYFUNCTION("""COMPUTED_VALUE"""),"https://techcombank.com/thong-tin/blog/tat-toan-so-tiet-kiem")</f>
        <v>https://techcombank.com/thong-tin/blog/tat-toan-so-tiet-kiem</v>
      </c>
      <c r="KI67" s="17" t="str">
        <f>IFERROR(__xludf.DUMMYFUNCTION("""COMPUTED_VALUE"""),"tính lãi suất vay ngân hàng")</f>
        <v>tính lãi suất vay ngân hàng</v>
      </c>
      <c r="KJ67" s="21" t="str">
        <f>IFERROR(__xludf.DUMMYFUNCTION("""COMPUTED_VALUE"""),"https://techcombank.com/thong-tin/blog/the-ghi-no-va-the-tin-dung")</f>
        <v>https://techcombank.com/thong-tin/blog/the-ghi-no-va-the-tin-dung</v>
      </c>
      <c r="KK67" s="17" t="str">
        <f>IFERROR(__xludf.DUMMYFUNCTION("""COMPUTED_VALUE"""),"tính lãi vay ngân hàng")</f>
        <v>tính lãi vay ngân hàng</v>
      </c>
      <c r="KL67" s="21" t="str">
        <f>IFERROR(__xludf.DUMMYFUNCTION("""COMPUTED_VALUE"""),"https://techcombank.com/thong-tin/blog/giai-ngan-la-gi")</f>
        <v>https://techcombank.com/thong-tin/blog/giai-ngan-la-gi</v>
      </c>
      <c r="KM67" s="17" t="str">
        <f>IFERROR(__xludf.DUMMYFUNCTION("""COMPUTED_VALUE"""),"bảng tính lãi suất vay ngân hàng")</f>
        <v>bảng tính lãi suất vay ngân hàng</v>
      </c>
      <c r="KN67" s="21" t="str">
        <f>IFERROR(__xludf.DUMMYFUNCTION("""COMPUTED_VALUE"""),"https://techcombank.com/thong-tin/blog/nen-mua-xe-o-to-dien-hay-xe-xang")</f>
        <v>https://techcombank.com/thong-tin/blog/nen-mua-xe-o-to-dien-hay-xe-xang</v>
      </c>
      <c r="KO67" s="17" t="str">
        <f>IFERROR(__xludf.DUMMYFUNCTION("""COMPUTED_VALUE"""),"tính lãi suất vay ngân hàng")</f>
        <v>tính lãi suất vay ngân hàng</v>
      </c>
      <c r="KP67" s="21" t="str">
        <f>IFERROR(__xludf.DUMMYFUNCTION("""COMPUTED_VALUE"""),"https://techcombank.com/thong-tin/blog/rut-tien-mat-tu-the-tin-dung")</f>
        <v>https://techcombank.com/thong-tin/blog/rut-tien-mat-tu-the-tin-dung</v>
      </c>
      <c r="KQ67" s="17" t="str">
        <f>IFERROR(__xludf.DUMMYFUNCTION("""COMPUTED_VALUE"""),"tính lãi vay ngân hàng")</f>
        <v>tính lãi vay ngân hàng</v>
      </c>
      <c r="KR67" s="21" t="str">
        <f>IFERROR(__xludf.DUMMYFUNCTION("""COMPUTED_VALUE"""),"https://techcombank.com/thong-tin/blog/bao-lanh-bao-hanh")</f>
        <v>https://techcombank.com/thong-tin/blog/bao-lanh-bao-hanh</v>
      </c>
      <c r="KS67" s="17" t="str">
        <f>IFERROR(__xludf.DUMMYFUNCTION("""COMPUTED_VALUE"""),"bảng tính lãi suất vay ngân hàng")</f>
        <v>bảng tính lãi suất vay ngân hàng</v>
      </c>
      <c r="KT67" s="21" t="str">
        <f>IFERROR(__xludf.DUMMYFUNCTION("""COMPUTED_VALUE"""),"https://techcombank.com/thong-tin/blog/tai-khoan-ngan-hang-chua-toi-da-bao-nhieu-tien")</f>
        <v>https://techcombank.com/thong-tin/blog/tai-khoan-ngan-hang-chua-toi-da-bao-nhieu-tien</v>
      </c>
      <c r="KU67" s="17" t="str">
        <f>IFERROR(__xludf.DUMMYFUNCTION("""COMPUTED_VALUE"""),"tính lãi suất vay ngân hàng")</f>
        <v>tính lãi suất vay ngân hàng</v>
      </c>
      <c r="KV67" s="21" t="str">
        <f>IFERROR(__xludf.DUMMYFUNCTION("""COMPUTED_VALUE"""),"https://techcombank.com/thong-tin/blog/app-mua-truoc-tra-sau")</f>
        <v>https://techcombank.com/thong-tin/blog/app-mua-truoc-tra-sau</v>
      </c>
      <c r="KW67" s="17" t="str">
        <f>IFERROR(__xludf.DUMMYFUNCTION("""COMPUTED_VALUE"""),"tính lãi vay ngân hàng")</f>
        <v>tính lãi vay ngân hàng</v>
      </c>
      <c r="KX67" s="21" t="str">
        <f>IFERROR(__xludf.DUMMYFUNCTION("""COMPUTED_VALUE"""),"https://techcombank.com/thong-tin/blog/chuyen-gia-du-doan-gia-bat-dong-san-2025-va-cac-no-luc-tu-ngan-hang")</f>
        <v>https://techcombank.com/thong-tin/blog/chuyen-gia-du-doan-gia-bat-dong-san-2025-va-cac-no-luc-tu-ngan-hang</v>
      </c>
      <c r="KY67" s="17" t="str">
        <f>IFERROR(__xludf.DUMMYFUNCTION("""COMPUTED_VALUE"""),"bảng tính lãi suất vay ngân hàng")</f>
        <v>bảng tính lãi suất vay ngân hàng</v>
      </c>
      <c r="KZ67" s="21" t="str">
        <f>IFERROR(__xludf.DUMMYFUNCTION("""COMPUTED_VALUE"""),"https://techcombank.com/thong-tin/blog/ho-so-thu-tuc-xoa-the-chap")</f>
        <v>https://techcombank.com/thong-tin/blog/ho-so-thu-tuc-xoa-the-chap</v>
      </c>
      <c r="LA67" s="17"/>
      <c r="LB67" s="17"/>
      <c r="LC67" s="17"/>
      <c r="LD67" s="17"/>
      <c r="LE67" s="17"/>
      <c r="LF67" s="17"/>
      <c r="LG67" s="17"/>
      <c r="LH67" s="17"/>
      <c r="LI67" s="17"/>
      <c r="LJ67" s="17"/>
      <c r="LK67" s="17"/>
      <c r="LL67" s="17"/>
      <c r="LM67" s="17"/>
      <c r="LN67" s="17"/>
      <c r="LO67" s="17"/>
      <c r="LP67" s="17"/>
      <c r="LQ67" s="17"/>
      <c r="LR67" s="17"/>
      <c r="LS67" s="17"/>
      <c r="LT67" s="17"/>
      <c r="LU67" s="17"/>
      <c r="LV67" s="17"/>
      <c r="LW67" s="17"/>
      <c r="LX67" s="17"/>
      <c r="LY67" s="17"/>
      <c r="LZ67" s="17"/>
      <c r="MA67" s="17"/>
      <c r="MB67" s="17"/>
      <c r="MC67" s="17"/>
      <c r="MD67" s="17"/>
      <c r="ME67" s="17"/>
      <c r="MF67" s="17"/>
      <c r="MG67" s="17"/>
      <c r="MH67" s="17"/>
      <c r="MI67" s="17"/>
      <c r="MJ67" s="17"/>
      <c r="MK67" s="17"/>
      <c r="ML67" s="17"/>
      <c r="MM67" s="17"/>
      <c r="MN67" s="17"/>
      <c r="MO67" s="17"/>
      <c r="MP67" s="17"/>
      <c r="MQ67" s="17"/>
      <c r="MR67" s="17"/>
      <c r="MS67" s="17"/>
      <c r="MT67" s="17"/>
      <c r="MU67" s="17"/>
      <c r="MV67" s="17"/>
      <c r="MW67" s="17"/>
      <c r="MX67" s="17"/>
      <c r="MY67" s="17"/>
      <c r="MZ67" s="17"/>
      <c r="NA67" s="17"/>
      <c r="NB67" s="17"/>
      <c r="NC67" s="17"/>
      <c r="ND67" s="17"/>
      <c r="NE67" s="17"/>
      <c r="NF67" s="17"/>
      <c r="NG67" s="17"/>
      <c r="NH67" s="17"/>
      <c r="NI67" s="17"/>
      <c r="NJ67" s="17"/>
      <c r="NK67" s="17"/>
      <c r="NL67" s="17"/>
      <c r="NM67" s="17"/>
      <c r="NN67" s="17"/>
      <c r="NO67" s="17"/>
      <c r="NP67" s="17"/>
      <c r="NQ67" s="17"/>
      <c r="NR67" s="17"/>
      <c r="NS67" s="17"/>
      <c r="NT67" s="17"/>
      <c r="NU67" s="17"/>
      <c r="NV67" s="17"/>
      <c r="NW67" s="17"/>
      <c r="NX67" s="17"/>
      <c r="NY67" s="17"/>
      <c r="NZ67" s="17"/>
      <c r="OA67" s="17"/>
      <c r="OB67" s="17"/>
      <c r="OC67" s="17"/>
      <c r="OD67" s="17"/>
      <c r="OE67" s="17"/>
      <c r="OF67" s="17"/>
      <c r="OG67" s="17"/>
      <c r="OH67" s="17"/>
      <c r="OI67" s="17"/>
      <c r="OJ67" s="17"/>
      <c r="OK67" s="17"/>
      <c r="OL67" s="17"/>
      <c r="OM67" s="17"/>
      <c r="ON67" s="17"/>
      <c r="OO67" s="17"/>
      <c r="OP67" s="17"/>
      <c r="OQ67" s="17"/>
      <c r="OR67" s="17"/>
      <c r="OS67" s="17"/>
      <c r="OT67" s="17"/>
      <c r="OU67" s="17"/>
      <c r="OV67" s="17"/>
    </row>
    <row r="68" ht="18.0" customHeight="1">
      <c r="A68" s="16">
        <v>67.0</v>
      </c>
      <c r="B68" s="17" t="s">
        <v>1812</v>
      </c>
      <c r="C68" s="18" t="s">
        <v>1830</v>
      </c>
      <c r="D68" s="17" t="s">
        <v>605</v>
      </c>
      <c r="E68" s="16">
        <v>100.0</v>
      </c>
      <c r="F68" s="16">
        <f>COUNTIF('Tổng hợp 75 trang đích'!$B$2:$B$3400,$D68)</f>
        <v>100</v>
      </c>
      <c r="G68" s="16">
        <f>COUNTIFS('Tổng hợp 75 trang đích'!$B$2:$B$3400,$D68,'Tổng hợp 75 trang đích'!$K$2:$K$3400,"PHÙ HỢP CAO")</f>
        <v>2</v>
      </c>
      <c r="H68" s="16">
        <f>COUNTIFS('Tổng hợp 75 trang đích'!$B$2:$B$3400,$D68,'Tổng hợp 75 trang đích'!$K$2:$K$3400,"CÓ THỂ ĐI")</f>
        <v>3</v>
      </c>
      <c r="I68" s="16">
        <f>COUNTIFS('Tổng hợp 75 trang đích'!$B$2:$B$3400,$D68,'Tổng hợp 75 trang đích'!$K$2:$K$3400,"CẦN SOÁT")</f>
        <v>95</v>
      </c>
      <c r="J68" s="19" t="s">
        <v>555</v>
      </c>
      <c r="K68" s="19" t="b">
        <v>0</v>
      </c>
      <c r="L68" s="20" t="s">
        <v>333</v>
      </c>
      <c r="M68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đích'!$B$2:$B$3400=$D68),3,TR"&amp;"UE),1,2)),"""")"),"công cụ tính lãi tiết kiệm")</f>
        <v>công cụ tính lãi tiết kiệm</v>
      </c>
      <c r="N68" s="21" t="str">
        <f>IFERROR(__xludf.DUMMYFUNCTION("""COMPUTED_VALUE"""),"https://techcombank.com/thong-tin/blog/cach-tiet-kiem-100-trieu-1-nam")</f>
        <v>https://techcombank.com/thong-tin/blog/cach-tiet-kiem-100-trieu-1-nam</v>
      </c>
      <c r="O68" s="17" t="str">
        <f>IFERROR(__xludf.DUMMYFUNCTION("""COMPUTED_VALUE"""),"bảng tính lãi suất tiết kiệm")</f>
        <v>bảng tính lãi suất tiết kiệm</v>
      </c>
      <c r="P68" s="21" t="str">
        <f>IFERROR(__xludf.DUMMYFUNCTION("""COMPUTED_VALUE"""),"https://techcombank.com/thong-tin/blog/co-50-trieu-nen-mua-vang-hay-gui-tiet-kiem")</f>
        <v>https://techcombank.com/thong-tin/blog/co-50-trieu-nen-mua-vang-hay-gui-tiet-kiem</v>
      </c>
      <c r="Q68" s="17" t="str">
        <f>IFERROR(__xludf.DUMMYFUNCTION("""COMPUTED_VALUE"""),"công cụ tính lãi tiết kiệm")</f>
        <v>công cụ tính lãi tiết kiệm</v>
      </c>
      <c r="R68" s="21" t="str">
        <f>IFERROR(__xludf.DUMMYFUNCTION("""COMPUTED_VALUE"""),"https://techcombank.com/thong-tin/blog/gui-tiet-kiem-tich-luy-la-gi")</f>
        <v>https://techcombank.com/thong-tin/blog/gui-tiet-kiem-tich-luy-la-gi</v>
      </c>
      <c r="S68" s="17" t="str">
        <f>IFERROR(__xludf.DUMMYFUNCTION("""COMPUTED_VALUE"""),"bảng tính lãi suất tiết kiệm")</f>
        <v>bảng tính lãi suất tiết kiệm</v>
      </c>
      <c r="T68" s="21" t="str">
        <f>IFERROR(__xludf.DUMMYFUNCTION("""COMPUTED_VALUE"""),"https://techcombank.com/thong-tin/blog/quy-trinh-gui-tien-tiet-kiem")</f>
        <v>https://techcombank.com/thong-tin/blog/quy-trinh-gui-tien-tiet-kiem</v>
      </c>
      <c r="U68" s="17" t="str">
        <f>IFERROR(__xludf.DUMMYFUNCTION("""COMPUTED_VALUE"""),"công cụ tính lãi tiết kiệm")</f>
        <v>công cụ tính lãi tiết kiệm</v>
      </c>
      <c r="V68" s="21" t="str">
        <f>IFERROR(__xludf.DUMMYFUNCTION("""COMPUTED_VALUE"""),"https://techcombank.com/thong-tin/blog/nen-de-tien-trong-the-hay-gui-tiet-kiem")</f>
        <v>https://techcombank.com/thong-tin/blog/nen-de-tien-trong-the-hay-gui-tiet-kiem</v>
      </c>
      <c r="W68" s="17" t="str">
        <f>IFERROR(__xludf.DUMMYFUNCTION("""COMPUTED_VALUE"""),"bảng tính lãi suất tiết kiệm")</f>
        <v>bảng tính lãi suất tiết kiệm</v>
      </c>
      <c r="X68" s="21" t="str">
        <f>IFERROR(__xludf.DUMMYFUNCTION("""COMPUTED_VALUE"""),"https://techcombank.com/thong-tin/blog/lai-suat-vay-kinh-doanh")</f>
        <v>https://techcombank.com/thong-tin/blog/lai-suat-vay-kinh-doanh</v>
      </c>
      <c r="Y68" s="17" t="str">
        <f>IFERROR(__xludf.DUMMYFUNCTION("""COMPUTED_VALUE"""),"công cụ tính lãi tiết kiệm")</f>
        <v>công cụ tính lãi tiết kiệm</v>
      </c>
      <c r="Z68" s="21" t="str">
        <f>IFERROR(__xludf.DUMMYFUNCTION("""COMPUTED_VALUE"""),"https://techcombank.com/thong-tin/blog/cong-thuc-tinh-lai-suat-thuc")</f>
        <v>https://techcombank.com/thong-tin/blog/cong-thuc-tinh-lai-suat-thuc</v>
      </c>
      <c r="AA68" s="17" t="str">
        <f>IFERROR(__xludf.DUMMYFUNCTION("""COMPUTED_VALUE"""),"bảng tính lãi suất tiết kiệm")</f>
        <v>bảng tính lãi suất tiết kiệm</v>
      </c>
      <c r="AB68" s="21" t="str">
        <f>IFERROR(__xludf.DUMMYFUNCTION("""COMPUTED_VALUE"""),"https://techcombank.com/thong-tin/blog/diem-loyalty-la-gi")</f>
        <v>https://techcombank.com/thong-tin/blog/diem-loyalty-la-gi</v>
      </c>
      <c r="AC68" s="17" t="str">
        <f>IFERROR(__xludf.DUMMYFUNCTION("""COMPUTED_VALUE"""),"công cụ tính lãi tiết kiệm")</f>
        <v>công cụ tính lãi tiết kiệm</v>
      </c>
      <c r="AD68" s="21" t="str">
        <f>IFERROR(__xludf.DUMMYFUNCTION("""COMPUTED_VALUE"""),"https://techcombank.com/thong-tin/blog/techcombank-oneu")</f>
        <v>https://techcombank.com/thong-tin/blog/techcombank-oneu</v>
      </c>
      <c r="AE68" s="17" t="str">
        <f>IFERROR(__xludf.DUMMYFUNCTION("""COMPUTED_VALUE"""),"bảng tính lãi suất tiết kiệm")</f>
        <v>bảng tính lãi suất tiết kiệm</v>
      </c>
      <c r="AF68" s="21" t="str">
        <f>IFERROR(__xludf.DUMMYFUNCTION("""COMPUTED_VALUE"""),"https://techcombank.com/thong-tin/blog/gui-tiet-kiem-theo-ngay")</f>
        <v>https://techcombank.com/thong-tin/blog/gui-tiet-kiem-theo-ngay</v>
      </c>
      <c r="AG68" s="17" t="str">
        <f>IFERROR(__xludf.DUMMYFUNCTION("""COMPUTED_VALUE"""),"công cụ tính lãi tiết kiệm")</f>
        <v>công cụ tính lãi tiết kiệm</v>
      </c>
      <c r="AH68" s="21" t="str">
        <f>IFERROR(__xludf.DUMMYFUNCTION("""COMPUTED_VALUE"""),"https://techcombank.com/thong-tin/blog/gui-tiet-kiem-vang")</f>
        <v>https://techcombank.com/thong-tin/blog/gui-tiet-kiem-vang</v>
      </c>
      <c r="AI68" s="17" t="str">
        <f>IFERROR(__xludf.DUMMYFUNCTION("""COMPUTED_VALUE"""),"bảng tính lãi suất tiết kiệm")</f>
        <v>bảng tính lãi suất tiết kiệm</v>
      </c>
      <c r="AJ68" s="21" t="str">
        <f>IFERROR(__xludf.DUMMYFUNCTION("""COMPUTED_VALUE"""),"https://techcombank.com/thong-tin/blog/nen-gui-tiet-kiem-thong-thuong-hay-tich-luy")</f>
        <v>https://techcombank.com/thong-tin/blog/nen-gui-tiet-kiem-thong-thuong-hay-tich-luy</v>
      </c>
      <c r="AK68" s="17" t="str">
        <f>IFERROR(__xludf.DUMMYFUNCTION("""COMPUTED_VALUE"""),"công cụ tính lãi tiết kiệm")</f>
        <v>công cụ tính lãi tiết kiệm</v>
      </c>
      <c r="AL68" s="21" t="str">
        <f>IFERROR(__xludf.DUMMYFUNCTION("""COMPUTED_VALUE"""),"https://techcombank.com/thong-tin/blog/tai-sao-gui-tiet-kiem-online-lai-suat-cao-hon")</f>
        <v>https://techcombank.com/thong-tin/blog/tai-sao-gui-tiet-kiem-online-lai-suat-cao-hon</v>
      </c>
      <c r="AM68" s="17" t="str">
        <f>IFERROR(__xludf.DUMMYFUNCTION("""COMPUTED_VALUE"""),"bảng tính lãi suất tiết kiệm")</f>
        <v>bảng tính lãi suất tiết kiệm</v>
      </c>
      <c r="AN68" s="21" t="str">
        <f>IFERROR(__xludf.DUMMYFUNCTION("""COMPUTED_VALUE"""),"https://techcombank.com/thong-tin/blog/rui-ro-khi-vay-the-chap-ngan-hang")</f>
        <v>https://techcombank.com/thong-tin/blog/rui-ro-khi-vay-the-chap-ngan-hang</v>
      </c>
      <c r="AO68" s="17" t="str">
        <f>IFERROR(__xludf.DUMMYFUNCTION("""COMPUTED_VALUE"""),"công cụ tính lãi tiết kiệm")</f>
        <v>công cụ tính lãi tiết kiệm</v>
      </c>
      <c r="AP68" s="21" t="str">
        <f>IFERROR(__xludf.DUMMYFUNCTION("""COMPUTED_VALUE"""),"https://techcombank.com/thong-tin/blog/lai-kep-ngan-hang")</f>
        <v>https://techcombank.com/thong-tin/blog/lai-kep-ngan-hang</v>
      </c>
      <c r="AQ68" s="17" t="str">
        <f>IFERROR(__xludf.DUMMYFUNCTION("""COMPUTED_VALUE"""),"bảng tính lãi suất tiết kiệm")</f>
        <v>bảng tính lãi suất tiết kiệm</v>
      </c>
      <c r="AR68" s="21" t="str">
        <f>IFERROR(__xludf.DUMMYFUNCTION("""COMPUTED_VALUE"""),"https://techcombank.com/thong-tin/blog/lai-suat-vay-thau-chi")</f>
        <v>https://techcombank.com/thong-tin/blog/lai-suat-vay-thau-chi</v>
      </c>
      <c r="AS68" s="17" t="str">
        <f>IFERROR(__xludf.DUMMYFUNCTION("""COMPUTED_VALUE"""),"công cụ tính lãi tiết kiệm")</f>
        <v>công cụ tính lãi tiết kiệm</v>
      </c>
      <c r="AT68" s="21" t="str">
        <f>IFERROR(__xludf.DUMMYFUNCTION("""COMPUTED_VALUE"""),"https://techcombank.com/thong-tin/blog/tien-gui-khong-ky-han")</f>
        <v>https://techcombank.com/thong-tin/blog/tien-gui-khong-ky-han</v>
      </c>
      <c r="AU68" s="17" t="str">
        <f>IFERROR(__xludf.DUMMYFUNCTION("""COMPUTED_VALUE"""),"bảng tính lãi suất tiết kiệm")</f>
        <v>bảng tính lãi suất tiết kiệm</v>
      </c>
      <c r="AV68" s="21" t="str">
        <f>IFERROR(__xludf.DUMMYFUNCTION("""COMPUTED_VALUE"""),"https://techcombank.com/thong-tin/blog/qua-han-thanh-toan-the-tin-dung-1-ngay")</f>
        <v>https://techcombank.com/thong-tin/blog/qua-han-thanh-toan-the-tin-dung-1-ngay</v>
      </c>
      <c r="AW68" s="17" t="str">
        <f>IFERROR(__xludf.DUMMYFUNCTION("""COMPUTED_VALUE"""),"công cụ tính lãi tiết kiệm")</f>
        <v>công cụ tính lãi tiết kiệm</v>
      </c>
      <c r="AX68" s="21" t="str">
        <f>IFERROR(__xludf.DUMMYFUNCTION("""COMPUTED_VALUE"""),"https://techcombank.com/thong-tin/blog/co-nen-gui-tiet-kiem-ngan-hang")</f>
        <v>https://techcombank.com/thong-tin/blog/co-nen-gui-tiet-kiem-ngan-hang</v>
      </c>
      <c r="AY68" s="17" t="str">
        <f>IFERROR(__xludf.DUMMYFUNCTION("""COMPUTED_VALUE"""),"bảng tính lãi suất tiết kiệm")</f>
        <v>bảng tính lãi suất tiết kiệm</v>
      </c>
      <c r="AZ68" s="21" t="str">
        <f>IFERROR(__xludf.DUMMYFUNCTION("""COMPUTED_VALUE"""),"https://techcombank.com/thong-tin/blog/lai-suat-tiet-kiem")</f>
        <v>https://techcombank.com/thong-tin/blog/lai-suat-tiet-kiem</v>
      </c>
      <c r="BA68" s="17" t="str">
        <f>IFERROR(__xludf.DUMMYFUNCTION("""COMPUTED_VALUE"""),"công cụ tính lãi tiết kiệm")</f>
        <v>công cụ tính lãi tiết kiệm</v>
      </c>
      <c r="BB68" s="21" t="str">
        <f>IFERROR(__xludf.DUMMYFUNCTION("""COMPUTED_VALUE"""),"https://techcombank.com/thong-tin/blog/co-nen-gui-tiet-kiem-online")</f>
        <v>https://techcombank.com/thong-tin/blog/co-nen-gui-tiet-kiem-online</v>
      </c>
      <c r="BC68" s="17" t="str">
        <f>IFERROR(__xludf.DUMMYFUNCTION("""COMPUTED_VALUE"""),"bảng tính lãi suất tiết kiệm")</f>
        <v>bảng tính lãi suất tiết kiệm</v>
      </c>
      <c r="BD68" s="21" t="str">
        <f>IFERROR(__xludf.DUMMYFUNCTION("""COMPUTED_VALUE"""),"https://techcombank.com/thong-tin/blog/gui-tiet-kiem-ngan-hang-van-la-lua-chon-an-toan-trong-thoi-ky-kinh-te-con-nhieu-bien-dong")</f>
        <v>https://techcombank.com/thong-tin/blog/gui-tiet-kiem-ngan-hang-van-la-lua-chon-an-toan-trong-thoi-ky-kinh-te-con-nhieu-bien-dong</v>
      </c>
      <c r="BE68" s="17" t="str">
        <f>IFERROR(__xludf.DUMMYFUNCTION("""COMPUTED_VALUE"""),"công cụ tính lãi tiết kiệm")</f>
        <v>công cụ tính lãi tiết kiệm</v>
      </c>
      <c r="BF68" s="21" t="str">
        <f>IFERROR(__xludf.DUMMYFUNCTION("""COMPUTED_VALUE"""),"https://techcombank.com/thong-tin/blog/cach-gui-tiet-kiem-online")</f>
        <v>https://techcombank.com/thong-tin/blog/cach-gui-tiet-kiem-online</v>
      </c>
      <c r="BG68" s="17" t="str">
        <f>IFERROR(__xludf.DUMMYFUNCTION("""COMPUTED_VALUE"""),"bảng tính lãi suất tiết kiệm")</f>
        <v>bảng tính lãi suất tiết kiệm</v>
      </c>
      <c r="BH68" s="21" t="str">
        <f>IFERROR(__xludf.DUMMYFUNCTION("""COMPUTED_VALUE"""),"https://techcombank.com/thong-tin/blog/gui-tien-ngan-hang-co-an-toan-khong")</f>
        <v>https://techcombank.com/thong-tin/blog/gui-tien-ngan-hang-co-an-toan-khong</v>
      </c>
      <c r="BI68" s="17" t="str">
        <f>IFERROR(__xludf.DUMMYFUNCTION("""COMPUTED_VALUE"""),"công cụ tính lãi tiết kiệm")</f>
        <v>công cụ tính lãi tiết kiệm</v>
      </c>
      <c r="BJ68" s="21" t="str">
        <f>IFERROR(__xludf.DUMMYFUNCTION("""COMPUTED_VALUE"""),"https://techcombank.com/thong-tin/blog/dau-tu-trai-phieu-doanh-nghiep-dung-ham-lai-suat-cao")</f>
        <v>https://techcombank.com/thong-tin/blog/dau-tu-trai-phieu-doanh-nghiep-dung-ham-lai-suat-cao</v>
      </c>
      <c r="BK68" s="17" t="str">
        <f>IFERROR(__xludf.DUMMYFUNCTION("""COMPUTED_VALUE"""),"bảng tính lãi suất tiết kiệm")</f>
        <v>bảng tính lãi suất tiết kiệm</v>
      </c>
      <c r="BL68" s="21" t="str">
        <f>IFERROR(__xludf.DUMMYFUNCTION("""COMPUTED_VALUE"""),"https://techcombank.com/thong-tin/blog/nen-gui-tiet-kiem-6-thang-hay-1-nam")</f>
        <v>https://techcombank.com/thong-tin/blog/nen-gui-tiet-kiem-6-thang-hay-1-nam</v>
      </c>
      <c r="BM68" s="17" t="str">
        <f>IFERROR(__xludf.DUMMYFUNCTION("""COMPUTED_VALUE"""),"công cụ tính lãi tiết kiệm")</f>
        <v>công cụ tính lãi tiết kiệm</v>
      </c>
      <c r="BN68" s="21" t="str">
        <f>IFERROR(__xludf.DUMMYFUNCTION("""COMPUTED_VALUE"""),"https://techcombank.com/thong-tin/blog/mo-tai-khoan-tiet-kiem-cho-con")</f>
        <v>https://techcombank.com/thong-tin/blog/mo-tai-khoan-tiet-kiem-cho-con</v>
      </c>
      <c r="BO68" s="17" t="str">
        <f>IFERROR(__xludf.DUMMYFUNCTION("""COMPUTED_VALUE"""),"bảng tính lãi suất tiết kiệm")</f>
        <v>bảng tính lãi suất tiết kiệm</v>
      </c>
      <c r="BP68" s="21" t="str">
        <f>IFERROR(__xludf.DUMMYFUNCTION("""COMPUTED_VALUE"""),"https://techcombank.com/thong-tin/blog/lai-suat-the-tin-dung")</f>
        <v>https://techcombank.com/thong-tin/blog/lai-suat-the-tin-dung</v>
      </c>
      <c r="BQ68" s="17" t="str">
        <f>IFERROR(__xludf.DUMMYFUNCTION("""COMPUTED_VALUE"""),"công cụ tính lãi tiết kiệm")</f>
        <v>công cụ tính lãi tiết kiệm</v>
      </c>
      <c r="BR68" s="21" t="str">
        <f>IFERROR(__xludf.DUMMYFUNCTION("""COMPUTED_VALUE"""),"https://techcombank.com/thong-tin/blog/quy-gia-dinh")</f>
        <v>https://techcombank.com/thong-tin/blog/quy-gia-dinh</v>
      </c>
      <c r="BS68" s="17" t="str">
        <f>IFERROR(__xludf.DUMMYFUNCTION("""COMPUTED_VALUE"""),"bảng tính lãi suất tiết kiệm")</f>
        <v>bảng tính lãi suất tiết kiệm</v>
      </c>
      <c r="BT68" s="21" t="str">
        <f>IFERROR(__xludf.DUMMYFUNCTION("""COMPUTED_VALUE"""),"https://techcombank.com/thong-tin/blog/lai-suat-vay-the-chap-so-do")</f>
        <v>https://techcombank.com/thong-tin/blog/lai-suat-vay-the-chap-so-do</v>
      </c>
      <c r="BU68" s="17" t="str">
        <f>IFERROR(__xludf.DUMMYFUNCTION("""COMPUTED_VALUE"""),"công cụ tính lãi tiết kiệm")</f>
        <v>công cụ tính lãi tiết kiệm</v>
      </c>
      <c r="BV68" s="21" t="str">
        <f>IFERROR(__xludf.DUMMYFUNCTION("""COMPUTED_VALUE"""),"https://techcombank.com/thong-tin/blog/gui-tiet-kiem-lay-lai-hang-thang")</f>
        <v>https://techcombank.com/thong-tin/blog/gui-tiet-kiem-lay-lai-hang-thang</v>
      </c>
      <c r="BW68" s="17" t="str">
        <f>IFERROR(__xludf.DUMMYFUNCTION("""COMPUTED_VALUE"""),"bảng tính lãi suất tiết kiệm")</f>
        <v>bảng tính lãi suất tiết kiệm</v>
      </c>
      <c r="BX68" s="21" t="str">
        <f>IFERROR(__xludf.DUMMYFUNCTION("""COMPUTED_VALUE"""),"https://techcombank.com/thong-tin/blog/rui-ro-khi-gui-tiet-kiem-online")</f>
        <v>https://techcombank.com/thong-tin/blog/rui-ro-khi-gui-tiet-kiem-online</v>
      </c>
      <c r="BY68" s="17" t="str">
        <f>IFERROR(__xludf.DUMMYFUNCTION("""COMPUTED_VALUE"""),"công cụ tính lãi tiết kiệm")</f>
        <v>công cụ tính lãi tiết kiệm</v>
      </c>
      <c r="BZ68" s="21" t="str">
        <f>IFERROR(__xludf.DUMMYFUNCTION("""COMPUTED_VALUE"""),"https://techcombank.com/thong-tin/blog/tich-luy-tai-san")</f>
        <v>https://techcombank.com/thong-tin/blog/tich-luy-tai-san</v>
      </c>
      <c r="CA68" s="17" t="str">
        <f>IFERROR(__xludf.DUMMYFUNCTION("""COMPUTED_VALUE"""),"bảng tính lãi suất tiết kiệm")</f>
        <v>bảng tính lãi suất tiết kiệm</v>
      </c>
      <c r="CB68" s="21" t="str">
        <f>IFERROR(__xludf.DUMMYFUNCTION("""COMPUTED_VALUE"""),"https://techcombank.com/thong-tin/blog/cach-tinh-lai-suat-tien-gui-tiet-kiem")</f>
        <v>https://techcombank.com/thong-tin/blog/cach-tinh-lai-suat-tien-gui-tiet-kiem</v>
      </c>
      <c r="CC68" s="17" t="str">
        <f>IFERROR(__xludf.DUMMYFUNCTION("""COMPUTED_VALUE"""),"công cụ tính lãi tiết kiệm")</f>
        <v>công cụ tính lãi tiết kiệm</v>
      </c>
      <c r="CD68" s="21" t="str">
        <f>IFERROR(__xludf.DUMMYFUNCTION("""COMPUTED_VALUE"""),"https://techcombank.com/thong-tin/blog/lai-suat-tha-noi")</f>
        <v>https://techcombank.com/thong-tin/blog/lai-suat-tha-noi</v>
      </c>
      <c r="CE68" s="17" t="str">
        <f>IFERROR(__xludf.DUMMYFUNCTION("""COMPUTED_VALUE"""),"bảng tính lãi suất tiết kiệm")</f>
        <v>bảng tính lãi suất tiết kiệm</v>
      </c>
      <c r="CF68" s="21" t="str">
        <f>IFERROR(__xludf.DUMMYFUNCTION("""COMPUTED_VALUE"""),"https://techcombank.com/thong-tin/blog/lai-suat-vay-tieu-dung")</f>
        <v>https://techcombank.com/thong-tin/blog/lai-suat-vay-tieu-dung</v>
      </c>
      <c r="CG68" s="17" t="str">
        <f>IFERROR(__xludf.DUMMYFUNCTION("""COMPUTED_VALUE"""),"công cụ tính lãi tiết kiệm")</f>
        <v>công cụ tính lãi tiết kiệm</v>
      </c>
      <c r="CH68" s="21" t="str">
        <f>IFERROR(__xludf.DUMMYFUNCTION("""COMPUTED_VALUE"""),"https://techcombank.com/thong-tin/blog/chon-kenh-dau-tu-an-toan-trong-boi-canh-thi-truong-bien-dong")</f>
        <v>https://techcombank.com/thong-tin/blog/chon-kenh-dau-tu-an-toan-trong-boi-canh-thi-truong-bien-dong</v>
      </c>
      <c r="CI68" s="17" t="str">
        <f>IFERROR(__xludf.DUMMYFUNCTION("""COMPUTED_VALUE"""),"bảng tính lãi suất tiết kiệm")</f>
        <v>bảng tính lãi suất tiết kiệm</v>
      </c>
      <c r="CJ68" s="21" t="str">
        <f>IFERROR(__xludf.DUMMYFUNCTION("""COMPUTED_VALUE"""),"https://techcombank.com/thong-tin/blog/gui-tiet-kiem-ngoai-te")</f>
        <v>https://techcombank.com/thong-tin/blog/gui-tiet-kiem-ngoai-te</v>
      </c>
      <c r="CK68" s="17" t="str">
        <f>IFERROR(__xludf.DUMMYFUNCTION("""COMPUTED_VALUE"""),"công cụ tính lãi tiết kiệm")</f>
        <v>công cụ tính lãi tiết kiệm</v>
      </c>
      <c r="CL68" s="21" t="str">
        <f>IFERROR(__xludf.DUMMYFUNCTION("""COMPUTED_VALUE"""),"https://techcombank.com/thong-tin/blog/lai-suat-ngan-hang-cho-vay-xay-nha")</f>
        <v>https://techcombank.com/thong-tin/blog/lai-suat-ngan-hang-cho-vay-xay-nha</v>
      </c>
      <c r="CM68" s="17" t="str">
        <f>IFERROR(__xludf.DUMMYFUNCTION("""COMPUTED_VALUE"""),"bảng tính lãi suất tiết kiệm")</f>
        <v>bảng tính lãi suất tiết kiệm</v>
      </c>
      <c r="CN68" s="21" t="str">
        <f>IFERROR(__xludf.DUMMYFUNCTION("""COMPUTED_VALUE"""),"https://techcombank.com/thong-tin/blog/rui-ro-khi-gui-tiet-kiem-ngan-hang")</f>
        <v>https://techcombank.com/thong-tin/blog/rui-ro-khi-gui-tiet-kiem-ngan-hang</v>
      </c>
      <c r="CO68" s="17" t="str">
        <f>IFERROR(__xludf.DUMMYFUNCTION("""COMPUTED_VALUE"""),"công cụ tính lãi tiết kiệm")</f>
        <v>công cụ tính lãi tiết kiệm</v>
      </c>
      <c r="CP68" s="21" t="str">
        <f>IFERROR(__xludf.DUMMYFUNCTION("""COMPUTED_VALUE"""),"https://techcombank.com/thong-tin/blog/gui-tiet-kiem-hang-thang")</f>
        <v>https://techcombank.com/thong-tin/blog/gui-tiet-kiem-hang-thang</v>
      </c>
      <c r="CQ68" s="17" t="str">
        <f>IFERROR(__xludf.DUMMYFUNCTION("""COMPUTED_VALUE"""),"bảng tính lãi suất tiết kiệm")</f>
        <v>bảng tính lãi suất tiết kiệm</v>
      </c>
      <c r="CR68" s="21" t="str">
        <f>IFERROR(__xludf.DUMMYFUNCTION("""COMPUTED_VALUE"""),"https://techcombank.com/thong-tin/blog/cach-tiet-kiem-tien")</f>
        <v>https://techcombank.com/thong-tin/blog/cach-tiet-kiem-tien</v>
      </c>
      <c r="CS68" s="17" t="str">
        <f>IFERROR(__xludf.DUMMYFUNCTION("""COMPUTED_VALUE"""),"công cụ tính lãi tiết kiệm")</f>
        <v>công cụ tính lãi tiết kiệm</v>
      </c>
      <c r="CT68" s="21" t="str">
        <f>IFERROR(__xludf.DUMMYFUNCTION("""COMPUTED_VALUE"""),"https://techcombank.com/thong-tin/blog/tra-no-vay-thau-chi-nhu-the-nao")</f>
        <v>https://techcombank.com/thong-tin/blog/tra-no-vay-thau-chi-nhu-the-nao</v>
      </c>
      <c r="CU68" s="17" t="str">
        <f>IFERROR(__xludf.DUMMYFUNCTION("""COMPUTED_VALUE"""),"bảng tính lãi suất tiết kiệm")</f>
        <v>bảng tính lãi suất tiết kiệm</v>
      </c>
      <c r="CV68" s="21" t="str">
        <f>IFERROR(__xludf.DUMMYFUNCTION("""COMPUTED_VALUE"""),"https://techcombank.com/thong-tin/blog/rut-tien-bao-hiem-nhan-tho-khi-het-han")</f>
        <v>https://techcombank.com/thong-tin/blog/rut-tien-bao-hiem-nhan-tho-khi-het-han</v>
      </c>
      <c r="CW68" s="17" t="str">
        <f>IFERROR(__xludf.DUMMYFUNCTION("""COMPUTED_VALUE"""),"công cụ tính lãi tiết kiệm")</f>
        <v>công cụ tính lãi tiết kiệm</v>
      </c>
      <c r="CX68" s="21" t="str">
        <f>IFERROR(__xludf.DUMMYFUNCTION("""COMPUTED_VALUE"""),"https://techcombank.com/thong-tin/blog/cach-tinh-lai-vay-ngan-hang")</f>
        <v>https://techcombank.com/thong-tin/blog/cach-tinh-lai-vay-ngan-hang</v>
      </c>
      <c r="CY68" s="17" t="str">
        <f>IFERROR(__xludf.DUMMYFUNCTION("""COMPUTED_VALUE"""),"bảng tính lãi suất tiết kiệm")</f>
        <v>bảng tính lãi suất tiết kiệm</v>
      </c>
      <c r="CZ68" s="21" t="str">
        <f>IFERROR(__xludf.DUMMYFUNCTION("""COMPUTED_VALUE"""),"https://techcombank.com/thong-tin/blog/gui-tiet-kiem-online-bi-mat-tien")</f>
        <v>https://techcombank.com/thong-tin/blog/gui-tiet-kiem-online-bi-mat-tien</v>
      </c>
      <c r="DA68" s="17" t="str">
        <f>IFERROR(__xludf.DUMMYFUNCTION("""COMPUTED_VALUE"""),"công cụ tính lãi tiết kiệm")</f>
        <v>công cụ tính lãi tiết kiệm</v>
      </c>
      <c r="DB68" s="21" t="str">
        <f>IFERROR(__xludf.DUMMYFUNCTION("""COMPUTED_VALUE"""),"https://techcombank.com/thong-tin/blog/kinh-nghiem-gui-tiet-kiem-online")</f>
        <v>https://techcombank.com/thong-tin/blog/kinh-nghiem-gui-tiet-kiem-online</v>
      </c>
      <c r="DC68" s="17" t="str">
        <f>IFERROR(__xludf.DUMMYFUNCTION("""COMPUTED_VALUE"""),"bảng tính lãi suất tiết kiệm")</f>
        <v>bảng tính lãi suất tiết kiệm</v>
      </c>
      <c r="DD68" s="21" t="str">
        <f>IFERROR(__xludf.DUMMYFUNCTION("""COMPUTED_VALUE"""),"https://techcombank.com/thong-tin/blog/vay-thau-chi-bang-so-tiet-kiem")</f>
        <v>https://techcombank.com/thong-tin/blog/vay-thau-chi-bang-so-tiet-kiem</v>
      </c>
      <c r="DE68" s="17" t="str">
        <f>IFERROR(__xludf.DUMMYFUNCTION("""COMPUTED_VALUE"""),"công cụ tính lãi tiết kiệm")</f>
        <v>công cụ tính lãi tiết kiệm</v>
      </c>
      <c r="DF68" s="21" t="str">
        <f>IFERROR(__xludf.DUMMYFUNCTION("""COMPUTED_VALUE"""),"https://techcombank.com/thong-tin/blog/lai-suat-vay-ngan-hang")</f>
        <v>https://techcombank.com/thong-tin/blog/lai-suat-vay-ngan-hang</v>
      </c>
      <c r="DG68" s="17" t="str">
        <f>IFERROR(__xludf.DUMMYFUNCTION("""COMPUTED_VALUE"""),"bảng tính lãi suất tiết kiệm")</f>
        <v>bảng tính lãi suất tiết kiệm</v>
      </c>
      <c r="DH68" s="21" t="str">
        <f>IFERROR(__xludf.DUMMYFUNCTION("""COMPUTED_VALUE"""),"https://techcombank.com/thong-tin/blog/gui-tiet-kiem-online-co-rut-truoc-han-duoc-khong")</f>
        <v>https://techcombank.com/thong-tin/blog/gui-tiet-kiem-online-co-rut-truoc-han-duoc-khong</v>
      </c>
      <c r="DI68" s="17" t="str">
        <f>IFERROR(__xludf.DUMMYFUNCTION("""COMPUTED_VALUE"""),"công cụ tính lãi tiết kiệm")</f>
        <v>công cụ tính lãi tiết kiệm</v>
      </c>
      <c r="DJ68" s="21" t="str">
        <f>IFERROR(__xludf.DUMMYFUNCTION("""COMPUTED_VALUE"""),"https://techcombank.com/thong-tin/blog/gui-tiet-kiem-online-quay-vong-ca-goc-va-lai")</f>
        <v>https://techcombank.com/thong-tin/blog/gui-tiet-kiem-online-quay-vong-ca-goc-va-lai</v>
      </c>
      <c r="DK68" s="17" t="str">
        <f>IFERROR(__xludf.DUMMYFUNCTION("""COMPUTED_VALUE"""),"bảng tính lãi suất tiết kiệm")</f>
        <v>bảng tính lãi suất tiết kiệm</v>
      </c>
      <c r="DL68" s="21" t="str">
        <f>IFERROR(__xludf.DUMMYFUNCTION("""COMPUTED_VALUE"""),"https://techcombank.com/thong-tin/blog/chung-chi-tien-gui-khac-gi-so-tiet-kiem")</f>
        <v>https://techcombank.com/thong-tin/blog/chung-chi-tien-gui-khac-gi-so-tiet-kiem</v>
      </c>
      <c r="DM68" s="17" t="str">
        <f>IFERROR(__xludf.DUMMYFUNCTION("""COMPUTED_VALUE"""),"công cụ tính lãi tiết kiệm")</f>
        <v>công cụ tính lãi tiết kiệm</v>
      </c>
      <c r="DN68" s="21" t="str">
        <f>IFERROR(__xludf.DUMMYFUNCTION("""COMPUTED_VALUE"""),"https://techcombank.com/thong-tin/blog/tich-diem-doi-qua")</f>
        <v>https://techcombank.com/thong-tin/blog/tich-diem-doi-qua</v>
      </c>
      <c r="DO68" s="17" t="str">
        <f>IFERROR(__xludf.DUMMYFUNCTION("""COMPUTED_VALUE"""),"bảng tính lãi suất tiết kiệm")</f>
        <v>bảng tính lãi suất tiết kiệm</v>
      </c>
      <c r="DP68" s="21" t="str">
        <f>IFERROR(__xludf.DUMMYFUNCTION("""COMPUTED_VALUE"""),"https://techcombank.com/thong-tin/blog/so-sanh-gui-tiet-kiem-online-va-tai-quay")</f>
        <v>https://techcombank.com/thong-tin/blog/so-sanh-gui-tiet-kiem-online-va-tai-quay</v>
      </c>
      <c r="DQ68" s="17" t="str">
        <f>IFERROR(__xludf.DUMMYFUNCTION("""COMPUTED_VALUE"""),"công cụ tính lãi tiết kiệm")</f>
        <v>công cụ tính lãi tiết kiệm</v>
      </c>
      <c r="DR68" s="21" t="str">
        <f>IFERROR(__xludf.DUMMYFUNCTION("""COMPUTED_VALUE"""),"https://techcombank.com/thong-tin/blog/lai-suat-vay-tin-chap")</f>
        <v>https://techcombank.com/thong-tin/blog/lai-suat-vay-tin-chap</v>
      </c>
      <c r="DS68" s="17" t="str">
        <f>IFERROR(__xludf.DUMMYFUNCTION("""COMPUTED_VALUE"""),"bảng tính lãi suất tiết kiệm")</f>
        <v>bảng tính lãi suất tiết kiệm</v>
      </c>
      <c r="DT68" s="21" t="str">
        <f>IFERROR(__xludf.DUMMYFUNCTION("""COMPUTED_VALUE"""),"https://techcombank.com/thong-tin/blog/cach-tiet-kiem-tien-sinh-loi")</f>
        <v>https://techcombank.com/thong-tin/blog/cach-tiet-kiem-tien-sinh-loi</v>
      </c>
      <c r="DU68" s="17" t="str">
        <f>IFERROR(__xludf.DUMMYFUNCTION("""COMPUTED_VALUE"""),"công cụ tính lãi tiết kiệm")</f>
        <v>công cụ tính lãi tiết kiệm</v>
      </c>
      <c r="DV68" s="21" t="str">
        <f>IFERROR(__xludf.DUMMYFUNCTION("""COMPUTED_VALUE"""),"https://techcombank.com/thong-tin/blog/vay-20-trieu")</f>
        <v>https://techcombank.com/thong-tin/blog/vay-20-trieu</v>
      </c>
      <c r="DW68" s="17" t="str">
        <f>IFERROR(__xludf.DUMMYFUNCTION("""COMPUTED_VALUE"""),"bảng tính lãi suất tiết kiệm")</f>
        <v>bảng tính lãi suất tiết kiệm</v>
      </c>
      <c r="DX68" s="21" t="str">
        <f>IFERROR(__xludf.DUMMYFUNCTION("""COMPUTED_VALUE"""),"https://techcombank.com/thong-tin/blog/vay-tin-chap-la-gi")</f>
        <v>https://techcombank.com/thong-tin/blog/vay-tin-chap-la-gi</v>
      </c>
      <c r="DY68" s="17" t="str">
        <f>IFERROR(__xludf.DUMMYFUNCTION("""COMPUTED_VALUE"""),"công cụ tính lãi tiết kiệm")</f>
        <v>công cụ tính lãi tiết kiệm</v>
      </c>
      <c r="DZ68" s="21" t="str">
        <f>IFERROR(__xludf.DUMMYFUNCTION("""COMPUTED_VALUE"""),"https://techcombank.com/thong-tin/blog/tien-nhan-roi-nen-lam-gi")</f>
        <v>https://techcombank.com/thong-tin/blog/tien-nhan-roi-nen-lam-gi</v>
      </c>
      <c r="EA68" s="17" t="str">
        <f>IFERROR(__xludf.DUMMYFUNCTION("""COMPUTED_VALUE"""),"bảng tính lãi suất tiết kiệm")</f>
        <v>bảng tính lãi suất tiết kiệm</v>
      </c>
      <c r="EB68" s="21" t="str">
        <f>IFERROR(__xludf.DUMMYFUNCTION("""COMPUTED_VALUE"""),"https://techcombank.com/thong-tin/blog/tien-gui-co-ky-han")</f>
        <v>https://techcombank.com/thong-tin/blog/tien-gui-co-ky-han</v>
      </c>
      <c r="EC68" s="17" t="str">
        <f>IFERROR(__xludf.DUMMYFUNCTION("""COMPUTED_VALUE"""),"công cụ tính lãi tiết kiệm")</f>
        <v>công cụ tính lãi tiết kiệm</v>
      </c>
      <c r="ED68" s="21" t="str">
        <f>IFERROR(__xludf.DUMMYFUNCTION("""COMPUTED_VALUE"""),"https://techcombank.com/thong-tin/blog/lai-suat-gui-tiet-kiem-usd")</f>
        <v>https://techcombank.com/thong-tin/blog/lai-suat-gui-tiet-kiem-usd</v>
      </c>
      <c r="EE68" s="17" t="str">
        <f>IFERROR(__xludf.DUMMYFUNCTION("""COMPUTED_VALUE"""),"bảng tính lãi suất tiết kiệm")</f>
        <v>bảng tính lãi suất tiết kiệm</v>
      </c>
      <c r="EF68" s="21" t="str">
        <f>IFERROR(__xludf.DUMMYFUNCTION("""COMPUTED_VALUE"""),"https://techcombank.com/thong-tin/blog/gui-tiet-kiem-usd")</f>
        <v>https://techcombank.com/thong-tin/blog/gui-tiet-kiem-usd</v>
      </c>
      <c r="EG68" s="17" t="str">
        <f>IFERROR(__xludf.DUMMYFUNCTION("""COMPUTED_VALUE"""),"công cụ tính lãi tiết kiệm")</f>
        <v>công cụ tính lãi tiết kiệm</v>
      </c>
      <c r="EH68" s="21" t="str">
        <f>IFERROR(__xludf.DUMMYFUNCTION("""COMPUTED_VALUE"""),"https://techcombank.com/thong-tin/blog/so-tiet-kiem-ngan-hang")</f>
        <v>https://techcombank.com/thong-tin/blog/so-tiet-kiem-ngan-hang</v>
      </c>
      <c r="EI68" s="17" t="str">
        <f>IFERROR(__xludf.DUMMYFUNCTION("""COMPUTED_VALUE"""),"bảng tính lãi suất tiết kiệm")</f>
        <v>bảng tính lãi suất tiết kiệm</v>
      </c>
      <c r="EJ68" s="21" t="str">
        <f>IFERROR(__xludf.DUMMYFUNCTION("""COMPUTED_VALUE"""),"https://techcombank.com/thong-tin/blog/lai-suat-chung-chi-tien-gui-cac-ngan-hang")</f>
        <v>https://techcombank.com/thong-tin/blog/lai-suat-chung-chi-tien-gui-cac-ngan-hang</v>
      </c>
      <c r="EK68" s="17" t="str">
        <f>IFERROR(__xludf.DUMMYFUNCTION("""COMPUTED_VALUE"""),"công cụ tính lãi tiết kiệm")</f>
        <v>công cụ tính lãi tiết kiệm</v>
      </c>
      <c r="EL68" s="21" t="str">
        <f>IFERROR(__xludf.DUMMYFUNCTION("""COMPUTED_VALUE"""),"https://techcombank.com/thong-tin/blog/app-gui-tien-tiet-kiem")</f>
        <v>https://techcombank.com/thong-tin/blog/app-gui-tien-tiet-kiem</v>
      </c>
      <c r="EM68" s="17" t="str">
        <f>IFERROR(__xludf.DUMMYFUNCTION("""COMPUTED_VALUE"""),"bảng tính lãi suất tiết kiệm")</f>
        <v>bảng tính lãi suất tiết kiệm</v>
      </c>
      <c r="EN68" s="21" t="str">
        <f>IFERROR(__xludf.DUMMYFUNCTION("""COMPUTED_VALUE"""),"https://techcombank.com/thong-tin/blog/bi-quyet-tiet-kiem-tien-mua-nha")</f>
        <v>https://techcombank.com/thong-tin/blog/bi-quyet-tiet-kiem-tien-mua-nha</v>
      </c>
      <c r="EO68" s="17" t="str">
        <f>IFERROR(__xludf.DUMMYFUNCTION("""COMPUTED_VALUE"""),"công cụ tính lãi tiết kiệm")</f>
        <v>công cụ tính lãi tiết kiệm</v>
      </c>
      <c r="EP68" s="21" t="str">
        <f>IFERROR(__xludf.DUMMYFUNCTION("""COMPUTED_VALUE"""),"https://techcombank.com/thong-tin/blog/tat-toan-so-tiet-kiem")</f>
        <v>https://techcombank.com/thong-tin/blog/tat-toan-so-tiet-kiem</v>
      </c>
      <c r="EQ68" s="17" t="str">
        <f>IFERROR(__xludf.DUMMYFUNCTION("""COMPUTED_VALUE"""),"bảng tính lãi suất tiết kiệm")</f>
        <v>bảng tính lãi suất tiết kiệm</v>
      </c>
      <c r="ER68" s="21" t="str">
        <f>IFERROR(__xludf.DUMMYFUNCTION("""COMPUTED_VALUE"""),"https://techcombank.com/thong-tin/blog/tra-gop-shopee")</f>
        <v>https://techcombank.com/thong-tin/blog/tra-gop-shopee</v>
      </c>
      <c r="ES68" s="17" t="str">
        <f>IFERROR(__xludf.DUMMYFUNCTION("""COMPUTED_VALUE"""),"công cụ tính lãi tiết kiệm")</f>
        <v>công cụ tính lãi tiết kiệm</v>
      </c>
      <c r="ET68" s="21" t="str">
        <f>IFERROR(__xludf.DUMMYFUNCTION("""COMPUTED_VALUE"""),"https://techcombank.com/thong-tin/blog/chung-chi-tien-gui-la-gi")</f>
        <v>https://techcombank.com/thong-tin/blog/chung-chi-tien-gui-la-gi</v>
      </c>
      <c r="EU68" s="17" t="str">
        <f>IFERROR(__xludf.DUMMYFUNCTION("""COMPUTED_VALUE"""),"bảng tính lãi suất tiết kiệm")</f>
        <v>bảng tính lãi suất tiết kiệm</v>
      </c>
      <c r="EV68" s="21" t="str">
        <f>IFERROR(__xludf.DUMMYFUNCTION("""COMPUTED_VALUE"""),"https://techcombank.com/thong-tin/blog/ngan-hang-so")</f>
        <v>https://techcombank.com/thong-tin/blog/ngan-hang-so</v>
      </c>
      <c r="EW68" s="17" t="str">
        <f>IFERROR(__xludf.DUMMYFUNCTION("""COMPUTED_VALUE"""),"công cụ tính lãi tiết kiệm")</f>
        <v>công cụ tính lãi tiết kiệm</v>
      </c>
      <c r="EX68" s="21" t="str">
        <f>IFERROR(__xludf.DUMMYFUNCTION("""COMPUTED_VALUE"""),"https://techcombank.com/thong-tin/blog/lap-ke-hoach-chi-tieu-ca-nhan")</f>
        <v>https://techcombank.com/thong-tin/blog/lap-ke-hoach-chi-tieu-ca-nhan</v>
      </c>
      <c r="EY68" s="17" t="str">
        <f>IFERROR(__xludf.DUMMYFUNCTION("""COMPUTED_VALUE"""),"bảng tính lãi suất tiết kiệm")</f>
        <v>bảng tính lãi suất tiết kiệm</v>
      </c>
      <c r="EZ68" s="21" t="str">
        <f>IFERROR(__xludf.DUMMYFUNCTION("""COMPUTED_VALUE"""),"https://techcombank.com/thong-tin/blog/ke-hoach-tai-chinh")</f>
        <v>https://techcombank.com/thong-tin/blog/ke-hoach-tai-chinh</v>
      </c>
      <c r="FA68" s="17" t="str">
        <f>IFERROR(__xludf.DUMMYFUNCTION("""COMPUTED_VALUE"""),"công cụ tính lãi tiết kiệm")</f>
        <v>công cụ tính lãi tiết kiệm</v>
      </c>
      <c r="FB68" s="21" t="str">
        <f>IFERROR(__xludf.DUMMYFUNCTION("""COMPUTED_VALUE"""),"https://techcombank.com/thong-tin/blog/nghich-ly-nha-dau-tu-che-trai-phieu-lai-suat-cao-ua-ma-an-toan-du-lai-suat-thap-hon-05-1")</f>
        <v>https://techcombank.com/thong-tin/blog/nghich-ly-nha-dau-tu-che-trai-phieu-lai-suat-cao-ua-ma-an-toan-du-lai-suat-thap-hon-05-1</v>
      </c>
      <c r="FC68" s="17" t="str">
        <f>IFERROR(__xludf.DUMMYFUNCTION("""COMPUTED_VALUE"""),"bảng tính lãi suất tiết kiệm")</f>
        <v>bảng tính lãi suất tiết kiệm</v>
      </c>
      <c r="FD68" s="21" t="str">
        <f>IFERROR(__xludf.DUMMYFUNCTION("""COMPUTED_VALUE"""),"https://techcombank.com/thong-tin/blog/thi-truong-trai-phieu-co-hoi-dau-tu-trai-phieu-vang-du-lai-suat-thap")</f>
        <v>https://techcombank.com/thong-tin/blog/thi-truong-trai-phieu-co-hoi-dau-tu-trai-phieu-vang-du-lai-suat-thap</v>
      </c>
      <c r="FE68" s="17" t="str">
        <f>IFERROR(__xludf.DUMMYFUNCTION("""COMPUTED_VALUE"""),"công cụ tính lãi tiết kiệm")</f>
        <v>công cụ tính lãi tiết kiệm</v>
      </c>
      <c r="FF68" s="21" t="str">
        <f>IFERROR(__xludf.DUMMYFUNCTION("""COMPUTED_VALUE"""),"https://techcombank.com/thong-tin/blog/techcombank-sinh-loi-tu-dong")</f>
        <v>https://techcombank.com/thong-tin/blog/techcombank-sinh-loi-tu-dong</v>
      </c>
      <c r="FG68" s="17" t="str">
        <f>IFERROR(__xludf.DUMMYFUNCTION("""COMPUTED_VALUE"""),"bảng tính lãi suất tiết kiệm")</f>
        <v>bảng tính lãi suất tiết kiệm</v>
      </c>
      <c r="FH68" s="21" t="str">
        <f>IFERROR(__xludf.DUMMYFUNCTION("""COMPUTED_VALUE"""),"https://techcombank.com/thong-tin/blog/mo-so-tiet-kiem-can-bao-nhieu-tien")</f>
        <v>https://techcombank.com/thong-tin/blog/mo-so-tiet-kiem-can-bao-nhieu-tien</v>
      </c>
      <c r="FI68" s="17" t="str">
        <f>IFERROR(__xludf.DUMMYFUNCTION("""COMPUTED_VALUE"""),"công cụ tính lãi tiết kiệm")</f>
        <v>công cụ tính lãi tiết kiệm</v>
      </c>
      <c r="FJ68" s="21" t="str">
        <f>IFERROR(__xludf.DUMMYFUNCTION("""COMPUTED_VALUE"""),"https://techcombank.com/thong-tin/blog/lai-suat-chung-chi-quy")</f>
        <v>https://techcombank.com/thong-tin/blog/lai-suat-chung-chi-quy</v>
      </c>
      <c r="FK68" s="17" t="str">
        <f>IFERROR(__xludf.DUMMYFUNCTION("""COMPUTED_VALUE"""),"bảng tính lãi suất tiết kiệm")</f>
        <v>bảng tính lãi suất tiết kiệm</v>
      </c>
      <c r="FL68" s="21" t="str">
        <f>IFERROR(__xludf.DUMMYFUNCTION("""COMPUTED_VALUE"""),"https://techcombank.com/thong-tin/blog/lai-suat-cho-vay-doanh-nghiep")</f>
        <v>https://techcombank.com/thong-tin/blog/lai-suat-cho-vay-doanh-nghiep</v>
      </c>
      <c r="FM68" s="17" t="str">
        <f>IFERROR(__xludf.DUMMYFUNCTION("""COMPUTED_VALUE"""),"công cụ tính lãi tiết kiệm")</f>
        <v>công cụ tính lãi tiết kiệm</v>
      </c>
      <c r="FN68" s="21" t="str">
        <f>IFERROR(__xludf.DUMMYFUNCTION("""COMPUTED_VALUE"""),"https://techcombank.com/thong-tin/blog/vay-100-trieu")</f>
        <v>https://techcombank.com/thong-tin/blog/vay-100-trieu</v>
      </c>
      <c r="FO68" s="17" t="str">
        <f>IFERROR(__xludf.DUMMYFUNCTION("""COMPUTED_VALUE"""),"bảng tính lãi suất tiết kiệm")</f>
        <v>bảng tính lãi suất tiết kiệm</v>
      </c>
      <c r="FP68" s="21" t="str">
        <f>IFERROR(__xludf.DUMMYFUNCTION("""COMPUTED_VALUE"""),"https://techcombank.com/thong-tin/blog/quy-du-phong-tai-chinh-la-gi")</f>
        <v>https://techcombank.com/thong-tin/blog/quy-du-phong-tai-chinh-la-gi</v>
      </c>
      <c r="FQ68" s="17" t="str">
        <f>IFERROR(__xludf.DUMMYFUNCTION("""COMPUTED_VALUE"""),"công cụ tính lãi tiết kiệm")</f>
        <v>công cụ tính lãi tiết kiệm</v>
      </c>
      <c r="FR68" s="21" t="str">
        <f>IFERROR(__xludf.DUMMYFUNCTION("""COMPUTED_VALUE"""),"https://techcombank.com/thong-tin/blog/loi-ich-cua-ngan-hang-so-voi-sme")</f>
        <v>https://techcombank.com/thong-tin/blog/loi-ich-cua-ngan-hang-so-voi-sme</v>
      </c>
      <c r="FS68" s="17" t="str">
        <f>IFERROR(__xludf.DUMMYFUNCTION("""COMPUTED_VALUE"""),"bảng tính lãi suất tiết kiệm")</f>
        <v>bảng tính lãi suất tiết kiệm</v>
      </c>
      <c r="FT68" s="21" t="str">
        <f>IFERROR(__xludf.DUMMYFUNCTION("""COMPUTED_VALUE"""),"https://techcombank.com/thong-tin/blog/rut-tien-tiet-kiem-truoc-thoi-han")</f>
        <v>https://techcombank.com/thong-tin/blog/rut-tien-tiet-kiem-truoc-thoi-han</v>
      </c>
      <c r="FU68" s="17" t="str">
        <f>IFERROR(__xludf.DUMMYFUNCTION("""COMPUTED_VALUE"""),"công cụ tính lãi tiết kiệm")</f>
        <v>công cụ tính lãi tiết kiệm</v>
      </c>
      <c r="FV68" s="21" t="str">
        <f>IFERROR(__xludf.DUMMYFUNCTION("""COMPUTED_VALUE"""),"https://techcombank.com/thong-tin/blog/lai-suat-la-gi")</f>
        <v>https://techcombank.com/thong-tin/blog/lai-suat-la-gi</v>
      </c>
      <c r="FW68" s="17" t="str">
        <f>IFERROR(__xludf.DUMMYFUNCTION("""COMPUTED_VALUE"""),"bảng tính lãi suất tiết kiệm")</f>
        <v>bảng tính lãi suất tiết kiệm</v>
      </c>
      <c r="FX68" s="21" t="str">
        <f>IFERROR(__xludf.DUMMYFUNCTION("""COMPUTED_VALUE"""),"https://techcombank.com/thong-tin/blog/vi-sao-lai-suat-trai-phieu-tai-tcbs-lai-thap-hon-so-voi-cac-to-chuc-phat-hanh-khac")</f>
        <v>https://techcombank.com/thong-tin/blog/vi-sao-lai-suat-trai-phieu-tai-tcbs-lai-thap-hon-so-voi-cac-to-chuc-phat-hanh-khac</v>
      </c>
      <c r="FY68" s="17" t="str">
        <f>IFERROR(__xludf.DUMMYFUNCTION("""COMPUTED_VALUE"""),"công cụ tính lãi tiết kiệm")</f>
        <v>công cụ tính lãi tiết kiệm</v>
      </c>
      <c r="FZ68" s="21" t="str">
        <f>IFERROR(__xludf.DUMMYFUNCTION("""COMPUTED_VALUE"""),"https://techcombank.com/thong-tin/blog/cach-dau-tu")</f>
        <v>https://techcombank.com/thong-tin/blog/cach-dau-tu</v>
      </c>
      <c r="GA68" s="17" t="str">
        <f>IFERROR(__xludf.DUMMYFUNCTION("""COMPUTED_VALUE"""),"bảng tính lãi suất tiết kiệm")</f>
        <v>bảng tính lãi suất tiết kiệm</v>
      </c>
      <c r="GB68" s="21" t="str">
        <f>IFERROR(__xludf.DUMMYFUNCTION("""COMPUTED_VALUE"""),"https://techcombank.com/thong-tin/blog/tra-gop-hoc-phi")</f>
        <v>https://techcombank.com/thong-tin/blog/tra-gop-hoc-phi</v>
      </c>
      <c r="GC68" s="17" t="str">
        <f>IFERROR(__xludf.DUMMYFUNCTION("""COMPUTED_VALUE"""),"công cụ tính lãi tiết kiệm")</f>
        <v>công cụ tính lãi tiết kiệm</v>
      </c>
      <c r="GD68" s="21" t="str">
        <f>IFERROR(__xludf.DUMMYFUNCTION("""COMPUTED_VALUE"""),"https://techcombank.com/thong-tin/blog/chung-chi-tien-gui-co-an-toan-khong")</f>
        <v>https://techcombank.com/thong-tin/blog/chung-chi-tien-gui-co-an-toan-khong</v>
      </c>
      <c r="GE68" s="17" t="str">
        <f>IFERROR(__xludf.DUMMYFUNCTION("""COMPUTED_VALUE"""),"bảng tính lãi suất tiết kiệm")</f>
        <v>bảng tính lãi suất tiết kiệm</v>
      </c>
      <c r="GF68" s="21" t="str">
        <f>IFERROR(__xludf.DUMMYFUNCTION("""COMPUTED_VALUE"""),"https://techcombank.com/thong-tin/blog/vay-mua-dien-thoai")</f>
        <v>https://techcombank.com/thong-tin/blog/vay-mua-dien-thoai</v>
      </c>
      <c r="GG68" s="17" t="str">
        <f>IFERROR(__xludf.DUMMYFUNCTION("""COMPUTED_VALUE"""),"công cụ tính lãi tiết kiệm")</f>
        <v>công cụ tính lãi tiết kiệm</v>
      </c>
      <c r="GH68" s="21" t="str">
        <f>IFERROR(__xludf.DUMMYFUNCTION("""COMPUTED_VALUE"""),"https://techcombank.com/thong-tin/blog/vay-bo-sung-von-luu-dong")</f>
        <v>https://techcombank.com/thong-tin/blog/vay-bo-sung-von-luu-dong</v>
      </c>
      <c r="GI68" s="17" t="str">
        <f>IFERROR(__xludf.DUMMYFUNCTION("""COMPUTED_VALUE"""),"bảng tính lãi suất tiết kiệm")</f>
        <v>bảng tính lãi suất tiết kiệm</v>
      </c>
      <c r="GJ68" s="21" t="str">
        <f>IFERROR(__xludf.DUMMYFUNCTION("""COMPUTED_VALUE"""),"https://techcombank.com/thong-tin/blog/vay-ngan-han")</f>
        <v>https://techcombank.com/thong-tin/blog/vay-ngan-han</v>
      </c>
      <c r="GK68" s="17" t="str">
        <f>IFERROR(__xludf.DUMMYFUNCTION("""COMPUTED_VALUE"""),"công cụ tính lãi tiết kiệm")</f>
        <v>công cụ tính lãi tiết kiệm</v>
      </c>
      <c r="GL68" s="21" t="str">
        <f>IFERROR(__xludf.DUMMYFUNCTION("""COMPUTED_VALUE"""),"https://techcombank.com/thong-tin/blog/cho-vay-kinh-doanh-ho-gia-dinh")</f>
        <v>https://techcombank.com/thong-tin/blog/cho-vay-kinh-doanh-ho-gia-dinh</v>
      </c>
      <c r="GM68" s="17" t="str">
        <f>IFERROR(__xludf.DUMMYFUNCTION("""COMPUTED_VALUE"""),"bảng tính lãi suất tiết kiệm")</f>
        <v>bảng tính lãi suất tiết kiệm</v>
      </c>
      <c r="GN68" s="21" t="str">
        <f>IFERROR(__xludf.DUMMYFUNCTION("""COMPUTED_VALUE"""),"https://techcombank.com/thong-tin/blog/vay-von-doanh-nghiep-nho")</f>
        <v>https://techcombank.com/thong-tin/blog/vay-von-doanh-nghiep-nho</v>
      </c>
      <c r="GO68" s="17" t="str">
        <f>IFERROR(__xludf.DUMMYFUNCTION("""COMPUTED_VALUE"""),"công cụ tính lãi tiết kiệm")</f>
        <v>công cụ tính lãi tiết kiệm</v>
      </c>
      <c r="GP68" s="21" t="str">
        <f>IFERROR(__xludf.DUMMYFUNCTION("""COMPUTED_VALUE"""),"https://techcombank.com/thong-tin/blog/vay-mua-chung-cu")</f>
        <v>https://techcombank.com/thong-tin/blog/vay-mua-chung-cu</v>
      </c>
      <c r="GQ68" s="17" t="str">
        <f>IFERROR(__xludf.DUMMYFUNCTION("""COMPUTED_VALUE"""),"bảng tính lãi suất tiết kiệm")</f>
        <v>bảng tính lãi suất tiết kiệm</v>
      </c>
      <c r="GR68" s="21" t="str">
        <f>IFERROR(__xludf.DUMMYFUNCTION("""COMPUTED_VALUE"""),"https://techcombank.com/thong-tin/blog/vay-15-trieu")</f>
        <v>https://techcombank.com/thong-tin/blog/vay-15-trieu</v>
      </c>
      <c r="GS68" s="17" t="str">
        <f>IFERROR(__xludf.DUMMYFUNCTION("""COMPUTED_VALUE"""),"công cụ tính lãi tiết kiệm")</f>
        <v>công cụ tính lãi tiết kiệm</v>
      </c>
      <c r="GT68" s="21" t="str">
        <f>IFERROR(__xludf.DUMMYFUNCTION("""COMPUTED_VALUE"""),"https://techcombank.com/thong-tin/blog/vay-50-trieu")</f>
        <v>https://techcombank.com/thong-tin/blog/vay-50-trieu</v>
      </c>
      <c r="GU68" s="17" t="str">
        <f>IFERROR(__xludf.DUMMYFUNCTION("""COMPUTED_VALUE"""),"bảng tính lãi suất tiết kiệm")</f>
        <v>bảng tính lãi suất tiết kiệm</v>
      </c>
      <c r="GV68" s="21" t="str">
        <f>IFERROR(__xludf.DUMMYFUNCTION("""COMPUTED_VALUE"""),"https://techcombank.com/thong-tin/blog/lai-suat-qua-han")</f>
        <v>https://techcombank.com/thong-tin/blog/lai-suat-qua-han</v>
      </c>
      <c r="GW68" s="17" t="str">
        <f>IFERROR(__xludf.DUMMYFUNCTION("""COMPUTED_VALUE"""),"công cụ tính lãi tiết kiệm")</f>
        <v>công cụ tính lãi tiết kiệm</v>
      </c>
      <c r="GX68" s="21" t="str">
        <f>IFERROR(__xludf.DUMMYFUNCTION("""COMPUTED_VALUE"""),"https://techcombank.com/thong-tin/blog/nen-vay-tin-chap-o-dau")</f>
        <v>https://techcombank.com/thong-tin/blog/nen-vay-tin-chap-o-dau</v>
      </c>
      <c r="GY68" s="17" t="str">
        <f>IFERROR(__xludf.DUMMYFUNCTION("""COMPUTED_VALUE"""),"bảng tính lãi suất tiết kiệm")</f>
        <v>bảng tính lãi suất tiết kiệm</v>
      </c>
      <c r="GZ68" s="21" t="str">
        <f>IFERROR(__xludf.DUMMYFUNCTION("""COMPUTED_VALUE"""),"https://techcombank.com/thong-tin/blog/diem-tin-dung")</f>
        <v>https://techcombank.com/thong-tin/blog/diem-tin-dung</v>
      </c>
      <c r="HA68" s="17" t="str">
        <f>IFERROR(__xludf.DUMMYFUNCTION("""COMPUTED_VALUE"""),"công cụ tính lãi tiết kiệm")</f>
        <v>công cụ tính lãi tiết kiệm</v>
      </c>
      <c r="HB68" s="21" t="str">
        <f>IFERROR(__xludf.DUMMYFUNCTION("""COMPUTED_VALUE"""),"https://techcombank.com/thong-tin/blog/kinh-nghiem-vay-the-chap-ngan-hang")</f>
        <v>https://techcombank.com/thong-tin/blog/kinh-nghiem-vay-the-chap-ngan-hang</v>
      </c>
      <c r="HC68" s="17" t="str">
        <f>IFERROR(__xludf.DUMMYFUNCTION("""COMPUTED_VALUE"""),"bảng tính lãi suất tiết kiệm")</f>
        <v>bảng tính lãi suất tiết kiệm</v>
      </c>
      <c r="HD68" s="21" t="str">
        <f>IFERROR(__xludf.DUMMYFUNCTION("""COMPUTED_VALUE"""),"https://techcombank.com/thong-tin/blog/cho-vay-tieu-dung-la-gi")</f>
        <v>https://techcombank.com/thong-tin/blog/cho-vay-tieu-dung-la-gi</v>
      </c>
      <c r="HE68" s="17"/>
      <c r="HF68" s="17"/>
      <c r="HG68" s="17"/>
      <c r="HH68" s="17"/>
      <c r="HI68" s="17"/>
      <c r="HJ68" s="17"/>
      <c r="HK68" s="17"/>
      <c r="HL68" s="17"/>
      <c r="HM68" s="17"/>
      <c r="HN68" s="17"/>
      <c r="HO68" s="17"/>
      <c r="HP68" s="17"/>
      <c r="HQ68" s="17"/>
      <c r="HR68" s="17"/>
      <c r="HS68" s="17"/>
      <c r="HT68" s="17"/>
      <c r="HU68" s="17"/>
      <c r="HV68" s="17"/>
      <c r="HW68" s="17"/>
      <c r="HX68" s="17"/>
      <c r="HY68" s="17"/>
      <c r="HZ68" s="17"/>
      <c r="IA68" s="17"/>
      <c r="IB68" s="17"/>
      <c r="IC68" s="17"/>
      <c r="ID68" s="17"/>
      <c r="IE68" s="17"/>
      <c r="IF68" s="17"/>
      <c r="IG68" s="17"/>
      <c r="IH68" s="17"/>
      <c r="II68" s="17"/>
      <c r="IJ68" s="17"/>
      <c r="IK68" s="17"/>
      <c r="IL68" s="17"/>
      <c r="IM68" s="17"/>
      <c r="IN68" s="17"/>
      <c r="IO68" s="17"/>
      <c r="IP68" s="17"/>
      <c r="IQ68" s="17"/>
      <c r="IR68" s="17"/>
      <c r="IS68" s="17"/>
      <c r="IT68" s="17"/>
      <c r="IU68" s="17"/>
      <c r="IV68" s="17"/>
      <c r="IW68" s="17"/>
      <c r="IX68" s="17"/>
      <c r="IY68" s="17"/>
      <c r="IZ68" s="17"/>
      <c r="JA68" s="17"/>
      <c r="JB68" s="17"/>
      <c r="JC68" s="17"/>
      <c r="JD68" s="17"/>
      <c r="JE68" s="17"/>
      <c r="JF68" s="17"/>
      <c r="JG68" s="17"/>
      <c r="JH68" s="17"/>
      <c r="JI68" s="17"/>
      <c r="JJ68" s="17"/>
      <c r="JK68" s="17"/>
      <c r="JL68" s="17"/>
      <c r="JM68" s="17"/>
      <c r="JN68" s="17"/>
      <c r="JO68" s="17"/>
      <c r="JP68" s="17"/>
      <c r="JQ68" s="17"/>
      <c r="JR68" s="17"/>
      <c r="JS68" s="17"/>
      <c r="JT68" s="17"/>
      <c r="JU68" s="17"/>
      <c r="JV68" s="17"/>
      <c r="JW68" s="17"/>
      <c r="JX68" s="17"/>
      <c r="JY68" s="17"/>
      <c r="JZ68" s="17"/>
      <c r="KA68" s="17"/>
      <c r="KB68" s="17"/>
      <c r="KC68" s="17"/>
      <c r="KD68" s="17"/>
      <c r="KE68" s="17"/>
      <c r="KF68" s="17"/>
      <c r="KG68" s="17"/>
      <c r="KH68" s="17"/>
      <c r="KI68" s="17"/>
      <c r="KJ68" s="17"/>
      <c r="KK68" s="17"/>
      <c r="KL68" s="17"/>
      <c r="KM68" s="17"/>
      <c r="KN68" s="17"/>
      <c r="KO68" s="17"/>
      <c r="KP68" s="17"/>
      <c r="KQ68" s="17"/>
      <c r="KR68" s="17"/>
      <c r="KS68" s="17"/>
      <c r="KT68" s="17"/>
      <c r="KU68" s="17"/>
      <c r="KV68" s="17"/>
      <c r="KW68" s="17"/>
      <c r="KX68" s="17"/>
      <c r="KY68" s="17"/>
      <c r="KZ68" s="17"/>
      <c r="LA68" s="17"/>
      <c r="LB68" s="17"/>
      <c r="LC68" s="17"/>
      <c r="LD68" s="17"/>
      <c r="LE68" s="17"/>
      <c r="LF68" s="17"/>
      <c r="LG68" s="17"/>
      <c r="LH68" s="17"/>
      <c r="LI68" s="17"/>
      <c r="LJ68" s="17"/>
      <c r="LK68" s="17"/>
      <c r="LL68" s="17"/>
      <c r="LM68" s="17"/>
      <c r="LN68" s="17"/>
      <c r="LO68" s="17"/>
      <c r="LP68" s="17"/>
      <c r="LQ68" s="17"/>
      <c r="LR68" s="17"/>
      <c r="LS68" s="17"/>
      <c r="LT68" s="17"/>
      <c r="LU68" s="17"/>
      <c r="LV68" s="17"/>
      <c r="LW68" s="17"/>
      <c r="LX68" s="17"/>
      <c r="LY68" s="17"/>
      <c r="LZ68" s="17"/>
      <c r="MA68" s="17"/>
      <c r="MB68" s="17"/>
      <c r="MC68" s="17"/>
      <c r="MD68" s="17"/>
      <c r="ME68" s="17"/>
      <c r="MF68" s="17"/>
      <c r="MG68" s="17"/>
      <c r="MH68" s="17"/>
      <c r="MI68" s="17"/>
      <c r="MJ68" s="17"/>
      <c r="MK68" s="17"/>
      <c r="ML68" s="17"/>
      <c r="MM68" s="17"/>
      <c r="MN68" s="17"/>
      <c r="MO68" s="17"/>
      <c r="MP68" s="17"/>
      <c r="MQ68" s="17"/>
      <c r="MR68" s="17"/>
      <c r="MS68" s="17"/>
      <c r="MT68" s="17"/>
      <c r="MU68" s="17"/>
      <c r="MV68" s="17"/>
      <c r="MW68" s="17"/>
      <c r="MX68" s="17"/>
      <c r="MY68" s="17"/>
      <c r="MZ68" s="17"/>
      <c r="NA68" s="17"/>
      <c r="NB68" s="17"/>
      <c r="NC68" s="17"/>
      <c r="ND68" s="17"/>
      <c r="NE68" s="17"/>
      <c r="NF68" s="17"/>
      <c r="NG68" s="17"/>
      <c r="NH68" s="17"/>
      <c r="NI68" s="17"/>
      <c r="NJ68" s="17"/>
      <c r="NK68" s="17"/>
      <c r="NL68" s="17"/>
      <c r="NM68" s="17"/>
      <c r="NN68" s="17"/>
      <c r="NO68" s="17"/>
      <c r="NP68" s="17"/>
      <c r="NQ68" s="17"/>
      <c r="NR68" s="17"/>
      <c r="NS68" s="17"/>
      <c r="NT68" s="17"/>
      <c r="NU68" s="17"/>
      <c r="NV68" s="17"/>
      <c r="NW68" s="17"/>
      <c r="NX68" s="17"/>
      <c r="NY68" s="17"/>
      <c r="NZ68" s="17"/>
      <c r="OA68" s="17"/>
      <c r="OB68" s="17"/>
      <c r="OC68" s="17"/>
      <c r="OD68" s="17"/>
      <c r="OE68" s="17"/>
      <c r="OF68" s="17"/>
      <c r="OG68" s="17"/>
      <c r="OH68" s="17"/>
      <c r="OI68" s="17"/>
      <c r="OJ68" s="17"/>
      <c r="OK68" s="17"/>
      <c r="OL68" s="17"/>
      <c r="OM68" s="17"/>
      <c r="ON68" s="17"/>
      <c r="OO68" s="17"/>
      <c r="OP68" s="17"/>
      <c r="OQ68" s="17"/>
      <c r="OR68" s="17"/>
      <c r="OS68" s="17"/>
      <c r="OT68" s="17"/>
      <c r="OU68" s="17"/>
      <c r="OV68" s="17"/>
    </row>
    <row r="69" ht="18.0" customHeight="1">
      <c r="A69" s="16">
        <v>68.0</v>
      </c>
      <c r="B69" s="17" t="s">
        <v>1842</v>
      </c>
      <c r="C69" s="18" t="s">
        <v>804</v>
      </c>
      <c r="D69" s="17" t="s">
        <v>607</v>
      </c>
      <c r="E69" s="16">
        <v>200.0</v>
      </c>
      <c r="F69" s="16">
        <f>COUNTIF('Tổng hợp 75 trang đích'!$B$2:$B$3400,$D69)</f>
        <v>193</v>
      </c>
      <c r="G69" s="16">
        <f>COUNTIFS('Tổng hợp 75 trang đích'!$B$2:$B$3400,$D69,'Tổng hợp 75 trang đích'!$K$2:$K$3400,"PHÙ HỢP CAO")</f>
        <v>4</v>
      </c>
      <c r="H69" s="16">
        <f>COUNTIFS('Tổng hợp 75 trang đích'!$B$2:$B$3400,$D69,'Tổng hợp 75 trang đích'!$K$2:$K$3400,"CÓ THỂ ĐI")</f>
        <v>1</v>
      </c>
      <c r="I69" s="16">
        <f>COUNTIFS('Tổng hợp 75 trang đích'!$B$2:$B$3400,$D69,'Tổng hợp 75 trang đích'!$K$2:$K$3400,"CẦN SOÁT")</f>
        <v>188</v>
      </c>
      <c r="J69" s="19" t="s">
        <v>555</v>
      </c>
      <c r="K69" s="19" t="b">
        <v>0</v>
      </c>
      <c r="L69" s="30" t="s">
        <v>2755</v>
      </c>
      <c r="M69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đích'!$B$2:$B$3400=$D69),3,TR"&amp;"UE),1,2)),"""")"),"vay nhanh")</f>
        <v>vay nhanh</v>
      </c>
      <c r="N69" s="21" t="str">
        <f>IFERROR(__xludf.DUMMYFUNCTION("""COMPUTED_VALUE"""),"https://techcombank.com/thong-tin/blog/vay-tien-online")</f>
        <v>https://techcombank.com/thong-tin/blog/vay-tien-online</v>
      </c>
      <c r="O69" s="17" t="str">
        <f>IFERROR(__xludf.DUMMYFUNCTION("""COMPUTED_VALUE"""),"vay")</f>
        <v>vay</v>
      </c>
      <c r="P69" s="21" t="str">
        <f>IFERROR(__xludf.DUMMYFUNCTION("""COMPUTED_VALUE"""),"https://techcombank.com/thong-tin/blog/vay-ngan-hang-chi-can-cccd")</f>
        <v>https://techcombank.com/thong-tin/blog/vay-ngan-hang-chi-can-cccd</v>
      </c>
      <c r="Q69" s="17" t="str">
        <f>IFERROR(__xludf.DUMMYFUNCTION("""COMPUTED_VALUE"""),"vay tiền")</f>
        <v>vay tiền</v>
      </c>
      <c r="R69" s="21" t="str">
        <f>IFERROR(__xludf.DUMMYFUNCTION("""COMPUTED_VALUE"""),"https://techcombank.com/thong-tin/blog/vay-30-trieu")</f>
        <v>https://techcombank.com/thong-tin/blog/vay-30-trieu</v>
      </c>
      <c r="S69" s="17" t="str">
        <f>IFERROR(__xludf.DUMMYFUNCTION("""COMPUTED_VALUE"""),"vay tiền online chuyển khoản ngay")</f>
        <v>vay tiền online chuyển khoản ngay</v>
      </c>
      <c r="T69" s="21" t="str">
        <f>IFERROR(__xludf.DUMMYFUNCTION("""COMPUTED_VALUE"""),"https://techcombank.com/thong-tin/blog/vay-50-trieu")</f>
        <v>https://techcombank.com/thong-tin/blog/vay-50-trieu</v>
      </c>
      <c r="U69" s="17" t="str">
        <f>IFERROR(__xludf.DUMMYFUNCTION("""COMPUTED_VALUE"""),"app vay")</f>
        <v>app vay</v>
      </c>
      <c r="V69" s="21" t="str">
        <f>IFERROR(__xludf.DUMMYFUNCTION("""COMPUTED_VALUE"""),"https://techcombank.com/thong-tin/blog/vay-sieu-toc")</f>
        <v>https://techcombank.com/thong-tin/blog/vay-sieu-toc</v>
      </c>
      <c r="W69" s="17" t="str">
        <f>IFERROR(__xludf.DUMMYFUNCTION("""COMPUTED_VALUE"""),"vay tiền app")</f>
        <v>vay tiền app</v>
      </c>
      <c r="X69" s="21" t="str">
        <f>IFERROR(__xludf.DUMMYFUNCTION("""COMPUTED_VALUE"""),"https://techcombank.com/thong-tin/blog/vay-kinh-doanh-online")</f>
        <v>https://techcombank.com/thong-tin/blog/vay-kinh-doanh-online</v>
      </c>
      <c r="Y69" s="17" t="str">
        <f>IFERROR(__xludf.DUMMYFUNCTION("""COMPUTED_VALUE"""),"app vay tiền")</f>
        <v>app vay tiền</v>
      </c>
      <c r="Z69" s="21" t="str">
        <f>IFERROR(__xludf.DUMMYFUNCTION("""COMPUTED_VALUE"""),"https://techcombank.com/thong-tin/blog/vay-the-chap-qua-luong")</f>
        <v>https://techcombank.com/thong-tin/blog/vay-the-chap-qua-luong</v>
      </c>
      <c r="AA69" s="17" t="str">
        <f>IFERROR(__xludf.DUMMYFUNCTION("""COMPUTED_VALUE"""),"app vay nhanh")</f>
        <v>app vay nhanh</v>
      </c>
      <c r="AB69" s="21" t="str">
        <f>IFERROR(__xludf.DUMMYFUNCTION("""COMPUTED_VALUE"""),"https://techcombank.com/thong-tin/blog/vay-tien-mat")</f>
        <v>https://techcombank.com/thong-tin/blog/vay-tien-mat</v>
      </c>
      <c r="AC69" s="17" t="str">
        <f>IFERROR(__xludf.DUMMYFUNCTION("""COMPUTED_VALUE"""),"app vay tiền nhanh")</f>
        <v>app vay tiền nhanh</v>
      </c>
      <c r="AD69" s="21" t="str">
        <f>IFERROR(__xludf.DUMMYFUNCTION("""COMPUTED_VALUE"""),"https://techcombank.com/thong-tin/blog/vay-tin-chap-toi-da-duoc-bao-nhieu")</f>
        <v>https://techcombank.com/thong-tin/blog/vay-tin-chap-toi-da-duoc-bao-nhieu</v>
      </c>
      <c r="AE69" s="17" t="str">
        <f>IFERROR(__xludf.DUMMYFUNCTION("""COMPUTED_VALUE"""),"vay nhanh")</f>
        <v>vay nhanh</v>
      </c>
      <c r="AF69" s="21" t="str">
        <f>IFERROR(__xludf.DUMMYFUNCTION("""COMPUTED_VALUE"""),"https://techcombank.com/thong-tin/blog/kinh-nghiem-vay-tien-ngan-hang-xay-nha")</f>
        <v>https://techcombank.com/thong-tin/blog/kinh-nghiem-vay-tien-ngan-hang-xay-nha</v>
      </c>
      <c r="AG69" s="17" t="str">
        <f>IFERROR(__xludf.DUMMYFUNCTION("""COMPUTED_VALUE"""),"vay")</f>
        <v>vay</v>
      </c>
      <c r="AH69" s="21" t="str">
        <f>IFERROR(__xludf.DUMMYFUNCTION("""COMPUTED_VALUE"""),"https://techcombank.com/thong-tin/blog/lai-suat-vay-ngan-hang")</f>
        <v>https://techcombank.com/thong-tin/blog/lai-suat-vay-ngan-hang</v>
      </c>
      <c r="AI69" s="17" t="str">
        <f>IFERROR(__xludf.DUMMYFUNCTION("""COMPUTED_VALUE"""),"vay tiền")</f>
        <v>vay tiền</v>
      </c>
      <c r="AJ69" s="21" t="str">
        <f>IFERROR(__xludf.DUMMYFUNCTION("""COMPUTED_VALUE"""),"https://techcombank.com/thong-tin/blog/dang-vay-tra-gop-co-vay-them-duoc-khong")</f>
        <v>https://techcombank.com/thong-tin/blog/dang-vay-tra-gop-co-vay-them-duoc-khong</v>
      </c>
      <c r="AK69" s="17" t="str">
        <f>IFERROR(__xludf.DUMMYFUNCTION("""COMPUTED_VALUE"""),"vay tiền online chuyển khoản ngay")</f>
        <v>vay tiền online chuyển khoản ngay</v>
      </c>
      <c r="AL69" s="21" t="str">
        <f>IFERROR(__xludf.DUMMYFUNCTION("""COMPUTED_VALUE"""),"https://techcombank.com/thong-tin/blog/vay-tra-gop")</f>
        <v>https://techcombank.com/thong-tin/blog/vay-tra-gop</v>
      </c>
      <c r="AM69" s="17" t="str">
        <f>IFERROR(__xludf.DUMMYFUNCTION("""COMPUTED_VALUE"""),"app vay")</f>
        <v>app vay</v>
      </c>
      <c r="AN69" s="21" t="str">
        <f>IFERROR(__xludf.DUMMYFUNCTION("""COMPUTED_VALUE"""),"https://techcombank.com/thong-tin/blog/quy-trinh-cho-vay-tieu-dung")</f>
        <v>https://techcombank.com/thong-tin/blog/quy-trinh-cho-vay-tieu-dung</v>
      </c>
      <c r="AO69" s="17" t="str">
        <f>IFERROR(__xludf.DUMMYFUNCTION("""COMPUTED_VALUE"""),"vay tiền app")</f>
        <v>vay tiền app</v>
      </c>
      <c r="AP69" s="21" t="str">
        <f>IFERROR(__xludf.DUMMYFUNCTION("""COMPUTED_VALUE"""),"https://techcombank.com/thong-tin/blog/kinh-nghiem-vay-tien-mua-nha")</f>
        <v>https://techcombank.com/thong-tin/blog/kinh-nghiem-vay-tien-mua-nha</v>
      </c>
      <c r="AQ69" s="17" t="str">
        <f>IFERROR(__xludf.DUMMYFUNCTION("""COMPUTED_VALUE"""),"app vay tiền")</f>
        <v>app vay tiền</v>
      </c>
      <c r="AR69" s="21" t="str">
        <f>IFERROR(__xludf.DUMMYFUNCTION("""COMPUTED_VALUE"""),"https://techcombank.com/thong-tin/blog/vay-the-chap-hop-dong-mua-ban-can-ho")</f>
        <v>https://techcombank.com/thong-tin/blog/vay-the-chap-hop-dong-mua-ban-can-ho</v>
      </c>
      <c r="AS69" s="17" t="str">
        <f>IFERROR(__xludf.DUMMYFUNCTION("""COMPUTED_VALUE"""),"app vay nhanh")</f>
        <v>app vay nhanh</v>
      </c>
      <c r="AT69" s="21" t="str">
        <f>IFERROR(__xludf.DUMMYFUNCTION("""COMPUTED_VALUE"""),"https://techcombank.com/thong-tin/blog/vay-du-hoc")</f>
        <v>https://techcombank.com/thong-tin/blog/vay-du-hoc</v>
      </c>
      <c r="AU69" s="17" t="str">
        <f>IFERROR(__xludf.DUMMYFUNCTION("""COMPUTED_VALUE"""),"app vay tiền nhanh")</f>
        <v>app vay tiền nhanh</v>
      </c>
      <c r="AV69" s="21" t="str">
        <f>IFERROR(__xludf.DUMMYFUNCTION("""COMPUTED_VALUE"""),"https://techcombank.com/thong-tin/blog/nen-mua-xe-tra-gop-hay-tra-thang")</f>
        <v>https://techcombank.com/thong-tin/blog/nen-mua-xe-tra-gop-hay-tra-thang</v>
      </c>
      <c r="AW69" s="17" t="str">
        <f>IFERROR(__xludf.DUMMYFUNCTION("""COMPUTED_VALUE"""),"vay nhanh")</f>
        <v>vay nhanh</v>
      </c>
      <c r="AX69" s="21" t="str">
        <f>IFERROR(__xludf.DUMMYFUNCTION("""COMPUTED_VALUE"""),"https://techcombank.com/thong-tin/blog/lai-suat-vay-mua-o-to")</f>
        <v>https://techcombank.com/thong-tin/blog/lai-suat-vay-mua-o-to</v>
      </c>
      <c r="AY69" s="17" t="str">
        <f>IFERROR(__xludf.DUMMYFUNCTION("""COMPUTED_VALUE"""),"vay")</f>
        <v>vay</v>
      </c>
      <c r="AZ69" s="21" t="str">
        <f>IFERROR(__xludf.DUMMYFUNCTION("""COMPUTED_VALUE"""),"https://techcombank.com/thong-tin/blog/tin-chap-doanh-nghiep")</f>
        <v>https://techcombank.com/thong-tin/blog/tin-chap-doanh-nghiep</v>
      </c>
      <c r="BA69" s="17" t="str">
        <f>IFERROR(__xludf.DUMMYFUNCTION("""COMPUTED_VALUE"""),"vay tiền")</f>
        <v>vay tiền</v>
      </c>
      <c r="BB69" s="21" t="str">
        <f>IFERROR(__xludf.DUMMYFUNCTION("""COMPUTED_VALUE"""),"https://techcombank.com/thong-tin/blog/vay-mua-nha-o-xa-hoi")</f>
        <v>https://techcombank.com/thong-tin/blog/vay-mua-nha-o-xa-hoi</v>
      </c>
      <c r="BC69" s="17" t="str">
        <f>IFERROR(__xludf.DUMMYFUNCTION("""COMPUTED_VALUE"""),"vay tiền online chuyển khoản ngay")</f>
        <v>vay tiền online chuyển khoản ngay</v>
      </c>
      <c r="BD69" s="21" t="str">
        <f>IFERROR(__xludf.DUMMYFUNCTION("""COMPUTED_VALUE"""),"https://techcombank.com/thong-tin/blog/vay-the-chap-xe-o-to-cu")</f>
        <v>https://techcombank.com/thong-tin/blog/vay-the-chap-xe-o-to-cu</v>
      </c>
      <c r="BE69" s="17" t="str">
        <f>IFERROR(__xludf.DUMMYFUNCTION("""COMPUTED_VALUE"""),"app vay")</f>
        <v>app vay</v>
      </c>
      <c r="BF69" s="21" t="str">
        <f>IFERROR(__xludf.DUMMYFUNCTION("""COMPUTED_VALUE"""),"https://techcombank.com/thong-tin/blog/cach-tinh-lai-vay-ngan-hang")</f>
        <v>https://techcombank.com/thong-tin/blog/cach-tinh-lai-vay-ngan-hang</v>
      </c>
      <c r="BG69" s="17" t="str">
        <f>IFERROR(__xludf.DUMMYFUNCTION("""COMPUTED_VALUE"""),"vay tiền app")</f>
        <v>vay tiền app</v>
      </c>
      <c r="BH69" s="21" t="str">
        <f>IFERROR(__xludf.DUMMYFUNCTION("""COMPUTED_VALUE"""),"https://techcombank.com/thong-tin/blog/vay-san-xuat-kinh-doanh")</f>
        <v>https://techcombank.com/thong-tin/blog/vay-san-xuat-kinh-doanh</v>
      </c>
      <c r="BI69" s="17" t="str">
        <f>IFERROR(__xludf.DUMMYFUNCTION("""COMPUTED_VALUE"""),"app vay tiền")</f>
        <v>app vay tiền</v>
      </c>
      <c r="BJ69" s="21" t="str">
        <f>IFERROR(__xludf.DUMMYFUNCTION("""COMPUTED_VALUE"""),"https://techcombank.com/thong-tin/blog/lai-suat-vay-tin-chap")</f>
        <v>https://techcombank.com/thong-tin/blog/lai-suat-vay-tin-chap</v>
      </c>
      <c r="BK69" s="17" t="str">
        <f>IFERROR(__xludf.DUMMYFUNCTION("""COMPUTED_VALUE"""),"app vay nhanh")</f>
        <v>app vay nhanh</v>
      </c>
      <c r="BL69" s="21" t="str">
        <f>IFERROR(__xludf.DUMMYFUNCTION("""COMPUTED_VALUE"""),"https://techcombank.com/thong-tin/blog/cac-hinh-thuc-vay-von-ngan-hang")</f>
        <v>https://techcombank.com/thong-tin/blog/cac-hinh-thuc-vay-von-ngan-hang</v>
      </c>
      <c r="BM69" s="17" t="str">
        <f>IFERROR(__xludf.DUMMYFUNCTION("""COMPUTED_VALUE"""),"app vay tiền nhanh")</f>
        <v>app vay tiền nhanh</v>
      </c>
      <c r="BN69" s="21" t="str">
        <f>IFERROR(__xludf.DUMMYFUNCTION("""COMPUTED_VALUE"""),"https://techcombank.com/thong-tin/blog/vay-tin-chap-va-vay-the-chap")</f>
        <v>https://techcombank.com/thong-tin/blog/vay-tin-chap-va-vay-the-chap</v>
      </c>
      <c r="BO69" s="17" t="str">
        <f>IFERROR(__xludf.DUMMYFUNCTION("""COMPUTED_VALUE"""),"vay nhanh")</f>
        <v>vay nhanh</v>
      </c>
      <c r="BP69" s="21" t="str">
        <f>IFERROR(__xludf.DUMMYFUNCTION("""COMPUTED_VALUE"""),"https://techcombank.com/thong-tin/blog/lai-suat-vay-the-chap-so-do")</f>
        <v>https://techcombank.com/thong-tin/blog/lai-suat-vay-the-chap-so-do</v>
      </c>
      <c r="BQ69" s="17" t="str">
        <f>IFERROR(__xludf.DUMMYFUNCTION("""COMPUTED_VALUE"""),"vay")</f>
        <v>vay</v>
      </c>
      <c r="BR69" s="21" t="str">
        <f>IFERROR(__xludf.DUMMYFUNCTION("""COMPUTED_VALUE"""),"https://techcombank.com/thong-tin/blog/co-100-trieu-co-mua-nen-mua-tra-gop")</f>
        <v>https://techcombank.com/thong-tin/blog/co-100-trieu-co-mua-nen-mua-tra-gop</v>
      </c>
      <c r="BS69" s="17" t="str">
        <f>IFERROR(__xludf.DUMMYFUNCTION("""COMPUTED_VALUE"""),"vay tiền")</f>
        <v>vay tiền</v>
      </c>
      <c r="BT69" s="21" t="str">
        <f>IFERROR(__xludf.DUMMYFUNCTION("""COMPUTED_VALUE"""),"https://techcombank.com/thong-tin/blog/mua-nha-tra-gop-dua-truoc-100-trieu")</f>
        <v>https://techcombank.com/thong-tin/blog/mua-nha-tra-gop-dua-truoc-100-trieu</v>
      </c>
      <c r="BU69" s="17" t="str">
        <f>IFERROR(__xludf.DUMMYFUNCTION("""COMPUTED_VALUE"""),"vay tiền online chuyển khoản ngay")</f>
        <v>vay tiền online chuyển khoản ngay</v>
      </c>
      <c r="BV69" s="21" t="str">
        <f>IFERROR(__xludf.DUMMYFUNCTION("""COMPUTED_VALUE"""),"https://techcombank.com/thong-tin/blog/vay-200-trieu")</f>
        <v>https://techcombank.com/thong-tin/blog/vay-200-trieu</v>
      </c>
      <c r="BW69" s="17" t="str">
        <f>IFERROR(__xludf.DUMMYFUNCTION("""COMPUTED_VALUE"""),"app vay")</f>
        <v>app vay</v>
      </c>
      <c r="BX69" s="21" t="str">
        <f>IFERROR(__xludf.DUMMYFUNCTION("""COMPUTED_VALUE"""),"https://techcombank.com/thong-tin/blog/bao-hiem-vat-chat-xe-o-to")</f>
        <v>https://techcombank.com/thong-tin/blog/bao-hiem-vat-chat-xe-o-to</v>
      </c>
      <c r="BY69" s="17" t="str">
        <f>IFERROR(__xludf.DUMMYFUNCTION("""COMPUTED_VALUE"""),"vay tiền app")</f>
        <v>vay tiền app</v>
      </c>
      <c r="BZ69" s="21" t="str">
        <f>IFERROR(__xludf.DUMMYFUNCTION("""COMPUTED_VALUE"""),"https://techcombank.com/thong-tin/blog/vay-300-trieu")</f>
        <v>https://techcombank.com/thong-tin/blog/vay-300-trieu</v>
      </c>
      <c r="CA69" s="17" t="str">
        <f>IFERROR(__xludf.DUMMYFUNCTION("""COMPUTED_VALUE"""),"app vay tiền")</f>
        <v>app vay tiền</v>
      </c>
      <c r="CB69" s="21" t="str">
        <f>IFERROR(__xludf.DUMMYFUNCTION("""COMPUTED_VALUE"""),"https://techcombank.com/thong-tin/blog/nen-vay-tin-chap-o-dau")</f>
        <v>https://techcombank.com/thong-tin/blog/nen-vay-tin-chap-o-dau</v>
      </c>
      <c r="CC69" s="17" t="str">
        <f>IFERROR(__xludf.DUMMYFUNCTION("""COMPUTED_VALUE"""),"app vay nhanh")</f>
        <v>app vay nhanh</v>
      </c>
      <c r="CD69" s="21" t="str">
        <f>IFERROR(__xludf.DUMMYFUNCTION("""COMPUTED_VALUE"""),"https://techcombank.com/thong-tin/blog/kiem-tra-no-xau")</f>
        <v>https://techcombank.com/thong-tin/blog/kiem-tra-no-xau</v>
      </c>
      <c r="CE69" s="17" t="str">
        <f>IFERROR(__xludf.DUMMYFUNCTION("""COMPUTED_VALUE"""),"app vay tiền nhanh")</f>
        <v>app vay tiền nhanh</v>
      </c>
      <c r="CF69" s="21" t="str">
        <f>IFERROR(__xludf.DUMMYFUNCTION("""COMPUTED_VALUE"""),"https://techcombank.com/thong-tin/blog/quy-trinh-tat-toan-khoan-vay-the-chap")</f>
        <v>https://techcombank.com/thong-tin/blog/quy-trinh-tat-toan-khoan-vay-the-chap</v>
      </c>
      <c r="CG69" s="17" t="str">
        <f>IFERROR(__xludf.DUMMYFUNCTION("""COMPUTED_VALUE"""),"vay nhanh")</f>
        <v>vay nhanh</v>
      </c>
      <c r="CH69" s="21" t="str">
        <f>IFERROR(__xludf.DUMMYFUNCTION("""COMPUTED_VALUE"""),"https://techcombank.com/thong-tin/blog/thu-tuc-mua-xe-tra-gop")</f>
        <v>https://techcombank.com/thong-tin/blog/thu-tuc-mua-xe-tra-gop</v>
      </c>
      <c r="CI69" s="17" t="str">
        <f>IFERROR(__xludf.DUMMYFUNCTION("""COMPUTED_VALUE"""),"vay")</f>
        <v>vay</v>
      </c>
      <c r="CJ69" s="21" t="str">
        <f>IFERROR(__xludf.DUMMYFUNCTION("""COMPUTED_VALUE"""),"https://techcombank.com/thong-tin/blog/vay-the-chap-so-hong")</f>
        <v>https://techcombank.com/thong-tin/blog/vay-the-chap-so-hong</v>
      </c>
      <c r="CK69" s="17" t="str">
        <f>IFERROR(__xludf.DUMMYFUNCTION("""COMPUTED_VALUE"""),"vay tiền")</f>
        <v>vay tiền</v>
      </c>
      <c r="CL69" s="21" t="str">
        <f>IFERROR(__xludf.DUMMYFUNCTION("""COMPUTED_VALUE"""),"https://techcombank.com/thong-tin/blog/vay-mua-xe-tra-gop-ngan-hang-nao-tot-nhat")</f>
        <v>https://techcombank.com/thong-tin/blog/vay-mua-xe-tra-gop-ngan-hang-nao-tot-nhat</v>
      </c>
      <c r="CM69" s="17" t="str">
        <f>IFERROR(__xludf.DUMMYFUNCTION("""COMPUTED_VALUE"""),"vay tiền online chuyển khoản ngay")</f>
        <v>vay tiền online chuyển khoản ngay</v>
      </c>
      <c r="CN69" s="21" t="str">
        <f>IFERROR(__xludf.DUMMYFUNCTION("""COMPUTED_VALUE"""),"https://techcombank.com/thong-tin/blog/lai-suat-vay-thau-chi")</f>
        <v>https://techcombank.com/thong-tin/blog/lai-suat-vay-thau-chi</v>
      </c>
      <c r="CO69" s="17" t="str">
        <f>IFERROR(__xludf.DUMMYFUNCTION("""COMPUTED_VALUE"""),"app vay")</f>
        <v>app vay</v>
      </c>
      <c r="CP69" s="21" t="str">
        <f>IFERROR(__xludf.DUMMYFUNCTION("""COMPUTED_VALUE"""),"https://techcombank.com/thong-tin/blog/vay-100-trieu")</f>
        <v>https://techcombank.com/thong-tin/blog/vay-100-trieu</v>
      </c>
      <c r="CQ69" s="17" t="str">
        <f>IFERROR(__xludf.DUMMYFUNCTION("""COMPUTED_VALUE"""),"vay tiền app")</f>
        <v>vay tiền app</v>
      </c>
      <c r="CR69" s="21" t="str">
        <f>IFERROR(__xludf.DUMMYFUNCTION("""COMPUTED_VALUE"""),"https://techcombank.com/thong-tin/blog/vay-thau-chi-bang-so-tiet-kiem")</f>
        <v>https://techcombank.com/thong-tin/blog/vay-thau-chi-bang-so-tiet-kiem</v>
      </c>
      <c r="CS69" s="17" t="str">
        <f>IFERROR(__xludf.DUMMYFUNCTION("""COMPUTED_VALUE"""),"app vay tiền")</f>
        <v>app vay tiền</v>
      </c>
      <c r="CT69" s="21" t="str">
        <f>IFERROR(__xludf.DUMMYFUNCTION("""COMPUTED_VALUE"""),"https://techcombank.com/thong-tin/blog/lai-suat-vay-the-chap")</f>
        <v>https://techcombank.com/thong-tin/blog/lai-suat-vay-the-chap</v>
      </c>
      <c r="CU69" s="17" t="str">
        <f>IFERROR(__xludf.DUMMYFUNCTION("""COMPUTED_VALUE"""),"app vay nhanh")</f>
        <v>app vay nhanh</v>
      </c>
      <c r="CV69" s="21" t="str">
        <f>IFERROR(__xludf.DUMMYFUNCTION("""COMPUTED_VALUE"""),"https://techcombank.com/thong-tin/blog/vay-the-chap-kinh-doanh")</f>
        <v>https://techcombank.com/thong-tin/blog/vay-the-chap-kinh-doanh</v>
      </c>
      <c r="CW69" s="17" t="str">
        <f>IFERROR(__xludf.DUMMYFUNCTION("""COMPUTED_VALUE"""),"app vay tiền nhanh")</f>
        <v>app vay tiền nhanh</v>
      </c>
      <c r="CX69" s="21" t="str">
        <f>IFERROR(__xludf.DUMMYFUNCTION("""COMPUTED_VALUE"""),"https://techcombank.com/thong-tin/blog/giai-ngan-vay-the-chap")</f>
        <v>https://techcombank.com/thong-tin/blog/giai-ngan-vay-the-chap</v>
      </c>
      <c r="CY69" s="17" t="str">
        <f>IFERROR(__xludf.DUMMYFUNCTION("""COMPUTED_VALUE"""),"vay nhanh")</f>
        <v>vay nhanh</v>
      </c>
      <c r="CZ69" s="21" t="str">
        <f>IFERROR(__xludf.DUMMYFUNCTION("""COMPUTED_VALUE"""),"https://techcombank.com/thong-tin/blog/vay-the-chap-toi-da-duoc-bao-nhieu")</f>
        <v>https://techcombank.com/thong-tin/blog/vay-the-chap-toi-da-duoc-bao-nhieu</v>
      </c>
      <c r="DA69" s="17" t="str">
        <f>IFERROR(__xludf.DUMMYFUNCTION("""COMPUTED_VALUE"""),"vay")</f>
        <v>vay</v>
      </c>
      <c r="DB69" s="21" t="str">
        <f>IFERROR(__xludf.DUMMYFUNCTION("""COMPUTED_VALUE"""),"https://techcombank.com/thong-tin/blog/vay-han-muc-la-gi")</f>
        <v>https://techcombank.com/thong-tin/blog/vay-han-muc-la-gi</v>
      </c>
      <c r="DC69" s="17" t="str">
        <f>IFERROR(__xludf.DUMMYFUNCTION("""COMPUTED_VALUE"""),"vay tiền")</f>
        <v>vay tiền</v>
      </c>
      <c r="DD69" s="21" t="str">
        <f>IFERROR(__xludf.DUMMYFUNCTION("""COMPUTED_VALUE"""),"https://techcombank.com/thong-tin/blog/vay-tin-chap-theo-luong")</f>
        <v>https://techcombank.com/thong-tin/blog/vay-tin-chap-theo-luong</v>
      </c>
      <c r="DE69" s="17" t="str">
        <f>IFERROR(__xludf.DUMMYFUNCTION("""COMPUTED_VALUE"""),"vay tiền online chuyển khoản ngay")</f>
        <v>vay tiền online chuyển khoản ngay</v>
      </c>
      <c r="DF69" s="21" t="str">
        <f>IFERROR(__xludf.DUMMYFUNCTION("""COMPUTED_VALUE"""),"https://techcombank.com/thong-tin/blog/cac-hinh-thuc-cho-vay-tieu-dung")</f>
        <v>https://techcombank.com/thong-tin/blog/cac-hinh-thuc-cho-vay-tieu-dung</v>
      </c>
      <c r="DG69" s="17" t="str">
        <f>IFERROR(__xludf.DUMMYFUNCTION("""COMPUTED_VALUE"""),"app vay")</f>
        <v>app vay</v>
      </c>
      <c r="DH69" s="21" t="str">
        <f>IFERROR(__xludf.DUMMYFUNCTION("""COMPUTED_VALUE"""),"https://techcombank.com/thong-tin/blog/han-muc-thau-chi-la-gi")</f>
        <v>https://techcombank.com/thong-tin/blog/han-muc-thau-chi-la-gi</v>
      </c>
      <c r="DI69" s="17" t="str">
        <f>IFERROR(__xludf.DUMMYFUNCTION("""COMPUTED_VALUE"""),"vay tiền app")</f>
        <v>vay tiền app</v>
      </c>
      <c r="DJ69" s="21" t="str">
        <f>IFERROR(__xludf.DUMMYFUNCTION("""COMPUTED_VALUE"""),"https://techcombank.com/thong-tin/blog/vay-mua-nha-tra-gop")</f>
        <v>https://techcombank.com/thong-tin/blog/vay-mua-nha-tra-gop</v>
      </c>
      <c r="DK69" s="17" t="str">
        <f>IFERROR(__xludf.DUMMYFUNCTION("""COMPUTED_VALUE"""),"app vay tiền")</f>
        <v>app vay tiền</v>
      </c>
      <c r="DL69" s="21" t="str">
        <f>IFERROR(__xludf.DUMMYFUNCTION("""COMPUTED_VALUE"""),"https://techcombank.com/thong-tin/blog/no-xau-nhom-2")</f>
        <v>https://techcombank.com/thong-tin/blog/no-xau-nhom-2</v>
      </c>
      <c r="DM69" s="17" t="str">
        <f>IFERROR(__xludf.DUMMYFUNCTION("""COMPUTED_VALUE"""),"app vay nhanh")</f>
        <v>app vay nhanh</v>
      </c>
      <c r="DN69" s="21" t="str">
        <f>IFERROR(__xludf.DUMMYFUNCTION("""COMPUTED_VALUE"""),"https://techcombank.com/thong-tin/blog/vay-mua-dien-thoai")</f>
        <v>https://techcombank.com/thong-tin/blog/vay-mua-dien-thoai</v>
      </c>
      <c r="DO69" s="17" t="str">
        <f>IFERROR(__xludf.DUMMYFUNCTION("""COMPUTED_VALUE"""),"app vay tiền nhanh")</f>
        <v>app vay tiền nhanh</v>
      </c>
      <c r="DP69" s="21" t="str">
        <f>IFERROR(__xludf.DUMMYFUNCTION("""COMPUTED_VALUE"""),"https://techcombank.com/thong-tin/blog/vay-ngan-han")</f>
        <v>https://techcombank.com/thong-tin/blog/vay-ngan-han</v>
      </c>
      <c r="DQ69" s="17" t="str">
        <f>IFERROR(__xludf.DUMMYFUNCTION("""COMPUTED_VALUE"""),"vay nhanh")</f>
        <v>vay nhanh</v>
      </c>
      <c r="DR69" s="21" t="str">
        <f>IFERROR(__xludf.DUMMYFUNCTION("""COMPUTED_VALUE"""),"https://techcombank.com/thong-tin/blog/cho-vay-kinh-doanh-ho-gia-dinh")</f>
        <v>https://techcombank.com/thong-tin/blog/cho-vay-kinh-doanh-ho-gia-dinh</v>
      </c>
      <c r="DS69" s="17" t="str">
        <f>IFERROR(__xludf.DUMMYFUNCTION("""COMPUTED_VALUE"""),"vay")</f>
        <v>vay</v>
      </c>
      <c r="DT69" s="21" t="str">
        <f>IFERROR(__xludf.DUMMYFUNCTION("""COMPUTED_VALUE"""),"https://techcombank.com/thong-tin/blog/vay-von-doanh-nghiep-nho")</f>
        <v>https://techcombank.com/thong-tin/blog/vay-von-doanh-nghiep-nho</v>
      </c>
      <c r="DU69" s="17" t="str">
        <f>IFERROR(__xludf.DUMMYFUNCTION("""COMPUTED_VALUE"""),"vay tiền")</f>
        <v>vay tiền</v>
      </c>
      <c r="DV69" s="21" t="str">
        <f>IFERROR(__xludf.DUMMYFUNCTION("""COMPUTED_VALUE"""),"https://techcombank.com/thong-tin/blog/no-nhom-3")</f>
        <v>https://techcombank.com/thong-tin/blog/no-nhom-3</v>
      </c>
      <c r="DW69" s="17" t="str">
        <f>IFERROR(__xludf.DUMMYFUNCTION("""COMPUTED_VALUE"""),"vay tiền online chuyển khoản ngay")</f>
        <v>vay tiền online chuyển khoản ngay</v>
      </c>
      <c r="DX69" s="21" t="str">
        <f>IFERROR(__xludf.DUMMYFUNCTION("""COMPUTED_VALUE"""),"https://techcombank.com/thong-tin/blog/vay-15-trieu")</f>
        <v>https://techcombank.com/thong-tin/blog/vay-15-trieu</v>
      </c>
      <c r="DY69" s="17" t="str">
        <f>IFERROR(__xludf.DUMMYFUNCTION("""COMPUTED_VALUE"""),"app vay")</f>
        <v>app vay</v>
      </c>
      <c r="DZ69" s="21" t="str">
        <f>IFERROR(__xludf.DUMMYFUNCTION("""COMPUTED_VALUE"""),"https://techcombank.com/thong-tin/blog/han-muc-vay-the-chap-so-do")</f>
        <v>https://techcombank.com/thong-tin/blog/han-muc-vay-the-chap-so-do</v>
      </c>
      <c r="EA69" s="17" t="str">
        <f>IFERROR(__xludf.DUMMYFUNCTION("""COMPUTED_VALUE"""),"vay tiền app")</f>
        <v>vay tiền app</v>
      </c>
      <c r="EB69" s="21" t="str">
        <f>IFERROR(__xludf.DUMMYFUNCTION("""COMPUTED_VALUE"""),"https://techcombank.com/thong-tin/blog/du-no-tin-dung-la-gi")</f>
        <v>https://techcombank.com/thong-tin/blog/du-no-tin-dung-la-gi</v>
      </c>
      <c r="EC69" s="17" t="str">
        <f>IFERROR(__xludf.DUMMYFUNCTION("""COMPUTED_VALUE"""),"app vay tiền")</f>
        <v>app vay tiền</v>
      </c>
      <c r="ED69" s="21" t="str">
        <f>IFERROR(__xludf.DUMMYFUNCTION("""COMPUTED_VALUE"""),"https://techcombank.com/thong-tin/blog/vay-20-trieu")</f>
        <v>https://techcombank.com/thong-tin/blog/vay-20-trieu</v>
      </c>
      <c r="EE69" s="17" t="str">
        <f>IFERROR(__xludf.DUMMYFUNCTION("""COMPUTED_VALUE"""),"app vay nhanh")</f>
        <v>app vay nhanh</v>
      </c>
      <c r="EF69" s="21" t="str">
        <f>IFERROR(__xludf.DUMMYFUNCTION("""COMPUTED_VALUE"""),"https://techcombank.com/thong-tin/blog/diem-tin-dung")</f>
        <v>https://techcombank.com/thong-tin/blog/diem-tin-dung</v>
      </c>
      <c r="EG69" s="17" t="str">
        <f>IFERROR(__xludf.DUMMYFUNCTION("""COMPUTED_VALUE"""),"app vay tiền nhanh")</f>
        <v>app vay tiền nhanh</v>
      </c>
      <c r="EH69" s="21" t="str">
        <f>IFERROR(__xludf.DUMMYFUNCTION("""COMPUTED_VALUE"""),"https://techcombank.com/thong-tin/blog/kinh-nghiem-vay-the-chap-ngan-hang")</f>
        <v>https://techcombank.com/thong-tin/blog/kinh-nghiem-vay-the-chap-ngan-hang</v>
      </c>
      <c r="EI69" s="17" t="str">
        <f>IFERROR(__xludf.DUMMYFUNCTION("""COMPUTED_VALUE"""),"vay nhanh")</f>
        <v>vay nhanh</v>
      </c>
      <c r="EJ69" s="21" t="str">
        <f>IFERROR(__xludf.DUMMYFUNCTION("""COMPUTED_VALUE"""),"https://techcombank.com/thong-tin/blog/bi-quyet-tiet-kiem-tien-mua-nha")</f>
        <v>https://techcombank.com/thong-tin/blog/bi-quyet-tiet-kiem-tien-mua-nha</v>
      </c>
      <c r="EK69" s="17" t="str">
        <f>IFERROR(__xludf.DUMMYFUNCTION("""COMPUTED_VALUE"""),"vay")</f>
        <v>vay</v>
      </c>
      <c r="EL69" s="21" t="str">
        <f>IFERROR(__xludf.DUMMYFUNCTION("""COMPUTED_VALUE"""),"https://techcombank.com/thong-tin/blog/vay-sinh-vien")</f>
        <v>https://techcombank.com/thong-tin/blog/vay-sinh-vien</v>
      </c>
      <c r="EM69" s="17" t="str">
        <f>IFERROR(__xludf.DUMMYFUNCTION("""COMPUTED_VALUE"""),"vay tiền")</f>
        <v>vay tiền</v>
      </c>
      <c r="EN69" s="21" t="str">
        <f>IFERROR(__xludf.DUMMYFUNCTION("""COMPUTED_VALUE"""),"https://techcombank.com/thong-tin/blog/lai-suat-ngan-hang-cho-vay-xay-nha")</f>
        <v>https://techcombank.com/thong-tin/blog/lai-suat-ngan-hang-cho-vay-xay-nha</v>
      </c>
      <c r="EO69" s="17" t="str">
        <f>IFERROR(__xludf.DUMMYFUNCTION("""COMPUTED_VALUE"""),"vay tiền online chuyển khoản ngay")</f>
        <v>vay tiền online chuyển khoản ngay</v>
      </c>
      <c r="EP69" s="21" t="str">
        <f>IFERROR(__xludf.DUMMYFUNCTION("""COMPUTED_VALUE"""),"https://techcombank.com/thong-tin/blog/vay-tin-chap-no-xau")</f>
        <v>https://techcombank.com/thong-tin/blog/vay-tin-chap-no-xau</v>
      </c>
      <c r="EQ69" s="17" t="str">
        <f>IFERROR(__xludf.DUMMYFUNCTION("""COMPUTED_VALUE"""),"app vay")</f>
        <v>app vay</v>
      </c>
      <c r="ER69" s="21" t="str">
        <f>IFERROR(__xludf.DUMMYFUNCTION("""COMPUTED_VALUE"""),"https://techcombank.com/thong-tin/blog/vay-tin-chap-la-gi")</f>
        <v>https://techcombank.com/thong-tin/blog/vay-tin-chap-la-gi</v>
      </c>
      <c r="ES69" s="17" t="str">
        <f>IFERROR(__xludf.DUMMYFUNCTION("""COMPUTED_VALUE"""),"vay tiền app")</f>
        <v>vay tiền app</v>
      </c>
      <c r="ET69" s="21" t="str">
        <f>IFERROR(__xludf.DUMMYFUNCTION("""COMPUTED_VALUE"""),"https://techcombank.com/thong-tin/blog/lai-suat-cho-vay-doanh-nghiep")</f>
        <v>https://techcombank.com/thong-tin/blog/lai-suat-cho-vay-doanh-nghiep</v>
      </c>
      <c r="EU69" s="17" t="str">
        <f>IFERROR(__xludf.DUMMYFUNCTION("""COMPUTED_VALUE"""),"app vay tiền")</f>
        <v>app vay tiền</v>
      </c>
      <c r="EV69" s="21" t="str">
        <f>IFERROR(__xludf.DUMMYFUNCTION("""COMPUTED_VALUE"""),"https://techcombank.com/thong-tin/blog/tat-toan")</f>
        <v>https://techcombank.com/thong-tin/blog/tat-toan</v>
      </c>
      <c r="EW69" s="17" t="str">
        <f>IFERROR(__xludf.DUMMYFUNCTION("""COMPUTED_VALUE"""),"app vay nhanh")</f>
        <v>app vay nhanh</v>
      </c>
      <c r="EX69" s="21" t="str">
        <f>IFERROR(__xludf.DUMMYFUNCTION("""COMPUTED_VALUE"""),"https://techcombank.com/thong-tin/blog/lai-suat-vay-tieu-dung")</f>
        <v>https://techcombank.com/thong-tin/blog/lai-suat-vay-tieu-dung</v>
      </c>
      <c r="EY69" s="17" t="str">
        <f>IFERROR(__xludf.DUMMYFUNCTION("""COMPUTED_VALUE"""),"app vay tiền nhanh")</f>
        <v>app vay tiền nhanh</v>
      </c>
      <c r="EZ69" s="21" t="str">
        <f>IFERROR(__xludf.DUMMYFUNCTION("""COMPUTED_VALUE"""),"https://techcombank.com/thong-tin/blog/no-xau-co-vay-the-chap-duoc-khong")</f>
        <v>https://techcombank.com/thong-tin/blog/no-xau-co-vay-the-chap-duoc-khong</v>
      </c>
      <c r="FA69" s="17" t="str">
        <f>IFERROR(__xludf.DUMMYFUNCTION("""COMPUTED_VALUE"""),"vay nhanh")</f>
        <v>vay nhanh</v>
      </c>
      <c r="FB69" s="21" t="str">
        <f>IFERROR(__xludf.DUMMYFUNCTION("""COMPUTED_VALUE"""),"https://techcombank.com/thong-tin/blog/thu-tuc-vay-von-kinh-doanh-nho")</f>
        <v>https://techcombank.com/thong-tin/blog/thu-tuc-vay-von-kinh-doanh-nho</v>
      </c>
      <c r="FC69" s="17" t="str">
        <f>IFERROR(__xludf.DUMMYFUNCTION("""COMPUTED_VALUE"""),"vay")</f>
        <v>vay</v>
      </c>
      <c r="FD69" s="21" t="str">
        <f>IFERROR(__xludf.DUMMYFUNCTION("""COMPUTED_VALUE"""),"https://techcombank.com/thong-tin/blog/rui-ro-khi-vay-the-chap-ngan-hang")</f>
        <v>https://techcombank.com/thong-tin/blog/rui-ro-khi-vay-the-chap-ngan-hang</v>
      </c>
      <c r="FE69" s="17" t="str">
        <f>IFERROR(__xludf.DUMMYFUNCTION("""COMPUTED_VALUE"""),"vay tiền")</f>
        <v>vay tiền</v>
      </c>
      <c r="FF69" s="21" t="str">
        <f>IFERROR(__xludf.DUMMYFUNCTION("""COMPUTED_VALUE"""),"https://techcombank.com/thong-tin/blog/lai-suat-vay-kinh-doanh")</f>
        <v>https://techcombank.com/thong-tin/blog/lai-suat-vay-kinh-doanh</v>
      </c>
      <c r="FG69" s="17" t="str">
        <f>IFERROR(__xludf.DUMMYFUNCTION("""COMPUTED_VALUE"""),"vay tiền online chuyển khoản ngay")</f>
        <v>vay tiền online chuyển khoản ngay</v>
      </c>
      <c r="FH69" s="21" t="str">
        <f>IFERROR(__xludf.DUMMYFUNCTION("""COMPUTED_VALUE"""),"https://techcombank.com/thong-tin/blog/vay-thau-chi-la-gi")</f>
        <v>https://techcombank.com/thong-tin/blog/vay-thau-chi-la-gi</v>
      </c>
      <c r="FI69" s="17" t="str">
        <f>IFERROR(__xludf.DUMMYFUNCTION("""COMPUTED_VALUE"""),"app vay")</f>
        <v>app vay</v>
      </c>
      <c r="FJ69" s="21" t="str">
        <f>IFERROR(__xludf.DUMMYFUNCTION("""COMPUTED_VALUE"""),"https://techcombank.com/thong-tin/blog/vay-tin-chap-khong-tra-duoc-co-sao-khong")</f>
        <v>https://techcombank.com/thong-tin/blog/vay-tin-chap-khong-tra-duoc-co-sao-khong</v>
      </c>
      <c r="FK69" s="17" t="str">
        <f>IFERROR(__xludf.DUMMYFUNCTION("""COMPUTED_VALUE"""),"vay tiền app")</f>
        <v>vay tiền app</v>
      </c>
      <c r="FL69" s="21" t="str">
        <f>IFERROR(__xludf.DUMMYFUNCTION("""COMPUTED_VALUE"""),"https://techcombank.com/thong-tin/blog/vay-von-doanh-nghiep-khong-the-chap")</f>
        <v>https://techcombank.com/thong-tin/blog/vay-von-doanh-nghiep-khong-the-chap</v>
      </c>
      <c r="FM69" s="17" t="str">
        <f>IFERROR(__xludf.DUMMYFUNCTION("""COMPUTED_VALUE"""),"app vay tiền")</f>
        <v>app vay tiền</v>
      </c>
      <c r="FN69" s="21" t="str">
        <f>IFERROR(__xludf.DUMMYFUNCTION("""COMPUTED_VALUE"""),"https://techcombank.com/thong-tin/blog/vay-tin-chap-cho-doanh-nghiep-moi-thanh-lap")</f>
        <v>https://techcombank.com/thong-tin/blog/vay-tin-chap-cho-doanh-nghiep-moi-thanh-lap</v>
      </c>
      <c r="FO69" s="17" t="str">
        <f>IFERROR(__xludf.DUMMYFUNCTION("""COMPUTED_VALUE"""),"app vay nhanh")</f>
        <v>app vay nhanh</v>
      </c>
      <c r="FP69" s="21" t="str">
        <f>IFERROR(__xludf.DUMMYFUNCTION("""COMPUTED_VALUE"""),"https://techcombank.com/thong-tin/blog/thanh-toan-khoan-vay")</f>
        <v>https://techcombank.com/thong-tin/blog/thanh-toan-khoan-vay</v>
      </c>
      <c r="FQ69" s="17" t="str">
        <f>IFERROR(__xludf.DUMMYFUNCTION("""COMPUTED_VALUE"""),"app vay tiền nhanh")</f>
        <v>app vay tiền nhanh</v>
      </c>
      <c r="FR69" s="21" t="str">
        <f>IFERROR(__xludf.DUMMYFUNCTION("""COMPUTED_VALUE"""),"https://techcombank.com/thong-tin/blog/co-nen-vay-ngan-hang-mua-nha")</f>
        <v>https://techcombank.com/thong-tin/blog/co-nen-vay-ngan-hang-mua-nha</v>
      </c>
      <c r="FS69" s="17" t="str">
        <f>IFERROR(__xludf.DUMMYFUNCTION("""COMPUTED_VALUE"""),"vay nhanh")</f>
        <v>vay nhanh</v>
      </c>
      <c r="FT69" s="21" t="str">
        <f>IFERROR(__xludf.DUMMYFUNCTION("""COMPUTED_VALUE"""),"https://techcombank.com/thong-tin/blog/ho-so-vay-tin-chap")</f>
        <v>https://techcombank.com/thong-tin/blog/ho-so-vay-tin-chap</v>
      </c>
      <c r="FU69" s="17" t="str">
        <f>IFERROR(__xludf.DUMMYFUNCTION("""COMPUTED_VALUE"""),"vay")</f>
        <v>vay</v>
      </c>
      <c r="FV69" s="21" t="str">
        <f>IFERROR(__xludf.DUMMYFUNCTION("""COMPUTED_VALUE"""),"https://techcombank.com/thong-tin/blog/thu-tuc-vay-ngan-hang-mua-nha")</f>
        <v>https://techcombank.com/thong-tin/blog/thu-tuc-vay-ngan-hang-mua-nha</v>
      </c>
      <c r="FW69" s="17" t="str">
        <f>IFERROR(__xludf.DUMMYFUNCTION("""COMPUTED_VALUE"""),"vay tiền")</f>
        <v>vay tiền</v>
      </c>
      <c r="FX69" s="21" t="str">
        <f>IFERROR(__xludf.DUMMYFUNCTION("""COMPUTED_VALUE"""),"https://techcombank.com/thong-tin/blog/thoi-han-vay-thau-chi")</f>
        <v>https://techcombank.com/thong-tin/blog/thoi-han-vay-thau-chi</v>
      </c>
      <c r="FY69" s="17" t="str">
        <f>IFERROR(__xludf.DUMMYFUNCTION("""COMPUTED_VALUE"""),"vay tiền online chuyển khoản ngay")</f>
        <v>vay tiền online chuyển khoản ngay</v>
      </c>
      <c r="FZ69" s="21" t="str">
        <f>IFERROR(__xludf.DUMMYFUNCTION("""COMPUTED_VALUE"""),"https://techcombank.com/thong-tin/blog/thu-tuc-vay-von-ngan-hang-de-xay-nha")</f>
        <v>https://techcombank.com/thong-tin/blog/thu-tuc-vay-von-ngan-hang-de-xay-nha</v>
      </c>
      <c r="GA69" s="17" t="str">
        <f>IFERROR(__xludf.DUMMYFUNCTION("""COMPUTED_VALUE"""),"app vay")</f>
        <v>app vay</v>
      </c>
      <c r="GB69" s="21" t="str">
        <f>IFERROR(__xludf.DUMMYFUNCTION("""COMPUTED_VALUE"""),"https://techcombank.com/thong-tin/blog/phi-vay-the-chap")</f>
        <v>https://techcombank.com/thong-tin/blog/phi-vay-the-chap</v>
      </c>
      <c r="GC69" s="17" t="str">
        <f>IFERROR(__xludf.DUMMYFUNCTION("""COMPUTED_VALUE"""),"vay tiền app")</f>
        <v>vay tiền app</v>
      </c>
      <c r="GD69" s="21" t="str">
        <f>IFERROR(__xludf.DUMMYFUNCTION("""COMPUTED_VALUE"""),"https://techcombank.com/thong-tin/blog/the-chap-la-gi")</f>
        <v>https://techcombank.com/thong-tin/blog/the-chap-la-gi</v>
      </c>
      <c r="GE69" s="17" t="str">
        <f>IFERROR(__xludf.DUMMYFUNCTION("""COMPUTED_VALUE"""),"app vay tiền")</f>
        <v>app vay tiền</v>
      </c>
      <c r="GF69" s="21" t="str">
        <f>IFERROR(__xludf.DUMMYFUNCTION("""COMPUTED_VALUE"""),"https://techcombank.com/thong-tin/blog/vay-the-chap-khong-chung-minh-thu-nhap")</f>
        <v>https://techcombank.com/thong-tin/blog/vay-the-chap-khong-chung-minh-thu-nhap</v>
      </c>
      <c r="GG69" s="17" t="str">
        <f>IFERROR(__xludf.DUMMYFUNCTION("""COMPUTED_VALUE"""),"app vay nhanh")</f>
        <v>app vay nhanh</v>
      </c>
      <c r="GH69" s="21" t="str">
        <f>IFERROR(__xludf.DUMMYFUNCTION("""COMPUTED_VALUE"""),"https://techcombank.com/thong-tin/blog/vay-the-chap-la-gi")</f>
        <v>https://techcombank.com/thong-tin/blog/vay-the-chap-la-gi</v>
      </c>
      <c r="GI69" s="17" t="str">
        <f>IFERROR(__xludf.DUMMYFUNCTION("""COMPUTED_VALUE"""),"app vay tiền nhanh")</f>
        <v>app vay tiền nhanh</v>
      </c>
      <c r="GJ69" s="21" t="str">
        <f>IFERROR(__xludf.DUMMYFUNCTION("""COMPUTED_VALUE"""),"https://techcombank.com/thong-tin/blog/vay-40-trieu")</f>
        <v>https://techcombank.com/thong-tin/blog/vay-40-trieu</v>
      </c>
      <c r="GK69" s="17" t="str">
        <f>IFERROR(__xludf.DUMMYFUNCTION("""COMPUTED_VALUE"""),"vay nhanh")</f>
        <v>vay nhanh</v>
      </c>
      <c r="GL69" s="21" t="str">
        <f>IFERROR(__xludf.DUMMYFUNCTION("""COMPUTED_VALUE"""),"https://techcombank.com/thong-tin/blog/co-nen-mua-o-to-tra-gop")</f>
        <v>https://techcombank.com/thong-tin/blog/co-nen-mua-o-to-tra-gop</v>
      </c>
      <c r="GM69" s="17" t="str">
        <f>IFERROR(__xludf.DUMMYFUNCTION("""COMPUTED_VALUE"""),"vay")</f>
        <v>vay</v>
      </c>
      <c r="GN69" s="21" t="str">
        <f>IFERROR(__xludf.DUMMYFUNCTION("""COMPUTED_VALUE"""),"https://techcombank.com/thong-tin/blog/vay-the-chap-so-bao-hiem-xa-hoi")</f>
        <v>https://techcombank.com/thong-tin/blog/vay-the-chap-so-bao-hiem-xa-hoi</v>
      </c>
      <c r="GO69" s="17" t="str">
        <f>IFERROR(__xludf.DUMMYFUNCTION("""COMPUTED_VALUE"""),"vay tiền")</f>
        <v>vay tiền</v>
      </c>
      <c r="GP69" s="21" t="str">
        <f>IFERROR(__xludf.DUMMYFUNCTION("""COMPUTED_VALUE"""),"https://techcombank.com/thong-tin/blog/nen-vay-the-chap-ngan-hang-nao")</f>
        <v>https://techcombank.com/thong-tin/blog/nen-vay-the-chap-ngan-hang-nao</v>
      </c>
      <c r="GQ69" s="17" t="str">
        <f>IFERROR(__xludf.DUMMYFUNCTION("""COMPUTED_VALUE"""),"vay tiền online chuyển khoản ngay")</f>
        <v>vay tiền online chuyển khoản ngay</v>
      </c>
      <c r="GR69" s="21" t="str">
        <f>IFERROR(__xludf.DUMMYFUNCTION("""COMPUTED_VALUE"""),"https://techcombank.com/thong-tin/blog/lai-suat-tha-noi")</f>
        <v>https://techcombank.com/thong-tin/blog/lai-suat-tha-noi</v>
      </c>
      <c r="GS69" s="17" t="str">
        <f>IFERROR(__xludf.DUMMYFUNCTION("""COMPUTED_VALUE"""),"app vay")</f>
        <v>app vay</v>
      </c>
      <c r="GT69" s="21" t="str">
        <f>IFERROR(__xludf.DUMMYFUNCTION("""COMPUTED_VALUE"""),"https://techcombank.com/thong-tin/blog/tra-no-vay-thau-chi-nhu-the-nao")</f>
        <v>https://techcombank.com/thong-tin/blog/tra-no-vay-thau-chi-nhu-the-nao</v>
      </c>
      <c r="GU69" s="17" t="str">
        <f>IFERROR(__xludf.DUMMYFUNCTION("""COMPUTED_VALUE"""),"vay tiền app")</f>
        <v>vay tiền app</v>
      </c>
      <c r="GV69" s="21" t="str">
        <f>IFERROR(__xludf.DUMMYFUNCTION("""COMPUTED_VALUE"""),"https://techcombank.com/thong-tin/blog/vay-bo-sung-von-luu-dong")</f>
        <v>https://techcombank.com/thong-tin/blog/vay-bo-sung-von-luu-dong</v>
      </c>
      <c r="GW69" s="17" t="str">
        <f>IFERROR(__xludf.DUMMYFUNCTION("""COMPUTED_VALUE"""),"app vay tiền")</f>
        <v>app vay tiền</v>
      </c>
      <c r="GX69" s="21" t="str">
        <f>IFERROR(__xludf.DUMMYFUNCTION("""COMPUTED_VALUE"""),"https://techcombank.com/thong-tin/blog/vay-tin-chap-ho-kinh-doanh")</f>
        <v>https://techcombank.com/thong-tin/blog/vay-tin-chap-ho-kinh-doanh</v>
      </c>
      <c r="GY69" s="17" t="str">
        <f>IFERROR(__xludf.DUMMYFUNCTION("""COMPUTED_VALUE"""),"app vay nhanh")</f>
        <v>app vay nhanh</v>
      </c>
      <c r="GZ69" s="21" t="str">
        <f>IFERROR(__xludf.DUMMYFUNCTION("""COMPUTED_VALUE"""),"https://techcombank.com/thong-tin/blog/no-chu-y-la-gi")</f>
        <v>https://techcombank.com/thong-tin/blog/no-chu-y-la-gi</v>
      </c>
      <c r="HA69" s="17" t="str">
        <f>IFERROR(__xludf.DUMMYFUNCTION("""COMPUTED_VALUE"""),"app vay tiền nhanh")</f>
        <v>app vay tiền nhanh</v>
      </c>
      <c r="HB69" s="21" t="str">
        <f>IFERROR(__xludf.DUMMYFUNCTION("""COMPUTED_VALUE"""),"https://techcombank.com/thong-tin/blog/no-xau-la-gi")</f>
        <v>https://techcombank.com/thong-tin/blog/no-xau-la-gi</v>
      </c>
      <c r="HC69" s="17" t="str">
        <f>IFERROR(__xludf.DUMMYFUNCTION("""COMPUTED_VALUE"""),"vay nhanh")</f>
        <v>vay nhanh</v>
      </c>
      <c r="HD69" s="21" t="str">
        <f>IFERROR(__xludf.DUMMYFUNCTION("""COMPUTED_VALUE"""),"https://techcombank.com/thong-tin/blog/vay-mua-chung-cu")</f>
        <v>https://techcombank.com/thong-tin/blog/vay-mua-chung-cu</v>
      </c>
      <c r="HE69" s="17" t="str">
        <f>IFERROR(__xludf.DUMMYFUNCTION("""COMPUTED_VALUE"""),"vay")</f>
        <v>vay</v>
      </c>
      <c r="HF69" s="21" t="str">
        <f>IFERROR(__xludf.DUMMYFUNCTION("""COMPUTED_VALUE"""),"https://techcombank.com/thong-tin/blog/cic-la-gi")</f>
        <v>https://techcombank.com/thong-tin/blog/cic-la-gi</v>
      </c>
      <c r="HG69" s="17" t="str">
        <f>IFERROR(__xludf.DUMMYFUNCTION("""COMPUTED_VALUE"""),"vay tiền")</f>
        <v>vay tiền</v>
      </c>
      <c r="HH69" s="21" t="str">
        <f>IFERROR(__xludf.DUMMYFUNCTION("""COMPUTED_VALUE"""),"https://techcombank.com/thong-tin/blog/dieu-kien-vay-the-chap")</f>
        <v>https://techcombank.com/thong-tin/blog/dieu-kien-vay-the-chap</v>
      </c>
      <c r="HI69" s="17" t="str">
        <f>IFERROR(__xludf.DUMMYFUNCTION("""COMPUTED_VALUE"""),"vay tiền online chuyển khoản ngay")</f>
        <v>vay tiền online chuyển khoản ngay</v>
      </c>
      <c r="HJ69" s="21" t="str">
        <f>IFERROR(__xludf.DUMMYFUNCTION("""COMPUTED_VALUE"""),"https://techcombank.com/thong-tin/blog/dao-han-la-gi")</f>
        <v>https://techcombank.com/thong-tin/blog/dao-han-la-gi</v>
      </c>
      <c r="HK69" s="17" t="str">
        <f>IFERROR(__xludf.DUMMYFUNCTION("""COMPUTED_VALUE"""),"app vay")</f>
        <v>app vay</v>
      </c>
      <c r="HL69" s="21" t="str">
        <f>IFERROR(__xludf.DUMMYFUNCTION("""COMPUTED_VALUE"""),"https://techcombank.com/thong-tin/blog/cho-vay-tieu-dung-la-gi")</f>
        <v>https://techcombank.com/thong-tin/blog/cho-vay-tieu-dung-la-gi</v>
      </c>
      <c r="HM69" s="17" t="str">
        <f>IFERROR(__xludf.DUMMYFUNCTION("""COMPUTED_VALUE"""),"vay tiền app")</f>
        <v>vay tiền app</v>
      </c>
      <c r="HN69" s="21" t="str">
        <f>IFERROR(__xludf.DUMMYFUNCTION("""COMPUTED_VALUE"""),"https://techcombank.com/thong-tin/blog/vay-the-chap-khong-tra-duoc")</f>
        <v>https://techcombank.com/thong-tin/blog/vay-the-chap-khong-tra-duoc</v>
      </c>
      <c r="HO69" s="17" t="str">
        <f>IFERROR(__xludf.DUMMYFUNCTION("""COMPUTED_VALUE"""),"app vay tiền")</f>
        <v>app vay tiền</v>
      </c>
      <c r="HP69" s="21" t="str">
        <f>IFERROR(__xludf.DUMMYFUNCTION("""COMPUTED_VALUE"""),"https://techcombank.com/thong-tin/blog/bao-lanh-vay-von")</f>
        <v>https://techcombank.com/thong-tin/blog/bao-lanh-vay-von</v>
      </c>
      <c r="HQ69" s="17" t="str">
        <f>IFERROR(__xludf.DUMMYFUNCTION("""COMPUTED_VALUE"""),"app vay nhanh")</f>
        <v>app vay nhanh</v>
      </c>
      <c r="HR69" s="21" t="str">
        <f>IFERROR(__xludf.DUMMYFUNCTION("""COMPUTED_VALUE"""),"https://techcombank.com/thong-tin/blog/thu-tuc-vay-von-doanh-nghiep")</f>
        <v>https://techcombank.com/thong-tin/blog/thu-tuc-vay-von-doanh-nghiep</v>
      </c>
      <c r="HS69" s="17" t="str">
        <f>IFERROR(__xludf.DUMMYFUNCTION("""COMPUTED_VALUE"""),"app vay tiền nhanh")</f>
        <v>app vay tiền nhanh</v>
      </c>
      <c r="HT69" s="21" t="str">
        <f>IFERROR(__xludf.DUMMYFUNCTION("""COMPUTED_VALUE"""),"https://techcombank.com/thong-tin/blog/ho-so-vay-von-cua-doanh-nghiep-gom-nhung-gi")</f>
        <v>https://techcombank.com/thong-tin/blog/ho-so-vay-von-cua-doanh-nghiep-gom-nhung-gi</v>
      </c>
      <c r="HU69" s="17" t="str">
        <f>IFERROR(__xludf.DUMMYFUNCTION("""COMPUTED_VALUE"""),"vay nhanh")</f>
        <v>vay nhanh</v>
      </c>
      <c r="HV69" s="21" t="str">
        <f>IFERROR(__xludf.DUMMYFUNCTION("""COMPUTED_VALUE"""),"https://techcombank.com/thong-tin/blog/cho-vay-tung-lan")</f>
        <v>https://techcombank.com/thong-tin/blog/cho-vay-tung-lan</v>
      </c>
      <c r="HW69" s="17" t="str">
        <f>IFERROR(__xludf.DUMMYFUNCTION("""COMPUTED_VALUE"""),"vay")</f>
        <v>vay</v>
      </c>
      <c r="HX69" s="21" t="str">
        <f>IFERROR(__xludf.DUMMYFUNCTION("""COMPUTED_VALUE"""),"https://techcombank.com/thong-tin/blog/tin-dung-tieu-dung")</f>
        <v>https://techcombank.com/thong-tin/blog/tin-dung-tieu-dung</v>
      </c>
      <c r="HY69" s="17" t="str">
        <f>IFERROR(__xludf.DUMMYFUNCTION("""COMPUTED_VALUE"""),"vay tiền")</f>
        <v>vay tiền</v>
      </c>
      <c r="HZ69" s="21" t="str">
        <f>IFERROR(__xludf.DUMMYFUNCTION("""COMPUTED_VALUE"""),"https://techcombank.com/thong-tin/blog/tin-dung-doanh-nghiep")</f>
        <v>https://techcombank.com/thong-tin/blog/tin-dung-doanh-nghiep</v>
      </c>
      <c r="IA69" s="17" t="str">
        <f>IFERROR(__xludf.DUMMYFUNCTION("""COMPUTED_VALUE"""),"vay tiền online chuyển khoản ngay")</f>
        <v>vay tiền online chuyển khoản ngay</v>
      </c>
      <c r="IB69" s="21" t="str">
        <f>IFERROR(__xludf.DUMMYFUNCTION("""COMPUTED_VALUE"""),"https://techcombank.com/thong-tin/blog/cho-vay-hop-von-la-gi")</f>
        <v>https://techcombank.com/thong-tin/blog/cho-vay-hop-von-la-gi</v>
      </c>
      <c r="IC69" s="17" t="str">
        <f>IFERROR(__xludf.DUMMYFUNCTION("""COMPUTED_VALUE"""),"app vay")</f>
        <v>app vay</v>
      </c>
      <c r="ID69" s="21" t="str">
        <f>IFERROR(__xludf.DUMMYFUNCTION("""COMPUTED_VALUE"""),"https://techcombank.com/thong-tin/blog/von-luu-dong-la-gi")</f>
        <v>https://techcombank.com/thong-tin/blog/von-luu-dong-la-gi</v>
      </c>
      <c r="IE69" s="17" t="str">
        <f>IFERROR(__xludf.DUMMYFUNCTION("""COMPUTED_VALUE"""),"vay tiền app")</f>
        <v>vay tiền app</v>
      </c>
      <c r="IF69" s="21" t="str">
        <f>IFERROR(__xludf.DUMMYFUNCTION("""COMPUTED_VALUE"""),"https://techcombank.com/thong-tin/blog/nhu-cau-vay-tieu-dung-cua-nguoi-viet-du-kien-tang-manh-trong-thoi-gian-toi")</f>
        <v>https://techcombank.com/thong-tin/blog/nhu-cau-vay-tieu-dung-cua-nguoi-viet-du-kien-tang-manh-trong-thoi-gian-toi</v>
      </c>
      <c r="IG69" s="17" t="str">
        <f>IFERROR(__xludf.DUMMYFUNCTION("""COMPUTED_VALUE"""),"app vay tiền")</f>
        <v>app vay tiền</v>
      </c>
      <c r="IH69" s="21" t="str">
        <f>IFERROR(__xludf.DUMMYFUNCTION("""COMPUTED_VALUE"""),"https://techcombank.com/thong-tin/blog/tap-doan-thanh-quang-khoi-sac-kinh-doanh-nho-nguon-von-vay-tin-dung-techcombank-tren-nen-tang-misa-lending")</f>
        <v>https://techcombank.com/thong-tin/blog/tap-doan-thanh-quang-khoi-sac-kinh-doanh-nho-nguon-von-vay-tin-dung-techcombank-tren-nen-tang-misa-lending</v>
      </c>
      <c r="II69" s="17" t="str">
        <f>IFERROR(__xludf.DUMMYFUNCTION("""COMPUTED_VALUE"""),"app vay nhanh")</f>
        <v>app vay nhanh</v>
      </c>
      <c r="IJ69" s="21" t="str">
        <f>IFERROR(__xludf.DUMMYFUNCTION("""COMPUTED_VALUE"""),"https://techcombank.com/thong-tin/blog/loi-nhuan")</f>
        <v>https://techcombank.com/thong-tin/blog/loi-nhuan</v>
      </c>
      <c r="IK69" s="17" t="str">
        <f>IFERROR(__xludf.DUMMYFUNCTION("""COMPUTED_VALUE"""),"app vay tiền nhanh")</f>
        <v>app vay tiền nhanh</v>
      </c>
      <c r="IL69" s="21" t="str">
        <f>IFERROR(__xludf.DUMMYFUNCTION("""COMPUTED_VALUE"""),"https://techcombank.com/thong-tin/blog/dieu-kien-vay-von-ngan-hang")</f>
        <v>https://techcombank.com/thong-tin/blog/dieu-kien-vay-von-ngan-hang</v>
      </c>
      <c r="IM69" s="17" t="str">
        <f>IFERROR(__xludf.DUMMYFUNCTION("""COMPUTED_VALUE"""),"vay nhanh")</f>
        <v>vay nhanh</v>
      </c>
      <c r="IN69" s="21" t="str">
        <f>IFERROR(__xludf.DUMMYFUNCTION("""COMPUTED_VALUE"""),"https://techcombank.com/thong-tin/blog/tra-gop-hoc-phi")</f>
        <v>https://techcombank.com/thong-tin/blog/tra-gop-hoc-phi</v>
      </c>
      <c r="IO69" s="17" t="str">
        <f>IFERROR(__xludf.DUMMYFUNCTION("""COMPUTED_VALUE"""),"vay")</f>
        <v>vay</v>
      </c>
      <c r="IP69" s="21" t="str">
        <f>IFERROR(__xludf.DUMMYFUNCTION("""COMPUTED_VALUE"""),"https://techcombank.com/thong-tin/blog/vay-ngan-hang-1-ty-moi-thang-tra-bao-nhieu")</f>
        <v>https://techcombank.com/thong-tin/blog/vay-ngan-hang-1-ty-moi-thang-tra-bao-nhieu</v>
      </c>
      <c r="IQ69" s="17" t="str">
        <f>IFERROR(__xludf.DUMMYFUNCTION("""COMPUTED_VALUE"""),"vay tiền")</f>
        <v>vay tiền</v>
      </c>
      <c r="IR69" s="21" t="str">
        <f>IFERROR(__xludf.DUMMYFUNCTION("""COMPUTED_VALUE"""),"https://techcombank.com/thong-tin/blog/no-xau-mo-the-tin-dung-duoc-khong")</f>
        <v>https://techcombank.com/thong-tin/blog/no-xau-mo-the-tin-dung-duoc-khong</v>
      </c>
      <c r="IS69" s="17" t="str">
        <f>IFERROR(__xludf.DUMMYFUNCTION("""COMPUTED_VALUE"""),"vay tiền online chuyển khoản ngay")</f>
        <v>vay tiền online chuyển khoản ngay</v>
      </c>
      <c r="IT69" s="21" t="str">
        <f>IFERROR(__xludf.DUMMYFUNCTION("""COMPUTED_VALUE"""),"https://techcombank.com/thong-tin/blog/han-muc-tra-gop-the-tin-dung")</f>
        <v>https://techcombank.com/thong-tin/blog/han-muc-tra-gop-the-tin-dung</v>
      </c>
      <c r="IU69" s="17" t="str">
        <f>IFERROR(__xludf.DUMMYFUNCTION("""COMPUTED_VALUE"""),"app vay")</f>
        <v>app vay</v>
      </c>
      <c r="IV69" s="21" t="str">
        <f>IFERROR(__xludf.DUMMYFUNCTION("""COMPUTED_VALUE"""),"https://techcombank.com/thong-tin/blog/gui-tiet-kiem-online-co-rut-truoc-han-duoc-khong")</f>
        <v>https://techcombank.com/thong-tin/blog/gui-tiet-kiem-online-co-rut-truoc-han-duoc-khong</v>
      </c>
      <c r="IW69" s="17" t="str">
        <f>IFERROR(__xludf.DUMMYFUNCTION("""COMPUTED_VALUE"""),"vay tiền app")</f>
        <v>vay tiền app</v>
      </c>
      <c r="IX69" s="21" t="str">
        <f>IFERROR(__xludf.DUMMYFUNCTION("""COMPUTED_VALUE"""),"https://techcombank.com/thong-tin/blog/tra-gop-lazada")</f>
        <v>https://techcombank.com/thong-tin/blog/tra-gop-lazada</v>
      </c>
      <c r="IY69" s="17" t="str">
        <f>IFERROR(__xludf.DUMMYFUNCTION("""COMPUTED_VALUE"""),"app vay tiền")</f>
        <v>app vay tiền</v>
      </c>
      <c r="IZ69" s="21" t="str">
        <f>IFERROR(__xludf.DUMMYFUNCTION("""COMPUTED_VALUE"""),"https://techcombank.com/thong-tin/blog/lam-ho-so-tra-gop-dien-thoai")</f>
        <v>https://techcombank.com/thong-tin/blog/lam-ho-so-tra-gop-dien-thoai</v>
      </c>
      <c r="JA69" s="17" t="str">
        <f>IFERROR(__xludf.DUMMYFUNCTION("""COMPUTED_VALUE"""),"app vay nhanh")</f>
        <v>app vay nhanh</v>
      </c>
      <c r="JB69" s="21" t="str">
        <f>IFERROR(__xludf.DUMMYFUNCTION("""COMPUTED_VALUE"""),"https://techcombank.com/thong-tin/blog/tat-toan-so-tiet-kiem")</f>
        <v>https://techcombank.com/thong-tin/blog/tat-toan-so-tiet-kiem</v>
      </c>
      <c r="JC69" s="17" t="str">
        <f>IFERROR(__xludf.DUMMYFUNCTION("""COMPUTED_VALUE"""),"app vay tiền nhanh")</f>
        <v>app vay tiền nhanh</v>
      </c>
      <c r="JD69" s="21" t="str">
        <f>IFERROR(__xludf.DUMMYFUNCTION("""COMPUTED_VALUE"""),"https://techcombank.com/thong-tin/blog/tra-gop-shopee")</f>
        <v>https://techcombank.com/thong-tin/blog/tra-gop-shopee</v>
      </c>
      <c r="JE69" s="17" t="str">
        <f>IFERROR(__xludf.DUMMYFUNCTION("""COMPUTED_VALUE"""),"vay nhanh")</f>
        <v>vay nhanh</v>
      </c>
      <c r="JF69" s="21" t="str">
        <f>IFERROR(__xludf.DUMMYFUNCTION("""COMPUTED_VALUE"""),"https://techcombank.com/thong-tin/blog/the-ghi-no-va-the-tin-dung")</f>
        <v>https://techcombank.com/thong-tin/blog/the-ghi-no-va-the-tin-dung</v>
      </c>
      <c r="JG69" s="17" t="str">
        <f>IFERROR(__xludf.DUMMYFUNCTION("""COMPUTED_VALUE"""),"vay")</f>
        <v>vay</v>
      </c>
      <c r="JH69" s="21" t="str">
        <f>IFERROR(__xludf.DUMMYFUNCTION("""COMPUTED_VALUE"""),"https://techcombank.com/thong-tin/blog/giai-ngan-la-gi")</f>
        <v>https://techcombank.com/thong-tin/blog/giai-ngan-la-gi</v>
      </c>
      <c r="JI69" s="17" t="str">
        <f>IFERROR(__xludf.DUMMYFUNCTION("""COMPUTED_VALUE"""),"vay tiền")</f>
        <v>vay tiền</v>
      </c>
      <c r="JJ69" s="21" t="str">
        <f>IFERROR(__xludf.DUMMYFUNCTION("""COMPUTED_VALUE"""),"https://techcombank.com/thong-tin/blog/nen-mua-xe-o-to-dien-hay-xe-xang")</f>
        <v>https://techcombank.com/thong-tin/blog/nen-mua-xe-o-to-dien-hay-xe-xang</v>
      </c>
      <c r="JK69" s="17" t="str">
        <f>IFERROR(__xludf.DUMMYFUNCTION("""COMPUTED_VALUE"""),"vay tiền online chuyển khoản ngay")</f>
        <v>vay tiền online chuyển khoản ngay</v>
      </c>
      <c r="JL69" s="21" t="str">
        <f>IFERROR(__xludf.DUMMYFUNCTION("""COMPUTED_VALUE"""),"https://techcombank.com/thong-tin/blog/han-muc-the-tin-dung")</f>
        <v>https://techcombank.com/thong-tin/blog/han-muc-the-tin-dung</v>
      </c>
      <c r="JM69" s="17" t="str">
        <f>IFERROR(__xludf.DUMMYFUNCTION("""COMPUTED_VALUE"""),"app vay")</f>
        <v>app vay</v>
      </c>
      <c r="JN69" s="21" t="str">
        <f>IFERROR(__xludf.DUMMYFUNCTION("""COMPUTED_VALUE"""),"https://techcombank.com/thong-tin/blog/the-tin-dung-phu-la-gi")</f>
        <v>https://techcombank.com/thong-tin/blog/the-tin-dung-phu-la-gi</v>
      </c>
      <c r="JO69" s="17" t="str">
        <f>IFERROR(__xludf.DUMMYFUNCTION("""COMPUTED_VALUE"""),"vay tiền app")</f>
        <v>vay tiền app</v>
      </c>
      <c r="JP69" s="21" t="str">
        <f>IFERROR(__xludf.DUMMYFUNCTION("""COMPUTED_VALUE"""),"https://techcombank.com/thong-tin/blog/rut-tien-mat-tu-the-tin-dung")</f>
        <v>https://techcombank.com/thong-tin/blog/rut-tien-mat-tu-the-tin-dung</v>
      </c>
      <c r="JQ69" s="17" t="str">
        <f>IFERROR(__xludf.DUMMYFUNCTION("""COMPUTED_VALUE"""),"app vay tiền")</f>
        <v>app vay tiền</v>
      </c>
      <c r="JR69" s="21" t="str">
        <f>IFERROR(__xludf.DUMMYFUNCTION("""COMPUTED_VALUE"""),"https://techcombank.com/thong-tin/blog/the-visa-co-rut-tien-duoc-khong")</f>
        <v>https://techcombank.com/thong-tin/blog/the-visa-co-rut-tien-duoc-khong</v>
      </c>
      <c r="JS69" s="17" t="str">
        <f>IFERROR(__xludf.DUMMYFUNCTION("""COMPUTED_VALUE"""),"app vay nhanh")</f>
        <v>app vay nhanh</v>
      </c>
      <c r="JT69" s="21" t="str">
        <f>IFERROR(__xludf.DUMMYFUNCTION("""COMPUTED_VALUE"""),"https://techcombank.com/thong-tin/blog/bao-lanh-bao-hanh")</f>
        <v>https://techcombank.com/thong-tin/blog/bao-lanh-bao-hanh</v>
      </c>
      <c r="JU69" s="17" t="str">
        <f>IFERROR(__xludf.DUMMYFUNCTION("""COMPUTED_VALUE"""),"app vay tiền nhanh")</f>
        <v>app vay tiền nhanh</v>
      </c>
      <c r="JV69" s="21" t="str">
        <f>IFERROR(__xludf.DUMMYFUNCTION("""COMPUTED_VALUE"""),"https://techcombank.com/thong-tin/blog/tai-khoan-ngan-hang-chua-toi-da-bao-nhieu-tien")</f>
        <v>https://techcombank.com/thong-tin/blog/tai-khoan-ngan-hang-chua-toi-da-bao-nhieu-tien</v>
      </c>
      <c r="JW69" s="17" t="str">
        <f>IFERROR(__xludf.DUMMYFUNCTION("""COMPUTED_VALUE"""),"vay nhanh")</f>
        <v>vay nhanh</v>
      </c>
      <c r="JX69" s="21" t="str">
        <f>IFERROR(__xludf.DUMMYFUNCTION("""COMPUTED_VALUE"""),"https://techcombank.com/thong-tin/blog/app-mua-truoc-tra-sau")</f>
        <v>https://techcombank.com/thong-tin/blog/app-mua-truoc-tra-sau</v>
      </c>
      <c r="JY69" s="17" t="str">
        <f>IFERROR(__xludf.DUMMYFUNCTION("""COMPUTED_VALUE"""),"vay")</f>
        <v>vay</v>
      </c>
      <c r="JZ69" s="21" t="str">
        <f>IFERROR(__xludf.DUMMYFUNCTION("""COMPUTED_VALUE"""),"https://techcombank.com/thong-tin/blog/chuyen-gia-du-doan-gia-bat-dong-san-2025-va-cac-no-luc-tu-ngan-hang")</f>
        <v>https://techcombank.com/thong-tin/blog/chuyen-gia-du-doan-gia-bat-dong-san-2025-va-cac-no-luc-tu-ngan-hang</v>
      </c>
      <c r="KA69" s="17" t="str">
        <f>IFERROR(__xludf.DUMMYFUNCTION("""COMPUTED_VALUE"""),"vay tiền")</f>
        <v>vay tiền</v>
      </c>
      <c r="KB69" s="21" t="str">
        <f>IFERROR(__xludf.DUMMYFUNCTION("""COMPUTED_VALUE"""),"https://techcombank.com/thong-tin/blog/ho-so-thu-tuc-xoa-the-chap")</f>
        <v>https://techcombank.com/thong-tin/blog/ho-so-thu-tuc-xoa-the-chap</v>
      </c>
      <c r="KC69" s="17" t="str">
        <f>IFERROR(__xludf.DUMMYFUNCTION("""COMPUTED_VALUE"""),"vay tiền online chuyển khoản ngay")</f>
        <v>vay tiền online chuyển khoản ngay</v>
      </c>
      <c r="KD69" s="21" t="str">
        <f>IFERROR(__xludf.DUMMYFUNCTION("""COMPUTED_VALUE"""),"https://techcombank.com/thong-tin/blog/spaylater")</f>
        <v>https://techcombank.com/thong-tin/blog/spaylater</v>
      </c>
      <c r="KE69" s="17" t="str">
        <f>IFERROR(__xludf.DUMMYFUNCTION("""COMPUTED_VALUE"""),"app vay")</f>
        <v>app vay</v>
      </c>
      <c r="KF69" s="21" t="str">
        <f>IFERROR(__xludf.DUMMYFUNCTION("""COMPUTED_VALUE"""),"https://techcombank.com/thong-tin/blog/nang-han-muc-tin-dung")</f>
        <v>https://techcombank.com/thong-tin/blog/nang-han-muc-tin-dung</v>
      </c>
      <c r="KG69" s="17" t="str">
        <f>IFERROR(__xludf.DUMMYFUNCTION("""COMPUTED_VALUE"""),"vay tiền app")</f>
        <v>vay tiền app</v>
      </c>
      <c r="KH69" s="21" t="str">
        <f>IFERROR(__xludf.DUMMYFUNCTION("""COMPUTED_VALUE"""),"https://techcombank.com/thong-tin/blog/lich-su-tin-dung")</f>
        <v>https://techcombank.com/thong-tin/blog/lich-su-tin-dung</v>
      </c>
      <c r="KI69" s="17" t="str">
        <f>IFERROR(__xludf.DUMMYFUNCTION("""COMPUTED_VALUE"""),"app vay tiền")</f>
        <v>app vay tiền</v>
      </c>
      <c r="KJ69" s="21" t="str">
        <f>IFERROR(__xludf.DUMMYFUNCTION("""COMPUTED_VALUE"""),"https://techcombank.com/thong-tin/blog/chung-chi-tien-gui-la-gi")</f>
        <v>https://techcombank.com/thong-tin/blog/chung-chi-tien-gui-la-gi</v>
      </c>
      <c r="KK69" s="17" t="str">
        <f>IFERROR(__xludf.DUMMYFUNCTION("""COMPUTED_VALUE"""),"app vay nhanh")</f>
        <v>app vay nhanh</v>
      </c>
      <c r="KL69" s="21" t="str">
        <f>IFERROR(__xludf.DUMMYFUNCTION("""COMPUTED_VALUE"""),"https://techcombank.com/thong-tin/blog/lai-suat-la-gi")</f>
        <v>https://techcombank.com/thong-tin/blog/lai-suat-la-gi</v>
      </c>
      <c r="KM69" s="17" t="str">
        <f>IFERROR(__xludf.DUMMYFUNCTION("""COMPUTED_VALUE"""),"app vay tiền nhanh")</f>
        <v>app vay tiền nhanh</v>
      </c>
      <c r="KN69" s="21" t="str">
        <f>IFERROR(__xludf.DUMMYFUNCTION("""COMPUTED_VALUE"""),"https://techcombank.com/thong-tin/blog/vi-sao-lai-suat-trai-phieu-tai-tcbs-lai-thap-hon-so-voi-cac-to-chuc-phat-hanh-khac")</f>
        <v>https://techcombank.com/thong-tin/blog/vi-sao-lai-suat-trai-phieu-tai-tcbs-lai-thap-hon-so-voi-cac-to-chuc-phat-hanh-khac</v>
      </c>
      <c r="KO69" s="17" t="str">
        <f>IFERROR(__xludf.DUMMYFUNCTION("""COMPUTED_VALUE"""),"vay nhanh")</f>
        <v>vay nhanh</v>
      </c>
      <c r="KP69" s="21" t="str">
        <f>IFERROR(__xludf.DUMMYFUNCTION("""COMPUTED_VALUE"""),"https://techcombank.com/thong-tin/blog/mo-the-tin-dung-han-muc-cao")</f>
        <v>https://techcombank.com/thong-tin/blog/mo-the-tin-dung-han-muc-cao</v>
      </c>
      <c r="KQ69" s="17" t="str">
        <f>IFERROR(__xludf.DUMMYFUNCTION("""COMPUTED_VALUE"""),"vay")</f>
        <v>vay</v>
      </c>
      <c r="KR69" s="21" t="str">
        <f>IFERROR(__xludf.DUMMYFUNCTION("""COMPUTED_VALUE"""),"https://techcombank.com/thong-tin/blog/the-tin-dung-noi-dia")</f>
        <v>https://techcombank.com/thong-tin/blog/the-tin-dung-noi-dia</v>
      </c>
      <c r="KS69" s="17" t="str">
        <f>IFERROR(__xludf.DUMMYFUNCTION("""COMPUTED_VALUE"""),"vay tiền")</f>
        <v>vay tiền</v>
      </c>
      <c r="KT69" s="21" t="str">
        <f>IFERROR(__xludf.DUMMYFUNCTION("""COMPUTED_VALUE"""),"https://techcombank.com/thong-tin/blog/nghich-ly-nha-dau-tu-che-trai-phieu-lai-suat-cao-ua-ma-an-toan-du-lai-suat-thap-hon-05-1")</f>
        <v>https://techcombank.com/thong-tin/blog/nghich-ly-nha-dau-tu-che-trai-phieu-lai-suat-cao-ua-ma-an-toan-du-lai-suat-thap-hon-05-1</v>
      </c>
      <c r="KU69" s="17" t="str">
        <f>IFERROR(__xludf.DUMMYFUNCTION("""COMPUTED_VALUE"""),"vay tiền online chuyển khoản ngay")</f>
        <v>vay tiền online chuyển khoản ngay</v>
      </c>
      <c r="KV69" s="21" t="str">
        <f>IFERROR(__xludf.DUMMYFUNCTION("""COMPUTED_VALUE"""),"https://techcombank.com/thong-tin/blog/tra-gop-qua-the-tin-dung")</f>
        <v>https://techcombank.com/thong-tin/blog/tra-gop-qua-the-tin-dung</v>
      </c>
      <c r="KW69" s="17" t="str">
        <f>IFERROR(__xludf.DUMMYFUNCTION("""COMPUTED_VALUE"""),"app vay")</f>
        <v>app vay</v>
      </c>
      <c r="KX69" s="21" t="str">
        <f>IFERROR(__xludf.DUMMYFUNCTION("""COMPUTED_VALUE"""),"https://techcombank.com/thong-tin/blog/chung-chi-tien-gui-co-duoc-rut-truoc-han")</f>
        <v>https://techcombank.com/thong-tin/blog/chung-chi-tien-gui-co-duoc-rut-truoc-han</v>
      </c>
      <c r="KY69" s="17" t="str">
        <f>IFERROR(__xludf.DUMMYFUNCTION("""COMPUTED_VALUE"""),"vay tiền app")</f>
        <v>vay tiền app</v>
      </c>
      <c r="KZ69" s="21" t="str">
        <f>IFERROR(__xludf.DUMMYFUNCTION("""COMPUTED_VALUE"""),"https://techcombank.com/thong-tin/blog/thi-truong-trai-phieu-co-hoi-dau-tu-trai-phieu-vang-du-lai-suat-thap")</f>
        <v>https://techcombank.com/thong-tin/blog/thi-truong-trai-phieu-co-hoi-dau-tu-trai-phieu-vang-du-lai-suat-thap</v>
      </c>
      <c r="LA69" s="17" t="str">
        <f>IFERROR(__xludf.DUMMYFUNCTION("""COMPUTED_VALUE"""),"app vay tiền")</f>
        <v>app vay tiền</v>
      </c>
      <c r="LB69" s="21" t="str">
        <f>IFERROR(__xludf.DUMMYFUNCTION("""COMPUTED_VALUE"""),"https://techcombank.com/thong-tin/blog/du-no-la-gi")</f>
        <v>https://techcombank.com/thong-tin/blog/du-no-la-gi</v>
      </c>
      <c r="LC69" s="17" t="str">
        <f>IFERROR(__xludf.DUMMYFUNCTION("""COMPUTED_VALUE"""),"app vay nhanh")</f>
        <v>app vay nhanh</v>
      </c>
      <c r="LD69" s="21" t="str">
        <f>IFERROR(__xludf.DUMMYFUNCTION("""COMPUTED_VALUE"""),"https://techcombank.com/thong-tin/blog/cong-thuc-tinh-lai-suat-thuc")</f>
        <v>https://techcombank.com/thong-tin/blog/cong-thuc-tinh-lai-suat-thuc</v>
      </c>
      <c r="LE69" s="17" t="str">
        <f>IFERROR(__xludf.DUMMYFUNCTION("""COMPUTED_VALUE"""),"app vay tiền nhanh")</f>
        <v>app vay tiền nhanh</v>
      </c>
      <c r="LF69" s="21" t="str">
        <f>IFERROR(__xludf.DUMMYFUNCTION("""COMPUTED_VALUE"""),"https://techcombank.com/thong-tin/blog/so-tiet-kiem-ngan-hang")</f>
        <v>https://techcombank.com/thong-tin/blog/so-tiet-kiem-ngan-hang</v>
      </c>
      <c r="LG69" s="17" t="str">
        <f>IFERROR(__xludf.DUMMYFUNCTION("""COMPUTED_VALUE"""),"vay nhanh")</f>
        <v>vay nhanh</v>
      </c>
      <c r="LH69" s="21" t="str">
        <f>IFERROR(__xludf.DUMMYFUNCTION("""COMPUTED_VALUE"""),"https://techcombank.com/thong-tin/blog/techcombank-sinh-loi-tu-dong")</f>
        <v>https://techcombank.com/thong-tin/blog/techcombank-sinh-loi-tu-dong</v>
      </c>
      <c r="LI69" s="17" t="str">
        <f>IFERROR(__xludf.DUMMYFUNCTION("""COMPUTED_VALUE"""),"vay")</f>
        <v>vay</v>
      </c>
      <c r="LJ69" s="21" t="str">
        <f>IFERROR(__xludf.DUMMYFUNCTION("""COMPUTED_VALUE"""),"https://techcombank.com/thong-tin/blog/no-xau")</f>
        <v>https://techcombank.com/thong-tin/blog/no-xau</v>
      </c>
      <c r="LK69" s="17" t="str">
        <f>IFERROR(__xludf.DUMMYFUNCTION("""COMPUTED_VALUE"""),"vay tiền")</f>
        <v>vay tiền</v>
      </c>
      <c r="LL69" s="21" t="str">
        <f>IFERROR(__xludf.DUMMYFUNCTION("""COMPUTED_VALUE"""),"https://techcombank.com/thong-tin/blog/lai-kep-ngan-hang")</f>
        <v>https://techcombank.com/thong-tin/blog/lai-kep-ngan-hang</v>
      </c>
      <c r="LM69" s="17" t="str">
        <f>IFERROR(__xludf.DUMMYFUNCTION("""COMPUTED_VALUE"""),"vay tiền online chuyển khoản ngay")</f>
        <v>vay tiền online chuyển khoản ngay</v>
      </c>
      <c r="LN69" s="21" t="str">
        <f>IFERROR(__xludf.DUMMYFUNCTION("""COMPUTED_VALUE"""),"https://techcombank.com/thong-tin/blog/tien-gui-khong-ky-han")</f>
        <v>https://techcombank.com/thong-tin/blog/tien-gui-khong-ky-han</v>
      </c>
      <c r="LO69" s="17" t="str">
        <f>IFERROR(__xludf.DUMMYFUNCTION("""COMPUTED_VALUE"""),"app vay")</f>
        <v>app vay</v>
      </c>
      <c r="LP69" s="21" t="str">
        <f>IFERROR(__xludf.DUMMYFUNCTION("""COMPUTED_VALUE"""),"https://techcombank.com/thong-tin/blog/thanh-toan-tra-gop-qua-the-tin-dung")</f>
        <v>https://techcombank.com/thong-tin/blog/thanh-toan-tra-gop-qua-the-tin-dung</v>
      </c>
      <c r="LQ69" s="17" t="str">
        <f>IFERROR(__xludf.DUMMYFUNCTION("""COMPUTED_VALUE"""),"vay tiền app")</f>
        <v>vay tiền app</v>
      </c>
      <c r="LR69" s="21" t="str">
        <f>IFERROR(__xludf.DUMMYFUNCTION("""COMPUTED_VALUE"""),"https://techcombank.com/thong-tin/blog/tat-toan-chung-chi-tien-gui")</f>
        <v>https://techcombank.com/thong-tin/blog/tat-toan-chung-chi-tien-gui</v>
      </c>
      <c r="LS69" s="17" t="str">
        <f>IFERROR(__xludf.DUMMYFUNCTION("""COMPUTED_VALUE"""),"app vay tiền")</f>
        <v>app vay tiền</v>
      </c>
      <c r="LT69" s="21" t="str">
        <f>IFERROR(__xludf.DUMMYFUNCTION("""COMPUTED_VALUE"""),"https://techcombank.com/thong-tin/blog/chon-kenh-dau-tu-an-toan-trong-boi-canh-thi-truong-bien-dong")</f>
        <v>https://techcombank.com/thong-tin/blog/chon-kenh-dau-tu-an-toan-trong-boi-canh-thi-truong-bien-dong</v>
      </c>
      <c r="LU69" s="17" t="str">
        <f>IFERROR(__xludf.DUMMYFUNCTION("""COMPUTED_VALUE"""),"app vay nhanh")</f>
        <v>app vay nhanh</v>
      </c>
      <c r="LV69" s="21" t="str">
        <f>IFERROR(__xludf.DUMMYFUNCTION("""COMPUTED_VALUE"""),"https://techcombank.com/thong-tin/blog/cach-su-dung-the-visa-techcombank")</f>
        <v>https://techcombank.com/thong-tin/blog/cach-su-dung-the-visa-techcombank</v>
      </c>
      <c r="LW69" s="17" t="str">
        <f>IFERROR(__xludf.DUMMYFUNCTION("""COMPUTED_VALUE"""),"app vay tiền nhanh")</f>
        <v>app vay tiền nhanh</v>
      </c>
      <c r="LX69" s="21" t="str">
        <f>IFERROR(__xludf.DUMMYFUNCTION("""COMPUTED_VALUE"""),"https://techcombank.com/thong-tin/blog/lai-suat-chung-chi-tien-gui-cac-ngan-hang")</f>
        <v>https://techcombank.com/thong-tin/blog/lai-suat-chung-chi-tien-gui-cac-ngan-hang</v>
      </c>
      <c r="LY69" s="17" t="str">
        <f>IFERROR(__xludf.DUMMYFUNCTION("""COMPUTED_VALUE"""),"vay nhanh")</f>
        <v>vay nhanh</v>
      </c>
      <c r="LZ69" s="21" t="str">
        <f>IFERROR(__xludf.DUMMYFUNCTION("""COMPUTED_VALUE"""),"https://techcombank.com/thong-tin/blog/so-sanh-gui-tiet-kiem-online-va-tai-quay")</f>
        <v>https://techcombank.com/thong-tin/blog/so-sanh-gui-tiet-kiem-online-va-tai-quay</v>
      </c>
      <c r="MA69" s="17" t="str">
        <f>IFERROR(__xludf.DUMMYFUNCTION("""COMPUTED_VALUE"""),"vay")</f>
        <v>vay</v>
      </c>
      <c r="MB69" s="21" t="str">
        <f>IFERROR(__xludf.DUMMYFUNCTION("""COMPUTED_VALUE"""),"https://techcombank.com/thong-tin/blog/cach-tiet-kiem-tien-sinh-loi")</f>
        <v>https://techcombank.com/thong-tin/blog/cach-tiet-kiem-tien-sinh-loi</v>
      </c>
      <c r="MC69" s="17" t="str">
        <f>IFERROR(__xludf.DUMMYFUNCTION("""COMPUTED_VALUE"""),"vay tiền")</f>
        <v>vay tiền</v>
      </c>
      <c r="MD69" s="21" t="str">
        <f>IFERROR(__xludf.DUMMYFUNCTION("""COMPUTED_VALUE"""),"https://techcombank.com/thong-tin/blog/tai-sao-gui-tiet-kiem-online-lai-suat-cao-hon")</f>
        <v>https://techcombank.com/thong-tin/blog/tai-sao-gui-tiet-kiem-online-lai-suat-cao-hon</v>
      </c>
      <c r="ME69" s="17" t="str">
        <f>IFERROR(__xludf.DUMMYFUNCTION("""COMPUTED_VALUE"""),"vay tiền online chuyển khoản ngay")</f>
        <v>vay tiền online chuyển khoản ngay</v>
      </c>
      <c r="MF69" s="21" t="str">
        <f>IFERROR(__xludf.DUMMYFUNCTION("""COMPUTED_VALUE"""),"https://techcombank.com/thong-tin/blog/co-nen-gui-tiet-kiem-online")</f>
        <v>https://techcombank.com/thong-tin/blog/co-nen-gui-tiet-kiem-online</v>
      </c>
      <c r="MG69" s="17" t="str">
        <f>IFERROR(__xludf.DUMMYFUNCTION("""COMPUTED_VALUE"""),"app vay")</f>
        <v>app vay</v>
      </c>
      <c r="MH69" s="21" t="str">
        <f>IFERROR(__xludf.DUMMYFUNCTION("""COMPUTED_VALUE"""),"https://techcombank.com/thong-tin/blog/no-xau-co-lam-the-visa-duoc-khong")</f>
        <v>https://techcombank.com/thong-tin/blog/no-xau-co-lam-the-visa-duoc-khong</v>
      </c>
      <c r="MI69" s="17" t="str">
        <f>IFERROR(__xludf.DUMMYFUNCTION("""COMPUTED_VALUE"""),"vay tiền app")</f>
        <v>vay tiền app</v>
      </c>
      <c r="MJ69" s="21" t="str">
        <f>IFERROR(__xludf.DUMMYFUNCTION("""COMPUTED_VALUE"""),"https://techcombank.com/thong-tin/blog/sao-ke-the-tin-dung-la-gi")</f>
        <v>https://techcombank.com/thong-tin/blog/sao-ke-the-tin-dung-la-gi</v>
      </c>
      <c r="MK69" s="17" t="str">
        <f>IFERROR(__xludf.DUMMYFUNCTION("""COMPUTED_VALUE"""),"app vay tiền")</f>
        <v>app vay tiền</v>
      </c>
      <c r="ML69" s="21" t="str">
        <f>IFERROR(__xludf.DUMMYFUNCTION("""COMPUTED_VALUE"""),"https://techcombank.com/thong-tin/blog/the-tin-dung-bi-khoa")</f>
        <v>https://techcombank.com/thong-tin/blog/the-tin-dung-bi-khoa</v>
      </c>
      <c r="MM69" s="17" t="str">
        <f>IFERROR(__xludf.DUMMYFUNCTION("""COMPUTED_VALUE"""),"app vay nhanh")</f>
        <v>app vay nhanh</v>
      </c>
      <c r="MN69" s="21" t="str">
        <f>IFERROR(__xludf.DUMMYFUNCTION("""COMPUTED_VALUE"""),"https://techcombank.com/thong-tin/blog/no-the-tin-dung-qua-han")</f>
        <v>https://techcombank.com/thong-tin/blog/no-the-tin-dung-qua-han</v>
      </c>
      <c r="MO69" s="17" t="str">
        <f>IFERROR(__xludf.DUMMYFUNCTION("""COMPUTED_VALUE"""),"app vay tiền nhanh")</f>
        <v>app vay tiền nhanh</v>
      </c>
      <c r="MP69" s="21" t="str">
        <f>IFERROR(__xludf.DUMMYFUNCTION("""COMPUTED_VALUE"""),"https://techcombank.com/thong-tin/blog/lai-suat-qua-han")</f>
        <v>https://techcombank.com/thong-tin/blog/lai-suat-qua-han</v>
      </c>
      <c r="MQ69" s="17" t="str">
        <f>IFERROR(__xludf.DUMMYFUNCTION("""COMPUTED_VALUE"""),"vay nhanh")</f>
        <v>vay nhanh</v>
      </c>
      <c r="MR69" s="21" t="str">
        <f>IFERROR(__xludf.DUMMYFUNCTION("""COMPUTED_VALUE"""),"https://techcombank.com/thong-tin/blog/chung-chi-tien-gui-khac-gi-so-tiet-kiem")</f>
        <v>https://techcombank.com/thong-tin/blog/chung-chi-tien-gui-khac-gi-so-tiet-kiem</v>
      </c>
      <c r="MS69" s="17" t="str">
        <f>IFERROR(__xludf.DUMMYFUNCTION("""COMPUTED_VALUE"""),"vay")</f>
        <v>vay</v>
      </c>
      <c r="MT69" s="21" t="str">
        <f>IFERROR(__xludf.DUMMYFUNCTION("""COMPUTED_VALUE"""),"https://techcombank.com/thong-tin/blog/lai-suat-gui-tiet-kiem-usd")</f>
        <v>https://techcombank.com/thong-tin/blog/lai-suat-gui-tiet-kiem-usd</v>
      </c>
      <c r="MU69" s="17" t="str">
        <f>IFERROR(__xludf.DUMMYFUNCTION("""COMPUTED_VALUE"""),"vay tiền")</f>
        <v>vay tiền</v>
      </c>
      <c r="MV69" s="21" t="str">
        <f>IFERROR(__xludf.DUMMYFUNCTION("""COMPUTED_VALUE"""),"https://techcombank.com/thong-tin/blog/gui-tiet-kiem-theo-ngay")</f>
        <v>https://techcombank.com/thong-tin/blog/gui-tiet-kiem-theo-ngay</v>
      </c>
      <c r="MW69" s="17" t="str">
        <f>IFERROR(__xludf.DUMMYFUNCTION("""COMPUTED_VALUE"""),"vay tiền online chuyển khoản ngay")</f>
        <v>vay tiền online chuyển khoản ngay</v>
      </c>
      <c r="MX69" s="21" t="str">
        <f>IFERROR(__xludf.DUMMYFUNCTION("""COMPUTED_VALUE"""),"https://techcombank.com/thong-tin/blog/the-tin-dung-quoc-te")</f>
        <v>https://techcombank.com/thong-tin/blog/the-tin-dung-quoc-te</v>
      </c>
      <c r="MY69" s="17" t="str">
        <f>IFERROR(__xludf.DUMMYFUNCTION("""COMPUTED_VALUE"""),"app vay")</f>
        <v>app vay</v>
      </c>
      <c r="MZ69" s="21" t="str">
        <f>IFERROR(__xludf.DUMMYFUNCTION("""COMPUTED_VALUE"""),"https://techcombank.com/thong-tin/blog/lai-suat-chung-chi-quy")</f>
        <v>https://techcombank.com/thong-tin/blog/lai-suat-chung-chi-quy</v>
      </c>
      <c r="NA69" s="17" t="str">
        <f>IFERROR(__xludf.DUMMYFUNCTION("""COMPUTED_VALUE"""),"vay tiền app")</f>
        <v>vay tiền app</v>
      </c>
      <c r="NB69" s="21" t="str">
        <f>IFERROR(__xludf.DUMMYFUNCTION("""COMPUTED_VALUE"""),"https://techcombank.com/thong-tin/blog/cach-thanh-toan-the-tin-dung")</f>
        <v>https://techcombank.com/thong-tin/blog/cach-thanh-toan-the-tin-dung</v>
      </c>
      <c r="NC69" s="17" t="str">
        <f>IFERROR(__xludf.DUMMYFUNCTION("""COMPUTED_VALUE"""),"app vay tiền")</f>
        <v>app vay tiền</v>
      </c>
      <c r="ND69" s="21" t="str">
        <f>IFERROR(__xludf.DUMMYFUNCTION("""COMPUTED_VALUE"""),"https://techcombank.com/thong-tin/blog/dau-tu-trai-phieu-doanh-nghiep-dung-ham-lai-suat-cao")</f>
        <v>https://techcombank.com/thong-tin/blog/dau-tu-trai-phieu-doanh-nghiep-dung-ham-lai-suat-cao</v>
      </c>
      <c r="NE69" s="17" t="str">
        <f>IFERROR(__xludf.DUMMYFUNCTION("""COMPUTED_VALUE"""),"app vay nhanh")</f>
        <v>app vay nhanh</v>
      </c>
      <c r="NF69" s="21" t="str">
        <f>IFERROR(__xludf.DUMMYFUNCTION("""COMPUTED_VALUE"""),"https://techcombank.com/thong-tin/blog/nen-gui-tiet-kiem-6-thang-hay-1-nam")</f>
        <v>https://techcombank.com/thong-tin/blog/nen-gui-tiet-kiem-6-thang-hay-1-nam</v>
      </c>
      <c r="NG69" s="17" t="str">
        <f>IFERROR(__xludf.DUMMYFUNCTION("""COMPUTED_VALUE"""),"app vay tiền nhanh")</f>
        <v>app vay tiền nhanh</v>
      </c>
      <c r="NH69" s="21" t="str">
        <f>IFERROR(__xludf.DUMMYFUNCTION("""COMPUTED_VALUE"""),"https://techcombank.com/thong-tin/blog/lai-suat-the-tin-dung")</f>
        <v>https://techcombank.com/thong-tin/blog/lai-suat-the-tin-dung</v>
      </c>
      <c r="NI69" s="17" t="str">
        <f>IFERROR(__xludf.DUMMYFUNCTION("""COMPUTED_VALUE"""),"vay nhanh")</f>
        <v>vay nhanh</v>
      </c>
      <c r="NJ69" s="21" t="str">
        <f>IFERROR(__xludf.DUMMYFUNCTION("""COMPUTED_VALUE"""),"https://techcombank.com/thong-tin/blog/thanh-toan-toi-thieu-the-tin-dung")</f>
        <v>https://techcombank.com/thong-tin/blog/thanh-toan-toi-thieu-the-tin-dung</v>
      </c>
      <c r="NK69" s="17" t="str">
        <f>IFERROR(__xludf.DUMMYFUNCTION("""COMPUTED_VALUE"""),"vay")</f>
        <v>vay</v>
      </c>
      <c r="NL69" s="21" t="str">
        <f>IFERROR(__xludf.DUMMYFUNCTION("""COMPUTED_VALUE"""),"https://techcombank.com/thong-tin/blog/cach-tinh-lai-suat-tien-gui-tiet-kiem")</f>
        <v>https://techcombank.com/thong-tin/blog/cach-tinh-lai-suat-tien-gui-tiet-kiem</v>
      </c>
      <c r="NM69" s="17" t="str">
        <f>IFERROR(__xludf.DUMMYFUNCTION("""COMPUTED_VALUE"""),"vay tiền")</f>
        <v>vay tiền</v>
      </c>
      <c r="NN69" s="21" t="str">
        <f>IFERROR(__xludf.DUMMYFUNCTION("""COMPUTED_VALUE"""),"https://techcombank.com/thong-tin/blog/gui-tiet-kiem-ngoai-te")</f>
        <v>https://techcombank.com/thong-tin/blog/gui-tiet-kiem-ngoai-te</v>
      </c>
      <c r="NO69" s="17" t="str">
        <f>IFERROR(__xludf.DUMMYFUNCTION("""COMPUTED_VALUE"""),"vay tiền online chuyển khoản ngay")</f>
        <v>vay tiền online chuyển khoản ngay</v>
      </c>
      <c r="NP69" s="21" t="str">
        <f>IFERROR(__xludf.DUMMYFUNCTION("""COMPUTED_VALUE"""),"https://techcombank.com/thong-tin/blog/gui-tiet-kiem-hang-thang")</f>
        <v>https://techcombank.com/thong-tin/blog/gui-tiet-kiem-hang-thang</v>
      </c>
      <c r="NQ69" s="17" t="str">
        <f>IFERROR(__xludf.DUMMYFUNCTION("""COMPUTED_VALUE"""),"app vay")</f>
        <v>app vay</v>
      </c>
      <c r="NR69" s="21" t="str">
        <f>IFERROR(__xludf.DUMMYFUNCTION("""COMPUTED_VALUE"""),"https://techcombank.com/thong-tin/blog/tien-gui-co-ky-han")</f>
        <v>https://techcombank.com/thong-tin/blog/tien-gui-co-ky-han</v>
      </c>
      <c r="NS69" s="17" t="str">
        <f>IFERROR(__xludf.DUMMYFUNCTION("""COMPUTED_VALUE"""),"vay tiền app")</f>
        <v>vay tiền app</v>
      </c>
      <c r="NT69" s="21" t="str">
        <f>IFERROR(__xludf.DUMMYFUNCTION("""COMPUTED_VALUE"""),"https://techcombank.com/thong-tin/blog/the-visa-de-lam-gi")</f>
        <v>https://techcombank.com/thong-tin/blog/the-visa-de-lam-gi</v>
      </c>
      <c r="NU69" s="17" t="str">
        <f>IFERROR(__xludf.DUMMYFUNCTION("""COMPUTED_VALUE"""),"app vay tiền")</f>
        <v>app vay tiền</v>
      </c>
      <c r="NV69" s="21" t="str">
        <f>IFERROR(__xludf.DUMMYFUNCTION("""COMPUTED_VALUE"""),"https://techcombank.com/thong-tin/blog/lai-suat-tiet-kiem")</f>
        <v>https://techcombank.com/thong-tin/blog/lai-suat-tiet-kiem</v>
      </c>
      <c r="NW69" s="17" t="str">
        <f>IFERROR(__xludf.DUMMYFUNCTION("""COMPUTED_VALUE"""),"app vay nhanh")</f>
        <v>app vay nhanh</v>
      </c>
      <c r="NX69" s="21" t="str">
        <f>IFERROR(__xludf.DUMMYFUNCTION("""COMPUTED_VALUE"""),"https://techcombank.com/thong-tin/blog/cach-chuyen-khoan-bang-dien-thoai")</f>
        <v>https://techcombank.com/thong-tin/blog/cach-chuyen-khoan-bang-dien-thoai</v>
      </c>
      <c r="NY69" s="17" t="str">
        <f>IFERROR(__xludf.DUMMYFUNCTION("""COMPUTED_VALUE"""),"app vay tiền nhanh")</f>
        <v>app vay tiền nhanh</v>
      </c>
      <c r="NZ69" s="21" t="str">
        <f>IFERROR(__xludf.DUMMYFUNCTION("""COMPUTED_VALUE"""),"https://techcombank.com/thong-tin/blog/cach-su-dung-the-tin-dung")</f>
        <v>https://techcombank.com/thong-tin/blog/cach-su-dung-the-tin-dung</v>
      </c>
      <c r="OA69" s="17" t="str">
        <f>IFERROR(__xludf.DUMMYFUNCTION("""COMPUTED_VALUE"""),"vay nhanh")</f>
        <v>vay nhanh</v>
      </c>
      <c r="OB69" s="21" t="str">
        <f>IFERROR(__xludf.DUMMYFUNCTION("""COMPUTED_VALUE"""),"https://techcombank.com/thong-tin/blog/mua-truoc-tra-sau")</f>
        <v>https://techcombank.com/thong-tin/blog/mua-truoc-tra-sau</v>
      </c>
      <c r="OC69" s="17" t="str">
        <f>IFERROR(__xludf.DUMMYFUNCTION("""COMPUTED_VALUE"""),"vay")</f>
        <v>vay</v>
      </c>
      <c r="OD69" s="21" t="str">
        <f>IFERROR(__xludf.DUMMYFUNCTION("""COMPUTED_VALUE"""),"https://techcombank.com/thong-tin/blog/tra-cuu-han-muc-the-tin-dung")</f>
        <v>https://techcombank.com/thong-tin/blog/tra-cuu-han-muc-the-tin-dung</v>
      </c>
      <c r="OE69" s="17" t="str">
        <f>IFERROR(__xludf.DUMMYFUNCTION("""COMPUTED_VALUE"""),"vay tiền")</f>
        <v>vay tiền</v>
      </c>
      <c r="OF69" s="21" t="str">
        <f>IFERROR(__xludf.DUMMYFUNCTION("""COMPUTED_VALUE"""),"https://techcombank.com/thong-tin/blog/uu-dai-the-tin-dung-techcombank-signature")</f>
        <v>https://techcombank.com/thong-tin/blog/uu-dai-the-tin-dung-techcombank-signature</v>
      </c>
      <c r="OG69" s="17" t="str">
        <f>IFERROR(__xludf.DUMMYFUNCTION("""COMPUTED_VALUE"""),"vay tiền online chuyển khoản ngay")</f>
        <v>vay tiền online chuyển khoản ngay</v>
      </c>
      <c r="OH69" s="21" t="str">
        <f>IFERROR(__xludf.DUMMYFUNCTION("""COMPUTED_VALUE"""),"https://techcombank.com/thong-tin/blog/han-muc-mua-ngoai-te-khi-di-du-lich")</f>
        <v>https://techcombank.com/thong-tin/blog/han-muc-mua-ngoai-te-khi-di-du-lich</v>
      </c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17"/>
      <c r="OT69" s="17"/>
      <c r="OU69" s="17"/>
      <c r="OV69" s="17"/>
    </row>
    <row r="70" ht="18.0" customHeight="1">
      <c r="A70" s="16">
        <v>69.0</v>
      </c>
      <c r="B70" s="17" t="s">
        <v>1842</v>
      </c>
      <c r="C70" s="18" t="s">
        <v>820</v>
      </c>
      <c r="D70" s="17" t="s">
        <v>614</v>
      </c>
      <c r="E70" s="16">
        <v>100.0</v>
      </c>
      <c r="F70" s="16">
        <f>COUNTIF('Tổng hợp 75 trang đích'!$B$2:$B$3400,$D70)</f>
        <v>100</v>
      </c>
      <c r="G70" s="16">
        <f>COUNTIFS('Tổng hợp 75 trang đích'!$B$2:$B$3400,$D70,'Tổng hợp 75 trang đích'!$K$2:$K$3400,"PHÙ HỢP CAO")</f>
        <v>3</v>
      </c>
      <c r="H70" s="16">
        <f>COUNTIFS('Tổng hợp 75 trang đích'!$B$2:$B$3400,$D70,'Tổng hợp 75 trang đích'!$K$2:$K$3400,"CÓ THỂ ĐI")</f>
        <v>2</v>
      </c>
      <c r="I70" s="16">
        <f>COUNTIFS('Tổng hợp 75 trang đích'!$B$2:$B$3400,$D70,'Tổng hợp 75 trang đích'!$K$2:$K$3400,"CẦN SOÁT")</f>
        <v>95</v>
      </c>
      <c r="J70" s="19" t="s">
        <v>555</v>
      </c>
      <c r="K70" s="19" t="b">
        <v>0</v>
      </c>
      <c r="L70" s="20" t="s">
        <v>333</v>
      </c>
      <c r="M70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đích'!$B$2:$B$3400=$D70),3,TR"&amp;"UE),1,2)),"""")"),"lãi suất vay ngân hàng")</f>
        <v>lãi suất vay ngân hàng</v>
      </c>
      <c r="N70" s="21" t="str">
        <f>IFERROR(__xludf.DUMMYFUNCTION("""COMPUTED_VALUE"""),"https://techcombank.com/thong-tin/blog/lai-suat-la-gi")</f>
        <v>https://techcombank.com/thong-tin/blog/lai-suat-la-gi</v>
      </c>
      <c r="O70" s="17" t="str">
        <f>IFERROR(__xludf.DUMMYFUNCTION("""COMPUTED_VALUE"""),"lãi suất vay ngân hàng hiện nay")</f>
        <v>lãi suất vay ngân hàng hiện nay</v>
      </c>
      <c r="P70" s="21" t="str">
        <f>IFERROR(__xludf.DUMMYFUNCTION("""COMPUTED_VALUE"""),"https://techcombank.com/thong-tin/blog/lai-suat-vay-tieu-dung")</f>
        <v>https://techcombank.com/thong-tin/blog/lai-suat-vay-tieu-dung</v>
      </c>
      <c r="Q70" s="17" t="str">
        <f>IFERROR(__xludf.DUMMYFUNCTION("""COMPUTED_VALUE"""),"lãi suất cho vay ngân hàng")</f>
        <v>lãi suất cho vay ngân hàng</v>
      </c>
      <c r="R70" s="21" t="str">
        <f>IFERROR(__xludf.DUMMYFUNCTION("""COMPUTED_VALUE"""),"https://techcombank.com/thong-tin/blog/lai-suat-vay-tin-chap")</f>
        <v>https://techcombank.com/thong-tin/blog/lai-suat-vay-tin-chap</v>
      </c>
      <c r="S70" s="17" t="str">
        <f>IFERROR(__xludf.DUMMYFUNCTION("""COMPUTED_VALUE"""),"lãi vay ngân hàng hiện nay")</f>
        <v>lãi vay ngân hàng hiện nay</v>
      </c>
      <c r="T70" s="21" t="str">
        <f>IFERROR(__xludf.DUMMYFUNCTION("""COMPUTED_VALUE"""),"https://techcombank.com/thong-tin/blog/dieu-kien-vay-von-ngan-hang")</f>
        <v>https://techcombank.com/thong-tin/blog/dieu-kien-vay-von-ngan-hang</v>
      </c>
      <c r="U70" s="17" t="str">
        <f>IFERROR(__xludf.DUMMYFUNCTION("""COMPUTED_VALUE"""),"lãi suất vay ngân hàng hôm nay")</f>
        <v>lãi suất vay ngân hàng hôm nay</v>
      </c>
      <c r="V70" s="21" t="str">
        <f>IFERROR(__xludf.DUMMYFUNCTION("""COMPUTED_VALUE"""),"https://techcombank.com/thong-tin/blog/lai-suat-qua-han")</f>
        <v>https://techcombank.com/thong-tin/blog/lai-suat-qua-han</v>
      </c>
      <c r="W70" s="17" t="str">
        <f>IFERROR(__xludf.DUMMYFUNCTION("""COMPUTED_VALUE"""),"lãi suất vay ngân hàng")</f>
        <v>lãi suất vay ngân hàng</v>
      </c>
      <c r="X70" s="21" t="str">
        <f>IFERROR(__xludf.DUMMYFUNCTION("""COMPUTED_VALUE"""),"https://techcombank.com/thong-tin/blog/lai-suat-vay-kinh-doanh")</f>
        <v>https://techcombank.com/thong-tin/blog/lai-suat-vay-kinh-doanh</v>
      </c>
      <c r="Y70" s="17" t="str">
        <f>IFERROR(__xludf.DUMMYFUNCTION("""COMPUTED_VALUE"""),"lãi suất vay ngân hàng hiện nay")</f>
        <v>lãi suất vay ngân hàng hiện nay</v>
      </c>
      <c r="Z70" s="21" t="str">
        <f>IFERROR(__xludf.DUMMYFUNCTION("""COMPUTED_VALUE"""),"https://techcombank.com/thong-tin/blog/loi-nhuan")</f>
        <v>https://techcombank.com/thong-tin/blog/loi-nhuan</v>
      </c>
      <c r="AA70" s="17" t="str">
        <f>IFERROR(__xludf.DUMMYFUNCTION("""COMPUTED_VALUE"""),"lãi suất cho vay ngân hàng")</f>
        <v>lãi suất cho vay ngân hàng</v>
      </c>
      <c r="AB70" s="21" t="str">
        <f>IFERROR(__xludf.DUMMYFUNCTION("""COMPUTED_VALUE"""),"https://techcombank.com/thong-tin/blog/vay-tin-chap-va-vay-the-chap")</f>
        <v>https://techcombank.com/thong-tin/blog/vay-tin-chap-va-vay-the-chap</v>
      </c>
      <c r="AC70" s="17" t="str">
        <f>IFERROR(__xludf.DUMMYFUNCTION("""COMPUTED_VALUE"""),"lãi vay ngân hàng hiện nay")</f>
        <v>lãi vay ngân hàng hiện nay</v>
      </c>
      <c r="AD70" s="21" t="str">
        <f>IFERROR(__xludf.DUMMYFUNCTION("""COMPUTED_VALUE"""),"https://techcombank.com/thong-tin/blog/lai-suat-vay-the-chap")</f>
        <v>https://techcombank.com/thong-tin/blog/lai-suat-vay-the-chap</v>
      </c>
      <c r="AE70" s="17" t="str">
        <f>IFERROR(__xludf.DUMMYFUNCTION("""COMPUTED_VALUE"""),"lãi suất vay ngân hàng hôm nay")</f>
        <v>lãi suất vay ngân hàng hôm nay</v>
      </c>
      <c r="AF70" s="21" t="str">
        <f>IFERROR(__xludf.DUMMYFUNCTION("""COMPUTED_VALUE"""),"https://techcombank.com/thong-tin/blog/lai-suat-vay-thau-chi")</f>
        <v>https://techcombank.com/thong-tin/blog/lai-suat-vay-thau-chi</v>
      </c>
      <c r="AG70" s="17" t="str">
        <f>IFERROR(__xludf.DUMMYFUNCTION("""COMPUTED_VALUE"""),"lãi suất vay ngân hàng")</f>
        <v>lãi suất vay ngân hàng</v>
      </c>
      <c r="AH70" s="21" t="str">
        <f>IFERROR(__xludf.DUMMYFUNCTION("""COMPUTED_VALUE"""),"https://techcombank.com/thong-tin/blog/lai-suat-vay-the-chap-so-do")</f>
        <v>https://techcombank.com/thong-tin/blog/lai-suat-vay-the-chap-so-do</v>
      </c>
      <c r="AI70" s="17" t="str">
        <f>IFERROR(__xludf.DUMMYFUNCTION("""COMPUTED_VALUE"""),"lãi suất vay ngân hàng hiện nay")</f>
        <v>lãi suất vay ngân hàng hiện nay</v>
      </c>
      <c r="AJ70" s="21" t="str">
        <f>IFERROR(__xludf.DUMMYFUNCTION("""COMPUTED_VALUE"""),"https://techcombank.com/thong-tin/blog/lai-suat-ngan-hang-cho-vay-xay-nha")</f>
        <v>https://techcombank.com/thong-tin/blog/lai-suat-ngan-hang-cho-vay-xay-nha</v>
      </c>
      <c r="AK70" s="17" t="str">
        <f>IFERROR(__xludf.DUMMYFUNCTION("""COMPUTED_VALUE"""),"lãi suất cho vay ngân hàng")</f>
        <v>lãi suất cho vay ngân hàng</v>
      </c>
      <c r="AL70" s="21" t="str">
        <f>IFERROR(__xludf.DUMMYFUNCTION("""COMPUTED_VALUE"""),"https://techcombank.com/thong-tin/blog/cach-tinh-lai-vay-ngan-hang")</f>
        <v>https://techcombank.com/thong-tin/blog/cach-tinh-lai-vay-ngan-hang</v>
      </c>
      <c r="AM70" s="17" t="str">
        <f>IFERROR(__xludf.DUMMYFUNCTION("""COMPUTED_VALUE"""),"lãi vay ngân hàng hiện nay")</f>
        <v>lãi vay ngân hàng hiện nay</v>
      </c>
      <c r="AN70" s="21" t="str">
        <f>IFERROR(__xludf.DUMMYFUNCTION("""COMPUTED_VALUE"""),"https://techcombank.com/thong-tin/blog/lai-suat-vay-mua-o-to")</f>
        <v>https://techcombank.com/thong-tin/blog/lai-suat-vay-mua-o-to</v>
      </c>
      <c r="AO70" s="17" t="str">
        <f>IFERROR(__xludf.DUMMYFUNCTION("""COMPUTED_VALUE"""),"lãi suất vay ngân hàng hôm nay")</f>
        <v>lãi suất vay ngân hàng hôm nay</v>
      </c>
      <c r="AP70" s="21" t="str">
        <f>IFERROR(__xludf.DUMMYFUNCTION("""COMPUTED_VALUE"""),"https://techcombank.com/thong-tin/blog/vay-tin-chap-la-gi")</f>
        <v>https://techcombank.com/thong-tin/blog/vay-tin-chap-la-gi</v>
      </c>
      <c r="AQ70" s="17" t="str">
        <f>IFERROR(__xludf.DUMMYFUNCTION("""COMPUTED_VALUE"""),"lãi suất vay ngân hàng")</f>
        <v>lãi suất vay ngân hàng</v>
      </c>
      <c r="AR70" s="21" t="str">
        <f>IFERROR(__xludf.DUMMYFUNCTION("""COMPUTED_VALUE"""),"https://techcombank.com/thong-tin/blog/lai-suat-cho-vay-doanh-nghiep")</f>
        <v>https://techcombank.com/thong-tin/blog/lai-suat-cho-vay-doanh-nghiep</v>
      </c>
      <c r="AS70" s="17" t="str">
        <f>IFERROR(__xludf.DUMMYFUNCTION("""COMPUTED_VALUE"""),"lãi suất vay ngân hàng hiện nay")</f>
        <v>lãi suất vay ngân hàng hiện nay</v>
      </c>
      <c r="AT70" s="21" t="str">
        <f>IFERROR(__xludf.DUMMYFUNCTION("""COMPUTED_VALUE"""),"https://techcombank.com/thong-tin/blog/nen-mua-xe-tra-gop-hay-tra-thang")</f>
        <v>https://techcombank.com/thong-tin/blog/nen-mua-xe-tra-gop-hay-tra-thang</v>
      </c>
      <c r="AU70" s="17" t="str">
        <f>IFERROR(__xludf.DUMMYFUNCTION("""COMPUTED_VALUE"""),"lãi suất cho vay ngân hàng")</f>
        <v>lãi suất cho vay ngân hàng</v>
      </c>
      <c r="AV70" s="21" t="str">
        <f>IFERROR(__xludf.DUMMYFUNCTION("""COMPUTED_VALUE"""),"https://techcombank.com/thong-tin/blog/tin-chap-doanh-nghiep")</f>
        <v>https://techcombank.com/thong-tin/blog/tin-chap-doanh-nghiep</v>
      </c>
      <c r="AW70" s="17" t="str">
        <f>IFERROR(__xludf.DUMMYFUNCTION("""COMPUTED_VALUE"""),"lãi vay ngân hàng hiện nay")</f>
        <v>lãi vay ngân hàng hiện nay</v>
      </c>
      <c r="AX70" s="21" t="str">
        <f>IFERROR(__xludf.DUMMYFUNCTION("""COMPUTED_VALUE"""),"https://techcombank.com/thong-tin/blog/vay-mua-nha-o-xa-hoi")</f>
        <v>https://techcombank.com/thong-tin/blog/vay-mua-nha-o-xa-hoi</v>
      </c>
      <c r="AY70" s="17" t="str">
        <f>IFERROR(__xludf.DUMMYFUNCTION("""COMPUTED_VALUE"""),"lãi suất vay ngân hàng hôm nay")</f>
        <v>lãi suất vay ngân hàng hôm nay</v>
      </c>
      <c r="AZ70" s="21" t="str">
        <f>IFERROR(__xludf.DUMMYFUNCTION("""COMPUTED_VALUE"""),"https://techcombank.com/thong-tin/blog/vay-the-chap-xe-o-to-cu")</f>
        <v>https://techcombank.com/thong-tin/blog/vay-the-chap-xe-o-to-cu</v>
      </c>
      <c r="BA70" s="17" t="str">
        <f>IFERROR(__xludf.DUMMYFUNCTION("""COMPUTED_VALUE"""),"lãi suất vay ngân hàng")</f>
        <v>lãi suất vay ngân hàng</v>
      </c>
      <c r="BB70" s="21" t="str">
        <f>IFERROR(__xludf.DUMMYFUNCTION("""COMPUTED_VALUE"""),"https://techcombank.com/thong-tin/blog/vay-30-trieu")</f>
        <v>https://techcombank.com/thong-tin/blog/vay-30-trieu</v>
      </c>
      <c r="BC70" s="17" t="str">
        <f>IFERROR(__xludf.DUMMYFUNCTION("""COMPUTED_VALUE"""),"lãi suất vay ngân hàng hiện nay")</f>
        <v>lãi suất vay ngân hàng hiện nay</v>
      </c>
      <c r="BD70" s="21" t="str">
        <f>IFERROR(__xludf.DUMMYFUNCTION("""COMPUTED_VALUE"""),"https://techcombank.com/thong-tin/blog/bao-hiem-vat-chat-xe-o-to")</f>
        <v>https://techcombank.com/thong-tin/blog/bao-hiem-vat-chat-xe-o-to</v>
      </c>
      <c r="BE70" s="17" t="str">
        <f>IFERROR(__xludf.DUMMYFUNCTION("""COMPUTED_VALUE"""),"lãi suất cho vay ngân hàng")</f>
        <v>lãi suất cho vay ngân hàng</v>
      </c>
      <c r="BF70" s="21" t="str">
        <f>IFERROR(__xludf.DUMMYFUNCTION("""COMPUTED_VALUE"""),"https://techcombank.com/thong-tin/blog/vay-300-trieu")</f>
        <v>https://techcombank.com/thong-tin/blog/vay-300-trieu</v>
      </c>
      <c r="BG70" s="17" t="str">
        <f>IFERROR(__xludf.DUMMYFUNCTION("""COMPUTED_VALUE"""),"lãi vay ngân hàng hiện nay")</f>
        <v>lãi vay ngân hàng hiện nay</v>
      </c>
      <c r="BH70" s="21" t="str">
        <f>IFERROR(__xludf.DUMMYFUNCTION("""COMPUTED_VALUE"""),"https://techcombank.com/thong-tin/blog/nen-vay-tin-chap-o-dau")</f>
        <v>https://techcombank.com/thong-tin/blog/nen-vay-tin-chap-o-dau</v>
      </c>
      <c r="BI70" s="17" t="str">
        <f>IFERROR(__xludf.DUMMYFUNCTION("""COMPUTED_VALUE"""),"lãi suất vay ngân hàng hôm nay")</f>
        <v>lãi suất vay ngân hàng hôm nay</v>
      </c>
      <c r="BJ70" s="21" t="str">
        <f>IFERROR(__xludf.DUMMYFUNCTION("""COMPUTED_VALUE"""),"https://techcombank.com/thong-tin/blog/thu-tuc-mua-xe-tra-gop")</f>
        <v>https://techcombank.com/thong-tin/blog/thu-tuc-mua-xe-tra-gop</v>
      </c>
      <c r="BK70" s="17" t="str">
        <f>IFERROR(__xludf.DUMMYFUNCTION("""COMPUTED_VALUE"""),"lãi suất vay ngân hàng")</f>
        <v>lãi suất vay ngân hàng</v>
      </c>
      <c r="BL70" s="21" t="str">
        <f>IFERROR(__xludf.DUMMYFUNCTION("""COMPUTED_VALUE"""),"https://techcombank.com/thong-tin/blog/vay-the-chap-so-hong")</f>
        <v>https://techcombank.com/thong-tin/blog/vay-the-chap-so-hong</v>
      </c>
      <c r="BM70" s="17" t="str">
        <f>IFERROR(__xludf.DUMMYFUNCTION("""COMPUTED_VALUE"""),"lãi suất vay ngân hàng hiện nay")</f>
        <v>lãi suất vay ngân hàng hiện nay</v>
      </c>
      <c r="BN70" s="21" t="str">
        <f>IFERROR(__xludf.DUMMYFUNCTION("""COMPUTED_VALUE"""),"https://techcombank.com/thong-tin/blog/vay-mua-xe-tra-gop-ngan-hang-nao-tot-nhat")</f>
        <v>https://techcombank.com/thong-tin/blog/vay-mua-xe-tra-gop-ngan-hang-nao-tot-nhat</v>
      </c>
      <c r="BO70" s="17" t="str">
        <f>IFERROR(__xludf.DUMMYFUNCTION("""COMPUTED_VALUE"""),"lãi suất cho vay ngân hàng")</f>
        <v>lãi suất cho vay ngân hàng</v>
      </c>
      <c r="BP70" s="21" t="str">
        <f>IFERROR(__xludf.DUMMYFUNCTION("""COMPUTED_VALUE"""),"https://techcombank.com/thong-tin/blog/vay-100-trieu")</f>
        <v>https://techcombank.com/thong-tin/blog/vay-100-trieu</v>
      </c>
      <c r="BQ70" s="17" t="str">
        <f>IFERROR(__xludf.DUMMYFUNCTION("""COMPUTED_VALUE"""),"lãi vay ngân hàng hiện nay")</f>
        <v>lãi vay ngân hàng hiện nay</v>
      </c>
      <c r="BR70" s="21" t="str">
        <f>IFERROR(__xludf.DUMMYFUNCTION("""COMPUTED_VALUE"""),"https://techcombank.com/thong-tin/blog/vay-thau-chi-bang-so-tiet-kiem")</f>
        <v>https://techcombank.com/thong-tin/blog/vay-thau-chi-bang-so-tiet-kiem</v>
      </c>
      <c r="BS70" s="17" t="str">
        <f>IFERROR(__xludf.DUMMYFUNCTION("""COMPUTED_VALUE"""),"lãi suất vay ngân hàng hôm nay")</f>
        <v>lãi suất vay ngân hàng hôm nay</v>
      </c>
      <c r="BT70" s="21" t="str">
        <f>IFERROR(__xludf.DUMMYFUNCTION("""COMPUTED_VALUE"""),"https://techcombank.com/thong-tin/blog/vay-the-chap-kinh-doanh")</f>
        <v>https://techcombank.com/thong-tin/blog/vay-the-chap-kinh-doanh</v>
      </c>
      <c r="BU70" s="17" t="str">
        <f>IFERROR(__xludf.DUMMYFUNCTION("""COMPUTED_VALUE"""),"lãi suất vay ngân hàng")</f>
        <v>lãi suất vay ngân hàng</v>
      </c>
      <c r="BV70" s="21" t="str">
        <f>IFERROR(__xludf.DUMMYFUNCTION("""COMPUTED_VALUE"""),"https://techcombank.com/thong-tin/blog/vay-tien-mat")</f>
        <v>https://techcombank.com/thong-tin/blog/vay-tien-mat</v>
      </c>
      <c r="BW70" s="17" t="str">
        <f>IFERROR(__xludf.DUMMYFUNCTION("""COMPUTED_VALUE"""),"lãi suất vay ngân hàng hiện nay")</f>
        <v>lãi suất vay ngân hàng hiện nay</v>
      </c>
      <c r="BX70" s="21" t="str">
        <f>IFERROR(__xludf.DUMMYFUNCTION("""COMPUTED_VALUE"""),"https://techcombank.com/thong-tin/blog/vay-mua-dien-thoai")</f>
        <v>https://techcombank.com/thong-tin/blog/vay-mua-dien-thoai</v>
      </c>
      <c r="BY70" s="17" t="str">
        <f>IFERROR(__xludf.DUMMYFUNCTION("""COMPUTED_VALUE"""),"lãi suất cho vay ngân hàng")</f>
        <v>lãi suất cho vay ngân hàng</v>
      </c>
      <c r="BZ70" s="21" t="str">
        <f>IFERROR(__xludf.DUMMYFUNCTION("""COMPUTED_VALUE"""),"https://techcombank.com/thong-tin/blog/vay-ngan-han")</f>
        <v>https://techcombank.com/thong-tin/blog/vay-ngan-han</v>
      </c>
      <c r="CA70" s="17" t="str">
        <f>IFERROR(__xludf.DUMMYFUNCTION("""COMPUTED_VALUE"""),"lãi vay ngân hàng hiện nay")</f>
        <v>lãi vay ngân hàng hiện nay</v>
      </c>
      <c r="CB70" s="21" t="str">
        <f>IFERROR(__xludf.DUMMYFUNCTION("""COMPUTED_VALUE"""),"https://techcombank.com/thong-tin/blog/cho-vay-kinh-doanh-ho-gia-dinh")</f>
        <v>https://techcombank.com/thong-tin/blog/cho-vay-kinh-doanh-ho-gia-dinh</v>
      </c>
      <c r="CC70" s="17" t="str">
        <f>IFERROR(__xludf.DUMMYFUNCTION("""COMPUTED_VALUE"""),"lãi suất vay ngân hàng hôm nay")</f>
        <v>lãi suất vay ngân hàng hôm nay</v>
      </c>
      <c r="CD70" s="21" t="str">
        <f>IFERROR(__xludf.DUMMYFUNCTION("""COMPUTED_VALUE"""),"https://techcombank.com/thong-tin/blog/vay-von-doanh-nghiep-nho")</f>
        <v>https://techcombank.com/thong-tin/blog/vay-von-doanh-nghiep-nho</v>
      </c>
      <c r="CE70" s="17" t="str">
        <f>IFERROR(__xludf.DUMMYFUNCTION("""COMPUTED_VALUE"""),"lãi suất vay ngân hàng")</f>
        <v>lãi suất vay ngân hàng</v>
      </c>
      <c r="CF70" s="21" t="str">
        <f>IFERROR(__xludf.DUMMYFUNCTION("""COMPUTED_VALUE"""),"https://techcombank.com/thong-tin/blog/vay-15-trieu")</f>
        <v>https://techcombank.com/thong-tin/blog/vay-15-trieu</v>
      </c>
      <c r="CG70" s="17" t="str">
        <f>IFERROR(__xludf.DUMMYFUNCTION("""COMPUTED_VALUE"""),"lãi suất vay ngân hàng hiện nay")</f>
        <v>lãi suất vay ngân hàng hiện nay</v>
      </c>
      <c r="CH70" s="21" t="str">
        <f>IFERROR(__xludf.DUMMYFUNCTION("""COMPUTED_VALUE"""),"https://techcombank.com/thong-tin/blog/diem-tin-dung")</f>
        <v>https://techcombank.com/thong-tin/blog/diem-tin-dung</v>
      </c>
      <c r="CI70" s="17" t="str">
        <f>IFERROR(__xludf.DUMMYFUNCTION("""COMPUTED_VALUE"""),"lãi suất cho vay ngân hàng")</f>
        <v>lãi suất cho vay ngân hàng</v>
      </c>
      <c r="CJ70" s="21" t="str">
        <f>IFERROR(__xludf.DUMMYFUNCTION("""COMPUTED_VALUE"""),"https://techcombank.com/thong-tin/blog/kinh-nghiem-vay-the-chap-ngan-hang")</f>
        <v>https://techcombank.com/thong-tin/blog/kinh-nghiem-vay-the-chap-ngan-hang</v>
      </c>
      <c r="CK70" s="17" t="str">
        <f>IFERROR(__xludf.DUMMYFUNCTION("""COMPUTED_VALUE"""),"lãi vay ngân hàng hiện nay")</f>
        <v>lãi vay ngân hàng hiện nay</v>
      </c>
      <c r="CL70" s="21" t="str">
        <f>IFERROR(__xludf.DUMMYFUNCTION("""COMPUTED_VALUE"""),"https://techcombank.com/thong-tin/blog/bi-quyet-tiet-kiem-tien-mua-nha")</f>
        <v>https://techcombank.com/thong-tin/blog/bi-quyet-tiet-kiem-tien-mua-nha</v>
      </c>
      <c r="CM70" s="17" t="str">
        <f>IFERROR(__xludf.DUMMYFUNCTION("""COMPUTED_VALUE"""),"lãi suất vay ngân hàng hôm nay")</f>
        <v>lãi suất vay ngân hàng hôm nay</v>
      </c>
      <c r="CN70" s="21" t="str">
        <f>IFERROR(__xludf.DUMMYFUNCTION("""COMPUTED_VALUE"""),"https://techcombank.com/thong-tin/blog/vay-sinh-vien")</f>
        <v>https://techcombank.com/thong-tin/blog/vay-sinh-vien</v>
      </c>
      <c r="CO70" s="17" t="str">
        <f>IFERROR(__xludf.DUMMYFUNCTION("""COMPUTED_VALUE"""),"lãi suất vay ngân hàng")</f>
        <v>lãi suất vay ngân hàng</v>
      </c>
      <c r="CP70" s="21" t="str">
        <f>IFERROR(__xludf.DUMMYFUNCTION("""COMPUTED_VALUE"""),"https://techcombank.com/thong-tin/blog/vay-san-xuat-kinh-doanh")</f>
        <v>https://techcombank.com/thong-tin/blog/vay-san-xuat-kinh-doanh</v>
      </c>
      <c r="CQ70" s="17" t="str">
        <f>IFERROR(__xludf.DUMMYFUNCTION("""COMPUTED_VALUE"""),"lãi suất vay ngân hàng hiện nay")</f>
        <v>lãi suất vay ngân hàng hiện nay</v>
      </c>
      <c r="CR70" s="21" t="str">
        <f>IFERROR(__xludf.DUMMYFUNCTION("""COMPUTED_VALUE"""),"https://techcombank.com/thong-tin/blog/cac-hinh-thuc-vay-von-ngan-hang")</f>
        <v>https://techcombank.com/thong-tin/blog/cac-hinh-thuc-vay-von-ngan-hang</v>
      </c>
      <c r="CS70" s="17" t="str">
        <f>IFERROR(__xludf.DUMMYFUNCTION("""COMPUTED_VALUE"""),"lãi suất cho vay ngân hàng")</f>
        <v>lãi suất cho vay ngân hàng</v>
      </c>
      <c r="CT70" s="21" t="str">
        <f>IFERROR(__xludf.DUMMYFUNCTION("""COMPUTED_VALUE"""),"https://techcombank.com/thong-tin/blog/co-100-trieu-co-mua-nen-mua-tra-gop")</f>
        <v>https://techcombank.com/thong-tin/blog/co-100-trieu-co-mua-nen-mua-tra-gop</v>
      </c>
      <c r="CU70" s="17" t="str">
        <f>IFERROR(__xludf.DUMMYFUNCTION("""COMPUTED_VALUE"""),"lãi vay ngân hàng hiện nay")</f>
        <v>lãi vay ngân hàng hiện nay</v>
      </c>
      <c r="CV70" s="21" t="str">
        <f>IFERROR(__xludf.DUMMYFUNCTION("""COMPUTED_VALUE"""),"https://techcombank.com/thong-tin/blog/lai-suat-tha-noi")</f>
        <v>https://techcombank.com/thong-tin/blog/lai-suat-tha-noi</v>
      </c>
      <c r="CW70" s="17" t="str">
        <f>IFERROR(__xludf.DUMMYFUNCTION("""COMPUTED_VALUE"""),"lãi suất vay ngân hàng hôm nay")</f>
        <v>lãi suất vay ngân hàng hôm nay</v>
      </c>
      <c r="CX70" s="21" t="str">
        <f>IFERROR(__xludf.DUMMYFUNCTION("""COMPUTED_VALUE"""),"https://techcombank.com/thong-tin/blog/vay-50-trieu")</f>
        <v>https://techcombank.com/thong-tin/blog/vay-50-trieu</v>
      </c>
      <c r="CY70" s="17" t="str">
        <f>IFERROR(__xludf.DUMMYFUNCTION("""COMPUTED_VALUE"""),"lãi suất vay ngân hàng")</f>
        <v>lãi suất vay ngân hàng</v>
      </c>
      <c r="CZ70" s="21" t="str">
        <f>IFERROR(__xludf.DUMMYFUNCTION("""COMPUTED_VALUE"""),"https://techcombank.com/thong-tin/blog/mua-nha-tra-gop-dua-truoc-100-trieu")</f>
        <v>https://techcombank.com/thong-tin/blog/mua-nha-tra-gop-dua-truoc-100-trieu</v>
      </c>
      <c r="DA70" s="17" t="str">
        <f>IFERROR(__xludf.DUMMYFUNCTION("""COMPUTED_VALUE"""),"lãi suất vay ngân hàng hiện nay")</f>
        <v>lãi suất vay ngân hàng hiện nay</v>
      </c>
      <c r="DB70" s="21" t="str">
        <f>IFERROR(__xludf.DUMMYFUNCTION("""COMPUTED_VALUE"""),"https://techcombank.com/thong-tin/blog/app-vay-tien-nhanh")</f>
        <v>https://techcombank.com/thong-tin/blog/app-vay-tien-nhanh</v>
      </c>
      <c r="DC70" s="17" t="str">
        <f>IFERROR(__xludf.DUMMYFUNCTION("""COMPUTED_VALUE"""),"lãi suất cho vay ngân hàng")</f>
        <v>lãi suất cho vay ngân hàng</v>
      </c>
      <c r="DD70" s="21" t="str">
        <f>IFERROR(__xludf.DUMMYFUNCTION("""COMPUTED_VALUE"""),"https://techcombank.com/thong-tin/blog/vay-tra-gop")</f>
        <v>https://techcombank.com/thong-tin/blog/vay-tra-gop</v>
      </c>
      <c r="DE70" s="17" t="str">
        <f>IFERROR(__xludf.DUMMYFUNCTION("""COMPUTED_VALUE"""),"lãi vay ngân hàng hiện nay")</f>
        <v>lãi vay ngân hàng hiện nay</v>
      </c>
      <c r="DF70" s="21" t="str">
        <f>IFERROR(__xludf.DUMMYFUNCTION("""COMPUTED_VALUE"""),"https://techcombank.com/thong-tin/blog/vay-bo-sung-von-luu-dong")</f>
        <v>https://techcombank.com/thong-tin/blog/vay-bo-sung-von-luu-dong</v>
      </c>
      <c r="DG70" s="17" t="str">
        <f>IFERROR(__xludf.DUMMYFUNCTION("""COMPUTED_VALUE"""),"lãi suất vay ngân hàng hôm nay")</f>
        <v>lãi suất vay ngân hàng hôm nay</v>
      </c>
      <c r="DH70" s="21" t="str">
        <f>IFERROR(__xludf.DUMMYFUNCTION("""COMPUTED_VALUE"""),"https://techcombank.com/thong-tin/blog/vay-mua-chung-cu")</f>
        <v>https://techcombank.com/thong-tin/blog/vay-mua-chung-cu</v>
      </c>
      <c r="DI70" s="17" t="str">
        <f>IFERROR(__xludf.DUMMYFUNCTION("""COMPUTED_VALUE"""),"lãi suất vay ngân hàng")</f>
        <v>lãi suất vay ngân hàng</v>
      </c>
      <c r="DJ70" s="21" t="str">
        <f>IFERROR(__xludf.DUMMYFUNCTION("""COMPUTED_VALUE"""),"https://techcombank.com/thong-tin/blog/vay-200-trieu")</f>
        <v>https://techcombank.com/thong-tin/blog/vay-200-trieu</v>
      </c>
      <c r="DK70" s="17" t="str">
        <f>IFERROR(__xludf.DUMMYFUNCTION("""COMPUTED_VALUE"""),"lãi suất vay ngân hàng hiện nay")</f>
        <v>lãi suất vay ngân hàng hiện nay</v>
      </c>
      <c r="DL70" s="21" t="str">
        <f>IFERROR(__xludf.DUMMYFUNCTION("""COMPUTED_VALUE"""),"https://techcombank.com/thong-tin/blog/kiem-tra-no-xau")</f>
        <v>https://techcombank.com/thong-tin/blog/kiem-tra-no-xau</v>
      </c>
      <c r="DM70" s="17" t="str">
        <f>IFERROR(__xludf.DUMMYFUNCTION("""COMPUTED_VALUE"""),"lãi suất cho vay ngân hàng")</f>
        <v>lãi suất cho vay ngân hàng</v>
      </c>
      <c r="DN70" s="21" t="str">
        <f>IFERROR(__xludf.DUMMYFUNCTION("""COMPUTED_VALUE"""),"https://techcombank.com/thong-tin/blog/quy-trinh-tat-toan-khoan-vay-the-chap")</f>
        <v>https://techcombank.com/thong-tin/blog/quy-trinh-tat-toan-khoan-vay-the-chap</v>
      </c>
      <c r="DO70" s="17" t="str">
        <f>IFERROR(__xludf.DUMMYFUNCTION("""COMPUTED_VALUE"""),"lãi vay ngân hàng hiện nay")</f>
        <v>lãi vay ngân hàng hiện nay</v>
      </c>
      <c r="DP70" s="21" t="str">
        <f>IFERROR(__xludf.DUMMYFUNCTION("""COMPUTED_VALUE"""),"https://techcombank.com/thong-tin/blog/cho-vay-tieu-dung-la-gi")</f>
        <v>https://techcombank.com/thong-tin/blog/cho-vay-tieu-dung-la-gi</v>
      </c>
      <c r="DQ70" s="17" t="str">
        <f>IFERROR(__xludf.DUMMYFUNCTION("""COMPUTED_VALUE"""),"lãi suất vay ngân hàng hôm nay")</f>
        <v>lãi suất vay ngân hàng hôm nay</v>
      </c>
      <c r="DR70" s="21" t="str">
        <f>IFERROR(__xludf.DUMMYFUNCTION("""COMPUTED_VALUE"""),"https://techcombank.com/thong-tin/blog/vay-the-chap-hop-dong-mua-ban-can-ho")</f>
        <v>https://techcombank.com/thong-tin/blog/vay-the-chap-hop-dong-mua-ban-can-ho</v>
      </c>
      <c r="DS70" s="17" t="str">
        <f>IFERROR(__xludf.DUMMYFUNCTION("""COMPUTED_VALUE"""),"lãi suất vay ngân hàng")</f>
        <v>lãi suất vay ngân hàng</v>
      </c>
      <c r="DT70" s="21" t="str">
        <f>IFERROR(__xludf.DUMMYFUNCTION("""COMPUTED_VALUE"""),"https://techcombank.com/thong-tin/blog/giai-ngan-vay-the-chap")</f>
        <v>https://techcombank.com/thong-tin/blog/giai-ngan-vay-the-chap</v>
      </c>
      <c r="DU70" s="17" t="str">
        <f>IFERROR(__xludf.DUMMYFUNCTION("""COMPUTED_VALUE"""),"lãi suất vay ngân hàng hiện nay")</f>
        <v>lãi suất vay ngân hàng hiện nay</v>
      </c>
      <c r="DV70" s="21" t="str">
        <f>IFERROR(__xludf.DUMMYFUNCTION("""COMPUTED_VALUE"""),"https://techcombank.com/thong-tin/blog/vay-the-chap-toi-da-duoc-bao-nhieu")</f>
        <v>https://techcombank.com/thong-tin/blog/vay-the-chap-toi-da-duoc-bao-nhieu</v>
      </c>
      <c r="DW70" s="17" t="str">
        <f>IFERROR(__xludf.DUMMYFUNCTION("""COMPUTED_VALUE"""),"lãi suất cho vay ngân hàng")</f>
        <v>lãi suất cho vay ngân hàng</v>
      </c>
      <c r="DX70" s="21" t="str">
        <f>IFERROR(__xludf.DUMMYFUNCTION("""COMPUTED_VALUE"""),"https://techcombank.com/thong-tin/blog/vay-han-muc-la-gi")</f>
        <v>https://techcombank.com/thong-tin/blog/vay-han-muc-la-gi</v>
      </c>
      <c r="DY70" s="17" t="str">
        <f>IFERROR(__xludf.DUMMYFUNCTION("""COMPUTED_VALUE"""),"lãi vay ngân hàng hiện nay")</f>
        <v>lãi vay ngân hàng hiện nay</v>
      </c>
      <c r="DZ70" s="21" t="str">
        <f>IFERROR(__xludf.DUMMYFUNCTION("""COMPUTED_VALUE"""),"https://techcombank.com/thong-tin/blog/vay-tin-chap-toi-da-duoc-bao-nhieu")</f>
        <v>https://techcombank.com/thong-tin/blog/vay-tin-chap-toi-da-duoc-bao-nhieu</v>
      </c>
      <c r="EA70" s="17" t="str">
        <f>IFERROR(__xludf.DUMMYFUNCTION("""COMPUTED_VALUE"""),"lãi suất vay ngân hàng hôm nay")</f>
        <v>lãi suất vay ngân hàng hôm nay</v>
      </c>
      <c r="EB70" s="21" t="str">
        <f>IFERROR(__xludf.DUMMYFUNCTION("""COMPUTED_VALUE"""),"https://techcombank.com/thong-tin/blog/kinh-nghiem-vay-tien-ngan-hang-xay-nha")</f>
        <v>https://techcombank.com/thong-tin/blog/kinh-nghiem-vay-tien-ngan-hang-xay-nha</v>
      </c>
      <c r="EC70" s="17" t="str">
        <f>IFERROR(__xludf.DUMMYFUNCTION("""COMPUTED_VALUE"""),"lãi suất vay ngân hàng")</f>
        <v>lãi suất vay ngân hàng</v>
      </c>
      <c r="ED70" s="21" t="str">
        <f>IFERROR(__xludf.DUMMYFUNCTION("""COMPUTED_VALUE"""),"https://techcombank.com/thong-tin/blog/vay-tin-chap-theo-luong")</f>
        <v>https://techcombank.com/thong-tin/blog/vay-tin-chap-theo-luong</v>
      </c>
      <c r="EE70" s="17" t="str">
        <f>IFERROR(__xludf.DUMMYFUNCTION("""COMPUTED_VALUE"""),"lãi suất vay ngân hàng hiện nay")</f>
        <v>lãi suất vay ngân hàng hiện nay</v>
      </c>
      <c r="EF70" s="21" t="str">
        <f>IFERROR(__xludf.DUMMYFUNCTION("""COMPUTED_VALUE"""),"https://techcombank.com/thong-tin/blog/cac-hinh-thuc-cho-vay-tieu-dung")</f>
        <v>https://techcombank.com/thong-tin/blog/cac-hinh-thuc-cho-vay-tieu-dung</v>
      </c>
      <c r="EG70" s="17" t="str">
        <f>IFERROR(__xludf.DUMMYFUNCTION("""COMPUTED_VALUE"""),"lãi suất cho vay ngân hàng")</f>
        <v>lãi suất cho vay ngân hàng</v>
      </c>
      <c r="EH70" s="21" t="str">
        <f>IFERROR(__xludf.DUMMYFUNCTION("""COMPUTED_VALUE"""),"https://techcombank.com/thong-tin/blog/kinh-nghiem-vay-tien-mua-nha")</f>
        <v>https://techcombank.com/thong-tin/blog/kinh-nghiem-vay-tien-mua-nha</v>
      </c>
      <c r="EI70" s="17" t="str">
        <f>IFERROR(__xludf.DUMMYFUNCTION("""COMPUTED_VALUE"""),"lãi vay ngân hàng hiện nay")</f>
        <v>lãi vay ngân hàng hiện nay</v>
      </c>
      <c r="EJ70" s="21" t="str">
        <f>IFERROR(__xludf.DUMMYFUNCTION("""COMPUTED_VALUE"""),"https://techcombank.com/thong-tin/blog/han-muc-thau-chi-la-gi")</f>
        <v>https://techcombank.com/thong-tin/blog/han-muc-thau-chi-la-gi</v>
      </c>
      <c r="EK70" s="17" t="str">
        <f>IFERROR(__xludf.DUMMYFUNCTION("""COMPUTED_VALUE"""),"lãi suất vay ngân hàng hôm nay")</f>
        <v>lãi suất vay ngân hàng hôm nay</v>
      </c>
      <c r="EL70" s="21" t="str">
        <f>IFERROR(__xludf.DUMMYFUNCTION("""COMPUTED_VALUE"""),"https://techcombank.com/thong-tin/blog/vay-mua-nha-tra-gop")</f>
        <v>https://techcombank.com/thong-tin/blog/vay-mua-nha-tra-gop</v>
      </c>
      <c r="EM70" s="17" t="str">
        <f>IFERROR(__xludf.DUMMYFUNCTION("""COMPUTED_VALUE"""),"lãi suất vay ngân hàng")</f>
        <v>lãi suất vay ngân hàng</v>
      </c>
      <c r="EN70" s="21" t="str">
        <f>IFERROR(__xludf.DUMMYFUNCTION("""COMPUTED_VALUE"""),"https://techcombank.com/thong-tin/blog/tra-gop-hoc-phi")</f>
        <v>https://techcombank.com/thong-tin/blog/tra-gop-hoc-phi</v>
      </c>
      <c r="EO70" s="17" t="str">
        <f>IFERROR(__xludf.DUMMYFUNCTION("""COMPUTED_VALUE"""),"lãi suất vay ngân hàng hiện nay")</f>
        <v>lãi suất vay ngân hàng hiện nay</v>
      </c>
      <c r="EP70" s="21" t="str">
        <f>IFERROR(__xludf.DUMMYFUNCTION("""COMPUTED_VALUE"""),"https://techcombank.com/thong-tin/blog/no-xau-nhom-2")</f>
        <v>https://techcombank.com/thong-tin/blog/no-xau-nhom-2</v>
      </c>
      <c r="EQ70" s="17" t="str">
        <f>IFERROR(__xludf.DUMMYFUNCTION("""COMPUTED_VALUE"""),"lãi suất cho vay ngân hàng")</f>
        <v>lãi suất cho vay ngân hàng</v>
      </c>
      <c r="ER70" s="21" t="str">
        <f>IFERROR(__xludf.DUMMYFUNCTION("""COMPUTED_VALUE"""),"https://techcombank.com/thong-tin/blog/no-nhom-3")</f>
        <v>https://techcombank.com/thong-tin/blog/no-nhom-3</v>
      </c>
      <c r="ES70" s="17" t="str">
        <f>IFERROR(__xludf.DUMMYFUNCTION("""COMPUTED_VALUE"""),"lãi vay ngân hàng hiện nay")</f>
        <v>lãi vay ngân hàng hiện nay</v>
      </c>
      <c r="ET70" s="21" t="str">
        <f>IFERROR(__xludf.DUMMYFUNCTION("""COMPUTED_VALUE"""),"https://techcombank.com/thong-tin/blog/han-muc-vay-the-chap-so-do")</f>
        <v>https://techcombank.com/thong-tin/blog/han-muc-vay-the-chap-so-do</v>
      </c>
      <c r="EU70" s="17" t="str">
        <f>IFERROR(__xludf.DUMMYFUNCTION("""COMPUTED_VALUE"""),"lãi suất vay ngân hàng hôm nay")</f>
        <v>lãi suất vay ngân hàng hôm nay</v>
      </c>
      <c r="EV70" s="21" t="str">
        <f>IFERROR(__xludf.DUMMYFUNCTION("""COMPUTED_VALUE"""),"https://techcombank.com/thong-tin/blog/du-no-tin-dung-la-gi")</f>
        <v>https://techcombank.com/thong-tin/blog/du-no-tin-dung-la-gi</v>
      </c>
      <c r="EW70" s="17" t="str">
        <f>IFERROR(__xludf.DUMMYFUNCTION("""COMPUTED_VALUE"""),"lãi suất vay ngân hàng")</f>
        <v>lãi suất vay ngân hàng</v>
      </c>
      <c r="EX70" s="21" t="str">
        <f>IFERROR(__xludf.DUMMYFUNCTION("""COMPUTED_VALUE"""),"https://techcombank.com/thong-tin/blog/vay-20-trieu")</f>
        <v>https://techcombank.com/thong-tin/blog/vay-20-trieu</v>
      </c>
      <c r="EY70" s="17" t="str">
        <f>IFERROR(__xludf.DUMMYFUNCTION("""COMPUTED_VALUE"""),"lãi suất vay ngân hàng hiện nay")</f>
        <v>lãi suất vay ngân hàng hiện nay</v>
      </c>
      <c r="EZ70" s="21" t="str">
        <f>IFERROR(__xludf.DUMMYFUNCTION("""COMPUTED_VALUE"""),"https://techcombank.com/thong-tin/blog/vay-tin-chap-no-xau")</f>
        <v>https://techcombank.com/thong-tin/blog/vay-tin-chap-no-xau</v>
      </c>
      <c r="FA70" s="17" t="str">
        <f>IFERROR(__xludf.DUMMYFUNCTION("""COMPUTED_VALUE"""),"lãi suất cho vay ngân hàng")</f>
        <v>lãi suất cho vay ngân hàng</v>
      </c>
      <c r="FB70" s="21" t="str">
        <f>IFERROR(__xludf.DUMMYFUNCTION("""COMPUTED_VALUE"""),"https://techcombank.com/thong-tin/blog/tat-toan")</f>
        <v>https://techcombank.com/thong-tin/blog/tat-toan</v>
      </c>
      <c r="FC70" s="17" t="str">
        <f>IFERROR(__xludf.DUMMYFUNCTION("""COMPUTED_VALUE"""),"lãi vay ngân hàng hiện nay")</f>
        <v>lãi vay ngân hàng hiện nay</v>
      </c>
      <c r="FD70" s="21" t="str">
        <f>IFERROR(__xludf.DUMMYFUNCTION("""COMPUTED_VALUE"""),"https://techcombank.com/thong-tin/blog/no-xau-co-vay-the-chap-duoc-khong")</f>
        <v>https://techcombank.com/thong-tin/blog/no-xau-co-vay-the-chap-duoc-khong</v>
      </c>
      <c r="FE70" s="17" t="str">
        <f>IFERROR(__xludf.DUMMYFUNCTION("""COMPUTED_VALUE"""),"lãi suất vay ngân hàng hôm nay")</f>
        <v>lãi suất vay ngân hàng hôm nay</v>
      </c>
      <c r="FF70" s="21" t="str">
        <f>IFERROR(__xludf.DUMMYFUNCTION("""COMPUTED_VALUE"""),"https://techcombank.com/thong-tin/blog/thu-tuc-vay-von-kinh-doanh-nho")</f>
        <v>https://techcombank.com/thong-tin/blog/thu-tuc-vay-von-kinh-doanh-nho</v>
      </c>
      <c r="FG70" s="17" t="str">
        <f>IFERROR(__xludf.DUMMYFUNCTION("""COMPUTED_VALUE"""),"lãi suất vay ngân hàng")</f>
        <v>lãi suất vay ngân hàng</v>
      </c>
      <c r="FH70" s="21" t="str">
        <f>IFERROR(__xludf.DUMMYFUNCTION("""COMPUTED_VALUE"""),"https://techcombank.com/thong-tin/blog/rui-ro-khi-vay-the-chap-ngan-hang")</f>
        <v>https://techcombank.com/thong-tin/blog/rui-ro-khi-vay-the-chap-ngan-hang</v>
      </c>
      <c r="FI70" s="17" t="str">
        <f>IFERROR(__xludf.DUMMYFUNCTION("""COMPUTED_VALUE"""),"lãi suất vay ngân hàng hiện nay")</f>
        <v>lãi suất vay ngân hàng hiện nay</v>
      </c>
      <c r="FJ70" s="21" t="str">
        <f>IFERROR(__xludf.DUMMYFUNCTION("""COMPUTED_VALUE"""),"https://techcombank.com/thong-tin/blog/vay-kinh-doanh-online")</f>
        <v>https://techcombank.com/thong-tin/blog/vay-kinh-doanh-online</v>
      </c>
      <c r="FK70" s="17" t="str">
        <f>IFERROR(__xludf.DUMMYFUNCTION("""COMPUTED_VALUE"""),"lãi suất cho vay ngân hàng")</f>
        <v>lãi suất cho vay ngân hàng</v>
      </c>
      <c r="FL70" s="21" t="str">
        <f>IFERROR(__xludf.DUMMYFUNCTION("""COMPUTED_VALUE"""),"https://techcombank.com/thong-tin/blog/vay-thau-chi-la-gi")</f>
        <v>https://techcombank.com/thong-tin/blog/vay-thau-chi-la-gi</v>
      </c>
      <c r="FM70" s="17" t="str">
        <f>IFERROR(__xludf.DUMMYFUNCTION("""COMPUTED_VALUE"""),"lãi vay ngân hàng hiện nay")</f>
        <v>lãi vay ngân hàng hiện nay</v>
      </c>
      <c r="FN70" s="21" t="str">
        <f>IFERROR(__xludf.DUMMYFUNCTION("""COMPUTED_VALUE"""),"https://techcombank.com/thong-tin/blog/vay-tin-chap-khong-tra-duoc-co-sao-khong")</f>
        <v>https://techcombank.com/thong-tin/blog/vay-tin-chap-khong-tra-duoc-co-sao-khong</v>
      </c>
      <c r="FO70" s="17" t="str">
        <f>IFERROR(__xludf.DUMMYFUNCTION("""COMPUTED_VALUE"""),"lãi suất vay ngân hàng hôm nay")</f>
        <v>lãi suất vay ngân hàng hôm nay</v>
      </c>
      <c r="FP70" s="21" t="str">
        <f>IFERROR(__xludf.DUMMYFUNCTION("""COMPUTED_VALUE"""),"https://techcombank.com/thong-tin/blog/vay-von-doanh-nghiep-khong-the-chap")</f>
        <v>https://techcombank.com/thong-tin/blog/vay-von-doanh-nghiep-khong-the-chap</v>
      </c>
      <c r="FQ70" s="17" t="str">
        <f>IFERROR(__xludf.DUMMYFUNCTION("""COMPUTED_VALUE"""),"lãi suất vay ngân hàng")</f>
        <v>lãi suất vay ngân hàng</v>
      </c>
      <c r="FR70" s="21" t="str">
        <f>IFERROR(__xludf.DUMMYFUNCTION("""COMPUTED_VALUE"""),"https://techcombank.com/thong-tin/blog/vay-tin-chap-cho-doanh-nghiep-moi-thanh-lap")</f>
        <v>https://techcombank.com/thong-tin/blog/vay-tin-chap-cho-doanh-nghiep-moi-thanh-lap</v>
      </c>
      <c r="FS70" s="17" t="str">
        <f>IFERROR(__xludf.DUMMYFUNCTION("""COMPUTED_VALUE"""),"lãi suất vay ngân hàng hiện nay")</f>
        <v>lãi suất vay ngân hàng hiện nay</v>
      </c>
      <c r="FT70" s="21" t="str">
        <f>IFERROR(__xludf.DUMMYFUNCTION("""COMPUTED_VALUE"""),"https://techcombank.com/thong-tin/blog/thanh-toan-khoan-vay")</f>
        <v>https://techcombank.com/thong-tin/blog/thanh-toan-khoan-vay</v>
      </c>
      <c r="FU70" s="17" t="str">
        <f>IFERROR(__xludf.DUMMYFUNCTION("""COMPUTED_VALUE"""),"lãi suất cho vay ngân hàng")</f>
        <v>lãi suất cho vay ngân hàng</v>
      </c>
      <c r="FV70" s="21" t="str">
        <f>IFERROR(__xludf.DUMMYFUNCTION("""COMPUTED_VALUE"""),"https://techcombank.com/thong-tin/blog/co-nen-vay-ngan-hang-mua-nha")</f>
        <v>https://techcombank.com/thong-tin/blog/co-nen-vay-ngan-hang-mua-nha</v>
      </c>
      <c r="FW70" s="17" t="str">
        <f>IFERROR(__xludf.DUMMYFUNCTION("""COMPUTED_VALUE"""),"lãi vay ngân hàng hiện nay")</f>
        <v>lãi vay ngân hàng hiện nay</v>
      </c>
      <c r="FX70" s="21" t="str">
        <f>IFERROR(__xludf.DUMMYFUNCTION("""COMPUTED_VALUE"""),"https://techcombank.com/thong-tin/blog/ho-so-vay-tin-chap")</f>
        <v>https://techcombank.com/thong-tin/blog/ho-so-vay-tin-chap</v>
      </c>
      <c r="FY70" s="17" t="str">
        <f>IFERROR(__xludf.DUMMYFUNCTION("""COMPUTED_VALUE"""),"lãi suất vay ngân hàng hôm nay")</f>
        <v>lãi suất vay ngân hàng hôm nay</v>
      </c>
      <c r="FZ70" s="21" t="str">
        <f>IFERROR(__xludf.DUMMYFUNCTION("""COMPUTED_VALUE"""),"https://techcombank.com/thong-tin/blog/thu-tuc-vay-ngan-hang-mua-nha")</f>
        <v>https://techcombank.com/thong-tin/blog/thu-tuc-vay-ngan-hang-mua-nha</v>
      </c>
      <c r="GA70" s="17" t="str">
        <f>IFERROR(__xludf.DUMMYFUNCTION("""COMPUTED_VALUE"""),"lãi suất vay ngân hàng")</f>
        <v>lãi suất vay ngân hàng</v>
      </c>
      <c r="GB70" s="21" t="str">
        <f>IFERROR(__xludf.DUMMYFUNCTION("""COMPUTED_VALUE"""),"https://techcombank.com/thong-tin/blog/thoi-han-vay-thau-chi")</f>
        <v>https://techcombank.com/thong-tin/blog/thoi-han-vay-thau-chi</v>
      </c>
      <c r="GC70" s="17" t="str">
        <f>IFERROR(__xludf.DUMMYFUNCTION("""COMPUTED_VALUE"""),"lãi suất vay ngân hàng hiện nay")</f>
        <v>lãi suất vay ngân hàng hiện nay</v>
      </c>
      <c r="GD70" s="21" t="str">
        <f>IFERROR(__xludf.DUMMYFUNCTION("""COMPUTED_VALUE"""),"https://techcombank.com/thong-tin/blog/thu-tuc-vay-von-ngan-hang-de-xay-nha")</f>
        <v>https://techcombank.com/thong-tin/blog/thu-tuc-vay-von-ngan-hang-de-xay-nha</v>
      </c>
      <c r="GE70" s="17" t="str">
        <f>IFERROR(__xludf.DUMMYFUNCTION("""COMPUTED_VALUE"""),"lãi suất cho vay ngân hàng")</f>
        <v>lãi suất cho vay ngân hàng</v>
      </c>
      <c r="GF70" s="21" t="str">
        <f>IFERROR(__xludf.DUMMYFUNCTION("""COMPUTED_VALUE"""),"https://techcombank.com/thong-tin/blog/phi-vay-the-chap")</f>
        <v>https://techcombank.com/thong-tin/blog/phi-vay-the-chap</v>
      </c>
      <c r="GG70" s="17" t="str">
        <f>IFERROR(__xludf.DUMMYFUNCTION("""COMPUTED_VALUE"""),"lãi vay ngân hàng hiện nay")</f>
        <v>lãi vay ngân hàng hiện nay</v>
      </c>
      <c r="GH70" s="21" t="str">
        <f>IFERROR(__xludf.DUMMYFUNCTION("""COMPUTED_VALUE"""),"https://techcombank.com/thong-tin/blog/the-chap-la-gi")</f>
        <v>https://techcombank.com/thong-tin/blog/the-chap-la-gi</v>
      </c>
      <c r="GI70" s="17" t="str">
        <f>IFERROR(__xludf.DUMMYFUNCTION("""COMPUTED_VALUE"""),"lãi suất vay ngân hàng hôm nay")</f>
        <v>lãi suất vay ngân hàng hôm nay</v>
      </c>
      <c r="GJ70" s="21" t="str">
        <f>IFERROR(__xludf.DUMMYFUNCTION("""COMPUTED_VALUE"""),"https://techcombank.com/thong-tin/blog/vay-the-chap-khong-chung-minh-thu-nhap")</f>
        <v>https://techcombank.com/thong-tin/blog/vay-the-chap-khong-chung-minh-thu-nhap</v>
      </c>
      <c r="GK70" s="17" t="str">
        <f>IFERROR(__xludf.DUMMYFUNCTION("""COMPUTED_VALUE"""),"lãi suất vay ngân hàng")</f>
        <v>lãi suất vay ngân hàng</v>
      </c>
      <c r="GL70" s="21" t="str">
        <f>IFERROR(__xludf.DUMMYFUNCTION("""COMPUTED_VALUE"""),"https://techcombank.com/thong-tin/blog/quy-trinh-cho-vay-tieu-dung")</f>
        <v>https://techcombank.com/thong-tin/blog/quy-trinh-cho-vay-tieu-dung</v>
      </c>
      <c r="GM70" s="17" t="str">
        <f>IFERROR(__xludf.DUMMYFUNCTION("""COMPUTED_VALUE"""),"lãi suất vay ngân hàng hiện nay")</f>
        <v>lãi suất vay ngân hàng hiện nay</v>
      </c>
      <c r="GN70" s="21" t="str">
        <f>IFERROR(__xludf.DUMMYFUNCTION("""COMPUTED_VALUE"""),"https://techcombank.com/thong-tin/blog/vay-the-chap-la-gi")</f>
        <v>https://techcombank.com/thong-tin/blog/vay-the-chap-la-gi</v>
      </c>
      <c r="GO70" s="17" t="str">
        <f>IFERROR(__xludf.DUMMYFUNCTION("""COMPUTED_VALUE"""),"lãi suất cho vay ngân hàng")</f>
        <v>lãi suất cho vay ngân hàng</v>
      </c>
      <c r="GP70" s="21" t="str">
        <f>IFERROR(__xludf.DUMMYFUNCTION("""COMPUTED_VALUE"""),"https://techcombank.com/thong-tin/blog/vay-40-trieu")</f>
        <v>https://techcombank.com/thong-tin/blog/vay-40-trieu</v>
      </c>
      <c r="GQ70" s="17" t="str">
        <f>IFERROR(__xludf.DUMMYFUNCTION("""COMPUTED_VALUE"""),"lãi vay ngân hàng hiện nay")</f>
        <v>lãi vay ngân hàng hiện nay</v>
      </c>
      <c r="GR70" s="21" t="str">
        <f>IFERROR(__xludf.DUMMYFUNCTION("""COMPUTED_VALUE"""),"https://techcombank.com/thong-tin/blog/dang-vay-tra-gop-co-vay-them-duoc-khong")</f>
        <v>https://techcombank.com/thong-tin/blog/dang-vay-tra-gop-co-vay-them-duoc-khong</v>
      </c>
      <c r="GS70" s="17" t="str">
        <f>IFERROR(__xludf.DUMMYFUNCTION("""COMPUTED_VALUE"""),"lãi suất vay ngân hàng hôm nay")</f>
        <v>lãi suất vay ngân hàng hôm nay</v>
      </c>
      <c r="GT70" s="21" t="str">
        <f>IFERROR(__xludf.DUMMYFUNCTION("""COMPUTED_VALUE"""),"https://techcombank.com/thong-tin/blog/co-nen-mua-o-to-tra-gop")</f>
        <v>https://techcombank.com/thong-tin/blog/co-nen-mua-o-to-tra-gop</v>
      </c>
      <c r="GU70" s="17" t="str">
        <f>IFERROR(__xludf.DUMMYFUNCTION("""COMPUTED_VALUE"""),"lãi suất vay ngân hàng")</f>
        <v>lãi suất vay ngân hàng</v>
      </c>
      <c r="GV70" s="21" t="str">
        <f>IFERROR(__xludf.DUMMYFUNCTION("""COMPUTED_VALUE"""),"https://techcombank.com/thong-tin/blog/vay-the-chap-so-bao-hiem-xa-hoi")</f>
        <v>https://techcombank.com/thong-tin/blog/vay-the-chap-so-bao-hiem-xa-hoi</v>
      </c>
      <c r="GW70" s="17" t="str">
        <f>IFERROR(__xludf.DUMMYFUNCTION("""COMPUTED_VALUE"""),"lãi suất vay ngân hàng hiện nay")</f>
        <v>lãi suất vay ngân hàng hiện nay</v>
      </c>
      <c r="GX70" s="21" t="str">
        <f>IFERROR(__xludf.DUMMYFUNCTION("""COMPUTED_VALUE"""),"https://techcombank.com/thong-tin/blog/nen-vay-the-chap-ngan-hang-nao")</f>
        <v>https://techcombank.com/thong-tin/blog/nen-vay-the-chap-ngan-hang-nao</v>
      </c>
      <c r="GY70" s="17" t="str">
        <f>IFERROR(__xludf.DUMMYFUNCTION("""COMPUTED_VALUE"""),"lãi suất cho vay ngân hàng")</f>
        <v>lãi suất cho vay ngân hàng</v>
      </c>
      <c r="GZ70" s="21" t="str">
        <f>IFERROR(__xludf.DUMMYFUNCTION("""COMPUTED_VALUE"""),"https://techcombank.com/thong-tin/blog/vay-ngan-hang-chi-can-cccd")</f>
        <v>https://techcombank.com/thong-tin/blog/vay-ngan-hang-chi-can-cccd</v>
      </c>
      <c r="HA70" s="17" t="str">
        <f>IFERROR(__xludf.DUMMYFUNCTION("""COMPUTED_VALUE"""),"lãi vay ngân hàng hiện nay")</f>
        <v>lãi vay ngân hàng hiện nay</v>
      </c>
      <c r="HB70" s="21" t="str">
        <f>IFERROR(__xludf.DUMMYFUNCTION("""COMPUTED_VALUE"""),"https://techcombank.com/thong-tin/blog/tra-no-vay-thau-chi-nhu-the-nao")</f>
        <v>https://techcombank.com/thong-tin/blog/tra-no-vay-thau-chi-nhu-the-nao</v>
      </c>
      <c r="HC70" s="17" t="str">
        <f>IFERROR(__xludf.DUMMYFUNCTION("""COMPUTED_VALUE"""),"lãi suất vay ngân hàng hôm nay")</f>
        <v>lãi suất vay ngân hàng hôm nay</v>
      </c>
      <c r="HD70" s="21" t="str">
        <f>IFERROR(__xludf.DUMMYFUNCTION("""COMPUTED_VALUE"""),"https://techcombank.com/thong-tin/blog/vay-tin-chap-ho-kinh-doanh")</f>
        <v>https://techcombank.com/thong-tin/blog/vay-tin-chap-ho-kinh-doanh</v>
      </c>
      <c r="HE70" s="17"/>
      <c r="HF70" s="17"/>
      <c r="HG70" s="17"/>
      <c r="HH70" s="17"/>
      <c r="HI70" s="17"/>
      <c r="HJ70" s="17"/>
      <c r="HK70" s="17"/>
      <c r="HL70" s="17"/>
      <c r="HM70" s="17"/>
      <c r="HN70" s="17"/>
      <c r="HO70" s="17"/>
      <c r="HP70" s="17"/>
      <c r="HQ70" s="17"/>
      <c r="HR70" s="17"/>
      <c r="HS70" s="17"/>
      <c r="HT70" s="17"/>
      <c r="HU70" s="17"/>
      <c r="HV70" s="17"/>
      <c r="HW70" s="17"/>
      <c r="HX70" s="17"/>
      <c r="HY70" s="17"/>
      <c r="HZ70" s="17"/>
      <c r="IA70" s="17"/>
      <c r="IB70" s="17"/>
      <c r="IC70" s="17"/>
      <c r="ID70" s="17"/>
      <c r="IE70" s="17"/>
      <c r="IF70" s="17"/>
      <c r="IG70" s="17"/>
      <c r="IH70" s="17"/>
      <c r="II70" s="17"/>
      <c r="IJ70" s="17"/>
      <c r="IK70" s="17"/>
      <c r="IL70" s="17"/>
      <c r="IM70" s="17"/>
      <c r="IN70" s="17"/>
      <c r="IO70" s="17"/>
      <c r="IP70" s="17"/>
      <c r="IQ70" s="17"/>
      <c r="IR70" s="17"/>
      <c r="IS70" s="17"/>
      <c r="IT70" s="17"/>
      <c r="IU70" s="17"/>
      <c r="IV70" s="17"/>
      <c r="IW70" s="17"/>
      <c r="IX70" s="17"/>
      <c r="IY70" s="17"/>
      <c r="IZ70" s="17"/>
      <c r="JA70" s="17"/>
      <c r="JB70" s="17"/>
      <c r="JC70" s="17"/>
      <c r="JD70" s="17"/>
      <c r="JE70" s="17"/>
      <c r="JF70" s="17"/>
      <c r="JG70" s="17"/>
      <c r="JH70" s="17"/>
      <c r="JI70" s="17"/>
      <c r="JJ70" s="17"/>
      <c r="JK70" s="17"/>
      <c r="JL70" s="17"/>
      <c r="JM70" s="17"/>
      <c r="JN70" s="17"/>
      <c r="JO70" s="17"/>
      <c r="JP70" s="17"/>
      <c r="JQ70" s="17"/>
      <c r="JR70" s="17"/>
      <c r="JS70" s="17"/>
      <c r="JT70" s="17"/>
      <c r="JU70" s="17"/>
      <c r="JV70" s="17"/>
      <c r="JW70" s="17"/>
      <c r="JX70" s="17"/>
      <c r="JY70" s="17"/>
      <c r="JZ70" s="17"/>
      <c r="KA70" s="17"/>
      <c r="KB70" s="17"/>
      <c r="KC70" s="17"/>
      <c r="KD70" s="17"/>
      <c r="KE70" s="17"/>
      <c r="KF70" s="17"/>
      <c r="KG70" s="17"/>
      <c r="KH70" s="17"/>
      <c r="KI70" s="17"/>
      <c r="KJ70" s="17"/>
      <c r="KK70" s="17"/>
      <c r="KL70" s="17"/>
      <c r="KM70" s="17"/>
      <c r="KN70" s="17"/>
      <c r="KO70" s="17"/>
      <c r="KP70" s="17"/>
      <c r="KQ70" s="17"/>
      <c r="KR70" s="17"/>
      <c r="KS70" s="17"/>
      <c r="KT70" s="17"/>
      <c r="KU70" s="17"/>
      <c r="KV70" s="17"/>
      <c r="KW70" s="17"/>
      <c r="KX70" s="17"/>
      <c r="KY70" s="17"/>
      <c r="KZ70" s="17"/>
      <c r="LA70" s="17"/>
      <c r="LB70" s="17"/>
      <c r="LC70" s="17"/>
      <c r="LD70" s="17"/>
      <c r="LE70" s="17"/>
      <c r="LF70" s="17"/>
      <c r="LG70" s="17"/>
      <c r="LH70" s="17"/>
      <c r="LI70" s="17"/>
      <c r="LJ70" s="17"/>
      <c r="LK70" s="17"/>
      <c r="LL70" s="17"/>
      <c r="LM70" s="17"/>
      <c r="LN70" s="17"/>
      <c r="LO70" s="17"/>
      <c r="LP70" s="17"/>
      <c r="LQ70" s="17"/>
      <c r="LR70" s="17"/>
      <c r="LS70" s="17"/>
      <c r="LT70" s="17"/>
      <c r="LU70" s="17"/>
      <c r="LV70" s="17"/>
      <c r="LW70" s="17"/>
      <c r="LX70" s="17"/>
      <c r="LY70" s="17"/>
      <c r="LZ70" s="17"/>
      <c r="MA70" s="17"/>
      <c r="MB70" s="17"/>
      <c r="MC70" s="17"/>
      <c r="MD70" s="17"/>
      <c r="ME70" s="17"/>
      <c r="MF70" s="17"/>
      <c r="MG70" s="17"/>
      <c r="MH70" s="17"/>
      <c r="MI70" s="17"/>
      <c r="MJ70" s="17"/>
      <c r="MK70" s="17"/>
      <c r="ML70" s="17"/>
      <c r="MM70" s="17"/>
      <c r="MN70" s="17"/>
      <c r="MO70" s="17"/>
      <c r="MP70" s="17"/>
      <c r="MQ70" s="17"/>
      <c r="MR70" s="17"/>
      <c r="MS70" s="17"/>
      <c r="MT70" s="17"/>
      <c r="MU70" s="17"/>
      <c r="MV70" s="17"/>
      <c r="MW70" s="17"/>
      <c r="MX70" s="17"/>
      <c r="MY70" s="17"/>
      <c r="MZ70" s="17"/>
      <c r="NA70" s="17"/>
      <c r="NB70" s="17"/>
      <c r="NC70" s="17"/>
      <c r="ND70" s="17"/>
      <c r="NE70" s="17"/>
      <c r="NF70" s="17"/>
      <c r="NG70" s="17"/>
      <c r="NH70" s="17"/>
      <c r="NI70" s="17"/>
      <c r="NJ70" s="17"/>
      <c r="NK70" s="17"/>
      <c r="NL70" s="17"/>
      <c r="NM70" s="17"/>
      <c r="NN70" s="17"/>
      <c r="NO70" s="17"/>
      <c r="NP70" s="17"/>
      <c r="NQ70" s="17"/>
      <c r="NR70" s="17"/>
      <c r="NS70" s="17"/>
      <c r="NT70" s="17"/>
      <c r="NU70" s="17"/>
      <c r="NV70" s="17"/>
      <c r="NW70" s="17"/>
      <c r="NX70" s="17"/>
      <c r="NY70" s="17"/>
      <c r="NZ70" s="17"/>
      <c r="OA70" s="17"/>
      <c r="OB70" s="17"/>
      <c r="OC70" s="17"/>
      <c r="OD70" s="17"/>
      <c r="OE70" s="17"/>
      <c r="OF70" s="17"/>
      <c r="OG70" s="17"/>
      <c r="OH70" s="17"/>
      <c r="OI70" s="17"/>
      <c r="OJ70" s="17"/>
      <c r="OK70" s="17"/>
      <c r="OL70" s="17"/>
      <c r="OM70" s="17"/>
      <c r="ON70" s="17"/>
      <c r="OO70" s="17"/>
      <c r="OP70" s="17"/>
      <c r="OQ70" s="17"/>
      <c r="OR70" s="17"/>
      <c r="OS70" s="17"/>
      <c r="OT70" s="17"/>
      <c r="OU70" s="17"/>
      <c r="OV70" s="17"/>
    </row>
    <row r="71" ht="18.0" customHeight="1">
      <c r="A71" s="16">
        <v>70.0</v>
      </c>
      <c r="B71" s="17" t="s">
        <v>1842</v>
      </c>
      <c r="C71" s="18" t="s">
        <v>826</v>
      </c>
      <c r="D71" s="17" t="s">
        <v>621</v>
      </c>
      <c r="E71" s="16">
        <v>50.0</v>
      </c>
      <c r="F71" s="16">
        <f>COUNTIF('Tổng hợp 75 trang đích'!$B$2:$B$3400,$D71)</f>
        <v>50</v>
      </c>
      <c r="G71" s="16">
        <f>COUNTIFS('Tổng hợp 75 trang đích'!$B$2:$B$3400,$D71,'Tổng hợp 75 trang đích'!$K$2:$K$3400,"PHÙ HỢP CAO")</f>
        <v>4</v>
      </c>
      <c r="H71" s="16">
        <f>COUNTIFS('Tổng hợp 75 trang đích'!$B$2:$B$3400,$D71,'Tổng hợp 75 trang đích'!$K$2:$K$3400,"CÓ THỂ ĐI")</f>
        <v>1</v>
      </c>
      <c r="I71" s="16">
        <f>COUNTIFS('Tổng hợp 75 trang đích'!$B$2:$B$3400,$D71,'Tổng hợp 75 trang đích'!$K$2:$K$3400,"CẦN SOÁT")</f>
        <v>45</v>
      </c>
      <c r="J71" s="19" t="s">
        <v>555</v>
      </c>
      <c r="K71" s="19" t="b">
        <v>0</v>
      </c>
      <c r="L71" s="20" t="s">
        <v>333</v>
      </c>
      <c r="M71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đích'!$B$2:$B$3400=$D71),3,TR"&amp;"UE),1,2)),"""")"),"vay thấu chi là gì")</f>
        <v>vay thấu chi là gì</v>
      </c>
      <c r="N71" s="21" t="str">
        <f>IFERROR(__xludf.DUMMYFUNCTION("""COMPUTED_VALUE"""),"https://techcombank.com/thong-tin/blog/han-muc-thau-chi-la-gi")</f>
        <v>https://techcombank.com/thong-tin/blog/han-muc-thau-chi-la-gi</v>
      </c>
      <c r="O71" s="17" t="str">
        <f>IFERROR(__xludf.DUMMYFUNCTION("""COMPUTED_VALUE"""),"vay thấu chi")</f>
        <v>vay thấu chi</v>
      </c>
      <c r="P71" s="21" t="str">
        <f>IFERROR(__xludf.DUMMYFUNCTION("""COMPUTED_VALUE"""),"https://techcombank.com/thong-tin/blog/lai-suat-vay-thau-chi")</f>
        <v>https://techcombank.com/thong-tin/blog/lai-suat-vay-thau-chi</v>
      </c>
      <c r="Q71" s="17" t="str">
        <f>IFERROR(__xludf.DUMMYFUNCTION("""COMPUTED_VALUE"""),"thấu chi là gì")</f>
        <v>thấu chi là gì</v>
      </c>
      <c r="R71" s="21" t="str">
        <f>IFERROR(__xludf.DUMMYFUNCTION("""COMPUTED_VALUE"""),"https://techcombank.com/thong-tin/blog/thoi-han-vay-thau-chi")</f>
        <v>https://techcombank.com/thong-tin/blog/thoi-han-vay-thau-chi</v>
      </c>
      <c r="S71" s="17" t="str">
        <f>IFERROR(__xludf.DUMMYFUNCTION("""COMPUTED_VALUE"""),"vay thấu chi là như nào")</f>
        <v>vay thấu chi là như nào</v>
      </c>
      <c r="T71" s="21" t="str">
        <f>IFERROR(__xludf.DUMMYFUNCTION("""COMPUTED_VALUE"""),"https://techcombank.com/thong-tin/blog/tra-no-vay-thau-chi-nhu-the-nao")</f>
        <v>https://techcombank.com/thong-tin/blog/tra-no-vay-thau-chi-nhu-the-nao</v>
      </c>
      <c r="U71" s="17" t="str">
        <f>IFERROR(__xludf.DUMMYFUNCTION("""COMPUTED_VALUE"""),"vay thấu chi là gì")</f>
        <v>vay thấu chi là gì</v>
      </c>
      <c r="V71" s="21" t="str">
        <f>IFERROR(__xludf.DUMMYFUNCTION("""COMPUTED_VALUE"""),"https://techcombank.com/thong-tin/blog/vay-han-muc-la-gi")</f>
        <v>https://techcombank.com/thong-tin/blog/vay-han-muc-la-gi</v>
      </c>
      <c r="W71" s="17" t="str">
        <f>IFERROR(__xludf.DUMMYFUNCTION("""COMPUTED_VALUE"""),"vay thấu chi")</f>
        <v>vay thấu chi</v>
      </c>
      <c r="X71" s="21" t="str">
        <f>IFERROR(__xludf.DUMMYFUNCTION("""COMPUTED_VALUE"""),"https://techcombank.com/thong-tin/blog/cac-hinh-thuc-vay-von-ngan-hang")</f>
        <v>https://techcombank.com/thong-tin/blog/cac-hinh-thuc-vay-von-ngan-hang</v>
      </c>
      <c r="Y71" s="17" t="str">
        <f>IFERROR(__xludf.DUMMYFUNCTION("""COMPUTED_VALUE"""),"thấu chi là gì")</f>
        <v>thấu chi là gì</v>
      </c>
      <c r="Z71" s="21" t="str">
        <f>IFERROR(__xludf.DUMMYFUNCTION("""COMPUTED_VALUE"""),"https://techcombank.com/thong-tin/blog/vay-san-xuat-kinh-doanh")</f>
        <v>https://techcombank.com/thong-tin/blog/vay-san-xuat-kinh-doanh</v>
      </c>
      <c r="AA71" s="17" t="str">
        <f>IFERROR(__xludf.DUMMYFUNCTION("""COMPUTED_VALUE"""),"vay thấu chi là như nào")</f>
        <v>vay thấu chi là như nào</v>
      </c>
      <c r="AB71" s="21" t="str">
        <f>IFERROR(__xludf.DUMMYFUNCTION("""COMPUTED_VALUE"""),"https://techcombank.com/thong-tin/blog/cach-tinh-lai-vay-ngan-hang")</f>
        <v>https://techcombank.com/thong-tin/blog/cach-tinh-lai-vay-ngan-hang</v>
      </c>
      <c r="AC71" s="17" t="str">
        <f>IFERROR(__xludf.DUMMYFUNCTION("""COMPUTED_VALUE"""),"vay thấu chi là gì")</f>
        <v>vay thấu chi là gì</v>
      </c>
      <c r="AD71" s="21" t="str">
        <f>IFERROR(__xludf.DUMMYFUNCTION("""COMPUTED_VALUE"""),"https://techcombank.com/thong-tin/blog/vay-thau-chi-bang-so-tiet-kiem")</f>
        <v>https://techcombank.com/thong-tin/blog/vay-thau-chi-bang-so-tiet-kiem</v>
      </c>
      <c r="AE71" s="17" t="str">
        <f>IFERROR(__xludf.DUMMYFUNCTION("""COMPUTED_VALUE"""),"vay thấu chi")</f>
        <v>vay thấu chi</v>
      </c>
      <c r="AF71" s="21" t="str">
        <f>IFERROR(__xludf.DUMMYFUNCTION("""COMPUTED_VALUE"""),"https://techcombank.com/thong-tin/blog/nen-mua-xe-tra-gop-hay-tra-thang")</f>
        <v>https://techcombank.com/thong-tin/blog/nen-mua-xe-tra-gop-hay-tra-thang</v>
      </c>
      <c r="AG71" s="17" t="str">
        <f>IFERROR(__xludf.DUMMYFUNCTION("""COMPUTED_VALUE"""),"thấu chi là gì")</f>
        <v>thấu chi là gì</v>
      </c>
      <c r="AH71" s="21" t="str">
        <f>IFERROR(__xludf.DUMMYFUNCTION("""COMPUTED_VALUE"""),"https://techcombank.com/thong-tin/blog/tin-chap-doanh-nghiep")</f>
        <v>https://techcombank.com/thong-tin/blog/tin-chap-doanh-nghiep</v>
      </c>
      <c r="AI71" s="17" t="str">
        <f>IFERROR(__xludf.DUMMYFUNCTION("""COMPUTED_VALUE"""),"vay thấu chi là như nào")</f>
        <v>vay thấu chi là như nào</v>
      </c>
      <c r="AJ71" s="21" t="str">
        <f>IFERROR(__xludf.DUMMYFUNCTION("""COMPUTED_VALUE"""),"https://techcombank.com/thong-tin/blog/vay-mua-nha-o-xa-hoi")</f>
        <v>https://techcombank.com/thong-tin/blog/vay-mua-nha-o-xa-hoi</v>
      </c>
      <c r="AK71" s="17" t="str">
        <f>IFERROR(__xludf.DUMMYFUNCTION("""COMPUTED_VALUE"""),"vay thấu chi là gì")</f>
        <v>vay thấu chi là gì</v>
      </c>
      <c r="AL71" s="21" t="str">
        <f>IFERROR(__xludf.DUMMYFUNCTION("""COMPUTED_VALUE"""),"https://techcombank.com/thong-tin/blog/vay-the-chap-xe-o-to-cu")</f>
        <v>https://techcombank.com/thong-tin/blog/vay-the-chap-xe-o-to-cu</v>
      </c>
      <c r="AM71" s="17" t="str">
        <f>IFERROR(__xludf.DUMMYFUNCTION("""COMPUTED_VALUE"""),"vay thấu chi")</f>
        <v>vay thấu chi</v>
      </c>
      <c r="AN71" s="21" t="str">
        <f>IFERROR(__xludf.DUMMYFUNCTION("""COMPUTED_VALUE"""),"https://techcombank.com/thong-tin/blog/lai-suat-vay-the-chap-so-do")</f>
        <v>https://techcombank.com/thong-tin/blog/lai-suat-vay-the-chap-so-do</v>
      </c>
      <c r="AO71" s="17" t="str">
        <f>IFERROR(__xludf.DUMMYFUNCTION("""COMPUTED_VALUE"""),"thấu chi là gì")</f>
        <v>thấu chi là gì</v>
      </c>
      <c r="AP71" s="21" t="str">
        <f>IFERROR(__xludf.DUMMYFUNCTION("""COMPUTED_VALUE"""),"https://techcombank.com/thong-tin/blog/vay-the-chap-so-hong")</f>
        <v>https://techcombank.com/thong-tin/blog/vay-the-chap-so-hong</v>
      </c>
      <c r="AQ71" s="17" t="str">
        <f>IFERROR(__xludf.DUMMYFUNCTION("""COMPUTED_VALUE"""),"vay thấu chi là như nào")</f>
        <v>vay thấu chi là như nào</v>
      </c>
      <c r="AR71" s="21" t="str">
        <f>IFERROR(__xludf.DUMMYFUNCTION("""COMPUTED_VALUE"""),"https://techcombank.com/thong-tin/blog/vay-the-chap-kinh-doanh")</f>
        <v>https://techcombank.com/thong-tin/blog/vay-the-chap-kinh-doanh</v>
      </c>
      <c r="AS71" s="17" t="str">
        <f>IFERROR(__xludf.DUMMYFUNCTION("""COMPUTED_VALUE"""),"vay thấu chi là gì")</f>
        <v>vay thấu chi là gì</v>
      </c>
      <c r="AT71" s="21" t="str">
        <f>IFERROR(__xludf.DUMMYFUNCTION("""COMPUTED_VALUE"""),"https://techcombank.com/thong-tin/blog/vay-the-chap-toi-da-duoc-bao-nhieu")</f>
        <v>https://techcombank.com/thong-tin/blog/vay-the-chap-toi-da-duoc-bao-nhieu</v>
      </c>
      <c r="AU71" s="17" t="str">
        <f>IFERROR(__xludf.DUMMYFUNCTION("""COMPUTED_VALUE"""),"vay thấu chi")</f>
        <v>vay thấu chi</v>
      </c>
      <c r="AV71" s="21" t="str">
        <f>IFERROR(__xludf.DUMMYFUNCTION("""COMPUTED_VALUE"""),"https://techcombank.com/thong-tin/blog/vay-tin-chap-toi-da-duoc-bao-nhieu")</f>
        <v>https://techcombank.com/thong-tin/blog/vay-tin-chap-toi-da-duoc-bao-nhieu</v>
      </c>
      <c r="AW71" s="17" t="str">
        <f>IFERROR(__xludf.DUMMYFUNCTION("""COMPUTED_VALUE"""),"thấu chi là gì")</f>
        <v>thấu chi là gì</v>
      </c>
      <c r="AX71" s="21" t="str">
        <f>IFERROR(__xludf.DUMMYFUNCTION("""COMPUTED_VALUE"""),"https://techcombank.com/thong-tin/blog/lai-suat-vay-mua-o-to")</f>
        <v>https://techcombank.com/thong-tin/blog/lai-suat-vay-mua-o-to</v>
      </c>
      <c r="AY71" s="17" t="str">
        <f>IFERROR(__xludf.DUMMYFUNCTION("""COMPUTED_VALUE"""),"vay thấu chi là như nào")</f>
        <v>vay thấu chi là như nào</v>
      </c>
      <c r="AZ71" s="21" t="str">
        <f>IFERROR(__xludf.DUMMYFUNCTION("""COMPUTED_VALUE"""),"https://techcombank.com/thong-tin/blog/cho-vay-kinh-doanh-ho-gia-dinh")</f>
        <v>https://techcombank.com/thong-tin/blog/cho-vay-kinh-doanh-ho-gia-dinh</v>
      </c>
      <c r="BA71" s="17" t="str">
        <f>IFERROR(__xludf.DUMMYFUNCTION("""COMPUTED_VALUE"""),"vay thấu chi là gì")</f>
        <v>vay thấu chi là gì</v>
      </c>
      <c r="BB71" s="21" t="str">
        <f>IFERROR(__xludf.DUMMYFUNCTION("""COMPUTED_VALUE"""),"https://techcombank.com/thong-tin/blog/vay-von-doanh-nghiep-nho")</f>
        <v>https://techcombank.com/thong-tin/blog/vay-von-doanh-nghiep-nho</v>
      </c>
      <c r="BC71" s="17" t="str">
        <f>IFERROR(__xludf.DUMMYFUNCTION("""COMPUTED_VALUE"""),"vay thấu chi")</f>
        <v>vay thấu chi</v>
      </c>
      <c r="BD71" s="21" t="str">
        <f>IFERROR(__xludf.DUMMYFUNCTION("""COMPUTED_VALUE"""),"https://techcombank.com/thong-tin/blog/han-muc-vay-the-chap-so-do")</f>
        <v>https://techcombank.com/thong-tin/blog/han-muc-vay-the-chap-so-do</v>
      </c>
      <c r="BE71" s="17" t="str">
        <f>IFERROR(__xludf.DUMMYFUNCTION("""COMPUTED_VALUE"""),"thấu chi là gì")</f>
        <v>thấu chi là gì</v>
      </c>
      <c r="BF71" s="21" t="str">
        <f>IFERROR(__xludf.DUMMYFUNCTION("""COMPUTED_VALUE"""),"https://techcombank.com/thong-tin/blog/vay-sinh-vien")</f>
        <v>https://techcombank.com/thong-tin/blog/vay-sinh-vien</v>
      </c>
      <c r="BG71" s="17" t="str">
        <f>IFERROR(__xludf.DUMMYFUNCTION("""COMPUTED_VALUE"""),"vay thấu chi là như nào")</f>
        <v>vay thấu chi là như nào</v>
      </c>
      <c r="BH71" s="21" t="str">
        <f>IFERROR(__xludf.DUMMYFUNCTION("""COMPUTED_VALUE"""),"https://techcombank.com/thong-tin/blog/lai-suat-vay-tin-chap")</f>
        <v>https://techcombank.com/thong-tin/blog/lai-suat-vay-tin-chap</v>
      </c>
      <c r="BI71" s="17" t="str">
        <f>IFERROR(__xludf.DUMMYFUNCTION("""COMPUTED_VALUE"""),"vay thấu chi là gì")</f>
        <v>vay thấu chi là gì</v>
      </c>
      <c r="BJ71" s="21" t="str">
        <f>IFERROR(__xludf.DUMMYFUNCTION("""COMPUTED_VALUE"""),"https://techcombank.com/thong-tin/blog/vay-tin-chap-va-vay-the-chap")</f>
        <v>https://techcombank.com/thong-tin/blog/vay-tin-chap-va-vay-the-chap</v>
      </c>
      <c r="BK71" s="17" t="str">
        <f>IFERROR(__xludf.DUMMYFUNCTION("""COMPUTED_VALUE"""),"vay thấu chi")</f>
        <v>vay thấu chi</v>
      </c>
      <c r="BL71" s="21" t="str">
        <f>IFERROR(__xludf.DUMMYFUNCTION("""COMPUTED_VALUE"""),"https://techcombank.com/thong-tin/blog/co-100-trieu-co-mua-nen-mua-tra-gop")</f>
        <v>https://techcombank.com/thong-tin/blog/co-100-trieu-co-mua-nen-mua-tra-gop</v>
      </c>
      <c r="BM71" s="17" t="str">
        <f>IFERROR(__xludf.DUMMYFUNCTION("""COMPUTED_VALUE"""),"thấu chi là gì")</f>
        <v>thấu chi là gì</v>
      </c>
      <c r="BN71" s="21" t="str">
        <f>IFERROR(__xludf.DUMMYFUNCTION("""COMPUTED_VALUE"""),"https://techcombank.com/thong-tin/blog/mua-nha-tra-gop-dua-truoc-100-trieu")</f>
        <v>https://techcombank.com/thong-tin/blog/mua-nha-tra-gop-dua-truoc-100-trieu</v>
      </c>
      <c r="BO71" s="17" t="str">
        <f>IFERROR(__xludf.DUMMYFUNCTION("""COMPUTED_VALUE"""),"vay thấu chi là như nào")</f>
        <v>vay thấu chi là như nào</v>
      </c>
      <c r="BP71" s="21" t="str">
        <f>IFERROR(__xludf.DUMMYFUNCTION("""COMPUTED_VALUE"""),"https://techcombank.com/thong-tin/blog/vay-tra-gop")</f>
        <v>https://techcombank.com/thong-tin/blog/vay-tra-gop</v>
      </c>
      <c r="BQ71" s="17" t="str">
        <f>IFERROR(__xludf.DUMMYFUNCTION("""COMPUTED_VALUE"""),"vay thấu chi là gì")</f>
        <v>vay thấu chi là gì</v>
      </c>
      <c r="BR71" s="21" t="str">
        <f>IFERROR(__xludf.DUMMYFUNCTION("""COMPUTED_VALUE"""),"https://techcombank.com/thong-tin/blog/vay-30-trieu")</f>
        <v>https://techcombank.com/thong-tin/blog/vay-30-trieu</v>
      </c>
      <c r="BS71" s="17" t="str">
        <f>IFERROR(__xludf.DUMMYFUNCTION("""COMPUTED_VALUE"""),"vay thấu chi")</f>
        <v>vay thấu chi</v>
      </c>
      <c r="BT71" s="21" t="str">
        <f>IFERROR(__xludf.DUMMYFUNCTION("""COMPUTED_VALUE"""),"https://techcombank.com/thong-tin/blog/vay-200-trieu")</f>
        <v>https://techcombank.com/thong-tin/blog/vay-200-trieu</v>
      </c>
      <c r="BU71" s="17" t="str">
        <f>IFERROR(__xludf.DUMMYFUNCTION("""COMPUTED_VALUE"""),"thấu chi là gì")</f>
        <v>thấu chi là gì</v>
      </c>
      <c r="BV71" s="21" t="str">
        <f>IFERROR(__xludf.DUMMYFUNCTION("""COMPUTED_VALUE"""),"https://techcombank.com/thong-tin/blog/bao-hiem-vat-chat-xe-o-to")</f>
        <v>https://techcombank.com/thong-tin/blog/bao-hiem-vat-chat-xe-o-to</v>
      </c>
      <c r="BW71" s="17" t="str">
        <f>IFERROR(__xludf.DUMMYFUNCTION("""COMPUTED_VALUE"""),"vay thấu chi là như nào")</f>
        <v>vay thấu chi là như nào</v>
      </c>
      <c r="BX71" s="21" t="str">
        <f>IFERROR(__xludf.DUMMYFUNCTION("""COMPUTED_VALUE"""),"https://techcombank.com/thong-tin/blog/vay-300-trieu")</f>
        <v>https://techcombank.com/thong-tin/blog/vay-300-trieu</v>
      </c>
      <c r="BY71" s="17" t="str">
        <f>IFERROR(__xludf.DUMMYFUNCTION("""COMPUTED_VALUE"""),"vay thấu chi là gì")</f>
        <v>vay thấu chi là gì</v>
      </c>
      <c r="BZ71" s="21" t="str">
        <f>IFERROR(__xludf.DUMMYFUNCTION("""COMPUTED_VALUE"""),"https://techcombank.com/thong-tin/blog/nen-vay-tin-chap-o-dau")</f>
        <v>https://techcombank.com/thong-tin/blog/nen-vay-tin-chap-o-dau</v>
      </c>
      <c r="CA71" s="17" t="str">
        <f>IFERROR(__xludf.DUMMYFUNCTION("""COMPUTED_VALUE"""),"vay thấu chi")</f>
        <v>vay thấu chi</v>
      </c>
      <c r="CB71" s="21" t="str">
        <f>IFERROR(__xludf.DUMMYFUNCTION("""COMPUTED_VALUE"""),"https://techcombank.com/thong-tin/blog/kiem-tra-no-xau")</f>
        <v>https://techcombank.com/thong-tin/blog/kiem-tra-no-xau</v>
      </c>
      <c r="CC71" s="17" t="str">
        <f>IFERROR(__xludf.DUMMYFUNCTION("""COMPUTED_VALUE"""),"thấu chi là gì")</f>
        <v>thấu chi là gì</v>
      </c>
      <c r="CD71" s="21" t="str">
        <f>IFERROR(__xludf.DUMMYFUNCTION("""COMPUTED_VALUE"""),"https://techcombank.com/thong-tin/blog/quy-trinh-tat-toan-khoan-vay-the-chap")</f>
        <v>https://techcombank.com/thong-tin/blog/quy-trinh-tat-toan-khoan-vay-the-chap</v>
      </c>
      <c r="CE71" s="17" t="str">
        <f>IFERROR(__xludf.DUMMYFUNCTION("""COMPUTED_VALUE"""),"vay thấu chi là như nào")</f>
        <v>vay thấu chi là như nào</v>
      </c>
      <c r="CF71" s="21" t="str">
        <f>IFERROR(__xludf.DUMMYFUNCTION("""COMPUTED_VALUE"""),"https://techcombank.com/thong-tin/blog/thu-tuc-mua-xe-tra-gop")</f>
        <v>https://techcombank.com/thong-tin/blog/thu-tuc-mua-xe-tra-gop</v>
      </c>
      <c r="CG71" s="17" t="str">
        <f>IFERROR(__xludf.DUMMYFUNCTION("""COMPUTED_VALUE"""),"vay thấu chi là gì")</f>
        <v>vay thấu chi là gì</v>
      </c>
      <c r="CH71" s="21" t="str">
        <f>IFERROR(__xludf.DUMMYFUNCTION("""COMPUTED_VALUE"""),"https://techcombank.com/thong-tin/blog/lai-suat-vay-the-chap")</f>
        <v>https://techcombank.com/thong-tin/blog/lai-suat-vay-the-chap</v>
      </c>
      <c r="CI71" s="17" t="str">
        <f>IFERROR(__xludf.DUMMYFUNCTION("""COMPUTED_VALUE"""),"vay thấu chi")</f>
        <v>vay thấu chi</v>
      </c>
      <c r="CJ71" s="21" t="str">
        <f>IFERROR(__xludf.DUMMYFUNCTION("""COMPUTED_VALUE"""),"https://techcombank.com/thong-tin/blog/vay-mua-xe-tra-gop-ngan-hang-nao-tot-nhat")</f>
        <v>https://techcombank.com/thong-tin/blog/vay-mua-xe-tra-gop-ngan-hang-nao-tot-nhat</v>
      </c>
      <c r="CK71" s="17" t="str">
        <f>IFERROR(__xludf.DUMMYFUNCTION("""COMPUTED_VALUE"""),"thấu chi là gì")</f>
        <v>thấu chi là gì</v>
      </c>
      <c r="CL71" s="21" t="str">
        <f>IFERROR(__xludf.DUMMYFUNCTION("""COMPUTED_VALUE"""),"https://techcombank.com/thong-tin/blog/vay-100-trieu")</f>
        <v>https://techcombank.com/thong-tin/blog/vay-100-trieu</v>
      </c>
      <c r="CM71" s="17" t="str">
        <f>IFERROR(__xludf.DUMMYFUNCTION("""COMPUTED_VALUE"""),"vay thấu chi là như nào")</f>
        <v>vay thấu chi là như nào</v>
      </c>
      <c r="CN71" s="21" t="str">
        <f>IFERROR(__xludf.DUMMYFUNCTION("""COMPUTED_VALUE"""),"https://techcombank.com/thong-tin/blog/vay-the-chap-hop-dong-mua-ban-can-ho")</f>
        <v>https://techcombank.com/thong-tin/blog/vay-the-chap-hop-dong-mua-ban-can-ho</v>
      </c>
      <c r="CO71" s="17" t="str">
        <f>IFERROR(__xludf.DUMMYFUNCTION("""COMPUTED_VALUE"""),"vay thấu chi là gì")</f>
        <v>vay thấu chi là gì</v>
      </c>
      <c r="CP71" s="21" t="str">
        <f>IFERROR(__xludf.DUMMYFUNCTION("""COMPUTED_VALUE"""),"https://techcombank.com/thong-tin/blog/giai-ngan-vay-the-chap")</f>
        <v>https://techcombank.com/thong-tin/blog/giai-ngan-vay-the-chap</v>
      </c>
      <c r="CQ71" s="17" t="str">
        <f>IFERROR(__xludf.DUMMYFUNCTION("""COMPUTED_VALUE"""),"vay thấu chi")</f>
        <v>vay thấu chi</v>
      </c>
      <c r="CR71" s="21" t="str">
        <f>IFERROR(__xludf.DUMMYFUNCTION("""COMPUTED_VALUE"""),"https://techcombank.com/thong-tin/blog/kinh-nghiem-vay-tien-ngan-hang-xay-nha")</f>
        <v>https://techcombank.com/thong-tin/blog/kinh-nghiem-vay-tien-ngan-hang-xay-nha</v>
      </c>
      <c r="CS71" s="17" t="str">
        <f>IFERROR(__xludf.DUMMYFUNCTION("""COMPUTED_VALUE"""),"thấu chi là gì")</f>
        <v>thấu chi là gì</v>
      </c>
      <c r="CT71" s="21" t="str">
        <f>IFERROR(__xludf.DUMMYFUNCTION("""COMPUTED_VALUE"""),"https://techcombank.com/thong-tin/blog/vay-tin-chap-theo-luong")</f>
        <v>https://techcombank.com/thong-tin/blog/vay-tin-chap-theo-luong</v>
      </c>
      <c r="CU71" s="17" t="str">
        <f>IFERROR(__xludf.DUMMYFUNCTION("""COMPUTED_VALUE"""),"vay thấu chi là như nào")</f>
        <v>vay thấu chi là như nào</v>
      </c>
      <c r="CV71" s="21" t="str">
        <f>IFERROR(__xludf.DUMMYFUNCTION("""COMPUTED_VALUE"""),"https://techcombank.com/thong-tin/blog/cac-hinh-thuc-cho-vay-tieu-dung")</f>
        <v>https://techcombank.com/thong-tin/blog/cac-hinh-thuc-cho-vay-tieu-dung</v>
      </c>
      <c r="CW71" s="17" t="str">
        <f>IFERROR(__xludf.DUMMYFUNCTION("""COMPUTED_VALUE"""),"vay thấu chi là gì")</f>
        <v>vay thấu chi là gì</v>
      </c>
      <c r="CX71" s="21" t="str">
        <f>IFERROR(__xludf.DUMMYFUNCTION("""COMPUTED_VALUE"""),"https://techcombank.com/thong-tin/blog/kinh-nghiem-vay-tien-mua-nha")</f>
        <v>https://techcombank.com/thong-tin/blog/kinh-nghiem-vay-tien-mua-nha</v>
      </c>
      <c r="CY71" s="17" t="str">
        <f>IFERROR(__xludf.DUMMYFUNCTION("""COMPUTED_VALUE"""),"vay thấu chi")</f>
        <v>vay thấu chi</v>
      </c>
      <c r="CZ71" s="21" t="str">
        <f>IFERROR(__xludf.DUMMYFUNCTION("""COMPUTED_VALUE"""),"https://techcombank.com/thong-tin/blog/vay-mua-nha-tra-gop")</f>
        <v>https://techcombank.com/thong-tin/blog/vay-mua-nha-tra-gop</v>
      </c>
      <c r="DA71" s="17" t="str">
        <f>IFERROR(__xludf.DUMMYFUNCTION("""COMPUTED_VALUE"""),"thấu chi là gì")</f>
        <v>thấu chi là gì</v>
      </c>
      <c r="DB71" s="21" t="str">
        <f>IFERROR(__xludf.DUMMYFUNCTION("""COMPUTED_VALUE"""),"https://techcombank.com/thong-tin/blog/vay-tien-mat")</f>
        <v>https://techcombank.com/thong-tin/blog/vay-tien-mat</v>
      </c>
      <c r="DC71" s="17" t="str">
        <f>IFERROR(__xludf.DUMMYFUNCTION("""COMPUTED_VALUE"""),"vay thấu chi là như nào")</f>
        <v>vay thấu chi là như nào</v>
      </c>
      <c r="DD71" s="21" t="str">
        <f>IFERROR(__xludf.DUMMYFUNCTION("""COMPUTED_VALUE"""),"https://techcombank.com/thong-tin/blog/no-xau-nhom-2")</f>
        <v>https://techcombank.com/thong-tin/blog/no-xau-nhom-2</v>
      </c>
      <c r="DE71" s="17" t="str">
        <f>IFERROR(__xludf.DUMMYFUNCTION("""COMPUTED_VALUE"""),"vay thấu chi là gì")</f>
        <v>vay thấu chi là gì</v>
      </c>
      <c r="DF71" s="21" t="str">
        <f>IFERROR(__xludf.DUMMYFUNCTION("""COMPUTED_VALUE"""),"https://techcombank.com/thong-tin/blog/vay-mua-dien-thoai")</f>
        <v>https://techcombank.com/thong-tin/blog/vay-mua-dien-thoai</v>
      </c>
      <c r="DG71" s="17" t="str">
        <f>IFERROR(__xludf.DUMMYFUNCTION("""COMPUTED_VALUE"""),"vay thấu chi")</f>
        <v>vay thấu chi</v>
      </c>
      <c r="DH71" s="21" t="str">
        <f>IFERROR(__xludf.DUMMYFUNCTION("""COMPUTED_VALUE"""),"https://techcombank.com/thong-tin/blog/vay-ngan-han")</f>
        <v>https://techcombank.com/thong-tin/blog/vay-ngan-han</v>
      </c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  <c r="FN71" s="17"/>
      <c r="FO71" s="17"/>
      <c r="FP71" s="17"/>
      <c r="FQ71" s="17"/>
      <c r="FR71" s="17"/>
      <c r="FS71" s="17"/>
      <c r="FT71" s="17"/>
      <c r="FU71" s="17"/>
      <c r="FV71" s="17"/>
      <c r="FW71" s="17"/>
      <c r="FX71" s="17"/>
      <c r="FY71" s="17"/>
      <c r="FZ71" s="17"/>
      <c r="GA71" s="17"/>
      <c r="GB71" s="17"/>
      <c r="GC71" s="17"/>
      <c r="GD71" s="17"/>
      <c r="GE71" s="17"/>
      <c r="GF71" s="17"/>
      <c r="GG71" s="17"/>
      <c r="GH71" s="17"/>
      <c r="GI71" s="17"/>
      <c r="GJ71" s="17"/>
      <c r="GK71" s="17"/>
      <c r="GL71" s="17"/>
      <c r="GM71" s="17"/>
      <c r="GN71" s="17"/>
      <c r="GO71" s="17"/>
      <c r="GP71" s="17"/>
      <c r="GQ71" s="17"/>
      <c r="GR71" s="17"/>
      <c r="GS71" s="17"/>
      <c r="GT71" s="17"/>
      <c r="GU71" s="17"/>
      <c r="GV71" s="17"/>
      <c r="GW71" s="17"/>
      <c r="GX71" s="17"/>
      <c r="GY71" s="17"/>
      <c r="GZ71" s="17"/>
      <c r="HA71" s="17"/>
      <c r="HB71" s="17"/>
      <c r="HC71" s="17"/>
      <c r="HD71" s="17"/>
      <c r="HE71" s="17"/>
      <c r="HF71" s="17"/>
      <c r="HG71" s="17"/>
      <c r="HH71" s="17"/>
      <c r="HI71" s="17"/>
      <c r="HJ71" s="17"/>
      <c r="HK71" s="17"/>
      <c r="HL71" s="17"/>
      <c r="HM71" s="17"/>
      <c r="HN71" s="17"/>
      <c r="HO71" s="17"/>
      <c r="HP71" s="17"/>
      <c r="HQ71" s="17"/>
      <c r="HR71" s="17"/>
      <c r="HS71" s="17"/>
      <c r="HT71" s="17"/>
      <c r="HU71" s="17"/>
      <c r="HV71" s="17"/>
      <c r="HW71" s="17"/>
      <c r="HX71" s="17"/>
      <c r="HY71" s="17"/>
      <c r="HZ71" s="17"/>
      <c r="IA71" s="17"/>
      <c r="IB71" s="17"/>
      <c r="IC71" s="17"/>
      <c r="ID71" s="17"/>
      <c r="IE71" s="17"/>
      <c r="IF71" s="17"/>
      <c r="IG71" s="17"/>
      <c r="IH71" s="17"/>
      <c r="II71" s="17"/>
      <c r="IJ71" s="17"/>
      <c r="IK71" s="17"/>
      <c r="IL71" s="17"/>
      <c r="IM71" s="17"/>
      <c r="IN71" s="17"/>
      <c r="IO71" s="17"/>
      <c r="IP71" s="17"/>
      <c r="IQ71" s="17"/>
      <c r="IR71" s="17"/>
      <c r="IS71" s="17"/>
      <c r="IT71" s="17"/>
      <c r="IU71" s="17"/>
      <c r="IV71" s="17"/>
      <c r="IW71" s="17"/>
      <c r="IX71" s="17"/>
      <c r="IY71" s="17"/>
      <c r="IZ71" s="17"/>
      <c r="JA71" s="17"/>
      <c r="JB71" s="17"/>
      <c r="JC71" s="17"/>
      <c r="JD71" s="17"/>
      <c r="JE71" s="17"/>
      <c r="JF71" s="17"/>
      <c r="JG71" s="17"/>
      <c r="JH71" s="17"/>
      <c r="JI71" s="17"/>
      <c r="JJ71" s="17"/>
      <c r="JK71" s="17"/>
      <c r="JL71" s="17"/>
      <c r="JM71" s="17"/>
      <c r="JN71" s="17"/>
      <c r="JO71" s="17"/>
      <c r="JP71" s="17"/>
      <c r="JQ71" s="17"/>
      <c r="JR71" s="17"/>
      <c r="JS71" s="17"/>
      <c r="JT71" s="17"/>
      <c r="JU71" s="17"/>
      <c r="JV71" s="17"/>
      <c r="JW71" s="17"/>
      <c r="JX71" s="17"/>
      <c r="JY71" s="17"/>
      <c r="JZ71" s="17"/>
      <c r="KA71" s="17"/>
      <c r="KB71" s="17"/>
      <c r="KC71" s="17"/>
      <c r="KD71" s="17"/>
      <c r="KE71" s="17"/>
      <c r="KF71" s="17"/>
      <c r="KG71" s="17"/>
      <c r="KH71" s="17"/>
      <c r="KI71" s="17"/>
      <c r="KJ71" s="17"/>
      <c r="KK71" s="17"/>
      <c r="KL71" s="17"/>
      <c r="KM71" s="17"/>
      <c r="KN71" s="17"/>
      <c r="KO71" s="17"/>
      <c r="KP71" s="17"/>
      <c r="KQ71" s="17"/>
      <c r="KR71" s="17"/>
      <c r="KS71" s="17"/>
      <c r="KT71" s="17"/>
      <c r="KU71" s="17"/>
      <c r="KV71" s="17"/>
      <c r="KW71" s="17"/>
      <c r="KX71" s="17"/>
      <c r="KY71" s="17"/>
      <c r="KZ71" s="17"/>
      <c r="LA71" s="17"/>
      <c r="LB71" s="17"/>
      <c r="LC71" s="17"/>
      <c r="LD71" s="17"/>
      <c r="LE71" s="17"/>
      <c r="LF71" s="17"/>
      <c r="LG71" s="17"/>
      <c r="LH71" s="17"/>
      <c r="LI71" s="17"/>
      <c r="LJ71" s="17"/>
      <c r="LK71" s="17"/>
      <c r="LL71" s="17"/>
      <c r="LM71" s="17"/>
      <c r="LN71" s="17"/>
      <c r="LO71" s="17"/>
      <c r="LP71" s="17"/>
      <c r="LQ71" s="17"/>
      <c r="LR71" s="17"/>
      <c r="LS71" s="17"/>
      <c r="LT71" s="17"/>
      <c r="LU71" s="17"/>
      <c r="LV71" s="17"/>
      <c r="LW71" s="17"/>
      <c r="LX71" s="17"/>
      <c r="LY71" s="17"/>
      <c r="LZ71" s="17"/>
      <c r="MA71" s="17"/>
      <c r="MB71" s="17"/>
      <c r="MC71" s="17"/>
      <c r="MD71" s="17"/>
      <c r="ME71" s="17"/>
      <c r="MF71" s="17"/>
      <c r="MG71" s="17"/>
      <c r="MH71" s="17"/>
      <c r="MI71" s="17"/>
      <c r="MJ71" s="17"/>
      <c r="MK71" s="17"/>
      <c r="ML71" s="17"/>
      <c r="MM71" s="17"/>
      <c r="MN71" s="17"/>
      <c r="MO71" s="17"/>
      <c r="MP71" s="17"/>
      <c r="MQ71" s="17"/>
      <c r="MR71" s="17"/>
      <c r="MS71" s="17"/>
      <c r="MT71" s="17"/>
      <c r="MU71" s="17"/>
      <c r="MV71" s="17"/>
      <c r="MW71" s="17"/>
      <c r="MX71" s="17"/>
      <c r="MY71" s="17"/>
      <c r="MZ71" s="17"/>
      <c r="NA71" s="17"/>
      <c r="NB71" s="17"/>
      <c r="NC71" s="17"/>
      <c r="ND71" s="17"/>
      <c r="NE71" s="17"/>
      <c r="NF71" s="17"/>
      <c r="NG71" s="17"/>
      <c r="NH71" s="17"/>
      <c r="NI71" s="17"/>
      <c r="NJ71" s="17"/>
      <c r="NK71" s="17"/>
      <c r="NL71" s="17"/>
      <c r="NM71" s="17"/>
      <c r="NN71" s="17"/>
      <c r="NO71" s="17"/>
      <c r="NP71" s="17"/>
      <c r="NQ71" s="17"/>
      <c r="NR71" s="17"/>
      <c r="NS71" s="17"/>
      <c r="NT71" s="17"/>
      <c r="NU71" s="17"/>
      <c r="NV71" s="17"/>
      <c r="NW71" s="17"/>
      <c r="NX71" s="17"/>
      <c r="NY71" s="17"/>
      <c r="NZ71" s="17"/>
      <c r="OA71" s="17"/>
      <c r="OB71" s="17"/>
      <c r="OC71" s="17"/>
      <c r="OD71" s="17"/>
      <c r="OE71" s="17"/>
      <c r="OF71" s="17"/>
      <c r="OG71" s="17"/>
      <c r="OH71" s="17"/>
      <c r="OI71" s="17"/>
      <c r="OJ71" s="17"/>
      <c r="OK71" s="17"/>
      <c r="OL71" s="17"/>
      <c r="OM71" s="17"/>
      <c r="ON71" s="17"/>
      <c r="OO71" s="17"/>
      <c r="OP71" s="17"/>
      <c r="OQ71" s="17"/>
      <c r="OR71" s="17"/>
      <c r="OS71" s="17"/>
      <c r="OT71" s="17"/>
      <c r="OU71" s="17"/>
      <c r="OV71" s="17"/>
    </row>
    <row r="72" ht="18.0" customHeight="1">
      <c r="A72" s="16">
        <v>71.0</v>
      </c>
      <c r="B72" s="17" t="s">
        <v>1842</v>
      </c>
      <c r="C72" s="18" t="s">
        <v>1888</v>
      </c>
      <c r="D72" s="17" t="s">
        <v>627</v>
      </c>
      <c r="E72" s="16">
        <v>30.0</v>
      </c>
      <c r="F72" s="16">
        <f>COUNTIF('Tổng hợp 75 trang đích'!$B$2:$B$3400,$D72)</f>
        <v>30</v>
      </c>
      <c r="G72" s="16">
        <f>COUNTIFS('Tổng hợp 75 trang đích'!$B$2:$B$3400,$D72,'Tổng hợp 75 trang đích'!$K$2:$K$3400,"PHÙ HỢP CAO")</f>
        <v>4</v>
      </c>
      <c r="H72" s="16">
        <f>COUNTIFS('Tổng hợp 75 trang đích'!$B$2:$B$3400,$D72,'Tổng hợp 75 trang đích'!$K$2:$K$3400,"CÓ THỂ ĐI")</f>
        <v>1</v>
      </c>
      <c r="I72" s="16">
        <f>COUNTIFS('Tổng hợp 75 trang đích'!$B$2:$B$3400,$D72,'Tổng hợp 75 trang đích'!$K$2:$K$3400,"CẦN SOÁT")</f>
        <v>25</v>
      </c>
      <c r="J72" s="19" t="s">
        <v>555</v>
      </c>
      <c r="K72" s="19" t="b">
        <v>0</v>
      </c>
      <c r="L72" s="20" t="s">
        <v>333</v>
      </c>
      <c r="M72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đích'!$B$2:$B$3400=$D72),3,TR"&amp;"UE),1,2)),"""")"),"kiểm tra nợ xấu")</f>
        <v>kiểm tra nợ xấu</v>
      </c>
      <c r="N72" s="21" t="str">
        <f>IFERROR(__xludf.DUMMYFUNCTION("""COMPUTED_VALUE"""),"https://techcombank.com/thong-tin/blog/no-xau-co-lam-the-visa-duoc-khong")</f>
        <v>https://techcombank.com/thong-tin/blog/no-xau-co-lam-the-visa-duoc-khong</v>
      </c>
      <c r="O72" s="17" t="str">
        <f>IFERROR(__xludf.DUMMYFUNCTION("""COMPUTED_VALUE"""),"tra cứu nợ xấu")</f>
        <v>tra cứu nợ xấu</v>
      </c>
      <c r="P72" s="21" t="str">
        <f>IFERROR(__xludf.DUMMYFUNCTION("""COMPUTED_VALUE"""),"https://techcombank.com/thong-tin/blog/no-xau-mo-the-tin-dung-duoc-khong")</f>
        <v>https://techcombank.com/thong-tin/blog/no-xau-mo-the-tin-dung-duoc-khong</v>
      </c>
      <c r="Q72" s="17" t="str">
        <f>IFERROR(__xludf.DUMMYFUNCTION("""COMPUTED_VALUE"""),"kiểm tra nợ xấu")</f>
        <v>kiểm tra nợ xấu</v>
      </c>
      <c r="R72" s="21" t="str">
        <f>IFERROR(__xludf.DUMMYFUNCTION("""COMPUTED_VALUE"""),"https://techcombank.com/thong-tin/blog/vay-tin-chap-no-xau")</f>
        <v>https://techcombank.com/thong-tin/blog/vay-tin-chap-no-xau</v>
      </c>
      <c r="S72" s="17" t="str">
        <f>IFERROR(__xludf.DUMMYFUNCTION("""COMPUTED_VALUE"""),"tra cứu nợ xấu")</f>
        <v>tra cứu nợ xấu</v>
      </c>
      <c r="T72" s="21" t="str">
        <f>IFERROR(__xludf.DUMMYFUNCTION("""COMPUTED_VALUE"""),"https://techcombank.com/thong-tin/blog/no-xau-co-vay-the-chap-duoc-khong")</f>
        <v>https://techcombank.com/thong-tin/blog/no-xau-co-vay-the-chap-duoc-khong</v>
      </c>
      <c r="U72" s="17" t="str">
        <f>IFERROR(__xludf.DUMMYFUNCTION("""COMPUTED_VALUE"""),"kiểm tra nợ xấu")</f>
        <v>kiểm tra nợ xấu</v>
      </c>
      <c r="V72" s="21" t="str">
        <f>IFERROR(__xludf.DUMMYFUNCTION("""COMPUTED_VALUE"""),"https://techcombank.com/thong-tin/blog/no-xau-nhom-2")</f>
        <v>https://techcombank.com/thong-tin/blog/no-xau-nhom-2</v>
      </c>
      <c r="W72" s="17" t="str">
        <f>IFERROR(__xludf.DUMMYFUNCTION("""COMPUTED_VALUE"""),"tra cứu nợ xấu")</f>
        <v>tra cứu nợ xấu</v>
      </c>
      <c r="X72" s="21" t="str">
        <f>IFERROR(__xludf.DUMMYFUNCTION("""COMPUTED_VALUE"""),"https://techcombank.com/thong-tin/blog/no-chu-y-la-gi")</f>
        <v>https://techcombank.com/thong-tin/blog/no-chu-y-la-gi</v>
      </c>
      <c r="Y72" s="17" t="str">
        <f>IFERROR(__xludf.DUMMYFUNCTION("""COMPUTED_VALUE"""),"kiểm tra nợ xấu")</f>
        <v>kiểm tra nợ xấu</v>
      </c>
      <c r="Z72" s="21" t="str">
        <f>IFERROR(__xludf.DUMMYFUNCTION("""COMPUTED_VALUE"""),"https://techcombank.com/thong-tin/blog/diem-tin-dung")</f>
        <v>https://techcombank.com/thong-tin/blog/diem-tin-dung</v>
      </c>
      <c r="AA72" s="17" t="str">
        <f>IFERROR(__xludf.DUMMYFUNCTION("""COMPUTED_VALUE"""),"tra cứu nợ xấu")</f>
        <v>tra cứu nợ xấu</v>
      </c>
      <c r="AB72" s="21" t="str">
        <f>IFERROR(__xludf.DUMMYFUNCTION("""COMPUTED_VALUE"""),"https://techcombank.com/thong-tin/blog/no-xau")</f>
        <v>https://techcombank.com/thong-tin/blog/no-xau</v>
      </c>
      <c r="AC72" s="17" t="str">
        <f>IFERROR(__xludf.DUMMYFUNCTION("""COMPUTED_VALUE"""),"kiểm tra nợ xấu")</f>
        <v>kiểm tra nợ xấu</v>
      </c>
      <c r="AD72" s="21" t="str">
        <f>IFERROR(__xludf.DUMMYFUNCTION("""COMPUTED_VALUE"""),"https://techcombank.com/thong-tin/blog/no-xau-la-gi")</f>
        <v>https://techcombank.com/thong-tin/blog/no-xau-la-gi</v>
      </c>
      <c r="AE72" s="17" t="str">
        <f>IFERROR(__xludf.DUMMYFUNCTION("""COMPUTED_VALUE"""),"tra cứu nợ xấu")</f>
        <v>tra cứu nợ xấu</v>
      </c>
      <c r="AF72" s="21" t="str">
        <f>IFERROR(__xludf.DUMMYFUNCTION("""COMPUTED_VALUE"""),"https://techcombank.com/thong-tin/blog/thanh-toan-toi-thieu-the-tin-dung")</f>
        <v>https://techcombank.com/thong-tin/blog/thanh-toan-toi-thieu-the-tin-dung</v>
      </c>
      <c r="AG72" s="17" t="str">
        <f>IFERROR(__xludf.DUMMYFUNCTION("""COMPUTED_VALUE"""),"kiểm tra nợ xấu")</f>
        <v>kiểm tra nợ xấu</v>
      </c>
      <c r="AH72" s="21" t="str">
        <f>IFERROR(__xludf.DUMMYFUNCTION("""COMPUTED_VALUE"""),"https://techcombank.com/thong-tin/blog/spaylater")</f>
        <v>https://techcombank.com/thong-tin/blog/spaylater</v>
      </c>
      <c r="AI72" s="17" t="str">
        <f>IFERROR(__xludf.DUMMYFUNCTION("""COMPUTED_VALUE"""),"tra cứu nợ xấu")</f>
        <v>tra cứu nợ xấu</v>
      </c>
      <c r="AJ72" s="21" t="str">
        <f>IFERROR(__xludf.DUMMYFUNCTION("""COMPUTED_VALUE"""),"https://techcombank.com/thong-tin/blog/no-nhom-3")</f>
        <v>https://techcombank.com/thong-tin/blog/no-nhom-3</v>
      </c>
      <c r="AK72" s="17" t="str">
        <f>IFERROR(__xludf.DUMMYFUNCTION("""COMPUTED_VALUE"""),"kiểm tra nợ xấu")</f>
        <v>kiểm tra nợ xấu</v>
      </c>
      <c r="AL72" s="21" t="str">
        <f>IFERROR(__xludf.DUMMYFUNCTION("""COMPUTED_VALUE"""),"https://techcombank.com/thong-tin/blog/cic-la-gi")</f>
        <v>https://techcombank.com/thong-tin/blog/cic-la-gi</v>
      </c>
      <c r="AM72" s="17" t="str">
        <f>IFERROR(__xludf.DUMMYFUNCTION("""COMPUTED_VALUE"""),"tra cứu nợ xấu")</f>
        <v>tra cứu nợ xấu</v>
      </c>
      <c r="AN72" s="21" t="str">
        <f>IFERROR(__xludf.DUMMYFUNCTION("""COMPUTED_VALUE"""),"https://techcombank.com/thong-tin/blog/the-tin-dung-bi-khoa")</f>
        <v>https://techcombank.com/thong-tin/blog/the-tin-dung-bi-khoa</v>
      </c>
      <c r="AO72" s="17" t="str">
        <f>IFERROR(__xludf.DUMMYFUNCTION("""COMPUTED_VALUE"""),"kiểm tra nợ xấu")</f>
        <v>kiểm tra nợ xấu</v>
      </c>
      <c r="AP72" s="21" t="str">
        <f>IFERROR(__xludf.DUMMYFUNCTION("""COMPUTED_VALUE"""),"https://techcombank.com/thong-tin/blog/no-the-tin-dung-qua-han")</f>
        <v>https://techcombank.com/thong-tin/blog/no-the-tin-dung-qua-han</v>
      </c>
      <c r="AQ72" s="17" t="str">
        <f>IFERROR(__xludf.DUMMYFUNCTION("""COMPUTED_VALUE"""),"tra cứu nợ xấu")</f>
        <v>tra cứu nợ xấu</v>
      </c>
      <c r="AR72" s="21" t="str">
        <f>IFERROR(__xludf.DUMMYFUNCTION("""COMPUTED_VALUE"""),"https://techcombank.com/thong-tin/blog/lich-su-tin-dung")</f>
        <v>https://techcombank.com/thong-tin/blog/lich-su-tin-dung</v>
      </c>
      <c r="AS72" s="17" t="str">
        <f>IFERROR(__xludf.DUMMYFUNCTION("""COMPUTED_VALUE"""),"kiểm tra nợ xấu")</f>
        <v>kiểm tra nợ xấu</v>
      </c>
      <c r="AT72" s="21" t="str">
        <f>IFERROR(__xludf.DUMMYFUNCTION("""COMPUTED_VALUE"""),"https://techcombank.com/thong-tin/blog/han-muc-thau-chi-la-gi")</f>
        <v>https://techcombank.com/thong-tin/blog/han-muc-thau-chi-la-gi</v>
      </c>
      <c r="AU72" s="17" t="str">
        <f>IFERROR(__xludf.DUMMYFUNCTION("""COMPUTED_VALUE"""),"tra cứu nợ xấu")</f>
        <v>tra cứu nợ xấu</v>
      </c>
      <c r="AV72" s="21" t="str">
        <f>IFERROR(__xludf.DUMMYFUNCTION("""COMPUTED_VALUE"""),"https://techcombank.com/thong-tin/blog/vay-tin-chap-theo-luong")</f>
        <v>https://techcombank.com/thong-tin/blog/vay-tin-chap-theo-luong</v>
      </c>
      <c r="AW72" s="17" t="str">
        <f>IFERROR(__xludf.DUMMYFUNCTION("""COMPUTED_VALUE"""),"kiểm tra nợ xấu")</f>
        <v>kiểm tra nợ xấu</v>
      </c>
      <c r="AX72" s="21" t="str">
        <f>IFERROR(__xludf.DUMMYFUNCTION("""COMPUTED_VALUE"""),"https://techcombank.com/thong-tin/blog/du-no-tin-dung-la-gi")</f>
        <v>https://techcombank.com/thong-tin/blog/du-no-tin-dung-la-gi</v>
      </c>
      <c r="AY72" s="17" t="str">
        <f>IFERROR(__xludf.DUMMYFUNCTION("""COMPUTED_VALUE"""),"tra cứu nợ xấu")</f>
        <v>tra cứu nợ xấu</v>
      </c>
      <c r="AZ72" s="21" t="str">
        <f>IFERROR(__xludf.DUMMYFUNCTION("""COMPUTED_VALUE"""),"https://techcombank.com/thong-tin/blog/han-muc-vay-the-chap-so-do")</f>
        <v>https://techcombank.com/thong-tin/blog/han-muc-vay-the-chap-so-do</v>
      </c>
      <c r="BA72" s="17" t="str">
        <f>IFERROR(__xludf.DUMMYFUNCTION("""COMPUTED_VALUE"""),"kiểm tra nợ xấu")</f>
        <v>kiểm tra nợ xấu</v>
      </c>
      <c r="BB72" s="21" t="str">
        <f>IFERROR(__xludf.DUMMYFUNCTION("""COMPUTED_VALUE"""),"https://techcombank.com/thong-tin/blog/nen-mua-xe-tra-gop-hay-tra-thang")</f>
        <v>https://techcombank.com/thong-tin/blog/nen-mua-xe-tra-gop-hay-tra-thang</v>
      </c>
      <c r="BC72" s="17" t="str">
        <f>IFERROR(__xludf.DUMMYFUNCTION("""COMPUTED_VALUE"""),"tra cứu nợ xấu")</f>
        <v>tra cứu nợ xấu</v>
      </c>
      <c r="BD72" s="21" t="str">
        <f>IFERROR(__xludf.DUMMYFUNCTION("""COMPUTED_VALUE"""),"https://techcombank.com/thong-tin/blog/han-muc-tra-gop-the-tin-dung")</f>
        <v>https://techcombank.com/thong-tin/blog/han-muc-tra-gop-the-tin-dung</v>
      </c>
      <c r="BE72" s="17" t="str">
        <f>IFERROR(__xludf.DUMMYFUNCTION("""COMPUTED_VALUE"""),"kiểm tra nợ xấu")</f>
        <v>kiểm tra nợ xấu</v>
      </c>
      <c r="BF72" s="21" t="str">
        <f>IFERROR(__xludf.DUMMYFUNCTION("""COMPUTED_VALUE"""),"https://techcombank.com/thong-tin/blog/thanh-toan-khoan-vay")</f>
        <v>https://techcombank.com/thong-tin/blog/thanh-toan-khoan-vay</v>
      </c>
      <c r="BG72" s="17" t="str">
        <f>IFERROR(__xludf.DUMMYFUNCTION("""COMPUTED_VALUE"""),"tra cứu nợ xấu")</f>
        <v>tra cứu nợ xấu</v>
      </c>
      <c r="BH72" s="21" t="str">
        <f>IFERROR(__xludf.DUMMYFUNCTION("""COMPUTED_VALUE"""),"https://techcombank.com/thong-tin/blog/dieu-kien-vay-the-chap")</f>
        <v>https://techcombank.com/thong-tin/blog/dieu-kien-vay-the-chap</v>
      </c>
      <c r="BI72" s="17" t="str">
        <f>IFERROR(__xludf.DUMMYFUNCTION("""COMPUTED_VALUE"""),"kiểm tra nợ xấu")</f>
        <v>kiểm tra nợ xấu</v>
      </c>
      <c r="BJ72" s="21" t="str">
        <f>IFERROR(__xludf.DUMMYFUNCTION("""COMPUTED_VALUE"""),"https://techcombank.com/thong-tin/blog/tra-gop-lazada")</f>
        <v>https://techcombank.com/thong-tin/blog/tra-gop-lazada</v>
      </c>
      <c r="BK72" s="17" t="str">
        <f>IFERROR(__xludf.DUMMYFUNCTION("""COMPUTED_VALUE"""),"tra cứu nợ xấu")</f>
        <v>tra cứu nợ xấu</v>
      </c>
      <c r="BL72" s="21" t="str">
        <f>IFERROR(__xludf.DUMMYFUNCTION("""COMPUTED_VALUE"""),"https://techcombank.com/thong-tin/blog/lam-ho-so-tra-gop-dien-thoai")</f>
        <v>https://techcombank.com/thong-tin/blog/lam-ho-so-tra-gop-dien-thoai</v>
      </c>
      <c r="BM72" s="17" t="str">
        <f>IFERROR(__xludf.DUMMYFUNCTION("""COMPUTED_VALUE"""),"kiểm tra nợ xấu")</f>
        <v>kiểm tra nợ xấu</v>
      </c>
      <c r="BN72" s="21" t="str">
        <f>IFERROR(__xludf.DUMMYFUNCTION("""COMPUTED_VALUE"""),"https://techcombank.com/thong-tin/blog/lai-suat-vay-mua-o-to")</f>
        <v>https://techcombank.com/thong-tin/blog/lai-suat-vay-mua-o-to</v>
      </c>
      <c r="BO72" s="17" t="str">
        <f>IFERROR(__xludf.DUMMYFUNCTION("""COMPUTED_VALUE"""),"tra cứu nợ xấu")</f>
        <v>tra cứu nợ xấu</v>
      </c>
      <c r="BP72" s="21" t="str">
        <f>IFERROR(__xludf.DUMMYFUNCTION("""COMPUTED_VALUE"""),"https://techcombank.com/thong-tin/blog/vay-the-chap-khong-tra-duoc")</f>
        <v>https://techcombank.com/thong-tin/blog/vay-the-chap-khong-tra-duoc</v>
      </c>
      <c r="BQ72" s="17" t="str">
        <f>IFERROR(__xludf.DUMMYFUNCTION("""COMPUTED_VALUE"""),"kiểm tra nợ xấu")</f>
        <v>kiểm tra nợ xấu</v>
      </c>
      <c r="BR72" s="21" t="str">
        <f>IFERROR(__xludf.DUMMYFUNCTION("""COMPUTED_VALUE"""),"https://techcombank.com/thong-tin/blog/cach-tinh-lai-vay-ngan-hang")</f>
        <v>https://techcombank.com/thong-tin/blog/cach-tinh-lai-vay-ngan-hang</v>
      </c>
      <c r="BS72" s="17" t="str">
        <f>IFERROR(__xludf.DUMMYFUNCTION("""COMPUTED_VALUE"""),"tra cứu nợ xấu")</f>
        <v>tra cứu nợ xấu</v>
      </c>
      <c r="BT72" s="21" t="str">
        <f>IFERROR(__xludf.DUMMYFUNCTION("""COMPUTED_VALUE"""),"https://techcombank.com/thong-tin/blog/tin-chap-doanh-nghiep")</f>
        <v>https://techcombank.com/thong-tin/blog/tin-chap-doanh-nghiep</v>
      </c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  <c r="FN72" s="17"/>
      <c r="FO72" s="17"/>
      <c r="FP72" s="17"/>
      <c r="FQ72" s="17"/>
      <c r="FR72" s="17"/>
      <c r="FS72" s="17"/>
      <c r="FT72" s="17"/>
      <c r="FU72" s="17"/>
      <c r="FV72" s="17"/>
      <c r="FW72" s="17"/>
      <c r="FX72" s="17"/>
      <c r="FY72" s="17"/>
      <c r="FZ72" s="17"/>
      <c r="GA72" s="17"/>
      <c r="GB72" s="17"/>
      <c r="GC72" s="17"/>
      <c r="GD72" s="17"/>
      <c r="GE72" s="17"/>
      <c r="GF72" s="17"/>
      <c r="GG72" s="17"/>
      <c r="GH72" s="17"/>
      <c r="GI72" s="17"/>
      <c r="GJ72" s="17"/>
      <c r="GK72" s="17"/>
      <c r="GL72" s="17"/>
      <c r="GM72" s="17"/>
      <c r="GN72" s="17"/>
      <c r="GO72" s="17"/>
      <c r="GP72" s="17"/>
      <c r="GQ72" s="17"/>
      <c r="GR72" s="17"/>
      <c r="GS72" s="17"/>
      <c r="GT72" s="17"/>
      <c r="GU72" s="17"/>
      <c r="GV72" s="17"/>
      <c r="GW72" s="17"/>
      <c r="GX72" s="17"/>
      <c r="GY72" s="17"/>
      <c r="GZ72" s="17"/>
      <c r="HA72" s="17"/>
      <c r="HB72" s="17"/>
      <c r="HC72" s="17"/>
      <c r="HD72" s="17"/>
      <c r="HE72" s="17"/>
      <c r="HF72" s="17"/>
      <c r="HG72" s="17"/>
      <c r="HH72" s="17"/>
      <c r="HI72" s="17"/>
      <c r="HJ72" s="17"/>
      <c r="HK72" s="17"/>
      <c r="HL72" s="17"/>
      <c r="HM72" s="17"/>
      <c r="HN72" s="17"/>
      <c r="HO72" s="17"/>
      <c r="HP72" s="17"/>
      <c r="HQ72" s="17"/>
      <c r="HR72" s="17"/>
      <c r="HS72" s="17"/>
      <c r="HT72" s="17"/>
      <c r="HU72" s="17"/>
      <c r="HV72" s="17"/>
      <c r="HW72" s="17"/>
      <c r="HX72" s="17"/>
      <c r="HY72" s="17"/>
      <c r="HZ72" s="17"/>
      <c r="IA72" s="17"/>
      <c r="IB72" s="17"/>
      <c r="IC72" s="17"/>
      <c r="ID72" s="17"/>
      <c r="IE72" s="17"/>
      <c r="IF72" s="17"/>
      <c r="IG72" s="17"/>
      <c r="IH72" s="17"/>
      <c r="II72" s="17"/>
      <c r="IJ72" s="17"/>
      <c r="IK72" s="17"/>
      <c r="IL72" s="17"/>
      <c r="IM72" s="17"/>
      <c r="IN72" s="17"/>
      <c r="IO72" s="17"/>
      <c r="IP72" s="17"/>
      <c r="IQ72" s="17"/>
      <c r="IR72" s="17"/>
      <c r="IS72" s="17"/>
      <c r="IT72" s="17"/>
      <c r="IU72" s="17"/>
      <c r="IV72" s="17"/>
      <c r="IW72" s="17"/>
      <c r="IX72" s="17"/>
      <c r="IY72" s="17"/>
      <c r="IZ72" s="17"/>
      <c r="JA72" s="17"/>
      <c r="JB72" s="17"/>
      <c r="JC72" s="17"/>
      <c r="JD72" s="17"/>
      <c r="JE72" s="17"/>
      <c r="JF72" s="17"/>
      <c r="JG72" s="17"/>
      <c r="JH72" s="17"/>
      <c r="JI72" s="17"/>
      <c r="JJ72" s="17"/>
      <c r="JK72" s="17"/>
      <c r="JL72" s="17"/>
      <c r="JM72" s="17"/>
      <c r="JN72" s="17"/>
      <c r="JO72" s="17"/>
      <c r="JP72" s="17"/>
      <c r="JQ72" s="17"/>
      <c r="JR72" s="17"/>
      <c r="JS72" s="17"/>
      <c r="JT72" s="17"/>
      <c r="JU72" s="17"/>
      <c r="JV72" s="17"/>
      <c r="JW72" s="17"/>
      <c r="JX72" s="17"/>
      <c r="JY72" s="17"/>
      <c r="JZ72" s="17"/>
      <c r="KA72" s="17"/>
      <c r="KB72" s="17"/>
      <c r="KC72" s="17"/>
      <c r="KD72" s="17"/>
      <c r="KE72" s="17"/>
      <c r="KF72" s="17"/>
      <c r="KG72" s="17"/>
      <c r="KH72" s="17"/>
      <c r="KI72" s="17"/>
      <c r="KJ72" s="17"/>
      <c r="KK72" s="17"/>
      <c r="KL72" s="17"/>
      <c r="KM72" s="17"/>
      <c r="KN72" s="17"/>
      <c r="KO72" s="17"/>
      <c r="KP72" s="17"/>
      <c r="KQ72" s="17"/>
      <c r="KR72" s="17"/>
      <c r="KS72" s="17"/>
      <c r="KT72" s="17"/>
      <c r="KU72" s="17"/>
      <c r="KV72" s="17"/>
      <c r="KW72" s="17"/>
      <c r="KX72" s="17"/>
      <c r="KY72" s="17"/>
      <c r="KZ72" s="17"/>
      <c r="LA72" s="17"/>
      <c r="LB72" s="17"/>
      <c r="LC72" s="17"/>
      <c r="LD72" s="17"/>
      <c r="LE72" s="17"/>
      <c r="LF72" s="17"/>
      <c r="LG72" s="17"/>
      <c r="LH72" s="17"/>
      <c r="LI72" s="17"/>
      <c r="LJ72" s="17"/>
      <c r="LK72" s="17"/>
      <c r="LL72" s="17"/>
      <c r="LM72" s="17"/>
      <c r="LN72" s="17"/>
      <c r="LO72" s="17"/>
      <c r="LP72" s="17"/>
      <c r="LQ72" s="17"/>
      <c r="LR72" s="17"/>
      <c r="LS72" s="17"/>
      <c r="LT72" s="17"/>
      <c r="LU72" s="17"/>
      <c r="LV72" s="17"/>
      <c r="LW72" s="17"/>
      <c r="LX72" s="17"/>
      <c r="LY72" s="17"/>
      <c r="LZ72" s="17"/>
      <c r="MA72" s="17"/>
      <c r="MB72" s="17"/>
      <c r="MC72" s="17"/>
      <c r="MD72" s="17"/>
      <c r="ME72" s="17"/>
      <c r="MF72" s="17"/>
      <c r="MG72" s="17"/>
      <c r="MH72" s="17"/>
      <c r="MI72" s="17"/>
      <c r="MJ72" s="17"/>
      <c r="MK72" s="17"/>
      <c r="ML72" s="17"/>
      <c r="MM72" s="17"/>
      <c r="MN72" s="17"/>
      <c r="MO72" s="17"/>
      <c r="MP72" s="17"/>
      <c r="MQ72" s="17"/>
      <c r="MR72" s="17"/>
      <c r="MS72" s="17"/>
      <c r="MT72" s="17"/>
      <c r="MU72" s="17"/>
      <c r="MV72" s="17"/>
      <c r="MW72" s="17"/>
      <c r="MX72" s="17"/>
      <c r="MY72" s="17"/>
      <c r="MZ72" s="17"/>
      <c r="NA72" s="17"/>
      <c r="NB72" s="17"/>
      <c r="NC72" s="17"/>
      <c r="ND72" s="17"/>
      <c r="NE72" s="17"/>
      <c r="NF72" s="17"/>
      <c r="NG72" s="17"/>
      <c r="NH72" s="17"/>
      <c r="NI72" s="17"/>
      <c r="NJ72" s="17"/>
      <c r="NK72" s="17"/>
      <c r="NL72" s="17"/>
      <c r="NM72" s="17"/>
      <c r="NN72" s="17"/>
      <c r="NO72" s="17"/>
      <c r="NP72" s="17"/>
      <c r="NQ72" s="17"/>
      <c r="NR72" s="17"/>
      <c r="NS72" s="17"/>
      <c r="NT72" s="17"/>
      <c r="NU72" s="17"/>
      <c r="NV72" s="17"/>
      <c r="NW72" s="17"/>
      <c r="NX72" s="17"/>
      <c r="NY72" s="17"/>
      <c r="NZ72" s="17"/>
      <c r="OA72" s="17"/>
      <c r="OB72" s="17"/>
      <c r="OC72" s="17"/>
      <c r="OD72" s="17"/>
      <c r="OE72" s="17"/>
      <c r="OF72" s="17"/>
      <c r="OG72" s="17"/>
      <c r="OH72" s="17"/>
      <c r="OI72" s="17"/>
      <c r="OJ72" s="17"/>
      <c r="OK72" s="17"/>
      <c r="OL72" s="17"/>
      <c r="OM72" s="17"/>
      <c r="ON72" s="17"/>
      <c r="OO72" s="17"/>
      <c r="OP72" s="17"/>
      <c r="OQ72" s="17"/>
      <c r="OR72" s="17"/>
      <c r="OS72" s="17"/>
      <c r="OT72" s="17"/>
      <c r="OU72" s="17"/>
      <c r="OV72" s="17"/>
    </row>
    <row r="73" ht="18.0" customHeight="1">
      <c r="A73" s="16">
        <v>72.0</v>
      </c>
      <c r="B73" s="17" t="s">
        <v>1842</v>
      </c>
      <c r="C73" s="18" t="s">
        <v>1901</v>
      </c>
      <c r="D73" s="17" t="s">
        <v>418</v>
      </c>
      <c r="E73" s="16">
        <v>30.0</v>
      </c>
      <c r="F73" s="16">
        <f>COUNTIF('Tổng hợp 75 trang đích'!$B$2:$B$3400,$D73)</f>
        <v>30</v>
      </c>
      <c r="G73" s="16">
        <f>COUNTIFS('Tổng hợp 75 trang đích'!$B$2:$B$3400,$D73,'Tổng hợp 75 trang đích'!$K$2:$K$3400,"PHÙ HỢP CAO")</f>
        <v>5</v>
      </c>
      <c r="H73" s="16">
        <f>COUNTIFS('Tổng hợp 75 trang đích'!$B$2:$B$3400,$D73,'Tổng hợp 75 trang đích'!$K$2:$K$3400,"CÓ THỂ ĐI")</f>
        <v>0</v>
      </c>
      <c r="I73" s="16">
        <f>COUNTIFS('Tổng hợp 75 trang đích'!$B$2:$B$3400,$D73,'Tổng hợp 75 trang đích'!$K$2:$K$3400,"CẦN SOÁT")</f>
        <v>25</v>
      </c>
      <c r="J73" s="19" t="s">
        <v>555</v>
      </c>
      <c r="K73" s="19" t="b">
        <v>0</v>
      </c>
      <c r="L73" s="20" t="s">
        <v>333</v>
      </c>
      <c r="M73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đích'!$B$2:$B$3400=$D73),3,TR"&amp;"UE),1,2)),"""")"),"nên vay tín chấp ở đâu")</f>
        <v>nên vay tín chấp ở đâu</v>
      </c>
      <c r="N73" s="21" t="str">
        <f>IFERROR(__xludf.DUMMYFUNCTION("""COMPUTED_VALUE"""),"https://techcombank.com/thong-tin/blog/vay-tin-chap-la-gi")</f>
        <v>https://techcombank.com/thong-tin/blog/vay-tin-chap-la-gi</v>
      </c>
      <c r="O73" s="17" t="str">
        <f>IFERROR(__xludf.DUMMYFUNCTION("""COMPUTED_VALUE"""),"nên vay tín chấp ở đâu")</f>
        <v>nên vay tín chấp ở đâu</v>
      </c>
      <c r="P73" s="21" t="str">
        <f>IFERROR(__xludf.DUMMYFUNCTION("""COMPUTED_VALUE"""),"https://techcombank.com/thong-tin/blog/ho-so-vay-tin-chap")</f>
        <v>https://techcombank.com/thong-tin/blog/ho-so-vay-tin-chap</v>
      </c>
      <c r="Q73" s="17" t="str">
        <f>IFERROR(__xludf.DUMMYFUNCTION("""COMPUTED_VALUE"""),"nên vay tín chấp ở đâu")</f>
        <v>nên vay tín chấp ở đâu</v>
      </c>
      <c r="R73" s="21" t="str">
        <f>IFERROR(__xludf.DUMMYFUNCTION("""COMPUTED_VALUE"""),"https://techcombank.com/thong-tin/blog/vay-tin-chap-toi-da-duoc-bao-nhieu")</f>
        <v>https://techcombank.com/thong-tin/blog/vay-tin-chap-toi-da-duoc-bao-nhieu</v>
      </c>
      <c r="S73" s="17" t="str">
        <f>IFERROR(__xludf.DUMMYFUNCTION("""COMPUTED_VALUE"""),"nên vay tín chấp ở đâu")</f>
        <v>nên vay tín chấp ở đâu</v>
      </c>
      <c r="T73" s="21" t="str">
        <f>IFERROR(__xludf.DUMMYFUNCTION("""COMPUTED_VALUE"""),"https://techcombank.com/thong-tin/blog/vay-tin-chap-va-vay-the-chap")</f>
        <v>https://techcombank.com/thong-tin/blog/vay-tin-chap-va-vay-the-chap</v>
      </c>
      <c r="U73" s="17" t="str">
        <f>IFERROR(__xludf.DUMMYFUNCTION("""COMPUTED_VALUE"""),"nên vay tín chấp ở đâu")</f>
        <v>nên vay tín chấp ở đâu</v>
      </c>
      <c r="V73" s="21" t="str">
        <f>IFERROR(__xludf.DUMMYFUNCTION("""COMPUTED_VALUE"""),"https://techcombank.com/thong-tin/blog/lai-suat-vay-tin-chap")</f>
        <v>https://techcombank.com/thong-tin/blog/lai-suat-vay-tin-chap</v>
      </c>
      <c r="W73" s="17" t="str">
        <f>IFERROR(__xludf.DUMMYFUNCTION("""COMPUTED_VALUE"""),"nên vay tín chấp ở đâu")</f>
        <v>nên vay tín chấp ở đâu</v>
      </c>
      <c r="X73" s="21" t="str">
        <f>IFERROR(__xludf.DUMMYFUNCTION("""COMPUTED_VALUE"""),"https://techcombank.com/thong-tin/blog/vay-tin-chap-ho-kinh-doanh")</f>
        <v>https://techcombank.com/thong-tin/blog/vay-tin-chap-ho-kinh-doanh</v>
      </c>
      <c r="Y73" s="17" t="str">
        <f>IFERROR(__xludf.DUMMYFUNCTION("""COMPUTED_VALUE"""),"nên vay tín chấp ở đâu")</f>
        <v>nên vay tín chấp ở đâu</v>
      </c>
      <c r="Z73" s="21" t="str">
        <f>IFERROR(__xludf.DUMMYFUNCTION("""COMPUTED_VALUE"""),"https://techcombank.com/thong-tin/blog/vay-tin-chap-cho-doanh-nghiep-moi-thanh-lap")</f>
        <v>https://techcombank.com/thong-tin/blog/vay-tin-chap-cho-doanh-nghiep-moi-thanh-lap</v>
      </c>
      <c r="AA73" s="17" t="str">
        <f>IFERROR(__xludf.DUMMYFUNCTION("""COMPUTED_VALUE"""),"nên vay tín chấp ở đâu")</f>
        <v>nên vay tín chấp ở đâu</v>
      </c>
      <c r="AB73" s="21" t="str">
        <f>IFERROR(__xludf.DUMMYFUNCTION("""COMPUTED_VALUE"""),"https://techcombank.com/thong-tin/blog/thu-tuc-vay-von-kinh-doanh-nho")</f>
        <v>https://techcombank.com/thong-tin/blog/thu-tuc-vay-von-kinh-doanh-nho</v>
      </c>
      <c r="AC73" s="17" t="str">
        <f>IFERROR(__xludf.DUMMYFUNCTION("""COMPUTED_VALUE"""),"nên vay tín chấp ở đâu")</f>
        <v>nên vay tín chấp ở đâu</v>
      </c>
      <c r="AD73" s="21" t="str">
        <f>IFERROR(__xludf.DUMMYFUNCTION("""COMPUTED_VALUE"""),"https://techcombank.com/thong-tin/blog/cac-hinh-thuc-vay-von-ngan-hang")</f>
        <v>https://techcombank.com/thong-tin/blog/cac-hinh-thuc-vay-von-ngan-hang</v>
      </c>
      <c r="AE73" s="17" t="str">
        <f>IFERROR(__xludf.DUMMYFUNCTION("""COMPUTED_VALUE"""),"nên vay tín chấp ở đâu")</f>
        <v>nên vay tín chấp ở đâu</v>
      </c>
      <c r="AF73" s="21" t="str">
        <f>IFERROR(__xludf.DUMMYFUNCTION("""COMPUTED_VALUE"""),"https://techcombank.com/thong-tin/blog/vay-san-xuat-kinh-doanh")</f>
        <v>https://techcombank.com/thong-tin/blog/vay-san-xuat-kinh-doanh</v>
      </c>
      <c r="AG73" s="17" t="str">
        <f>IFERROR(__xludf.DUMMYFUNCTION("""COMPUTED_VALUE"""),"nên vay tín chấp ở đâu")</f>
        <v>nên vay tín chấp ở đâu</v>
      </c>
      <c r="AH73" s="21" t="str">
        <f>IFERROR(__xludf.DUMMYFUNCTION("""COMPUTED_VALUE"""),"https://techcombank.com/thong-tin/blog/tin-chap-doanh-nghiep")</f>
        <v>https://techcombank.com/thong-tin/blog/tin-chap-doanh-nghiep</v>
      </c>
      <c r="AI73" s="17" t="str">
        <f>IFERROR(__xludf.DUMMYFUNCTION("""COMPUTED_VALUE"""),"nên vay tín chấp ở đâu")</f>
        <v>nên vay tín chấp ở đâu</v>
      </c>
      <c r="AJ73" s="21" t="str">
        <f>IFERROR(__xludf.DUMMYFUNCTION("""COMPUTED_VALUE"""),"https://techcombank.com/thong-tin/blog/cho-vay-tieu-dung-la-gi")</f>
        <v>https://techcombank.com/thong-tin/blog/cho-vay-tieu-dung-la-gi</v>
      </c>
      <c r="AK73" s="17" t="str">
        <f>IFERROR(__xludf.DUMMYFUNCTION("""COMPUTED_VALUE"""),"nên vay tín chấp ở đâu")</f>
        <v>nên vay tín chấp ở đâu</v>
      </c>
      <c r="AL73" s="21" t="str">
        <f>IFERROR(__xludf.DUMMYFUNCTION("""COMPUTED_VALUE"""),"https://techcombank.com/thong-tin/blog/vay-the-chap-qua-luong")</f>
        <v>https://techcombank.com/thong-tin/blog/vay-the-chap-qua-luong</v>
      </c>
      <c r="AM73" s="17" t="str">
        <f>IFERROR(__xludf.DUMMYFUNCTION("""COMPUTED_VALUE"""),"nên vay tín chấp ở đâu")</f>
        <v>nên vay tín chấp ở đâu</v>
      </c>
      <c r="AN73" s="21" t="str">
        <f>IFERROR(__xludf.DUMMYFUNCTION("""COMPUTED_VALUE"""),"https://techcombank.com/thong-tin/blog/vay-ngan-hang-chi-can-cccd")</f>
        <v>https://techcombank.com/thong-tin/blog/vay-ngan-hang-chi-can-cccd</v>
      </c>
      <c r="AO73" s="17" t="str">
        <f>IFERROR(__xludf.DUMMYFUNCTION("""COMPUTED_VALUE"""),"nên vay tín chấp ở đâu")</f>
        <v>nên vay tín chấp ở đâu</v>
      </c>
      <c r="AP73" s="21" t="str">
        <f>IFERROR(__xludf.DUMMYFUNCTION("""COMPUTED_VALUE"""),"https://techcombank.com/thong-tin/blog/nhu-cau-vay-tieu-dung-cua-nguoi-viet-du-kien-tang-manh-trong-thoi-gian-toi")</f>
        <v>https://techcombank.com/thong-tin/blog/nhu-cau-vay-tieu-dung-cua-nguoi-viet-du-kien-tang-manh-trong-thoi-gian-toi</v>
      </c>
      <c r="AQ73" s="17" t="str">
        <f>IFERROR(__xludf.DUMMYFUNCTION("""COMPUTED_VALUE"""),"nên vay tín chấp ở đâu")</f>
        <v>nên vay tín chấp ở đâu</v>
      </c>
      <c r="AR73" s="21" t="str">
        <f>IFERROR(__xludf.DUMMYFUNCTION("""COMPUTED_VALUE"""),"https://techcombank.com/thong-tin/blog/lai-suat-vay-tieu-dung")</f>
        <v>https://techcombank.com/thong-tin/blog/lai-suat-vay-tieu-dung</v>
      </c>
      <c r="AS73" s="17" t="str">
        <f>IFERROR(__xludf.DUMMYFUNCTION("""COMPUTED_VALUE"""),"nên vay tín chấp ở đâu")</f>
        <v>nên vay tín chấp ở đâu</v>
      </c>
      <c r="AT73" s="21" t="str">
        <f>IFERROR(__xludf.DUMMYFUNCTION("""COMPUTED_VALUE"""),"https://techcombank.com/thong-tin/blog/vay-tien-mat")</f>
        <v>https://techcombank.com/thong-tin/blog/vay-tien-mat</v>
      </c>
      <c r="AU73" s="17" t="str">
        <f>IFERROR(__xludf.DUMMYFUNCTION("""COMPUTED_VALUE"""),"nên vay tín chấp ở đâu")</f>
        <v>nên vay tín chấp ở đâu</v>
      </c>
      <c r="AV73" s="21" t="str">
        <f>IFERROR(__xludf.DUMMYFUNCTION("""COMPUTED_VALUE"""),"https://techcombank.com/thong-tin/blog/vay-200-trieu")</f>
        <v>https://techcombank.com/thong-tin/blog/vay-200-trieu</v>
      </c>
      <c r="AW73" s="17" t="str">
        <f>IFERROR(__xludf.DUMMYFUNCTION("""COMPUTED_VALUE"""),"nên vay tín chấp ở đâu")</f>
        <v>nên vay tín chấp ở đâu</v>
      </c>
      <c r="AX73" s="21" t="str">
        <f>IFERROR(__xludf.DUMMYFUNCTION("""COMPUTED_VALUE"""),"https://techcombank.com/thong-tin/blog/kinh-nghiem-vay-tien-ngan-hang-xay-nha")</f>
        <v>https://techcombank.com/thong-tin/blog/kinh-nghiem-vay-tien-ngan-hang-xay-nha</v>
      </c>
      <c r="AY73" s="17" t="str">
        <f>IFERROR(__xludf.DUMMYFUNCTION("""COMPUTED_VALUE"""),"nên vay tín chấp ở đâu")</f>
        <v>nên vay tín chấp ở đâu</v>
      </c>
      <c r="AZ73" s="21" t="str">
        <f>IFERROR(__xludf.DUMMYFUNCTION("""COMPUTED_VALUE"""),"https://techcombank.com/thong-tin/blog/vay-tien-online")</f>
        <v>https://techcombank.com/thong-tin/blog/vay-tien-online</v>
      </c>
      <c r="BA73" s="17" t="str">
        <f>IFERROR(__xludf.DUMMYFUNCTION("""COMPUTED_VALUE"""),"nên vay tín chấp ở đâu")</f>
        <v>nên vay tín chấp ở đâu</v>
      </c>
      <c r="BB73" s="21" t="str">
        <f>IFERROR(__xludf.DUMMYFUNCTION("""COMPUTED_VALUE"""),"https://techcombank.com/thong-tin/blog/vay-tin-chap-no-xau")</f>
        <v>https://techcombank.com/thong-tin/blog/vay-tin-chap-no-xau</v>
      </c>
      <c r="BC73" s="17" t="str">
        <f>IFERROR(__xludf.DUMMYFUNCTION("""COMPUTED_VALUE"""),"nên vay tín chấp ở đâu")</f>
        <v>nên vay tín chấp ở đâu</v>
      </c>
      <c r="BD73" s="21" t="str">
        <f>IFERROR(__xludf.DUMMYFUNCTION("""COMPUTED_VALUE"""),"https://techcombank.com/thong-tin/blog/lai-suat-vay-ngan-hang")</f>
        <v>https://techcombank.com/thong-tin/blog/lai-suat-vay-ngan-hang</v>
      </c>
      <c r="BE73" s="17" t="str">
        <f>IFERROR(__xludf.DUMMYFUNCTION("""COMPUTED_VALUE"""),"nên vay tín chấp ở đâu")</f>
        <v>nên vay tín chấp ở đâu</v>
      </c>
      <c r="BF73" s="21" t="str">
        <f>IFERROR(__xludf.DUMMYFUNCTION("""COMPUTED_VALUE"""),"https://techcombank.com/thong-tin/blog/cac-hinh-thuc-cho-vay-tieu-dung")</f>
        <v>https://techcombank.com/thong-tin/blog/cac-hinh-thuc-cho-vay-tieu-dung</v>
      </c>
      <c r="BG73" s="17" t="str">
        <f>IFERROR(__xludf.DUMMYFUNCTION("""COMPUTED_VALUE"""),"nên vay tín chấp ở đâu")</f>
        <v>nên vay tín chấp ở đâu</v>
      </c>
      <c r="BH73" s="21" t="str">
        <f>IFERROR(__xludf.DUMMYFUNCTION("""COMPUTED_VALUE"""),"https://techcombank.com/thong-tin/blog/dang-vay-tra-gop-co-vay-them-duoc-khong")</f>
        <v>https://techcombank.com/thong-tin/blog/dang-vay-tra-gop-co-vay-them-duoc-khong</v>
      </c>
      <c r="BI73" s="17" t="str">
        <f>IFERROR(__xludf.DUMMYFUNCTION("""COMPUTED_VALUE"""),"nên vay tín chấp ở đâu")</f>
        <v>nên vay tín chấp ở đâu</v>
      </c>
      <c r="BJ73" s="21" t="str">
        <f>IFERROR(__xludf.DUMMYFUNCTION("""COMPUTED_VALUE"""),"https://techcombank.com/thong-tin/blog/app-vay-tien-nhanh")</f>
        <v>https://techcombank.com/thong-tin/blog/app-vay-tien-nhanh</v>
      </c>
      <c r="BK73" s="17" t="str">
        <f>IFERROR(__xludf.DUMMYFUNCTION("""COMPUTED_VALUE"""),"nên vay tín chấp ở đâu")</f>
        <v>nên vay tín chấp ở đâu</v>
      </c>
      <c r="BL73" s="21" t="str">
        <f>IFERROR(__xludf.DUMMYFUNCTION("""COMPUTED_VALUE"""),"https://techcombank.com/thong-tin/blog/vay-tra-gop")</f>
        <v>https://techcombank.com/thong-tin/blog/vay-tra-gop</v>
      </c>
      <c r="BM73" s="17" t="str">
        <f>IFERROR(__xludf.DUMMYFUNCTION("""COMPUTED_VALUE"""),"nên vay tín chấp ở đâu")</f>
        <v>nên vay tín chấp ở đâu</v>
      </c>
      <c r="BN73" s="21" t="str">
        <f>IFERROR(__xludf.DUMMYFUNCTION("""COMPUTED_VALUE"""),"https://techcombank.com/thong-tin/blog/quy-trinh-cho-vay-tieu-dung")</f>
        <v>https://techcombank.com/thong-tin/blog/quy-trinh-cho-vay-tieu-dung</v>
      </c>
      <c r="BO73" s="17" t="str">
        <f>IFERROR(__xludf.DUMMYFUNCTION("""COMPUTED_VALUE"""),"nên vay tín chấp ở đâu")</f>
        <v>nên vay tín chấp ở đâu</v>
      </c>
      <c r="BP73" s="21" t="str">
        <f>IFERROR(__xludf.DUMMYFUNCTION("""COMPUTED_VALUE"""),"https://techcombank.com/thong-tin/blog/vay-20-trieu")</f>
        <v>https://techcombank.com/thong-tin/blog/vay-20-trieu</v>
      </c>
      <c r="BQ73" s="17" t="str">
        <f>IFERROR(__xludf.DUMMYFUNCTION("""COMPUTED_VALUE"""),"nên vay tín chấp ở đâu")</f>
        <v>nên vay tín chấp ở đâu</v>
      </c>
      <c r="BR73" s="21" t="str">
        <f>IFERROR(__xludf.DUMMYFUNCTION("""COMPUTED_VALUE"""),"https://techcombank.com/thong-tin/blog/kinh-nghiem-vay-tien-mua-nha")</f>
        <v>https://techcombank.com/thong-tin/blog/kinh-nghiem-vay-tien-mua-nha</v>
      </c>
      <c r="BS73" s="17" t="str">
        <f>IFERROR(__xludf.DUMMYFUNCTION("""COMPUTED_VALUE"""),"nên vay tín chấp ở đâu")</f>
        <v>nên vay tín chấp ở đâu</v>
      </c>
      <c r="BT73" s="21" t="str">
        <f>IFERROR(__xludf.DUMMYFUNCTION("""COMPUTED_VALUE"""),"https://techcombank.com/thong-tin/blog/vay-tin-chap-khong-tra-duoc-co-sao-khong")</f>
        <v>https://techcombank.com/thong-tin/blog/vay-tin-chap-khong-tra-duoc-co-sao-khong</v>
      </c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  <c r="EW73" s="17"/>
      <c r="EX73" s="17"/>
      <c r="EY73" s="17"/>
      <c r="EZ73" s="17"/>
      <c r="FA73" s="17"/>
      <c r="FB73" s="17"/>
      <c r="FC73" s="17"/>
      <c r="FD73" s="17"/>
      <c r="FE73" s="17"/>
      <c r="FF73" s="17"/>
      <c r="FG73" s="17"/>
      <c r="FH73" s="17"/>
      <c r="FI73" s="17"/>
      <c r="FJ73" s="17"/>
      <c r="FK73" s="17"/>
      <c r="FL73" s="17"/>
      <c r="FM73" s="17"/>
      <c r="FN73" s="17"/>
      <c r="FO73" s="17"/>
      <c r="FP73" s="17"/>
      <c r="FQ73" s="17"/>
      <c r="FR73" s="17"/>
      <c r="FS73" s="17"/>
      <c r="FT73" s="17"/>
      <c r="FU73" s="17"/>
      <c r="FV73" s="17"/>
      <c r="FW73" s="17"/>
      <c r="FX73" s="17"/>
      <c r="FY73" s="17"/>
      <c r="FZ73" s="17"/>
      <c r="GA73" s="17"/>
      <c r="GB73" s="17"/>
      <c r="GC73" s="17"/>
      <c r="GD73" s="17"/>
      <c r="GE73" s="17"/>
      <c r="GF73" s="17"/>
      <c r="GG73" s="17"/>
      <c r="GH73" s="17"/>
      <c r="GI73" s="17"/>
      <c r="GJ73" s="17"/>
      <c r="GK73" s="17"/>
      <c r="GL73" s="17"/>
      <c r="GM73" s="17"/>
      <c r="GN73" s="17"/>
      <c r="GO73" s="17"/>
      <c r="GP73" s="17"/>
      <c r="GQ73" s="17"/>
      <c r="GR73" s="17"/>
      <c r="GS73" s="17"/>
      <c r="GT73" s="17"/>
      <c r="GU73" s="17"/>
      <c r="GV73" s="17"/>
      <c r="GW73" s="17"/>
      <c r="GX73" s="17"/>
      <c r="GY73" s="17"/>
      <c r="GZ73" s="17"/>
      <c r="HA73" s="17"/>
      <c r="HB73" s="17"/>
      <c r="HC73" s="17"/>
      <c r="HD73" s="17"/>
      <c r="HE73" s="17"/>
      <c r="HF73" s="17"/>
      <c r="HG73" s="17"/>
      <c r="HH73" s="17"/>
      <c r="HI73" s="17"/>
      <c r="HJ73" s="17"/>
      <c r="HK73" s="17"/>
      <c r="HL73" s="17"/>
      <c r="HM73" s="17"/>
      <c r="HN73" s="17"/>
      <c r="HO73" s="17"/>
      <c r="HP73" s="17"/>
      <c r="HQ73" s="17"/>
      <c r="HR73" s="17"/>
      <c r="HS73" s="17"/>
      <c r="HT73" s="17"/>
      <c r="HU73" s="17"/>
      <c r="HV73" s="17"/>
      <c r="HW73" s="17"/>
      <c r="HX73" s="17"/>
      <c r="HY73" s="17"/>
      <c r="HZ73" s="17"/>
      <c r="IA73" s="17"/>
      <c r="IB73" s="17"/>
      <c r="IC73" s="17"/>
      <c r="ID73" s="17"/>
      <c r="IE73" s="17"/>
      <c r="IF73" s="17"/>
      <c r="IG73" s="17"/>
      <c r="IH73" s="17"/>
      <c r="II73" s="17"/>
      <c r="IJ73" s="17"/>
      <c r="IK73" s="17"/>
      <c r="IL73" s="17"/>
      <c r="IM73" s="17"/>
      <c r="IN73" s="17"/>
      <c r="IO73" s="17"/>
      <c r="IP73" s="17"/>
      <c r="IQ73" s="17"/>
      <c r="IR73" s="17"/>
      <c r="IS73" s="17"/>
      <c r="IT73" s="17"/>
      <c r="IU73" s="17"/>
      <c r="IV73" s="17"/>
      <c r="IW73" s="17"/>
      <c r="IX73" s="17"/>
      <c r="IY73" s="17"/>
      <c r="IZ73" s="17"/>
      <c r="JA73" s="17"/>
      <c r="JB73" s="17"/>
      <c r="JC73" s="17"/>
      <c r="JD73" s="17"/>
      <c r="JE73" s="17"/>
      <c r="JF73" s="17"/>
      <c r="JG73" s="17"/>
      <c r="JH73" s="17"/>
      <c r="JI73" s="17"/>
      <c r="JJ73" s="17"/>
      <c r="JK73" s="17"/>
      <c r="JL73" s="17"/>
      <c r="JM73" s="17"/>
      <c r="JN73" s="17"/>
      <c r="JO73" s="17"/>
      <c r="JP73" s="17"/>
      <c r="JQ73" s="17"/>
      <c r="JR73" s="17"/>
      <c r="JS73" s="17"/>
      <c r="JT73" s="17"/>
      <c r="JU73" s="17"/>
      <c r="JV73" s="17"/>
      <c r="JW73" s="17"/>
      <c r="JX73" s="17"/>
      <c r="JY73" s="17"/>
      <c r="JZ73" s="17"/>
      <c r="KA73" s="17"/>
      <c r="KB73" s="17"/>
      <c r="KC73" s="17"/>
      <c r="KD73" s="17"/>
      <c r="KE73" s="17"/>
      <c r="KF73" s="17"/>
      <c r="KG73" s="17"/>
      <c r="KH73" s="17"/>
      <c r="KI73" s="17"/>
      <c r="KJ73" s="17"/>
      <c r="KK73" s="17"/>
      <c r="KL73" s="17"/>
      <c r="KM73" s="17"/>
      <c r="KN73" s="17"/>
      <c r="KO73" s="17"/>
      <c r="KP73" s="17"/>
      <c r="KQ73" s="17"/>
      <c r="KR73" s="17"/>
      <c r="KS73" s="17"/>
      <c r="KT73" s="17"/>
      <c r="KU73" s="17"/>
      <c r="KV73" s="17"/>
      <c r="KW73" s="17"/>
      <c r="KX73" s="17"/>
      <c r="KY73" s="17"/>
      <c r="KZ73" s="17"/>
      <c r="LA73" s="17"/>
      <c r="LB73" s="17"/>
      <c r="LC73" s="17"/>
      <c r="LD73" s="17"/>
      <c r="LE73" s="17"/>
      <c r="LF73" s="17"/>
      <c r="LG73" s="17"/>
      <c r="LH73" s="17"/>
      <c r="LI73" s="17"/>
      <c r="LJ73" s="17"/>
      <c r="LK73" s="17"/>
      <c r="LL73" s="17"/>
      <c r="LM73" s="17"/>
      <c r="LN73" s="17"/>
      <c r="LO73" s="17"/>
      <c r="LP73" s="17"/>
      <c r="LQ73" s="17"/>
      <c r="LR73" s="17"/>
      <c r="LS73" s="17"/>
      <c r="LT73" s="17"/>
      <c r="LU73" s="17"/>
      <c r="LV73" s="17"/>
      <c r="LW73" s="17"/>
      <c r="LX73" s="17"/>
      <c r="LY73" s="17"/>
      <c r="LZ73" s="17"/>
      <c r="MA73" s="17"/>
      <c r="MB73" s="17"/>
      <c r="MC73" s="17"/>
      <c r="MD73" s="17"/>
      <c r="ME73" s="17"/>
      <c r="MF73" s="17"/>
      <c r="MG73" s="17"/>
      <c r="MH73" s="17"/>
      <c r="MI73" s="17"/>
      <c r="MJ73" s="17"/>
      <c r="MK73" s="17"/>
      <c r="ML73" s="17"/>
      <c r="MM73" s="17"/>
      <c r="MN73" s="17"/>
      <c r="MO73" s="17"/>
      <c r="MP73" s="17"/>
      <c r="MQ73" s="17"/>
      <c r="MR73" s="17"/>
      <c r="MS73" s="17"/>
      <c r="MT73" s="17"/>
      <c r="MU73" s="17"/>
      <c r="MV73" s="17"/>
      <c r="MW73" s="17"/>
      <c r="MX73" s="17"/>
      <c r="MY73" s="17"/>
      <c r="MZ73" s="17"/>
      <c r="NA73" s="17"/>
      <c r="NB73" s="17"/>
      <c r="NC73" s="17"/>
      <c r="ND73" s="17"/>
      <c r="NE73" s="17"/>
      <c r="NF73" s="17"/>
      <c r="NG73" s="17"/>
      <c r="NH73" s="17"/>
      <c r="NI73" s="17"/>
      <c r="NJ73" s="17"/>
      <c r="NK73" s="17"/>
      <c r="NL73" s="17"/>
      <c r="NM73" s="17"/>
      <c r="NN73" s="17"/>
      <c r="NO73" s="17"/>
      <c r="NP73" s="17"/>
      <c r="NQ73" s="17"/>
      <c r="NR73" s="17"/>
      <c r="NS73" s="17"/>
      <c r="NT73" s="17"/>
      <c r="NU73" s="17"/>
      <c r="NV73" s="17"/>
      <c r="NW73" s="17"/>
      <c r="NX73" s="17"/>
      <c r="NY73" s="17"/>
      <c r="NZ73" s="17"/>
      <c r="OA73" s="17"/>
      <c r="OB73" s="17"/>
      <c r="OC73" s="17"/>
      <c r="OD73" s="17"/>
      <c r="OE73" s="17"/>
      <c r="OF73" s="17"/>
      <c r="OG73" s="17"/>
      <c r="OH73" s="17"/>
      <c r="OI73" s="17"/>
      <c r="OJ73" s="17"/>
      <c r="OK73" s="17"/>
      <c r="OL73" s="17"/>
      <c r="OM73" s="17"/>
      <c r="ON73" s="17"/>
      <c r="OO73" s="17"/>
      <c r="OP73" s="17"/>
      <c r="OQ73" s="17"/>
      <c r="OR73" s="17"/>
      <c r="OS73" s="17"/>
      <c r="OT73" s="17"/>
      <c r="OU73" s="17"/>
      <c r="OV73" s="17"/>
    </row>
    <row r="74" ht="18.0" customHeight="1">
      <c r="A74" s="16">
        <v>73.0</v>
      </c>
      <c r="B74" s="17" t="s">
        <v>1842</v>
      </c>
      <c r="C74" s="18" t="s">
        <v>1915</v>
      </c>
      <c r="D74" s="17" t="s">
        <v>660</v>
      </c>
      <c r="E74" s="16">
        <v>30.0</v>
      </c>
      <c r="F74" s="16">
        <f>COUNTIF('Tổng hợp 75 trang đích'!$B$2:$B$3400,$D74)</f>
        <v>30</v>
      </c>
      <c r="G74" s="16">
        <f>COUNTIFS('Tổng hợp 75 trang đích'!$B$2:$B$3400,$D74,'Tổng hợp 75 trang đích'!$K$2:$K$3400,"PHÙ HỢP CAO")</f>
        <v>2</v>
      </c>
      <c r="H74" s="16">
        <f>COUNTIFS('Tổng hợp 75 trang đích'!$B$2:$B$3400,$D74,'Tổng hợp 75 trang đích'!$K$2:$K$3400,"CÓ THỂ ĐI")</f>
        <v>3</v>
      </c>
      <c r="I74" s="16">
        <f>COUNTIFS('Tổng hợp 75 trang đích'!$B$2:$B$3400,$D74,'Tổng hợp 75 trang đích'!$K$2:$K$3400,"CẦN SOÁT")</f>
        <v>25</v>
      </c>
      <c r="J74" s="19" t="s">
        <v>555</v>
      </c>
      <c r="K74" s="19" t="b">
        <v>0</v>
      </c>
      <c r="L74" s="20" t="s">
        <v>333</v>
      </c>
      <c r="M74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đích'!$B$2:$B$3400=$D74),3,TR"&amp;"UE),1,2)),"""")"),"nợ xấu là gì")</f>
        <v>nợ xấu là gì</v>
      </c>
      <c r="N74" s="21" t="str">
        <f>IFERROR(__xludf.DUMMYFUNCTION("""COMPUTED_VALUE"""),"https://techcombank.com/thong-tin/blog/no-chu-y-la-gi")</f>
        <v>https://techcombank.com/thong-tin/blog/no-chu-y-la-gi</v>
      </c>
      <c r="O74" s="17" t="str">
        <f>IFERROR(__xludf.DUMMYFUNCTION("""COMPUTED_VALUE"""),"nợ xấu")</f>
        <v>nợ xấu</v>
      </c>
      <c r="P74" s="21" t="str">
        <f>IFERROR(__xludf.DUMMYFUNCTION("""COMPUTED_VALUE"""),"https://techcombank.com/thong-tin/blog/no-nhom-3")</f>
        <v>https://techcombank.com/thong-tin/blog/no-nhom-3</v>
      </c>
      <c r="Q74" s="17" t="str">
        <f>IFERROR(__xludf.DUMMYFUNCTION("""COMPUTED_VALUE"""),"nợ xấu là gì")</f>
        <v>nợ xấu là gì</v>
      </c>
      <c r="R74" s="21" t="str">
        <f>IFERROR(__xludf.DUMMYFUNCTION("""COMPUTED_VALUE"""),"https://techcombank.com/thong-tin/blog/du-no-tin-dung-la-gi")</f>
        <v>https://techcombank.com/thong-tin/blog/du-no-tin-dung-la-gi</v>
      </c>
      <c r="S74" s="17" t="str">
        <f>IFERROR(__xludf.DUMMYFUNCTION("""COMPUTED_VALUE"""),"nợ xấu")</f>
        <v>nợ xấu</v>
      </c>
      <c r="T74" s="21" t="str">
        <f>IFERROR(__xludf.DUMMYFUNCTION("""COMPUTED_VALUE"""),"https://techcombank.com/thong-tin/blog/no-the-tin-dung-qua-han")</f>
        <v>https://techcombank.com/thong-tin/blog/no-the-tin-dung-qua-han</v>
      </c>
      <c r="U74" s="17" t="str">
        <f>IFERROR(__xludf.DUMMYFUNCTION("""COMPUTED_VALUE"""),"nợ xấu là gì")</f>
        <v>nợ xấu là gì</v>
      </c>
      <c r="V74" s="21" t="str">
        <f>IFERROR(__xludf.DUMMYFUNCTION("""COMPUTED_VALUE"""),"https://techcombank.com/thong-tin/blog/no-xau")</f>
        <v>https://techcombank.com/thong-tin/blog/no-xau</v>
      </c>
      <c r="W74" s="17" t="str">
        <f>IFERROR(__xludf.DUMMYFUNCTION("""COMPUTED_VALUE"""),"nợ xấu")</f>
        <v>nợ xấu</v>
      </c>
      <c r="X74" s="21" t="str">
        <f>IFERROR(__xludf.DUMMYFUNCTION("""COMPUTED_VALUE"""),"https://techcombank.com/thong-tin/blog/du-no-la-gi")</f>
        <v>https://techcombank.com/thong-tin/blog/du-no-la-gi</v>
      </c>
      <c r="Y74" s="17" t="str">
        <f>IFERROR(__xludf.DUMMYFUNCTION("""COMPUTED_VALUE"""),"nợ xấu là gì")</f>
        <v>nợ xấu là gì</v>
      </c>
      <c r="Z74" s="21" t="str">
        <f>IFERROR(__xludf.DUMMYFUNCTION("""COMPUTED_VALUE"""),"https://techcombank.com/thong-tin/blog/kiem-tra-no-xau")</f>
        <v>https://techcombank.com/thong-tin/blog/kiem-tra-no-xau</v>
      </c>
      <c r="AA74" s="17" t="str">
        <f>IFERROR(__xludf.DUMMYFUNCTION("""COMPUTED_VALUE"""),"nợ xấu")</f>
        <v>nợ xấu</v>
      </c>
      <c r="AB74" s="21" t="str">
        <f>IFERROR(__xludf.DUMMYFUNCTION("""COMPUTED_VALUE"""),"https://techcombank.com/thong-tin/blog/qua-han-thanh-toan-the-tin-dung-1-ngay")</f>
        <v>https://techcombank.com/thong-tin/blog/qua-han-thanh-toan-the-tin-dung-1-ngay</v>
      </c>
      <c r="AC74" s="17" t="str">
        <f>IFERROR(__xludf.DUMMYFUNCTION("""COMPUTED_VALUE"""),"nợ xấu là gì")</f>
        <v>nợ xấu là gì</v>
      </c>
      <c r="AD74" s="21" t="str">
        <f>IFERROR(__xludf.DUMMYFUNCTION("""COMPUTED_VALUE"""),"https://techcombank.com/thong-tin/blog/no-xau-co-lam-the-visa-duoc-khong")</f>
        <v>https://techcombank.com/thong-tin/blog/no-xau-co-lam-the-visa-duoc-khong</v>
      </c>
      <c r="AE74" s="17" t="str">
        <f>IFERROR(__xludf.DUMMYFUNCTION("""COMPUTED_VALUE"""),"nợ xấu")</f>
        <v>nợ xấu</v>
      </c>
      <c r="AF74" s="21" t="str">
        <f>IFERROR(__xludf.DUMMYFUNCTION("""COMPUTED_VALUE"""),"https://techcombank.com/thong-tin/blog/thanh-toan-toi-thieu-the-tin-dung")</f>
        <v>https://techcombank.com/thong-tin/blog/thanh-toan-toi-thieu-the-tin-dung</v>
      </c>
      <c r="AG74" s="17" t="str">
        <f>IFERROR(__xludf.DUMMYFUNCTION("""COMPUTED_VALUE"""),"nợ xấu là gì")</f>
        <v>nợ xấu là gì</v>
      </c>
      <c r="AH74" s="21" t="str">
        <f>IFERROR(__xludf.DUMMYFUNCTION("""COMPUTED_VALUE"""),"https://techcombank.com/thong-tin/blog/the-tin-dung-bi-khoa")</f>
        <v>https://techcombank.com/thong-tin/blog/the-tin-dung-bi-khoa</v>
      </c>
      <c r="AI74" s="17" t="str">
        <f>IFERROR(__xludf.DUMMYFUNCTION("""COMPUTED_VALUE"""),"nợ xấu")</f>
        <v>nợ xấu</v>
      </c>
      <c r="AJ74" s="21" t="str">
        <f>IFERROR(__xludf.DUMMYFUNCTION("""COMPUTED_VALUE"""),"https://techcombank.com/thong-tin/blog/no-xau-mo-the-tin-dung-duoc-khong")</f>
        <v>https://techcombank.com/thong-tin/blog/no-xau-mo-the-tin-dung-duoc-khong</v>
      </c>
      <c r="AK74" s="17" t="str">
        <f>IFERROR(__xludf.DUMMYFUNCTION("""COMPUTED_VALUE"""),"nợ xấu là gì")</f>
        <v>nợ xấu là gì</v>
      </c>
      <c r="AL74" s="21" t="str">
        <f>IFERROR(__xludf.DUMMYFUNCTION("""COMPUTED_VALUE"""),"https://techcombank.com/thong-tin/blog/no-xau-co-vay-the-chap-duoc-khong")</f>
        <v>https://techcombank.com/thong-tin/blog/no-xau-co-vay-the-chap-duoc-khong</v>
      </c>
      <c r="AM74" s="17" t="str">
        <f>IFERROR(__xludf.DUMMYFUNCTION("""COMPUTED_VALUE"""),"nợ xấu")</f>
        <v>nợ xấu</v>
      </c>
      <c r="AN74" s="21" t="str">
        <f>IFERROR(__xludf.DUMMYFUNCTION("""COMPUTED_VALUE"""),"https://techcombank.com/thong-tin/blog/vay-tin-chap-no-xau")</f>
        <v>https://techcombank.com/thong-tin/blog/vay-tin-chap-no-xau</v>
      </c>
      <c r="AO74" s="17" t="str">
        <f>IFERROR(__xludf.DUMMYFUNCTION("""COMPUTED_VALUE"""),"nợ xấu là gì")</f>
        <v>nợ xấu là gì</v>
      </c>
      <c r="AP74" s="21" t="str">
        <f>IFERROR(__xludf.DUMMYFUNCTION("""COMPUTED_VALUE"""),"https://techcombank.com/thong-tin/blog/lai-suat-qua-han")</f>
        <v>https://techcombank.com/thong-tin/blog/lai-suat-qua-han</v>
      </c>
      <c r="AQ74" s="17" t="str">
        <f>IFERROR(__xludf.DUMMYFUNCTION("""COMPUTED_VALUE"""),"nợ xấu")</f>
        <v>nợ xấu</v>
      </c>
      <c r="AR74" s="21" t="str">
        <f>IFERROR(__xludf.DUMMYFUNCTION("""COMPUTED_VALUE"""),"https://techcombank.com/thong-tin/blog/no-xau-nhom-2")</f>
        <v>https://techcombank.com/thong-tin/blog/no-xau-nhom-2</v>
      </c>
      <c r="AS74" s="17" t="str">
        <f>IFERROR(__xludf.DUMMYFUNCTION("""COMPUTED_VALUE"""),"nợ xấu là gì")</f>
        <v>nợ xấu là gì</v>
      </c>
      <c r="AT74" s="21" t="str">
        <f>IFERROR(__xludf.DUMMYFUNCTION("""COMPUTED_VALUE"""),"https://techcombank.com/thong-tin/blog/diem-tin-dung")</f>
        <v>https://techcombank.com/thong-tin/blog/diem-tin-dung</v>
      </c>
      <c r="AU74" s="17" t="str">
        <f>IFERROR(__xludf.DUMMYFUNCTION("""COMPUTED_VALUE"""),"nợ xấu")</f>
        <v>nợ xấu</v>
      </c>
      <c r="AV74" s="21" t="str">
        <f>IFERROR(__xludf.DUMMYFUNCTION("""COMPUTED_VALUE"""),"https://techcombank.com/thong-tin/blog/cic-la-gi")</f>
        <v>https://techcombank.com/thong-tin/blog/cic-la-gi</v>
      </c>
      <c r="AW74" s="17" t="str">
        <f>IFERROR(__xludf.DUMMYFUNCTION("""COMPUTED_VALUE"""),"nợ xấu là gì")</f>
        <v>nợ xấu là gì</v>
      </c>
      <c r="AX74" s="21" t="str">
        <f>IFERROR(__xludf.DUMMYFUNCTION("""COMPUTED_VALUE"""),"https://techcombank.com/thong-tin/blog/lich-su-tin-dung")</f>
        <v>https://techcombank.com/thong-tin/blog/lich-su-tin-dung</v>
      </c>
      <c r="AY74" s="17" t="str">
        <f>IFERROR(__xludf.DUMMYFUNCTION("""COMPUTED_VALUE"""),"nợ xấu")</f>
        <v>nợ xấu</v>
      </c>
      <c r="AZ74" s="21" t="str">
        <f>IFERROR(__xludf.DUMMYFUNCTION("""COMPUTED_VALUE"""),"https://techcombank.com/thong-tin/blog/han-muc-thau-chi-la-gi")</f>
        <v>https://techcombank.com/thong-tin/blog/han-muc-thau-chi-la-gi</v>
      </c>
      <c r="BA74" s="17" t="str">
        <f>IFERROR(__xludf.DUMMYFUNCTION("""COMPUTED_VALUE"""),"nợ xấu là gì")</f>
        <v>nợ xấu là gì</v>
      </c>
      <c r="BB74" s="21" t="str">
        <f>IFERROR(__xludf.DUMMYFUNCTION("""COMPUTED_VALUE"""),"https://techcombank.com/thong-tin/blog/vay-tin-chap-theo-luong")</f>
        <v>https://techcombank.com/thong-tin/blog/vay-tin-chap-theo-luong</v>
      </c>
      <c r="BC74" s="17" t="str">
        <f>IFERROR(__xludf.DUMMYFUNCTION("""COMPUTED_VALUE"""),"nợ xấu")</f>
        <v>nợ xấu</v>
      </c>
      <c r="BD74" s="21" t="str">
        <f>IFERROR(__xludf.DUMMYFUNCTION("""COMPUTED_VALUE"""),"https://techcombank.com/thong-tin/blog/han-muc-vay-the-chap-so-do")</f>
        <v>https://techcombank.com/thong-tin/blog/han-muc-vay-the-chap-so-do</v>
      </c>
      <c r="BE74" s="17" t="str">
        <f>IFERROR(__xludf.DUMMYFUNCTION("""COMPUTED_VALUE"""),"nợ xấu là gì")</f>
        <v>nợ xấu là gì</v>
      </c>
      <c r="BF74" s="21" t="str">
        <f>IFERROR(__xludf.DUMMYFUNCTION("""COMPUTED_VALUE"""),"https://techcombank.com/thong-tin/blog/nen-mua-xe-tra-gop-hay-tra-thang")</f>
        <v>https://techcombank.com/thong-tin/blog/nen-mua-xe-tra-gop-hay-tra-thang</v>
      </c>
      <c r="BG74" s="17" t="str">
        <f>IFERROR(__xludf.DUMMYFUNCTION("""COMPUTED_VALUE"""),"nợ xấu")</f>
        <v>nợ xấu</v>
      </c>
      <c r="BH74" s="21" t="str">
        <f>IFERROR(__xludf.DUMMYFUNCTION("""COMPUTED_VALUE"""),"https://techcombank.com/thong-tin/blog/han-muc-tra-gop-the-tin-dung")</f>
        <v>https://techcombank.com/thong-tin/blog/han-muc-tra-gop-the-tin-dung</v>
      </c>
      <c r="BI74" s="17" t="str">
        <f>IFERROR(__xludf.DUMMYFUNCTION("""COMPUTED_VALUE"""),"nợ xấu là gì")</f>
        <v>nợ xấu là gì</v>
      </c>
      <c r="BJ74" s="21" t="str">
        <f>IFERROR(__xludf.DUMMYFUNCTION("""COMPUTED_VALUE"""),"https://techcombank.com/thong-tin/blog/thanh-toan-khoan-vay")</f>
        <v>https://techcombank.com/thong-tin/blog/thanh-toan-khoan-vay</v>
      </c>
      <c r="BK74" s="17" t="str">
        <f>IFERROR(__xludf.DUMMYFUNCTION("""COMPUTED_VALUE"""),"nợ xấu")</f>
        <v>nợ xấu</v>
      </c>
      <c r="BL74" s="21" t="str">
        <f>IFERROR(__xludf.DUMMYFUNCTION("""COMPUTED_VALUE"""),"https://techcombank.com/thong-tin/blog/dieu-kien-vay-the-chap")</f>
        <v>https://techcombank.com/thong-tin/blog/dieu-kien-vay-the-chap</v>
      </c>
      <c r="BM74" s="17" t="str">
        <f>IFERROR(__xludf.DUMMYFUNCTION("""COMPUTED_VALUE"""),"nợ xấu là gì")</f>
        <v>nợ xấu là gì</v>
      </c>
      <c r="BN74" s="21" t="str">
        <f>IFERROR(__xludf.DUMMYFUNCTION("""COMPUTED_VALUE"""),"https://techcombank.com/thong-tin/blog/tra-gop-lazada")</f>
        <v>https://techcombank.com/thong-tin/blog/tra-gop-lazada</v>
      </c>
      <c r="BO74" s="17" t="str">
        <f>IFERROR(__xludf.DUMMYFUNCTION("""COMPUTED_VALUE"""),"nợ xấu")</f>
        <v>nợ xấu</v>
      </c>
      <c r="BP74" s="21" t="str">
        <f>IFERROR(__xludf.DUMMYFUNCTION("""COMPUTED_VALUE"""),"https://techcombank.com/thong-tin/blog/lam-ho-so-tra-gop-dien-thoai")</f>
        <v>https://techcombank.com/thong-tin/blog/lam-ho-so-tra-gop-dien-thoai</v>
      </c>
      <c r="BQ74" s="17" t="str">
        <f>IFERROR(__xludf.DUMMYFUNCTION("""COMPUTED_VALUE"""),"nợ xấu là gì")</f>
        <v>nợ xấu là gì</v>
      </c>
      <c r="BR74" s="21" t="str">
        <f>IFERROR(__xludf.DUMMYFUNCTION("""COMPUTED_VALUE"""),"https://techcombank.com/thong-tin/blog/lai-suat-vay-mua-o-to")</f>
        <v>https://techcombank.com/thong-tin/blog/lai-suat-vay-mua-o-to</v>
      </c>
      <c r="BS74" s="17" t="str">
        <f>IFERROR(__xludf.DUMMYFUNCTION("""COMPUTED_VALUE"""),"nợ xấu")</f>
        <v>nợ xấu</v>
      </c>
      <c r="BT74" s="21" t="str">
        <f>IFERROR(__xludf.DUMMYFUNCTION("""COMPUTED_VALUE"""),"https://techcombank.com/thong-tin/blog/vay-the-chap-khong-tra-duoc")</f>
        <v>https://techcombank.com/thong-tin/blog/vay-the-chap-khong-tra-duoc</v>
      </c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  <c r="EW74" s="17"/>
      <c r="EX74" s="17"/>
      <c r="EY74" s="17"/>
      <c r="EZ74" s="17"/>
      <c r="FA74" s="17"/>
      <c r="FB74" s="17"/>
      <c r="FC74" s="17"/>
      <c r="FD74" s="17"/>
      <c r="FE74" s="17"/>
      <c r="FF74" s="17"/>
      <c r="FG74" s="17"/>
      <c r="FH74" s="17"/>
      <c r="FI74" s="17"/>
      <c r="FJ74" s="17"/>
      <c r="FK74" s="17"/>
      <c r="FL74" s="17"/>
      <c r="FM74" s="17"/>
      <c r="FN74" s="17"/>
      <c r="FO74" s="17"/>
      <c r="FP74" s="17"/>
      <c r="FQ74" s="17"/>
      <c r="FR74" s="17"/>
      <c r="FS74" s="17"/>
      <c r="FT74" s="17"/>
      <c r="FU74" s="17"/>
      <c r="FV74" s="17"/>
      <c r="FW74" s="17"/>
      <c r="FX74" s="17"/>
      <c r="FY74" s="17"/>
      <c r="FZ74" s="17"/>
      <c r="GA74" s="17"/>
      <c r="GB74" s="17"/>
      <c r="GC74" s="17"/>
      <c r="GD74" s="17"/>
      <c r="GE74" s="17"/>
      <c r="GF74" s="17"/>
      <c r="GG74" s="17"/>
      <c r="GH74" s="17"/>
      <c r="GI74" s="17"/>
      <c r="GJ74" s="17"/>
      <c r="GK74" s="17"/>
      <c r="GL74" s="17"/>
      <c r="GM74" s="17"/>
      <c r="GN74" s="17"/>
      <c r="GO74" s="17"/>
      <c r="GP74" s="17"/>
      <c r="GQ74" s="17"/>
      <c r="GR74" s="17"/>
      <c r="GS74" s="17"/>
      <c r="GT74" s="17"/>
      <c r="GU74" s="17"/>
      <c r="GV74" s="17"/>
      <c r="GW74" s="17"/>
      <c r="GX74" s="17"/>
      <c r="GY74" s="17"/>
      <c r="GZ74" s="17"/>
      <c r="HA74" s="17"/>
      <c r="HB74" s="17"/>
      <c r="HC74" s="17"/>
      <c r="HD74" s="17"/>
      <c r="HE74" s="17"/>
      <c r="HF74" s="17"/>
      <c r="HG74" s="17"/>
      <c r="HH74" s="17"/>
      <c r="HI74" s="17"/>
      <c r="HJ74" s="17"/>
      <c r="HK74" s="17"/>
      <c r="HL74" s="17"/>
      <c r="HM74" s="17"/>
      <c r="HN74" s="17"/>
      <c r="HO74" s="17"/>
      <c r="HP74" s="17"/>
      <c r="HQ74" s="17"/>
      <c r="HR74" s="17"/>
      <c r="HS74" s="17"/>
      <c r="HT74" s="17"/>
      <c r="HU74" s="17"/>
      <c r="HV74" s="17"/>
      <c r="HW74" s="17"/>
      <c r="HX74" s="17"/>
      <c r="HY74" s="17"/>
      <c r="HZ74" s="17"/>
      <c r="IA74" s="17"/>
      <c r="IB74" s="17"/>
      <c r="IC74" s="17"/>
      <c r="ID74" s="17"/>
      <c r="IE74" s="17"/>
      <c r="IF74" s="17"/>
      <c r="IG74" s="17"/>
      <c r="IH74" s="17"/>
      <c r="II74" s="17"/>
      <c r="IJ74" s="17"/>
      <c r="IK74" s="17"/>
      <c r="IL74" s="17"/>
      <c r="IM74" s="17"/>
      <c r="IN74" s="17"/>
      <c r="IO74" s="17"/>
      <c r="IP74" s="17"/>
      <c r="IQ74" s="17"/>
      <c r="IR74" s="17"/>
      <c r="IS74" s="17"/>
      <c r="IT74" s="17"/>
      <c r="IU74" s="17"/>
      <c r="IV74" s="17"/>
      <c r="IW74" s="17"/>
      <c r="IX74" s="17"/>
      <c r="IY74" s="17"/>
      <c r="IZ74" s="17"/>
      <c r="JA74" s="17"/>
      <c r="JB74" s="17"/>
      <c r="JC74" s="17"/>
      <c r="JD74" s="17"/>
      <c r="JE74" s="17"/>
      <c r="JF74" s="17"/>
      <c r="JG74" s="17"/>
      <c r="JH74" s="17"/>
      <c r="JI74" s="17"/>
      <c r="JJ74" s="17"/>
      <c r="JK74" s="17"/>
      <c r="JL74" s="17"/>
      <c r="JM74" s="17"/>
      <c r="JN74" s="17"/>
      <c r="JO74" s="17"/>
      <c r="JP74" s="17"/>
      <c r="JQ74" s="17"/>
      <c r="JR74" s="17"/>
      <c r="JS74" s="17"/>
      <c r="JT74" s="17"/>
      <c r="JU74" s="17"/>
      <c r="JV74" s="17"/>
      <c r="JW74" s="17"/>
      <c r="JX74" s="17"/>
      <c r="JY74" s="17"/>
      <c r="JZ74" s="17"/>
      <c r="KA74" s="17"/>
      <c r="KB74" s="17"/>
      <c r="KC74" s="17"/>
      <c r="KD74" s="17"/>
      <c r="KE74" s="17"/>
      <c r="KF74" s="17"/>
      <c r="KG74" s="17"/>
      <c r="KH74" s="17"/>
      <c r="KI74" s="17"/>
      <c r="KJ74" s="17"/>
      <c r="KK74" s="17"/>
      <c r="KL74" s="17"/>
      <c r="KM74" s="17"/>
      <c r="KN74" s="17"/>
      <c r="KO74" s="17"/>
      <c r="KP74" s="17"/>
      <c r="KQ74" s="17"/>
      <c r="KR74" s="17"/>
      <c r="KS74" s="17"/>
      <c r="KT74" s="17"/>
      <c r="KU74" s="17"/>
      <c r="KV74" s="17"/>
      <c r="KW74" s="17"/>
      <c r="KX74" s="17"/>
      <c r="KY74" s="17"/>
      <c r="KZ74" s="17"/>
      <c r="LA74" s="17"/>
      <c r="LB74" s="17"/>
      <c r="LC74" s="17"/>
      <c r="LD74" s="17"/>
      <c r="LE74" s="17"/>
      <c r="LF74" s="17"/>
      <c r="LG74" s="17"/>
      <c r="LH74" s="17"/>
      <c r="LI74" s="17"/>
      <c r="LJ74" s="17"/>
      <c r="LK74" s="17"/>
      <c r="LL74" s="17"/>
      <c r="LM74" s="17"/>
      <c r="LN74" s="17"/>
      <c r="LO74" s="17"/>
      <c r="LP74" s="17"/>
      <c r="LQ74" s="17"/>
      <c r="LR74" s="17"/>
      <c r="LS74" s="17"/>
      <c r="LT74" s="17"/>
      <c r="LU74" s="17"/>
      <c r="LV74" s="17"/>
      <c r="LW74" s="17"/>
      <c r="LX74" s="17"/>
      <c r="LY74" s="17"/>
      <c r="LZ74" s="17"/>
      <c r="MA74" s="17"/>
      <c r="MB74" s="17"/>
      <c r="MC74" s="17"/>
      <c r="MD74" s="17"/>
      <c r="ME74" s="17"/>
      <c r="MF74" s="17"/>
      <c r="MG74" s="17"/>
      <c r="MH74" s="17"/>
      <c r="MI74" s="17"/>
      <c r="MJ74" s="17"/>
      <c r="MK74" s="17"/>
      <c r="ML74" s="17"/>
      <c r="MM74" s="17"/>
      <c r="MN74" s="17"/>
      <c r="MO74" s="17"/>
      <c r="MP74" s="17"/>
      <c r="MQ74" s="17"/>
      <c r="MR74" s="17"/>
      <c r="MS74" s="17"/>
      <c r="MT74" s="17"/>
      <c r="MU74" s="17"/>
      <c r="MV74" s="17"/>
      <c r="MW74" s="17"/>
      <c r="MX74" s="17"/>
      <c r="MY74" s="17"/>
      <c r="MZ74" s="17"/>
      <c r="NA74" s="17"/>
      <c r="NB74" s="17"/>
      <c r="NC74" s="17"/>
      <c r="ND74" s="17"/>
      <c r="NE74" s="17"/>
      <c r="NF74" s="17"/>
      <c r="NG74" s="17"/>
      <c r="NH74" s="17"/>
      <c r="NI74" s="17"/>
      <c r="NJ74" s="17"/>
      <c r="NK74" s="17"/>
      <c r="NL74" s="17"/>
      <c r="NM74" s="17"/>
      <c r="NN74" s="17"/>
      <c r="NO74" s="17"/>
      <c r="NP74" s="17"/>
      <c r="NQ74" s="17"/>
      <c r="NR74" s="17"/>
      <c r="NS74" s="17"/>
      <c r="NT74" s="17"/>
      <c r="NU74" s="17"/>
      <c r="NV74" s="17"/>
      <c r="NW74" s="17"/>
      <c r="NX74" s="17"/>
      <c r="NY74" s="17"/>
      <c r="NZ74" s="17"/>
      <c r="OA74" s="17"/>
      <c r="OB74" s="17"/>
      <c r="OC74" s="17"/>
      <c r="OD74" s="17"/>
      <c r="OE74" s="17"/>
      <c r="OF74" s="17"/>
      <c r="OG74" s="17"/>
      <c r="OH74" s="17"/>
      <c r="OI74" s="17"/>
      <c r="OJ74" s="17"/>
      <c r="OK74" s="17"/>
      <c r="OL74" s="17"/>
      <c r="OM74" s="17"/>
      <c r="ON74" s="17"/>
      <c r="OO74" s="17"/>
      <c r="OP74" s="17"/>
      <c r="OQ74" s="17"/>
      <c r="OR74" s="17"/>
      <c r="OS74" s="17"/>
      <c r="OT74" s="17"/>
      <c r="OU74" s="17"/>
      <c r="OV74" s="17"/>
    </row>
    <row r="75" ht="18.0" customHeight="1">
      <c r="A75" s="16">
        <v>74.0</v>
      </c>
      <c r="B75" s="17" t="s">
        <v>1842</v>
      </c>
      <c r="C75" s="18" t="s">
        <v>1927</v>
      </c>
      <c r="D75" s="17" t="s">
        <v>663</v>
      </c>
      <c r="E75" s="16">
        <v>30.0</v>
      </c>
      <c r="F75" s="16">
        <f>COUNTIF('Tổng hợp 75 trang đích'!$B$2:$B$3400,$D75)</f>
        <v>30</v>
      </c>
      <c r="G75" s="16">
        <f>COUNTIFS('Tổng hợp 75 trang đích'!$B$2:$B$3400,$D75,'Tổng hợp 75 trang đích'!$K$2:$K$3400,"PHÙ HỢP CAO")</f>
        <v>2</v>
      </c>
      <c r="H75" s="16">
        <f>COUNTIFS('Tổng hợp 75 trang đích'!$B$2:$B$3400,$D75,'Tổng hợp 75 trang đích'!$K$2:$K$3400,"CÓ THỂ ĐI")</f>
        <v>3</v>
      </c>
      <c r="I75" s="16">
        <f>COUNTIFS('Tổng hợp 75 trang đích'!$B$2:$B$3400,$D75,'Tổng hợp 75 trang đích'!$K$2:$K$3400,"CẦN SOÁT")</f>
        <v>25</v>
      </c>
      <c r="J75" s="19" t="s">
        <v>555</v>
      </c>
      <c r="K75" s="19" t="b">
        <v>0</v>
      </c>
      <c r="L75" s="20" t="s">
        <v>333</v>
      </c>
      <c r="M75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đích'!$B$2:$B$3400=$D75),3,TR"&amp;"UE),1,2)),"""")"),"vay tín chấp không trả được có sao không")</f>
        <v>vay tín chấp không trả được có sao không</v>
      </c>
      <c r="N75" s="21" t="str">
        <f>IFERROR(__xludf.DUMMYFUNCTION("""COMPUTED_VALUE"""),"https://techcombank.com/thong-tin/blog/vay-the-chap-khong-tra-duoc")</f>
        <v>https://techcombank.com/thong-tin/blog/vay-the-chap-khong-tra-duoc</v>
      </c>
      <c r="O75" s="17" t="str">
        <f>IFERROR(__xludf.DUMMYFUNCTION("""COMPUTED_VALUE"""),"vay tín chấp không trả được có sao không")</f>
        <v>vay tín chấp không trả được có sao không</v>
      </c>
      <c r="P75" s="21" t="str">
        <f>IFERROR(__xludf.DUMMYFUNCTION("""COMPUTED_VALUE"""),"https://techcombank.com/thong-tin/blog/lai-suat-qua-han")</f>
        <v>https://techcombank.com/thong-tin/blog/lai-suat-qua-han</v>
      </c>
      <c r="Q75" s="17" t="str">
        <f>IFERROR(__xludf.DUMMYFUNCTION("""COMPUTED_VALUE"""),"vay tín chấp không trả được có sao không")</f>
        <v>vay tín chấp không trả được có sao không</v>
      </c>
      <c r="R75" s="21" t="str">
        <f>IFERROR(__xludf.DUMMYFUNCTION("""COMPUTED_VALUE"""),"https://techcombank.com/thong-tin/blog/no-the-tin-dung-qua-han")</f>
        <v>https://techcombank.com/thong-tin/blog/no-the-tin-dung-qua-han</v>
      </c>
      <c r="S75" s="17" t="str">
        <f>IFERROR(__xludf.DUMMYFUNCTION("""COMPUTED_VALUE"""),"vay tín chấp không trả được có sao không")</f>
        <v>vay tín chấp không trả được có sao không</v>
      </c>
      <c r="T75" s="21" t="str">
        <f>IFERROR(__xludf.DUMMYFUNCTION("""COMPUTED_VALUE"""),"https://techcombank.com/thong-tin/blog/vay-tin-chap-la-gi")</f>
        <v>https://techcombank.com/thong-tin/blog/vay-tin-chap-la-gi</v>
      </c>
      <c r="U75" s="17" t="str">
        <f>IFERROR(__xludf.DUMMYFUNCTION("""COMPUTED_VALUE"""),"vay tín chấp không trả được có sao không")</f>
        <v>vay tín chấp không trả được có sao không</v>
      </c>
      <c r="V75" s="21" t="str">
        <f>IFERROR(__xludf.DUMMYFUNCTION("""COMPUTED_VALUE"""),"https://techcombank.com/thong-tin/blog/tat-toan")</f>
        <v>https://techcombank.com/thong-tin/blog/tat-toan</v>
      </c>
      <c r="W75" s="17" t="str">
        <f>IFERROR(__xludf.DUMMYFUNCTION("""COMPUTED_VALUE"""),"vay tín chấp không trả được có sao không")</f>
        <v>vay tín chấp không trả được có sao không</v>
      </c>
      <c r="X75" s="21" t="str">
        <f>IFERROR(__xludf.DUMMYFUNCTION("""COMPUTED_VALUE"""),"https://techcombank.com/thong-tin/blog/du-no-la-gi")</f>
        <v>https://techcombank.com/thong-tin/blog/du-no-la-gi</v>
      </c>
      <c r="Y75" s="17" t="str">
        <f>IFERROR(__xludf.DUMMYFUNCTION("""COMPUTED_VALUE"""),"vay tín chấp không trả được có sao không")</f>
        <v>vay tín chấp không trả được có sao không</v>
      </c>
      <c r="Z75" s="21" t="str">
        <f>IFERROR(__xludf.DUMMYFUNCTION("""COMPUTED_VALUE"""),"https://techcombank.com/thong-tin/blog/vay-tin-chap-ho-kinh-doanh")</f>
        <v>https://techcombank.com/thong-tin/blog/vay-tin-chap-ho-kinh-doanh</v>
      </c>
      <c r="AA75" s="17" t="str">
        <f>IFERROR(__xludf.DUMMYFUNCTION("""COMPUTED_VALUE"""),"vay tín chấp không trả được có sao không")</f>
        <v>vay tín chấp không trả được có sao không</v>
      </c>
      <c r="AB75" s="21" t="str">
        <f>IFERROR(__xludf.DUMMYFUNCTION("""COMPUTED_VALUE"""),"https://techcombank.com/thong-tin/blog/vay-tin-chap-cho-doanh-nghiep-moi-thanh-lap")</f>
        <v>https://techcombank.com/thong-tin/blog/vay-tin-chap-cho-doanh-nghiep-moi-thanh-lap</v>
      </c>
      <c r="AC75" s="17" t="str">
        <f>IFERROR(__xludf.DUMMYFUNCTION("""COMPUTED_VALUE"""),"vay tín chấp không trả được có sao không")</f>
        <v>vay tín chấp không trả được có sao không</v>
      </c>
      <c r="AD75" s="21" t="str">
        <f>IFERROR(__xludf.DUMMYFUNCTION("""COMPUTED_VALUE"""),"https://techcombank.com/thong-tin/blog/thu-tuc-vay-von-kinh-doanh-nho")</f>
        <v>https://techcombank.com/thong-tin/blog/thu-tuc-vay-von-kinh-doanh-nho</v>
      </c>
      <c r="AE75" s="17" t="str">
        <f>IFERROR(__xludf.DUMMYFUNCTION("""COMPUTED_VALUE"""),"vay tín chấp không trả được có sao không")</f>
        <v>vay tín chấp không trả được có sao không</v>
      </c>
      <c r="AF75" s="21" t="str">
        <f>IFERROR(__xludf.DUMMYFUNCTION("""COMPUTED_VALUE"""),"https://techcombank.com/thong-tin/blog/cac-hinh-thuc-vay-von-ngan-hang")</f>
        <v>https://techcombank.com/thong-tin/blog/cac-hinh-thuc-vay-von-ngan-hang</v>
      </c>
      <c r="AG75" s="17" t="str">
        <f>IFERROR(__xludf.DUMMYFUNCTION("""COMPUTED_VALUE"""),"vay tín chấp không trả được có sao không")</f>
        <v>vay tín chấp không trả được có sao không</v>
      </c>
      <c r="AH75" s="21" t="str">
        <f>IFERROR(__xludf.DUMMYFUNCTION("""COMPUTED_VALUE"""),"https://techcombank.com/thong-tin/blog/vay-san-xuat-kinh-doanh")</f>
        <v>https://techcombank.com/thong-tin/blog/vay-san-xuat-kinh-doanh</v>
      </c>
      <c r="AI75" s="17" t="str">
        <f>IFERROR(__xludf.DUMMYFUNCTION("""COMPUTED_VALUE"""),"vay tín chấp không trả được có sao không")</f>
        <v>vay tín chấp không trả được có sao không</v>
      </c>
      <c r="AJ75" s="21" t="str">
        <f>IFERROR(__xludf.DUMMYFUNCTION("""COMPUTED_VALUE"""),"https://techcombank.com/thong-tin/blog/tin-chap-doanh-nghiep")</f>
        <v>https://techcombank.com/thong-tin/blog/tin-chap-doanh-nghiep</v>
      </c>
      <c r="AK75" s="17" t="str">
        <f>IFERROR(__xludf.DUMMYFUNCTION("""COMPUTED_VALUE"""),"vay tín chấp không trả được có sao không")</f>
        <v>vay tín chấp không trả được có sao không</v>
      </c>
      <c r="AL75" s="21" t="str">
        <f>IFERROR(__xludf.DUMMYFUNCTION("""COMPUTED_VALUE"""),"https://techcombank.com/thong-tin/blog/nen-vay-tin-chap-o-dau")</f>
        <v>https://techcombank.com/thong-tin/blog/nen-vay-tin-chap-o-dau</v>
      </c>
      <c r="AM75" s="17" t="str">
        <f>IFERROR(__xludf.DUMMYFUNCTION("""COMPUTED_VALUE"""),"vay tín chấp không trả được có sao không")</f>
        <v>vay tín chấp không trả được có sao không</v>
      </c>
      <c r="AN75" s="21" t="str">
        <f>IFERROR(__xludf.DUMMYFUNCTION("""COMPUTED_VALUE"""),"https://techcombank.com/thong-tin/blog/no-chu-y-la-gi")</f>
        <v>https://techcombank.com/thong-tin/blog/no-chu-y-la-gi</v>
      </c>
      <c r="AO75" s="17" t="str">
        <f>IFERROR(__xludf.DUMMYFUNCTION("""COMPUTED_VALUE"""),"vay tín chấp không trả được có sao không")</f>
        <v>vay tín chấp không trả được có sao không</v>
      </c>
      <c r="AP75" s="21" t="str">
        <f>IFERROR(__xludf.DUMMYFUNCTION("""COMPUTED_VALUE"""),"https://techcombank.com/thong-tin/blog/kiem-tra-no-xau")</f>
        <v>https://techcombank.com/thong-tin/blog/kiem-tra-no-xau</v>
      </c>
      <c r="AQ75" s="17" t="str">
        <f>IFERROR(__xludf.DUMMYFUNCTION("""COMPUTED_VALUE"""),"vay tín chấp không trả được có sao không")</f>
        <v>vay tín chấp không trả được có sao không</v>
      </c>
      <c r="AR75" s="21" t="str">
        <f>IFERROR(__xludf.DUMMYFUNCTION("""COMPUTED_VALUE"""),"https://techcombank.com/thong-tin/blog/no-xau")</f>
        <v>https://techcombank.com/thong-tin/blog/no-xau</v>
      </c>
      <c r="AS75" s="17" t="str">
        <f>IFERROR(__xludf.DUMMYFUNCTION("""COMPUTED_VALUE"""),"vay tín chấp không trả được có sao không")</f>
        <v>vay tín chấp không trả được có sao không</v>
      </c>
      <c r="AT75" s="21" t="str">
        <f>IFERROR(__xludf.DUMMYFUNCTION("""COMPUTED_VALUE"""),"https://techcombank.com/thong-tin/blog/vay-tin-chap-va-vay-the-chap")</f>
        <v>https://techcombank.com/thong-tin/blog/vay-tin-chap-va-vay-the-chap</v>
      </c>
      <c r="AU75" s="17" t="str">
        <f>IFERROR(__xludf.DUMMYFUNCTION("""COMPUTED_VALUE"""),"vay tín chấp không trả được có sao không")</f>
        <v>vay tín chấp không trả được có sao không</v>
      </c>
      <c r="AV75" s="21" t="str">
        <f>IFERROR(__xludf.DUMMYFUNCTION("""COMPUTED_VALUE"""),"https://techcombank.com/thong-tin/blog/no-xau-la-gi")</f>
        <v>https://techcombank.com/thong-tin/blog/no-xau-la-gi</v>
      </c>
      <c r="AW75" s="17" t="str">
        <f>IFERROR(__xludf.DUMMYFUNCTION("""COMPUTED_VALUE"""),"vay tín chấp không trả được có sao không")</f>
        <v>vay tín chấp không trả được có sao không</v>
      </c>
      <c r="AX75" s="21" t="str">
        <f>IFERROR(__xludf.DUMMYFUNCTION("""COMPUTED_VALUE"""),"https://techcombank.com/thong-tin/blog/qua-han-thanh-toan-the-tin-dung-1-ngay")</f>
        <v>https://techcombank.com/thong-tin/blog/qua-han-thanh-toan-the-tin-dung-1-ngay</v>
      </c>
      <c r="AY75" s="17" t="str">
        <f>IFERROR(__xludf.DUMMYFUNCTION("""COMPUTED_VALUE"""),"vay tín chấp không trả được có sao không")</f>
        <v>vay tín chấp không trả được có sao không</v>
      </c>
      <c r="AZ75" s="21" t="str">
        <f>IFERROR(__xludf.DUMMYFUNCTION("""COMPUTED_VALUE"""),"https://techcombank.com/thong-tin/blog/no-xau-co-lam-the-visa-duoc-khong")</f>
        <v>https://techcombank.com/thong-tin/blog/no-xau-co-lam-the-visa-duoc-khong</v>
      </c>
      <c r="BA75" s="17" t="str">
        <f>IFERROR(__xludf.DUMMYFUNCTION("""COMPUTED_VALUE"""),"vay tín chấp không trả được có sao không")</f>
        <v>vay tín chấp không trả được có sao không</v>
      </c>
      <c r="BB75" s="21" t="str">
        <f>IFERROR(__xludf.DUMMYFUNCTION("""COMPUTED_VALUE"""),"https://techcombank.com/thong-tin/blog/ho-so-vay-tin-chap")</f>
        <v>https://techcombank.com/thong-tin/blog/ho-so-vay-tin-chap</v>
      </c>
      <c r="BC75" s="17" t="str">
        <f>IFERROR(__xludf.DUMMYFUNCTION("""COMPUTED_VALUE"""),"vay tín chấp không trả được có sao không")</f>
        <v>vay tín chấp không trả được có sao không</v>
      </c>
      <c r="BD75" s="21" t="str">
        <f>IFERROR(__xludf.DUMMYFUNCTION("""COMPUTED_VALUE"""),"https://techcombank.com/thong-tin/blog/thanh-toan-toi-thieu-the-tin-dung")</f>
        <v>https://techcombank.com/thong-tin/blog/thanh-toan-toi-thieu-the-tin-dung</v>
      </c>
      <c r="BE75" s="17" t="str">
        <f>IFERROR(__xludf.DUMMYFUNCTION("""COMPUTED_VALUE"""),"vay tín chấp không trả được có sao không")</f>
        <v>vay tín chấp không trả được có sao không</v>
      </c>
      <c r="BF75" s="21" t="str">
        <f>IFERROR(__xludf.DUMMYFUNCTION("""COMPUTED_VALUE"""),"https://techcombank.com/thong-tin/blog/no-nhom-3")</f>
        <v>https://techcombank.com/thong-tin/blog/no-nhom-3</v>
      </c>
      <c r="BG75" s="17" t="str">
        <f>IFERROR(__xludf.DUMMYFUNCTION("""COMPUTED_VALUE"""),"vay tín chấp không trả được có sao không")</f>
        <v>vay tín chấp không trả được có sao không</v>
      </c>
      <c r="BH75" s="21" t="str">
        <f>IFERROR(__xludf.DUMMYFUNCTION("""COMPUTED_VALUE"""),"https://techcombank.com/thong-tin/blog/vay-tin-chap-toi-da-duoc-bao-nhieu")</f>
        <v>https://techcombank.com/thong-tin/blog/vay-tin-chap-toi-da-duoc-bao-nhieu</v>
      </c>
      <c r="BI75" s="17" t="str">
        <f>IFERROR(__xludf.DUMMYFUNCTION("""COMPUTED_VALUE"""),"vay tín chấp không trả được có sao không")</f>
        <v>vay tín chấp không trả được có sao không</v>
      </c>
      <c r="BJ75" s="21" t="str">
        <f>IFERROR(__xludf.DUMMYFUNCTION("""COMPUTED_VALUE"""),"https://techcombank.com/thong-tin/blog/vay-200-trieu")</f>
        <v>https://techcombank.com/thong-tin/blog/vay-200-trieu</v>
      </c>
      <c r="BK75" s="17" t="str">
        <f>IFERROR(__xludf.DUMMYFUNCTION("""COMPUTED_VALUE"""),"vay tín chấp không trả được có sao không")</f>
        <v>vay tín chấp không trả được có sao không</v>
      </c>
      <c r="BL75" s="21" t="str">
        <f>IFERROR(__xludf.DUMMYFUNCTION("""COMPUTED_VALUE"""),"https://techcombank.com/thong-tin/blog/the-tin-dung-bi-khoa")</f>
        <v>https://techcombank.com/thong-tin/blog/the-tin-dung-bi-khoa</v>
      </c>
      <c r="BM75" s="17" t="str">
        <f>IFERROR(__xludf.DUMMYFUNCTION("""COMPUTED_VALUE"""),"vay tín chấp không trả được có sao không")</f>
        <v>vay tín chấp không trả được có sao không</v>
      </c>
      <c r="BN75" s="21" t="str">
        <f>IFERROR(__xludf.DUMMYFUNCTION("""COMPUTED_VALUE"""),"https://techcombank.com/thong-tin/blog/no-xau-mo-the-tin-dung-duoc-khong")</f>
        <v>https://techcombank.com/thong-tin/blog/no-xau-mo-the-tin-dung-duoc-khong</v>
      </c>
      <c r="BO75" s="17" t="str">
        <f>IFERROR(__xludf.DUMMYFUNCTION("""COMPUTED_VALUE"""),"vay tín chấp không trả được có sao không")</f>
        <v>vay tín chấp không trả được có sao không</v>
      </c>
      <c r="BP75" s="21" t="str">
        <f>IFERROR(__xludf.DUMMYFUNCTION("""COMPUTED_VALUE"""),"https://techcombank.com/thong-tin/blog/no-xau-co-vay-the-chap-duoc-khong")</f>
        <v>https://techcombank.com/thong-tin/blog/no-xau-co-vay-the-chap-duoc-khong</v>
      </c>
      <c r="BQ75" s="17" t="str">
        <f>IFERROR(__xludf.DUMMYFUNCTION("""COMPUTED_VALUE"""),"vay tín chấp không trả được có sao không")</f>
        <v>vay tín chấp không trả được có sao không</v>
      </c>
      <c r="BR75" s="21" t="str">
        <f>IFERROR(__xludf.DUMMYFUNCTION("""COMPUTED_VALUE"""),"https://techcombank.com/thong-tin/blog/vay-tin-chap-no-xau")</f>
        <v>https://techcombank.com/thong-tin/blog/vay-tin-chap-no-xau</v>
      </c>
      <c r="BS75" s="17" t="str">
        <f>IFERROR(__xludf.DUMMYFUNCTION("""COMPUTED_VALUE"""),"vay tín chấp không trả được có sao không")</f>
        <v>vay tín chấp không trả được có sao không</v>
      </c>
      <c r="BT75" s="21" t="str">
        <f>IFERROR(__xludf.DUMMYFUNCTION("""COMPUTED_VALUE"""),"https://techcombank.com/thong-tin/blog/cac-hinh-thuc-cho-vay-tieu-dung")</f>
        <v>https://techcombank.com/thong-tin/blog/cac-hinh-thuc-cho-vay-tieu-dung</v>
      </c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  <c r="EW75" s="17"/>
      <c r="EX75" s="17"/>
      <c r="EY75" s="17"/>
      <c r="EZ75" s="17"/>
      <c r="FA75" s="17"/>
      <c r="FB75" s="17"/>
      <c r="FC75" s="17"/>
      <c r="FD75" s="17"/>
      <c r="FE75" s="17"/>
      <c r="FF75" s="17"/>
      <c r="FG75" s="17"/>
      <c r="FH75" s="17"/>
      <c r="FI75" s="17"/>
      <c r="FJ75" s="17"/>
      <c r="FK75" s="17"/>
      <c r="FL75" s="17"/>
      <c r="FM75" s="17"/>
      <c r="FN75" s="17"/>
      <c r="FO75" s="17"/>
      <c r="FP75" s="17"/>
      <c r="FQ75" s="17"/>
      <c r="FR75" s="17"/>
      <c r="FS75" s="17"/>
      <c r="FT75" s="17"/>
      <c r="FU75" s="17"/>
      <c r="FV75" s="17"/>
      <c r="FW75" s="17"/>
      <c r="FX75" s="17"/>
      <c r="FY75" s="17"/>
      <c r="FZ75" s="17"/>
      <c r="GA75" s="17"/>
      <c r="GB75" s="17"/>
      <c r="GC75" s="17"/>
      <c r="GD75" s="17"/>
      <c r="GE75" s="17"/>
      <c r="GF75" s="17"/>
      <c r="GG75" s="17"/>
      <c r="GH75" s="17"/>
      <c r="GI75" s="17"/>
      <c r="GJ75" s="17"/>
      <c r="GK75" s="17"/>
      <c r="GL75" s="17"/>
      <c r="GM75" s="17"/>
      <c r="GN75" s="17"/>
      <c r="GO75" s="17"/>
      <c r="GP75" s="17"/>
      <c r="GQ75" s="17"/>
      <c r="GR75" s="17"/>
      <c r="GS75" s="17"/>
      <c r="GT75" s="17"/>
      <c r="GU75" s="17"/>
      <c r="GV75" s="17"/>
      <c r="GW75" s="17"/>
      <c r="GX75" s="17"/>
      <c r="GY75" s="17"/>
      <c r="GZ75" s="17"/>
      <c r="HA75" s="17"/>
      <c r="HB75" s="17"/>
      <c r="HC75" s="17"/>
      <c r="HD75" s="17"/>
      <c r="HE75" s="17"/>
      <c r="HF75" s="17"/>
      <c r="HG75" s="17"/>
      <c r="HH75" s="17"/>
      <c r="HI75" s="17"/>
      <c r="HJ75" s="17"/>
      <c r="HK75" s="17"/>
      <c r="HL75" s="17"/>
      <c r="HM75" s="17"/>
      <c r="HN75" s="17"/>
      <c r="HO75" s="17"/>
      <c r="HP75" s="17"/>
      <c r="HQ75" s="17"/>
      <c r="HR75" s="17"/>
      <c r="HS75" s="17"/>
      <c r="HT75" s="17"/>
      <c r="HU75" s="17"/>
      <c r="HV75" s="17"/>
      <c r="HW75" s="17"/>
      <c r="HX75" s="17"/>
      <c r="HY75" s="17"/>
      <c r="HZ75" s="17"/>
      <c r="IA75" s="17"/>
      <c r="IB75" s="17"/>
      <c r="IC75" s="17"/>
      <c r="ID75" s="17"/>
      <c r="IE75" s="17"/>
      <c r="IF75" s="17"/>
      <c r="IG75" s="17"/>
      <c r="IH75" s="17"/>
      <c r="II75" s="17"/>
      <c r="IJ75" s="17"/>
      <c r="IK75" s="17"/>
      <c r="IL75" s="17"/>
      <c r="IM75" s="17"/>
      <c r="IN75" s="17"/>
      <c r="IO75" s="17"/>
      <c r="IP75" s="17"/>
      <c r="IQ75" s="17"/>
      <c r="IR75" s="17"/>
      <c r="IS75" s="17"/>
      <c r="IT75" s="17"/>
      <c r="IU75" s="17"/>
      <c r="IV75" s="17"/>
      <c r="IW75" s="17"/>
      <c r="IX75" s="17"/>
      <c r="IY75" s="17"/>
      <c r="IZ75" s="17"/>
      <c r="JA75" s="17"/>
      <c r="JB75" s="17"/>
      <c r="JC75" s="17"/>
      <c r="JD75" s="17"/>
      <c r="JE75" s="17"/>
      <c r="JF75" s="17"/>
      <c r="JG75" s="17"/>
      <c r="JH75" s="17"/>
      <c r="JI75" s="17"/>
      <c r="JJ75" s="17"/>
      <c r="JK75" s="17"/>
      <c r="JL75" s="17"/>
      <c r="JM75" s="17"/>
      <c r="JN75" s="17"/>
      <c r="JO75" s="17"/>
      <c r="JP75" s="17"/>
      <c r="JQ75" s="17"/>
      <c r="JR75" s="17"/>
      <c r="JS75" s="17"/>
      <c r="JT75" s="17"/>
      <c r="JU75" s="17"/>
      <c r="JV75" s="17"/>
      <c r="JW75" s="17"/>
      <c r="JX75" s="17"/>
      <c r="JY75" s="17"/>
      <c r="JZ75" s="17"/>
      <c r="KA75" s="17"/>
      <c r="KB75" s="17"/>
      <c r="KC75" s="17"/>
      <c r="KD75" s="17"/>
      <c r="KE75" s="17"/>
      <c r="KF75" s="17"/>
      <c r="KG75" s="17"/>
      <c r="KH75" s="17"/>
      <c r="KI75" s="17"/>
      <c r="KJ75" s="17"/>
      <c r="KK75" s="17"/>
      <c r="KL75" s="17"/>
      <c r="KM75" s="17"/>
      <c r="KN75" s="17"/>
      <c r="KO75" s="17"/>
      <c r="KP75" s="17"/>
      <c r="KQ75" s="17"/>
      <c r="KR75" s="17"/>
      <c r="KS75" s="17"/>
      <c r="KT75" s="17"/>
      <c r="KU75" s="17"/>
      <c r="KV75" s="17"/>
      <c r="KW75" s="17"/>
      <c r="KX75" s="17"/>
      <c r="KY75" s="17"/>
      <c r="KZ75" s="17"/>
      <c r="LA75" s="17"/>
      <c r="LB75" s="17"/>
      <c r="LC75" s="17"/>
      <c r="LD75" s="17"/>
      <c r="LE75" s="17"/>
      <c r="LF75" s="17"/>
      <c r="LG75" s="17"/>
      <c r="LH75" s="17"/>
      <c r="LI75" s="17"/>
      <c r="LJ75" s="17"/>
      <c r="LK75" s="17"/>
      <c r="LL75" s="17"/>
      <c r="LM75" s="17"/>
      <c r="LN75" s="17"/>
      <c r="LO75" s="17"/>
      <c r="LP75" s="17"/>
      <c r="LQ75" s="17"/>
      <c r="LR75" s="17"/>
      <c r="LS75" s="17"/>
      <c r="LT75" s="17"/>
      <c r="LU75" s="17"/>
      <c r="LV75" s="17"/>
      <c r="LW75" s="17"/>
      <c r="LX75" s="17"/>
      <c r="LY75" s="17"/>
      <c r="LZ75" s="17"/>
      <c r="MA75" s="17"/>
      <c r="MB75" s="17"/>
      <c r="MC75" s="17"/>
      <c r="MD75" s="17"/>
      <c r="ME75" s="17"/>
      <c r="MF75" s="17"/>
      <c r="MG75" s="17"/>
      <c r="MH75" s="17"/>
      <c r="MI75" s="17"/>
      <c r="MJ75" s="17"/>
      <c r="MK75" s="17"/>
      <c r="ML75" s="17"/>
      <c r="MM75" s="17"/>
      <c r="MN75" s="17"/>
      <c r="MO75" s="17"/>
      <c r="MP75" s="17"/>
      <c r="MQ75" s="17"/>
      <c r="MR75" s="17"/>
      <c r="MS75" s="17"/>
      <c r="MT75" s="17"/>
      <c r="MU75" s="17"/>
      <c r="MV75" s="17"/>
      <c r="MW75" s="17"/>
      <c r="MX75" s="17"/>
      <c r="MY75" s="17"/>
      <c r="MZ75" s="17"/>
      <c r="NA75" s="17"/>
      <c r="NB75" s="17"/>
      <c r="NC75" s="17"/>
      <c r="ND75" s="17"/>
      <c r="NE75" s="17"/>
      <c r="NF75" s="17"/>
      <c r="NG75" s="17"/>
      <c r="NH75" s="17"/>
      <c r="NI75" s="17"/>
      <c r="NJ75" s="17"/>
      <c r="NK75" s="17"/>
      <c r="NL75" s="17"/>
      <c r="NM75" s="17"/>
      <c r="NN75" s="17"/>
      <c r="NO75" s="17"/>
      <c r="NP75" s="17"/>
      <c r="NQ75" s="17"/>
      <c r="NR75" s="17"/>
      <c r="NS75" s="17"/>
      <c r="NT75" s="17"/>
      <c r="NU75" s="17"/>
      <c r="NV75" s="17"/>
      <c r="NW75" s="17"/>
      <c r="NX75" s="17"/>
      <c r="NY75" s="17"/>
      <c r="NZ75" s="17"/>
      <c r="OA75" s="17"/>
      <c r="OB75" s="17"/>
      <c r="OC75" s="17"/>
      <c r="OD75" s="17"/>
      <c r="OE75" s="17"/>
      <c r="OF75" s="17"/>
      <c r="OG75" s="17"/>
      <c r="OH75" s="17"/>
      <c r="OI75" s="17"/>
      <c r="OJ75" s="17"/>
      <c r="OK75" s="17"/>
      <c r="OL75" s="17"/>
      <c r="OM75" s="17"/>
      <c r="ON75" s="17"/>
      <c r="OO75" s="17"/>
      <c r="OP75" s="17"/>
      <c r="OQ75" s="17"/>
      <c r="OR75" s="17"/>
      <c r="OS75" s="17"/>
      <c r="OT75" s="17"/>
      <c r="OU75" s="17"/>
      <c r="OV75" s="17"/>
    </row>
    <row r="76" ht="18.0" customHeight="1">
      <c r="A76" s="16">
        <v>75.0</v>
      </c>
      <c r="B76" s="17" t="s">
        <v>1933</v>
      </c>
      <c r="C76" s="18" t="s">
        <v>1938</v>
      </c>
      <c r="D76" s="17" t="s">
        <v>669</v>
      </c>
      <c r="E76" s="16">
        <v>30.0</v>
      </c>
      <c r="F76" s="16">
        <f>COUNTIF('Tổng hợp 75 trang đích'!$B$2:$B$3400,$D76)</f>
        <v>30</v>
      </c>
      <c r="G76" s="16">
        <f>COUNTIFS('Tổng hợp 75 trang đích'!$B$2:$B$3400,$D76,'Tổng hợp 75 trang đích'!$K$2:$K$3400,"PHÙ HỢP CAO")</f>
        <v>5</v>
      </c>
      <c r="H76" s="16">
        <f>COUNTIFS('Tổng hợp 75 trang đích'!$B$2:$B$3400,$D76,'Tổng hợp 75 trang đích'!$K$2:$K$3400,"CÓ THỂ ĐI")</f>
        <v>0</v>
      </c>
      <c r="I76" s="16">
        <f>COUNTIFS('Tổng hợp 75 trang đích'!$B$2:$B$3400,$D76,'Tổng hợp 75 trang đích'!$K$2:$K$3400,"CẦN SOÁT")</f>
        <v>25</v>
      </c>
      <c r="J76" s="19" t="s">
        <v>555</v>
      </c>
      <c r="K76" s="19" t="b">
        <v>0</v>
      </c>
      <c r="L76" s="20" t="s">
        <v>333</v>
      </c>
      <c r="M76" s="17" t="str">
        <f>IFERROR(__xludf.DUMMYFUNCTION("IFERROR(TOROW(CHOOSECOLS(SORT(FILTER({'Tổng hợp 75 trang đích'!$J$2:$J$3400,'Tổng hợp 75 trang đích'!$I$2:$I$3400,MATCH('Tổng hợp 75 trang đích'!$K$2:$K$3400,{""PHÙ HỢP CAO"",""CÓ THỂ ĐI"",""CẦN SOÁT""},0)},'Tổng hợp 75 trang đích'!$B$2:$B$3400=$D76),3,TR"&amp;"UE),1,2)),"""")"),"phương pháp đầu tư chứng chỉ quỹ")</f>
        <v>phương pháp đầu tư chứng chỉ quỹ</v>
      </c>
      <c r="N76" s="21" t="str">
        <f>IFERROR(__xludf.DUMMYFUNCTION("""COMPUTED_VALUE"""),"https://techcombank.com/thong-tin/blog/chung-chi-quy")</f>
        <v>https://techcombank.com/thong-tin/blog/chung-chi-quy</v>
      </c>
      <c r="O76" s="17" t="str">
        <f>IFERROR(__xludf.DUMMYFUNCTION("""COMPUTED_VALUE"""),"cách đầu tư chứng chỉ quỹ")</f>
        <v>cách đầu tư chứng chỉ quỹ</v>
      </c>
      <c r="P76" s="21" t="str">
        <f>IFERROR(__xludf.DUMMYFUNCTION("""COMPUTED_VALUE"""),"https://techcombank.com/thong-tin/blog/mua-chung-chi-quy")</f>
        <v>https://techcombank.com/thong-tin/blog/mua-chung-chi-quy</v>
      </c>
      <c r="Q76" s="17" t="str">
        <f>IFERROR(__xludf.DUMMYFUNCTION("""COMPUTED_VALUE"""),"đầu tư chứng chỉ quỹ cho người mới")</f>
        <v>đầu tư chứng chỉ quỹ cho người mới</v>
      </c>
      <c r="R76" s="21" t="str">
        <f>IFERROR(__xludf.DUMMYFUNCTION("""COMPUTED_VALUE"""),"https://techcombank.com/thong-tin/blog/dau-tu-quy-mo")</f>
        <v>https://techcombank.com/thong-tin/blog/dau-tu-quy-mo</v>
      </c>
      <c r="S76" s="17" t="str">
        <f>IFERROR(__xludf.DUMMYFUNCTION("""COMPUTED_VALUE"""),"phương pháp đầu tư chứng chỉ quỹ")</f>
        <v>phương pháp đầu tư chứng chỉ quỹ</v>
      </c>
      <c r="T76" s="21" t="str">
        <f>IFERROR(__xludf.DUMMYFUNCTION("""COMPUTED_VALUE"""),"https://techcombank.com/thong-tin/blog/app-theo-doi-chung-chi-quy")</f>
        <v>https://techcombank.com/thong-tin/blog/app-theo-doi-chung-chi-quy</v>
      </c>
      <c r="U76" s="17" t="str">
        <f>IFERROR(__xludf.DUMMYFUNCTION("""COMPUTED_VALUE"""),"cách đầu tư chứng chỉ quỹ")</f>
        <v>cách đầu tư chứng chỉ quỹ</v>
      </c>
      <c r="V76" s="21" t="str">
        <f>IFERROR(__xludf.DUMMYFUNCTION("""COMPUTED_VALUE"""),"https://techcombank.com/thong-tin/blog/chung-chi-quy-va-co-phieu")</f>
        <v>https://techcombank.com/thong-tin/blog/chung-chi-quy-va-co-phieu</v>
      </c>
      <c r="W76" s="17" t="str">
        <f>IFERROR(__xludf.DUMMYFUNCTION("""COMPUTED_VALUE"""),"đầu tư chứng chỉ quỹ cho người mới")</f>
        <v>đầu tư chứng chỉ quỹ cho người mới</v>
      </c>
      <c r="X76" s="21" t="str">
        <f>IFERROR(__xludf.DUMMYFUNCTION("""COMPUTED_VALUE"""),"https://techcombank.com/thong-tin/blog/wacc-la-gi")</f>
        <v>https://techcombank.com/thong-tin/blog/wacc-la-gi</v>
      </c>
      <c r="Y76" s="17" t="str">
        <f>IFERROR(__xludf.DUMMYFUNCTION("""COMPUTED_VALUE"""),"phương pháp đầu tư chứng chỉ quỹ")</f>
        <v>phương pháp đầu tư chứng chỉ quỹ</v>
      </c>
      <c r="Z76" s="21" t="str">
        <f>IFERROR(__xludf.DUMMYFUNCTION("""COMPUTED_VALUE"""),"https://techcombank.com/thong-tin/blog/thi-truong-trai-phieu-co-hoi-dau-tu-trai-phieu-vang-du-lai-suat-thap")</f>
        <v>https://techcombank.com/thong-tin/blog/thi-truong-trai-phieu-co-hoi-dau-tu-trai-phieu-vang-du-lai-suat-thap</v>
      </c>
      <c r="AA76" s="17" t="str">
        <f>IFERROR(__xludf.DUMMYFUNCTION("""COMPUTED_VALUE"""),"cách đầu tư chứng chỉ quỹ")</f>
        <v>cách đầu tư chứng chỉ quỹ</v>
      </c>
      <c r="AB76" s="21" t="str">
        <f>IFERROR(__xludf.DUMMYFUNCTION("""COMPUTED_VALUE"""),"https://techcombank.com/thong-tin/blog/y-concert")</f>
        <v>https://techcombank.com/thong-tin/blog/y-concert</v>
      </c>
      <c r="AC76" s="17" t="str">
        <f>IFERROR(__xludf.DUMMYFUNCTION("""COMPUTED_VALUE"""),"đầu tư chứng chỉ quỹ cho người mới")</f>
        <v>đầu tư chứng chỉ quỹ cho người mới</v>
      </c>
      <c r="AD76" s="21" t="str">
        <f>IFERROR(__xludf.DUMMYFUNCTION("""COMPUTED_VALUE"""),"https://techcombank.com/thong-tin/blog/softpos")</f>
        <v>https://techcombank.com/thong-tin/blog/softpos</v>
      </c>
      <c r="AE76" s="17" t="str">
        <f>IFERROR(__xludf.DUMMYFUNCTION("""COMPUTED_VALUE"""),"phương pháp đầu tư chứng chỉ quỹ")</f>
        <v>phương pháp đầu tư chứng chỉ quỹ</v>
      </c>
      <c r="AF76" s="21" t="str">
        <f>IFERROR(__xludf.DUMMYFUNCTION("""COMPUTED_VALUE"""),"https://techcombank.com/thong-tin/blog/due-diligence")</f>
        <v>https://techcombank.com/thong-tin/blog/due-diligence</v>
      </c>
      <c r="AG76" s="17" t="str">
        <f>IFERROR(__xludf.DUMMYFUNCTION("""COMPUTED_VALUE"""),"cách đầu tư chứng chỉ quỹ")</f>
        <v>cách đầu tư chứng chỉ quỹ</v>
      </c>
      <c r="AH76" s="21" t="str">
        <f>IFERROR(__xludf.DUMMYFUNCTION("""COMPUTED_VALUE"""),"https://techcombank.com/thong-tin/blog/cach-quan-ly-tai-san")</f>
        <v>https://techcombank.com/thong-tin/blog/cach-quan-ly-tai-san</v>
      </c>
      <c r="AI76" s="17" t="str">
        <f>IFERROR(__xludf.DUMMYFUNCTION("""COMPUTED_VALUE"""),"đầu tư chứng chỉ quỹ cho người mới")</f>
        <v>đầu tư chứng chỉ quỹ cho người mới</v>
      </c>
      <c r="AJ76" s="21" t="str">
        <f>IFERROR(__xludf.DUMMYFUNCTION("""COMPUTED_VALUE"""),"https://techcombank.com/thong-tin/blog/5-trieu-mua-duoc-bao-nhieu-vang")</f>
        <v>https://techcombank.com/thong-tin/blog/5-trieu-mua-duoc-bao-nhieu-vang</v>
      </c>
      <c r="AK76" s="17" t="str">
        <f>IFERROR(__xludf.DUMMYFUNCTION("""COMPUTED_VALUE"""),"phương pháp đầu tư chứng chỉ quỹ")</f>
        <v>phương pháp đầu tư chứng chỉ quỹ</v>
      </c>
      <c r="AL76" s="21" t="str">
        <f>IFERROR(__xludf.DUMMYFUNCTION("""COMPUTED_VALUE"""),"https://techcombank.com/thong-tin/blog/thi-truong-trai-phieu-am-tro-lai-nha-dau-tu-san-sang-cho-nhung-co-hoi-sinh-loi-moi")</f>
        <v>https://techcombank.com/thong-tin/blog/thi-truong-trai-phieu-am-tro-lai-nha-dau-tu-san-sang-cho-nhung-co-hoi-sinh-loi-moi</v>
      </c>
      <c r="AM76" s="17" t="str">
        <f>IFERROR(__xludf.DUMMYFUNCTION("""COMPUTED_VALUE"""),"cách đầu tư chứng chỉ quỹ")</f>
        <v>cách đầu tư chứng chỉ quỹ</v>
      </c>
      <c r="AN76" s="21" t="str">
        <f>IFERROR(__xludf.DUMMYFUNCTION("""COMPUTED_VALUE"""),"https://techcombank.com/thong-tin/blog/tinh-thanh-khoan-la-gi")</f>
        <v>https://techcombank.com/thong-tin/blog/tinh-thanh-khoan-la-gi</v>
      </c>
      <c r="AO76" s="17" t="str">
        <f>IFERROR(__xludf.DUMMYFUNCTION("""COMPUTED_VALUE"""),"đầu tư chứng chỉ quỹ cho người mới")</f>
        <v>đầu tư chứng chỉ quỹ cho người mới</v>
      </c>
      <c r="AP76" s="21" t="str">
        <f>IFERROR(__xludf.DUMMYFUNCTION("""COMPUTED_VALUE"""),"https://techcombank.com/thong-tin/blog/kinh-nghiem-mua-vang-tich-tru")</f>
        <v>https://techcombank.com/thong-tin/blog/kinh-nghiem-mua-vang-tich-tru</v>
      </c>
      <c r="AQ76" s="17" t="str">
        <f>IFERROR(__xludf.DUMMYFUNCTION("""COMPUTED_VALUE"""),"phương pháp đầu tư chứng chỉ quỹ")</f>
        <v>phương pháp đầu tư chứng chỉ quỹ</v>
      </c>
      <c r="AR76" s="21" t="str">
        <f>IFERROR(__xludf.DUMMYFUNCTION("""COMPUTED_VALUE"""),"https://techcombank.com/thong-tin/blog/npv-la-gi")</f>
        <v>https://techcombank.com/thong-tin/blog/npv-la-gi</v>
      </c>
      <c r="AS76" s="17" t="str">
        <f>IFERROR(__xludf.DUMMYFUNCTION("""COMPUTED_VALUE"""),"cách đầu tư chứng chỉ quỹ")</f>
        <v>cách đầu tư chứng chỉ quỹ</v>
      </c>
      <c r="AT76" s="21" t="str">
        <f>IFERROR(__xludf.DUMMYFUNCTION("""COMPUTED_VALUE"""),"https://techcombank.com/thong-tin/blog/vang-24k")</f>
        <v>https://techcombank.com/thong-tin/blog/vang-24k</v>
      </c>
      <c r="AU76" s="17" t="str">
        <f>IFERROR(__xludf.DUMMYFUNCTION("""COMPUTED_VALUE"""),"đầu tư chứng chỉ quỹ cho người mới")</f>
        <v>đầu tư chứng chỉ quỹ cho người mới</v>
      </c>
      <c r="AV76" s="21" t="str">
        <f>IFERROR(__xludf.DUMMYFUNCTION("""COMPUTED_VALUE"""),"https://techcombank.com/thong-tin/blog/chien-luoc-dau-tu")</f>
        <v>https://techcombank.com/thong-tin/blog/chien-luoc-dau-tu</v>
      </c>
      <c r="AW76" s="17" t="str">
        <f>IFERROR(__xludf.DUMMYFUNCTION("""COMPUTED_VALUE"""),"phương pháp đầu tư chứng chỉ quỹ")</f>
        <v>phương pháp đầu tư chứng chỉ quỹ</v>
      </c>
      <c r="AX76" s="21" t="str">
        <f>IFERROR(__xludf.DUMMYFUNCTION("""COMPUTED_VALUE"""),"https://techcombank.com/thong-tin/blog/khau-vi-nha-dau-tu-tpdn-thay-doi-the-nao-sau-nhung-bien-dong-vua-qua")</f>
        <v>https://techcombank.com/thong-tin/blog/khau-vi-nha-dau-tu-tpdn-thay-doi-the-nao-sau-nhung-bien-dong-vua-qua</v>
      </c>
      <c r="AY76" s="17" t="str">
        <f>IFERROR(__xludf.DUMMYFUNCTION("""COMPUTED_VALUE"""),"cách đầu tư chứng chỉ quỹ")</f>
        <v>cách đầu tư chứng chỉ quỹ</v>
      </c>
      <c r="AZ76" s="21" t="str">
        <f>IFERROR(__xludf.DUMMYFUNCTION("""COMPUTED_VALUE"""),"https://techcombank.com/thong-tin/blog/thoi-gian-khop-lech-chung-chi-quy")</f>
        <v>https://techcombank.com/thong-tin/blog/thoi-gian-khop-lech-chung-chi-quy</v>
      </c>
      <c r="BA76" s="17" t="str">
        <f>IFERROR(__xludf.DUMMYFUNCTION("""COMPUTED_VALUE"""),"đầu tư chứng chỉ quỹ cho người mới")</f>
        <v>đầu tư chứng chỉ quỹ cho người mới</v>
      </c>
      <c r="BB76" s="21" t="str">
        <f>IFERROR(__xludf.DUMMYFUNCTION("""COMPUTED_VALUE"""),"https://techcombank.com/thong-tin/blog/nha-dau-tu-giao-dich-trai-phieu-truc-tuyen-tang-manh-tro-lai")</f>
        <v>https://techcombank.com/thong-tin/blog/nha-dau-tu-giao-dich-trai-phieu-truc-tuyen-tang-manh-tro-lai</v>
      </c>
      <c r="BC76" s="17" t="str">
        <f>IFERROR(__xludf.DUMMYFUNCTION("""COMPUTED_VALUE"""),"phương pháp đầu tư chứng chỉ quỹ")</f>
        <v>phương pháp đầu tư chứng chỉ quỹ</v>
      </c>
      <c r="BD76" s="21" t="str">
        <f>IFERROR(__xludf.DUMMYFUNCTION("""COMPUTED_VALUE"""),"https://techcombank.com/thong-tin/blog/techcom-securities-nhung-buoc-tien-phong-tren-san-thu-cap")</f>
        <v>https://techcombank.com/thong-tin/blog/techcom-securities-nhung-buoc-tien-phong-tren-san-thu-cap</v>
      </c>
      <c r="BE76" s="17" t="str">
        <f>IFERROR(__xludf.DUMMYFUNCTION("""COMPUTED_VALUE"""),"cách đầu tư chứng chỉ quỹ")</f>
        <v>cách đầu tư chứng chỉ quỹ</v>
      </c>
      <c r="BF76" s="21" t="str">
        <f>IFERROR(__xludf.DUMMYFUNCTION("""COMPUTED_VALUE"""),"https://techcombank.com/thong-tin/blog/gia-chung-chi-quy-la-gi")</f>
        <v>https://techcombank.com/thong-tin/blog/gia-chung-chi-quy-la-gi</v>
      </c>
      <c r="BG76" s="17" t="str">
        <f>IFERROR(__xludf.DUMMYFUNCTION("""COMPUTED_VALUE"""),"đầu tư chứng chỉ quỹ cho người mới")</f>
        <v>đầu tư chứng chỉ quỹ cho người mới</v>
      </c>
      <c r="BH76" s="21" t="str">
        <f>IFERROR(__xludf.DUMMYFUNCTION("""COMPUTED_VALUE"""),"https://techcombank.com/thong-tin/blog/lap-ke-hoach-tai-chinh-ca-nhan")</f>
        <v>https://techcombank.com/thong-tin/blog/lap-ke-hoach-tai-chinh-ca-nhan</v>
      </c>
      <c r="BI76" s="17" t="str">
        <f>IFERROR(__xludf.DUMMYFUNCTION("""COMPUTED_VALUE"""),"phương pháp đầu tư chứng chỉ quỹ")</f>
        <v>phương pháp đầu tư chứng chỉ quỹ</v>
      </c>
      <c r="BJ76" s="21" t="str">
        <f>IFERROR(__xludf.DUMMYFUNCTION("""COMPUTED_VALUE"""),"https://techcombank.com/thong-tin/blog/chung-chi-quy-va-chung-khoan")</f>
        <v>https://techcombank.com/thong-tin/blog/chung-chi-quy-va-chung-khoan</v>
      </c>
      <c r="BK76" s="17" t="str">
        <f>IFERROR(__xludf.DUMMYFUNCTION("""COMPUTED_VALUE"""),"cách đầu tư chứng chỉ quỹ")</f>
        <v>cách đầu tư chứng chỉ quỹ</v>
      </c>
      <c r="BL76" s="21" t="str">
        <f>IFERROR(__xludf.DUMMYFUNCTION("""COMPUTED_VALUE"""),"https://techcombank.com/thong-tin/blog/lai-suat-chung-chi-quy")</f>
        <v>https://techcombank.com/thong-tin/blog/lai-suat-chung-chi-quy</v>
      </c>
      <c r="BM76" s="17" t="str">
        <f>IFERROR(__xludf.DUMMYFUNCTION("""COMPUTED_VALUE"""),"đầu tư chứng chỉ quỹ cho người mới")</f>
        <v>đầu tư chứng chỉ quỹ cho người mới</v>
      </c>
      <c r="BN76" s="21" t="str">
        <f>IFERROR(__xludf.DUMMYFUNCTION("""COMPUTED_VALUE"""),"https://techcombank.com/thong-tin/blog/gui-tiet-kiem-ngan-hang-van-la-lua-chon-an-toan-trong-thoi-ky-kinh-te-con-nhieu-bien-dong")</f>
        <v>https://techcombank.com/thong-tin/blog/gui-tiet-kiem-ngan-hang-van-la-lua-chon-an-toan-trong-thoi-ky-kinh-te-con-nhieu-bien-dong</v>
      </c>
      <c r="BO76" s="17" t="str">
        <f>IFERROR(__xludf.DUMMYFUNCTION("""COMPUTED_VALUE"""),"phương pháp đầu tư chứng chỉ quỹ")</f>
        <v>phương pháp đầu tư chứng chỉ quỹ</v>
      </c>
      <c r="BP76" s="21" t="str">
        <f>IFERROR(__xludf.DUMMYFUNCTION("""COMPUTED_VALUE"""),"https://techcombank.com/thong-tin/blog/co-nen-gui-chung-chi-tien-gui")</f>
        <v>https://techcombank.com/thong-tin/blog/co-nen-gui-chung-chi-tien-gui</v>
      </c>
      <c r="BQ76" s="17" t="str">
        <f>IFERROR(__xludf.DUMMYFUNCTION("""COMPUTED_VALUE"""),"cách đầu tư chứng chỉ quỹ")</f>
        <v>cách đầu tư chứng chỉ quỹ</v>
      </c>
      <c r="BR76" s="21" t="str">
        <f>IFERROR(__xludf.DUMMYFUNCTION("""COMPUTED_VALUE"""),"https://techcombank.com/thong-tin/blog/dau-tu-trai-phieu-doanh-nghiep-dung-ham-lai-suat-cao")</f>
        <v>https://techcombank.com/thong-tin/blog/dau-tu-trai-phieu-doanh-nghiep-dung-ham-lai-suat-cao</v>
      </c>
      <c r="BS76" s="17" t="str">
        <f>IFERROR(__xludf.DUMMYFUNCTION("""COMPUTED_VALUE"""),"đầu tư chứng chỉ quỹ cho người mới")</f>
        <v>đầu tư chứng chỉ quỹ cho người mới</v>
      </c>
      <c r="BT76" s="21" t="str">
        <f>IFERROR(__xludf.DUMMYFUNCTION("""COMPUTED_VALUE"""),"https://techcombank.com/thong-tin/blog/phan-mem-lap-ke-hoach-tai-chinh-ca-nhan")</f>
        <v>https://techcombank.com/thong-tin/blog/phan-mem-lap-ke-hoach-tai-chinh-ca-nhan</v>
      </c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  <c r="EW76" s="17"/>
      <c r="EX76" s="17"/>
      <c r="EY76" s="17"/>
      <c r="EZ76" s="17"/>
      <c r="FA76" s="17"/>
      <c r="FB76" s="17"/>
      <c r="FC76" s="17"/>
      <c r="FD76" s="17"/>
      <c r="FE76" s="17"/>
      <c r="FF76" s="17"/>
      <c r="FG76" s="17"/>
      <c r="FH76" s="17"/>
      <c r="FI76" s="17"/>
      <c r="FJ76" s="17"/>
      <c r="FK76" s="17"/>
      <c r="FL76" s="17"/>
      <c r="FM76" s="17"/>
      <c r="FN76" s="17"/>
      <c r="FO76" s="17"/>
      <c r="FP76" s="17"/>
      <c r="FQ76" s="17"/>
      <c r="FR76" s="17"/>
      <c r="FS76" s="17"/>
      <c r="FT76" s="17"/>
      <c r="FU76" s="17"/>
      <c r="FV76" s="17"/>
      <c r="FW76" s="17"/>
      <c r="FX76" s="17"/>
      <c r="FY76" s="17"/>
      <c r="FZ76" s="17"/>
      <c r="GA76" s="17"/>
      <c r="GB76" s="17"/>
      <c r="GC76" s="17"/>
      <c r="GD76" s="17"/>
      <c r="GE76" s="17"/>
      <c r="GF76" s="17"/>
      <c r="GG76" s="17"/>
      <c r="GH76" s="17"/>
      <c r="GI76" s="17"/>
      <c r="GJ76" s="17"/>
      <c r="GK76" s="17"/>
      <c r="GL76" s="17"/>
      <c r="GM76" s="17"/>
      <c r="GN76" s="17"/>
      <c r="GO76" s="17"/>
      <c r="GP76" s="17"/>
      <c r="GQ76" s="17"/>
      <c r="GR76" s="17"/>
      <c r="GS76" s="17"/>
      <c r="GT76" s="17"/>
      <c r="GU76" s="17"/>
      <c r="GV76" s="17"/>
      <c r="GW76" s="17"/>
      <c r="GX76" s="17"/>
      <c r="GY76" s="17"/>
      <c r="GZ76" s="17"/>
      <c r="HA76" s="17"/>
      <c r="HB76" s="17"/>
      <c r="HC76" s="17"/>
      <c r="HD76" s="17"/>
      <c r="HE76" s="17"/>
      <c r="HF76" s="17"/>
      <c r="HG76" s="17"/>
      <c r="HH76" s="17"/>
      <c r="HI76" s="17"/>
      <c r="HJ76" s="17"/>
      <c r="HK76" s="17"/>
      <c r="HL76" s="17"/>
      <c r="HM76" s="17"/>
      <c r="HN76" s="17"/>
      <c r="HO76" s="17"/>
      <c r="HP76" s="17"/>
      <c r="HQ76" s="17"/>
      <c r="HR76" s="17"/>
      <c r="HS76" s="17"/>
      <c r="HT76" s="17"/>
      <c r="HU76" s="17"/>
      <c r="HV76" s="17"/>
      <c r="HW76" s="17"/>
      <c r="HX76" s="17"/>
      <c r="HY76" s="17"/>
      <c r="HZ76" s="17"/>
      <c r="IA76" s="17"/>
      <c r="IB76" s="17"/>
      <c r="IC76" s="17"/>
      <c r="ID76" s="17"/>
      <c r="IE76" s="17"/>
      <c r="IF76" s="17"/>
      <c r="IG76" s="17"/>
      <c r="IH76" s="17"/>
      <c r="II76" s="17"/>
      <c r="IJ76" s="17"/>
      <c r="IK76" s="17"/>
      <c r="IL76" s="17"/>
      <c r="IM76" s="17"/>
      <c r="IN76" s="17"/>
      <c r="IO76" s="17"/>
      <c r="IP76" s="17"/>
      <c r="IQ76" s="17"/>
      <c r="IR76" s="17"/>
      <c r="IS76" s="17"/>
      <c r="IT76" s="17"/>
      <c r="IU76" s="17"/>
      <c r="IV76" s="17"/>
      <c r="IW76" s="17"/>
      <c r="IX76" s="17"/>
      <c r="IY76" s="17"/>
      <c r="IZ76" s="17"/>
      <c r="JA76" s="17"/>
      <c r="JB76" s="17"/>
      <c r="JC76" s="17"/>
      <c r="JD76" s="17"/>
      <c r="JE76" s="17"/>
      <c r="JF76" s="17"/>
      <c r="JG76" s="17"/>
      <c r="JH76" s="17"/>
      <c r="JI76" s="17"/>
      <c r="JJ76" s="17"/>
      <c r="JK76" s="17"/>
      <c r="JL76" s="17"/>
      <c r="JM76" s="17"/>
      <c r="JN76" s="17"/>
      <c r="JO76" s="17"/>
      <c r="JP76" s="17"/>
      <c r="JQ76" s="17"/>
      <c r="JR76" s="17"/>
      <c r="JS76" s="17"/>
      <c r="JT76" s="17"/>
      <c r="JU76" s="17"/>
      <c r="JV76" s="17"/>
      <c r="JW76" s="17"/>
      <c r="JX76" s="17"/>
      <c r="JY76" s="17"/>
      <c r="JZ76" s="17"/>
      <c r="KA76" s="17"/>
      <c r="KB76" s="17"/>
      <c r="KC76" s="17"/>
      <c r="KD76" s="17"/>
      <c r="KE76" s="17"/>
      <c r="KF76" s="17"/>
      <c r="KG76" s="17"/>
      <c r="KH76" s="17"/>
      <c r="KI76" s="17"/>
      <c r="KJ76" s="17"/>
      <c r="KK76" s="17"/>
      <c r="KL76" s="17"/>
      <c r="KM76" s="17"/>
      <c r="KN76" s="17"/>
      <c r="KO76" s="17"/>
      <c r="KP76" s="17"/>
      <c r="KQ76" s="17"/>
      <c r="KR76" s="17"/>
      <c r="KS76" s="17"/>
      <c r="KT76" s="17"/>
      <c r="KU76" s="17"/>
      <c r="KV76" s="17"/>
      <c r="KW76" s="17"/>
      <c r="KX76" s="17"/>
      <c r="KY76" s="17"/>
      <c r="KZ76" s="17"/>
      <c r="LA76" s="17"/>
      <c r="LB76" s="17"/>
      <c r="LC76" s="17"/>
      <c r="LD76" s="17"/>
      <c r="LE76" s="17"/>
      <c r="LF76" s="17"/>
      <c r="LG76" s="17"/>
      <c r="LH76" s="17"/>
      <c r="LI76" s="17"/>
      <c r="LJ76" s="17"/>
      <c r="LK76" s="17"/>
      <c r="LL76" s="17"/>
      <c r="LM76" s="17"/>
      <c r="LN76" s="17"/>
      <c r="LO76" s="17"/>
      <c r="LP76" s="17"/>
      <c r="LQ76" s="17"/>
      <c r="LR76" s="17"/>
      <c r="LS76" s="17"/>
      <c r="LT76" s="17"/>
      <c r="LU76" s="17"/>
      <c r="LV76" s="17"/>
      <c r="LW76" s="17"/>
      <c r="LX76" s="17"/>
      <c r="LY76" s="17"/>
      <c r="LZ76" s="17"/>
      <c r="MA76" s="17"/>
      <c r="MB76" s="17"/>
      <c r="MC76" s="17"/>
      <c r="MD76" s="17"/>
      <c r="ME76" s="17"/>
      <c r="MF76" s="17"/>
      <c r="MG76" s="17"/>
      <c r="MH76" s="17"/>
      <c r="MI76" s="17"/>
      <c r="MJ76" s="17"/>
      <c r="MK76" s="17"/>
      <c r="ML76" s="17"/>
      <c r="MM76" s="17"/>
      <c r="MN76" s="17"/>
      <c r="MO76" s="17"/>
      <c r="MP76" s="17"/>
      <c r="MQ76" s="17"/>
      <c r="MR76" s="17"/>
      <c r="MS76" s="17"/>
      <c r="MT76" s="17"/>
      <c r="MU76" s="17"/>
      <c r="MV76" s="17"/>
      <c r="MW76" s="17"/>
      <c r="MX76" s="17"/>
      <c r="MY76" s="17"/>
      <c r="MZ76" s="17"/>
      <c r="NA76" s="17"/>
      <c r="NB76" s="17"/>
      <c r="NC76" s="17"/>
      <c r="ND76" s="17"/>
      <c r="NE76" s="17"/>
      <c r="NF76" s="17"/>
      <c r="NG76" s="17"/>
      <c r="NH76" s="17"/>
      <c r="NI76" s="17"/>
      <c r="NJ76" s="17"/>
      <c r="NK76" s="17"/>
      <c r="NL76" s="17"/>
      <c r="NM76" s="17"/>
      <c r="NN76" s="17"/>
      <c r="NO76" s="17"/>
      <c r="NP76" s="17"/>
      <c r="NQ76" s="17"/>
      <c r="NR76" s="17"/>
      <c r="NS76" s="17"/>
      <c r="NT76" s="17"/>
      <c r="NU76" s="17"/>
      <c r="NV76" s="17"/>
      <c r="NW76" s="17"/>
      <c r="NX76" s="17"/>
      <c r="NY76" s="17"/>
      <c r="NZ76" s="17"/>
      <c r="OA76" s="17"/>
      <c r="OB76" s="17"/>
      <c r="OC76" s="17"/>
      <c r="OD76" s="17"/>
      <c r="OE76" s="17"/>
      <c r="OF76" s="17"/>
      <c r="OG76" s="17"/>
      <c r="OH76" s="17"/>
      <c r="OI76" s="17"/>
      <c r="OJ76" s="17"/>
      <c r="OK76" s="17"/>
      <c r="OL76" s="17"/>
      <c r="OM76" s="17"/>
      <c r="ON76" s="17"/>
      <c r="OO76" s="17"/>
      <c r="OP76" s="17"/>
      <c r="OQ76" s="17"/>
      <c r="OR76" s="17"/>
      <c r="OS76" s="17"/>
      <c r="OT76" s="17"/>
      <c r="OU76" s="17"/>
      <c r="OV76" s="17"/>
    </row>
    <row r="77">
      <c r="E77" s="22"/>
      <c r="L77" s="31"/>
    </row>
    <row r="78">
      <c r="E78" s="22"/>
      <c r="L78" s="31"/>
    </row>
    <row r="79">
      <c r="E79" s="22"/>
      <c r="L79" s="31"/>
    </row>
    <row r="80">
      <c r="E80" s="22"/>
      <c r="L80" s="31"/>
    </row>
  </sheetData>
  <conditionalFormatting sqref="M2:OV76">
    <cfRule type="expression" dxfId="2" priority="1" stopIfTrue="1">
      <formula>COUNTIFS(INDIRECT("'Trang tính3'!A:A"),$D2,INDIRECT("'Trang tính3'!B:B"),M2)&gt;0</formula>
    </cfRule>
  </conditionalFormatting>
  <conditionalFormatting sqref="J2:J76">
    <cfRule type="cellIs" dxfId="4" priority="2" stopIfTrue="1" operator="equal">
      <formula>"Chưa hoàn thành"</formula>
    </cfRule>
  </conditionalFormatting>
  <conditionalFormatting sqref="J2:J76">
    <cfRule type="cellIs" dxfId="5" priority="3" stopIfTrue="1" operator="equal">
      <formula>"Đang làm"</formula>
    </cfRule>
  </conditionalFormatting>
  <conditionalFormatting sqref="J2:J76">
    <cfRule type="cellIs" dxfId="6" priority="4" stopIfTrue="1" operator="equal">
      <formula>"Đã hoàn thành"</formula>
    </cfRule>
  </conditionalFormatting>
  <conditionalFormatting sqref="M2:OV76">
    <cfRule type="expression" dxfId="6" priority="5" stopIfTrue="1">
      <formula>AND(M2&lt;&gt;"",INT((COLUMN()-13)/2)+1&lt;=$G2)</formula>
    </cfRule>
  </conditionalFormatting>
  <conditionalFormatting sqref="M2:OV76">
    <cfRule type="expression" dxfId="7" priority="6" stopIfTrue="1">
      <formula>AND(M2&lt;&gt;"",INT((COLUMN()-13)/2)+1&lt;=$G2+$H2)</formula>
    </cfRule>
  </conditionalFormatting>
  <conditionalFormatting sqref="M2:OV76">
    <cfRule type="expression" dxfId="3" priority="7" stopIfTrue="1">
      <formula>M2&lt;&gt;""</formula>
    </cfRule>
  </conditionalFormatting>
  <dataValidations>
    <dataValidation type="list" allowBlank="1" showErrorMessage="1" sqref="J2:J76">
      <formula1>"Chưa hoàn thành,Đang làm,Đã hoàn thành"</formula1>
    </dataValidation>
  </dataValidations>
  <hyperlinks>
    <hyperlink r:id="rId1" ref="N2"/>
    <hyperlink r:id="rId2" ref="P2"/>
    <hyperlink r:id="rId3" ref="R2"/>
    <hyperlink r:id="rId4" ref="T2"/>
    <hyperlink r:id="rId5" ref="V2"/>
    <hyperlink r:id="rId6" ref="X2"/>
    <hyperlink r:id="rId7" ref="Z2"/>
    <hyperlink r:id="rId8" ref="AB2"/>
    <hyperlink r:id="rId9" ref="AD2"/>
    <hyperlink r:id="rId10" ref="AF2"/>
    <hyperlink r:id="rId11" ref="AH2"/>
    <hyperlink r:id="rId12" ref="AJ2"/>
    <hyperlink r:id="rId13" ref="AL2"/>
    <hyperlink r:id="rId14" ref="AN2"/>
    <hyperlink r:id="rId15" ref="AP2"/>
    <hyperlink r:id="rId16" ref="AR2"/>
    <hyperlink r:id="rId17" ref="AT2"/>
    <hyperlink r:id="rId18" ref="AV2"/>
    <hyperlink r:id="rId19" ref="AX2"/>
    <hyperlink r:id="rId20" ref="AZ2"/>
    <hyperlink r:id="rId21" ref="BB2"/>
    <hyperlink r:id="rId22" ref="BD2"/>
    <hyperlink r:id="rId23" ref="BF2"/>
    <hyperlink r:id="rId24" ref="BH2"/>
    <hyperlink r:id="rId25" ref="BJ2"/>
    <hyperlink r:id="rId26" ref="BL2"/>
    <hyperlink r:id="rId27" ref="BN2"/>
    <hyperlink r:id="rId28" ref="BP2"/>
    <hyperlink r:id="rId29" ref="BR2"/>
    <hyperlink r:id="rId30" ref="BT2"/>
    <hyperlink r:id="rId31" ref="N3"/>
    <hyperlink r:id="rId32" ref="P3"/>
    <hyperlink r:id="rId33" ref="R3"/>
    <hyperlink r:id="rId34" ref="T3"/>
    <hyperlink r:id="rId35" ref="V3"/>
    <hyperlink r:id="rId36" ref="X3"/>
    <hyperlink r:id="rId37" ref="Z3"/>
    <hyperlink r:id="rId38" ref="AB3"/>
    <hyperlink r:id="rId39" ref="AD3"/>
    <hyperlink r:id="rId40" ref="AF3"/>
    <hyperlink r:id="rId41" ref="AH3"/>
    <hyperlink r:id="rId42" ref="AJ3"/>
    <hyperlink r:id="rId43" ref="AL3"/>
    <hyperlink r:id="rId44" ref="AN3"/>
    <hyperlink r:id="rId45" ref="AP3"/>
    <hyperlink r:id="rId46" ref="AR3"/>
    <hyperlink r:id="rId47" ref="AT3"/>
    <hyperlink r:id="rId48" ref="AV3"/>
    <hyperlink r:id="rId49" ref="AX3"/>
    <hyperlink r:id="rId50" ref="AZ3"/>
    <hyperlink r:id="rId51" ref="BB3"/>
    <hyperlink r:id="rId52" ref="BD3"/>
    <hyperlink r:id="rId53" ref="BF3"/>
    <hyperlink r:id="rId54" ref="BH3"/>
    <hyperlink r:id="rId55" ref="BJ3"/>
    <hyperlink r:id="rId56" ref="BL3"/>
    <hyperlink r:id="rId57" ref="BN3"/>
    <hyperlink r:id="rId58" ref="BP3"/>
    <hyperlink r:id="rId59" ref="BR3"/>
    <hyperlink r:id="rId60" ref="BT3"/>
    <hyperlink r:id="rId61" ref="BV3"/>
    <hyperlink r:id="rId62" ref="BX3"/>
    <hyperlink r:id="rId63" ref="BZ3"/>
    <hyperlink r:id="rId64" ref="CB3"/>
    <hyperlink r:id="rId65" ref="CD3"/>
    <hyperlink r:id="rId66" ref="CF3"/>
    <hyperlink r:id="rId67" ref="CH3"/>
    <hyperlink r:id="rId68" ref="CJ3"/>
    <hyperlink r:id="rId69" ref="CL3"/>
    <hyperlink r:id="rId70" ref="CN3"/>
    <hyperlink r:id="rId71" ref="CP3"/>
    <hyperlink r:id="rId72" ref="CR3"/>
    <hyperlink r:id="rId73" ref="CT3"/>
    <hyperlink r:id="rId74" ref="CV3"/>
    <hyperlink r:id="rId75" ref="CX3"/>
    <hyperlink r:id="rId76" ref="CZ3"/>
    <hyperlink r:id="rId77" ref="DB3"/>
    <hyperlink r:id="rId78" ref="DD3"/>
    <hyperlink r:id="rId79" ref="DF3"/>
    <hyperlink r:id="rId80" ref="DH3"/>
    <hyperlink r:id="rId81" ref="DJ3"/>
    <hyperlink r:id="rId82" ref="DL3"/>
    <hyperlink r:id="rId83" ref="DN3"/>
    <hyperlink r:id="rId84" ref="DP3"/>
    <hyperlink r:id="rId85" ref="DR3"/>
    <hyperlink r:id="rId86" ref="DT3"/>
    <hyperlink r:id="rId87" ref="DV3"/>
    <hyperlink r:id="rId88" ref="DX3"/>
    <hyperlink r:id="rId89" ref="DZ3"/>
    <hyperlink r:id="rId90" ref="EB3"/>
    <hyperlink r:id="rId91" ref="ED3"/>
    <hyperlink r:id="rId92" ref="EF3"/>
    <hyperlink r:id="rId93" ref="EH3"/>
    <hyperlink r:id="rId94" ref="EJ3"/>
    <hyperlink r:id="rId95" ref="EL3"/>
    <hyperlink r:id="rId96" ref="EN3"/>
    <hyperlink r:id="rId97" ref="EP3"/>
    <hyperlink r:id="rId98" ref="ER3"/>
    <hyperlink r:id="rId99" ref="ET3"/>
    <hyperlink r:id="rId100" ref="EV3"/>
    <hyperlink r:id="rId101" ref="EX3"/>
    <hyperlink r:id="rId102" ref="EZ3"/>
    <hyperlink r:id="rId103" ref="FB3"/>
    <hyperlink r:id="rId104" ref="FD3"/>
    <hyperlink r:id="rId105" ref="FF3"/>
    <hyperlink r:id="rId106" ref="FH3"/>
    <hyperlink r:id="rId107" ref="FJ3"/>
    <hyperlink r:id="rId108" ref="FL3"/>
    <hyperlink r:id="rId109" ref="FN3"/>
    <hyperlink r:id="rId110" ref="FP3"/>
    <hyperlink r:id="rId111" ref="FR3"/>
    <hyperlink r:id="rId112" ref="FT3"/>
    <hyperlink r:id="rId113" ref="FV3"/>
    <hyperlink r:id="rId114" ref="FX3"/>
    <hyperlink r:id="rId115" ref="FZ3"/>
    <hyperlink r:id="rId116" ref="GB3"/>
    <hyperlink r:id="rId117" ref="GD3"/>
    <hyperlink r:id="rId118" ref="GF3"/>
    <hyperlink r:id="rId119" ref="GH3"/>
    <hyperlink r:id="rId120" ref="GJ3"/>
    <hyperlink r:id="rId121" ref="GL3"/>
    <hyperlink r:id="rId122" ref="GN3"/>
    <hyperlink r:id="rId123" ref="GP3"/>
    <hyperlink r:id="rId124" ref="GR3"/>
    <hyperlink r:id="rId125" ref="GT3"/>
    <hyperlink r:id="rId126" ref="GV3"/>
    <hyperlink r:id="rId127" ref="GX3"/>
    <hyperlink r:id="rId128" ref="GZ3"/>
    <hyperlink r:id="rId129" ref="HB3"/>
    <hyperlink r:id="rId130" ref="HD3"/>
    <hyperlink r:id="rId131" ref="N4"/>
    <hyperlink r:id="rId132" ref="P4"/>
    <hyperlink r:id="rId133" ref="R4"/>
    <hyperlink r:id="rId134" ref="T4"/>
    <hyperlink r:id="rId135" ref="V4"/>
    <hyperlink r:id="rId136" ref="X4"/>
    <hyperlink r:id="rId137" ref="Z4"/>
    <hyperlink r:id="rId138" ref="AB4"/>
    <hyperlink r:id="rId139" ref="AD4"/>
    <hyperlink r:id="rId140" ref="AF4"/>
    <hyperlink r:id="rId141" ref="AH4"/>
    <hyperlink r:id="rId142" ref="AJ4"/>
    <hyperlink r:id="rId143" ref="AL4"/>
    <hyperlink r:id="rId144" ref="AN4"/>
    <hyperlink r:id="rId145" ref="AP4"/>
    <hyperlink r:id="rId146" ref="AR4"/>
    <hyperlink r:id="rId147" ref="AT4"/>
    <hyperlink r:id="rId148" ref="AV4"/>
    <hyperlink r:id="rId149" ref="AX4"/>
    <hyperlink r:id="rId150" ref="AZ4"/>
    <hyperlink r:id="rId151" ref="BB4"/>
    <hyperlink r:id="rId152" ref="BD4"/>
    <hyperlink r:id="rId153" ref="BF4"/>
    <hyperlink r:id="rId154" ref="BH4"/>
    <hyperlink r:id="rId155" ref="BJ4"/>
    <hyperlink r:id="rId156" ref="BL4"/>
    <hyperlink r:id="rId157" ref="BN4"/>
    <hyperlink r:id="rId158" ref="BP4"/>
    <hyperlink r:id="rId159" ref="BR4"/>
    <hyperlink r:id="rId160" ref="BT4"/>
    <hyperlink r:id="rId161" ref="BV4"/>
    <hyperlink r:id="rId162" ref="BX4"/>
    <hyperlink r:id="rId163" ref="BZ4"/>
    <hyperlink r:id="rId164" ref="CB4"/>
    <hyperlink r:id="rId165" ref="CD4"/>
    <hyperlink r:id="rId166" ref="CF4"/>
    <hyperlink r:id="rId167" ref="CH4"/>
    <hyperlink r:id="rId168" ref="CJ4"/>
    <hyperlink r:id="rId169" ref="CL4"/>
    <hyperlink r:id="rId170" ref="CN4"/>
    <hyperlink r:id="rId171" ref="CP4"/>
    <hyperlink r:id="rId172" ref="CR4"/>
    <hyperlink r:id="rId173" ref="CT4"/>
    <hyperlink r:id="rId174" ref="CV4"/>
    <hyperlink r:id="rId175" ref="CX4"/>
    <hyperlink r:id="rId176" ref="CZ4"/>
    <hyperlink r:id="rId177" ref="DB4"/>
    <hyperlink r:id="rId178" ref="DD4"/>
    <hyperlink r:id="rId179" ref="DF4"/>
    <hyperlink r:id="rId180" ref="DH4"/>
    <hyperlink r:id="rId181" ref="N5"/>
    <hyperlink r:id="rId182" ref="P5"/>
    <hyperlink r:id="rId183" ref="R5"/>
    <hyperlink r:id="rId184" ref="T5"/>
    <hyperlink r:id="rId185" ref="V5"/>
    <hyperlink r:id="rId186" ref="X5"/>
    <hyperlink r:id="rId187" ref="Z5"/>
    <hyperlink r:id="rId188" ref="AB5"/>
    <hyperlink r:id="rId189" ref="AD5"/>
    <hyperlink r:id="rId190" ref="AF5"/>
    <hyperlink r:id="rId191" ref="AH5"/>
    <hyperlink r:id="rId192" ref="AJ5"/>
    <hyperlink r:id="rId193" ref="AL5"/>
    <hyperlink r:id="rId194" ref="AN5"/>
    <hyperlink r:id="rId195" ref="AP5"/>
    <hyperlink r:id="rId196" ref="AR5"/>
    <hyperlink r:id="rId197" ref="AT5"/>
    <hyperlink r:id="rId198" ref="AV5"/>
    <hyperlink r:id="rId199" ref="AX5"/>
    <hyperlink r:id="rId200" ref="AZ5"/>
    <hyperlink r:id="rId201" ref="BB5"/>
    <hyperlink r:id="rId202" ref="BD5"/>
    <hyperlink r:id="rId203" ref="BF5"/>
    <hyperlink r:id="rId204" ref="BH5"/>
    <hyperlink r:id="rId205" ref="BJ5"/>
    <hyperlink r:id="rId206" ref="BL5"/>
    <hyperlink r:id="rId207" ref="BN5"/>
    <hyperlink r:id="rId208" ref="BP5"/>
    <hyperlink r:id="rId209" ref="BR5"/>
    <hyperlink r:id="rId210" ref="BT5"/>
    <hyperlink r:id="rId211" ref="BV5"/>
    <hyperlink r:id="rId212" ref="BX5"/>
    <hyperlink r:id="rId213" ref="BZ5"/>
    <hyperlink r:id="rId214" ref="CB5"/>
    <hyperlink r:id="rId215" ref="CD5"/>
    <hyperlink r:id="rId216" ref="CF5"/>
    <hyperlink r:id="rId217" ref="CH5"/>
    <hyperlink r:id="rId218" ref="CJ5"/>
    <hyperlink r:id="rId219" ref="CL5"/>
    <hyperlink r:id="rId220" ref="CN5"/>
    <hyperlink r:id="rId221" ref="CP5"/>
    <hyperlink r:id="rId222" ref="CR5"/>
    <hyperlink r:id="rId223" ref="CT5"/>
    <hyperlink r:id="rId224" ref="CV5"/>
    <hyperlink r:id="rId225" ref="CX5"/>
    <hyperlink r:id="rId226" ref="CZ5"/>
    <hyperlink r:id="rId227" ref="DB5"/>
    <hyperlink r:id="rId228" ref="DD5"/>
    <hyperlink r:id="rId229" ref="DF5"/>
    <hyperlink r:id="rId230" ref="DH5"/>
    <hyperlink r:id="rId231" ref="N6"/>
    <hyperlink r:id="rId232" ref="P6"/>
    <hyperlink r:id="rId233" ref="R6"/>
    <hyperlink r:id="rId234" ref="T6"/>
    <hyperlink r:id="rId235" ref="V6"/>
    <hyperlink r:id="rId236" ref="X6"/>
    <hyperlink r:id="rId237" ref="Z6"/>
    <hyperlink r:id="rId238" ref="AB6"/>
    <hyperlink r:id="rId239" ref="AD6"/>
    <hyperlink r:id="rId240" ref="AF6"/>
    <hyperlink r:id="rId241" ref="AH6"/>
    <hyperlink r:id="rId242" ref="AJ6"/>
    <hyperlink r:id="rId243" ref="AL6"/>
    <hyperlink r:id="rId244" ref="AN6"/>
    <hyperlink r:id="rId245" ref="AP6"/>
    <hyperlink r:id="rId246" ref="AR6"/>
    <hyperlink r:id="rId247" ref="AT6"/>
    <hyperlink r:id="rId248" ref="AV6"/>
    <hyperlink r:id="rId249" ref="AX6"/>
    <hyperlink r:id="rId250" ref="AZ6"/>
    <hyperlink r:id="rId251" ref="BB6"/>
    <hyperlink r:id="rId252" ref="BD6"/>
    <hyperlink r:id="rId253" ref="BF6"/>
    <hyperlink r:id="rId254" ref="BH6"/>
    <hyperlink r:id="rId255" ref="BJ6"/>
    <hyperlink r:id="rId256" ref="BL6"/>
    <hyperlink r:id="rId257" ref="BN6"/>
    <hyperlink r:id="rId258" ref="BP6"/>
    <hyperlink r:id="rId259" ref="BR6"/>
    <hyperlink r:id="rId260" ref="BT6"/>
    <hyperlink r:id="rId261" ref="N7"/>
    <hyperlink r:id="rId262" ref="P7"/>
    <hyperlink r:id="rId263" ref="R7"/>
    <hyperlink r:id="rId264" ref="T7"/>
    <hyperlink r:id="rId265" ref="V7"/>
    <hyperlink r:id="rId266" ref="X7"/>
    <hyperlink r:id="rId267" ref="Z7"/>
    <hyperlink r:id="rId268" ref="AB7"/>
    <hyperlink r:id="rId269" ref="AD7"/>
    <hyperlink r:id="rId270" ref="AF7"/>
    <hyperlink r:id="rId271" ref="AH7"/>
    <hyperlink r:id="rId272" ref="AJ7"/>
    <hyperlink r:id="rId273" ref="AL7"/>
    <hyperlink r:id="rId274" ref="AN7"/>
    <hyperlink r:id="rId275" ref="AP7"/>
    <hyperlink r:id="rId276" ref="AR7"/>
    <hyperlink r:id="rId277" ref="AT7"/>
    <hyperlink r:id="rId278" ref="AV7"/>
    <hyperlink r:id="rId279" ref="AX7"/>
    <hyperlink r:id="rId280" ref="AZ7"/>
    <hyperlink r:id="rId281" ref="BB7"/>
    <hyperlink r:id="rId282" ref="BD7"/>
    <hyperlink r:id="rId283" ref="BF7"/>
    <hyperlink r:id="rId284" ref="BH7"/>
    <hyperlink r:id="rId285" ref="BJ7"/>
    <hyperlink r:id="rId286" ref="BL7"/>
    <hyperlink r:id="rId287" ref="BN7"/>
    <hyperlink r:id="rId288" ref="BP7"/>
    <hyperlink r:id="rId289" ref="BR7"/>
    <hyperlink r:id="rId290" ref="BT7"/>
    <hyperlink r:id="rId291" ref="N8"/>
    <hyperlink r:id="rId292" ref="P8"/>
    <hyperlink r:id="rId293" ref="R8"/>
    <hyperlink r:id="rId294" ref="T8"/>
    <hyperlink r:id="rId295" ref="V8"/>
    <hyperlink r:id="rId296" ref="X8"/>
    <hyperlink r:id="rId297" ref="Z8"/>
    <hyperlink r:id="rId298" ref="AB8"/>
    <hyperlink r:id="rId299" ref="AD8"/>
    <hyperlink r:id="rId300" ref="AF8"/>
    <hyperlink r:id="rId301" ref="AH8"/>
    <hyperlink r:id="rId302" ref="AJ8"/>
    <hyperlink r:id="rId303" ref="AL8"/>
    <hyperlink r:id="rId304" ref="AN8"/>
    <hyperlink r:id="rId305" ref="AP8"/>
    <hyperlink r:id="rId306" ref="AR8"/>
    <hyperlink r:id="rId307" ref="AT8"/>
    <hyperlink r:id="rId308" ref="AV8"/>
    <hyperlink r:id="rId309" ref="AX8"/>
    <hyperlink r:id="rId310" ref="AZ8"/>
    <hyperlink r:id="rId311" ref="BB8"/>
    <hyperlink r:id="rId312" ref="BD8"/>
    <hyperlink r:id="rId313" ref="BF8"/>
    <hyperlink r:id="rId314" ref="BH8"/>
    <hyperlink r:id="rId315" ref="BJ8"/>
    <hyperlink r:id="rId316" ref="BL8"/>
    <hyperlink r:id="rId317" ref="BN8"/>
    <hyperlink r:id="rId318" ref="BP8"/>
    <hyperlink r:id="rId319" ref="BR8"/>
    <hyperlink r:id="rId320" ref="BT8"/>
    <hyperlink r:id="rId321" ref="N9"/>
    <hyperlink r:id="rId322" ref="P9"/>
    <hyperlink r:id="rId323" ref="R9"/>
    <hyperlink r:id="rId324" ref="T9"/>
    <hyperlink r:id="rId325" ref="V9"/>
    <hyperlink r:id="rId326" ref="X9"/>
    <hyperlink r:id="rId327" ref="Z9"/>
    <hyperlink r:id="rId328" ref="AB9"/>
    <hyperlink r:id="rId329" ref="AD9"/>
    <hyperlink r:id="rId330" ref="AF9"/>
    <hyperlink r:id="rId331" ref="AH9"/>
    <hyperlink r:id="rId332" ref="AJ9"/>
    <hyperlink r:id="rId333" ref="AL9"/>
    <hyperlink r:id="rId334" ref="AN9"/>
    <hyperlink r:id="rId335" ref="AP9"/>
    <hyperlink r:id="rId336" ref="AR9"/>
    <hyperlink r:id="rId337" ref="AT9"/>
    <hyperlink r:id="rId338" ref="AV9"/>
    <hyperlink r:id="rId339" ref="AX9"/>
    <hyperlink r:id="rId340" ref="AZ9"/>
    <hyperlink r:id="rId341" ref="BB9"/>
    <hyperlink r:id="rId342" ref="BD9"/>
    <hyperlink r:id="rId343" ref="BF9"/>
    <hyperlink r:id="rId344" ref="BH9"/>
    <hyperlink r:id="rId345" ref="BJ9"/>
    <hyperlink r:id="rId346" ref="BL9"/>
    <hyperlink r:id="rId347" ref="BN9"/>
    <hyperlink r:id="rId348" ref="BP9"/>
    <hyperlink r:id="rId349" ref="BR9"/>
    <hyperlink r:id="rId350" ref="BT9"/>
    <hyperlink r:id="rId351" ref="N10"/>
    <hyperlink r:id="rId352" ref="P10"/>
    <hyperlink r:id="rId353" ref="R10"/>
    <hyperlink r:id="rId354" ref="T10"/>
    <hyperlink r:id="rId355" ref="V10"/>
    <hyperlink r:id="rId356" ref="X10"/>
    <hyperlink r:id="rId357" ref="Z10"/>
    <hyperlink r:id="rId358" ref="AB10"/>
    <hyperlink r:id="rId359" ref="AD10"/>
    <hyperlink r:id="rId360" ref="AF10"/>
    <hyperlink r:id="rId361" ref="AH10"/>
    <hyperlink r:id="rId362" ref="AJ10"/>
    <hyperlink r:id="rId363" ref="AL10"/>
    <hyperlink r:id="rId364" ref="AN10"/>
    <hyperlink r:id="rId365" ref="AP10"/>
    <hyperlink r:id="rId366" ref="AR10"/>
    <hyperlink r:id="rId367" ref="AT10"/>
    <hyperlink r:id="rId368" ref="AV10"/>
    <hyperlink r:id="rId369" ref="AX10"/>
    <hyperlink r:id="rId370" ref="AZ10"/>
    <hyperlink r:id="rId371" ref="BB10"/>
    <hyperlink r:id="rId372" ref="BD10"/>
    <hyperlink r:id="rId373" ref="BF10"/>
    <hyperlink r:id="rId374" ref="BH10"/>
    <hyperlink r:id="rId375" ref="BJ10"/>
    <hyperlink r:id="rId376" ref="BL10"/>
    <hyperlink r:id="rId377" ref="BN10"/>
    <hyperlink r:id="rId378" ref="BP10"/>
    <hyperlink r:id="rId379" ref="BR10"/>
    <hyperlink r:id="rId380" ref="BT10"/>
    <hyperlink r:id="rId381" ref="N11"/>
    <hyperlink r:id="rId382" ref="P11"/>
    <hyperlink r:id="rId383" ref="R11"/>
    <hyperlink r:id="rId384" ref="T11"/>
    <hyperlink r:id="rId385" ref="V11"/>
    <hyperlink r:id="rId386" ref="X11"/>
    <hyperlink r:id="rId387" ref="Z11"/>
    <hyperlink r:id="rId388" ref="AB11"/>
    <hyperlink r:id="rId389" ref="AD11"/>
    <hyperlink r:id="rId390" ref="AF11"/>
    <hyperlink r:id="rId391" ref="AH11"/>
    <hyperlink r:id="rId392" ref="AJ11"/>
    <hyperlink r:id="rId393" ref="AL11"/>
    <hyperlink r:id="rId394" ref="AN11"/>
    <hyperlink r:id="rId395" ref="AP11"/>
    <hyperlink r:id="rId396" ref="AR11"/>
    <hyperlink r:id="rId397" ref="AT11"/>
    <hyperlink r:id="rId398" ref="AV11"/>
    <hyperlink r:id="rId399" ref="AX11"/>
    <hyperlink r:id="rId400" ref="AZ11"/>
    <hyperlink r:id="rId401" ref="BB11"/>
    <hyperlink r:id="rId402" ref="BD11"/>
    <hyperlink r:id="rId403" ref="BF11"/>
    <hyperlink r:id="rId404" ref="BH11"/>
    <hyperlink r:id="rId405" ref="BJ11"/>
    <hyperlink r:id="rId406" ref="BL11"/>
    <hyperlink r:id="rId407" ref="BN11"/>
    <hyperlink r:id="rId408" ref="BP11"/>
    <hyperlink r:id="rId409" ref="BR11"/>
    <hyperlink r:id="rId410" ref="BT11"/>
    <hyperlink r:id="rId411" ref="N12"/>
    <hyperlink r:id="rId412" ref="P12"/>
    <hyperlink r:id="rId413" ref="R12"/>
    <hyperlink r:id="rId414" ref="T12"/>
    <hyperlink r:id="rId415" ref="V12"/>
    <hyperlink r:id="rId416" ref="X12"/>
    <hyperlink r:id="rId417" ref="Z12"/>
    <hyperlink r:id="rId418" ref="AB12"/>
    <hyperlink r:id="rId419" ref="AD12"/>
    <hyperlink r:id="rId420" ref="AF12"/>
    <hyperlink r:id="rId421" ref="AH12"/>
    <hyperlink r:id="rId422" ref="AJ12"/>
    <hyperlink r:id="rId423" ref="AL12"/>
    <hyperlink r:id="rId424" ref="AN12"/>
    <hyperlink r:id="rId425" ref="AP12"/>
    <hyperlink r:id="rId426" ref="AR12"/>
    <hyperlink r:id="rId427" ref="AT12"/>
    <hyperlink r:id="rId428" ref="AV12"/>
    <hyperlink r:id="rId429" ref="AX12"/>
    <hyperlink r:id="rId430" ref="AZ12"/>
    <hyperlink r:id="rId431" ref="BB12"/>
    <hyperlink r:id="rId432" ref="BD12"/>
    <hyperlink r:id="rId433" ref="BF12"/>
    <hyperlink r:id="rId434" ref="BH12"/>
    <hyperlink r:id="rId435" ref="BJ12"/>
    <hyperlink r:id="rId436" ref="BL12"/>
    <hyperlink r:id="rId437" ref="BN12"/>
    <hyperlink r:id="rId438" ref="BP12"/>
    <hyperlink r:id="rId439" ref="BR12"/>
    <hyperlink r:id="rId440" ref="BT12"/>
    <hyperlink r:id="rId441" ref="BV12"/>
    <hyperlink r:id="rId442" ref="BX12"/>
    <hyperlink r:id="rId443" ref="BZ12"/>
    <hyperlink r:id="rId444" ref="CB12"/>
    <hyperlink r:id="rId445" ref="CD12"/>
    <hyperlink r:id="rId446" ref="CF12"/>
    <hyperlink r:id="rId447" ref="CH12"/>
    <hyperlink r:id="rId448" ref="CJ12"/>
    <hyperlink r:id="rId449" ref="CL12"/>
    <hyperlink r:id="rId450" ref="CN12"/>
    <hyperlink r:id="rId451" ref="CP12"/>
    <hyperlink r:id="rId452" ref="CR12"/>
    <hyperlink r:id="rId453" ref="CT12"/>
    <hyperlink r:id="rId454" ref="CV12"/>
    <hyperlink r:id="rId455" ref="CX12"/>
    <hyperlink r:id="rId456" ref="CZ12"/>
    <hyperlink r:id="rId457" ref="DB12"/>
    <hyperlink r:id="rId458" ref="DD12"/>
    <hyperlink r:id="rId459" ref="DF12"/>
    <hyperlink r:id="rId460" ref="DH12"/>
    <hyperlink r:id="rId461" ref="N13"/>
    <hyperlink r:id="rId462" ref="P13"/>
    <hyperlink r:id="rId463" ref="R13"/>
    <hyperlink r:id="rId464" ref="T13"/>
    <hyperlink r:id="rId465" ref="V13"/>
    <hyperlink r:id="rId466" ref="X13"/>
    <hyperlink r:id="rId467" ref="Z13"/>
    <hyperlink r:id="rId468" ref="AB13"/>
    <hyperlink r:id="rId469" ref="AD13"/>
    <hyperlink r:id="rId470" ref="AF13"/>
    <hyperlink r:id="rId471" ref="AH13"/>
    <hyperlink r:id="rId472" ref="AJ13"/>
    <hyperlink r:id="rId473" ref="AL13"/>
    <hyperlink r:id="rId474" ref="AN13"/>
    <hyperlink r:id="rId475" ref="AP13"/>
    <hyperlink r:id="rId476" ref="AR13"/>
    <hyperlink r:id="rId477" ref="AT13"/>
    <hyperlink r:id="rId478" ref="AV13"/>
    <hyperlink r:id="rId479" ref="AX13"/>
    <hyperlink r:id="rId480" ref="AZ13"/>
    <hyperlink r:id="rId481" ref="BB13"/>
    <hyperlink r:id="rId482" ref="BD13"/>
    <hyperlink r:id="rId483" ref="BF13"/>
    <hyperlink r:id="rId484" ref="BH13"/>
    <hyperlink r:id="rId485" ref="BJ13"/>
    <hyperlink r:id="rId486" ref="BL13"/>
    <hyperlink r:id="rId487" ref="BN13"/>
    <hyperlink r:id="rId488" ref="BP13"/>
    <hyperlink r:id="rId489" ref="BR13"/>
    <hyperlink r:id="rId490" ref="BT13"/>
    <hyperlink r:id="rId491" ref="BV13"/>
    <hyperlink r:id="rId492" ref="BX13"/>
    <hyperlink r:id="rId493" ref="BZ13"/>
    <hyperlink r:id="rId494" ref="CB13"/>
    <hyperlink r:id="rId495" ref="CD13"/>
    <hyperlink r:id="rId496" ref="CF13"/>
    <hyperlink r:id="rId497" ref="CH13"/>
    <hyperlink r:id="rId498" ref="CJ13"/>
    <hyperlink r:id="rId499" ref="CL13"/>
    <hyperlink r:id="rId500" ref="CN13"/>
    <hyperlink r:id="rId501" ref="CP13"/>
    <hyperlink r:id="rId502" ref="CR13"/>
    <hyperlink r:id="rId503" ref="CT13"/>
    <hyperlink r:id="rId504" ref="CV13"/>
    <hyperlink r:id="rId505" ref="CX13"/>
    <hyperlink r:id="rId506" ref="CZ13"/>
    <hyperlink r:id="rId507" ref="DB13"/>
    <hyperlink r:id="rId508" ref="DD13"/>
    <hyperlink r:id="rId509" ref="DF13"/>
    <hyperlink r:id="rId510" ref="DH13"/>
    <hyperlink r:id="rId511" ref="N14"/>
    <hyperlink r:id="rId512" ref="P14"/>
    <hyperlink r:id="rId513" ref="R14"/>
    <hyperlink r:id="rId514" ref="T14"/>
    <hyperlink r:id="rId515" ref="V14"/>
    <hyperlink r:id="rId516" ref="X14"/>
    <hyperlink r:id="rId517" ref="Z14"/>
    <hyperlink r:id="rId518" ref="AB14"/>
    <hyperlink r:id="rId519" ref="AD14"/>
    <hyperlink r:id="rId520" ref="AF14"/>
    <hyperlink r:id="rId521" ref="AH14"/>
    <hyperlink r:id="rId522" ref="AJ14"/>
    <hyperlink r:id="rId523" ref="AL14"/>
    <hyperlink r:id="rId524" ref="AN14"/>
    <hyperlink r:id="rId525" ref="AP14"/>
    <hyperlink r:id="rId526" ref="AR14"/>
    <hyperlink r:id="rId527" ref="AT14"/>
    <hyperlink r:id="rId528" ref="AV14"/>
    <hyperlink r:id="rId529" ref="AX14"/>
    <hyperlink r:id="rId530" ref="AZ14"/>
    <hyperlink r:id="rId531" ref="BB14"/>
    <hyperlink r:id="rId532" ref="BD14"/>
    <hyperlink r:id="rId533" ref="BF14"/>
    <hyperlink r:id="rId534" ref="BH14"/>
    <hyperlink r:id="rId535" ref="BJ14"/>
    <hyperlink r:id="rId536" ref="BL14"/>
    <hyperlink r:id="rId537" ref="BN14"/>
    <hyperlink r:id="rId538" ref="BP14"/>
    <hyperlink r:id="rId539" ref="BR14"/>
    <hyperlink r:id="rId540" ref="BT14"/>
    <hyperlink r:id="rId541" ref="N15"/>
    <hyperlink r:id="rId542" ref="P15"/>
    <hyperlink r:id="rId543" ref="R15"/>
    <hyperlink r:id="rId544" ref="T15"/>
    <hyperlink r:id="rId545" ref="V15"/>
    <hyperlink r:id="rId546" ref="X15"/>
    <hyperlink r:id="rId547" ref="Z15"/>
    <hyperlink r:id="rId548" ref="AB15"/>
    <hyperlink r:id="rId549" ref="AD15"/>
    <hyperlink r:id="rId550" ref="AF15"/>
    <hyperlink r:id="rId551" ref="AH15"/>
    <hyperlink r:id="rId552" ref="AJ15"/>
    <hyperlink r:id="rId553" ref="AL15"/>
    <hyperlink r:id="rId554" ref="AN15"/>
    <hyperlink r:id="rId555" ref="AP15"/>
    <hyperlink r:id="rId556" ref="AR15"/>
    <hyperlink r:id="rId557" ref="AT15"/>
    <hyperlink r:id="rId558" ref="AV15"/>
    <hyperlink r:id="rId559" ref="AX15"/>
    <hyperlink r:id="rId560" ref="AZ15"/>
    <hyperlink r:id="rId561" ref="BB15"/>
    <hyperlink r:id="rId562" ref="BD15"/>
    <hyperlink r:id="rId563" ref="BF15"/>
    <hyperlink r:id="rId564" ref="BH15"/>
    <hyperlink r:id="rId565" ref="BJ15"/>
    <hyperlink r:id="rId566" ref="BL15"/>
    <hyperlink r:id="rId567" ref="BN15"/>
    <hyperlink r:id="rId568" ref="BP15"/>
    <hyperlink r:id="rId569" ref="BR15"/>
    <hyperlink r:id="rId570" ref="BT15"/>
    <hyperlink r:id="rId571" ref="N16"/>
    <hyperlink r:id="rId572" ref="P16"/>
    <hyperlink r:id="rId573" ref="R16"/>
    <hyperlink r:id="rId574" ref="T16"/>
    <hyperlink r:id="rId575" ref="V16"/>
    <hyperlink r:id="rId576" ref="X16"/>
    <hyperlink r:id="rId577" ref="Z16"/>
    <hyperlink r:id="rId578" ref="AB16"/>
    <hyperlink r:id="rId579" ref="AD16"/>
    <hyperlink r:id="rId580" ref="AF16"/>
    <hyperlink r:id="rId581" ref="AH16"/>
    <hyperlink r:id="rId582" ref="AJ16"/>
    <hyperlink r:id="rId583" ref="AL16"/>
    <hyperlink r:id="rId584" ref="AN16"/>
    <hyperlink r:id="rId585" ref="AP16"/>
    <hyperlink r:id="rId586" ref="AR16"/>
    <hyperlink r:id="rId587" ref="AT16"/>
    <hyperlink r:id="rId588" ref="AV16"/>
    <hyperlink r:id="rId589" ref="AX16"/>
    <hyperlink r:id="rId590" ref="AZ16"/>
    <hyperlink r:id="rId591" ref="BB16"/>
    <hyperlink r:id="rId592" ref="BD16"/>
    <hyperlink r:id="rId593" ref="BF16"/>
    <hyperlink r:id="rId594" ref="BH16"/>
    <hyperlink r:id="rId595" ref="BJ16"/>
    <hyperlink r:id="rId596" ref="BL16"/>
    <hyperlink r:id="rId597" ref="BN16"/>
    <hyperlink r:id="rId598" ref="BP16"/>
    <hyperlink r:id="rId599" ref="BR16"/>
    <hyperlink r:id="rId600" ref="BT16"/>
    <hyperlink r:id="rId601" ref="N17"/>
    <hyperlink r:id="rId602" ref="P17"/>
    <hyperlink r:id="rId603" ref="R17"/>
    <hyperlink r:id="rId604" ref="T17"/>
    <hyperlink r:id="rId605" ref="V17"/>
    <hyperlink r:id="rId606" ref="X17"/>
    <hyperlink r:id="rId607" ref="Z17"/>
    <hyperlink r:id="rId608" ref="AB17"/>
    <hyperlink r:id="rId609" ref="AD17"/>
    <hyperlink r:id="rId610" ref="AF17"/>
    <hyperlink r:id="rId611" ref="AH17"/>
    <hyperlink r:id="rId612" ref="AJ17"/>
    <hyperlink r:id="rId613" ref="AL17"/>
    <hyperlink r:id="rId614" ref="AN17"/>
    <hyperlink r:id="rId615" ref="AP17"/>
    <hyperlink r:id="rId616" ref="AR17"/>
    <hyperlink r:id="rId617" ref="AT17"/>
    <hyperlink r:id="rId618" ref="AV17"/>
    <hyperlink r:id="rId619" ref="AX17"/>
    <hyperlink r:id="rId620" ref="AZ17"/>
    <hyperlink r:id="rId621" ref="BB17"/>
    <hyperlink r:id="rId622" ref="BD17"/>
    <hyperlink r:id="rId623" ref="BF17"/>
    <hyperlink r:id="rId624" ref="BH17"/>
    <hyperlink r:id="rId625" ref="BJ17"/>
    <hyperlink r:id="rId626" ref="BL17"/>
    <hyperlink r:id="rId627" ref="BN17"/>
    <hyperlink r:id="rId628" ref="BP17"/>
    <hyperlink r:id="rId629" ref="BR17"/>
    <hyperlink r:id="rId630" ref="BT17"/>
    <hyperlink r:id="rId631" ref="N18"/>
    <hyperlink r:id="rId632" ref="P18"/>
    <hyperlink r:id="rId633" ref="R18"/>
    <hyperlink r:id="rId634" ref="T18"/>
    <hyperlink r:id="rId635" ref="V18"/>
    <hyperlink r:id="rId636" ref="X18"/>
    <hyperlink r:id="rId637" ref="Z18"/>
    <hyperlink r:id="rId638" ref="AB18"/>
    <hyperlink r:id="rId639" ref="AD18"/>
    <hyperlink r:id="rId640" ref="AF18"/>
    <hyperlink r:id="rId641" ref="AH18"/>
    <hyperlink r:id="rId642" ref="AJ18"/>
    <hyperlink r:id="rId643" ref="AL18"/>
    <hyperlink r:id="rId644" ref="AN18"/>
    <hyperlink r:id="rId645" ref="AP18"/>
    <hyperlink r:id="rId646" ref="AR18"/>
    <hyperlink r:id="rId647" ref="AT18"/>
    <hyperlink r:id="rId648" ref="AV18"/>
    <hyperlink r:id="rId649" ref="AX18"/>
    <hyperlink r:id="rId650" ref="AZ18"/>
    <hyperlink r:id="rId651" ref="BB18"/>
    <hyperlink r:id="rId652" ref="BD18"/>
    <hyperlink r:id="rId653" ref="BF18"/>
    <hyperlink r:id="rId654" ref="BH18"/>
    <hyperlink r:id="rId655" ref="BJ18"/>
    <hyperlink r:id="rId656" ref="BL18"/>
    <hyperlink r:id="rId657" ref="BN18"/>
    <hyperlink r:id="rId658" ref="BP18"/>
    <hyperlink r:id="rId659" ref="BR18"/>
    <hyperlink r:id="rId660" ref="BT18"/>
    <hyperlink r:id="rId661" ref="N19"/>
    <hyperlink r:id="rId662" ref="P19"/>
    <hyperlink r:id="rId663" ref="R19"/>
    <hyperlink r:id="rId664" ref="T19"/>
    <hyperlink r:id="rId665" ref="V19"/>
    <hyperlink r:id="rId666" ref="X19"/>
    <hyperlink r:id="rId667" ref="Z19"/>
    <hyperlink r:id="rId668" ref="AB19"/>
    <hyperlink r:id="rId669" ref="AD19"/>
    <hyperlink r:id="rId670" ref="AF19"/>
    <hyperlink r:id="rId671" ref="AH19"/>
    <hyperlink r:id="rId672" ref="AJ19"/>
    <hyperlink r:id="rId673" ref="AL19"/>
    <hyperlink r:id="rId674" ref="AN19"/>
    <hyperlink r:id="rId675" ref="AP19"/>
    <hyperlink r:id="rId676" ref="AR19"/>
    <hyperlink r:id="rId677" ref="AT19"/>
    <hyperlink r:id="rId678" ref="AV19"/>
    <hyperlink r:id="rId679" ref="AX19"/>
    <hyperlink r:id="rId680" ref="AZ19"/>
    <hyperlink r:id="rId681" ref="BB19"/>
    <hyperlink r:id="rId682" ref="BD19"/>
    <hyperlink r:id="rId683" ref="BF19"/>
    <hyperlink r:id="rId684" ref="BH19"/>
    <hyperlink r:id="rId685" ref="BJ19"/>
    <hyperlink r:id="rId686" ref="BL19"/>
    <hyperlink r:id="rId687" ref="BN19"/>
    <hyperlink r:id="rId688" ref="BP19"/>
    <hyperlink r:id="rId689" ref="BR19"/>
    <hyperlink r:id="rId690" ref="BT19"/>
    <hyperlink r:id="rId691" ref="N20"/>
    <hyperlink r:id="rId692" ref="P20"/>
    <hyperlink r:id="rId693" ref="R20"/>
    <hyperlink r:id="rId694" ref="T20"/>
    <hyperlink r:id="rId695" ref="V20"/>
    <hyperlink r:id="rId696" ref="X20"/>
    <hyperlink r:id="rId697" ref="Z20"/>
    <hyperlink r:id="rId698" ref="AB20"/>
    <hyperlink r:id="rId699" ref="AD20"/>
    <hyperlink r:id="rId700" ref="AF20"/>
    <hyperlink r:id="rId701" ref="AH20"/>
    <hyperlink r:id="rId702" ref="AJ20"/>
    <hyperlink r:id="rId703" ref="AL20"/>
    <hyperlink r:id="rId704" ref="AN20"/>
    <hyperlink r:id="rId705" ref="AP20"/>
    <hyperlink r:id="rId706" ref="AR20"/>
    <hyperlink r:id="rId707" ref="AT20"/>
    <hyperlink r:id="rId708" ref="AV20"/>
    <hyperlink r:id="rId709" ref="AX20"/>
    <hyperlink r:id="rId710" ref="AZ20"/>
    <hyperlink r:id="rId711" ref="BB20"/>
    <hyperlink r:id="rId712" ref="BD20"/>
    <hyperlink r:id="rId713" ref="BF20"/>
    <hyperlink r:id="rId714" ref="BH20"/>
    <hyperlink r:id="rId715" ref="BJ20"/>
    <hyperlink r:id="rId716" ref="BL20"/>
    <hyperlink r:id="rId717" ref="BN20"/>
    <hyperlink r:id="rId718" ref="BP20"/>
    <hyperlink r:id="rId719" ref="BR20"/>
    <hyperlink r:id="rId720" ref="BT20"/>
    <hyperlink r:id="rId721" ref="N21"/>
    <hyperlink r:id="rId722" ref="P21"/>
    <hyperlink r:id="rId723" ref="R21"/>
    <hyperlink r:id="rId724" ref="T21"/>
    <hyperlink r:id="rId725" ref="V21"/>
    <hyperlink r:id="rId726" ref="X21"/>
    <hyperlink r:id="rId727" ref="Z21"/>
    <hyperlink r:id="rId728" ref="AB21"/>
    <hyperlink r:id="rId729" ref="AD21"/>
    <hyperlink r:id="rId730" ref="AF21"/>
    <hyperlink r:id="rId731" ref="AH21"/>
    <hyperlink r:id="rId732" ref="AJ21"/>
    <hyperlink r:id="rId733" ref="AL21"/>
    <hyperlink r:id="rId734" ref="AN21"/>
    <hyperlink r:id="rId735" ref="AP21"/>
    <hyperlink r:id="rId736" ref="AR21"/>
    <hyperlink r:id="rId737" ref="AT21"/>
    <hyperlink r:id="rId738" ref="AV21"/>
    <hyperlink r:id="rId739" ref="AX21"/>
    <hyperlink r:id="rId740" ref="AZ21"/>
    <hyperlink r:id="rId741" ref="BB21"/>
    <hyperlink r:id="rId742" ref="BD21"/>
    <hyperlink r:id="rId743" ref="BF21"/>
    <hyperlink r:id="rId744" ref="BH21"/>
    <hyperlink r:id="rId745" ref="BJ21"/>
    <hyperlink r:id="rId746" ref="BL21"/>
    <hyperlink r:id="rId747" ref="BN21"/>
    <hyperlink r:id="rId748" ref="BP21"/>
    <hyperlink r:id="rId749" ref="BR21"/>
    <hyperlink r:id="rId750" ref="BT21"/>
    <hyperlink r:id="rId751" ref="N22"/>
    <hyperlink r:id="rId752" ref="P22"/>
    <hyperlink r:id="rId753" ref="R22"/>
    <hyperlink r:id="rId754" ref="T22"/>
    <hyperlink r:id="rId755" ref="V22"/>
    <hyperlink r:id="rId756" ref="X22"/>
    <hyperlink r:id="rId757" ref="Z22"/>
    <hyperlink r:id="rId758" ref="AB22"/>
    <hyperlink r:id="rId759" ref="AD22"/>
    <hyperlink r:id="rId760" ref="AF22"/>
    <hyperlink r:id="rId761" ref="AH22"/>
    <hyperlink r:id="rId762" ref="AJ22"/>
    <hyperlink r:id="rId763" ref="AL22"/>
    <hyperlink r:id="rId764" ref="AN22"/>
    <hyperlink r:id="rId765" ref="AP22"/>
    <hyperlink r:id="rId766" ref="AR22"/>
    <hyperlink r:id="rId767" ref="AT22"/>
    <hyperlink r:id="rId768" ref="AV22"/>
    <hyperlink r:id="rId769" ref="AX22"/>
    <hyperlink r:id="rId770" ref="AZ22"/>
    <hyperlink r:id="rId771" ref="BB22"/>
    <hyperlink r:id="rId772" ref="BD22"/>
    <hyperlink r:id="rId773" ref="BF22"/>
    <hyperlink r:id="rId774" ref="BH22"/>
    <hyperlink r:id="rId775" ref="BJ22"/>
    <hyperlink r:id="rId776" ref="BL22"/>
    <hyperlink r:id="rId777" ref="BN22"/>
    <hyperlink r:id="rId778" ref="BP22"/>
    <hyperlink r:id="rId779" ref="BR22"/>
    <hyperlink r:id="rId780" ref="BT22"/>
    <hyperlink r:id="rId781" ref="N23"/>
    <hyperlink r:id="rId782" ref="P23"/>
    <hyperlink r:id="rId783" ref="R23"/>
    <hyperlink r:id="rId784" ref="T23"/>
    <hyperlink r:id="rId785" ref="V23"/>
    <hyperlink r:id="rId786" ref="X23"/>
    <hyperlink r:id="rId787" ref="Z23"/>
    <hyperlink r:id="rId788" ref="AB23"/>
    <hyperlink r:id="rId789" ref="AD23"/>
    <hyperlink r:id="rId790" ref="AF23"/>
    <hyperlink r:id="rId791" ref="AH23"/>
    <hyperlink r:id="rId792" ref="AJ23"/>
    <hyperlink r:id="rId793" ref="AL23"/>
    <hyperlink r:id="rId794" ref="AN23"/>
    <hyperlink r:id="rId795" ref="AP23"/>
    <hyperlink r:id="rId796" ref="AR23"/>
    <hyperlink r:id="rId797" ref="AT23"/>
    <hyperlink r:id="rId798" ref="AV23"/>
    <hyperlink r:id="rId799" ref="AX23"/>
    <hyperlink r:id="rId800" ref="AZ23"/>
    <hyperlink r:id="rId801" ref="BB23"/>
    <hyperlink r:id="rId802" ref="BD23"/>
    <hyperlink r:id="rId803" ref="BF23"/>
    <hyperlink r:id="rId804" ref="BH23"/>
    <hyperlink r:id="rId805" ref="BJ23"/>
    <hyperlink r:id="rId806" ref="BL23"/>
    <hyperlink r:id="rId807" ref="BN23"/>
    <hyperlink r:id="rId808" ref="BP23"/>
    <hyperlink r:id="rId809" ref="BR23"/>
    <hyperlink r:id="rId810" ref="BT23"/>
    <hyperlink r:id="rId811" ref="N24"/>
    <hyperlink r:id="rId812" ref="P24"/>
    <hyperlink r:id="rId813" ref="R24"/>
    <hyperlink r:id="rId814" ref="T24"/>
    <hyperlink r:id="rId815" ref="V24"/>
    <hyperlink r:id="rId816" ref="X24"/>
    <hyperlink r:id="rId817" ref="Z24"/>
    <hyperlink r:id="rId818" ref="AB24"/>
    <hyperlink r:id="rId819" ref="AD24"/>
    <hyperlink r:id="rId820" ref="AF24"/>
    <hyperlink r:id="rId821" ref="AH24"/>
    <hyperlink r:id="rId822" ref="AJ24"/>
    <hyperlink r:id="rId823" ref="AL24"/>
    <hyperlink r:id="rId824" ref="AN24"/>
    <hyperlink r:id="rId825" ref="AP24"/>
    <hyperlink r:id="rId826" ref="AR24"/>
    <hyperlink r:id="rId827" ref="AT24"/>
    <hyperlink r:id="rId828" ref="AV24"/>
    <hyperlink r:id="rId829" ref="AX24"/>
    <hyperlink r:id="rId830" ref="AZ24"/>
    <hyperlink r:id="rId831" ref="BB24"/>
    <hyperlink r:id="rId832" ref="BD24"/>
    <hyperlink r:id="rId833" ref="BF24"/>
    <hyperlink r:id="rId834" ref="BH24"/>
    <hyperlink r:id="rId835" ref="BJ24"/>
    <hyperlink r:id="rId836" ref="BL24"/>
    <hyperlink r:id="rId837" ref="BN24"/>
    <hyperlink r:id="rId838" ref="BP24"/>
    <hyperlink r:id="rId839" ref="BR24"/>
    <hyperlink r:id="rId840" ref="BT24"/>
    <hyperlink r:id="rId841" ref="N25"/>
    <hyperlink r:id="rId842" ref="P25"/>
    <hyperlink r:id="rId843" ref="R25"/>
    <hyperlink r:id="rId844" ref="T25"/>
    <hyperlink r:id="rId845" ref="V25"/>
    <hyperlink r:id="rId846" ref="X25"/>
    <hyperlink r:id="rId847" ref="Z25"/>
    <hyperlink r:id="rId848" ref="AB25"/>
    <hyperlink r:id="rId849" ref="AD25"/>
    <hyperlink r:id="rId850" ref="AF25"/>
    <hyperlink r:id="rId851" ref="AH25"/>
    <hyperlink r:id="rId852" ref="AJ25"/>
    <hyperlink r:id="rId853" ref="AL25"/>
    <hyperlink r:id="rId854" ref="AN25"/>
    <hyperlink r:id="rId855" ref="AP25"/>
    <hyperlink r:id="rId856" ref="AR25"/>
    <hyperlink r:id="rId857" ref="AT25"/>
    <hyperlink r:id="rId858" ref="AV25"/>
    <hyperlink r:id="rId859" ref="AX25"/>
    <hyperlink r:id="rId860" ref="AZ25"/>
    <hyperlink r:id="rId861" ref="BB25"/>
    <hyperlink r:id="rId862" ref="BD25"/>
    <hyperlink r:id="rId863" ref="BF25"/>
    <hyperlink r:id="rId864" ref="BH25"/>
    <hyperlink r:id="rId865" ref="BJ25"/>
    <hyperlink r:id="rId866" ref="BL25"/>
    <hyperlink r:id="rId867" ref="BN25"/>
    <hyperlink r:id="rId868" ref="BP25"/>
    <hyperlink r:id="rId869" ref="BR25"/>
    <hyperlink r:id="rId870" ref="BT25"/>
    <hyperlink r:id="rId871" ref="N26"/>
    <hyperlink r:id="rId872" ref="P26"/>
    <hyperlink r:id="rId873" ref="R26"/>
    <hyperlink r:id="rId874" ref="T26"/>
    <hyperlink r:id="rId875" ref="V26"/>
    <hyperlink r:id="rId876" ref="X26"/>
    <hyperlink r:id="rId877" ref="Z26"/>
    <hyperlink r:id="rId878" ref="AB26"/>
    <hyperlink r:id="rId879" ref="AD26"/>
    <hyperlink r:id="rId880" ref="AF26"/>
    <hyperlink r:id="rId881" ref="AH26"/>
    <hyperlink r:id="rId882" ref="AJ26"/>
    <hyperlink r:id="rId883" ref="AL26"/>
    <hyperlink r:id="rId884" ref="AN26"/>
    <hyperlink r:id="rId885" ref="AP26"/>
    <hyperlink r:id="rId886" ref="AR26"/>
    <hyperlink r:id="rId887" ref="AT26"/>
    <hyperlink r:id="rId888" ref="AV26"/>
    <hyperlink r:id="rId889" ref="AX26"/>
    <hyperlink r:id="rId890" ref="AZ26"/>
    <hyperlink r:id="rId891" ref="BB26"/>
    <hyperlink r:id="rId892" ref="BD26"/>
    <hyperlink r:id="rId893" ref="BF26"/>
    <hyperlink r:id="rId894" ref="BH26"/>
    <hyperlink r:id="rId895" ref="BJ26"/>
    <hyperlink r:id="rId896" ref="BL26"/>
    <hyperlink r:id="rId897" ref="BN26"/>
    <hyperlink r:id="rId898" ref="BP26"/>
    <hyperlink r:id="rId899" ref="BR26"/>
    <hyperlink r:id="rId900" ref="BT26"/>
    <hyperlink r:id="rId901" ref="N27"/>
    <hyperlink r:id="rId902" ref="P27"/>
    <hyperlink r:id="rId903" ref="R27"/>
    <hyperlink r:id="rId904" ref="T27"/>
    <hyperlink r:id="rId905" ref="V27"/>
    <hyperlink r:id="rId906" ref="X27"/>
    <hyperlink r:id="rId907" ref="Z27"/>
    <hyperlink r:id="rId908" ref="AB27"/>
    <hyperlink r:id="rId909" ref="AD27"/>
    <hyperlink r:id="rId910" ref="AF27"/>
    <hyperlink r:id="rId911" ref="AH27"/>
    <hyperlink r:id="rId912" ref="AJ27"/>
    <hyperlink r:id="rId913" ref="AL27"/>
    <hyperlink r:id="rId914" ref="AN27"/>
    <hyperlink r:id="rId915" ref="AP27"/>
    <hyperlink r:id="rId916" ref="AR27"/>
    <hyperlink r:id="rId917" ref="AT27"/>
    <hyperlink r:id="rId918" ref="AV27"/>
    <hyperlink r:id="rId919" ref="AX27"/>
    <hyperlink r:id="rId920" ref="AZ27"/>
    <hyperlink r:id="rId921" ref="BB27"/>
    <hyperlink r:id="rId922" ref="BD27"/>
    <hyperlink r:id="rId923" ref="BF27"/>
    <hyperlink r:id="rId924" ref="BH27"/>
    <hyperlink r:id="rId925" ref="BJ27"/>
    <hyperlink r:id="rId926" ref="BL27"/>
    <hyperlink r:id="rId927" ref="BN27"/>
    <hyperlink r:id="rId928" ref="BP27"/>
    <hyperlink r:id="rId929" ref="BR27"/>
    <hyperlink r:id="rId930" ref="BT27"/>
    <hyperlink r:id="rId931" ref="N28"/>
    <hyperlink r:id="rId932" ref="P28"/>
    <hyperlink r:id="rId933" ref="R28"/>
    <hyperlink r:id="rId934" ref="T28"/>
    <hyperlink r:id="rId935" ref="V28"/>
    <hyperlink r:id="rId936" ref="X28"/>
    <hyperlink r:id="rId937" ref="Z28"/>
    <hyperlink r:id="rId938" ref="AB28"/>
    <hyperlink r:id="rId939" ref="AD28"/>
    <hyperlink r:id="rId940" ref="AF28"/>
    <hyperlink r:id="rId941" ref="AH28"/>
    <hyperlink r:id="rId942" ref="AJ28"/>
    <hyperlink r:id="rId943" ref="AL28"/>
    <hyperlink r:id="rId944" ref="AN28"/>
    <hyperlink r:id="rId945" ref="AP28"/>
    <hyperlink r:id="rId946" ref="AR28"/>
    <hyperlink r:id="rId947" ref="AT28"/>
    <hyperlink r:id="rId948" ref="AV28"/>
    <hyperlink r:id="rId949" ref="AX28"/>
    <hyperlink r:id="rId950" ref="AZ28"/>
    <hyperlink r:id="rId951" ref="BB28"/>
    <hyperlink r:id="rId952" ref="BD28"/>
    <hyperlink r:id="rId953" ref="BF28"/>
    <hyperlink r:id="rId954" ref="BH28"/>
    <hyperlink r:id="rId955" ref="BJ28"/>
    <hyperlink r:id="rId956" ref="BL28"/>
    <hyperlink r:id="rId957" ref="BN28"/>
    <hyperlink r:id="rId958" ref="BP28"/>
    <hyperlink r:id="rId959" ref="BR28"/>
    <hyperlink r:id="rId960" ref="BT28"/>
    <hyperlink r:id="rId961" ref="N29"/>
    <hyperlink r:id="rId962" ref="P29"/>
    <hyperlink r:id="rId963" ref="R29"/>
    <hyperlink r:id="rId964" ref="T29"/>
    <hyperlink r:id="rId965" ref="V29"/>
    <hyperlink r:id="rId966" ref="X29"/>
    <hyperlink r:id="rId967" ref="Z29"/>
    <hyperlink r:id="rId968" ref="AB29"/>
    <hyperlink r:id="rId969" ref="AD29"/>
    <hyperlink r:id="rId970" ref="AF29"/>
    <hyperlink r:id="rId971" ref="AH29"/>
    <hyperlink r:id="rId972" ref="AJ29"/>
    <hyperlink r:id="rId973" ref="AL29"/>
    <hyperlink r:id="rId974" ref="AN29"/>
    <hyperlink r:id="rId975" ref="AP29"/>
    <hyperlink r:id="rId976" ref="AR29"/>
    <hyperlink r:id="rId977" ref="AT29"/>
    <hyperlink r:id="rId978" ref="AV29"/>
    <hyperlink r:id="rId979" ref="AX29"/>
    <hyperlink r:id="rId980" ref="AZ29"/>
    <hyperlink r:id="rId981" ref="BB29"/>
    <hyperlink r:id="rId982" ref="BD29"/>
    <hyperlink r:id="rId983" ref="BF29"/>
    <hyperlink r:id="rId984" ref="BH29"/>
    <hyperlink r:id="rId985" ref="BJ29"/>
    <hyperlink r:id="rId986" ref="BL29"/>
    <hyperlink r:id="rId987" ref="BN29"/>
    <hyperlink r:id="rId988" ref="BP29"/>
    <hyperlink r:id="rId989" ref="BR29"/>
    <hyperlink r:id="rId990" ref="BT29"/>
    <hyperlink r:id="rId991" ref="BV29"/>
    <hyperlink r:id="rId992" ref="BX29"/>
    <hyperlink r:id="rId993" ref="BZ29"/>
    <hyperlink r:id="rId994" ref="CB29"/>
    <hyperlink r:id="rId995" ref="CD29"/>
    <hyperlink r:id="rId996" ref="CF29"/>
    <hyperlink r:id="rId997" ref="CH29"/>
    <hyperlink r:id="rId998" ref="CJ29"/>
    <hyperlink r:id="rId999" ref="CL29"/>
    <hyperlink r:id="rId1000" ref="CN29"/>
    <hyperlink r:id="rId1001" ref="CP29"/>
    <hyperlink r:id="rId1002" ref="CR29"/>
    <hyperlink r:id="rId1003" ref="CT29"/>
    <hyperlink r:id="rId1004" ref="CV29"/>
    <hyperlink r:id="rId1005" ref="CX29"/>
    <hyperlink r:id="rId1006" ref="CZ29"/>
    <hyperlink r:id="rId1007" ref="DB29"/>
    <hyperlink r:id="rId1008" ref="DD29"/>
    <hyperlink r:id="rId1009" ref="DF29"/>
    <hyperlink r:id="rId1010" ref="DH29"/>
    <hyperlink r:id="rId1011" ref="DJ29"/>
    <hyperlink r:id="rId1012" ref="DL29"/>
    <hyperlink r:id="rId1013" ref="DN29"/>
    <hyperlink r:id="rId1014" ref="DP29"/>
    <hyperlink r:id="rId1015" ref="DR29"/>
    <hyperlink r:id="rId1016" ref="DT29"/>
    <hyperlink r:id="rId1017" ref="DV29"/>
    <hyperlink r:id="rId1018" ref="DX29"/>
    <hyperlink r:id="rId1019" ref="DZ29"/>
    <hyperlink r:id="rId1020" ref="EB29"/>
    <hyperlink r:id="rId1021" ref="ED29"/>
    <hyperlink r:id="rId1022" ref="EF29"/>
    <hyperlink r:id="rId1023" ref="EH29"/>
    <hyperlink r:id="rId1024" ref="EJ29"/>
    <hyperlink r:id="rId1025" ref="EL29"/>
    <hyperlink r:id="rId1026" ref="EN29"/>
    <hyperlink r:id="rId1027" ref="EP29"/>
    <hyperlink r:id="rId1028" ref="ER29"/>
    <hyperlink r:id="rId1029" ref="ET29"/>
    <hyperlink r:id="rId1030" ref="EV29"/>
    <hyperlink r:id="rId1031" ref="EX29"/>
    <hyperlink r:id="rId1032" ref="EZ29"/>
    <hyperlink r:id="rId1033" ref="FB29"/>
    <hyperlink r:id="rId1034" ref="FD29"/>
    <hyperlink r:id="rId1035" ref="FF29"/>
    <hyperlink r:id="rId1036" ref="FH29"/>
    <hyperlink r:id="rId1037" ref="FJ29"/>
    <hyperlink r:id="rId1038" ref="FL29"/>
    <hyperlink r:id="rId1039" ref="FN29"/>
    <hyperlink r:id="rId1040" ref="FP29"/>
    <hyperlink r:id="rId1041" ref="FR29"/>
    <hyperlink r:id="rId1042" ref="FT29"/>
    <hyperlink r:id="rId1043" ref="FV29"/>
    <hyperlink r:id="rId1044" ref="FX29"/>
    <hyperlink r:id="rId1045" ref="FZ29"/>
    <hyperlink r:id="rId1046" ref="GB29"/>
    <hyperlink r:id="rId1047" ref="GD29"/>
    <hyperlink r:id="rId1048" ref="GF29"/>
    <hyperlink r:id="rId1049" ref="GH29"/>
    <hyperlink r:id="rId1050" ref="GJ29"/>
    <hyperlink r:id="rId1051" ref="GL29"/>
    <hyperlink r:id="rId1052" ref="GN29"/>
    <hyperlink r:id="rId1053" ref="GP29"/>
    <hyperlink r:id="rId1054" ref="GR29"/>
    <hyperlink r:id="rId1055" ref="GT29"/>
    <hyperlink r:id="rId1056" ref="GV29"/>
    <hyperlink r:id="rId1057" ref="GX29"/>
    <hyperlink r:id="rId1058" ref="GZ29"/>
    <hyperlink r:id="rId1059" ref="HB29"/>
    <hyperlink r:id="rId1060" ref="HD29"/>
    <hyperlink r:id="rId1061" ref="HF29"/>
    <hyperlink r:id="rId1062" ref="HH29"/>
    <hyperlink r:id="rId1063" ref="HJ29"/>
    <hyperlink r:id="rId1064" ref="HL29"/>
    <hyperlink r:id="rId1065" ref="HN29"/>
    <hyperlink r:id="rId1066" ref="HP29"/>
    <hyperlink r:id="rId1067" ref="HR29"/>
    <hyperlink r:id="rId1068" ref="HT29"/>
    <hyperlink r:id="rId1069" ref="HV29"/>
    <hyperlink r:id="rId1070" ref="HX29"/>
    <hyperlink r:id="rId1071" ref="HZ29"/>
    <hyperlink r:id="rId1072" ref="IB29"/>
    <hyperlink r:id="rId1073" ref="ID29"/>
    <hyperlink r:id="rId1074" ref="IF29"/>
    <hyperlink r:id="rId1075" ref="IH29"/>
    <hyperlink r:id="rId1076" ref="IJ29"/>
    <hyperlink r:id="rId1077" ref="IL29"/>
    <hyperlink r:id="rId1078" ref="IN29"/>
    <hyperlink r:id="rId1079" ref="IP29"/>
    <hyperlink r:id="rId1080" ref="IR29"/>
    <hyperlink r:id="rId1081" ref="IT29"/>
    <hyperlink r:id="rId1082" ref="IV29"/>
    <hyperlink r:id="rId1083" ref="IX29"/>
    <hyperlink r:id="rId1084" ref="IZ29"/>
    <hyperlink r:id="rId1085" ref="JB29"/>
    <hyperlink r:id="rId1086" ref="JD29"/>
    <hyperlink r:id="rId1087" ref="JF29"/>
    <hyperlink r:id="rId1088" ref="JH29"/>
    <hyperlink r:id="rId1089" ref="JJ29"/>
    <hyperlink r:id="rId1090" ref="JL29"/>
    <hyperlink r:id="rId1091" ref="JN29"/>
    <hyperlink r:id="rId1092" ref="JP29"/>
    <hyperlink r:id="rId1093" ref="JR29"/>
    <hyperlink r:id="rId1094" ref="JT29"/>
    <hyperlink r:id="rId1095" ref="JV29"/>
    <hyperlink r:id="rId1096" ref="JX29"/>
    <hyperlink r:id="rId1097" ref="JZ29"/>
    <hyperlink r:id="rId1098" ref="KB29"/>
    <hyperlink r:id="rId1099" ref="KD29"/>
    <hyperlink r:id="rId1100" ref="KF29"/>
    <hyperlink r:id="rId1101" ref="KH29"/>
    <hyperlink r:id="rId1102" ref="KJ29"/>
    <hyperlink r:id="rId1103" ref="KL29"/>
    <hyperlink r:id="rId1104" ref="KN29"/>
    <hyperlink r:id="rId1105" ref="KP29"/>
    <hyperlink r:id="rId1106" ref="KR29"/>
    <hyperlink r:id="rId1107" ref="KT29"/>
    <hyperlink r:id="rId1108" ref="KV29"/>
    <hyperlink r:id="rId1109" ref="KX29"/>
    <hyperlink r:id="rId1110" ref="KZ29"/>
    <hyperlink r:id="rId1111" ref="LB29"/>
    <hyperlink r:id="rId1112" ref="LD29"/>
    <hyperlink r:id="rId1113" ref="LF29"/>
    <hyperlink r:id="rId1114" ref="LH29"/>
    <hyperlink r:id="rId1115" ref="LJ29"/>
    <hyperlink r:id="rId1116" ref="LL29"/>
    <hyperlink r:id="rId1117" ref="LN29"/>
    <hyperlink r:id="rId1118" ref="LP29"/>
    <hyperlink r:id="rId1119" ref="LR29"/>
    <hyperlink r:id="rId1120" ref="LT29"/>
    <hyperlink r:id="rId1121" ref="LV29"/>
    <hyperlink r:id="rId1122" ref="LX29"/>
    <hyperlink r:id="rId1123" ref="LZ29"/>
    <hyperlink r:id="rId1124" ref="MB29"/>
    <hyperlink r:id="rId1125" ref="MD29"/>
    <hyperlink r:id="rId1126" ref="MF29"/>
    <hyperlink r:id="rId1127" ref="MH29"/>
    <hyperlink r:id="rId1128" ref="MJ29"/>
    <hyperlink r:id="rId1129" ref="ML29"/>
    <hyperlink r:id="rId1130" ref="MN29"/>
    <hyperlink r:id="rId1131" ref="MP29"/>
    <hyperlink r:id="rId1132" ref="MR29"/>
    <hyperlink r:id="rId1133" ref="MT29"/>
    <hyperlink r:id="rId1134" ref="MV29"/>
    <hyperlink r:id="rId1135" ref="MX29"/>
    <hyperlink r:id="rId1136" ref="MZ29"/>
    <hyperlink r:id="rId1137" ref="NB29"/>
    <hyperlink r:id="rId1138" ref="ND29"/>
    <hyperlink r:id="rId1139" ref="NF29"/>
    <hyperlink r:id="rId1140" ref="NH29"/>
    <hyperlink r:id="rId1141" ref="NJ29"/>
    <hyperlink r:id="rId1142" ref="NL29"/>
    <hyperlink r:id="rId1143" ref="NN29"/>
    <hyperlink r:id="rId1144" ref="NP29"/>
    <hyperlink r:id="rId1145" ref="NR29"/>
    <hyperlink r:id="rId1146" ref="NT29"/>
    <hyperlink r:id="rId1147" ref="NV29"/>
    <hyperlink r:id="rId1148" ref="NX29"/>
    <hyperlink r:id="rId1149" ref="NZ29"/>
    <hyperlink r:id="rId1150" ref="OB29"/>
    <hyperlink r:id="rId1151" ref="OD29"/>
    <hyperlink r:id="rId1152" ref="OF29"/>
    <hyperlink r:id="rId1153" ref="OH29"/>
    <hyperlink r:id="rId1154" ref="OJ29"/>
    <hyperlink r:id="rId1155" ref="OL29"/>
    <hyperlink r:id="rId1156" ref="ON29"/>
    <hyperlink r:id="rId1157" ref="OP29"/>
    <hyperlink r:id="rId1158" ref="OR29"/>
    <hyperlink r:id="rId1159" ref="OT29"/>
    <hyperlink r:id="rId1160" ref="OV29"/>
    <hyperlink r:id="rId1161" ref="N30"/>
    <hyperlink r:id="rId1162" ref="P30"/>
    <hyperlink r:id="rId1163" ref="R30"/>
    <hyperlink r:id="rId1164" ref="T30"/>
    <hyperlink r:id="rId1165" ref="V30"/>
    <hyperlink r:id="rId1166" ref="X30"/>
    <hyperlink r:id="rId1167" ref="Z30"/>
    <hyperlink r:id="rId1168" ref="AB30"/>
    <hyperlink r:id="rId1169" ref="AD30"/>
    <hyperlink r:id="rId1170" ref="AF30"/>
    <hyperlink r:id="rId1171" ref="AH30"/>
    <hyperlink r:id="rId1172" ref="AJ30"/>
    <hyperlink r:id="rId1173" ref="AL30"/>
    <hyperlink r:id="rId1174" ref="AN30"/>
    <hyperlink r:id="rId1175" ref="AP30"/>
    <hyperlink r:id="rId1176" ref="AR30"/>
    <hyperlink r:id="rId1177" ref="AT30"/>
    <hyperlink r:id="rId1178" ref="AV30"/>
    <hyperlink r:id="rId1179" ref="AX30"/>
    <hyperlink r:id="rId1180" ref="AZ30"/>
    <hyperlink r:id="rId1181" ref="BB30"/>
    <hyperlink r:id="rId1182" ref="BD30"/>
    <hyperlink r:id="rId1183" ref="BF30"/>
    <hyperlink r:id="rId1184" ref="BH30"/>
    <hyperlink r:id="rId1185" ref="BJ30"/>
    <hyperlink r:id="rId1186" ref="BL30"/>
    <hyperlink r:id="rId1187" ref="BN30"/>
    <hyperlink r:id="rId1188" ref="BP30"/>
    <hyperlink r:id="rId1189" ref="BR30"/>
    <hyperlink r:id="rId1190" ref="BT30"/>
    <hyperlink r:id="rId1191" ref="BV30"/>
    <hyperlink r:id="rId1192" ref="BX30"/>
    <hyperlink r:id="rId1193" ref="BZ30"/>
    <hyperlink r:id="rId1194" ref="CB30"/>
    <hyperlink r:id="rId1195" ref="CD30"/>
    <hyperlink r:id="rId1196" ref="CF30"/>
    <hyperlink r:id="rId1197" ref="CH30"/>
    <hyperlink r:id="rId1198" ref="CJ30"/>
    <hyperlink r:id="rId1199" ref="CL30"/>
    <hyperlink r:id="rId1200" ref="CN30"/>
    <hyperlink r:id="rId1201" ref="CP30"/>
    <hyperlink r:id="rId1202" ref="CR30"/>
    <hyperlink r:id="rId1203" ref="CT30"/>
    <hyperlink r:id="rId1204" ref="CV30"/>
    <hyperlink r:id="rId1205" ref="CX30"/>
    <hyperlink r:id="rId1206" ref="CZ30"/>
    <hyperlink r:id="rId1207" ref="DB30"/>
    <hyperlink r:id="rId1208" ref="DD30"/>
    <hyperlink r:id="rId1209" ref="DF30"/>
    <hyperlink r:id="rId1210" ref="DH30"/>
    <hyperlink r:id="rId1211" ref="N31"/>
    <hyperlink r:id="rId1212" ref="P31"/>
    <hyperlink r:id="rId1213" ref="R31"/>
    <hyperlink r:id="rId1214" ref="T31"/>
    <hyperlink r:id="rId1215" ref="V31"/>
    <hyperlink r:id="rId1216" ref="X31"/>
    <hyperlink r:id="rId1217" ref="Z31"/>
    <hyperlink r:id="rId1218" ref="AB31"/>
    <hyperlink r:id="rId1219" ref="AD31"/>
    <hyperlink r:id="rId1220" ref="AF31"/>
    <hyperlink r:id="rId1221" ref="AH31"/>
    <hyperlink r:id="rId1222" ref="AJ31"/>
    <hyperlink r:id="rId1223" ref="AL31"/>
    <hyperlink r:id="rId1224" ref="AN31"/>
    <hyperlink r:id="rId1225" ref="AP31"/>
    <hyperlink r:id="rId1226" ref="AR31"/>
    <hyperlink r:id="rId1227" ref="AT31"/>
    <hyperlink r:id="rId1228" ref="AV31"/>
    <hyperlink r:id="rId1229" ref="AX31"/>
    <hyperlink r:id="rId1230" ref="AZ31"/>
    <hyperlink r:id="rId1231" ref="BB31"/>
    <hyperlink r:id="rId1232" ref="BD31"/>
    <hyperlink r:id="rId1233" ref="BF31"/>
    <hyperlink r:id="rId1234" ref="BH31"/>
    <hyperlink r:id="rId1235" ref="BJ31"/>
    <hyperlink r:id="rId1236" ref="BL31"/>
    <hyperlink r:id="rId1237" ref="BN31"/>
    <hyperlink r:id="rId1238" ref="BP31"/>
    <hyperlink r:id="rId1239" ref="BR31"/>
    <hyperlink r:id="rId1240" ref="BT31"/>
    <hyperlink r:id="rId1241" ref="N32"/>
    <hyperlink r:id="rId1242" ref="P32"/>
    <hyperlink r:id="rId1243" ref="R32"/>
    <hyperlink r:id="rId1244" ref="T32"/>
    <hyperlink r:id="rId1245" ref="V32"/>
    <hyperlink r:id="rId1246" ref="X32"/>
    <hyperlink r:id="rId1247" ref="Z32"/>
    <hyperlink r:id="rId1248" ref="AB32"/>
    <hyperlink r:id="rId1249" ref="AD32"/>
    <hyperlink r:id="rId1250" ref="AF32"/>
    <hyperlink r:id="rId1251" ref="AH32"/>
    <hyperlink r:id="rId1252" ref="AJ32"/>
    <hyperlink r:id="rId1253" ref="AL32"/>
    <hyperlink r:id="rId1254" ref="AN32"/>
    <hyperlink r:id="rId1255" ref="AP32"/>
    <hyperlink r:id="rId1256" ref="AR32"/>
    <hyperlink r:id="rId1257" ref="AT32"/>
    <hyperlink r:id="rId1258" ref="AV32"/>
    <hyperlink r:id="rId1259" ref="AX32"/>
    <hyperlink r:id="rId1260" ref="AZ32"/>
    <hyperlink r:id="rId1261" ref="BB32"/>
    <hyperlink r:id="rId1262" ref="BD32"/>
    <hyperlink r:id="rId1263" ref="BF32"/>
    <hyperlink r:id="rId1264" ref="BH32"/>
    <hyperlink r:id="rId1265" ref="BJ32"/>
    <hyperlink r:id="rId1266" ref="BL32"/>
    <hyperlink r:id="rId1267" ref="BN32"/>
    <hyperlink r:id="rId1268" ref="BP32"/>
    <hyperlink r:id="rId1269" ref="BR32"/>
    <hyperlink r:id="rId1270" ref="BT32"/>
    <hyperlink r:id="rId1271" ref="N33"/>
    <hyperlink r:id="rId1272" ref="P33"/>
    <hyperlink r:id="rId1273" ref="R33"/>
    <hyperlink r:id="rId1274" ref="T33"/>
    <hyperlink r:id="rId1275" ref="V33"/>
    <hyperlink r:id="rId1276" ref="X33"/>
    <hyperlink r:id="rId1277" ref="Z33"/>
    <hyperlink r:id="rId1278" ref="AB33"/>
    <hyperlink r:id="rId1279" ref="AD33"/>
    <hyperlink r:id="rId1280" ref="AF33"/>
    <hyperlink r:id="rId1281" ref="AH33"/>
    <hyperlink r:id="rId1282" ref="AJ33"/>
    <hyperlink r:id="rId1283" ref="AL33"/>
    <hyperlink r:id="rId1284" ref="AN33"/>
    <hyperlink r:id="rId1285" ref="AP33"/>
    <hyperlink r:id="rId1286" ref="AR33"/>
    <hyperlink r:id="rId1287" ref="AT33"/>
    <hyperlink r:id="rId1288" ref="AV33"/>
    <hyperlink r:id="rId1289" ref="AX33"/>
    <hyperlink r:id="rId1290" ref="AZ33"/>
    <hyperlink r:id="rId1291" ref="BB33"/>
    <hyperlink r:id="rId1292" ref="BD33"/>
    <hyperlink r:id="rId1293" ref="BF33"/>
    <hyperlink r:id="rId1294" ref="BH33"/>
    <hyperlink r:id="rId1295" ref="BJ33"/>
    <hyperlink r:id="rId1296" ref="BL33"/>
    <hyperlink r:id="rId1297" ref="BN33"/>
    <hyperlink r:id="rId1298" ref="BP33"/>
    <hyperlink r:id="rId1299" ref="BR33"/>
    <hyperlink r:id="rId1300" ref="BT33"/>
    <hyperlink r:id="rId1301" ref="N34"/>
    <hyperlink r:id="rId1302" ref="P34"/>
    <hyperlink r:id="rId1303" ref="R34"/>
    <hyperlink r:id="rId1304" ref="T34"/>
    <hyperlink r:id="rId1305" ref="V34"/>
    <hyperlink r:id="rId1306" ref="X34"/>
    <hyperlink r:id="rId1307" ref="Z34"/>
    <hyperlink r:id="rId1308" ref="AB34"/>
    <hyperlink r:id="rId1309" ref="AD34"/>
    <hyperlink r:id="rId1310" ref="AF34"/>
    <hyperlink r:id="rId1311" ref="AH34"/>
    <hyperlink r:id="rId1312" ref="AJ34"/>
    <hyperlink r:id="rId1313" ref="AL34"/>
    <hyperlink r:id="rId1314" ref="AN34"/>
    <hyperlink r:id="rId1315" ref="AP34"/>
    <hyperlink r:id="rId1316" ref="AR34"/>
    <hyperlink r:id="rId1317" ref="AT34"/>
    <hyperlink r:id="rId1318" ref="AV34"/>
    <hyperlink r:id="rId1319" ref="AX34"/>
    <hyperlink r:id="rId1320" ref="AZ34"/>
    <hyperlink r:id="rId1321" ref="BB34"/>
    <hyperlink r:id="rId1322" ref="BD34"/>
    <hyperlink r:id="rId1323" ref="BF34"/>
    <hyperlink r:id="rId1324" ref="BH34"/>
    <hyperlink r:id="rId1325" ref="BJ34"/>
    <hyperlink r:id="rId1326" ref="BL34"/>
    <hyperlink r:id="rId1327" ref="BN34"/>
    <hyperlink r:id="rId1328" ref="BP34"/>
    <hyperlink r:id="rId1329" ref="BR34"/>
    <hyperlink r:id="rId1330" ref="BT34"/>
    <hyperlink r:id="rId1331" ref="BV34"/>
    <hyperlink r:id="rId1332" ref="BX34"/>
    <hyperlink r:id="rId1333" ref="BZ34"/>
    <hyperlink r:id="rId1334" ref="CB34"/>
    <hyperlink r:id="rId1335" ref="CD34"/>
    <hyperlink r:id="rId1336" ref="CF34"/>
    <hyperlink r:id="rId1337" ref="CH34"/>
    <hyperlink r:id="rId1338" ref="CJ34"/>
    <hyperlink r:id="rId1339" ref="CL34"/>
    <hyperlink r:id="rId1340" ref="CN34"/>
    <hyperlink r:id="rId1341" ref="CP34"/>
    <hyperlink r:id="rId1342" ref="CR34"/>
    <hyperlink r:id="rId1343" ref="CT34"/>
    <hyperlink r:id="rId1344" ref="CV34"/>
    <hyperlink r:id="rId1345" ref="CX34"/>
    <hyperlink r:id="rId1346" ref="CZ34"/>
    <hyperlink r:id="rId1347" ref="DB34"/>
    <hyperlink r:id="rId1348" ref="DD34"/>
    <hyperlink r:id="rId1349" ref="DF34"/>
    <hyperlink r:id="rId1350" ref="DH34"/>
    <hyperlink r:id="rId1351" ref="N35"/>
    <hyperlink r:id="rId1352" ref="P35"/>
    <hyperlink r:id="rId1353" ref="R35"/>
    <hyperlink r:id="rId1354" ref="T35"/>
    <hyperlink r:id="rId1355" ref="V35"/>
    <hyperlink r:id="rId1356" ref="X35"/>
    <hyperlink r:id="rId1357" ref="Z35"/>
    <hyperlink r:id="rId1358" ref="AB35"/>
    <hyperlink r:id="rId1359" ref="AD35"/>
    <hyperlink r:id="rId1360" ref="AF35"/>
    <hyperlink r:id="rId1361" ref="AH35"/>
    <hyperlink r:id="rId1362" ref="AJ35"/>
    <hyperlink r:id="rId1363" ref="AL35"/>
    <hyperlink r:id="rId1364" ref="AN35"/>
    <hyperlink r:id="rId1365" ref="AP35"/>
    <hyperlink r:id="rId1366" ref="AR35"/>
    <hyperlink r:id="rId1367" ref="AT35"/>
    <hyperlink r:id="rId1368" ref="AV35"/>
    <hyperlink r:id="rId1369" ref="AX35"/>
    <hyperlink r:id="rId1370" ref="AZ35"/>
    <hyperlink r:id="rId1371" ref="BB35"/>
    <hyperlink r:id="rId1372" ref="BD35"/>
    <hyperlink r:id="rId1373" ref="BF35"/>
    <hyperlink r:id="rId1374" ref="BH35"/>
    <hyperlink r:id="rId1375" ref="BJ35"/>
    <hyperlink r:id="rId1376" ref="BL35"/>
    <hyperlink r:id="rId1377" ref="BN35"/>
    <hyperlink r:id="rId1378" ref="BP35"/>
    <hyperlink r:id="rId1379" ref="BR35"/>
    <hyperlink r:id="rId1380" ref="BT35"/>
    <hyperlink r:id="rId1381" ref="N36"/>
    <hyperlink r:id="rId1382" ref="P36"/>
    <hyperlink r:id="rId1383" ref="R36"/>
    <hyperlink r:id="rId1384" ref="T36"/>
    <hyperlink r:id="rId1385" ref="V36"/>
    <hyperlink r:id="rId1386" ref="X36"/>
    <hyperlink r:id="rId1387" ref="Z36"/>
    <hyperlink r:id="rId1388" ref="AB36"/>
    <hyperlink r:id="rId1389" ref="AD36"/>
    <hyperlink r:id="rId1390" ref="AF36"/>
    <hyperlink r:id="rId1391" ref="AH36"/>
    <hyperlink r:id="rId1392" ref="AJ36"/>
    <hyperlink r:id="rId1393" ref="AL36"/>
    <hyperlink r:id="rId1394" ref="AN36"/>
    <hyperlink r:id="rId1395" ref="AP36"/>
    <hyperlink r:id="rId1396" ref="AR36"/>
    <hyperlink r:id="rId1397" ref="AT36"/>
    <hyperlink r:id="rId1398" ref="AV36"/>
    <hyperlink r:id="rId1399" ref="AX36"/>
    <hyperlink r:id="rId1400" ref="AZ36"/>
    <hyperlink r:id="rId1401" ref="BB36"/>
    <hyperlink r:id="rId1402" ref="BD36"/>
    <hyperlink r:id="rId1403" ref="BF36"/>
    <hyperlink r:id="rId1404" ref="BH36"/>
    <hyperlink r:id="rId1405" ref="BJ36"/>
    <hyperlink r:id="rId1406" ref="BL36"/>
    <hyperlink r:id="rId1407" ref="BN36"/>
    <hyperlink r:id="rId1408" ref="BP36"/>
    <hyperlink r:id="rId1409" ref="BR36"/>
    <hyperlink r:id="rId1410" ref="BT36"/>
    <hyperlink r:id="rId1411" ref="N37"/>
    <hyperlink r:id="rId1412" ref="P37"/>
    <hyperlink r:id="rId1413" ref="R37"/>
    <hyperlink r:id="rId1414" ref="T37"/>
    <hyperlink r:id="rId1415" ref="V37"/>
    <hyperlink r:id="rId1416" ref="X37"/>
    <hyperlink r:id="rId1417" ref="Z37"/>
    <hyperlink r:id="rId1418" ref="AB37"/>
    <hyperlink r:id="rId1419" ref="AD37"/>
    <hyperlink r:id="rId1420" ref="AF37"/>
    <hyperlink r:id="rId1421" ref="AH37"/>
    <hyperlink r:id="rId1422" ref="AJ37"/>
    <hyperlink r:id="rId1423" ref="AL37"/>
    <hyperlink r:id="rId1424" ref="AN37"/>
    <hyperlink r:id="rId1425" ref="AP37"/>
    <hyperlink r:id="rId1426" ref="AR37"/>
    <hyperlink r:id="rId1427" ref="AT37"/>
    <hyperlink r:id="rId1428" ref="AV37"/>
    <hyperlink r:id="rId1429" ref="AX37"/>
    <hyperlink r:id="rId1430" ref="AZ37"/>
    <hyperlink r:id="rId1431" ref="BB37"/>
    <hyperlink r:id="rId1432" ref="BD37"/>
    <hyperlink r:id="rId1433" ref="BF37"/>
    <hyperlink r:id="rId1434" ref="BH37"/>
    <hyperlink r:id="rId1435" ref="BJ37"/>
    <hyperlink r:id="rId1436" ref="BL37"/>
    <hyperlink r:id="rId1437" ref="BN37"/>
    <hyperlink r:id="rId1438" ref="BP37"/>
    <hyperlink r:id="rId1439" ref="BR37"/>
    <hyperlink r:id="rId1440" ref="BT37"/>
    <hyperlink r:id="rId1441" ref="N38"/>
    <hyperlink r:id="rId1442" ref="P38"/>
    <hyperlink r:id="rId1443" ref="R38"/>
    <hyperlink r:id="rId1444" ref="T38"/>
    <hyperlink r:id="rId1445" ref="V38"/>
    <hyperlink r:id="rId1446" ref="X38"/>
    <hyperlink r:id="rId1447" ref="Z38"/>
    <hyperlink r:id="rId1448" ref="AB38"/>
    <hyperlink r:id="rId1449" ref="AD38"/>
    <hyperlink r:id="rId1450" ref="AF38"/>
    <hyperlink r:id="rId1451" ref="AH38"/>
    <hyperlink r:id="rId1452" ref="AJ38"/>
    <hyperlink r:id="rId1453" ref="AL38"/>
    <hyperlink r:id="rId1454" ref="AN38"/>
    <hyperlink r:id="rId1455" ref="AP38"/>
    <hyperlink r:id="rId1456" ref="AR38"/>
    <hyperlink r:id="rId1457" ref="AT38"/>
    <hyperlink r:id="rId1458" ref="AV38"/>
    <hyperlink r:id="rId1459" ref="AX38"/>
    <hyperlink r:id="rId1460" ref="AZ38"/>
    <hyperlink r:id="rId1461" ref="BB38"/>
    <hyperlink r:id="rId1462" ref="BD38"/>
    <hyperlink r:id="rId1463" ref="BF38"/>
    <hyperlink r:id="rId1464" ref="BH38"/>
    <hyperlink r:id="rId1465" ref="BJ38"/>
    <hyperlink r:id="rId1466" ref="BL38"/>
    <hyperlink r:id="rId1467" ref="BN38"/>
    <hyperlink r:id="rId1468" ref="BP38"/>
    <hyperlink r:id="rId1469" ref="BR38"/>
    <hyperlink r:id="rId1470" ref="BT38"/>
    <hyperlink r:id="rId1471" ref="N39"/>
    <hyperlink r:id="rId1472" ref="P39"/>
    <hyperlink r:id="rId1473" ref="R39"/>
    <hyperlink r:id="rId1474" ref="T39"/>
    <hyperlink r:id="rId1475" ref="V39"/>
    <hyperlink r:id="rId1476" ref="X39"/>
    <hyperlink r:id="rId1477" ref="Z39"/>
    <hyperlink r:id="rId1478" ref="AB39"/>
    <hyperlink r:id="rId1479" ref="AD39"/>
    <hyperlink r:id="rId1480" ref="AF39"/>
    <hyperlink r:id="rId1481" ref="AH39"/>
    <hyperlink r:id="rId1482" ref="AJ39"/>
    <hyperlink r:id="rId1483" ref="AL39"/>
    <hyperlink r:id="rId1484" ref="AN39"/>
    <hyperlink r:id="rId1485" ref="AP39"/>
    <hyperlink r:id="rId1486" ref="AR39"/>
    <hyperlink r:id="rId1487" ref="AT39"/>
    <hyperlink r:id="rId1488" ref="AV39"/>
    <hyperlink r:id="rId1489" ref="AX39"/>
    <hyperlink r:id="rId1490" ref="AZ39"/>
    <hyperlink r:id="rId1491" ref="BB39"/>
    <hyperlink r:id="rId1492" ref="BD39"/>
    <hyperlink r:id="rId1493" ref="BF39"/>
    <hyperlink r:id="rId1494" ref="BH39"/>
    <hyperlink r:id="rId1495" ref="BJ39"/>
    <hyperlink r:id="rId1496" ref="BL39"/>
    <hyperlink r:id="rId1497" ref="BN39"/>
    <hyperlink r:id="rId1498" ref="BP39"/>
    <hyperlink r:id="rId1499" ref="BR39"/>
    <hyperlink r:id="rId1500" ref="BT39"/>
    <hyperlink r:id="rId1501" ref="N40"/>
    <hyperlink r:id="rId1502" ref="P40"/>
    <hyperlink r:id="rId1503" ref="R40"/>
    <hyperlink r:id="rId1504" ref="T40"/>
    <hyperlink r:id="rId1505" ref="V40"/>
    <hyperlink r:id="rId1506" ref="X40"/>
    <hyperlink r:id="rId1507" ref="Z40"/>
    <hyperlink r:id="rId1508" ref="AB40"/>
    <hyperlink r:id="rId1509" ref="AD40"/>
    <hyperlink r:id="rId1510" ref="AF40"/>
    <hyperlink r:id="rId1511" ref="AH40"/>
    <hyperlink r:id="rId1512" ref="AJ40"/>
    <hyperlink r:id="rId1513" ref="AL40"/>
    <hyperlink r:id="rId1514" ref="AN40"/>
    <hyperlink r:id="rId1515" ref="AP40"/>
    <hyperlink r:id="rId1516" ref="AR40"/>
    <hyperlink r:id="rId1517" ref="AT40"/>
    <hyperlink r:id="rId1518" ref="AV40"/>
    <hyperlink r:id="rId1519" ref="AX40"/>
    <hyperlink r:id="rId1520" ref="AZ40"/>
    <hyperlink r:id="rId1521" ref="BB40"/>
    <hyperlink r:id="rId1522" ref="BD40"/>
    <hyperlink r:id="rId1523" ref="BF40"/>
    <hyperlink r:id="rId1524" ref="BH40"/>
    <hyperlink r:id="rId1525" ref="BJ40"/>
    <hyperlink r:id="rId1526" ref="BL40"/>
    <hyperlink r:id="rId1527" ref="BN40"/>
    <hyperlink r:id="rId1528" ref="BP40"/>
    <hyperlink r:id="rId1529" ref="BR40"/>
    <hyperlink r:id="rId1530" ref="BT40"/>
    <hyperlink r:id="rId1531" ref="N41"/>
    <hyperlink r:id="rId1532" ref="P41"/>
    <hyperlink r:id="rId1533" ref="R41"/>
    <hyperlink r:id="rId1534" ref="T41"/>
    <hyperlink r:id="rId1535" ref="V41"/>
    <hyperlink r:id="rId1536" ref="X41"/>
    <hyperlink r:id="rId1537" ref="Z41"/>
    <hyperlink r:id="rId1538" ref="AB41"/>
    <hyperlink r:id="rId1539" ref="AD41"/>
    <hyperlink r:id="rId1540" ref="AF41"/>
    <hyperlink r:id="rId1541" ref="AH41"/>
    <hyperlink r:id="rId1542" ref="AJ41"/>
    <hyperlink r:id="rId1543" ref="AL41"/>
    <hyperlink r:id="rId1544" ref="AN41"/>
    <hyperlink r:id="rId1545" ref="AP41"/>
    <hyperlink r:id="rId1546" ref="AR41"/>
    <hyperlink r:id="rId1547" ref="AT41"/>
    <hyperlink r:id="rId1548" ref="AV41"/>
    <hyperlink r:id="rId1549" ref="AX41"/>
    <hyperlink r:id="rId1550" ref="AZ41"/>
    <hyperlink r:id="rId1551" ref="BB41"/>
    <hyperlink r:id="rId1552" ref="BD41"/>
    <hyperlink r:id="rId1553" ref="BF41"/>
    <hyperlink r:id="rId1554" ref="BH41"/>
    <hyperlink r:id="rId1555" ref="BJ41"/>
    <hyperlink r:id="rId1556" ref="BL41"/>
    <hyperlink r:id="rId1557" ref="BN41"/>
    <hyperlink r:id="rId1558" ref="BP41"/>
    <hyperlink r:id="rId1559" ref="BR41"/>
    <hyperlink r:id="rId1560" ref="BT41"/>
    <hyperlink r:id="rId1561" ref="N42"/>
    <hyperlink r:id="rId1562" ref="P42"/>
    <hyperlink r:id="rId1563" ref="R42"/>
    <hyperlink r:id="rId1564" ref="T42"/>
    <hyperlink r:id="rId1565" ref="V42"/>
    <hyperlink r:id="rId1566" ref="X42"/>
    <hyperlink r:id="rId1567" ref="Z42"/>
    <hyperlink r:id="rId1568" ref="AB42"/>
    <hyperlink r:id="rId1569" ref="AD42"/>
    <hyperlink r:id="rId1570" ref="AF42"/>
    <hyperlink r:id="rId1571" ref="AH42"/>
    <hyperlink r:id="rId1572" ref="AJ42"/>
    <hyperlink r:id="rId1573" ref="AL42"/>
    <hyperlink r:id="rId1574" ref="AN42"/>
    <hyperlink r:id="rId1575" ref="AP42"/>
    <hyperlink r:id="rId1576" ref="AR42"/>
    <hyperlink r:id="rId1577" ref="AT42"/>
    <hyperlink r:id="rId1578" ref="AV42"/>
    <hyperlink r:id="rId1579" ref="AX42"/>
    <hyperlink r:id="rId1580" ref="AZ42"/>
    <hyperlink r:id="rId1581" ref="BB42"/>
    <hyperlink r:id="rId1582" ref="BD42"/>
    <hyperlink r:id="rId1583" ref="BF42"/>
    <hyperlink r:id="rId1584" ref="BH42"/>
    <hyperlink r:id="rId1585" ref="BJ42"/>
    <hyperlink r:id="rId1586" ref="BL42"/>
    <hyperlink r:id="rId1587" ref="BN42"/>
    <hyperlink r:id="rId1588" ref="BP42"/>
    <hyperlink r:id="rId1589" ref="BR42"/>
    <hyperlink r:id="rId1590" ref="BT42"/>
    <hyperlink r:id="rId1591" ref="N43"/>
    <hyperlink r:id="rId1592" ref="P43"/>
    <hyperlink r:id="rId1593" ref="R43"/>
    <hyperlink r:id="rId1594" ref="T43"/>
    <hyperlink r:id="rId1595" ref="V43"/>
    <hyperlink r:id="rId1596" ref="X43"/>
    <hyperlink r:id="rId1597" ref="Z43"/>
    <hyperlink r:id="rId1598" ref="AB43"/>
    <hyperlink r:id="rId1599" ref="AD43"/>
    <hyperlink r:id="rId1600" ref="AF43"/>
    <hyperlink r:id="rId1601" ref="AH43"/>
    <hyperlink r:id="rId1602" ref="AJ43"/>
    <hyperlink r:id="rId1603" ref="AL43"/>
    <hyperlink r:id="rId1604" ref="AN43"/>
    <hyperlink r:id="rId1605" ref="AP43"/>
    <hyperlink r:id="rId1606" ref="AR43"/>
    <hyperlink r:id="rId1607" ref="AT43"/>
    <hyperlink r:id="rId1608" ref="AV43"/>
    <hyperlink r:id="rId1609" ref="AX43"/>
    <hyperlink r:id="rId1610" ref="AZ43"/>
    <hyperlink r:id="rId1611" ref="BB43"/>
    <hyperlink r:id="rId1612" ref="BD43"/>
    <hyperlink r:id="rId1613" ref="BF43"/>
    <hyperlink r:id="rId1614" ref="BH43"/>
    <hyperlink r:id="rId1615" ref="BJ43"/>
    <hyperlink r:id="rId1616" ref="BL43"/>
    <hyperlink r:id="rId1617" ref="BN43"/>
    <hyperlink r:id="rId1618" ref="BP43"/>
    <hyperlink r:id="rId1619" ref="BR43"/>
    <hyperlink r:id="rId1620" ref="BT43"/>
    <hyperlink r:id="rId1621" ref="N44"/>
    <hyperlink r:id="rId1622" ref="P44"/>
    <hyperlink r:id="rId1623" ref="R44"/>
    <hyperlink r:id="rId1624" ref="T44"/>
    <hyperlink r:id="rId1625" ref="V44"/>
    <hyperlink r:id="rId1626" ref="X44"/>
    <hyperlink r:id="rId1627" ref="Z44"/>
    <hyperlink r:id="rId1628" ref="AB44"/>
    <hyperlink r:id="rId1629" ref="AD44"/>
    <hyperlink r:id="rId1630" ref="AF44"/>
    <hyperlink r:id="rId1631" ref="AH44"/>
    <hyperlink r:id="rId1632" ref="AJ44"/>
    <hyperlink r:id="rId1633" ref="AL44"/>
    <hyperlink r:id="rId1634" ref="AN44"/>
    <hyperlink r:id="rId1635" ref="AP44"/>
    <hyperlink r:id="rId1636" ref="AR44"/>
    <hyperlink r:id="rId1637" ref="AT44"/>
    <hyperlink r:id="rId1638" ref="AV44"/>
    <hyperlink r:id="rId1639" ref="AX44"/>
    <hyperlink r:id="rId1640" ref="AZ44"/>
    <hyperlink r:id="rId1641" ref="BB44"/>
    <hyperlink r:id="rId1642" ref="BD44"/>
    <hyperlink r:id="rId1643" ref="BF44"/>
    <hyperlink r:id="rId1644" ref="BH44"/>
    <hyperlink r:id="rId1645" ref="BJ44"/>
    <hyperlink r:id="rId1646" ref="BL44"/>
    <hyperlink r:id="rId1647" ref="BN44"/>
    <hyperlink r:id="rId1648" ref="BP44"/>
    <hyperlink r:id="rId1649" ref="BR44"/>
    <hyperlink r:id="rId1650" ref="BT44"/>
    <hyperlink r:id="rId1651" ref="N45"/>
    <hyperlink r:id="rId1652" ref="P45"/>
    <hyperlink r:id="rId1653" ref="R45"/>
    <hyperlink r:id="rId1654" ref="T45"/>
    <hyperlink r:id="rId1655" ref="V45"/>
    <hyperlink r:id="rId1656" ref="X45"/>
    <hyperlink r:id="rId1657" ref="Z45"/>
    <hyperlink r:id="rId1658" ref="AB45"/>
    <hyperlink r:id="rId1659" ref="AD45"/>
    <hyperlink r:id="rId1660" ref="AF45"/>
    <hyperlink r:id="rId1661" ref="AH45"/>
    <hyperlink r:id="rId1662" ref="AJ45"/>
    <hyperlink r:id="rId1663" ref="AL45"/>
    <hyperlink r:id="rId1664" ref="AN45"/>
    <hyperlink r:id="rId1665" ref="AP45"/>
    <hyperlink r:id="rId1666" ref="AR45"/>
    <hyperlink r:id="rId1667" ref="AT45"/>
    <hyperlink r:id="rId1668" ref="AV45"/>
    <hyperlink r:id="rId1669" ref="AX45"/>
    <hyperlink r:id="rId1670" ref="AZ45"/>
    <hyperlink r:id="rId1671" ref="BB45"/>
    <hyperlink r:id="rId1672" ref="BD45"/>
    <hyperlink r:id="rId1673" ref="BF45"/>
    <hyperlink r:id="rId1674" ref="BH45"/>
    <hyperlink r:id="rId1675" ref="BJ45"/>
    <hyperlink r:id="rId1676" ref="BL45"/>
    <hyperlink r:id="rId1677" ref="BN45"/>
    <hyperlink r:id="rId1678" ref="BP45"/>
    <hyperlink r:id="rId1679" ref="BR45"/>
    <hyperlink r:id="rId1680" ref="BT45"/>
    <hyperlink r:id="rId1681" ref="N46"/>
    <hyperlink r:id="rId1682" ref="P46"/>
    <hyperlink r:id="rId1683" ref="R46"/>
    <hyperlink r:id="rId1684" ref="T46"/>
    <hyperlink r:id="rId1685" ref="V46"/>
    <hyperlink r:id="rId1686" ref="X46"/>
    <hyperlink r:id="rId1687" ref="Z46"/>
    <hyperlink r:id="rId1688" ref="AB46"/>
    <hyperlink r:id="rId1689" ref="AD46"/>
    <hyperlink r:id="rId1690" ref="AF46"/>
    <hyperlink r:id="rId1691" ref="AH46"/>
    <hyperlink r:id="rId1692" ref="AJ46"/>
    <hyperlink r:id="rId1693" ref="AL46"/>
    <hyperlink r:id="rId1694" ref="AN46"/>
    <hyperlink r:id="rId1695" ref="AP46"/>
    <hyperlink r:id="rId1696" ref="AR46"/>
    <hyperlink r:id="rId1697" ref="AT46"/>
    <hyperlink r:id="rId1698" ref="AV46"/>
    <hyperlink r:id="rId1699" ref="AX46"/>
    <hyperlink r:id="rId1700" ref="AZ46"/>
    <hyperlink r:id="rId1701" ref="BB46"/>
    <hyperlink r:id="rId1702" ref="BD46"/>
    <hyperlink r:id="rId1703" ref="BF46"/>
    <hyperlink r:id="rId1704" ref="BH46"/>
    <hyperlink r:id="rId1705" ref="BJ46"/>
    <hyperlink r:id="rId1706" ref="BL46"/>
    <hyperlink r:id="rId1707" ref="BN46"/>
    <hyperlink r:id="rId1708" ref="BP46"/>
    <hyperlink r:id="rId1709" ref="BR46"/>
    <hyperlink r:id="rId1710" ref="BT46"/>
    <hyperlink r:id="rId1711" ref="N47"/>
    <hyperlink r:id="rId1712" ref="P47"/>
    <hyperlink r:id="rId1713" ref="R47"/>
    <hyperlink r:id="rId1714" ref="T47"/>
    <hyperlink r:id="rId1715" ref="V47"/>
    <hyperlink r:id="rId1716" ref="X47"/>
    <hyperlink r:id="rId1717" ref="Z47"/>
    <hyperlink r:id="rId1718" ref="AB47"/>
    <hyperlink r:id="rId1719" ref="AD47"/>
    <hyperlink r:id="rId1720" ref="AF47"/>
    <hyperlink r:id="rId1721" ref="AH47"/>
    <hyperlink r:id="rId1722" ref="AJ47"/>
    <hyperlink r:id="rId1723" ref="AL47"/>
    <hyperlink r:id="rId1724" ref="AN47"/>
    <hyperlink r:id="rId1725" ref="AP47"/>
    <hyperlink r:id="rId1726" ref="AR47"/>
    <hyperlink r:id="rId1727" ref="AT47"/>
    <hyperlink r:id="rId1728" ref="AV47"/>
    <hyperlink r:id="rId1729" ref="AX47"/>
    <hyperlink r:id="rId1730" ref="AZ47"/>
    <hyperlink r:id="rId1731" ref="BB47"/>
    <hyperlink r:id="rId1732" ref="BD47"/>
    <hyperlink r:id="rId1733" ref="BF47"/>
    <hyperlink r:id="rId1734" ref="BH47"/>
    <hyperlink r:id="rId1735" ref="BJ47"/>
    <hyperlink r:id="rId1736" ref="BL47"/>
    <hyperlink r:id="rId1737" ref="BN47"/>
    <hyperlink r:id="rId1738" ref="BP47"/>
    <hyperlink r:id="rId1739" ref="BR47"/>
    <hyperlink r:id="rId1740" ref="BT47"/>
    <hyperlink r:id="rId1741" ref="N48"/>
    <hyperlink r:id="rId1742" ref="P48"/>
    <hyperlink r:id="rId1743" ref="R48"/>
    <hyperlink r:id="rId1744" ref="T48"/>
    <hyperlink r:id="rId1745" ref="V48"/>
    <hyperlink r:id="rId1746" ref="X48"/>
    <hyperlink r:id="rId1747" ref="Z48"/>
    <hyperlink r:id="rId1748" ref="AB48"/>
    <hyperlink r:id="rId1749" ref="AD48"/>
    <hyperlink r:id="rId1750" ref="AF48"/>
    <hyperlink r:id="rId1751" ref="AH48"/>
    <hyperlink r:id="rId1752" ref="AJ48"/>
    <hyperlink r:id="rId1753" ref="AL48"/>
    <hyperlink r:id="rId1754" ref="AN48"/>
    <hyperlink r:id="rId1755" ref="AP48"/>
    <hyperlink r:id="rId1756" ref="AR48"/>
    <hyperlink r:id="rId1757" ref="AT48"/>
    <hyperlink r:id="rId1758" ref="AV48"/>
    <hyperlink r:id="rId1759" ref="AX48"/>
    <hyperlink r:id="rId1760" ref="AZ48"/>
    <hyperlink r:id="rId1761" ref="BB48"/>
    <hyperlink r:id="rId1762" ref="BD48"/>
    <hyperlink r:id="rId1763" ref="BF48"/>
    <hyperlink r:id="rId1764" ref="BH48"/>
    <hyperlink r:id="rId1765" ref="BJ48"/>
    <hyperlink r:id="rId1766" ref="BL48"/>
    <hyperlink r:id="rId1767" ref="BN48"/>
    <hyperlink r:id="rId1768" ref="BP48"/>
    <hyperlink r:id="rId1769" ref="BR48"/>
    <hyperlink r:id="rId1770" ref="BT48"/>
    <hyperlink r:id="rId1771" ref="N49"/>
    <hyperlink r:id="rId1772" ref="P49"/>
    <hyperlink r:id="rId1773" ref="R49"/>
    <hyperlink r:id="rId1774" ref="T49"/>
    <hyperlink r:id="rId1775" ref="V49"/>
    <hyperlink r:id="rId1776" ref="X49"/>
    <hyperlink r:id="rId1777" ref="Z49"/>
    <hyperlink r:id="rId1778" ref="AB49"/>
    <hyperlink r:id="rId1779" ref="AD49"/>
    <hyperlink r:id="rId1780" ref="AF49"/>
    <hyperlink r:id="rId1781" ref="AH49"/>
    <hyperlink r:id="rId1782" ref="AJ49"/>
    <hyperlink r:id="rId1783" ref="AL49"/>
    <hyperlink r:id="rId1784" ref="AN49"/>
    <hyperlink r:id="rId1785" ref="AP49"/>
    <hyperlink r:id="rId1786" ref="AR49"/>
    <hyperlink r:id="rId1787" ref="AT49"/>
    <hyperlink r:id="rId1788" ref="AV49"/>
    <hyperlink r:id="rId1789" ref="AX49"/>
    <hyperlink r:id="rId1790" ref="AZ49"/>
    <hyperlink r:id="rId1791" ref="BB49"/>
    <hyperlink r:id="rId1792" ref="BD49"/>
    <hyperlink r:id="rId1793" ref="BF49"/>
    <hyperlink r:id="rId1794" ref="BH49"/>
    <hyperlink r:id="rId1795" ref="BJ49"/>
    <hyperlink r:id="rId1796" ref="BL49"/>
    <hyperlink r:id="rId1797" ref="BN49"/>
    <hyperlink r:id="rId1798" ref="BP49"/>
    <hyperlink r:id="rId1799" ref="BR49"/>
    <hyperlink r:id="rId1800" ref="BT49"/>
    <hyperlink r:id="rId1801" ref="N50"/>
    <hyperlink r:id="rId1802" ref="P50"/>
    <hyperlink r:id="rId1803" ref="R50"/>
    <hyperlink r:id="rId1804" ref="T50"/>
    <hyperlink r:id="rId1805" ref="V50"/>
    <hyperlink r:id="rId1806" ref="X50"/>
    <hyperlink r:id="rId1807" ref="Z50"/>
    <hyperlink r:id="rId1808" ref="AB50"/>
    <hyperlink r:id="rId1809" ref="AD50"/>
    <hyperlink r:id="rId1810" ref="AF50"/>
    <hyperlink r:id="rId1811" ref="AH50"/>
    <hyperlink r:id="rId1812" ref="AJ50"/>
    <hyperlink r:id="rId1813" ref="AL50"/>
    <hyperlink r:id="rId1814" ref="AN50"/>
    <hyperlink r:id="rId1815" ref="AP50"/>
    <hyperlink r:id="rId1816" ref="AR50"/>
    <hyperlink r:id="rId1817" ref="AT50"/>
    <hyperlink r:id="rId1818" ref="AV50"/>
    <hyperlink r:id="rId1819" ref="AX50"/>
    <hyperlink r:id="rId1820" ref="AZ50"/>
    <hyperlink r:id="rId1821" ref="BB50"/>
    <hyperlink r:id="rId1822" ref="BD50"/>
    <hyperlink r:id="rId1823" ref="BF50"/>
    <hyperlink r:id="rId1824" ref="BH50"/>
    <hyperlink r:id="rId1825" ref="BJ50"/>
    <hyperlink r:id="rId1826" ref="BL50"/>
    <hyperlink r:id="rId1827" ref="BN50"/>
    <hyperlink r:id="rId1828" ref="BP50"/>
    <hyperlink r:id="rId1829" ref="BR50"/>
    <hyperlink r:id="rId1830" ref="BT50"/>
    <hyperlink r:id="rId1831" ref="N51"/>
    <hyperlink r:id="rId1832" ref="P51"/>
    <hyperlink r:id="rId1833" ref="R51"/>
    <hyperlink r:id="rId1834" ref="T51"/>
    <hyperlink r:id="rId1835" ref="V51"/>
    <hyperlink r:id="rId1836" ref="X51"/>
    <hyperlink r:id="rId1837" ref="Z51"/>
    <hyperlink r:id="rId1838" ref="AB51"/>
    <hyperlink r:id="rId1839" ref="AD51"/>
    <hyperlink r:id="rId1840" ref="AF51"/>
    <hyperlink r:id="rId1841" ref="AH51"/>
    <hyperlink r:id="rId1842" ref="AJ51"/>
    <hyperlink r:id="rId1843" ref="AL51"/>
    <hyperlink r:id="rId1844" ref="AN51"/>
    <hyperlink r:id="rId1845" ref="AP51"/>
    <hyperlink r:id="rId1846" ref="AR51"/>
    <hyperlink r:id="rId1847" ref="AT51"/>
    <hyperlink r:id="rId1848" ref="AV51"/>
    <hyperlink r:id="rId1849" ref="AX51"/>
    <hyperlink r:id="rId1850" ref="AZ51"/>
    <hyperlink r:id="rId1851" ref="BB51"/>
    <hyperlink r:id="rId1852" ref="BD51"/>
    <hyperlink r:id="rId1853" ref="BF51"/>
    <hyperlink r:id="rId1854" ref="BH51"/>
    <hyperlink r:id="rId1855" ref="BJ51"/>
    <hyperlink r:id="rId1856" ref="BL51"/>
    <hyperlink r:id="rId1857" ref="BN51"/>
    <hyperlink r:id="rId1858" ref="BP51"/>
    <hyperlink r:id="rId1859" ref="BR51"/>
    <hyperlink r:id="rId1860" ref="BT51"/>
    <hyperlink r:id="rId1861" ref="N52"/>
    <hyperlink r:id="rId1862" ref="P52"/>
    <hyperlink r:id="rId1863" ref="R52"/>
    <hyperlink r:id="rId1864" ref="T52"/>
    <hyperlink r:id="rId1865" ref="V52"/>
    <hyperlink r:id="rId1866" ref="X52"/>
    <hyperlink r:id="rId1867" ref="Z52"/>
    <hyperlink r:id="rId1868" ref="AB52"/>
    <hyperlink r:id="rId1869" ref="AD52"/>
    <hyperlink r:id="rId1870" ref="AF52"/>
    <hyperlink r:id="rId1871" ref="AH52"/>
    <hyperlink r:id="rId1872" ref="AJ52"/>
    <hyperlink r:id="rId1873" ref="AL52"/>
    <hyperlink r:id="rId1874" ref="AN52"/>
    <hyperlink r:id="rId1875" ref="AP52"/>
    <hyperlink r:id="rId1876" ref="AR52"/>
    <hyperlink r:id="rId1877" ref="AT52"/>
    <hyperlink r:id="rId1878" ref="AV52"/>
    <hyperlink r:id="rId1879" ref="AX52"/>
    <hyperlink r:id="rId1880" ref="AZ52"/>
    <hyperlink r:id="rId1881" ref="BB52"/>
    <hyperlink r:id="rId1882" ref="BD52"/>
    <hyperlink r:id="rId1883" ref="BF52"/>
    <hyperlink r:id="rId1884" ref="BH52"/>
    <hyperlink r:id="rId1885" ref="BJ52"/>
    <hyperlink r:id="rId1886" ref="BL52"/>
    <hyperlink r:id="rId1887" ref="BN52"/>
    <hyperlink r:id="rId1888" ref="BP52"/>
    <hyperlink r:id="rId1889" ref="BR52"/>
    <hyperlink r:id="rId1890" ref="BT52"/>
    <hyperlink r:id="rId1891" ref="N53"/>
    <hyperlink r:id="rId1892" ref="P53"/>
    <hyperlink r:id="rId1893" ref="R53"/>
    <hyperlink r:id="rId1894" ref="T53"/>
    <hyperlink r:id="rId1895" ref="V53"/>
    <hyperlink r:id="rId1896" ref="X53"/>
    <hyperlink r:id="rId1897" ref="Z53"/>
    <hyperlink r:id="rId1898" ref="AB53"/>
    <hyperlink r:id="rId1899" ref="AD53"/>
    <hyperlink r:id="rId1900" ref="AF53"/>
    <hyperlink r:id="rId1901" ref="AH53"/>
    <hyperlink r:id="rId1902" ref="AJ53"/>
    <hyperlink r:id="rId1903" ref="AL53"/>
    <hyperlink r:id="rId1904" ref="AN53"/>
    <hyperlink r:id="rId1905" ref="AP53"/>
    <hyperlink r:id="rId1906" ref="AR53"/>
    <hyperlink r:id="rId1907" ref="AT53"/>
    <hyperlink r:id="rId1908" ref="AV53"/>
    <hyperlink r:id="rId1909" ref="AX53"/>
    <hyperlink r:id="rId1910" ref="AZ53"/>
    <hyperlink r:id="rId1911" ref="BB53"/>
    <hyperlink r:id="rId1912" ref="BD53"/>
    <hyperlink r:id="rId1913" ref="BF53"/>
    <hyperlink r:id="rId1914" ref="BH53"/>
    <hyperlink r:id="rId1915" ref="BJ53"/>
    <hyperlink r:id="rId1916" ref="BL53"/>
    <hyperlink r:id="rId1917" ref="BN53"/>
    <hyperlink r:id="rId1918" ref="BP53"/>
    <hyperlink r:id="rId1919" ref="BR53"/>
    <hyperlink r:id="rId1920" ref="BT53"/>
    <hyperlink r:id="rId1921" ref="BV53"/>
    <hyperlink r:id="rId1922" ref="BX53"/>
    <hyperlink r:id="rId1923" ref="BZ53"/>
    <hyperlink r:id="rId1924" ref="CB53"/>
    <hyperlink r:id="rId1925" ref="CD53"/>
    <hyperlink r:id="rId1926" ref="CF53"/>
    <hyperlink r:id="rId1927" ref="CH53"/>
    <hyperlink r:id="rId1928" ref="CJ53"/>
    <hyperlink r:id="rId1929" ref="CL53"/>
    <hyperlink r:id="rId1930" ref="CN53"/>
    <hyperlink r:id="rId1931" ref="CP53"/>
    <hyperlink r:id="rId1932" ref="CR53"/>
    <hyperlink r:id="rId1933" ref="CT53"/>
    <hyperlink r:id="rId1934" ref="CV53"/>
    <hyperlink r:id="rId1935" ref="CX53"/>
    <hyperlink r:id="rId1936" ref="CZ53"/>
    <hyperlink r:id="rId1937" ref="DB53"/>
    <hyperlink r:id="rId1938" ref="DD53"/>
    <hyperlink r:id="rId1939" ref="DF53"/>
    <hyperlink r:id="rId1940" ref="DH53"/>
    <hyperlink r:id="rId1941" ref="N54"/>
    <hyperlink r:id="rId1942" ref="P54"/>
    <hyperlink r:id="rId1943" ref="R54"/>
    <hyperlink r:id="rId1944" ref="T54"/>
    <hyperlink r:id="rId1945" ref="V54"/>
    <hyperlink r:id="rId1946" ref="X54"/>
    <hyperlink r:id="rId1947" ref="Z54"/>
    <hyperlink r:id="rId1948" ref="AB54"/>
    <hyperlink r:id="rId1949" ref="AD54"/>
    <hyperlink r:id="rId1950" ref="AF54"/>
    <hyperlink r:id="rId1951" ref="AH54"/>
    <hyperlink r:id="rId1952" ref="AJ54"/>
    <hyperlink r:id="rId1953" ref="AL54"/>
    <hyperlink r:id="rId1954" ref="AN54"/>
    <hyperlink r:id="rId1955" ref="AP54"/>
    <hyperlink r:id="rId1956" ref="AR54"/>
    <hyperlink r:id="rId1957" ref="AT54"/>
    <hyperlink r:id="rId1958" ref="AV54"/>
    <hyperlink r:id="rId1959" ref="AX54"/>
    <hyperlink r:id="rId1960" ref="AZ54"/>
    <hyperlink r:id="rId1961" ref="BB54"/>
    <hyperlink r:id="rId1962" ref="BD54"/>
    <hyperlink r:id="rId1963" ref="BF54"/>
    <hyperlink r:id="rId1964" ref="BH54"/>
    <hyperlink r:id="rId1965" ref="BJ54"/>
    <hyperlink r:id="rId1966" ref="BL54"/>
    <hyperlink r:id="rId1967" ref="BN54"/>
    <hyperlink r:id="rId1968" ref="BP54"/>
    <hyperlink r:id="rId1969" ref="BR54"/>
    <hyperlink r:id="rId1970" ref="BT54"/>
    <hyperlink r:id="rId1971" ref="N55"/>
    <hyperlink r:id="rId1972" ref="P55"/>
    <hyperlink r:id="rId1973" ref="R55"/>
    <hyperlink r:id="rId1974" ref="T55"/>
    <hyperlink r:id="rId1975" ref="V55"/>
    <hyperlink r:id="rId1976" ref="X55"/>
    <hyperlink r:id="rId1977" ref="Z55"/>
    <hyperlink r:id="rId1978" ref="AB55"/>
    <hyperlink r:id="rId1979" ref="AD55"/>
    <hyperlink r:id="rId1980" ref="AF55"/>
    <hyperlink r:id="rId1981" ref="AH55"/>
    <hyperlink r:id="rId1982" ref="AJ55"/>
    <hyperlink r:id="rId1983" ref="AL55"/>
    <hyperlink r:id="rId1984" ref="AN55"/>
    <hyperlink r:id="rId1985" ref="AP55"/>
    <hyperlink r:id="rId1986" ref="AR55"/>
    <hyperlink r:id="rId1987" ref="AT55"/>
    <hyperlink r:id="rId1988" ref="AV55"/>
    <hyperlink r:id="rId1989" ref="AX55"/>
    <hyperlink r:id="rId1990" ref="AZ55"/>
    <hyperlink r:id="rId1991" ref="BB55"/>
    <hyperlink r:id="rId1992" ref="BD55"/>
    <hyperlink r:id="rId1993" ref="BF55"/>
    <hyperlink r:id="rId1994" ref="BH55"/>
    <hyperlink r:id="rId1995" ref="BJ55"/>
    <hyperlink r:id="rId1996" ref="BL55"/>
    <hyperlink r:id="rId1997" ref="BN55"/>
    <hyperlink r:id="rId1998" ref="BP55"/>
    <hyperlink r:id="rId1999" ref="BR55"/>
    <hyperlink r:id="rId2000" ref="BT55"/>
    <hyperlink r:id="rId2001" ref="N56"/>
    <hyperlink r:id="rId2002" ref="P56"/>
    <hyperlink r:id="rId2003" ref="R56"/>
    <hyperlink r:id="rId2004" ref="T56"/>
    <hyperlink r:id="rId2005" ref="V56"/>
    <hyperlink r:id="rId2006" ref="X56"/>
    <hyperlink r:id="rId2007" ref="Z56"/>
    <hyperlink r:id="rId2008" ref="AB56"/>
    <hyperlink r:id="rId2009" ref="AD56"/>
    <hyperlink r:id="rId2010" ref="AF56"/>
    <hyperlink r:id="rId2011" ref="AH56"/>
    <hyperlink r:id="rId2012" ref="AJ56"/>
    <hyperlink r:id="rId2013" ref="AL56"/>
    <hyperlink r:id="rId2014" ref="AN56"/>
    <hyperlink r:id="rId2015" ref="AP56"/>
    <hyperlink r:id="rId2016" ref="AR56"/>
    <hyperlink r:id="rId2017" ref="AT56"/>
    <hyperlink r:id="rId2018" ref="AV56"/>
    <hyperlink r:id="rId2019" ref="AX56"/>
    <hyperlink r:id="rId2020" ref="AZ56"/>
    <hyperlink r:id="rId2021" ref="BB56"/>
    <hyperlink r:id="rId2022" ref="BD56"/>
    <hyperlink r:id="rId2023" ref="BF56"/>
    <hyperlink r:id="rId2024" ref="BH56"/>
    <hyperlink r:id="rId2025" ref="BJ56"/>
    <hyperlink r:id="rId2026" ref="BL56"/>
    <hyperlink r:id="rId2027" ref="BN56"/>
    <hyperlink r:id="rId2028" ref="BP56"/>
    <hyperlink r:id="rId2029" ref="BR56"/>
    <hyperlink r:id="rId2030" ref="BT56"/>
    <hyperlink r:id="rId2031" ref="N57"/>
    <hyperlink r:id="rId2032" ref="P57"/>
    <hyperlink r:id="rId2033" ref="R57"/>
    <hyperlink r:id="rId2034" ref="T57"/>
    <hyperlink r:id="rId2035" ref="V57"/>
    <hyperlink r:id="rId2036" ref="X57"/>
    <hyperlink r:id="rId2037" ref="Z57"/>
    <hyperlink r:id="rId2038" ref="AB57"/>
    <hyperlink r:id="rId2039" ref="AD57"/>
    <hyperlink r:id="rId2040" ref="AF57"/>
    <hyperlink r:id="rId2041" ref="AH57"/>
    <hyperlink r:id="rId2042" ref="AJ57"/>
    <hyperlink r:id="rId2043" ref="AL57"/>
    <hyperlink r:id="rId2044" ref="AN57"/>
    <hyperlink r:id="rId2045" ref="AP57"/>
    <hyperlink r:id="rId2046" ref="AR57"/>
    <hyperlink r:id="rId2047" ref="AT57"/>
    <hyperlink r:id="rId2048" ref="AV57"/>
    <hyperlink r:id="rId2049" ref="AX57"/>
    <hyperlink r:id="rId2050" ref="AZ57"/>
    <hyperlink r:id="rId2051" ref="BB57"/>
    <hyperlink r:id="rId2052" ref="BD57"/>
    <hyperlink r:id="rId2053" ref="BF57"/>
    <hyperlink r:id="rId2054" ref="BH57"/>
    <hyperlink r:id="rId2055" ref="BJ57"/>
    <hyperlink r:id="rId2056" ref="BL57"/>
    <hyperlink r:id="rId2057" ref="BN57"/>
    <hyperlink r:id="rId2058" ref="BP57"/>
    <hyperlink r:id="rId2059" ref="BR57"/>
    <hyperlink r:id="rId2060" ref="BT57"/>
    <hyperlink r:id="rId2061" ref="N58"/>
    <hyperlink r:id="rId2062" ref="P58"/>
    <hyperlink r:id="rId2063" ref="R58"/>
    <hyperlink r:id="rId2064" ref="T58"/>
    <hyperlink r:id="rId2065" ref="V58"/>
    <hyperlink r:id="rId2066" ref="X58"/>
    <hyperlink r:id="rId2067" ref="Z58"/>
    <hyperlink r:id="rId2068" ref="AB58"/>
    <hyperlink r:id="rId2069" ref="AD58"/>
    <hyperlink r:id="rId2070" ref="AF58"/>
    <hyperlink r:id="rId2071" ref="AH58"/>
    <hyperlink r:id="rId2072" ref="AJ58"/>
    <hyperlink r:id="rId2073" ref="AL58"/>
    <hyperlink r:id="rId2074" ref="AN58"/>
    <hyperlink r:id="rId2075" ref="AP58"/>
    <hyperlink r:id="rId2076" ref="AR58"/>
    <hyperlink r:id="rId2077" ref="AT58"/>
    <hyperlink r:id="rId2078" ref="AV58"/>
    <hyperlink r:id="rId2079" ref="AX58"/>
    <hyperlink r:id="rId2080" ref="AZ58"/>
    <hyperlink r:id="rId2081" ref="BB58"/>
    <hyperlink r:id="rId2082" ref="BD58"/>
    <hyperlink r:id="rId2083" ref="BF58"/>
    <hyperlink r:id="rId2084" ref="BH58"/>
    <hyperlink r:id="rId2085" ref="BJ58"/>
    <hyperlink r:id="rId2086" ref="BL58"/>
    <hyperlink r:id="rId2087" ref="BN58"/>
    <hyperlink r:id="rId2088" ref="BP58"/>
    <hyperlink r:id="rId2089" ref="BR58"/>
    <hyperlink r:id="rId2090" ref="BT58"/>
    <hyperlink r:id="rId2091" ref="BV58"/>
    <hyperlink r:id="rId2092" ref="BX58"/>
    <hyperlink r:id="rId2093" ref="BZ58"/>
    <hyperlink r:id="rId2094" ref="CB58"/>
    <hyperlink r:id="rId2095" ref="CD58"/>
    <hyperlink r:id="rId2096" ref="CF58"/>
    <hyperlink r:id="rId2097" ref="CH58"/>
    <hyperlink r:id="rId2098" ref="CJ58"/>
    <hyperlink r:id="rId2099" ref="CL58"/>
    <hyperlink r:id="rId2100" ref="CN58"/>
    <hyperlink r:id="rId2101" ref="CP58"/>
    <hyperlink r:id="rId2102" ref="CR58"/>
    <hyperlink r:id="rId2103" ref="CT58"/>
    <hyperlink r:id="rId2104" ref="CV58"/>
    <hyperlink r:id="rId2105" ref="CX58"/>
    <hyperlink r:id="rId2106" ref="CZ58"/>
    <hyperlink r:id="rId2107" ref="DB58"/>
    <hyperlink r:id="rId2108" ref="DD58"/>
    <hyperlink r:id="rId2109" ref="DF58"/>
    <hyperlink r:id="rId2110" ref="DH58"/>
    <hyperlink r:id="rId2111" ref="N59"/>
    <hyperlink r:id="rId2112" ref="P59"/>
    <hyperlink r:id="rId2113" ref="R59"/>
    <hyperlink r:id="rId2114" ref="T59"/>
    <hyperlink r:id="rId2115" ref="V59"/>
    <hyperlink r:id="rId2116" ref="X59"/>
    <hyperlink r:id="rId2117" ref="Z59"/>
    <hyperlink r:id="rId2118" ref="AB59"/>
    <hyperlink r:id="rId2119" ref="AD59"/>
    <hyperlink r:id="rId2120" ref="AF59"/>
    <hyperlink r:id="rId2121" ref="AH59"/>
    <hyperlink r:id="rId2122" ref="AJ59"/>
    <hyperlink r:id="rId2123" ref="AL59"/>
    <hyperlink r:id="rId2124" ref="AN59"/>
    <hyperlink r:id="rId2125" ref="AP59"/>
    <hyperlink r:id="rId2126" ref="AR59"/>
    <hyperlink r:id="rId2127" ref="AT59"/>
    <hyperlink r:id="rId2128" ref="AV59"/>
    <hyperlink r:id="rId2129" ref="AX59"/>
    <hyperlink r:id="rId2130" ref="AZ59"/>
    <hyperlink r:id="rId2131" ref="BB59"/>
    <hyperlink r:id="rId2132" ref="BD59"/>
    <hyperlink r:id="rId2133" ref="BF59"/>
    <hyperlink r:id="rId2134" ref="BH59"/>
    <hyperlink r:id="rId2135" ref="BJ59"/>
    <hyperlink r:id="rId2136" ref="BL59"/>
    <hyperlink r:id="rId2137" ref="BN59"/>
    <hyperlink r:id="rId2138" ref="BP59"/>
    <hyperlink r:id="rId2139" ref="BR59"/>
    <hyperlink r:id="rId2140" ref="BT59"/>
    <hyperlink r:id="rId2141" ref="N60"/>
    <hyperlink r:id="rId2142" ref="P60"/>
    <hyperlink r:id="rId2143" ref="R60"/>
    <hyperlink r:id="rId2144" ref="T60"/>
    <hyperlink r:id="rId2145" ref="V60"/>
    <hyperlink r:id="rId2146" ref="X60"/>
    <hyperlink r:id="rId2147" ref="Z60"/>
    <hyperlink r:id="rId2148" ref="AB60"/>
    <hyperlink r:id="rId2149" ref="AD60"/>
    <hyperlink r:id="rId2150" ref="AF60"/>
    <hyperlink r:id="rId2151" ref="AH60"/>
    <hyperlink r:id="rId2152" ref="AJ60"/>
    <hyperlink r:id="rId2153" ref="AL60"/>
    <hyperlink r:id="rId2154" ref="AN60"/>
    <hyperlink r:id="rId2155" ref="AP60"/>
    <hyperlink r:id="rId2156" ref="AR60"/>
    <hyperlink r:id="rId2157" ref="AT60"/>
    <hyperlink r:id="rId2158" ref="AV60"/>
    <hyperlink r:id="rId2159" ref="AX60"/>
    <hyperlink r:id="rId2160" ref="AZ60"/>
    <hyperlink r:id="rId2161" ref="BB60"/>
    <hyperlink r:id="rId2162" ref="BD60"/>
    <hyperlink r:id="rId2163" ref="BF60"/>
    <hyperlink r:id="rId2164" ref="BH60"/>
    <hyperlink r:id="rId2165" ref="BJ60"/>
    <hyperlink r:id="rId2166" ref="BL60"/>
    <hyperlink r:id="rId2167" ref="BN60"/>
    <hyperlink r:id="rId2168" ref="BP60"/>
    <hyperlink r:id="rId2169" ref="BR60"/>
    <hyperlink r:id="rId2170" ref="BT60"/>
    <hyperlink r:id="rId2171" ref="N61"/>
    <hyperlink r:id="rId2172" ref="P61"/>
    <hyperlink r:id="rId2173" ref="R61"/>
    <hyperlink r:id="rId2174" ref="T61"/>
    <hyperlink r:id="rId2175" ref="V61"/>
    <hyperlink r:id="rId2176" ref="X61"/>
    <hyperlink r:id="rId2177" ref="Z61"/>
    <hyperlink r:id="rId2178" ref="AB61"/>
    <hyperlink r:id="rId2179" ref="AD61"/>
    <hyperlink r:id="rId2180" ref="AF61"/>
    <hyperlink r:id="rId2181" ref="AH61"/>
    <hyperlink r:id="rId2182" ref="AJ61"/>
    <hyperlink r:id="rId2183" ref="AL61"/>
    <hyperlink r:id="rId2184" ref="AN61"/>
    <hyperlink r:id="rId2185" ref="AP61"/>
    <hyperlink r:id="rId2186" ref="AR61"/>
    <hyperlink r:id="rId2187" ref="AT61"/>
    <hyperlink r:id="rId2188" ref="AV61"/>
    <hyperlink r:id="rId2189" ref="AX61"/>
    <hyperlink r:id="rId2190" ref="AZ61"/>
    <hyperlink r:id="rId2191" ref="BB61"/>
    <hyperlink r:id="rId2192" ref="BD61"/>
    <hyperlink r:id="rId2193" ref="BF61"/>
    <hyperlink r:id="rId2194" ref="BH61"/>
    <hyperlink r:id="rId2195" ref="BJ61"/>
    <hyperlink r:id="rId2196" ref="BL61"/>
    <hyperlink r:id="rId2197" ref="BN61"/>
    <hyperlink r:id="rId2198" ref="BP61"/>
    <hyperlink r:id="rId2199" ref="BR61"/>
    <hyperlink r:id="rId2200" ref="BT61"/>
    <hyperlink r:id="rId2201" ref="BV61"/>
    <hyperlink r:id="rId2202" ref="BX61"/>
    <hyperlink r:id="rId2203" ref="BZ61"/>
    <hyperlink r:id="rId2204" ref="CB61"/>
    <hyperlink r:id="rId2205" ref="CD61"/>
    <hyperlink r:id="rId2206" ref="CF61"/>
    <hyperlink r:id="rId2207" ref="CH61"/>
    <hyperlink r:id="rId2208" ref="CJ61"/>
    <hyperlink r:id="rId2209" ref="CL61"/>
    <hyperlink r:id="rId2210" ref="CN61"/>
    <hyperlink r:id="rId2211" ref="CP61"/>
    <hyperlink r:id="rId2212" ref="CR61"/>
    <hyperlink r:id="rId2213" ref="CT61"/>
    <hyperlink r:id="rId2214" ref="CV61"/>
    <hyperlink r:id="rId2215" ref="CX61"/>
    <hyperlink r:id="rId2216" ref="CZ61"/>
    <hyperlink r:id="rId2217" ref="DB61"/>
    <hyperlink r:id="rId2218" ref="DD61"/>
    <hyperlink r:id="rId2219" ref="DF61"/>
    <hyperlink r:id="rId2220" ref="DH61"/>
    <hyperlink r:id="rId2221" ref="DJ61"/>
    <hyperlink r:id="rId2222" ref="DL61"/>
    <hyperlink r:id="rId2223" ref="DN61"/>
    <hyperlink r:id="rId2224" ref="DP61"/>
    <hyperlink r:id="rId2225" ref="DR61"/>
    <hyperlink r:id="rId2226" ref="DT61"/>
    <hyperlink r:id="rId2227" ref="DV61"/>
    <hyperlink r:id="rId2228" ref="DX61"/>
    <hyperlink r:id="rId2229" ref="DZ61"/>
    <hyperlink r:id="rId2230" ref="EB61"/>
    <hyperlink r:id="rId2231" ref="ED61"/>
    <hyperlink r:id="rId2232" ref="EF61"/>
    <hyperlink r:id="rId2233" ref="EH61"/>
    <hyperlink r:id="rId2234" ref="EJ61"/>
    <hyperlink r:id="rId2235" ref="EL61"/>
    <hyperlink r:id="rId2236" ref="EN61"/>
    <hyperlink r:id="rId2237" ref="EP61"/>
    <hyperlink r:id="rId2238" ref="ER61"/>
    <hyperlink r:id="rId2239" ref="ET61"/>
    <hyperlink r:id="rId2240" ref="EV61"/>
    <hyperlink r:id="rId2241" ref="EX61"/>
    <hyperlink r:id="rId2242" ref="EZ61"/>
    <hyperlink r:id="rId2243" ref="FB61"/>
    <hyperlink r:id="rId2244" ref="FD61"/>
    <hyperlink r:id="rId2245" ref="FF61"/>
    <hyperlink r:id="rId2246" ref="FH61"/>
    <hyperlink r:id="rId2247" ref="FJ61"/>
    <hyperlink r:id="rId2248" ref="FL61"/>
    <hyperlink r:id="rId2249" ref="FN61"/>
    <hyperlink r:id="rId2250" ref="FP61"/>
    <hyperlink r:id="rId2251" ref="FR61"/>
    <hyperlink r:id="rId2252" ref="FT61"/>
    <hyperlink r:id="rId2253" ref="FV61"/>
    <hyperlink r:id="rId2254" ref="FX61"/>
    <hyperlink r:id="rId2255" ref="FZ61"/>
    <hyperlink r:id="rId2256" ref="GB61"/>
    <hyperlink r:id="rId2257" ref="GD61"/>
    <hyperlink r:id="rId2258" ref="GF61"/>
    <hyperlink r:id="rId2259" ref="GH61"/>
    <hyperlink r:id="rId2260" ref="GJ61"/>
    <hyperlink r:id="rId2261" ref="GL61"/>
    <hyperlink r:id="rId2262" ref="GN61"/>
    <hyperlink r:id="rId2263" ref="GP61"/>
    <hyperlink r:id="rId2264" ref="GR61"/>
    <hyperlink r:id="rId2265" ref="GT61"/>
    <hyperlink r:id="rId2266" ref="GV61"/>
    <hyperlink r:id="rId2267" ref="GX61"/>
    <hyperlink r:id="rId2268" ref="GZ61"/>
    <hyperlink r:id="rId2269" ref="HB61"/>
    <hyperlink r:id="rId2270" ref="HD61"/>
    <hyperlink r:id="rId2271" ref="HF61"/>
    <hyperlink r:id="rId2272" ref="HH61"/>
    <hyperlink r:id="rId2273" ref="HJ61"/>
    <hyperlink r:id="rId2274" ref="HL61"/>
    <hyperlink r:id="rId2275" ref="HN61"/>
    <hyperlink r:id="rId2276" ref="HP61"/>
    <hyperlink r:id="rId2277" ref="HR61"/>
    <hyperlink r:id="rId2278" ref="HT61"/>
    <hyperlink r:id="rId2279" ref="HV61"/>
    <hyperlink r:id="rId2280" ref="HX61"/>
    <hyperlink r:id="rId2281" ref="HZ61"/>
    <hyperlink r:id="rId2282" ref="IB61"/>
    <hyperlink r:id="rId2283" ref="ID61"/>
    <hyperlink r:id="rId2284" ref="IF61"/>
    <hyperlink r:id="rId2285" ref="IH61"/>
    <hyperlink r:id="rId2286" ref="IJ61"/>
    <hyperlink r:id="rId2287" ref="IL61"/>
    <hyperlink r:id="rId2288" ref="IN61"/>
    <hyperlink r:id="rId2289" ref="IP61"/>
    <hyperlink r:id="rId2290" ref="IR61"/>
    <hyperlink r:id="rId2291" ref="IT61"/>
    <hyperlink r:id="rId2292" ref="IV61"/>
    <hyperlink r:id="rId2293" ref="IX61"/>
    <hyperlink r:id="rId2294" ref="IZ61"/>
    <hyperlink r:id="rId2295" ref="JB61"/>
    <hyperlink r:id="rId2296" ref="JD61"/>
    <hyperlink r:id="rId2297" ref="JF61"/>
    <hyperlink r:id="rId2298" ref="JH61"/>
    <hyperlink r:id="rId2299" ref="JJ61"/>
    <hyperlink r:id="rId2300" ref="JL61"/>
    <hyperlink r:id="rId2301" ref="JN61"/>
    <hyperlink r:id="rId2302" ref="JP61"/>
    <hyperlink r:id="rId2303" ref="JR61"/>
    <hyperlink r:id="rId2304" ref="JT61"/>
    <hyperlink r:id="rId2305" ref="JV61"/>
    <hyperlink r:id="rId2306" ref="JX61"/>
    <hyperlink r:id="rId2307" ref="JZ61"/>
    <hyperlink r:id="rId2308" ref="KB61"/>
    <hyperlink r:id="rId2309" ref="KD61"/>
    <hyperlink r:id="rId2310" ref="KF61"/>
    <hyperlink r:id="rId2311" ref="KH61"/>
    <hyperlink r:id="rId2312" ref="KJ61"/>
    <hyperlink r:id="rId2313" ref="KL61"/>
    <hyperlink r:id="rId2314" ref="KN61"/>
    <hyperlink r:id="rId2315" ref="KP61"/>
    <hyperlink r:id="rId2316" ref="KR61"/>
    <hyperlink r:id="rId2317" ref="KT61"/>
    <hyperlink r:id="rId2318" ref="KV61"/>
    <hyperlink r:id="rId2319" ref="KX61"/>
    <hyperlink r:id="rId2320" ref="KZ61"/>
    <hyperlink r:id="rId2321" ref="LB61"/>
    <hyperlink r:id="rId2322" ref="LD61"/>
    <hyperlink r:id="rId2323" ref="LF61"/>
    <hyperlink r:id="rId2324" ref="LH61"/>
    <hyperlink r:id="rId2325" ref="LJ61"/>
    <hyperlink r:id="rId2326" ref="LL61"/>
    <hyperlink r:id="rId2327" ref="LN61"/>
    <hyperlink r:id="rId2328" ref="LP61"/>
    <hyperlink r:id="rId2329" ref="LR61"/>
    <hyperlink r:id="rId2330" ref="LT61"/>
    <hyperlink r:id="rId2331" ref="LV61"/>
    <hyperlink r:id="rId2332" ref="LX61"/>
    <hyperlink r:id="rId2333" ref="LZ61"/>
    <hyperlink r:id="rId2334" ref="MB61"/>
    <hyperlink r:id="rId2335" ref="MD61"/>
    <hyperlink r:id="rId2336" ref="MF61"/>
    <hyperlink r:id="rId2337" ref="MH61"/>
    <hyperlink r:id="rId2338" ref="MJ61"/>
    <hyperlink r:id="rId2339" ref="ML61"/>
    <hyperlink r:id="rId2340" ref="MN61"/>
    <hyperlink r:id="rId2341" ref="MP61"/>
    <hyperlink r:id="rId2342" ref="MR61"/>
    <hyperlink r:id="rId2343" ref="MT61"/>
    <hyperlink r:id="rId2344" ref="MV61"/>
    <hyperlink r:id="rId2345" ref="MX61"/>
    <hyperlink r:id="rId2346" ref="MZ61"/>
    <hyperlink r:id="rId2347" ref="NB61"/>
    <hyperlink r:id="rId2348" ref="ND61"/>
    <hyperlink r:id="rId2349" ref="NF61"/>
    <hyperlink r:id="rId2350" ref="NH61"/>
    <hyperlink r:id="rId2351" ref="NJ61"/>
    <hyperlink r:id="rId2352" ref="NL61"/>
    <hyperlink r:id="rId2353" ref="NN61"/>
    <hyperlink r:id="rId2354" ref="NP61"/>
    <hyperlink r:id="rId2355" ref="NR61"/>
    <hyperlink r:id="rId2356" ref="NT61"/>
    <hyperlink r:id="rId2357" ref="NV61"/>
    <hyperlink r:id="rId2358" ref="NX61"/>
    <hyperlink r:id="rId2359" ref="NZ61"/>
    <hyperlink r:id="rId2360" ref="OB61"/>
    <hyperlink r:id="rId2361" ref="OD61"/>
    <hyperlink r:id="rId2362" ref="OF61"/>
    <hyperlink r:id="rId2363" ref="OH61"/>
    <hyperlink r:id="rId2364" ref="OJ61"/>
    <hyperlink r:id="rId2365" ref="OL61"/>
    <hyperlink r:id="rId2366" ref="ON61"/>
    <hyperlink r:id="rId2367" ref="OP61"/>
    <hyperlink r:id="rId2368" ref="OR61"/>
    <hyperlink r:id="rId2369" ref="OT61"/>
    <hyperlink r:id="rId2370" ref="OV61"/>
    <hyperlink r:id="rId2371" ref="N62"/>
    <hyperlink r:id="rId2372" ref="P62"/>
    <hyperlink r:id="rId2373" ref="R62"/>
    <hyperlink r:id="rId2374" ref="T62"/>
    <hyperlink r:id="rId2375" ref="V62"/>
    <hyperlink r:id="rId2376" ref="X62"/>
    <hyperlink r:id="rId2377" ref="Z62"/>
    <hyperlink r:id="rId2378" ref="AB62"/>
    <hyperlink r:id="rId2379" ref="AD62"/>
    <hyperlink r:id="rId2380" ref="AF62"/>
    <hyperlink r:id="rId2381" ref="AH62"/>
    <hyperlink r:id="rId2382" ref="AJ62"/>
    <hyperlink r:id="rId2383" ref="AL62"/>
    <hyperlink r:id="rId2384" ref="AN62"/>
    <hyperlink r:id="rId2385" ref="AP62"/>
    <hyperlink r:id="rId2386" ref="AR62"/>
    <hyperlink r:id="rId2387" ref="AT62"/>
    <hyperlink r:id="rId2388" ref="AV62"/>
    <hyperlink r:id="rId2389" ref="AX62"/>
    <hyperlink r:id="rId2390" ref="AZ62"/>
    <hyperlink r:id="rId2391" ref="BB62"/>
    <hyperlink r:id="rId2392" ref="BD62"/>
    <hyperlink r:id="rId2393" ref="BF62"/>
    <hyperlink r:id="rId2394" ref="BH62"/>
    <hyperlink r:id="rId2395" ref="BJ62"/>
    <hyperlink r:id="rId2396" ref="BL62"/>
    <hyperlink r:id="rId2397" ref="BN62"/>
    <hyperlink r:id="rId2398" ref="BP62"/>
    <hyperlink r:id="rId2399" ref="BR62"/>
    <hyperlink r:id="rId2400" ref="BT62"/>
    <hyperlink r:id="rId2401" ref="BV62"/>
    <hyperlink r:id="rId2402" ref="BX62"/>
    <hyperlink r:id="rId2403" ref="BZ62"/>
    <hyperlink r:id="rId2404" ref="CB62"/>
    <hyperlink r:id="rId2405" ref="CD62"/>
    <hyperlink r:id="rId2406" ref="CF62"/>
    <hyperlink r:id="rId2407" ref="CH62"/>
    <hyperlink r:id="rId2408" ref="CJ62"/>
    <hyperlink r:id="rId2409" ref="CL62"/>
    <hyperlink r:id="rId2410" ref="CN62"/>
    <hyperlink r:id="rId2411" ref="CP62"/>
    <hyperlink r:id="rId2412" ref="CR62"/>
    <hyperlink r:id="rId2413" ref="CT62"/>
    <hyperlink r:id="rId2414" ref="CV62"/>
    <hyperlink r:id="rId2415" ref="CX62"/>
    <hyperlink r:id="rId2416" ref="CZ62"/>
    <hyperlink r:id="rId2417" ref="DB62"/>
    <hyperlink r:id="rId2418" ref="DD62"/>
    <hyperlink r:id="rId2419" ref="DF62"/>
    <hyperlink r:id="rId2420" ref="DH62"/>
    <hyperlink r:id="rId2421" ref="DJ62"/>
    <hyperlink r:id="rId2422" ref="DL62"/>
    <hyperlink r:id="rId2423" ref="DN62"/>
    <hyperlink r:id="rId2424" ref="DP62"/>
    <hyperlink r:id="rId2425" ref="DR62"/>
    <hyperlink r:id="rId2426" ref="DT62"/>
    <hyperlink r:id="rId2427" ref="DV62"/>
    <hyperlink r:id="rId2428" ref="DX62"/>
    <hyperlink r:id="rId2429" ref="DZ62"/>
    <hyperlink r:id="rId2430" ref="EB62"/>
    <hyperlink r:id="rId2431" ref="ED62"/>
    <hyperlink r:id="rId2432" ref="EF62"/>
    <hyperlink r:id="rId2433" ref="EH62"/>
    <hyperlink r:id="rId2434" ref="EJ62"/>
    <hyperlink r:id="rId2435" ref="EL62"/>
    <hyperlink r:id="rId2436" ref="EN62"/>
    <hyperlink r:id="rId2437" ref="EP62"/>
    <hyperlink r:id="rId2438" ref="ER62"/>
    <hyperlink r:id="rId2439" ref="ET62"/>
    <hyperlink r:id="rId2440" ref="EV62"/>
    <hyperlink r:id="rId2441" ref="EX62"/>
    <hyperlink r:id="rId2442" ref="EZ62"/>
    <hyperlink r:id="rId2443" ref="FB62"/>
    <hyperlink r:id="rId2444" ref="FD62"/>
    <hyperlink r:id="rId2445" ref="FF62"/>
    <hyperlink r:id="rId2446" ref="FH62"/>
    <hyperlink r:id="rId2447" ref="FJ62"/>
    <hyperlink r:id="rId2448" ref="FL62"/>
    <hyperlink r:id="rId2449" ref="FN62"/>
    <hyperlink r:id="rId2450" ref="FP62"/>
    <hyperlink r:id="rId2451" ref="FR62"/>
    <hyperlink r:id="rId2452" ref="FT62"/>
    <hyperlink r:id="rId2453" ref="FV62"/>
    <hyperlink r:id="rId2454" ref="FX62"/>
    <hyperlink r:id="rId2455" ref="FZ62"/>
    <hyperlink r:id="rId2456" ref="GB62"/>
    <hyperlink r:id="rId2457" ref="GD62"/>
    <hyperlink r:id="rId2458" ref="GF62"/>
    <hyperlink r:id="rId2459" ref="GH62"/>
    <hyperlink r:id="rId2460" ref="GJ62"/>
    <hyperlink r:id="rId2461" ref="GL62"/>
    <hyperlink r:id="rId2462" ref="GN62"/>
    <hyperlink r:id="rId2463" ref="GP62"/>
    <hyperlink r:id="rId2464" ref="GR62"/>
    <hyperlink r:id="rId2465" ref="GT62"/>
    <hyperlink r:id="rId2466" ref="GV62"/>
    <hyperlink r:id="rId2467" ref="GX62"/>
    <hyperlink r:id="rId2468" ref="GZ62"/>
    <hyperlink r:id="rId2469" ref="HB62"/>
    <hyperlink r:id="rId2470" ref="HD62"/>
    <hyperlink r:id="rId2471" ref="HF62"/>
    <hyperlink r:id="rId2472" ref="HH62"/>
    <hyperlink r:id="rId2473" ref="HJ62"/>
    <hyperlink r:id="rId2474" ref="HL62"/>
    <hyperlink r:id="rId2475" ref="HN62"/>
    <hyperlink r:id="rId2476" ref="HP62"/>
    <hyperlink r:id="rId2477" ref="HR62"/>
    <hyperlink r:id="rId2478" ref="HT62"/>
    <hyperlink r:id="rId2479" ref="HV62"/>
    <hyperlink r:id="rId2480" ref="HX62"/>
    <hyperlink r:id="rId2481" ref="HZ62"/>
    <hyperlink r:id="rId2482" ref="IB62"/>
    <hyperlink r:id="rId2483" ref="ID62"/>
    <hyperlink r:id="rId2484" ref="IF62"/>
    <hyperlink r:id="rId2485" ref="IH62"/>
    <hyperlink r:id="rId2486" ref="IJ62"/>
    <hyperlink r:id="rId2487" ref="IL62"/>
    <hyperlink r:id="rId2488" ref="IN62"/>
    <hyperlink r:id="rId2489" ref="IP62"/>
    <hyperlink r:id="rId2490" ref="IR62"/>
    <hyperlink r:id="rId2491" ref="IT62"/>
    <hyperlink r:id="rId2492" ref="IV62"/>
    <hyperlink r:id="rId2493" ref="IX62"/>
    <hyperlink r:id="rId2494" ref="IZ62"/>
    <hyperlink r:id="rId2495" ref="JB62"/>
    <hyperlink r:id="rId2496" ref="JD62"/>
    <hyperlink r:id="rId2497" ref="JF62"/>
    <hyperlink r:id="rId2498" ref="JH62"/>
    <hyperlink r:id="rId2499" ref="JJ62"/>
    <hyperlink r:id="rId2500" ref="JL62"/>
    <hyperlink r:id="rId2501" ref="JN62"/>
    <hyperlink r:id="rId2502" ref="JP62"/>
    <hyperlink r:id="rId2503" ref="JR62"/>
    <hyperlink r:id="rId2504" ref="JT62"/>
    <hyperlink r:id="rId2505" ref="JV62"/>
    <hyperlink r:id="rId2506" ref="JX62"/>
    <hyperlink r:id="rId2507" ref="JZ62"/>
    <hyperlink r:id="rId2508" ref="KB62"/>
    <hyperlink r:id="rId2509" ref="KD62"/>
    <hyperlink r:id="rId2510" ref="KF62"/>
    <hyperlink r:id="rId2511" ref="KH62"/>
    <hyperlink r:id="rId2512" ref="KJ62"/>
    <hyperlink r:id="rId2513" ref="KL62"/>
    <hyperlink r:id="rId2514" ref="KN62"/>
    <hyperlink r:id="rId2515" ref="KP62"/>
    <hyperlink r:id="rId2516" ref="KR62"/>
    <hyperlink r:id="rId2517" ref="KT62"/>
    <hyperlink r:id="rId2518" ref="KV62"/>
    <hyperlink r:id="rId2519" ref="KX62"/>
    <hyperlink r:id="rId2520" ref="KZ62"/>
    <hyperlink r:id="rId2521" ref="N63"/>
    <hyperlink r:id="rId2522" ref="P63"/>
    <hyperlink r:id="rId2523" ref="R63"/>
    <hyperlink r:id="rId2524" ref="T63"/>
    <hyperlink r:id="rId2525" ref="V63"/>
    <hyperlink r:id="rId2526" ref="X63"/>
    <hyperlink r:id="rId2527" ref="Z63"/>
    <hyperlink r:id="rId2528" ref="AB63"/>
    <hyperlink r:id="rId2529" ref="AD63"/>
    <hyperlink r:id="rId2530" ref="AF63"/>
    <hyperlink r:id="rId2531" ref="AH63"/>
    <hyperlink r:id="rId2532" ref="AJ63"/>
    <hyperlink r:id="rId2533" ref="AL63"/>
    <hyperlink r:id="rId2534" ref="AN63"/>
    <hyperlink r:id="rId2535" ref="AP63"/>
    <hyperlink r:id="rId2536" ref="AR63"/>
    <hyperlink r:id="rId2537" ref="AT63"/>
    <hyperlink r:id="rId2538" ref="AV63"/>
    <hyperlink r:id="rId2539" ref="AX63"/>
    <hyperlink r:id="rId2540" ref="AZ63"/>
    <hyperlink r:id="rId2541" ref="BB63"/>
    <hyperlink r:id="rId2542" ref="BD63"/>
    <hyperlink r:id="rId2543" ref="BF63"/>
    <hyperlink r:id="rId2544" ref="BH63"/>
    <hyperlink r:id="rId2545" ref="BJ63"/>
    <hyperlink r:id="rId2546" ref="BL63"/>
    <hyperlink r:id="rId2547" ref="BN63"/>
    <hyperlink r:id="rId2548" ref="BP63"/>
    <hyperlink r:id="rId2549" ref="BR63"/>
    <hyperlink r:id="rId2550" ref="BT63"/>
    <hyperlink r:id="rId2551" ref="N64"/>
    <hyperlink r:id="rId2552" ref="P64"/>
    <hyperlink r:id="rId2553" ref="R64"/>
    <hyperlink r:id="rId2554" ref="T64"/>
    <hyperlink r:id="rId2555" ref="V64"/>
    <hyperlink r:id="rId2556" ref="X64"/>
    <hyperlink r:id="rId2557" ref="Z64"/>
    <hyperlink r:id="rId2558" ref="AB64"/>
    <hyperlink r:id="rId2559" ref="AD64"/>
    <hyperlink r:id="rId2560" ref="AF64"/>
    <hyperlink r:id="rId2561" ref="AH64"/>
    <hyperlink r:id="rId2562" ref="AJ64"/>
    <hyperlink r:id="rId2563" ref="AL64"/>
    <hyperlink r:id="rId2564" ref="AN64"/>
    <hyperlink r:id="rId2565" ref="AP64"/>
    <hyperlink r:id="rId2566" ref="AR64"/>
    <hyperlink r:id="rId2567" ref="AT64"/>
    <hyperlink r:id="rId2568" ref="AV64"/>
    <hyperlink r:id="rId2569" ref="AX64"/>
    <hyperlink r:id="rId2570" ref="AZ64"/>
    <hyperlink r:id="rId2571" ref="BB64"/>
    <hyperlink r:id="rId2572" ref="BD64"/>
    <hyperlink r:id="rId2573" ref="BF64"/>
    <hyperlink r:id="rId2574" ref="BH64"/>
    <hyperlink r:id="rId2575" ref="BJ64"/>
    <hyperlink r:id="rId2576" ref="BL64"/>
    <hyperlink r:id="rId2577" ref="BN64"/>
    <hyperlink r:id="rId2578" ref="BP64"/>
    <hyperlink r:id="rId2579" ref="BR64"/>
    <hyperlink r:id="rId2580" ref="BT64"/>
    <hyperlink r:id="rId2581" ref="N65"/>
    <hyperlink r:id="rId2582" ref="P65"/>
    <hyperlink r:id="rId2583" ref="R65"/>
    <hyperlink r:id="rId2584" ref="T65"/>
    <hyperlink r:id="rId2585" ref="V65"/>
    <hyperlink r:id="rId2586" ref="X65"/>
    <hyperlink r:id="rId2587" ref="Z65"/>
    <hyperlink r:id="rId2588" ref="AB65"/>
    <hyperlink r:id="rId2589" ref="AD65"/>
    <hyperlink r:id="rId2590" ref="AF65"/>
    <hyperlink r:id="rId2591" ref="AH65"/>
    <hyperlink r:id="rId2592" ref="AJ65"/>
    <hyperlink r:id="rId2593" ref="AL65"/>
    <hyperlink r:id="rId2594" ref="AN65"/>
    <hyperlink r:id="rId2595" ref="AP65"/>
    <hyperlink r:id="rId2596" ref="AR65"/>
    <hyperlink r:id="rId2597" ref="AT65"/>
    <hyperlink r:id="rId2598" ref="AV65"/>
    <hyperlink r:id="rId2599" ref="AX65"/>
    <hyperlink r:id="rId2600" ref="AZ65"/>
    <hyperlink r:id="rId2601" ref="BB65"/>
    <hyperlink r:id="rId2602" ref="BD65"/>
    <hyperlink r:id="rId2603" ref="BF65"/>
    <hyperlink r:id="rId2604" ref="BH65"/>
    <hyperlink r:id="rId2605" ref="BJ65"/>
    <hyperlink r:id="rId2606" ref="BL65"/>
    <hyperlink r:id="rId2607" ref="BN65"/>
    <hyperlink r:id="rId2608" ref="BP65"/>
    <hyperlink r:id="rId2609" ref="BR65"/>
    <hyperlink r:id="rId2610" ref="BT65"/>
    <hyperlink r:id="rId2611" ref="N66"/>
    <hyperlink r:id="rId2612" ref="P66"/>
    <hyperlink r:id="rId2613" ref="R66"/>
    <hyperlink r:id="rId2614" ref="T66"/>
    <hyperlink r:id="rId2615" ref="V66"/>
    <hyperlink r:id="rId2616" ref="X66"/>
    <hyperlink r:id="rId2617" ref="Z66"/>
    <hyperlink r:id="rId2618" ref="AB66"/>
    <hyperlink r:id="rId2619" ref="AD66"/>
    <hyperlink r:id="rId2620" ref="AF66"/>
    <hyperlink r:id="rId2621" ref="AH66"/>
    <hyperlink r:id="rId2622" ref="AJ66"/>
    <hyperlink r:id="rId2623" ref="AL66"/>
    <hyperlink r:id="rId2624" ref="AN66"/>
    <hyperlink r:id="rId2625" ref="AP66"/>
    <hyperlink r:id="rId2626" ref="AR66"/>
    <hyperlink r:id="rId2627" ref="AT66"/>
    <hyperlink r:id="rId2628" ref="AV66"/>
    <hyperlink r:id="rId2629" ref="AX66"/>
    <hyperlink r:id="rId2630" ref="AZ66"/>
    <hyperlink r:id="rId2631" ref="BB66"/>
    <hyperlink r:id="rId2632" ref="BD66"/>
    <hyperlink r:id="rId2633" ref="BF66"/>
    <hyperlink r:id="rId2634" ref="BH66"/>
    <hyperlink r:id="rId2635" ref="BJ66"/>
    <hyperlink r:id="rId2636" ref="BL66"/>
    <hyperlink r:id="rId2637" ref="BN66"/>
    <hyperlink r:id="rId2638" ref="BP66"/>
    <hyperlink r:id="rId2639" ref="BR66"/>
    <hyperlink r:id="rId2640" ref="BT66"/>
    <hyperlink r:id="rId2641" ref="N67"/>
    <hyperlink r:id="rId2642" ref="P67"/>
    <hyperlink r:id="rId2643" ref="R67"/>
    <hyperlink r:id="rId2644" ref="T67"/>
    <hyperlink r:id="rId2645" ref="V67"/>
    <hyperlink r:id="rId2646" ref="X67"/>
    <hyperlink r:id="rId2647" ref="Z67"/>
    <hyperlink r:id="rId2648" ref="AB67"/>
    <hyperlink r:id="rId2649" ref="AD67"/>
    <hyperlink r:id="rId2650" ref="AF67"/>
    <hyperlink r:id="rId2651" ref="AH67"/>
    <hyperlink r:id="rId2652" ref="AJ67"/>
    <hyperlink r:id="rId2653" ref="AL67"/>
    <hyperlink r:id="rId2654" ref="AN67"/>
    <hyperlink r:id="rId2655" ref="AP67"/>
    <hyperlink r:id="rId2656" ref="AR67"/>
    <hyperlink r:id="rId2657" ref="AT67"/>
    <hyperlink r:id="rId2658" ref="AV67"/>
    <hyperlink r:id="rId2659" ref="AX67"/>
    <hyperlink r:id="rId2660" ref="AZ67"/>
    <hyperlink r:id="rId2661" ref="BB67"/>
    <hyperlink r:id="rId2662" ref="BD67"/>
    <hyperlink r:id="rId2663" ref="BF67"/>
    <hyperlink r:id="rId2664" ref="BH67"/>
    <hyperlink r:id="rId2665" ref="BJ67"/>
    <hyperlink r:id="rId2666" ref="BL67"/>
    <hyperlink r:id="rId2667" ref="BN67"/>
    <hyperlink r:id="rId2668" ref="BP67"/>
    <hyperlink r:id="rId2669" ref="BR67"/>
    <hyperlink r:id="rId2670" ref="BT67"/>
    <hyperlink r:id="rId2671" ref="BV67"/>
    <hyperlink r:id="rId2672" ref="BX67"/>
    <hyperlink r:id="rId2673" ref="BZ67"/>
    <hyperlink r:id="rId2674" ref="CB67"/>
    <hyperlink r:id="rId2675" ref="CD67"/>
    <hyperlink r:id="rId2676" ref="CF67"/>
    <hyperlink r:id="rId2677" ref="CH67"/>
    <hyperlink r:id="rId2678" ref="CJ67"/>
    <hyperlink r:id="rId2679" ref="CL67"/>
    <hyperlink r:id="rId2680" ref="CN67"/>
    <hyperlink r:id="rId2681" ref="CP67"/>
    <hyperlink r:id="rId2682" ref="CR67"/>
    <hyperlink r:id="rId2683" ref="CT67"/>
    <hyperlink r:id="rId2684" ref="CV67"/>
    <hyperlink r:id="rId2685" ref="CX67"/>
    <hyperlink r:id="rId2686" ref="CZ67"/>
    <hyperlink r:id="rId2687" ref="DB67"/>
    <hyperlink r:id="rId2688" ref="DD67"/>
    <hyperlink r:id="rId2689" ref="DF67"/>
    <hyperlink r:id="rId2690" ref="DH67"/>
    <hyperlink r:id="rId2691" ref="DJ67"/>
    <hyperlink r:id="rId2692" ref="DL67"/>
    <hyperlink r:id="rId2693" ref="DN67"/>
    <hyperlink r:id="rId2694" ref="DP67"/>
    <hyperlink r:id="rId2695" ref="DR67"/>
    <hyperlink r:id="rId2696" ref="DT67"/>
    <hyperlink r:id="rId2697" ref="DV67"/>
    <hyperlink r:id="rId2698" ref="DX67"/>
    <hyperlink r:id="rId2699" ref="DZ67"/>
    <hyperlink r:id="rId2700" ref="EB67"/>
    <hyperlink r:id="rId2701" ref="ED67"/>
    <hyperlink r:id="rId2702" ref="EF67"/>
    <hyperlink r:id="rId2703" ref="EH67"/>
    <hyperlink r:id="rId2704" ref="EJ67"/>
    <hyperlink r:id="rId2705" ref="EL67"/>
    <hyperlink r:id="rId2706" ref="EN67"/>
    <hyperlink r:id="rId2707" ref="EP67"/>
    <hyperlink r:id="rId2708" ref="ER67"/>
    <hyperlink r:id="rId2709" ref="ET67"/>
    <hyperlink r:id="rId2710" ref="EV67"/>
    <hyperlink r:id="rId2711" ref="EX67"/>
    <hyperlink r:id="rId2712" ref="EZ67"/>
    <hyperlink r:id="rId2713" ref="FB67"/>
    <hyperlink r:id="rId2714" ref="FD67"/>
    <hyperlink r:id="rId2715" ref="FF67"/>
    <hyperlink r:id="rId2716" ref="FH67"/>
    <hyperlink r:id="rId2717" ref="FJ67"/>
    <hyperlink r:id="rId2718" ref="FL67"/>
    <hyperlink r:id="rId2719" ref="FN67"/>
    <hyperlink r:id="rId2720" ref="FP67"/>
    <hyperlink r:id="rId2721" ref="FR67"/>
    <hyperlink r:id="rId2722" ref="FT67"/>
    <hyperlink r:id="rId2723" ref="FV67"/>
    <hyperlink r:id="rId2724" ref="FX67"/>
    <hyperlink r:id="rId2725" ref="FZ67"/>
    <hyperlink r:id="rId2726" ref="GB67"/>
    <hyperlink r:id="rId2727" ref="GD67"/>
    <hyperlink r:id="rId2728" ref="GF67"/>
    <hyperlink r:id="rId2729" ref="GH67"/>
    <hyperlink r:id="rId2730" ref="GJ67"/>
    <hyperlink r:id="rId2731" ref="GL67"/>
    <hyperlink r:id="rId2732" ref="GN67"/>
    <hyperlink r:id="rId2733" ref="GP67"/>
    <hyperlink r:id="rId2734" ref="GR67"/>
    <hyperlink r:id="rId2735" ref="GT67"/>
    <hyperlink r:id="rId2736" ref="GV67"/>
    <hyperlink r:id="rId2737" ref="GX67"/>
    <hyperlink r:id="rId2738" ref="GZ67"/>
    <hyperlink r:id="rId2739" ref="HB67"/>
    <hyperlink r:id="rId2740" ref="HD67"/>
    <hyperlink r:id="rId2741" ref="HF67"/>
    <hyperlink r:id="rId2742" ref="HH67"/>
    <hyperlink r:id="rId2743" ref="HJ67"/>
    <hyperlink r:id="rId2744" ref="HL67"/>
    <hyperlink r:id="rId2745" ref="HN67"/>
    <hyperlink r:id="rId2746" ref="HP67"/>
    <hyperlink r:id="rId2747" ref="HR67"/>
    <hyperlink r:id="rId2748" ref="HT67"/>
    <hyperlink r:id="rId2749" ref="HV67"/>
    <hyperlink r:id="rId2750" ref="HX67"/>
    <hyperlink r:id="rId2751" ref="HZ67"/>
    <hyperlink r:id="rId2752" ref="IB67"/>
    <hyperlink r:id="rId2753" ref="ID67"/>
    <hyperlink r:id="rId2754" ref="IF67"/>
    <hyperlink r:id="rId2755" ref="IH67"/>
    <hyperlink r:id="rId2756" ref="IJ67"/>
    <hyperlink r:id="rId2757" ref="IL67"/>
    <hyperlink r:id="rId2758" ref="IN67"/>
    <hyperlink r:id="rId2759" ref="IP67"/>
    <hyperlink r:id="rId2760" ref="IR67"/>
    <hyperlink r:id="rId2761" ref="IT67"/>
    <hyperlink r:id="rId2762" ref="IV67"/>
    <hyperlink r:id="rId2763" ref="IX67"/>
    <hyperlink r:id="rId2764" ref="IZ67"/>
    <hyperlink r:id="rId2765" ref="JB67"/>
    <hyperlink r:id="rId2766" ref="JD67"/>
    <hyperlink r:id="rId2767" ref="JF67"/>
    <hyperlink r:id="rId2768" ref="JH67"/>
    <hyperlink r:id="rId2769" ref="JJ67"/>
    <hyperlink r:id="rId2770" ref="JL67"/>
    <hyperlink r:id="rId2771" ref="JN67"/>
    <hyperlink r:id="rId2772" ref="JP67"/>
    <hyperlink r:id="rId2773" ref="JR67"/>
    <hyperlink r:id="rId2774" ref="JT67"/>
    <hyperlink r:id="rId2775" ref="JV67"/>
    <hyperlink r:id="rId2776" ref="JX67"/>
    <hyperlink r:id="rId2777" ref="JZ67"/>
    <hyperlink r:id="rId2778" ref="KB67"/>
    <hyperlink r:id="rId2779" ref="KD67"/>
    <hyperlink r:id="rId2780" ref="KF67"/>
    <hyperlink r:id="rId2781" ref="KH67"/>
    <hyperlink r:id="rId2782" ref="KJ67"/>
    <hyperlink r:id="rId2783" ref="KL67"/>
    <hyperlink r:id="rId2784" ref="KN67"/>
    <hyperlink r:id="rId2785" ref="KP67"/>
    <hyperlink r:id="rId2786" ref="KR67"/>
    <hyperlink r:id="rId2787" ref="KT67"/>
    <hyperlink r:id="rId2788" ref="KV67"/>
    <hyperlink r:id="rId2789" ref="KX67"/>
    <hyperlink r:id="rId2790" ref="KZ67"/>
    <hyperlink r:id="rId2791" ref="N68"/>
    <hyperlink r:id="rId2792" ref="P68"/>
    <hyperlink r:id="rId2793" ref="R68"/>
    <hyperlink r:id="rId2794" ref="T68"/>
    <hyperlink r:id="rId2795" ref="V68"/>
    <hyperlink r:id="rId2796" ref="X68"/>
    <hyperlink r:id="rId2797" ref="Z68"/>
    <hyperlink r:id="rId2798" ref="AB68"/>
    <hyperlink r:id="rId2799" ref="AD68"/>
    <hyperlink r:id="rId2800" ref="AF68"/>
    <hyperlink r:id="rId2801" ref="AH68"/>
    <hyperlink r:id="rId2802" ref="AJ68"/>
    <hyperlink r:id="rId2803" ref="AL68"/>
    <hyperlink r:id="rId2804" ref="AN68"/>
    <hyperlink r:id="rId2805" ref="AP68"/>
    <hyperlink r:id="rId2806" ref="AR68"/>
    <hyperlink r:id="rId2807" ref="AT68"/>
    <hyperlink r:id="rId2808" ref="AV68"/>
    <hyperlink r:id="rId2809" ref="AX68"/>
    <hyperlink r:id="rId2810" ref="AZ68"/>
    <hyperlink r:id="rId2811" ref="BB68"/>
    <hyperlink r:id="rId2812" ref="BD68"/>
    <hyperlink r:id="rId2813" ref="BF68"/>
    <hyperlink r:id="rId2814" ref="BH68"/>
    <hyperlink r:id="rId2815" ref="BJ68"/>
    <hyperlink r:id="rId2816" ref="BL68"/>
    <hyperlink r:id="rId2817" ref="BN68"/>
    <hyperlink r:id="rId2818" ref="BP68"/>
    <hyperlink r:id="rId2819" ref="BR68"/>
    <hyperlink r:id="rId2820" ref="BT68"/>
    <hyperlink r:id="rId2821" ref="BV68"/>
    <hyperlink r:id="rId2822" ref="BX68"/>
    <hyperlink r:id="rId2823" ref="BZ68"/>
    <hyperlink r:id="rId2824" ref="CB68"/>
    <hyperlink r:id="rId2825" ref="CD68"/>
    <hyperlink r:id="rId2826" ref="CF68"/>
    <hyperlink r:id="rId2827" ref="CH68"/>
    <hyperlink r:id="rId2828" ref="CJ68"/>
    <hyperlink r:id="rId2829" ref="CL68"/>
    <hyperlink r:id="rId2830" ref="CN68"/>
    <hyperlink r:id="rId2831" ref="CP68"/>
    <hyperlink r:id="rId2832" ref="CR68"/>
    <hyperlink r:id="rId2833" ref="CT68"/>
    <hyperlink r:id="rId2834" ref="CV68"/>
    <hyperlink r:id="rId2835" ref="CX68"/>
    <hyperlink r:id="rId2836" ref="CZ68"/>
    <hyperlink r:id="rId2837" ref="DB68"/>
    <hyperlink r:id="rId2838" ref="DD68"/>
    <hyperlink r:id="rId2839" ref="DF68"/>
    <hyperlink r:id="rId2840" ref="DH68"/>
    <hyperlink r:id="rId2841" ref="DJ68"/>
    <hyperlink r:id="rId2842" ref="DL68"/>
    <hyperlink r:id="rId2843" ref="DN68"/>
    <hyperlink r:id="rId2844" ref="DP68"/>
    <hyperlink r:id="rId2845" ref="DR68"/>
    <hyperlink r:id="rId2846" ref="DT68"/>
    <hyperlink r:id="rId2847" ref="DV68"/>
    <hyperlink r:id="rId2848" ref="DX68"/>
    <hyperlink r:id="rId2849" ref="DZ68"/>
    <hyperlink r:id="rId2850" ref="EB68"/>
    <hyperlink r:id="rId2851" ref="ED68"/>
    <hyperlink r:id="rId2852" ref="EF68"/>
    <hyperlink r:id="rId2853" ref="EH68"/>
    <hyperlink r:id="rId2854" ref="EJ68"/>
    <hyperlink r:id="rId2855" ref="EL68"/>
    <hyperlink r:id="rId2856" ref="EN68"/>
    <hyperlink r:id="rId2857" ref="EP68"/>
    <hyperlink r:id="rId2858" ref="ER68"/>
    <hyperlink r:id="rId2859" ref="ET68"/>
    <hyperlink r:id="rId2860" ref="EV68"/>
    <hyperlink r:id="rId2861" ref="EX68"/>
    <hyperlink r:id="rId2862" ref="EZ68"/>
    <hyperlink r:id="rId2863" ref="FB68"/>
    <hyperlink r:id="rId2864" ref="FD68"/>
    <hyperlink r:id="rId2865" ref="FF68"/>
    <hyperlink r:id="rId2866" ref="FH68"/>
    <hyperlink r:id="rId2867" ref="FJ68"/>
    <hyperlink r:id="rId2868" ref="FL68"/>
    <hyperlink r:id="rId2869" ref="FN68"/>
    <hyperlink r:id="rId2870" ref="FP68"/>
    <hyperlink r:id="rId2871" ref="FR68"/>
    <hyperlink r:id="rId2872" ref="FT68"/>
    <hyperlink r:id="rId2873" ref="FV68"/>
    <hyperlink r:id="rId2874" ref="FX68"/>
    <hyperlink r:id="rId2875" ref="FZ68"/>
    <hyperlink r:id="rId2876" ref="GB68"/>
    <hyperlink r:id="rId2877" ref="GD68"/>
    <hyperlink r:id="rId2878" ref="GF68"/>
    <hyperlink r:id="rId2879" ref="GH68"/>
    <hyperlink r:id="rId2880" ref="GJ68"/>
    <hyperlink r:id="rId2881" ref="GL68"/>
    <hyperlink r:id="rId2882" ref="GN68"/>
    <hyperlink r:id="rId2883" ref="GP68"/>
    <hyperlink r:id="rId2884" ref="GR68"/>
    <hyperlink r:id="rId2885" ref="GT68"/>
    <hyperlink r:id="rId2886" ref="GV68"/>
    <hyperlink r:id="rId2887" ref="GX68"/>
    <hyperlink r:id="rId2888" ref="GZ68"/>
    <hyperlink r:id="rId2889" ref="HB68"/>
    <hyperlink r:id="rId2890" ref="HD68"/>
    <hyperlink r:id="rId2891" ref="N69"/>
    <hyperlink r:id="rId2892" ref="P69"/>
    <hyperlink r:id="rId2893" ref="R69"/>
    <hyperlink r:id="rId2894" ref="T69"/>
    <hyperlink r:id="rId2895" ref="V69"/>
    <hyperlink r:id="rId2896" ref="X69"/>
    <hyperlink r:id="rId2897" ref="Z69"/>
    <hyperlink r:id="rId2898" ref="AB69"/>
    <hyperlink r:id="rId2899" ref="AD69"/>
    <hyperlink r:id="rId2900" ref="AF69"/>
    <hyperlink r:id="rId2901" ref="AH69"/>
    <hyperlink r:id="rId2902" ref="AJ69"/>
    <hyperlink r:id="rId2903" ref="AL69"/>
    <hyperlink r:id="rId2904" ref="AN69"/>
    <hyperlink r:id="rId2905" ref="AP69"/>
    <hyperlink r:id="rId2906" ref="AR69"/>
    <hyperlink r:id="rId2907" ref="AT69"/>
    <hyperlink r:id="rId2908" ref="AV69"/>
    <hyperlink r:id="rId2909" ref="AX69"/>
    <hyperlink r:id="rId2910" ref="AZ69"/>
    <hyperlink r:id="rId2911" ref="BB69"/>
    <hyperlink r:id="rId2912" ref="BD69"/>
    <hyperlink r:id="rId2913" ref="BF69"/>
    <hyperlink r:id="rId2914" ref="BH69"/>
    <hyperlink r:id="rId2915" ref="BJ69"/>
    <hyperlink r:id="rId2916" ref="BL69"/>
    <hyperlink r:id="rId2917" ref="BN69"/>
    <hyperlink r:id="rId2918" ref="BP69"/>
    <hyperlink r:id="rId2919" ref="BR69"/>
    <hyperlink r:id="rId2920" ref="BT69"/>
    <hyperlink r:id="rId2921" ref="BV69"/>
    <hyperlink r:id="rId2922" ref="BX69"/>
    <hyperlink r:id="rId2923" ref="BZ69"/>
    <hyperlink r:id="rId2924" ref="CB69"/>
    <hyperlink r:id="rId2925" ref="CD69"/>
    <hyperlink r:id="rId2926" ref="CF69"/>
    <hyperlink r:id="rId2927" ref="CH69"/>
    <hyperlink r:id="rId2928" ref="CJ69"/>
    <hyperlink r:id="rId2929" ref="CL69"/>
    <hyperlink r:id="rId2930" ref="CN69"/>
    <hyperlink r:id="rId2931" ref="CP69"/>
    <hyperlink r:id="rId2932" ref="CR69"/>
    <hyperlink r:id="rId2933" ref="CT69"/>
    <hyperlink r:id="rId2934" ref="CV69"/>
    <hyperlink r:id="rId2935" ref="CX69"/>
    <hyperlink r:id="rId2936" ref="CZ69"/>
    <hyperlink r:id="rId2937" ref="DB69"/>
    <hyperlink r:id="rId2938" ref="DD69"/>
    <hyperlink r:id="rId2939" ref="DF69"/>
    <hyperlink r:id="rId2940" ref="DH69"/>
    <hyperlink r:id="rId2941" ref="DJ69"/>
    <hyperlink r:id="rId2942" ref="DL69"/>
    <hyperlink r:id="rId2943" ref="DN69"/>
    <hyperlink r:id="rId2944" ref="DP69"/>
    <hyperlink r:id="rId2945" ref="DR69"/>
    <hyperlink r:id="rId2946" ref="DT69"/>
    <hyperlink r:id="rId2947" ref="DV69"/>
    <hyperlink r:id="rId2948" ref="DX69"/>
    <hyperlink r:id="rId2949" ref="DZ69"/>
    <hyperlink r:id="rId2950" ref="EB69"/>
    <hyperlink r:id="rId2951" ref="ED69"/>
    <hyperlink r:id="rId2952" ref="EF69"/>
    <hyperlink r:id="rId2953" ref="EH69"/>
    <hyperlink r:id="rId2954" ref="EJ69"/>
    <hyperlink r:id="rId2955" ref="EL69"/>
    <hyperlink r:id="rId2956" ref="EN69"/>
    <hyperlink r:id="rId2957" ref="EP69"/>
    <hyperlink r:id="rId2958" ref="ER69"/>
    <hyperlink r:id="rId2959" ref="ET69"/>
    <hyperlink r:id="rId2960" ref="EV69"/>
    <hyperlink r:id="rId2961" ref="EX69"/>
    <hyperlink r:id="rId2962" ref="EZ69"/>
    <hyperlink r:id="rId2963" ref="FB69"/>
    <hyperlink r:id="rId2964" ref="FD69"/>
    <hyperlink r:id="rId2965" ref="FF69"/>
    <hyperlink r:id="rId2966" ref="FH69"/>
    <hyperlink r:id="rId2967" ref="FJ69"/>
    <hyperlink r:id="rId2968" ref="FL69"/>
    <hyperlink r:id="rId2969" ref="FN69"/>
    <hyperlink r:id="rId2970" ref="FP69"/>
    <hyperlink r:id="rId2971" ref="FR69"/>
    <hyperlink r:id="rId2972" ref="FT69"/>
    <hyperlink r:id="rId2973" ref="FV69"/>
    <hyperlink r:id="rId2974" ref="FX69"/>
    <hyperlink r:id="rId2975" ref="FZ69"/>
    <hyperlink r:id="rId2976" ref="GB69"/>
    <hyperlink r:id="rId2977" ref="GD69"/>
    <hyperlink r:id="rId2978" ref="GF69"/>
    <hyperlink r:id="rId2979" ref="GH69"/>
    <hyperlink r:id="rId2980" ref="GJ69"/>
    <hyperlink r:id="rId2981" ref="GL69"/>
    <hyperlink r:id="rId2982" ref="GN69"/>
    <hyperlink r:id="rId2983" ref="GP69"/>
    <hyperlink r:id="rId2984" ref="GR69"/>
    <hyperlink r:id="rId2985" ref="GT69"/>
    <hyperlink r:id="rId2986" ref="GV69"/>
    <hyperlink r:id="rId2987" ref="GX69"/>
    <hyperlink r:id="rId2988" ref="GZ69"/>
    <hyperlink r:id="rId2989" ref="HB69"/>
    <hyperlink r:id="rId2990" ref="HD69"/>
    <hyperlink r:id="rId2991" ref="HF69"/>
    <hyperlink r:id="rId2992" ref="HH69"/>
    <hyperlink r:id="rId2993" ref="HJ69"/>
    <hyperlink r:id="rId2994" ref="HL69"/>
    <hyperlink r:id="rId2995" ref="HN69"/>
    <hyperlink r:id="rId2996" ref="HP69"/>
    <hyperlink r:id="rId2997" ref="HR69"/>
    <hyperlink r:id="rId2998" ref="HT69"/>
    <hyperlink r:id="rId2999" ref="HV69"/>
    <hyperlink r:id="rId3000" ref="HX69"/>
    <hyperlink r:id="rId3001" ref="HZ69"/>
    <hyperlink r:id="rId3002" ref="IB69"/>
    <hyperlink r:id="rId3003" ref="ID69"/>
    <hyperlink r:id="rId3004" ref="IF69"/>
    <hyperlink r:id="rId3005" ref="IH69"/>
    <hyperlink r:id="rId3006" ref="IJ69"/>
    <hyperlink r:id="rId3007" ref="IL69"/>
    <hyperlink r:id="rId3008" ref="IN69"/>
    <hyperlink r:id="rId3009" ref="IP69"/>
    <hyperlink r:id="rId3010" ref="IR69"/>
    <hyperlink r:id="rId3011" ref="IT69"/>
    <hyperlink r:id="rId3012" ref="IV69"/>
    <hyperlink r:id="rId3013" ref="IX69"/>
    <hyperlink r:id="rId3014" ref="IZ69"/>
    <hyperlink r:id="rId3015" ref="JB69"/>
    <hyperlink r:id="rId3016" ref="JD69"/>
    <hyperlink r:id="rId3017" ref="JF69"/>
    <hyperlink r:id="rId3018" ref="JH69"/>
    <hyperlink r:id="rId3019" ref="JJ69"/>
    <hyperlink r:id="rId3020" ref="JL69"/>
    <hyperlink r:id="rId3021" ref="JN69"/>
    <hyperlink r:id="rId3022" ref="JP69"/>
    <hyperlink r:id="rId3023" ref="JR69"/>
    <hyperlink r:id="rId3024" ref="JT69"/>
    <hyperlink r:id="rId3025" ref="JV69"/>
    <hyperlink r:id="rId3026" ref="JX69"/>
    <hyperlink r:id="rId3027" ref="JZ69"/>
    <hyperlink r:id="rId3028" ref="KB69"/>
    <hyperlink r:id="rId3029" ref="KD69"/>
    <hyperlink r:id="rId3030" ref="KF69"/>
    <hyperlink r:id="rId3031" ref="KH69"/>
    <hyperlink r:id="rId3032" ref="KJ69"/>
    <hyperlink r:id="rId3033" ref="KL69"/>
    <hyperlink r:id="rId3034" ref="KN69"/>
    <hyperlink r:id="rId3035" ref="KP69"/>
    <hyperlink r:id="rId3036" ref="KR69"/>
    <hyperlink r:id="rId3037" ref="KT69"/>
    <hyperlink r:id="rId3038" ref="KV69"/>
    <hyperlink r:id="rId3039" ref="KX69"/>
    <hyperlink r:id="rId3040" ref="KZ69"/>
    <hyperlink r:id="rId3041" ref="LB69"/>
    <hyperlink r:id="rId3042" ref="LD69"/>
    <hyperlink r:id="rId3043" ref="LF69"/>
    <hyperlink r:id="rId3044" ref="LH69"/>
    <hyperlink r:id="rId3045" ref="LJ69"/>
    <hyperlink r:id="rId3046" ref="LL69"/>
    <hyperlink r:id="rId3047" ref="LN69"/>
    <hyperlink r:id="rId3048" ref="LP69"/>
    <hyperlink r:id="rId3049" ref="LR69"/>
    <hyperlink r:id="rId3050" ref="LT69"/>
    <hyperlink r:id="rId3051" ref="LV69"/>
    <hyperlink r:id="rId3052" ref="LX69"/>
    <hyperlink r:id="rId3053" ref="LZ69"/>
    <hyperlink r:id="rId3054" ref="MB69"/>
    <hyperlink r:id="rId3055" ref="MD69"/>
    <hyperlink r:id="rId3056" ref="MF69"/>
    <hyperlink r:id="rId3057" ref="MH69"/>
    <hyperlink r:id="rId3058" ref="MJ69"/>
    <hyperlink r:id="rId3059" ref="ML69"/>
    <hyperlink r:id="rId3060" ref="MN69"/>
    <hyperlink r:id="rId3061" ref="MP69"/>
    <hyperlink r:id="rId3062" ref="MR69"/>
    <hyperlink r:id="rId3063" ref="MT69"/>
    <hyperlink r:id="rId3064" ref="MV69"/>
    <hyperlink r:id="rId3065" ref="MX69"/>
    <hyperlink r:id="rId3066" ref="MZ69"/>
    <hyperlink r:id="rId3067" ref="NB69"/>
    <hyperlink r:id="rId3068" ref="ND69"/>
    <hyperlink r:id="rId3069" ref="NF69"/>
    <hyperlink r:id="rId3070" ref="NH69"/>
    <hyperlink r:id="rId3071" ref="NJ69"/>
    <hyperlink r:id="rId3072" ref="NL69"/>
    <hyperlink r:id="rId3073" ref="NN69"/>
    <hyperlink r:id="rId3074" ref="NP69"/>
    <hyperlink r:id="rId3075" ref="NR69"/>
    <hyperlink r:id="rId3076" ref="NT69"/>
    <hyperlink r:id="rId3077" ref="NV69"/>
    <hyperlink r:id="rId3078" ref="NX69"/>
    <hyperlink r:id="rId3079" ref="NZ69"/>
    <hyperlink r:id="rId3080" ref="OB69"/>
    <hyperlink r:id="rId3081" ref="OD69"/>
    <hyperlink r:id="rId3082" ref="OF69"/>
    <hyperlink r:id="rId3083" ref="OH69"/>
    <hyperlink r:id="rId3084" ref="N70"/>
    <hyperlink r:id="rId3085" ref="P70"/>
    <hyperlink r:id="rId3086" ref="R70"/>
    <hyperlink r:id="rId3087" ref="T70"/>
    <hyperlink r:id="rId3088" ref="V70"/>
    <hyperlink r:id="rId3089" ref="X70"/>
    <hyperlink r:id="rId3090" ref="Z70"/>
    <hyperlink r:id="rId3091" ref="AB70"/>
    <hyperlink r:id="rId3092" ref="AD70"/>
    <hyperlink r:id="rId3093" ref="AF70"/>
    <hyperlink r:id="rId3094" ref="AH70"/>
    <hyperlink r:id="rId3095" ref="AJ70"/>
    <hyperlink r:id="rId3096" ref="AL70"/>
    <hyperlink r:id="rId3097" ref="AN70"/>
    <hyperlink r:id="rId3098" ref="AP70"/>
    <hyperlink r:id="rId3099" ref="AR70"/>
    <hyperlink r:id="rId3100" ref="AT70"/>
    <hyperlink r:id="rId3101" ref="AV70"/>
    <hyperlink r:id="rId3102" ref="AX70"/>
    <hyperlink r:id="rId3103" ref="AZ70"/>
    <hyperlink r:id="rId3104" ref="BB70"/>
    <hyperlink r:id="rId3105" ref="BD70"/>
    <hyperlink r:id="rId3106" ref="BF70"/>
    <hyperlink r:id="rId3107" ref="BH70"/>
    <hyperlink r:id="rId3108" ref="BJ70"/>
    <hyperlink r:id="rId3109" ref="BL70"/>
    <hyperlink r:id="rId3110" ref="BN70"/>
    <hyperlink r:id="rId3111" ref="BP70"/>
    <hyperlink r:id="rId3112" ref="BR70"/>
    <hyperlink r:id="rId3113" ref="BT70"/>
    <hyperlink r:id="rId3114" ref="BV70"/>
    <hyperlink r:id="rId3115" ref="BX70"/>
    <hyperlink r:id="rId3116" ref="BZ70"/>
    <hyperlink r:id="rId3117" ref="CB70"/>
    <hyperlink r:id="rId3118" ref="CD70"/>
    <hyperlink r:id="rId3119" ref="CF70"/>
    <hyperlink r:id="rId3120" ref="CH70"/>
    <hyperlink r:id="rId3121" ref="CJ70"/>
    <hyperlink r:id="rId3122" ref="CL70"/>
    <hyperlink r:id="rId3123" ref="CN70"/>
    <hyperlink r:id="rId3124" ref="CP70"/>
    <hyperlink r:id="rId3125" ref="CR70"/>
    <hyperlink r:id="rId3126" ref="CT70"/>
    <hyperlink r:id="rId3127" ref="CV70"/>
    <hyperlink r:id="rId3128" ref="CX70"/>
    <hyperlink r:id="rId3129" ref="CZ70"/>
    <hyperlink r:id="rId3130" ref="DB70"/>
    <hyperlink r:id="rId3131" ref="DD70"/>
    <hyperlink r:id="rId3132" ref="DF70"/>
    <hyperlink r:id="rId3133" ref="DH70"/>
    <hyperlink r:id="rId3134" ref="DJ70"/>
    <hyperlink r:id="rId3135" ref="DL70"/>
    <hyperlink r:id="rId3136" ref="DN70"/>
    <hyperlink r:id="rId3137" ref="DP70"/>
    <hyperlink r:id="rId3138" ref="DR70"/>
    <hyperlink r:id="rId3139" ref="DT70"/>
    <hyperlink r:id="rId3140" ref="DV70"/>
    <hyperlink r:id="rId3141" ref="DX70"/>
    <hyperlink r:id="rId3142" ref="DZ70"/>
    <hyperlink r:id="rId3143" ref="EB70"/>
    <hyperlink r:id="rId3144" ref="ED70"/>
    <hyperlink r:id="rId3145" ref="EF70"/>
    <hyperlink r:id="rId3146" ref="EH70"/>
    <hyperlink r:id="rId3147" ref="EJ70"/>
    <hyperlink r:id="rId3148" ref="EL70"/>
    <hyperlink r:id="rId3149" ref="EN70"/>
    <hyperlink r:id="rId3150" ref="EP70"/>
    <hyperlink r:id="rId3151" ref="ER70"/>
    <hyperlink r:id="rId3152" ref="ET70"/>
    <hyperlink r:id="rId3153" ref="EV70"/>
    <hyperlink r:id="rId3154" ref="EX70"/>
    <hyperlink r:id="rId3155" ref="EZ70"/>
    <hyperlink r:id="rId3156" ref="FB70"/>
    <hyperlink r:id="rId3157" ref="FD70"/>
    <hyperlink r:id="rId3158" ref="FF70"/>
    <hyperlink r:id="rId3159" ref="FH70"/>
    <hyperlink r:id="rId3160" ref="FJ70"/>
    <hyperlink r:id="rId3161" ref="FL70"/>
    <hyperlink r:id="rId3162" ref="FN70"/>
    <hyperlink r:id="rId3163" ref="FP70"/>
    <hyperlink r:id="rId3164" ref="FR70"/>
    <hyperlink r:id="rId3165" ref="FT70"/>
    <hyperlink r:id="rId3166" ref="FV70"/>
    <hyperlink r:id="rId3167" ref="FX70"/>
    <hyperlink r:id="rId3168" ref="FZ70"/>
    <hyperlink r:id="rId3169" ref="GB70"/>
    <hyperlink r:id="rId3170" ref="GD70"/>
    <hyperlink r:id="rId3171" ref="GF70"/>
    <hyperlink r:id="rId3172" ref="GH70"/>
    <hyperlink r:id="rId3173" ref="GJ70"/>
    <hyperlink r:id="rId3174" ref="GL70"/>
    <hyperlink r:id="rId3175" ref="GN70"/>
    <hyperlink r:id="rId3176" ref="GP70"/>
    <hyperlink r:id="rId3177" ref="GR70"/>
    <hyperlink r:id="rId3178" ref="GT70"/>
    <hyperlink r:id="rId3179" ref="GV70"/>
    <hyperlink r:id="rId3180" ref="GX70"/>
    <hyperlink r:id="rId3181" ref="GZ70"/>
    <hyperlink r:id="rId3182" ref="HB70"/>
    <hyperlink r:id="rId3183" ref="HD70"/>
    <hyperlink r:id="rId3184" ref="N71"/>
    <hyperlink r:id="rId3185" ref="P71"/>
    <hyperlink r:id="rId3186" ref="R71"/>
    <hyperlink r:id="rId3187" ref="T71"/>
    <hyperlink r:id="rId3188" ref="V71"/>
    <hyperlink r:id="rId3189" ref="X71"/>
    <hyperlink r:id="rId3190" ref="Z71"/>
    <hyperlink r:id="rId3191" ref="AB71"/>
    <hyperlink r:id="rId3192" ref="AD71"/>
    <hyperlink r:id="rId3193" ref="AF71"/>
    <hyperlink r:id="rId3194" ref="AH71"/>
    <hyperlink r:id="rId3195" ref="AJ71"/>
    <hyperlink r:id="rId3196" ref="AL71"/>
    <hyperlink r:id="rId3197" ref="AN71"/>
    <hyperlink r:id="rId3198" ref="AP71"/>
    <hyperlink r:id="rId3199" ref="AR71"/>
    <hyperlink r:id="rId3200" ref="AT71"/>
    <hyperlink r:id="rId3201" ref="AV71"/>
    <hyperlink r:id="rId3202" ref="AX71"/>
    <hyperlink r:id="rId3203" ref="AZ71"/>
    <hyperlink r:id="rId3204" ref="BB71"/>
    <hyperlink r:id="rId3205" ref="BD71"/>
    <hyperlink r:id="rId3206" ref="BF71"/>
    <hyperlink r:id="rId3207" ref="BH71"/>
    <hyperlink r:id="rId3208" ref="BJ71"/>
    <hyperlink r:id="rId3209" ref="BL71"/>
    <hyperlink r:id="rId3210" ref="BN71"/>
    <hyperlink r:id="rId3211" ref="BP71"/>
    <hyperlink r:id="rId3212" ref="BR71"/>
    <hyperlink r:id="rId3213" ref="BT71"/>
    <hyperlink r:id="rId3214" ref="BV71"/>
    <hyperlink r:id="rId3215" ref="BX71"/>
    <hyperlink r:id="rId3216" ref="BZ71"/>
    <hyperlink r:id="rId3217" ref="CB71"/>
    <hyperlink r:id="rId3218" ref="CD71"/>
    <hyperlink r:id="rId3219" ref="CF71"/>
    <hyperlink r:id="rId3220" ref="CH71"/>
    <hyperlink r:id="rId3221" ref="CJ71"/>
    <hyperlink r:id="rId3222" ref="CL71"/>
    <hyperlink r:id="rId3223" ref="CN71"/>
    <hyperlink r:id="rId3224" ref="CP71"/>
    <hyperlink r:id="rId3225" ref="CR71"/>
    <hyperlink r:id="rId3226" ref="CT71"/>
    <hyperlink r:id="rId3227" ref="CV71"/>
    <hyperlink r:id="rId3228" ref="CX71"/>
    <hyperlink r:id="rId3229" ref="CZ71"/>
    <hyperlink r:id="rId3230" ref="DB71"/>
    <hyperlink r:id="rId3231" ref="DD71"/>
    <hyperlink r:id="rId3232" ref="DF71"/>
    <hyperlink r:id="rId3233" ref="DH71"/>
    <hyperlink r:id="rId3234" ref="N72"/>
    <hyperlink r:id="rId3235" ref="P72"/>
    <hyperlink r:id="rId3236" ref="R72"/>
    <hyperlink r:id="rId3237" ref="T72"/>
    <hyperlink r:id="rId3238" ref="V72"/>
    <hyperlink r:id="rId3239" ref="X72"/>
    <hyperlink r:id="rId3240" ref="Z72"/>
    <hyperlink r:id="rId3241" ref="AB72"/>
    <hyperlink r:id="rId3242" ref="AD72"/>
    <hyperlink r:id="rId3243" ref="AF72"/>
    <hyperlink r:id="rId3244" ref="AH72"/>
    <hyperlink r:id="rId3245" ref="AJ72"/>
    <hyperlink r:id="rId3246" ref="AL72"/>
    <hyperlink r:id="rId3247" ref="AN72"/>
    <hyperlink r:id="rId3248" ref="AP72"/>
    <hyperlink r:id="rId3249" ref="AR72"/>
    <hyperlink r:id="rId3250" ref="AT72"/>
    <hyperlink r:id="rId3251" ref="AV72"/>
    <hyperlink r:id="rId3252" ref="AX72"/>
    <hyperlink r:id="rId3253" ref="AZ72"/>
    <hyperlink r:id="rId3254" ref="BB72"/>
    <hyperlink r:id="rId3255" ref="BD72"/>
    <hyperlink r:id="rId3256" ref="BF72"/>
    <hyperlink r:id="rId3257" ref="BH72"/>
    <hyperlink r:id="rId3258" ref="BJ72"/>
    <hyperlink r:id="rId3259" ref="BL72"/>
    <hyperlink r:id="rId3260" ref="BN72"/>
    <hyperlink r:id="rId3261" ref="BP72"/>
    <hyperlink r:id="rId3262" ref="BR72"/>
    <hyperlink r:id="rId3263" ref="BT72"/>
    <hyperlink r:id="rId3264" ref="N73"/>
    <hyperlink r:id="rId3265" ref="P73"/>
    <hyperlink r:id="rId3266" ref="R73"/>
    <hyperlink r:id="rId3267" ref="T73"/>
    <hyperlink r:id="rId3268" ref="V73"/>
    <hyperlink r:id="rId3269" ref="X73"/>
    <hyperlink r:id="rId3270" ref="Z73"/>
    <hyperlink r:id="rId3271" ref="AB73"/>
    <hyperlink r:id="rId3272" ref="AD73"/>
    <hyperlink r:id="rId3273" ref="AF73"/>
    <hyperlink r:id="rId3274" ref="AH73"/>
    <hyperlink r:id="rId3275" ref="AJ73"/>
    <hyperlink r:id="rId3276" ref="AL73"/>
    <hyperlink r:id="rId3277" ref="AN73"/>
    <hyperlink r:id="rId3278" ref="AP73"/>
    <hyperlink r:id="rId3279" ref="AR73"/>
    <hyperlink r:id="rId3280" ref="AT73"/>
    <hyperlink r:id="rId3281" ref="AV73"/>
    <hyperlink r:id="rId3282" ref="AX73"/>
    <hyperlink r:id="rId3283" ref="AZ73"/>
    <hyperlink r:id="rId3284" ref="BB73"/>
    <hyperlink r:id="rId3285" ref="BD73"/>
    <hyperlink r:id="rId3286" ref="BF73"/>
    <hyperlink r:id="rId3287" ref="BH73"/>
    <hyperlink r:id="rId3288" ref="BJ73"/>
    <hyperlink r:id="rId3289" ref="BL73"/>
    <hyperlink r:id="rId3290" ref="BN73"/>
    <hyperlink r:id="rId3291" ref="BP73"/>
    <hyperlink r:id="rId3292" ref="BR73"/>
    <hyperlink r:id="rId3293" ref="BT73"/>
    <hyperlink r:id="rId3294" ref="N74"/>
    <hyperlink r:id="rId3295" ref="P74"/>
    <hyperlink r:id="rId3296" ref="R74"/>
    <hyperlink r:id="rId3297" ref="T74"/>
    <hyperlink r:id="rId3298" ref="V74"/>
    <hyperlink r:id="rId3299" ref="X74"/>
    <hyperlink r:id="rId3300" ref="Z74"/>
    <hyperlink r:id="rId3301" ref="AB74"/>
    <hyperlink r:id="rId3302" ref="AD74"/>
    <hyperlink r:id="rId3303" ref="AF74"/>
    <hyperlink r:id="rId3304" ref="AH74"/>
    <hyperlink r:id="rId3305" ref="AJ74"/>
    <hyperlink r:id="rId3306" ref="AL74"/>
    <hyperlink r:id="rId3307" ref="AN74"/>
    <hyperlink r:id="rId3308" ref="AP74"/>
    <hyperlink r:id="rId3309" ref="AR74"/>
    <hyperlink r:id="rId3310" ref="AT74"/>
    <hyperlink r:id="rId3311" ref="AV74"/>
    <hyperlink r:id="rId3312" ref="AX74"/>
    <hyperlink r:id="rId3313" ref="AZ74"/>
    <hyperlink r:id="rId3314" ref="BB74"/>
    <hyperlink r:id="rId3315" ref="BD74"/>
    <hyperlink r:id="rId3316" ref="BF74"/>
    <hyperlink r:id="rId3317" ref="BH74"/>
    <hyperlink r:id="rId3318" ref="BJ74"/>
    <hyperlink r:id="rId3319" ref="BL74"/>
    <hyperlink r:id="rId3320" ref="BN74"/>
    <hyperlink r:id="rId3321" ref="BP74"/>
    <hyperlink r:id="rId3322" ref="BR74"/>
    <hyperlink r:id="rId3323" ref="BT74"/>
    <hyperlink r:id="rId3324" ref="N75"/>
    <hyperlink r:id="rId3325" ref="P75"/>
    <hyperlink r:id="rId3326" ref="R75"/>
    <hyperlink r:id="rId3327" ref="T75"/>
    <hyperlink r:id="rId3328" ref="V75"/>
    <hyperlink r:id="rId3329" ref="X75"/>
    <hyperlink r:id="rId3330" ref="Z75"/>
    <hyperlink r:id="rId3331" ref="AB75"/>
    <hyperlink r:id="rId3332" ref="AD75"/>
    <hyperlink r:id="rId3333" ref="AF75"/>
    <hyperlink r:id="rId3334" ref="AH75"/>
    <hyperlink r:id="rId3335" ref="AJ75"/>
    <hyperlink r:id="rId3336" ref="AL75"/>
    <hyperlink r:id="rId3337" ref="AN75"/>
    <hyperlink r:id="rId3338" ref="AP75"/>
    <hyperlink r:id="rId3339" ref="AR75"/>
    <hyperlink r:id="rId3340" ref="AT75"/>
    <hyperlink r:id="rId3341" ref="AV75"/>
    <hyperlink r:id="rId3342" ref="AX75"/>
    <hyperlink r:id="rId3343" ref="AZ75"/>
    <hyperlink r:id="rId3344" ref="BB75"/>
    <hyperlink r:id="rId3345" ref="BD75"/>
    <hyperlink r:id="rId3346" ref="BF75"/>
    <hyperlink r:id="rId3347" ref="BH75"/>
    <hyperlink r:id="rId3348" ref="BJ75"/>
    <hyperlink r:id="rId3349" ref="BL75"/>
    <hyperlink r:id="rId3350" ref="BN75"/>
    <hyperlink r:id="rId3351" ref="BP75"/>
    <hyperlink r:id="rId3352" ref="BR75"/>
    <hyperlink r:id="rId3353" ref="BT75"/>
    <hyperlink r:id="rId3354" ref="N76"/>
    <hyperlink r:id="rId3355" ref="P76"/>
    <hyperlink r:id="rId3356" ref="R76"/>
    <hyperlink r:id="rId3357" ref="T76"/>
    <hyperlink r:id="rId3358" ref="V76"/>
    <hyperlink r:id="rId3359" ref="X76"/>
    <hyperlink r:id="rId3360" ref="Z76"/>
    <hyperlink r:id="rId3361" ref="AB76"/>
    <hyperlink r:id="rId3362" ref="AD76"/>
    <hyperlink r:id="rId3363" ref="AF76"/>
    <hyperlink r:id="rId3364" ref="AH76"/>
    <hyperlink r:id="rId3365" ref="AJ76"/>
    <hyperlink r:id="rId3366" ref="AL76"/>
    <hyperlink r:id="rId3367" ref="AN76"/>
    <hyperlink r:id="rId3368" ref="AP76"/>
    <hyperlink r:id="rId3369" ref="AR76"/>
    <hyperlink r:id="rId3370" ref="AT76"/>
    <hyperlink r:id="rId3371" ref="AV76"/>
    <hyperlink r:id="rId3372" ref="AX76"/>
    <hyperlink r:id="rId3373" ref="AZ76"/>
    <hyperlink r:id="rId3374" ref="BB76"/>
    <hyperlink r:id="rId3375" ref="BD76"/>
    <hyperlink r:id="rId3376" ref="BF76"/>
    <hyperlink r:id="rId3377" ref="BH76"/>
    <hyperlink r:id="rId3378" ref="BJ76"/>
    <hyperlink r:id="rId3379" ref="BL76"/>
    <hyperlink r:id="rId3380" ref="BN76"/>
    <hyperlink r:id="rId3381" ref="BP76"/>
    <hyperlink r:id="rId3382" ref="BR76"/>
    <hyperlink r:id="rId3383" ref="BT76"/>
  </hyperlinks>
  <drawing r:id="rId338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0"/>
    <col customWidth="1" min="2" max="2" width="55.25"/>
    <col customWidth="1" min="3" max="3" width="13.88"/>
    <col customWidth="1" min="4" max="7" width="12.0"/>
    <col customWidth="1" min="8" max="8" width="37.63"/>
    <col customWidth="1" min="9" max="9" width="72.13"/>
    <col customWidth="1" min="10" max="10" width="27.63"/>
    <col customWidth="1" min="11" max="11" width="19.38"/>
    <col customWidth="1" min="12" max="12" width="41.38"/>
    <col customWidth="1" min="13" max="15" width="21.38"/>
    <col customWidth="1" min="16" max="16" width="41.38"/>
  </cols>
  <sheetData>
    <row r="1">
      <c r="A1" s="2" t="s">
        <v>2</v>
      </c>
      <c r="B1" s="2" t="s">
        <v>45</v>
      </c>
      <c r="C1" s="2" t="s">
        <v>4</v>
      </c>
      <c r="D1" s="2" t="s">
        <v>46</v>
      </c>
      <c r="E1" s="2" t="s">
        <v>19</v>
      </c>
      <c r="F1" s="2" t="s">
        <v>23</v>
      </c>
      <c r="G1" s="2" t="s">
        <v>26</v>
      </c>
      <c r="H1" s="2" t="s">
        <v>47</v>
      </c>
      <c r="I1" s="2" t="s">
        <v>48</v>
      </c>
      <c r="J1" s="2" t="s">
        <v>41</v>
      </c>
      <c r="K1" s="2" t="s">
        <v>49</v>
      </c>
      <c r="L1" s="2" t="s">
        <v>50</v>
      </c>
      <c r="M1" s="2" t="s">
        <v>51</v>
      </c>
      <c r="N1" s="2" t="s">
        <v>52</v>
      </c>
      <c r="O1" s="2" t="s">
        <v>53</v>
      </c>
      <c r="P1" s="2" t="s">
        <v>58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>
      <c r="A2" s="12">
        <v>1.0</v>
      </c>
      <c r="B2" s="13" t="s">
        <v>43</v>
      </c>
      <c r="C2" s="13" t="s">
        <v>75</v>
      </c>
      <c r="D2" s="14">
        <f>IF(COUNTIF($B$2:$B2,$B2)&gt;1,"",COUNTIF($B$2:$B$3400,$B2))</f>
        <v>30</v>
      </c>
      <c r="E2" s="14">
        <f>IF(COUNTIF($B$2:$B2,$B2)&gt;1,"",COUNTIFS($B$2:$B$3400,$B2,$K$2:$K$3400,"PHÙ HỢP CAO"))</f>
        <v>4</v>
      </c>
      <c r="F2" s="14">
        <f>IF(COUNTIF($B$2:$B2,$B2)&gt;1,"",COUNTIFS($B$2:$B$3400,$B2,$K$2:$K$3400,"CÓ THỂ ĐI"))</f>
        <v>1</v>
      </c>
      <c r="G2" s="14">
        <f>IF(COUNTIF($B$2:$B2,$B2)&gt;1,"",COUNTIFS($B$2:$B$3400,$B2,$K$2:$K$3400,"CẦN SOÁT"))</f>
        <v>25</v>
      </c>
      <c r="H2" s="15" t="str">
        <f>IFERROR(__xludf.DUMMYFUNCTION("IF(COUNTIF($B$2:$B2,$B2)&gt;1,"""",IFERROR(TEXTJOIN(CHAR(10),TRUE,BYROW(QUERY({$B$2:$B$3400,$J$2:$J$3400},""select Col2, count(Col2) where Col1 = '""&amp;$B2&amp;""' group by Col2 order by count(Col2) desc label count(Col2) ''"",0),LAMBDA(r,INDEX(r,1,1)&amp;"" – ""&amp;INDE"&amp;"X(r,1,2)&amp;"" link""))),""""))"),"lãi suất vay mua xe ô tô – 8 link
lãi suất vay mua ô tô – 8 link
lãi suất vay mua ô tô các ngân hàng – 7 link
mua xe trả góp lãi suất bao nhiêu – 7 link")</f>
        <v>lãi suất vay mua xe ô tô – 8 link
lãi suất vay mua ô tô – 8 link
lãi suất vay mua ô tô các ngân hàng – 7 link
mua xe trả góp lãi suất bao nhiêu – 7 link</v>
      </c>
      <c r="I2" s="10" t="s">
        <v>167</v>
      </c>
      <c r="J2" s="13" t="s">
        <v>183</v>
      </c>
      <c r="K2" s="13" t="s">
        <v>184</v>
      </c>
      <c r="L2" s="13" t="s">
        <v>186</v>
      </c>
      <c r="M2" s="13" t="s">
        <v>188</v>
      </c>
      <c r="N2" s="13" t="s">
        <v>188</v>
      </c>
      <c r="O2" s="13" t="s">
        <v>190</v>
      </c>
      <c r="P2" s="13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>
      <c r="A3" s="12">
        <v>1.0</v>
      </c>
      <c r="B3" s="13" t="s">
        <v>43</v>
      </c>
      <c r="C3" s="13" t="s">
        <v>75</v>
      </c>
      <c r="I3" s="10" t="s">
        <v>197</v>
      </c>
      <c r="J3" s="13" t="s">
        <v>216</v>
      </c>
      <c r="K3" s="13" t="s">
        <v>184</v>
      </c>
      <c r="L3" s="13" t="s">
        <v>218</v>
      </c>
      <c r="M3" s="13" t="s">
        <v>188</v>
      </c>
      <c r="N3" s="13" t="s">
        <v>188</v>
      </c>
      <c r="O3" s="13" t="s">
        <v>190</v>
      </c>
      <c r="P3" s="13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>
      <c r="A4" s="12">
        <v>1.0</v>
      </c>
      <c r="B4" s="13" t="s">
        <v>43</v>
      </c>
      <c r="C4" s="13" t="s">
        <v>75</v>
      </c>
      <c r="I4" s="10" t="s">
        <v>225</v>
      </c>
      <c r="J4" s="13" t="s">
        <v>239</v>
      </c>
      <c r="K4" s="13" t="s">
        <v>184</v>
      </c>
      <c r="L4" s="13" t="s">
        <v>241</v>
      </c>
      <c r="M4" s="13" t="s">
        <v>188</v>
      </c>
      <c r="N4" s="13" t="s">
        <v>188</v>
      </c>
      <c r="O4" s="13" t="s">
        <v>190</v>
      </c>
      <c r="P4" s="13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>
      <c r="A5" s="12">
        <v>1.0</v>
      </c>
      <c r="B5" s="13" t="s">
        <v>43</v>
      </c>
      <c r="C5" s="13" t="s">
        <v>75</v>
      </c>
      <c r="I5" s="10" t="s">
        <v>247</v>
      </c>
      <c r="J5" s="13" t="s">
        <v>262</v>
      </c>
      <c r="K5" s="13" t="s">
        <v>184</v>
      </c>
      <c r="L5" s="13" t="s">
        <v>264</v>
      </c>
      <c r="M5" s="13" t="s">
        <v>188</v>
      </c>
      <c r="N5" s="13" t="s">
        <v>188</v>
      </c>
      <c r="O5" s="13" t="s">
        <v>190</v>
      </c>
      <c r="P5" s="13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>
      <c r="A6" s="12">
        <v>1.0</v>
      </c>
      <c r="B6" s="13" t="s">
        <v>43</v>
      </c>
      <c r="C6" s="13" t="s">
        <v>75</v>
      </c>
      <c r="I6" s="10" t="s">
        <v>270</v>
      </c>
      <c r="J6" s="13" t="s">
        <v>183</v>
      </c>
      <c r="K6" s="13" t="s">
        <v>283</v>
      </c>
      <c r="L6" s="13" t="s">
        <v>285</v>
      </c>
      <c r="M6" s="13" t="s">
        <v>188</v>
      </c>
      <c r="N6" s="13" t="s">
        <v>188</v>
      </c>
      <c r="O6" s="13" t="s">
        <v>190</v>
      </c>
      <c r="P6" s="13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>
      <c r="A7" s="12">
        <v>1.0</v>
      </c>
      <c r="B7" s="13" t="s">
        <v>43</v>
      </c>
      <c r="C7" s="13" t="s">
        <v>75</v>
      </c>
      <c r="I7" s="10" t="s">
        <v>290</v>
      </c>
      <c r="J7" s="13" t="s">
        <v>216</v>
      </c>
      <c r="K7" s="13" t="s">
        <v>303</v>
      </c>
      <c r="L7" s="13" t="s">
        <v>304</v>
      </c>
      <c r="M7" s="13" t="s">
        <v>188</v>
      </c>
      <c r="N7" s="13" t="s">
        <v>188</v>
      </c>
      <c r="O7" s="13" t="s">
        <v>190</v>
      </c>
      <c r="P7" s="13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>
      <c r="A8" s="12">
        <v>1.0</v>
      </c>
      <c r="B8" s="13" t="s">
        <v>43</v>
      </c>
      <c r="C8" s="13" t="s">
        <v>75</v>
      </c>
      <c r="I8" s="10" t="s">
        <v>310</v>
      </c>
      <c r="J8" s="13" t="s">
        <v>239</v>
      </c>
      <c r="K8" s="13" t="s">
        <v>303</v>
      </c>
      <c r="L8" s="13" t="s">
        <v>304</v>
      </c>
      <c r="M8" s="13" t="s">
        <v>188</v>
      </c>
      <c r="N8" s="13" t="s">
        <v>188</v>
      </c>
      <c r="O8" s="13" t="s">
        <v>190</v>
      </c>
      <c r="P8" s="13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>
      <c r="A9" s="12">
        <v>1.0</v>
      </c>
      <c r="B9" s="7" t="s">
        <v>43</v>
      </c>
      <c r="C9" s="7" t="s">
        <v>75</v>
      </c>
      <c r="I9" s="13" t="s">
        <v>330</v>
      </c>
      <c r="J9" s="13" t="s">
        <v>262</v>
      </c>
      <c r="K9" s="13" t="s">
        <v>303</v>
      </c>
      <c r="L9" s="13" t="s">
        <v>331</v>
      </c>
      <c r="M9" s="6" t="s">
        <v>188</v>
      </c>
      <c r="N9" s="6" t="s">
        <v>188</v>
      </c>
      <c r="O9" s="6" t="s">
        <v>190</v>
      </c>
      <c r="P9" s="7" t="s">
        <v>333</v>
      </c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>
      <c r="A10" s="12">
        <v>1.0</v>
      </c>
      <c r="B10" s="7" t="s">
        <v>43</v>
      </c>
      <c r="C10" s="7" t="s">
        <v>75</v>
      </c>
      <c r="I10" s="13" t="s">
        <v>338</v>
      </c>
      <c r="J10" s="13" t="s">
        <v>183</v>
      </c>
      <c r="K10" s="13" t="s">
        <v>303</v>
      </c>
      <c r="L10" s="13" t="s">
        <v>341</v>
      </c>
      <c r="M10" s="6" t="s">
        <v>188</v>
      </c>
      <c r="N10" s="6" t="s">
        <v>188</v>
      </c>
      <c r="O10" s="6" t="s">
        <v>190</v>
      </c>
      <c r="P10" s="7" t="s">
        <v>333</v>
      </c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>
      <c r="A11" s="12">
        <v>1.0</v>
      </c>
      <c r="B11" s="7" t="s">
        <v>43</v>
      </c>
      <c r="C11" s="7" t="s">
        <v>75</v>
      </c>
      <c r="I11" s="13" t="s">
        <v>347</v>
      </c>
      <c r="J11" s="13" t="s">
        <v>216</v>
      </c>
      <c r="K11" s="13" t="s">
        <v>303</v>
      </c>
      <c r="L11" s="13" t="s">
        <v>349</v>
      </c>
      <c r="M11" s="6" t="s">
        <v>188</v>
      </c>
      <c r="N11" s="6" t="s">
        <v>188</v>
      </c>
      <c r="O11" s="6" t="s">
        <v>190</v>
      </c>
      <c r="P11" s="7" t="s">
        <v>333</v>
      </c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>
      <c r="A12" s="12">
        <v>1.0</v>
      </c>
      <c r="B12" s="7" t="s">
        <v>43</v>
      </c>
      <c r="C12" s="7" t="s">
        <v>75</v>
      </c>
      <c r="I12" s="13" t="s">
        <v>356</v>
      </c>
      <c r="J12" s="13" t="s">
        <v>239</v>
      </c>
      <c r="K12" s="13" t="s">
        <v>303</v>
      </c>
      <c r="L12" s="13" t="s">
        <v>358</v>
      </c>
      <c r="M12" s="6" t="s">
        <v>188</v>
      </c>
      <c r="N12" s="6" t="s">
        <v>188</v>
      </c>
      <c r="O12" s="6" t="s">
        <v>190</v>
      </c>
      <c r="P12" s="7" t="s">
        <v>333</v>
      </c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>
      <c r="A13" s="12">
        <v>1.0</v>
      </c>
      <c r="B13" s="7" t="s">
        <v>43</v>
      </c>
      <c r="C13" s="7" t="s">
        <v>75</v>
      </c>
      <c r="I13" s="13" t="s">
        <v>365</v>
      </c>
      <c r="J13" s="13" t="s">
        <v>262</v>
      </c>
      <c r="K13" s="13" t="s">
        <v>303</v>
      </c>
      <c r="L13" s="13" t="s">
        <v>367</v>
      </c>
      <c r="M13" s="6" t="s">
        <v>188</v>
      </c>
      <c r="N13" s="6" t="s">
        <v>188</v>
      </c>
      <c r="O13" s="6" t="s">
        <v>190</v>
      </c>
      <c r="P13" s="7" t="s">
        <v>333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>
      <c r="A14" s="12">
        <v>1.0</v>
      </c>
      <c r="B14" s="7" t="s">
        <v>43</v>
      </c>
      <c r="C14" s="7" t="s">
        <v>75</v>
      </c>
      <c r="I14" s="13" t="s">
        <v>373</v>
      </c>
      <c r="J14" s="13" t="s">
        <v>183</v>
      </c>
      <c r="K14" s="13" t="s">
        <v>303</v>
      </c>
      <c r="L14" s="13" t="s">
        <v>375</v>
      </c>
      <c r="M14" s="6" t="s">
        <v>188</v>
      </c>
      <c r="N14" s="6" t="s">
        <v>188</v>
      </c>
      <c r="O14" s="6" t="s">
        <v>190</v>
      </c>
      <c r="P14" s="7" t="s">
        <v>333</v>
      </c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>
      <c r="A15" s="12">
        <v>1.0</v>
      </c>
      <c r="B15" s="7" t="s">
        <v>43</v>
      </c>
      <c r="C15" s="7" t="s">
        <v>75</v>
      </c>
      <c r="I15" s="13" t="s">
        <v>380</v>
      </c>
      <c r="J15" s="13" t="s">
        <v>216</v>
      </c>
      <c r="K15" s="13" t="s">
        <v>303</v>
      </c>
      <c r="L15" s="13" t="s">
        <v>382</v>
      </c>
      <c r="M15" s="6" t="s">
        <v>188</v>
      </c>
      <c r="N15" s="6" t="s">
        <v>188</v>
      </c>
      <c r="O15" s="6" t="s">
        <v>190</v>
      </c>
      <c r="P15" s="7" t="s">
        <v>333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>
      <c r="A16" s="12">
        <v>1.0</v>
      </c>
      <c r="B16" s="7" t="s">
        <v>43</v>
      </c>
      <c r="C16" s="7" t="s">
        <v>75</v>
      </c>
      <c r="I16" s="13" t="s">
        <v>387</v>
      </c>
      <c r="J16" s="13" t="s">
        <v>239</v>
      </c>
      <c r="K16" s="13" t="s">
        <v>303</v>
      </c>
      <c r="L16" s="13" t="s">
        <v>389</v>
      </c>
      <c r="M16" s="6" t="s">
        <v>188</v>
      </c>
      <c r="N16" s="6" t="s">
        <v>188</v>
      </c>
      <c r="O16" s="6" t="s">
        <v>190</v>
      </c>
      <c r="P16" s="7" t="s">
        <v>333</v>
      </c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>
      <c r="A17" s="12">
        <v>1.0</v>
      </c>
      <c r="B17" s="7" t="s">
        <v>43</v>
      </c>
      <c r="C17" s="7" t="s">
        <v>75</v>
      </c>
      <c r="I17" s="13" t="s">
        <v>395</v>
      </c>
      <c r="J17" s="13" t="s">
        <v>262</v>
      </c>
      <c r="K17" s="13" t="s">
        <v>303</v>
      </c>
      <c r="L17" s="13" t="s">
        <v>375</v>
      </c>
      <c r="M17" s="6" t="s">
        <v>188</v>
      </c>
      <c r="N17" s="6" t="s">
        <v>188</v>
      </c>
      <c r="O17" s="6" t="s">
        <v>190</v>
      </c>
      <c r="P17" s="7" t="s">
        <v>333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>
      <c r="A18" s="12">
        <v>1.0</v>
      </c>
      <c r="B18" s="7" t="s">
        <v>43</v>
      </c>
      <c r="C18" s="7" t="s">
        <v>75</v>
      </c>
      <c r="I18" s="13" t="s">
        <v>404</v>
      </c>
      <c r="J18" s="13" t="s">
        <v>183</v>
      </c>
      <c r="K18" s="13" t="s">
        <v>303</v>
      </c>
      <c r="L18" s="13" t="s">
        <v>405</v>
      </c>
      <c r="M18" s="6" t="s">
        <v>188</v>
      </c>
      <c r="N18" s="6" t="s">
        <v>188</v>
      </c>
      <c r="O18" s="6" t="s">
        <v>190</v>
      </c>
      <c r="P18" s="7" t="s">
        <v>333</v>
      </c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>
      <c r="A19" s="12">
        <v>1.0</v>
      </c>
      <c r="B19" s="7" t="s">
        <v>43</v>
      </c>
      <c r="C19" s="7" t="s">
        <v>75</v>
      </c>
      <c r="I19" s="13" t="s">
        <v>408</v>
      </c>
      <c r="J19" s="13" t="s">
        <v>216</v>
      </c>
      <c r="K19" s="13" t="s">
        <v>303</v>
      </c>
      <c r="L19" s="13" t="s">
        <v>411</v>
      </c>
      <c r="M19" s="6" t="s">
        <v>188</v>
      </c>
      <c r="N19" s="6" t="s">
        <v>188</v>
      </c>
      <c r="O19" s="6" t="s">
        <v>190</v>
      </c>
      <c r="P19" s="7" t="s">
        <v>333</v>
      </c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>
      <c r="A20" s="12">
        <v>1.0</v>
      </c>
      <c r="B20" s="7" t="s">
        <v>43</v>
      </c>
      <c r="C20" s="7" t="s">
        <v>75</v>
      </c>
      <c r="I20" s="13" t="s">
        <v>418</v>
      </c>
      <c r="J20" s="13" t="s">
        <v>239</v>
      </c>
      <c r="K20" s="13" t="s">
        <v>303</v>
      </c>
      <c r="L20" s="13" t="s">
        <v>349</v>
      </c>
      <c r="M20" s="6" t="s">
        <v>188</v>
      </c>
      <c r="N20" s="6" t="s">
        <v>188</v>
      </c>
      <c r="O20" s="6" t="s">
        <v>190</v>
      </c>
      <c r="P20" s="7" t="s">
        <v>333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>
      <c r="A21" s="12">
        <v>1.0</v>
      </c>
      <c r="B21" s="7" t="s">
        <v>43</v>
      </c>
      <c r="C21" s="7" t="s">
        <v>75</v>
      </c>
      <c r="I21" s="13" t="s">
        <v>426</v>
      </c>
      <c r="J21" s="13" t="s">
        <v>262</v>
      </c>
      <c r="K21" s="13" t="s">
        <v>303</v>
      </c>
      <c r="L21" s="13" t="s">
        <v>429</v>
      </c>
      <c r="M21" s="6" t="s">
        <v>188</v>
      </c>
      <c r="N21" s="6" t="s">
        <v>188</v>
      </c>
      <c r="O21" s="6" t="s">
        <v>190</v>
      </c>
      <c r="P21" s="7" t="s">
        <v>333</v>
      </c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>
      <c r="A22" s="12">
        <v>1.0</v>
      </c>
      <c r="B22" s="7" t="s">
        <v>43</v>
      </c>
      <c r="C22" s="7" t="s">
        <v>75</v>
      </c>
      <c r="I22" s="13" t="s">
        <v>437</v>
      </c>
      <c r="J22" s="13" t="s">
        <v>183</v>
      </c>
      <c r="K22" s="13" t="s">
        <v>303</v>
      </c>
      <c r="L22" s="13" t="s">
        <v>411</v>
      </c>
      <c r="M22" s="6" t="s">
        <v>188</v>
      </c>
      <c r="N22" s="6" t="s">
        <v>188</v>
      </c>
      <c r="O22" s="6" t="s">
        <v>190</v>
      </c>
      <c r="P22" s="7" t="s">
        <v>333</v>
      </c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>
      <c r="A23" s="12">
        <v>1.0</v>
      </c>
      <c r="B23" s="7" t="s">
        <v>43</v>
      </c>
      <c r="C23" s="7" t="s">
        <v>75</v>
      </c>
      <c r="I23" s="13" t="s">
        <v>445</v>
      </c>
      <c r="J23" s="13" t="s">
        <v>216</v>
      </c>
      <c r="K23" s="13" t="s">
        <v>303</v>
      </c>
      <c r="L23" s="13" t="s">
        <v>448</v>
      </c>
      <c r="M23" s="6" t="s">
        <v>188</v>
      </c>
      <c r="N23" s="6" t="s">
        <v>188</v>
      </c>
      <c r="O23" s="6" t="s">
        <v>190</v>
      </c>
      <c r="P23" s="7" t="s">
        <v>333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>
      <c r="A24" s="12">
        <v>1.0</v>
      </c>
      <c r="B24" s="7" t="s">
        <v>43</v>
      </c>
      <c r="C24" s="7" t="s">
        <v>75</v>
      </c>
      <c r="I24" s="13" t="s">
        <v>460</v>
      </c>
      <c r="J24" s="13" t="s">
        <v>239</v>
      </c>
      <c r="K24" s="13" t="s">
        <v>303</v>
      </c>
      <c r="L24" s="13" t="s">
        <v>448</v>
      </c>
      <c r="M24" s="6" t="s">
        <v>188</v>
      </c>
      <c r="N24" s="6" t="s">
        <v>188</v>
      </c>
      <c r="O24" s="6" t="s">
        <v>190</v>
      </c>
      <c r="P24" s="7" t="s">
        <v>333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>
      <c r="A25" s="12">
        <v>1.0</v>
      </c>
      <c r="B25" s="7" t="s">
        <v>43</v>
      </c>
      <c r="C25" s="7" t="s">
        <v>75</v>
      </c>
      <c r="I25" s="13" t="s">
        <v>466</v>
      </c>
      <c r="J25" s="13" t="s">
        <v>262</v>
      </c>
      <c r="K25" s="13" t="s">
        <v>303</v>
      </c>
      <c r="L25" s="13" t="s">
        <v>448</v>
      </c>
      <c r="M25" s="6" t="s">
        <v>188</v>
      </c>
      <c r="N25" s="6" t="s">
        <v>188</v>
      </c>
      <c r="O25" s="6" t="s">
        <v>190</v>
      </c>
      <c r="P25" s="7" t="s">
        <v>333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>
      <c r="A26" s="12">
        <v>1.0</v>
      </c>
      <c r="B26" s="7" t="s">
        <v>43</v>
      </c>
      <c r="C26" s="7" t="s">
        <v>75</v>
      </c>
      <c r="I26" s="13" t="s">
        <v>481</v>
      </c>
      <c r="J26" s="13" t="s">
        <v>183</v>
      </c>
      <c r="K26" s="13" t="s">
        <v>303</v>
      </c>
      <c r="L26" s="13" t="s">
        <v>429</v>
      </c>
      <c r="M26" s="6" t="s">
        <v>188</v>
      </c>
      <c r="N26" s="6" t="s">
        <v>188</v>
      </c>
      <c r="O26" s="6" t="s">
        <v>190</v>
      </c>
      <c r="P26" s="7" t="s">
        <v>333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>
      <c r="A27" s="12">
        <v>1.0</v>
      </c>
      <c r="B27" s="7" t="s">
        <v>43</v>
      </c>
      <c r="C27" s="7" t="s">
        <v>75</v>
      </c>
      <c r="I27" s="13" t="s">
        <v>505</v>
      </c>
      <c r="J27" s="13" t="s">
        <v>216</v>
      </c>
      <c r="K27" s="13" t="s">
        <v>303</v>
      </c>
      <c r="L27" s="13" t="s">
        <v>507</v>
      </c>
      <c r="M27" s="6" t="s">
        <v>188</v>
      </c>
      <c r="N27" s="6" t="s">
        <v>188</v>
      </c>
      <c r="O27" s="6" t="s">
        <v>190</v>
      </c>
      <c r="P27" s="7" t="s">
        <v>333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>
      <c r="A28" s="12">
        <v>1.0</v>
      </c>
      <c r="B28" s="7" t="s">
        <v>43</v>
      </c>
      <c r="C28" s="7" t="s">
        <v>75</v>
      </c>
      <c r="I28" s="13" t="s">
        <v>511</v>
      </c>
      <c r="J28" s="13" t="s">
        <v>239</v>
      </c>
      <c r="K28" s="13" t="s">
        <v>303</v>
      </c>
      <c r="L28" s="13" t="s">
        <v>514</v>
      </c>
      <c r="M28" s="6" t="s">
        <v>188</v>
      </c>
      <c r="N28" s="6" t="s">
        <v>188</v>
      </c>
      <c r="O28" s="6" t="s">
        <v>190</v>
      </c>
      <c r="P28" s="7" t="s">
        <v>333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>
      <c r="A29" s="12">
        <v>1.0</v>
      </c>
      <c r="B29" s="7" t="s">
        <v>43</v>
      </c>
      <c r="C29" s="7" t="s">
        <v>75</v>
      </c>
      <c r="I29" s="13" t="s">
        <v>519</v>
      </c>
      <c r="J29" s="13" t="s">
        <v>262</v>
      </c>
      <c r="K29" s="13" t="s">
        <v>303</v>
      </c>
      <c r="L29" s="13" t="s">
        <v>375</v>
      </c>
      <c r="M29" s="6" t="s">
        <v>188</v>
      </c>
      <c r="N29" s="6" t="s">
        <v>188</v>
      </c>
      <c r="O29" s="6" t="s">
        <v>190</v>
      </c>
      <c r="P29" s="7" t="s">
        <v>333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>
      <c r="A30" s="12">
        <v>1.0</v>
      </c>
      <c r="B30" s="7" t="s">
        <v>43</v>
      </c>
      <c r="C30" s="7" t="s">
        <v>75</v>
      </c>
      <c r="I30" s="13" t="s">
        <v>525</v>
      </c>
      <c r="J30" s="13" t="s">
        <v>183</v>
      </c>
      <c r="K30" s="13" t="s">
        <v>303</v>
      </c>
      <c r="L30" s="13" t="s">
        <v>405</v>
      </c>
      <c r="M30" s="6" t="s">
        <v>188</v>
      </c>
      <c r="N30" s="6" t="s">
        <v>188</v>
      </c>
      <c r="O30" s="6" t="s">
        <v>190</v>
      </c>
      <c r="P30" s="7" t="s">
        <v>333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>
      <c r="A31" s="12">
        <v>1.0</v>
      </c>
      <c r="B31" s="7" t="s">
        <v>43</v>
      </c>
      <c r="C31" s="7" t="s">
        <v>75</v>
      </c>
      <c r="I31" s="13" t="s">
        <v>529</v>
      </c>
      <c r="J31" s="13" t="s">
        <v>216</v>
      </c>
      <c r="K31" s="13" t="s">
        <v>303</v>
      </c>
      <c r="L31" s="13" t="s">
        <v>367</v>
      </c>
      <c r="M31" s="6" t="s">
        <v>188</v>
      </c>
      <c r="N31" s="6" t="s">
        <v>188</v>
      </c>
      <c r="O31" s="6" t="s">
        <v>190</v>
      </c>
      <c r="P31" s="7" t="s">
        <v>333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>
      <c r="A32" s="12">
        <v>2.0</v>
      </c>
      <c r="B32" s="13" t="s">
        <v>44</v>
      </c>
      <c r="C32" s="13" t="s">
        <v>533</v>
      </c>
      <c r="D32" s="14">
        <f>IF(COUNTIF($B$2:$B32,$B32)&gt;1,"",COUNTIF($B$2:$B$3400,$B32))</f>
        <v>100</v>
      </c>
      <c r="E32" s="14">
        <f>IF(COUNTIF($B$2:$B32,$B32)&gt;1,"",COUNTIFS($B$2:$B$3400,$B32,$K$2:$K$3400,"PHÙ HỢP CAO"))</f>
        <v>1</v>
      </c>
      <c r="F32" s="14">
        <f>IF(COUNTIF($B$2:$B32,$B32)&gt;1,"",COUNTIFS($B$2:$B$3400,$B32,$K$2:$K$3400,"CÓ THỂ ĐI"))</f>
        <v>2</v>
      </c>
      <c r="G32" s="14">
        <f>IF(COUNTIF($B$2:$B32,$B32)&gt;1,"",COUNTIFS($B$2:$B$3400,$B32,$K$2:$K$3400,"CẦN SOÁT"))</f>
        <v>97</v>
      </c>
      <c r="H32" s="15" t="str">
        <f>IFERROR(__xludf.DUMMYFUNCTION("IF(COUNTIF($B$2:$B32,$B32)&gt;1,"""",IFERROR(TEXTJOIN(CHAR(10),TRUE,BYROW(QUERY({$B$2:$B$3400,$J$2:$J$3400},""select Col2, count(Col2) where Col1 = '""&amp;$B32&amp;""' group by Col2 order by count(Col2) desc label count(Col2) ''"",0),LAMBDA(r,INDEX(r,1,1)&amp;"" – ""&amp;I"&amp;"NDEX(r,1,2)&amp;"" link""))),""""))"),"đóng thuế đất online – 34 link
cách nộp thuế đất online – 33 link
nộp thuế đất online – 33 link")</f>
        <v>đóng thuế đất online – 34 link
cách nộp thuế đất online – 33 link
nộp thuế đất online – 33 link</v>
      </c>
      <c r="I32" s="10" t="s">
        <v>557</v>
      </c>
      <c r="J32" s="13" t="s">
        <v>560</v>
      </c>
      <c r="K32" s="13" t="s">
        <v>184</v>
      </c>
      <c r="L32" s="13" t="s">
        <v>561</v>
      </c>
      <c r="M32" s="13" t="s">
        <v>188</v>
      </c>
      <c r="N32" s="13" t="s">
        <v>188</v>
      </c>
      <c r="O32" s="13" t="s">
        <v>190</v>
      </c>
      <c r="P32" s="13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>
      <c r="A33" s="12">
        <v>2.0</v>
      </c>
      <c r="B33" s="13" t="s">
        <v>44</v>
      </c>
      <c r="C33" s="13" t="s">
        <v>533</v>
      </c>
      <c r="I33" s="10" t="s">
        <v>54</v>
      </c>
      <c r="J33" s="13" t="s">
        <v>564</v>
      </c>
      <c r="K33" s="13" t="s">
        <v>283</v>
      </c>
      <c r="L33" s="13" t="s">
        <v>566</v>
      </c>
      <c r="M33" s="13" t="s">
        <v>188</v>
      </c>
      <c r="N33" s="13" t="s">
        <v>188</v>
      </c>
      <c r="O33" s="13" t="s">
        <v>190</v>
      </c>
      <c r="P33" s="13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>
      <c r="A34" s="12">
        <v>2.0</v>
      </c>
      <c r="B34" s="13" t="s">
        <v>44</v>
      </c>
      <c r="C34" s="13" t="s">
        <v>533</v>
      </c>
      <c r="I34" s="10" t="s">
        <v>567</v>
      </c>
      <c r="J34" s="13" t="s">
        <v>570</v>
      </c>
      <c r="K34" s="13" t="s">
        <v>283</v>
      </c>
      <c r="L34" s="13" t="s">
        <v>571</v>
      </c>
      <c r="M34" s="13" t="s">
        <v>188</v>
      </c>
      <c r="N34" s="13" t="s">
        <v>188</v>
      </c>
      <c r="O34" s="13" t="s">
        <v>190</v>
      </c>
      <c r="P34" s="13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>
      <c r="A35" s="12">
        <v>2.0</v>
      </c>
      <c r="B35" s="13" t="s">
        <v>44</v>
      </c>
      <c r="C35" s="13" t="s">
        <v>533</v>
      </c>
      <c r="I35" s="10" t="s">
        <v>572</v>
      </c>
      <c r="J35" s="13" t="s">
        <v>560</v>
      </c>
      <c r="K35" s="13" t="s">
        <v>303</v>
      </c>
      <c r="L35" s="13" t="s">
        <v>573</v>
      </c>
      <c r="M35" s="13" t="s">
        <v>188</v>
      </c>
      <c r="N35" s="13" t="s">
        <v>188</v>
      </c>
      <c r="O35" s="13" t="s">
        <v>190</v>
      </c>
      <c r="P35" s="13" t="s">
        <v>574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>
      <c r="A36" s="12">
        <v>2.0</v>
      </c>
      <c r="B36" s="13" t="s">
        <v>44</v>
      </c>
      <c r="C36" s="13" t="s">
        <v>533</v>
      </c>
      <c r="I36" s="10" t="s">
        <v>575</v>
      </c>
      <c r="J36" s="13" t="s">
        <v>564</v>
      </c>
      <c r="K36" s="13" t="s">
        <v>303</v>
      </c>
      <c r="L36" s="13" t="s">
        <v>577</v>
      </c>
      <c r="M36" s="13" t="s">
        <v>188</v>
      </c>
      <c r="N36" s="13" t="s">
        <v>188</v>
      </c>
      <c r="O36" s="13" t="s">
        <v>190</v>
      </c>
      <c r="P36" s="13" t="s">
        <v>574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>
      <c r="A37" s="12">
        <v>2.0</v>
      </c>
      <c r="B37" s="13" t="s">
        <v>44</v>
      </c>
      <c r="C37" s="13" t="s">
        <v>533</v>
      </c>
      <c r="I37" s="10" t="s">
        <v>578</v>
      </c>
      <c r="J37" s="13" t="s">
        <v>570</v>
      </c>
      <c r="K37" s="13" t="s">
        <v>303</v>
      </c>
      <c r="L37" s="13" t="s">
        <v>580</v>
      </c>
      <c r="M37" s="13" t="s">
        <v>188</v>
      </c>
      <c r="N37" s="13" t="s">
        <v>188</v>
      </c>
      <c r="O37" s="13" t="s">
        <v>190</v>
      </c>
      <c r="P37" s="13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>
      <c r="A38" s="12">
        <v>2.0</v>
      </c>
      <c r="B38" s="13" t="s">
        <v>44</v>
      </c>
      <c r="C38" s="13" t="s">
        <v>533</v>
      </c>
      <c r="I38" s="10" t="s">
        <v>581</v>
      </c>
      <c r="J38" s="13" t="s">
        <v>560</v>
      </c>
      <c r="K38" s="13" t="s">
        <v>303</v>
      </c>
      <c r="L38" s="13" t="s">
        <v>577</v>
      </c>
      <c r="M38" s="13" t="s">
        <v>188</v>
      </c>
      <c r="N38" s="13" t="s">
        <v>188</v>
      </c>
      <c r="O38" s="13" t="s">
        <v>190</v>
      </c>
      <c r="P38" s="13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>
      <c r="A39" s="12">
        <v>2.0</v>
      </c>
      <c r="B39" s="13" t="s">
        <v>44</v>
      </c>
      <c r="C39" s="13" t="s">
        <v>533</v>
      </c>
      <c r="I39" s="10" t="s">
        <v>583</v>
      </c>
      <c r="J39" s="13" t="s">
        <v>564</v>
      </c>
      <c r="K39" s="13" t="s">
        <v>303</v>
      </c>
      <c r="L39" s="13" t="s">
        <v>573</v>
      </c>
      <c r="M39" s="13" t="s">
        <v>188</v>
      </c>
      <c r="N39" s="13" t="s">
        <v>188</v>
      </c>
      <c r="O39" s="13" t="s">
        <v>190</v>
      </c>
      <c r="P39" s="13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>
      <c r="A40" s="12">
        <v>2.0</v>
      </c>
      <c r="B40" s="13" t="s">
        <v>44</v>
      </c>
      <c r="C40" s="13" t="s">
        <v>533</v>
      </c>
      <c r="I40" s="10" t="s">
        <v>585</v>
      </c>
      <c r="J40" s="13" t="s">
        <v>570</v>
      </c>
      <c r="K40" s="13" t="s">
        <v>303</v>
      </c>
      <c r="L40" s="13" t="s">
        <v>573</v>
      </c>
      <c r="M40" s="13" t="s">
        <v>188</v>
      </c>
      <c r="N40" s="13" t="s">
        <v>188</v>
      </c>
      <c r="O40" s="13" t="s">
        <v>190</v>
      </c>
      <c r="P40" s="13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>
      <c r="A41" s="12">
        <v>2.0</v>
      </c>
      <c r="B41" s="13" t="s">
        <v>44</v>
      </c>
      <c r="C41" s="13" t="s">
        <v>533</v>
      </c>
      <c r="I41" s="10" t="s">
        <v>587</v>
      </c>
      <c r="J41" s="13" t="s">
        <v>560</v>
      </c>
      <c r="K41" s="13" t="s">
        <v>303</v>
      </c>
      <c r="L41" s="13" t="s">
        <v>580</v>
      </c>
      <c r="M41" s="13" t="s">
        <v>188</v>
      </c>
      <c r="N41" s="13" t="s">
        <v>188</v>
      </c>
      <c r="O41" s="13" t="s">
        <v>190</v>
      </c>
      <c r="P41" s="13" t="s">
        <v>574</v>
      </c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>
      <c r="A42" s="12">
        <v>2.0</v>
      </c>
      <c r="B42" s="13" t="s">
        <v>44</v>
      </c>
      <c r="C42" s="13" t="s">
        <v>533</v>
      </c>
      <c r="I42" s="10" t="s">
        <v>590</v>
      </c>
      <c r="J42" s="13" t="s">
        <v>564</v>
      </c>
      <c r="K42" s="13" t="s">
        <v>303</v>
      </c>
      <c r="L42" s="13" t="s">
        <v>580</v>
      </c>
      <c r="M42" s="13" t="s">
        <v>188</v>
      </c>
      <c r="N42" s="13" t="s">
        <v>188</v>
      </c>
      <c r="O42" s="13" t="s">
        <v>190</v>
      </c>
      <c r="P42" s="13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>
      <c r="A43" s="12">
        <v>2.0</v>
      </c>
      <c r="B43" s="13" t="s">
        <v>44</v>
      </c>
      <c r="C43" s="13" t="s">
        <v>533</v>
      </c>
      <c r="I43" s="10" t="s">
        <v>592</v>
      </c>
      <c r="J43" s="13" t="s">
        <v>570</v>
      </c>
      <c r="K43" s="13" t="s">
        <v>303</v>
      </c>
      <c r="L43" s="13" t="s">
        <v>577</v>
      </c>
      <c r="M43" s="13" t="s">
        <v>188</v>
      </c>
      <c r="N43" s="13" t="s">
        <v>188</v>
      </c>
      <c r="O43" s="13" t="s">
        <v>190</v>
      </c>
      <c r="P43" s="13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>
      <c r="A44" s="12">
        <v>2.0</v>
      </c>
      <c r="B44" s="13" t="s">
        <v>44</v>
      </c>
      <c r="C44" s="13" t="s">
        <v>533</v>
      </c>
      <c r="I44" s="10" t="s">
        <v>73</v>
      </c>
      <c r="J44" s="13" t="s">
        <v>560</v>
      </c>
      <c r="K44" s="13" t="s">
        <v>303</v>
      </c>
      <c r="L44" s="13" t="s">
        <v>577</v>
      </c>
      <c r="M44" s="13" t="s">
        <v>188</v>
      </c>
      <c r="N44" s="13" t="s">
        <v>188</v>
      </c>
      <c r="O44" s="13" t="s">
        <v>190</v>
      </c>
      <c r="P44" s="13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>
      <c r="A45" s="12">
        <v>2.0</v>
      </c>
      <c r="B45" s="13" t="s">
        <v>44</v>
      </c>
      <c r="C45" s="13" t="s">
        <v>533</v>
      </c>
      <c r="I45" s="10" t="s">
        <v>593</v>
      </c>
      <c r="J45" s="13" t="s">
        <v>564</v>
      </c>
      <c r="K45" s="13" t="s">
        <v>303</v>
      </c>
      <c r="L45" s="13" t="s">
        <v>577</v>
      </c>
      <c r="M45" s="13" t="s">
        <v>188</v>
      </c>
      <c r="N45" s="13" t="s">
        <v>188</v>
      </c>
      <c r="O45" s="13" t="s">
        <v>190</v>
      </c>
      <c r="P45" s="13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>
      <c r="A46" s="12">
        <v>2.0</v>
      </c>
      <c r="B46" s="13" t="s">
        <v>44</v>
      </c>
      <c r="C46" s="13" t="s">
        <v>533</v>
      </c>
      <c r="I46" s="10" t="s">
        <v>250</v>
      </c>
      <c r="J46" s="13" t="s">
        <v>570</v>
      </c>
      <c r="K46" s="13" t="s">
        <v>303</v>
      </c>
      <c r="L46" s="13" t="s">
        <v>577</v>
      </c>
      <c r="M46" s="13" t="s">
        <v>188</v>
      </c>
      <c r="N46" s="13" t="s">
        <v>188</v>
      </c>
      <c r="O46" s="13" t="s">
        <v>190</v>
      </c>
      <c r="P46" s="13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>
      <c r="A47" s="12">
        <v>2.0</v>
      </c>
      <c r="B47" s="13" t="s">
        <v>44</v>
      </c>
      <c r="C47" s="13" t="s">
        <v>533</v>
      </c>
      <c r="I47" s="10" t="s">
        <v>597</v>
      </c>
      <c r="J47" s="13" t="s">
        <v>560</v>
      </c>
      <c r="K47" s="13" t="s">
        <v>303</v>
      </c>
      <c r="L47" s="13" t="s">
        <v>577</v>
      </c>
      <c r="M47" s="13" t="s">
        <v>188</v>
      </c>
      <c r="N47" s="13" t="s">
        <v>188</v>
      </c>
      <c r="O47" s="13" t="s">
        <v>190</v>
      </c>
      <c r="P47" s="13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>
      <c r="A48" s="12">
        <v>2.0</v>
      </c>
      <c r="B48" s="13" t="s">
        <v>44</v>
      </c>
      <c r="C48" s="13" t="s">
        <v>533</v>
      </c>
      <c r="I48" s="10" t="s">
        <v>599</v>
      </c>
      <c r="J48" s="13" t="s">
        <v>564</v>
      </c>
      <c r="K48" s="13" t="s">
        <v>303</v>
      </c>
      <c r="L48" s="13" t="s">
        <v>573</v>
      </c>
      <c r="M48" s="13" t="s">
        <v>188</v>
      </c>
      <c r="N48" s="13" t="s">
        <v>188</v>
      </c>
      <c r="O48" s="13" t="s">
        <v>190</v>
      </c>
      <c r="P48" s="13" t="s">
        <v>574</v>
      </c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>
      <c r="A49" s="12">
        <v>2.0</v>
      </c>
      <c r="B49" s="13" t="s">
        <v>44</v>
      </c>
      <c r="C49" s="13" t="s">
        <v>533</v>
      </c>
      <c r="I49" s="10" t="s">
        <v>326</v>
      </c>
      <c r="J49" s="13" t="s">
        <v>570</v>
      </c>
      <c r="K49" s="13" t="s">
        <v>303</v>
      </c>
      <c r="L49" s="13" t="s">
        <v>573</v>
      </c>
      <c r="M49" s="13" t="s">
        <v>188</v>
      </c>
      <c r="N49" s="13" t="s">
        <v>188</v>
      </c>
      <c r="O49" s="13" t="s">
        <v>190</v>
      </c>
      <c r="P49" s="13" t="s">
        <v>574</v>
      </c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>
      <c r="A50" s="12">
        <v>2.0</v>
      </c>
      <c r="B50" s="13" t="s">
        <v>44</v>
      </c>
      <c r="C50" s="13" t="s">
        <v>533</v>
      </c>
      <c r="I50" s="10" t="s">
        <v>443</v>
      </c>
      <c r="J50" s="13" t="s">
        <v>560</v>
      </c>
      <c r="K50" s="13" t="s">
        <v>303</v>
      </c>
      <c r="L50" s="13" t="s">
        <v>580</v>
      </c>
      <c r="M50" s="13" t="s">
        <v>188</v>
      </c>
      <c r="N50" s="13" t="s">
        <v>188</v>
      </c>
      <c r="O50" s="13" t="s">
        <v>190</v>
      </c>
      <c r="P50" s="13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>
      <c r="A51" s="12">
        <v>2.0</v>
      </c>
      <c r="B51" s="13" t="s">
        <v>44</v>
      </c>
      <c r="C51" s="13" t="s">
        <v>533</v>
      </c>
      <c r="I51" s="10" t="s">
        <v>404</v>
      </c>
      <c r="J51" s="13" t="s">
        <v>564</v>
      </c>
      <c r="K51" s="13" t="s">
        <v>303</v>
      </c>
      <c r="L51" s="13" t="s">
        <v>603</v>
      </c>
      <c r="M51" s="13" t="s">
        <v>188</v>
      </c>
      <c r="N51" s="13" t="s">
        <v>188</v>
      </c>
      <c r="O51" s="13" t="s">
        <v>190</v>
      </c>
      <c r="P51" s="13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>
      <c r="A52" s="12">
        <v>2.0</v>
      </c>
      <c r="B52" s="13" t="s">
        <v>44</v>
      </c>
      <c r="C52" s="13" t="s">
        <v>533</v>
      </c>
      <c r="I52" s="10" t="s">
        <v>604</v>
      </c>
      <c r="J52" s="13" t="s">
        <v>570</v>
      </c>
      <c r="K52" s="13" t="s">
        <v>303</v>
      </c>
      <c r="L52" s="13" t="s">
        <v>603</v>
      </c>
      <c r="M52" s="13" t="s">
        <v>188</v>
      </c>
      <c r="N52" s="13" t="s">
        <v>188</v>
      </c>
      <c r="O52" s="13" t="s">
        <v>190</v>
      </c>
      <c r="P52" s="13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>
      <c r="A53" s="12">
        <v>2.0</v>
      </c>
      <c r="B53" s="7" t="s">
        <v>44</v>
      </c>
      <c r="C53" s="7" t="s">
        <v>533</v>
      </c>
      <c r="I53" s="13" t="s">
        <v>475</v>
      </c>
      <c r="J53" s="13" t="s">
        <v>560</v>
      </c>
      <c r="K53" s="13" t="s">
        <v>303</v>
      </c>
      <c r="L53" s="13" t="s">
        <v>606</v>
      </c>
      <c r="M53" s="6" t="s">
        <v>188</v>
      </c>
      <c r="N53" s="6" t="s">
        <v>188</v>
      </c>
      <c r="O53" s="6" t="s">
        <v>190</v>
      </c>
      <c r="P53" s="7" t="s">
        <v>333</v>
      </c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>
      <c r="A54" s="12">
        <v>2.0</v>
      </c>
      <c r="B54" s="7" t="s">
        <v>44</v>
      </c>
      <c r="C54" s="7" t="s">
        <v>533</v>
      </c>
      <c r="I54" s="13" t="s">
        <v>608</v>
      </c>
      <c r="J54" s="13" t="s">
        <v>564</v>
      </c>
      <c r="K54" s="13" t="s">
        <v>303</v>
      </c>
      <c r="L54" s="13" t="s">
        <v>609</v>
      </c>
      <c r="M54" s="6" t="s">
        <v>188</v>
      </c>
      <c r="N54" s="6" t="s">
        <v>188</v>
      </c>
      <c r="O54" s="6" t="s">
        <v>190</v>
      </c>
      <c r="P54" s="7" t="s">
        <v>333</v>
      </c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>
      <c r="A55" s="12">
        <v>2.0</v>
      </c>
      <c r="B55" s="7" t="s">
        <v>44</v>
      </c>
      <c r="C55" s="7" t="s">
        <v>533</v>
      </c>
      <c r="I55" s="13" t="s">
        <v>610</v>
      </c>
      <c r="J55" s="13" t="s">
        <v>570</v>
      </c>
      <c r="K55" s="13" t="s">
        <v>303</v>
      </c>
      <c r="L55" s="13" t="s">
        <v>611</v>
      </c>
      <c r="M55" s="6" t="s">
        <v>188</v>
      </c>
      <c r="N55" s="6" t="s">
        <v>188</v>
      </c>
      <c r="O55" s="6" t="s">
        <v>190</v>
      </c>
      <c r="P55" s="7" t="s">
        <v>333</v>
      </c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>
      <c r="A56" s="12">
        <v>2.0</v>
      </c>
      <c r="B56" s="7" t="s">
        <v>44</v>
      </c>
      <c r="C56" s="7" t="s">
        <v>533</v>
      </c>
      <c r="I56" s="13" t="s">
        <v>612</v>
      </c>
      <c r="J56" s="13" t="s">
        <v>560</v>
      </c>
      <c r="K56" s="13" t="s">
        <v>303</v>
      </c>
      <c r="L56" s="13" t="s">
        <v>613</v>
      </c>
      <c r="M56" s="6" t="s">
        <v>188</v>
      </c>
      <c r="N56" s="6" t="s">
        <v>188</v>
      </c>
      <c r="O56" s="6" t="s">
        <v>190</v>
      </c>
      <c r="P56" s="7" t="s">
        <v>333</v>
      </c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>
      <c r="A57" s="12">
        <v>2.0</v>
      </c>
      <c r="B57" s="7" t="s">
        <v>44</v>
      </c>
      <c r="C57" s="7" t="s">
        <v>533</v>
      </c>
      <c r="I57" s="13" t="s">
        <v>615</v>
      </c>
      <c r="J57" s="13" t="s">
        <v>564</v>
      </c>
      <c r="K57" s="13" t="s">
        <v>303</v>
      </c>
      <c r="L57" s="13" t="s">
        <v>613</v>
      </c>
      <c r="M57" s="6" t="s">
        <v>188</v>
      </c>
      <c r="N57" s="6" t="s">
        <v>188</v>
      </c>
      <c r="O57" s="6" t="s">
        <v>190</v>
      </c>
      <c r="P57" s="7" t="s">
        <v>333</v>
      </c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>
      <c r="A58" s="12">
        <v>2.0</v>
      </c>
      <c r="B58" s="7" t="s">
        <v>44</v>
      </c>
      <c r="C58" s="7" t="s">
        <v>533</v>
      </c>
      <c r="I58" s="13" t="s">
        <v>616</v>
      </c>
      <c r="J58" s="13" t="s">
        <v>570</v>
      </c>
      <c r="K58" s="13" t="s">
        <v>303</v>
      </c>
      <c r="L58" s="13" t="s">
        <v>617</v>
      </c>
      <c r="M58" s="6" t="s">
        <v>188</v>
      </c>
      <c r="N58" s="6" t="s">
        <v>188</v>
      </c>
      <c r="O58" s="6" t="s">
        <v>190</v>
      </c>
      <c r="P58" s="7" t="s">
        <v>333</v>
      </c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>
      <c r="A59" s="12">
        <v>2.0</v>
      </c>
      <c r="B59" s="7" t="s">
        <v>44</v>
      </c>
      <c r="C59" s="7" t="s">
        <v>533</v>
      </c>
      <c r="I59" s="13" t="s">
        <v>618</v>
      </c>
      <c r="J59" s="13" t="s">
        <v>560</v>
      </c>
      <c r="K59" s="13" t="s">
        <v>303</v>
      </c>
      <c r="L59" s="13" t="s">
        <v>619</v>
      </c>
      <c r="M59" s="6" t="s">
        <v>188</v>
      </c>
      <c r="N59" s="6" t="s">
        <v>188</v>
      </c>
      <c r="O59" s="6" t="s">
        <v>190</v>
      </c>
      <c r="P59" s="7" t="s">
        <v>333</v>
      </c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>
      <c r="A60" s="12">
        <v>2.0</v>
      </c>
      <c r="B60" s="7" t="s">
        <v>44</v>
      </c>
      <c r="C60" s="7" t="s">
        <v>533</v>
      </c>
      <c r="I60" s="13" t="s">
        <v>620</v>
      </c>
      <c r="J60" s="13" t="s">
        <v>564</v>
      </c>
      <c r="K60" s="13" t="s">
        <v>303</v>
      </c>
      <c r="L60" s="13" t="s">
        <v>619</v>
      </c>
      <c r="M60" s="6" t="s">
        <v>188</v>
      </c>
      <c r="N60" s="6" t="s">
        <v>188</v>
      </c>
      <c r="O60" s="6" t="s">
        <v>190</v>
      </c>
      <c r="P60" s="7" t="s">
        <v>333</v>
      </c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>
      <c r="A61" s="12">
        <v>2.0</v>
      </c>
      <c r="B61" s="7" t="s">
        <v>44</v>
      </c>
      <c r="C61" s="7" t="s">
        <v>533</v>
      </c>
      <c r="I61" s="13" t="s">
        <v>501</v>
      </c>
      <c r="J61" s="13" t="s">
        <v>570</v>
      </c>
      <c r="K61" s="13" t="s">
        <v>303</v>
      </c>
      <c r="L61" s="13" t="s">
        <v>622</v>
      </c>
      <c r="M61" s="6" t="s">
        <v>188</v>
      </c>
      <c r="N61" s="6" t="s">
        <v>188</v>
      </c>
      <c r="O61" s="6" t="s">
        <v>190</v>
      </c>
      <c r="P61" s="7" t="s">
        <v>333</v>
      </c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>
      <c r="A62" s="12">
        <v>2.0</v>
      </c>
      <c r="B62" s="7" t="s">
        <v>44</v>
      </c>
      <c r="C62" s="7" t="s">
        <v>533</v>
      </c>
      <c r="I62" s="13" t="s">
        <v>623</v>
      </c>
      <c r="J62" s="13" t="s">
        <v>560</v>
      </c>
      <c r="K62" s="13" t="s">
        <v>303</v>
      </c>
      <c r="L62" s="13" t="s">
        <v>619</v>
      </c>
      <c r="M62" s="6" t="s">
        <v>188</v>
      </c>
      <c r="N62" s="6" t="s">
        <v>188</v>
      </c>
      <c r="O62" s="6" t="s">
        <v>190</v>
      </c>
      <c r="P62" s="7" t="s">
        <v>624</v>
      </c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>
      <c r="A63" s="12">
        <v>2.0</v>
      </c>
      <c r="B63" s="7" t="s">
        <v>44</v>
      </c>
      <c r="C63" s="7" t="s">
        <v>533</v>
      </c>
      <c r="I63" s="13" t="s">
        <v>625</v>
      </c>
      <c r="J63" s="13" t="s">
        <v>564</v>
      </c>
      <c r="K63" s="13" t="s">
        <v>303</v>
      </c>
      <c r="L63" s="13" t="s">
        <v>626</v>
      </c>
      <c r="M63" s="6" t="s">
        <v>188</v>
      </c>
      <c r="N63" s="6" t="s">
        <v>188</v>
      </c>
      <c r="O63" s="6" t="s">
        <v>190</v>
      </c>
      <c r="P63" s="7" t="s">
        <v>333</v>
      </c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>
      <c r="A64" s="12">
        <v>2.0</v>
      </c>
      <c r="B64" s="7" t="s">
        <v>44</v>
      </c>
      <c r="C64" s="7" t="s">
        <v>533</v>
      </c>
      <c r="I64" s="13" t="s">
        <v>628</v>
      </c>
      <c r="J64" s="13" t="s">
        <v>570</v>
      </c>
      <c r="K64" s="13" t="s">
        <v>303</v>
      </c>
      <c r="L64" s="13" t="s">
        <v>626</v>
      </c>
      <c r="M64" s="6" t="s">
        <v>188</v>
      </c>
      <c r="N64" s="6" t="s">
        <v>188</v>
      </c>
      <c r="O64" s="6" t="s">
        <v>190</v>
      </c>
      <c r="P64" s="7" t="s">
        <v>333</v>
      </c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>
      <c r="A65" s="12">
        <v>2.0</v>
      </c>
      <c r="B65" s="7" t="s">
        <v>44</v>
      </c>
      <c r="C65" s="7" t="s">
        <v>533</v>
      </c>
      <c r="I65" s="13" t="s">
        <v>629</v>
      </c>
      <c r="J65" s="13" t="s">
        <v>560</v>
      </c>
      <c r="K65" s="13" t="s">
        <v>303</v>
      </c>
      <c r="L65" s="13" t="s">
        <v>613</v>
      </c>
      <c r="M65" s="6" t="s">
        <v>188</v>
      </c>
      <c r="N65" s="6" t="s">
        <v>188</v>
      </c>
      <c r="O65" s="6" t="s">
        <v>190</v>
      </c>
      <c r="P65" s="7" t="s">
        <v>333</v>
      </c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>
      <c r="A66" s="12">
        <v>2.0</v>
      </c>
      <c r="B66" s="7" t="s">
        <v>44</v>
      </c>
      <c r="C66" s="7" t="s">
        <v>533</v>
      </c>
      <c r="I66" s="13" t="s">
        <v>630</v>
      </c>
      <c r="J66" s="13" t="s">
        <v>564</v>
      </c>
      <c r="K66" s="13" t="s">
        <v>303</v>
      </c>
      <c r="L66" s="13" t="s">
        <v>631</v>
      </c>
      <c r="M66" s="6" t="s">
        <v>188</v>
      </c>
      <c r="N66" s="6" t="s">
        <v>188</v>
      </c>
      <c r="O66" s="6" t="s">
        <v>190</v>
      </c>
      <c r="P66" s="7" t="s">
        <v>333</v>
      </c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>
      <c r="A67" s="12">
        <v>2.0</v>
      </c>
      <c r="B67" s="7" t="s">
        <v>44</v>
      </c>
      <c r="C67" s="7" t="s">
        <v>533</v>
      </c>
      <c r="I67" s="13" t="s">
        <v>632</v>
      </c>
      <c r="J67" s="13" t="s">
        <v>570</v>
      </c>
      <c r="K67" s="13" t="s">
        <v>303</v>
      </c>
      <c r="L67" s="13" t="s">
        <v>631</v>
      </c>
      <c r="M67" s="6" t="s">
        <v>188</v>
      </c>
      <c r="N67" s="6" t="s">
        <v>188</v>
      </c>
      <c r="O67" s="6" t="s">
        <v>190</v>
      </c>
      <c r="P67" s="7" t="s">
        <v>333</v>
      </c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>
      <c r="A68" s="12">
        <v>2.0</v>
      </c>
      <c r="B68" s="7" t="s">
        <v>44</v>
      </c>
      <c r="C68" s="7" t="s">
        <v>533</v>
      </c>
      <c r="I68" s="13" t="s">
        <v>633</v>
      </c>
      <c r="J68" s="13" t="s">
        <v>560</v>
      </c>
      <c r="K68" s="13" t="s">
        <v>303</v>
      </c>
      <c r="L68" s="13" t="s">
        <v>626</v>
      </c>
      <c r="M68" s="6" t="s">
        <v>188</v>
      </c>
      <c r="N68" s="6" t="s">
        <v>188</v>
      </c>
      <c r="O68" s="6" t="s">
        <v>190</v>
      </c>
      <c r="P68" s="7" t="s">
        <v>333</v>
      </c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>
      <c r="A69" s="12">
        <v>2.0</v>
      </c>
      <c r="B69" s="7" t="s">
        <v>44</v>
      </c>
      <c r="C69" s="7" t="s">
        <v>533</v>
      </c>
      <c r="I69" s="13" t="s">
        <v>634</v>
      </c>
      <c r="J69" s="13" t="s">
        <v>564</v>
      </c>
      <c r="K69" s="13" t="s">
        <v>303</v>
      </c>
      <c r="L69" s="13" t="s">
        <v>617</v>
      </c>
      <c r="M69" s="6" t="s">
        <v>188</v>
      </c>
      <c r="N69" s="6" t="s">
        <v>188</v>
      </c>
      <c r="O69" s="6" t="s">
        <v>190</v>
      </c>
      <c r="P69" s="7" t="s">
        <v>333</v>
      </c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>
      <c r="A70" s="12">
        <v>2.0</v>
      </c>
      <c r="B70" s="7" t="s">
        <v>44</v>
      </c>
      <c r="C70" s="7" t="s">
        <v>533</v>
      </c>
      <c r="I70" s="13" t="s">
        <v>635</v>
      </c>
      <c r="J70" s="13" t="s">
        <v>570</v>
      </c>
      <c r="K70" s="13" t="s">
        <v>303</v>
      </c>
      <c r="L70" s="13" t="s">
        <v>636</v>
      </c>
      <c r="M70" s="6" t="s">
        <v>188</v>
      </c>
      <c r="N70" s="6" t="s">
        <v>188</v>
      </c>
      <c r="O70" s="6" t="s">
        <v>190</v>
      </c>
      <c r="P70" s="7" t="s">
        <v>333</v>
      </c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>
      <c r="A71" s="12">
        <v>2.0</v>
      </c>
      <c r="B71" s="7" t="s">
        <v>44</v>
      </c>
      <c r="C71" s="7" t="s">
        <v>533</v>
      </c>
      <c r="I71" s="13" t="s">
        <v>637</v>
      </c>
      <c r="J71" s="13" t="s">
        <v>560</v>
      </c>
      <c r="K71" s="13" t="s">
        <v>303</v>
      </c>
      <c r="L71" s="13" t="s">
        <v>617</v>
      </c>
      <c r="M71" s="6" t="s">
        <v>188</v>
      </c>
      <c r="N71" s="6" t="s">
        <v>188</v>
      </c>
      <c r="O71" s="6" t="s">
        <v>190</v>
      </c>
      <c r="P71" s="7" t="s">
        <v>333</v>
      </c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>
      <c r="A72" s="12">
        <v>2.0</v>
      </c>
      <c r="B72" s="7" t="s">
        <v>44</v>
      </c>
      <c r="C72" s="7" t="s">
        <v>533</v>
      </c>
      <c r="I72" s="13" t="s">
        <v>638</v>
      </c>
      <c r="J72" s="13" t="s">
        <v>564</v>
      </c>
      <c r="K72" s="13" t="s">
        <v>303</v>
      </c>
      <c r="L72" s="13" t="s">
        <v>639</v>
      </c>
      <c r="M72" s="6" t="s">
        <v>188</v>
      </c>
      <c r="N72" s="6" t="s">
        <v>188</v>
      </c>
      <c r="O72" s="6" t="s">
        <v>190</v>
      </c>
      <c r="P72" s="7" t="s">
        <v>333</v>
      </c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>
      <c r="A73" s="12">
        <v>2.0</v>
      </c>
      <c r="B73" s="7" t="s">
        <v>44</v>
      </c>
      <c r="C73" s="7" t="s">
        <v>533</v>
      </c>
      <c r="I73" s="13" t="s">
        <v>584</v>
      </c>
      <c r="J73" s="13" t="s">
        <v>570</v>
      </c>
      <c r="K73" s="13" t="s">
        <v>303</v>
      </c>
      <c r="L73" s="13" t="s">
        <v>640</v>
      </c>
      <c r="M73" s="6" t="s">
        <v>188</v>
      </c>
      <c r="N73" s="6" t="s">
        <v>188</v>
      </c>
      <c r="O73" s="6" t="s">
        <v>190</v>
      </c>
      <c r="P73" s="7" t="s">
        <v>333</v>
      </c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>
      <c r="A74" s="12">
        <v>2.0</v>
      </c>
      <c r="B74" s="7" t="s">
        <v>44</v>
      </c>
      <c r="C74" s="7" t="s">
        <v>533</v>
      </c>
      <c r="I74" s="13" t="s">
        <v>641</v>
      </c>
      <c r="J74" s="13" t="s">
        <v>560</v>
      </c>
      <c r="K74" s="13" t="s">
        <v>303</v>
      </c>
      <c r="L74" s="13" t="s">
        <v>639</v>
      </c>
      <c r="M74" s="6" t="s">
        <v>188</v>
      </c>
      <c r="N74" s="6" t="s">
        <v>188</v>
      </c>
      <c r="O74" s="6" t="s">
        <v>190</v>
      </c>
      <c r="P74" s="7" t="s">
        <v>333</v>
      </c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>
      <c r="A75" s="12">
        <v>2.0</v>
      </c>
      <c r="B75" s="7" t="s">
        <v>44</v>
      </c>
      <c r="C75" s="7" t="s">
        <v>533</v>
      </c>
      <c r="I75" s="13" t="s">
        <v>282</v>
      </c>
      <c r="J75" s="13" t="s">
        <v>564</v>
      </c>
      <c r="K75" s="13" t="s">
        <v>303</v>
      </c>
      <c r="L75" s="13" t="s">
        <v>642</v>
      </c>
      <c r="M75" s="6" t="s">
        <v>188</v>
      </c>
      <c r="N75" s="6" t="s">
        <v>188</v>
      </c>
      <c r="O75" s="6" t="s">
        <v>190</v>
      </c>
      <c r="P75" s="7" t="s">
        <v>333</v>
      </c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>
      <c r="A76" s="12">
        <v>2.0</v>
      </c>
      <c r="B76" s="7" t="s">
        <v>44</v>
      </c>
      <c r="C76" s="7" t="s">
        <v>533</v>
      </c>
      <c r="I76" s="13" t="s">
        <v>643</v>
      </c>
      <c r="J76" s="13" t="s">
        <v>570</v>
      </c>
      <c r="K76" s="13" t="s">
        <v>303</v>
      </c>
      <c r="L76" s="13" t="s">
        <v>644</v>
      </c>
      <c r="M76" s="6" t="s">
        <v>188</v>
      </c>
      <c r="N76" s="6" t="s">
        <v>188</v>
      </c>
      <c r="O76" s="6" t="s">
        <v>190</v>
      </c>
      <c r="P76" s="7" t="s">
        <v>333</v>
      </c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>
      <c r="A77" s="12">
        <v>2.0</v>
      </c>
      <c r="B77" s="7" t="s">
        <v>44</v>
      </c>
      <c r="C77" s="7" t="s">
        <v>533</v>
      </c>
      <c r="I77" s="13" t="s">
        <v>645</v>
      </c>
      <c r="J77" s="13" t="s">
        <v>560</v>
      </c>
      <c r="K77" s="13" t="s">
        <v>303</v>
      </c>
      <c r="L77" s="13" t="s">
        <v>644</v>
      </c>
      <c r="M77" s="6" t="s">
        <v>188</v>
      </c>
      <c r="N77" s="6" t="s">
        <v>188</v>
      </c>
      <c r="O77" s="6" t="s">
        <v>190</v>
      </c>
      <c r="P77" s="7" t="s">
        <v>333</v>
      </c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>
      <c r="A78" s="12">
        <v>2.0</v>
      </c>
      <c r="B78" s="7" t="s">
        <v>44</v>
      </c>
      <c r="C78" s="7" t="s">
        <v>533</v>
      </c>
      <c r="I78" s="13" t="s">
        <v>646</v>
      </c>
      <c r="J78" s="13" t="s">
        <v>564</v>
      </c>
      <c r="K78" s="13" t="s">
        <v>303</v>
      </c>
      <c r="L78" s="13" t="s">
        <v>642</v>
      </c>
      <c r="M78" s="6" t="s">
        <v>188</v>
      </c>
      <c r="N78" s="6" t="s">
        <v>188</v>
      </c>
      <c r="O78" s="6" t="s">
        <v>190</v>
      </c>
      <c r="P78" s="7" t="s">
        <v>333</v>
      </c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>
      <c r="A79" s="12">
        <v>2.0</v>
      </c>
      <c r="B79" s="7" t="s">
        <v>44</v>
      </c>
      <c r="C79" s="7" t="s">
        <v>533</v>
      </c>
      <c r="I79" s="13" t="s">
        <v>647</v>
      </c>
      <c r="J79" s="13" t="s">
        <v>570</v>
      </c>
      <c r="K79" s="13" t="s">
        <v>303</v>
      </c>
      <c r="L79" s="13" t="s">
        <v>648</v>
      </c>
      <c r="M79" s="6" t="s">
        <v>188</v>
      </c>
      <c r="N79" s="6" t="s">
        <v>188</v>
      </c>
      <c r="O79" s="6" t="s">
        <v>190</v>
      </c>
      <c r="P79" s="7" t="s">
        <v>333</v>
      </c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>
      <c r="A80" s="12">
        <v>2.0</v>
      </c>
      <c r="B80" s="7" t="s">
        <v>44</v>
      </c>
      <c r="C80" s="7" t="s">
        <v>533</v>
      </c>
      <c r="I80" s="13" t="s">
        <v>649</v>
      </c>
      <c r="J80" s="13" t="s">
        <v>560</v>
      </c>
      <c r="K80" s="13" t="s">
        <v>303</v>
      </c>
      <c r="L80" s="13" t="s">
        <v>644</v>
      </c>
      <c r="M80" s="6" t="s">
        <v>188</v>
      </c>
      <c r="N80" s="6" t="s">
        <v>188</v>
      </c>
      <c r="O80" s="6" t="s">
        <v>190</v>
      </c>
      <c r="P80" s="7" t="s">
        <v>333</v>
      </c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>
      <c r="A81" s="12">
        <v>2.0</v>
      </c>
      <c r="B81" s="7" t="s">
        <v>44</v>
      </c>
      <c r="C81" s="7" t="s">
        <v>533</v>
      </c>
      <c r="I81" s="13" t="s">
        <v>650</v>
      </c>
      <c r="J81" s="13" t="s">
        <v>564</v>
      </c>
      <c r="K81" s="13" t="s">
        <v>303</v>
      </c>
      <c r="L81" s="13" t="s">
        <v>642</v>
      </c>
      <c r="M81" s="6" t="s">
        <v>188</v>
      </c>
      <c r="N81" s="6" t="s">
        <v>188</v>
      </c>
      <c r="O81" s="6" t="s">
        <v>190</v>
      </c>
      <c r="P81" s="7" t="s">
        <v>333</v>
      </c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>
      <c r="A82" s="12">
        <v>2.0</v>
      </c>
      <c r="B82" s="7" t="s">
        <v>44</v>
      </c>
      <c r="C82" s="7" t="s">
        <v>533</v>
      </c>
      <c r="I82" s="13" t="s">
        <v>651</v>
      </c>
      <c r="J82" s="13" t="s">
        <v>570</v>
      </c>
      <c r="K82" s="13" t="s">
        <v>303</v>
      </c>
      <c r="L82" s="13" t="s">
        <v>648</v>
      </c>
      <c r="M82" s="6" t="s">
        <v>188</v>
      </c>
      <c r="N82" s="6" t="s">
        <v>188</v>
      </c>
      <c r="O82" s="6" t="s">
        <v>190</v>
      </c>
      <c r="P82" s="7" t="s">
        <v>333</v>
      </c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>
      <c r="A83" s="12">
        <v>2.0</v>
      </c>
      <c r="B83" s="7" t="s">
        <v>44</v>
      </c>
      <c r="C83" s="7" t="s">
        <v>533</v>
      </c>
      <c r="I83" s="13" t="s">
        <v>652</v>
      </c>
      <c r="J83" s="13" t="s">
        <v>560</v>
      </c>
      <c r="K83" s="13" t="s">
        <v>303</v>
      </c>
      <c r="L83" s="13" t="s">
        <v>653</v>
      </c>
      <c r="M83" s="6" t="s">
        <v>188</v>
      </c>
      <c r="N83" s="6" t="s">
        <v>188</v>
      </c>
      <c r="O83" s="6" t="s">
        <v>190</v>
      </c>
      <c r="P83" s="7" t="s">
        <v>333</v>
      </c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>
      <c r="A84" s="12">
        <v>2.0</v>
      </c>
      <c r="B84" s="7" t="s">
        <v>44</v>
      </c>
      <c r="C84" s="7" t="s">
        <v>533</v>
      </c>
      <c r="I84" s="13" t="s">
        <v>654</v>
      </c>
      <c r="J84" s="13" t="s">
        <v>564</v>
      </c>
      <c r="K84" s="13" t="s">
        <v>303</v>
      </c>
      <c r="L84" s="13" t="s">
        <v>648</v>
      </c>
      <c r="M84" s="6" t="s">
        <v>188</v>
      </c>
      <c r="N84" s="6" t="s">
        <v>188</v>
      </c>
      <c r="O84" s="6" t="s">
        <v>190</v>
      </c>
      <c r="P84" s="7" t="s">
        <v>333</v>
      </c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>
      <c r="A85" s="12">
        <v>2.0</v>
      </c>
      <c r="B85" s="7" t="s">
        <v>44</v>
      </c>
      <c r="C85" s="7" t="s">
        <v>533</v>
      </c>
      <c r="I85" s="13" t="s">
        <v>655</v>
      </c>
      <c r="J85" s="13" t="s">
        <v>570</v>
      </c>
      <c r="K85" s="13" t="s">
        <v>303</v>
      </c>
      <c r="L85" s="13" t="s">
        <v>642</v>
      </c>
      <c r="M85" s="6" t="s">
        <v>188</v>
      </c>
      <c r="N85" s="6" t="s">
        <v>188</v>
      </c>
      <c r="O85" s="6" t="s">
        <v>190</v>
      </c>
      <c r="P85" s="7" t="s">
        <v>333</v>
      </c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>
      <c r="A86" s="12">
        <v>2.0</v>
      </c>
      <c r="B86" s="7" t="s">
        <v>44</v>
      </c>
      <c r="C86" s="7" t="s">
        <v>533</v>
      </c>
      <c r="I86" s="13" t="s">
        <v>656</v>
      </c>
      <c r="J86" s="13" t="s">
        <v>560</v>
      </c>
      <c r="K86" s="13" t="s">
        <v>303</v>
      </c>
      <c r="L86" s="13" t="s">
        <v>642</v>
      </c>
      <c r="M86" s="6" t="s">
        <v>188</v>
      </c>
      <c r="N86" s="6" t="s">
        <v>188</v>
      </c>
      <c r="O86" s="6" t="s">
        <v>190</v>
      </c>
      <c r="P86" s="7" t="s">
        <v>333</v>
      </c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>
      <c r="A87" s="12">
        <v>2.0</v>
      </c>
      <c r="B87" s="7" t="s">
        <v>44</v>
      </c>
      <c r="C87" s="7" t="s">
        <v>533</v>
      </c>
      <c r="I87" s="13" t="s">
        <v>657</v>
      </c>
      <c r="J87" s="13" t="s">
        <v>564</v>
      </c>
      <c r="K87" s="13" t="s">
        <v>303</v>
      </c>
      <c r="L87" s="13" t="s">
        <v>653</v>
      </c>
      <c r="M87" s="6" t="s">
        <v>188</v>
      </c>
      <c r="N87" s="6" t="s">
        <v>188</v>
      </c>
      <c r="O87" s="6" t="s">
        <v>190</v>
      </c>
      <c r="P87" s="7" t="s">
        <v>624</v>
      </c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>
      <c r="A88" s="12">
        <v>2.0</v>
      </c>
      <c r="B88" s="7" t="s">
        <v>44</v>
      </c>
      <c r="C88" s="7" t="s">
        <v>533</v>
      </c>
      <c r="I88" s="13" t="s">
        <v>658</v>
      </c>
      <c r="J88" s="13" t="s">
        <v>570</v>
      </c>
      <c r="K88" s="13" t="s">
        <v>303</v>
      </c>
      <c r="L88" s="13" t="s">
        <v>653</v>
      </c>
      <c r="M88" s="6" t="s">
        <v>188</v>
      </c>
      <c r="N88" s="6" t="s">
        <v>188</v>
      </c>
      <c r="O88" s="6" t="s">
        <v>190</v>
      </c>
      <c r="P88" s="7" t="s">
        <v>333</v>
      </c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>
      <c r="A89" s="12">
        <v>2.0</v>
      </c>
      <c r="B89" s="7" t="s">
        <v>44</v>
      </c>
      <c r="C89" s="7" t="s">
        <v>533</v>
      </c>
      <c r="I89" s="13" t="s">
        <v>659</v>
      </c>
      <c r="J89" s="13" t="s">
        <v>560</v>
      </c>
      <c r="K89" s="13" t="s">
        <v>303</v>
      </c>
      <c r="L89" s="13" t="s">
        <v>642</v>
      </c>
      <c r="M89" s="6" t="s">
        <v>188</v>
      </c>
      <c r="N89" s="6" t="s">
        <v>188</v>
      </c>
      <c r="O89" s="6" t="s">
        <v>190</v>
      </c>
      <c r="P89" s="7" t="s">
        <v>333</v>
      </c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>
      <c r="A90" s="12">
        <v>2.0</v>
      </c>
      <c r="B90" s="7" t="s">
        <v>44</v>
      </c>
      <c r="C90" s="7" t="s">
        <v>533</v>
      </c>
      <c r="I90" s="13" t="s">
        <v>661</v>
      </c>
      <c r="J90" s="13" t="s">
        <v>564</v>
      </c>
      <c r="K90" s="13" t="s">
        <v>303</v>
      </c>
      <c r="L90" s="13" t="s">
        <v>642</v>
      </c>
      <c r="M90" s="6" t="s">
        <v>188</v>
      </c>
      <c r="N90" s="6" t="s">
        <v>188</v>
      </c>
      <c r="O90" s="6" t="s">
        <v>190</v>
      </c>
      <c r="P90" s="7" t="s">
        <v>333</v>
      </c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>
      <c r="A91" s="12">
        <v>2.0</v>
      </c>
      <c r="B91" s="7" t="s">
        <v>44</v>
      </c>
      <c r="C91" s="7" t="s">
        <v>533</v>
      </c>
      <c r="I91" s="13" t="s">
        <v>662</v>
      </c>
      <c r="J91" s="13" t="s">
        <v>570</v>
      </c>
      <c r="K91" s="13" t="s">
        <v>303</v>
      </c>
      <c r="L91" s="13" t="s">
        <v>653</v>
      </c>
      <c r="M91" s="6" t="s">
        <v>188</v>
      </c>
      <c r="N91" s="6" t="s">
        <v>188</v>
      </c>
      <c r="O91" s="6" t="s">
        <v>190</v>
      </c>
      <c r="P91" s="7" t="s">
        <v>333</v>
      </c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>
      <c r="A92" s="12">
        <v>2.0</v>
      </c>
      <c r="B92" s="7" t="s">
        <v>44</v>
      </c>
      <c r="C92" s="7" t="s">
        <v>533</v>
      </c>
      <c r="I92" s="13" t="s">
        <v>664</v>
      </c>
      <c r="J92" s="13" t="s">
        <v>560</v>
      </c>
      <c r="K92" s="13" t="s">
        <v>303</v>
      </c>
      <c r="L92" s="13" t="s">
        <v>648</v>
      </c>
      <c r="M92" s="6" t="s">
        <v>188</v>
      </c>
      <c r="N92" s="6" t="s">
        <v>188</v>
      </c>
      <c r="O92" s="6" t="s">
        <v>190</v>
      </c>
      <c r="P92" s="7" t="s">
        <v>333</v>
      </c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>
      <c r="A93" s="12">
        <v>2.0</v>
      </c>
      <c r="B93" s="7" t="s">
        <v>44</v>
      </c>
      <c r="C93" s="7" t="s">
        <v>533</v>
      </c>
      <c r="I93" s="13" t="s">
        <v>665</v>
      </c>
      <c r="J93" s="13" t="s">
        <v>564</v>
      </c>
      <c r="K93" s="13" t="s">
        <v>303</v>
      </c>
      <c r="L93" s="13" t="s">
        <v>666</v>
      </c>
      <c r="M93" s="6" t="s">
        <v>188</v>
      </c>
      <c r="N93" s="6" t="s">
        <v>188</v>
      </c>
      <c r="O93" s="6" t="s">
        <v>190</v>
      </c>
      <c r="P93" s="7" t="s">
        <v>333</v>
      </c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>
      <c r="A94" s="12">
        <v>2.0</v>
      </c>
      <c r="B94" s="7" t="s">
        <v>44</v>
      </c>
      <c r="C94" s="7" t="s">
        <v>533</v>
      </c>
      <c r="I94" s="13" t="s">
        <v>667</v>
      </c>
      <c r="J94" s="13" t="s">
        <v>570</v>
      </c>
      <c r="K94" s="13" t="s">
        <v>303</v>
      </c>
      <c r="L94" s="13" t="s">
        <v>666</v>
      </c>
      <c r="M94" s="6" t="s">
        <v>188</v>
      </c>
      <c r="N94" s="6" t="s">
        <v>188</v>
      </c>
      <c r="O94" s="6" t="s">
        <v>190</v>
      </c>
      <c r="P94" s="7" t="s">
        <v>333</v>
      </c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>
      <c r="A95" s="12">
        <v>2.0</v>
      </c>
      <c r="B95" s="7" t="s">
        <v>44</v>
      </c>
      <c r="C95" s="7" t="s">
        <v>533</v>
      </c>
      <c r="I95" s="13" t="s">
        <v>668</v>
      </c>
      <c r="J95" s="13" t="s">
        <v>560</v>
      </c>
      <c r="K95" s="13" t="s">
        <v>303</v>
      </c>
      <c r="L95" s="13" t="s">
        <v>666</v>
      </c>
      <c r="M95" s="6" t="s">
        <v>188</v>
      </c>
      <c r="N95" s="6" t="s">
        <v>188</v>
      </c>
      <c r="O95" s="6" t="s">
        <v>190</v>
      </c>
      <c r="P95" s="7" t="s">
        <v>333</v>
      </c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>
      <c r="A96" s="12">
        <v>2.0</v>
      </c>
      <c r="B96" s="7" t="s">
        <v>44</v>
      </c>
      <c r="C96" s="7" t="s">
        <v>533</v>
      </c>
      <c r="I96" s="13" t="s">
        <v>670</v>
      </c>
      <c r="J96" s="13" t="s">
        <v>564</v>
      </c>
      <c r="K96" s="13" t="s">
        <v>303</v>
      </c>
      <c r="L96" s="13" t="s">
        <v>642</v>
      </c>
      <c r="M96" s="6" t="s">
        <v>188</v>
      </c>
      <c r="N96" s="6" t="s">
        <v>188</v>
      </c>
      <c r="O96" s="6" t="s">
        <v>190</v>
      </c>
      <c r="P96" s="7" t="s">
        <v>333</v>
      </c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>
      <c r="A97" s="12">
        <v>2.0</v>
      </c>
      <c r="B97" s="7" t="s">
        <v>44</v>
      </c>
      <c r="C97" s="7" t="s">
        <v>533</v>
      </c>
      <c r="I97" s="13" t="s">
        <v>671</v>
      </c>
      <c r="J97" s="13" t="s">
        <v>570</v>
      </c>
      <c r="K97" s="13" t="s">
        <v>303</v>
      </c>
      <c r="L97" s="13" t="s">
        <v>648</v>
      </c>
      <c r="M97" s="6" t="s">
        <v>188</v>
      </c>
      <c r="N97" s="6" t="s">
        <v>188</v>
      </c>
      <c r="O97" s="6" t="s">
        <v>190</v>
      </c>
      <c r="P97" s="7" t="s">
        <v>333</v>
      </c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>
      <c r="A98" s="12">
        <v>2.0</v>
      </c>
      <c r="B98" s="7" t="s">
        <v>44</v>
      </c>
      <c r="C98" s="7" t="s">
        <v>533</v>
      </c>
      <c r="I98" s="13" t="s">
        <v>672</v>
      </c>
      <c r="J98" s="13" t="s">
        <v>560</v>
      </c>
      <c r="K98" s="13" t="s">
        <v>303</v>
      </c>
      <c r="L98" s="13" t="s">
        <v>648</v>
      </c>
      <c r="M98" s="6" t="s">
        <v>188</v>
      </c>
      <c r="N98" s="6" t="s">
        <v>188</v>
      </c>
      <c r="O98" s="6" t="s">
        <v>190</v>
      </c>
      <c r="P98" s="7" t="s">
        <v>333</v>
      </c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>
      <c r="A99" s="12">
        <v>2.0</v>
      </c>
      <c r="B99" s="7" t="s">
        <v>44</v>
      </c>
      <c r="C99" s="7" t="s">
        <v>533</v>
      </c>
      <c r="I99" s="13" t="s">
        <v>673</v>
      </c>
      <c r="J99" s="13" t="s">
        <v>564</v>
      </c>
      <c r="K99" s="13" t="s">
        <v>303</v>
      </c>
      <c r="L99" s="13" t="s">
        <v>648</v>
      </c>
      <c r="M99" s="6" t="s">
        <v>188</v>
      </c>
      <c r="N99" s="6" t="s">
        <v>188</v>
      </c>
      <c r="O99" s="6" t="s">
        <v>190</v>
      </c>
      <c r="P99" s="7" t="s">
        <v>624</v>
      </c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>
      <c r="A100" s="12">
        <v>2.0</v>
      </c>
      <c r="B100" s="7" t="s">
        <v>44</v>
      </c>
      <c r="C100" s="7" t="s">
        <v>533</v>
      </c>
      <c r="I100" s="13" t="s">
        <v>674</v>
      </c>
      <c r="J100" s="13" t="s">
        <v>570</v>
      </c>
      <c r="K100" s="13" t="s">
        <v>303</v>
      </c>
      <c r="L100" s="13" t="s">
        <v>642</v>
      </c>
      <c r="M100" s="6" t="s">
        <v>188</v>
      </c>
      <c r="N100" s="6" t="s">
        <v>188</v>
      </c>
      <c r="O100" s="6" t="s">
        <v>190</v>
      </c>
      <c r="P100" s="7" t="s">
        <v>333</v>
      </c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>
      <c r="A101" s="12">
        <v>2.0</v>
      </c>
      <c r="B101" s="7" t="s">
        <v>44</v>
      </c>
      <c r="C101" s="7" t="s">
        <v>533</v>
      </c>
      <c r="I101" s="13" t="s">
        <v>676</v>
      </c>
      <c r="J101" s="13" t="s">
        <v>560</v>
      </c>
      <c r="K101" s="13" t="s">
        <v>303</v>
      </c>
      <c r="L101" s="13" t="s">
        <v>644</v>
      </c>
      <c r="M101" s="6" t="s">
        <v>188</v>
      </c>
      <c r="N101" s="6" t="s">
        <v>188</v>
      </c>
      <c r="O101" s="6" t="s">
        <v>190</v>
      </c>
      <c r="P101" s="7" t="s">
        <v>333</v>
      </c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>
      <c r="A102" s="12">
        <v>2.0</v>
      </c>
      <c r="B102" s="7" t="s">
        <v>44</v>
      </c>
      <c r="C102" s="7" t="s">
        <v>533</v>
      </c>
      <c r="I102" s="13" t="s">
        <v>679</v>
      </c>
      <c r="J102" s="13" t="s">
        <v>564</v>
      </c>
      <c r="K102" s="13" t="s">
        <v>303</v>
      </c>
      <c r="L102" s="13" t="s">
        <v>644</v>
      </c>
      <c r="M102" s="6" t="s">
        <v>188</v>
      </c>
      <c r="N102" s="6" t="s">
        <v>188</v>
      </c>
      <c r="O102" s="6" t="s">
        <v>190</v>
      </c>
      <c r="P102" s="7" t="s">
        <v>333</v>
      </c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>
      <c r="A103" s="12">
        <v>2.0</v>
      </c>
      <c r="B103" s="7" t="s">
        <v>44</v>
      </c>
      <c r="C103" s="7" t="s">
        <v>533</v>
      </c>
      <c r="I103" s="13" t="s">
        <v>680</v>
      </c>
      <c r="J103" s="13" t="s">
        <v>570</v>
      </c>
      <c r="K103" s="13" t="s">
        <v>303</v>
      </c>
      <c r="L103" s="13" t="s">
        <v>681</v>
      </c>
      <c r="M103" s="6" t="s">
        <v>188</v>
      </c>
      <c r="N103" s="6" t="s">
        <v>188</v>
      </c>
      <c r="O103" s="6" t="s">
        <v>190</v>
      </c>
      <c r="P103" s="7" t="s">
        <v>333</v>
      </c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>
      <c r="A104" s="12">
        <v>2.0</v>
      </c>
      <c r="B104" s="7" t="s">
        <v>44</v>
      </c>
      <c r="C104" s="7" t="s">
        <v>533</v>
      </c>
      <c r="I104" s="13" t="s">
        <v>682</v>
      </c>
      <c r="J104" s="13" t="s">
        <v>560</v>
      </c>
      <c r="K104" s="13" t="s">
        <v>303</v>
      </c>
      <c r="L104" s="13" t="s">
        <v>653</v>
      </c>
      <c r="M104" s="6" t="s">
        <v>188</v>
      </c>
      <c r="N104" s="6" t="s">
        <v>188</v>
      </c>
      <c r="O104" s="6" t="s">
        <v>190</v>
      </c>
      <c r="P104" s="7" t="s">
        <v>333</v>
      </c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>
      <c r="A105" s="12">
        <v>2.0</v>
      </c>
      <c r="B105" s="7" t="s">
        <v>44</v>
      </c>
      <c r="C105" s="7" t="s">
        <v>533</v>
      </c>
      <c r="I105" s="13" t="s">
        <v>683</v>
      </c>
      <c r="J105" s="13" t="s">
        <v>564</v>
      </c>
      <c r="K105" s="13" t="s">
        <v>303</v>
      </c>
      <c r="L105" s="13" t="s">
        <v>644</v>
      </c>
      <c r="M105" s="6" t="s">
        <v>188</v>
      </c>
      <c r="N105" s="6" t="s">
        <v>188</v>
      </c>
      <c r="O105" s="6" t="s">
        <v>190</v>
      </c>
      <c r="P105" s="7" t="s">
        <v>333</v>
      </c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>
      <c r="A106" s="12">
        <v>2.0</v>
      </c>
      <c r="B106" s="7" t="s">
        <v>44</v>
      </c>
      <c r="C106" s="7" t="s">
        <v>533</v>
      </c>
      <c r="I106" s="13" t="s">
        <v>684</v>
      </c>
      <c r="J106" s="13" t="s">
        <v>570</v>
      </c>
      <c r="K106" s="13" t="s">
        <v>303</v>
      </c>
      <c r="L106" s="13" t="s">
        <v>644</v>
      </c>
      <c r="M106" s="6" t="s">
        <v>188</v>
      </c>
      <c r="N106" s="6" t="s">
        <v>188</v>
      </c>
      <c r="O106" s="6" t="s">
        <v>190</v>
      </c>
      <c r="P106" s="7" t="s">
        <v>333</v>
      </c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>
      <c r="A107" s="12">
        <v>2.0</v>
      </c>
      <c r="B107" s="7" t="s">
        <v>44</v>
      </c>
      <c r="C107" s="7" t="s">
        <v>533</v>
      </c>
      <c r="I107" s="13" t="s">
        <v>685</v>
      </c>
      <c r="J107" s="13" t="s">
        <v>560</v>
      </c>
      <c r="K107" s="13" t="s">
        <v>303</v>
      </c>
      <c r="L107" s="13" t="s">
        <v>648</v>
      </c>
      <c r="M107" s="6" t="s">
        <v>188</v>
      </c>
      <c r="N107" s="6" t="s">
        <v>188</v>
      </c>
      <c r="O107" s="6" t="s">
        <v>190</v>
      </c>
      <c r="P107" s="7" t="s">
        <v>333</v>
      </c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>
      <c r="A108" s="12">
        <v>2.0</v>
      </c>
      <c r="B108" s="7" t="s">
        <v>44</v>
      </c>
      <c r="C108" s="7" t="s">
        <v>533</v>
      </c>
      <c r="I108" s="13" t="s">
        <v>686</v>
      </c>
      <c r="J108" s="13" t="s">
        <v>564</v>
      </c>
      <c r="K108" s="13" t="s">
        <v>303</v>
      </c>
      <c r="L108" s="13" t="s">
        <v>653</v>
      </c>
      <c r="M108" s="6" t="s">
        <v>188</v>
      </c>
      <c r="N108" s="6" t="s">
        <v>188</v>
      </c>
      <c r="O108" s="6" t="s">
        <v>190</v>
      </c>
      <c r="P108" s="7" t="s">
        <v>333</v>
      </c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>
      <c r="A109" s="12">
        <v>2.0</v>
      </c>
      <c r="B109" s="7" t="s">
        <v>44</v>
      </c>
      <c r="C109" s="7" t="s">
        <v>533</v>
      </c>
      <c r="I109" s="13" t="s">
        <v>687</v>
      </c>
      <c r="J109" s="13" t="s">
        <v>570</v>
      </c>
      <c r="K109" s="13" t="s">
        <v>303</v>
      </c>
      <c r="L109" s="13" t="s">
        <v>644</v>
      </c>
      <c r="M109" s="6" t="s">
        <v>188</v>
      </c>
      <c r="N109" s="6" t="s">
        <v>188</v>
      </c>
      <c r="O109" s="6" t="s">
        <v>190</v>
      </c>
      <c r="P109" s="7" t="s">
        <v>333</v>
      </c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>
      <c r="A110" s="12">
        <v>2.0</v>
      </c>
      <c r="B110" s="7" t="s">
        <v>44</v>
      </c>
      <c r="C110" s="7" t="s">
        <v>533</v>
      </c>
      <c r="I110" s="13" t="s">
        <v>296</v>
      </c>
      <c r="J110" s="13" t="s">
        <v>560</v>
      </c>
      <c r="K110" s="13" t="s">
        <v>303</v>
      </c>
      <c r="L110" s="13" t="s">
        <v>653</v>
      </c>
      <c r="M110" s="6" t="s">
        <v>188</v>
      </c>
      <c r="N110" s="6" t="s">
        <v>188</v>
      </c>
      <c r="O110" s="6" t="s">
        <v>190</v>
      </c>
      <c r="P110" s="7" t="s">
        <v>333</v>
      </c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>
      <c r="A111" s="12">
        <v>2.0</v>
      </c>
      <c r="B111" s="7" t="s">
        <v>44</v>
      </c>
      <c r="C111" s="7" t="s">
        <v>533</v>
      </c>
      <c r="I111" s="13" t="s">
        <v>688</v>
      </c>
      <c r="J111" s="13" t="s">
        <v>564</v>
      </c>
      <c r="K111" s="13" t="s">
        <v>303</v>
      </c>
      <c r="L111" s="13" t="s">
        <v>644</v>
      </c>
      <c r="M111" s="6" t="s">
        <v>188</v>
      </c>
      <c r="N111" s="6" t="s">
        <v>188</v>
      </c>
      <c r="O111" s="6" t="s">
        <v>190</v>
      </c>
      <c r="P111" s="7" t="s">
        <v>333</v>
      </c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>
      <c r="A112" s="12">
        <v>2.0</v>
      </c>
      <c r="B112" s="7" t="s">
        <v>44</v>
      </c>
      <c r="C112" s="7" t="s">
        <v>533</v>
      </c>
      <c r="I112" s="13" t="s">
        <v>689</v>
      </c>
      <c r="J112" s="13" t="s">
        <v>570</v>
      </c>
      <c r="K112" s="13" t="s">
        <v>303</v>
      </c>
      <c r="L112" s="13" t="s">
        <v>690</v>
      </c>
      <c r="M112" s="6" t="s">
        <v>188</v>
      </c>
      <c r="N112" s="6" t="s">
        <v>188</v>
      </c>
      <c r="O112" s="6" t="s">
        <v>190</v>
      </c>
      <c r="P112" s="7" t="s">
        <v>333</v>
      </c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>
      <c r="A113" s="12">
        <v>2.0</v>
      </c>
      <c r="B113" s="7" t="s">
        <v>44</v>
      </c>
      <c r="C113" s="7" t="s">
        <v>533</v>
      </c>
      <c r="I113" s="13" t="s">
        <v>266</v>
      </c>
      <c r="J113" s="13" t="s">
        <v>560</v>
      </c>
      <c r="K113" s="13" t="s">
        <v>303</v>
      </c>
      <c r="L113" s="13" t="s">
        <v>653</v>
      </c>
      <c r="M113" s="6" t="s">
        <v>188</v>
      </c>
      <c r="N113" s="6" t="s">
        <v>188</v>
      </c>
      <c r="O113" s="6" t="s">
        <v>190</v>
      </c>
      <c r="P113" s="7" t="s">
        <v>333</v>
      </c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>
      <c r="A114" s="12">
        <v>2.0</v>
      </c>
      <c r="B114" s="7" t="s">
        <v>44</v>
      </c>
      <c r="C114" s="7" t="s">
        <v>533</v>
      </c>
      <c r="I114" s="13" t="s">
        <v>691</v>
      </c>
      <c r="J114" s="13" t="s">
        <v>564</v>
      </c>
      <c r="K114" s="13" t="s">
        <v>303</v>
      </c>
      <c r="L114" s="13" t="s">
        <v>692</v>
      </c>
      <c r="M114" s="6" t="s">
        <v>188</v>
      </c>
      <c r="N114" s="6" t="s">
        <v>188</v>
      </c>
      <c r="O114" s="6" t="s">
        <v>190</v>
      </c>
      <c r="P114" s="7" t="s">
        <v>624</v>
      </c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>
      <c r="A115" s="12">
        <v>2.0</v>
      </c>
      <c r="B115" s="7" t="s">
        <v>44</v>
      </c>
      <c r="C115" s="7" t="s">
        <v>533</v>
      </c>
      <c r="I115" s="13" t="s">
        <v>693</v>
      </c>
      <c r="J115" s="13" t="s">
        <v>570</v>
      </c>
      <c r="K115" s="13" t="s">
        <v>303</v>
      </c>
      <c r="L115" s="13" t="s">
        <v>644</v>
      </c>
      <c r="M115" s="6" t="s">
        <v>188</v>
      </c>
      <c r="N115" s="6" t="s">
        <v>188</v>
      </c>
      <c r="O115" s="6" t="s">
        <v>190</v>
      </c>
      <c r="P115" s="7" t="s">
        <v>333</v>
      </c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>
      <c r="A116" s="12">
        <v>2.0</v>
      </c>
      <c r="B116" s="7" t="s">
        <v>44</v>
      </c>
      <c r="C116" s="7" t="s">
        <v>533</v>
      </c>
      <c r="I116" s="13" t="s">
        <v>694</v>
      </c>
      <c r="J116" s="13" t="s">
        <v>560</v>
      </c>
      <c r="K116" s="13" t="s">
        <v>303</v>
      </c>
      <c r="L116" s="13" t="s">
        <v>666</v>
      </c>
      <c r="M116" s="6" t="s">
        <v>188</v>
      </c>
      <c r="N116" s="6" t="s">
        <v>188</v>
      </c>
      <c r="O116" s="6" t="s">
        <v>190</v>
      </c>
      <c r="P116" s="7" t="s">
        <v>333</v>
      </c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>
      <c r="A117" s="12">
        <v>2.0</v>
      </c>
      <c r="B117" s="7" t="s">
        <v>44</v>
      </c>
      <c r="C117" s="7" t="s">
        <v>533</v>
      </c>
      <c r="I117" s="13" t="s">
        <v>695</v>
      </c>
      <c r="J117" s="13" t="s">
        <v>564</v>
      </c>
      <c r="K117" s="13" t="s">
        <v>303</v>
      </c>
      <c r="L117" s="13" t="s">
        <v>648</v>
      </c>
      <c r="M117" s="6" t="s">
        <v>188</v>
      </c>
      <c r="N117" s="6" t="s">
        <v>188</v>
      </c>
      <c r="O117" s="6" t="s">
        <v>190</v>
      </c>
      <c r="P117" s="7" t="s">
        <v>333</v>
      </c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>
      <c r="A118" s="12">
        <v>2.0</v>
      </c>
      <c r="B118" s="7" t="s">
        <v>44</v>
      </c>
      <c r="C118" s="7" t="s">
        <v>533</v>
      </c>
      <c r="I118" s="13" t="s">
        <v>481</v>
      </c>
      <c r="J118" s="13" t="s">
        <v>570</v>
      </c>
      <c r="K118" s="13" t="s">
        <v>303</v>
      </c>
      <c r="L118" s="13" t="s">
        <v>644</v>
      </c>
      <c r="M118" s="6" t="s">
        <v>188</v>
      </c>
      <c r="N118" s="6" t="s">
        <v>188</v>
      </c>
      <c r="O118" s="6" t="s">
        <v>190</v>
      </c>
      <c r="P118" s="7" t="s">
        <v>333</v>
      </c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>
      <c r="A119" s="12">
        <v>2.0</v>
      </c>
      <c r="B119" s="7" t="s">
        <v>44</v>
      </c>
      <c r="C119" s="7" t="s">
        <v>533</v>
      </c>
      <c r="I119" s="13" t="s">
        <v>696</v>
      </c>
      <c r="J119" s="13" t="s">
        <v>560</v>
      </c>
      <c r="K119" s="13" t="s">
        <v>303</v>
      </c>
      <c r="L119" s="13" t="s">
        <v>697</v>
      </c>
      <c r="M119" s="6" t="s">
        <v>188</v>
      </c>
      <c r="N119" s="6" t="s">
        <v>188</v>
      </c>
      <c r="O119" s="6" t="s">
        <v>190</v>
      </c>
      <c r="P119" s="7" t="s">
        <v>333</v>
      </c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>
      <c r="A120" s="12">
        <v>2.0</v>
      </c>
      <c r="B120" s="7" t="s">
        <v>44</v>
      </c>
      <c r="C120" s="7" t="s">
        <v>533</v>
      </c>
      <c r="I120" s="13" t="s">
        <v>591</v>
      </c>
      <c r="J120" s="13" t="s">
        <v>564</v>
      </c>
      <c r="K120" s="13" t="s">
        <v>303</v>
      </c>
      <c r="L120" s="13" t="s">
        <v>648</v>
      </c>
      <c r="M120" s="6" t="s">
        <v>188</v>
      </c>
      <c r="N120" s="6" t="s">
        <v>188</v>
      </c>
      <c r="O120" s="6" t="s">
        <v>190</v>
      </c>
      <c r="P120" s="7" t="s">
        <v>333</v>
      </c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>
      <c r="A121" s="12">
        <v>2.0</v>
      </c>
      <c r="B121" s="7" t="s">
        <v>44</v>
      </c>
      <c r="C121" s="7" t="s">
        <v>533</v>
      </c>
      <c r="I121" s="13" t="s">
        <v>698</v>
      </c>
      <c r="J121" s="13" t="s">
        <v>570</v>
      </c>
      <c r="K121" s="13" t="s">
        <v>303</v>
      </c>
      <c r="L121" s="13" t="s">
        <v>648</v>
      </c>
      <c r="M121" s="6" t="s">
        <v>188</v>
      </c>
      <c r="N121" s="6" t="s">
        <v>188</v>
      </c>
      <c r="O121" s="6" t="s">
        <v>190</v>
      </c>
      <c r="P121" s="7" t="s">
        <v>333</v>
      </c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>
      <c r="A122" s="12">
        <v>2.0</v>
      </c>
      <c r="B122" s="7" t="s">
        <v>44</v>
      </c>
      <c r="C122" s="7" t="s">
        <v>533</v>
      </c>
      <c r="I122" s="13" t="s">
        <v>699</v>
      </c>
      <c r="J122" s="13" t="s">
        <v>560</v>
      </c>
      <c r="K122" s="13" t="s">
        <v>303</v>
      </c>
      <c r="L122" s="13" t="s">
        <v>644</v>
      </c>
      <c r="M122" s="6" t="s">
        <v>188</v>
      </c>
      <c r="N122" s="6" t="s">
        <v>188</v>
      </c>
      <c r="O122" s="6" t="s">
        <v>190</v>
      </c>
      <c r="P122" s="7" t="s">
        <v>333</v>
      </c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>
      <c r="A123" s="12">
        <v>2.0</v>
      </c>
      <c r="B123" s="7" t="s">
        <v>44</v>
      </c>
      <c r="C123" s="7" t="s">
        <v>533</v>
      </c>
      <c r="I123" s="13" t="s">
        <v>700</v>
      </c>
      <c r="J123" s="13" t="s">
        <v>564</v>
      </c>
      <c r="K123" s="13" t="s">
        <v>303</v>
      </c>
      <c r="L123" s="13" t="s">
        <v>701</v>
      </c>
      <c r="M123" s="6" t="s">
        <v>188</v>
      </c>
      <c r="N123" s="6" t="s">
        <v>188</v>
      </c>
      <c r="O123" s="6" t="s">
        <v>190</v>
      </c>
      <c r="P123" s="7" t="s">
        <v>333</v>
      </c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>
      <c r="A124" s="12">
        <v>2.0</v>
      </c>
      <c r="B124" s="7" t="s">
        <v>44</v>
      </c>
      <c r="C124" s="7" t="s">
        <v>533</v>
      </c>
      <c r="I124" s="13" t="s">
        <v>702</v>
      </c>
      <c r="J124" s="13" t="s">
        <v>570</v>
      </c>
      <c r="K124" s="13" t="s">
        <v>303</v>
      </c>
      <c r="L124" s="13" t="s">
        <v>701</v>
      </c>
      <c r="M124" s="6" t="s">
        <v>188</v>
      </c>
      <c r="N124" s="6" t="s">
        <v>188</v>
      </c>
      <c r="O124" s="6" t="s">
        <v>190</v>
      </c>
      <c r="P124" s="7" t="s">
        <v>333</v>
      </c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>
      <c r="A125" s="12">
        <v>2.0</v>
      </c>
      <c r="B125" s="7" t="s">
        <v>44</v>
      </c>
      <c r="C125" s="7" t="s">
        <v>533</v>
      </c>
      <c r="I125" s="13" t="s">
        <v>703</v>
      </c>
      <c r="J125" s="13" t="s">
        <v>560</v>
      </c>
      <c r="K125" s="13" t="s">
        <v>303</v>
      </c>
      <c r="L125" s="13" t="s">
        <v>701</v>
      </c>
      <c r="M125" s="6" t="s">
        <v>188</v>
      </c>
      <c r="N125" s="6" t="s">
        <v>188</v>
      </c>
      <c r="O125" s="6" t="s">
        <v>190</v>
      </c>
      <c r="P125" s="7" t="s">
        <v>333</v>
      </c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>
      <c r="A126" s="12">
        <v>2.0</v>
      </c>
      <c r="B126" s="7" t="s">
        <v>44</v>
      </c>
      <c r="C126" s="7" t="s">
        <v>533</v>
      </c>
      <c r="I126" s="13" t="s">
        <v>704</v>
      </c>
      <c r="J126" s="13" t="s">
        <v>564</v>
      </c>
      <c r="K126" s="13" t="s">
        <v>303</v>
      </c>
      <c r="L126" s="13" t="s">
        <v>701</v>
      </c>
      <c r="M126" s="6" t="s">
        <v>188</v>
      </c>
      <c r="N126" s="6" t="s">
        <v>188</v>
      </c>
      <c r="O126" s="6" t="s">
        <v>190</v>
      </c>
      <c r="P126" s="7" t="s">
        <v>333</v>
      </c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>
      <c r="A127" s="12">
        <v>2.0</v>
      </c>
      <c r="B127" s="7" t="s">
        <v>44</v>
      </c>
      <c r="C127" s="7" t="s">
        <v>533</v>
      </c>
      <c r="I127" s="13" t="s">
        <v>705</v>
      </c>
      <c r="J127" s="13" t="s">
        <v>570</v>
      </c>
      <c r="K127" s="13" t="s">
        <v>303</v>
      </c>
      <c r="L127" s="13" t="s">
        <v>701</v>
      </c>
      <c r="M127" s="6" t="s">
        <v>188</v>
      </c>
      <c r="N127" s="6" t="s">
        <v>188</v>
      </c>
      <c r="O127" s="6" t="s">
        <v>190</v>
      </c>
      <c r="P127" s="7" t="s">
        <v>333</v>
      </c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>
      <c r="A128" s="12">
        <v>2.0</v>
      </c>
      <c r="B128" s="7" t="s">
        <v>44</v>
      </c>
      <c r="C128" s="7" t="s">
        <v>533</v>
      </c>
      <c r="I128" s="13" t="s">
        <v>706</v>
      </c>
      <c r="J128" s="13" t="s">
        <v>560</v>
      </c>
      <c r="K128" s="13" t="s">
        <v>303</v>
      </c>
      <c r="L128" s="13" t="s">
        <v>701</v>
      </c>
      <c r="M128" s="6" t="s">
        <v>188</v>
      </c>
      <c r="N128" s="6" t="s">
        <v>188</v>
      </c>
      <c r="O128" s="6" t="s">
        <v>190</v>
      </c>
      <c r="P128" s="7" t="s">
        <v>333</v>
      </c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>
      <c r="A129" s="12">
        <v>2.0</v>
      </c>
      <c r="B129" s="7" t="s">
        <v>44</v>
      </c>
      <c r="C129" s="7" t="s">
        <v>533</v>
      </c>
      <c r="I129" s="13" t="s">
        <v>707</v>
      </c>
      <c r="J129" s="13" t="s">
        <v>564</v>
      </c>
      <c r="K129" s="13" t="s">
        <v>303</v>
      </c>
      <c r="L129" s="13" t="s">
        <v>701</v>
      </c>
      <c r="M129" s="6" t="s">
        <v>188</v>
      </c>
      <c r="N129" s="6" t="s">
        <v>188</v>
      </c>
      <c r="O129" s="6" t="s">
        <v>190</v>
      </c>
      <c r="P129" s="7" t="s">
        <v>333</v>
      </c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>
      <c r="A130" s="12">
        <v>2.0</v>
      </c>
      <c r="B130" s="7" t="s">
        <v>44</v>
      </c>
      <c r="C130" s="7" t="s">
        <v>533</v>
      </c>
      <c r="I130" s="13" t="s">
        <v>708</v>
      </c>
      <c r="J130" s="13" t="s">
        <v>570</v>
      </c>
      <c r="K130" s="13" t="s">
        <v>303</v>
      </c>
      <c r="L130" s="13" t="s">
        <v>709</v>
      </c>
      <c r="M130" s="6" t="s">
        <v>188</v>
      </c>
      <c r="N130" s="6" t="s">
        <v>188</v>
      </c>
      <c r="O130" s="6" t="s">
        <v>190</v>
      </c>
      <c r="P130" s="7" t="s">
        <v>333</v>
      </c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>
      <c r="A131" s="12">
        <v>2.0</v>
      </c>
      <c r="B131" s="7" t="s">
        <v>44</v>
      </c>
      <c r="C131" s="7" t="s">
        <v>533</v>
      </c>
      <c r="I131" s="13" t="s">
        <v>710</v>
      </c>
      <c r="J131" s="13" t="s">
        <v>560</v>
      </c>
      <c r="K131" s="13" t="s">
        <v>303</v>
      </c>
      <c r="L131" s="13" t="s">
        <v>701</v>
      </c>
      <c r="M131" s="6" t="s">
        <v>188</v>
      </c>
      <c r="N131" s="6" t="s">
        <v>188</v>
      </c>
      <c r="O131" s="6" t="s">
        <v>190</v>
      </c>
      <c r="P131" s="7" t="s">
        <v>333</v>
      </c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>
      <c r="A132" s="12">
        <v>3.0</v>
      </c>
      <c r="B132" s="13" t="s">
        <v>54</v>
      </c>
      <c r="C132" s="13" t="s">
        <v>533</v>
      </c>
      <c r="D132" s="14">
        <f>IF(COUNTIF($B$2:$B132,$B132)&gt;1,"",COUNTIF($B$2:$B$3400,$B132))</f>
        <v>50</v>
      </c>
      <c r="E132" s="14">
        <f>IF(COUNTIF($B$2:$B132,$B132)&gt;1,"",COUNTIFS($B$2:$B$3400,$B132,$K$2:$K$3400,"PHÙ HỢP CAO"))</f>
        <v>3</v>
      </c>
      <c r="F132" s="14">
        <f>IF(COUNTIF($B$2:$B132,$B132)&gt;1,"",COUNTIFS($B$2:$B$3400,$B132,$K$2:$K$3400,"CÓ THỂ ĐI"))</f>
        <v>2</v>
      </c>
      <c r="G132" s="14">
        <f>IF(COUNTIF($B$2:$B132,$B132)&gt;1,"",COUNTIFS($B$2:$B$3400,$B132,$K$2:$K$3400,"CẦN SOÁT"))</f>
        <v>45</v>
      </c>
      <c r="H132" s="15" t="str">
        <f>IFERROR(__xludf.DUMMYFUNCTION("IF(COUNTIF($B$2:$B132,$B132)&gt;1,"""",IFERROR(TEXTJOIN(CHAR(10),TRUE,BYROW(QUERY({$B$2:$B$3400,$J$2:$J$3400},""select Col2, count(Col2) where Col1 = '""&amp;$B132&amp;""' group by Col2 order by count(Col2) desc label count(Col2) ''"",0),LAMBDA(r,INDEX(r,1,1)&amp;"" – "&amp;"""&amp;INDEX(r,1,2)&amp;"" link""))),""""))"),"nộp thuế hộ trên etax – 25 link
nộp thuế online – 25 link")</f>
        <v>nộp thuế hộ trên etax – 25 link
nộp thuế online – 25 link</v>
      </c>
      <c r="I132" s="10" t="s">
        <v>557</v>
      </c>
      <c r="J132" s="13" t="s">
        <v>711</v>
      </c>
      <c r="K132" s="13" t="s">
        <v>184</v>
      </c>
      <c r="L132" s="13" t="s">
        <v>712</v>
      </c>
      <c r="M132" s="13" t="s">
        <v>188</v>
      </c>
      <c r="N132" s="13" t="s">
        <v>188</v>
      </c>
      <c r="O132" s="13" t="s">
        <v>190</v>
      </c>
      <c r="P132" s="13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>
      <c r="A133" s="12">
        <v>3.0</v>
      </c>
      <c r="B133" s="13" t="s">
        <v>54</v>
      </c>
      <c r="C133" s="13" t="s">
        <v>533</v>
      </c>
      <c r="I133" s="10" t="s">
        <v>572</v>
      </c>
      <c r="J133" s="13" t="s">
        <v>713</v>
      </c>
      <c r="K133" s="13" t="s">
        <v>184</v>
      </c>
      <c r="L133" s="13" t="s">
        <v>714</v>
      </c>
      <c r="M133" s="13" t="s">
        <v>188</v>
      </c>
      <c r="N133" s="13" t="s">
        <v>188</v>
      </c>
      <c r="O133" s="13" t="s">
        <v>190</v>
      </c>
      <c r="P133" s="13" t="s">
        <v>715</v>
      </c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>
      <c r="A134" s="12">
        <v>3.0</v>
      </c>
      <c r="B134" s="13" t="s">
        <v>54</v>
      </c>
      <c r="C134" s="13" t="s">
        <v>533</v>
      </c>
      <c r="I134" s="10" t="s">
        <v>590</v>
      </c>
      <c r="J134" s="13" t="s">
        <v>711</v>
      </c>
      <c r="K134" s="13" t="s">
        <v>184</v>
      </c>
      <c r="L134" s="13" t="s">
        <v>716</v>
      </c>
      <c r="M134" s="13" t="s">
        <v>188</v>
      </c>
      <c r="N134" s="13" t="s">
        <v>188</v>
      </c>
      <c r="O134" s="13" t="s">
        <v>190</v>
      </c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>
      <c r="A135" s="12">
        <v>3.0</v>
      </c>
      <c r="B135" s="13" t="s">
        <v>54</v>
      </c>
      <c r="C135" s="13" t="s">
        <v>533</v>
      </c>
      <c r="I135" s="10" t="s">
        <v>587</v>
      </c>
      <c r="J135" s="13" t="s">
        <v>713</v>
      </c>
      <c r="K135" s="13" t="s">
        <v>283</v>
      </c>
      <c r="L135" s="13" t="s">
        <v>717</v>
      </c>
      <c r="M135" s="13" t="s">
        <v>188</v>
      </c>
      <c r="N135" s="13" t="s">
        <v>188</v>
      </c>
      <c r="O135" s="13" t="s">
        <v>190</v>
      </c>
      <c r="P135" s="13" t="s">
        <v>715</v>
      </c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>
      <c r="A136" s="12">
        <v>3.0</v>
      </c>
      <c r="B136" s="13" t="s">
        <v>54</v>
      </c>
      <c r="C136" s="13" t="s">
        <v>533</v>
      </c>
      <c r="I136" s="10" t="s">
        <v>597</v>
      </c>
      <c r="J136" s="13" t="s">
        <v>711</v>
      </c>
      <c r="K136" s="13" t="s">
        <v>283</v>
      </c>
      <c r="L136" s="13" t="s">
        <v>718</v>
      </c>
      <c r="M136" s="13" t="s">
        <v>188</v>
      </c>
      <c r="N136" s="13" t="s">
        <v>188</v>
      </c>
      <c r="O136" s="13" t="s">
        <v>190</v>
      </c>
      <c r="P136" s="13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>
      <c r="A137" s="12">
        <v>3.0</v>
      </c>
      <c r="B137" s="13" t="s">
        <v>54</v>
      </c>
      <c r="C137" s="13" t="s">
        <v>533</v>
      </c>
      <c r="I137" s="10" t="s">
        <v>641</v>
      </c>
      <c r="J137" s="13" t="s">
        <v>713</v>
      </c>
      <c r="K137" s="13" t="s">
        <v>303</v>
      </c>
      <c r="L137" s="13" t="s">
        <v>719</v>
      </c>
      <c r="M137" s="13" t="s">
        <v>188</v>
      </c>
      <c r="N137" s="13" t="s">
        <v>188</v>
      </c>
      <c r="O137" s="13" t="s">
        <v>190</v>
      </c>
      <c r="P137" s="13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>
      <c r="A138" s="12">
        <v>3.0</v>
      </c>
      <c r="B138" s="13" t="s">
        <v>54</v>
      </c>
      <c r="C138" s="13" t="s">
        <v>533</v>
      </c>
      <c r="I138" s="10" t="s">
        <v>575</v>
      </c>
      <c r="J138" s="13" t="s">
        <v>711</v>
      </c>
      <c r="K138" s="13" t="s">
        <v>303</v>
      </c>
      <c r="L138" s="13" t="s">
        <v>577</v>
      </c>
      <c r="M138" s="13" t="s">
        <v>188</v>
      </c>
      <c r="N138" s="13" t="s">
        <v>188</v>
      </c>
      <c r="O138" s="13" t="s">
        <v>190</v>
      </c>
      <c r="P138" s="13" t="s">
        <v>574</v>
      </c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>
      <c r="A139" s="12">
        <v>3.0</v>
      </c>
      <c r="B139" s="13" t="s">
        <v>54</v>
      </c>
      <c r="C139" s="13" t="s">
        <v>533</v>
      </c>
      <c r="I139" s="10" t="s">
        <v>578</v>
      </c>
      <c r="J139" s="13" t="s">
        <v>713</v>
      </c>
      <c r="K139" s="13" t="s">
        <v>303</v>
      </c>
      <c r="L139" s="13" t="s">
        <v>720</v>
      </c>
      <c r="M139" s="13" t="s">
        <v>188</v>
      </c>
      <c r="N139" s="13" t="s">
        <v>188</v>
      </c>
      <c r="O139" s="13" t="s">
        <v>190</v>
      </c>
      <c r="P139" s="13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>
      <c r="A140" s="12">
        <v>3.0</v>
      </c>
      <c r="B140" s="13" t="s">
        <v>54</v>
      </c>
      <c r="C140" s="13" t="s">
        <v>533</v>
      </c>
      <c r="I140" s="10" t="s">
        <v>581</v>
      </c>
      <c r="J140" s="13" t="s">
        <v>711</v>
      </c>
      <c r="K140" s="13" t="s">
        <v>303</v>
      </c>
      <c r="L140" s="13" t="s">
        <v>577</v>
      </c>
      <c r="M140" s="13" t="s">
        <v>188</v>
      </c>
      <c r="N140" s="13" t="s">
        <v>188</v>
      </c>
      <c r="O140" s="13" t="s">
        <v>190</v>
      </c>
      <c r="P140" s="13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>
      <c r="A141" s="12">
        <v>3.0</v>
      </c>
      <c r="B141" s="13" t="s">
        <v>54</v>
      </c>
      <c r="C141" s="13" t="s">
        <v>533</v>
      </c>
      <c r="I141" s="10" t="s">
        <v>583</v>
      </c>
      <c r="J141" s="13" t="s">
        <v>713</v>
      </c>
      <c r="K141" s="13" t="s">
        <v>303</v>
      </c>
      <c r="L141" s="13" t="s">
        <v>721</v>
      </c>
      <c r="M141" s="13" t="s">
        <v>188</v>
      </c>
      <c r="N141" s="13" t="s">
        <v>188</v>
      </c>
      <c r="O141" s="13" t="s">
        <v>190</v>
      </c>
      <c r="P141" s="13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>
      <c r="A142" s="12">
        <v>3.0</v>
      </c>
      <c r="B142" s="13" t="s">
        <v>54</v>
      </c>
      <c r="C142" s="13" t="s">
        <v>533</v>
      </c>
      <c r="I142" s="10" t="s">
        <v>585</v>
      </c>
      <c r="J142" s="13" t="s">
        <v>711</v>
      </c>
      <c r="K142" s="13" t="s">
        <v>303</v>
      </c>
      <c r="L142" s="13" t="s">
        <v>721</v>
      </c>
      <c r="M142" s="13" t="s">
        <v>188</v>
      </c>
      <c r="N142" s="13" t="s">
        <v>188</v>
      </c>
      <c r="O142" s="13" t="s">
        <v>190</v>
      </c>
      <c r="P142" s="13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>
      <c r="A143" s="12">
        <v>3.0</v>
      </c>
      <c r="B143" s="13" t="s">
        <v>54</v>
      </c>
      <c r="C143" s="13" t="s">
        <v>533</v>
      </c>
      <c r="I143" s="10" t="s">
        <v>592</v>
      </c>
      <c r="J143" s="13" t="s">
        <v>713</v>
      </c>
      <c r="K143" s="13" t="s">
        <v>303</v>
      </c>
      <c r="L143" s="13" t="s">
        <v>577</v>
      </c>
      <c r="M143" s="13" t="s">
        <v>188</v>
      </c>
      <c r="N143" s="13" t="s">
        <v>188</v>
      </c>
      <c r="O143" s="13" t="s">
        <v>190</v>
      </c>
      <c r="P143" s="13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>
      <c r="A144" s="12">
        <v>3.0</v>
      </c>
      <c r="B144" s="13" t="s">
        <v>54</v>
      </c>
      <c r="C144" s="13" t="s">
        <v>533</v>
      </c>
      <c r="I144" s="10" t="s">
        <v>584</v>
      </c>
      <c r="J144" s="13" t="s">
        <v>711</v>
      </c>
      <c r="K144" s="13" t="s">
        <v>303</v>
      </c>
      <c r="L144" s="13" t="s">
        <v>722</v>
      </c>
      <c r="M144" s="13" t="s">
        <v>188</v>
      </c>
      <c r="N144" s="13" t="s">
        <v>188</v>
      </c>
      <c r="O144" s="13" t="s">
        <v>190</v>
      </c>
      <c r="P144" s="13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>
      <c r="A145" s="12">
        <v>3.0</v>
      </c>
      <c r="B145" s="13" t="s">
        <v>54</v>
      </c>
      <c r="C145" s="13" t="s">
        <v>533</v>
      </c>
      <c r="I145" s="10" t="s">
        <v>73</v>
      </c>
      <c r="J145" s="13" t="s">
        <v>713</v>
      </c>
      <c r="K145" s="13" t="s">
        <v>303</v>
      </c>
      <c r="L145" s="13" t="s">
        <v>577</v>
      </c>
      <c r="M145" s="13" t="s">
        <v>188</v>
      </c>
      <c r="N145" s="13" t="s">
        <v>188</v>
      </c>
      <c r="O145" s="13" t="s">
        <v>190</v>
      </c>
      <c r="P145" s="13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>
      <c r="A146" s="12">
        <v>3.0</v>
      </c>
      <c r="B146" s="13" t="s">
        <v>54</v>
      </c>
      <c r="C146" s="13" t="s">
        <v>533</v>
      </c>
      <c r="I146" s="10" t="s">
        <v>638</v>
      </c>
      <c r="J146" s="13" t="s">
        <v>711</v>
      </c>
      <c r="K146" s="13" t="s">
        <v>303</v>
      </c>
      <c r="L146" s="13" t="s">
        <v>724</v>
      </c>
      <c r="M146" s="13" t="s">
        <v>188</v>
      </c>
      <c r="N146" s="13" t="s">
        <v>188</v>
      </c>
      <c r="O146" s="13" t="s">
        <v>190</v>
      </c>
      <c r="P146" s="13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>
      <c r="A147" s="12">
        <v>3.0</v>
      </c>
      <c r="B147" s="13" t="s">
        <v>54</v>
      </c>
      <c r="C147" s="13" t="s">
        <v>533</v>
      </c>
      <c r="I147" s="10" t="s">
        <v>593</v>
      </c>
      <c r="J147" s="13" t="s">
        <v>713</v>
      </c>
      <c r="K147" s="13" t="s">
        <v>303</v>
      </c>
      <c r="L147" s="13" t="s">
        <v>725</v>
      </c>
      <c r="M147" s="13" t="s">
        <v>188</v>
      </c>
      <c r="N147" s="13" t="s">
        <v>188</v>
      </c>
      <c r="O147" s="13" t="s">
        <v>190</v>
      </c>
      <c r="P147" s="13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>
      <c r="A148" s="12">
        <v>3.0</v>
      </c>
      <c r="B148" s="13" t="s">
        <v>54</v>
      </c>
      <c r="C148" s="13" t="s">
        <v>533</v>
      </c>
      <c r="I148" s="10" t="s">
        <v>250</v>
      </c>
      <c r="J148" s="13" t="s">
        <v>711</v>
      </c>
      <c r="K148" s="13" t="s">
        <v>303</v>
      </c>
      <c r="L148" s="13" t="s">
        <v>726</v>
      </c>
      <c r="M148" s="13" t="s">
        <v>188</v>
      </c>
      <c r="N148" s="13" t="s">
        <v>188</v>
      </c>
      <c r="O148" s="13" t="s">
        <v>190</v>
      </c>
      <c r="P148" s="13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>
      <c r="A149" s="12">
        <v>3.0</v>
      </c>
      <c r="B149" s="13" t="s">
        <v>54</v>
      </c>
      <c r="C149" s="13" t="s">
        <v>533</v>
      </c>
      <c r="I149" s="10" t="s">
        <v>599</v>
      </c>
      <c r="J149" s="13" t="s">
        <v>713</v>
      </c>
      <c r="K149" s="13" t="s">
        <v>303</v>
      </c>
      <c r="L149" s="13" t="s">
        <v>573</v>
      </c>
      <c r="M149" s="13" t="s">
        <v>188</v>
      </c>
      <c r="N149" s="13" t="s">
        <v>188</v>
      </c>
      <c r="O149" s="13" t="s">
        <v>190</v>
      </c>
      <c r="P149" s="13" t="s">
        <v>574</v>
      </c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>
      <c r="A150" s="12">
        <v>3.0</v>
      </c>
      <c r="B150" s="13" t="s">
        <v>54</v>
      </c>
      <c r="C150" s="13" t="s">
        <v>533</v>
      </c>
      <c r="I150" s="10" t="s">
        <v>326</v>
      </c>
      <c r="J150" s="13" t="s">
        <v>711</v>
      </c>
      <c r="K150" s="13" t="s">
        <v>303</v>
      </c>
      <c r="L150" s="13" t="s">
        <v>573</v>
      </c>
      <c r="M150" s="13" t="s">
        <v>188</v>
      </c>
      <c r="N150" s="13" t="s">
        <v>188</v>
      </c>
      <c r="O150" s="13" t="s">
        <v>190</v>
      </c>
      <c r="P150" s="13" t="s">
        <v>574</v>
      </c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>
      <c r="A151" s="12">
        <v>3.0</v>
      </c>
      <c r="B151" s="13" t="s">
        <v>54</v>
      </c>
      <c r="C151" s="13" t="s">
        <v>533</v>
      </c>
      <c r="I151" s="10" t="s">
        <v>475</v>
      </c>
      <c r="J151" s="13" t="s">
        <v>713</v>
      </c>
      <c r="K151" s="13" t="s">
        <v>303</v>
      </c>
      <c r="L151" s="13" t="s">
        <v>573</v>
      </c>
      <c r="M151" s="13" t="s">
        <v>188</v>
      </c>
      <c r="N151" s="13" t="s">
        <v>188</v>
      </c>
      <c r="O151" s="13" t="s">
        <v>190</v>
      </c>
      <c r="P151" s="13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>
      <c r="A152" s="12">
        <v>3.0</v>
      </c>
      <c r="B152" s="13" t="s">
        <v>54</v>
      </c>
      <c r="C152" s="13" t="s">
        <v>533</v>
      </c>
      <c r="I152" s="10" t="s">
        <v>443</v>
      </c>
      <c r="J152" s="13" t="s">
        <v>711</v>
      </c>
      <c r="K152" s="13" t="s">
        <v>303</v>
      </c>
      <c r="L152" s="13" t="s">
        <v>720</v>
      </c>
      <c r="M152" s="13" t="s">
        <v>188</v>
      </c>
      <c r="N152" s="13" t="s">
        <v>188</v>
      </c>
      <c r="O152" s="13" t="s">
        <v>190</v>
      </c>
      <c r="P152" s="13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>
      <c r="A153" s="12">
        <v>3.0</v>
      </c>
      <c r="B153" s="13" t="s">
        <v>54</v>
      </c>
      <c r="C153" s="13" t="s">
        <v>533</v>
      </c>
      <c r="I153" s="10" t="s">
        <v>44</v>
      </c>
      <c r="J153" s="13" t="s">
        <v>713</v>
      </c>
      <c r="K153" s="13" t="s">
        <v>303</v>
      </c>
      <c r="L153" s="13" t="s">
        <v>573</v>
      </c>
      <c r="M153" s="13" t="s">
        <v>188</v>
      </c>
      <c r="N153" s="13" t="s">
        <v>188</v>
      </c>
      <c r="O153" s="13" t="s">
        <v>190</v>
      </c>
      <c r="P153" s="13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>
      <c r="A154" s="12">
        <v>3.0</v>
      </c>
      <c r="B154" s="7" t="s">
        <v>54</v>
      </c>
      <c r="C154" s="7" t="s">
        <v>533</v>
      </c>
      <c r="I154" s="13" t="s">
        <v>608</v>
      </c>
      <c r="J154" s="13" t="s">
        <v>711</v>
      </c>
      <c r="K154" s="13" t="s">
        <v>303</v>
      </c>
      <c r="L154" s="13" t="s">
        <v>609</v>
      </c>
      <c r="M154" s="6" t="s">
        <v>188</v>
      </c>
      <c r="N154" s="6" t="s">
        <v>188</v>
      </c>
      <c r="O154" s="6" t="s">
        <v>190</v>
      </c>
      <c r="P154" s="7" t="s">
        <v>333</v>
      </c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>
      <c r="A155" s="12">
        <v>3.0</v>
      </c>
      <c r="B155" s="7" t="s">
        <v>54</v>
      </c>
      <c r="C155" s="7" t="s">
        <v>533</v>
      </c>
      <c r="I155" s="13" t="s">
        <v>610</v>
      </c>
      <c r="J155" s="13" t="s">
        <v>713</v>
      </c>
      <c r="K155" s="13" t="s">
        <v>303</v>
      </c>
      <c r="L155" s="13" t="s">
        <v>611</v>
      </c>
      <c r="M155" s="6" t="s">
        <v>188</v>
      </c>
      <c r="N155" s="6" t="s">
        <v>188</v>
      </c>
      <c r="O155" s="6" t="s">
        <v>190</v>
      </c>
      <c r="P155" s="7" t="s">
        <v>333</v>
      </c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>
      <c r="A156" s="12">
        <v>3.0</v>
      </c>
      <c r="B156" s="7" t="s">
        <v>54</v>
      </c>
      <c r="C156" s="7" t="s">
        <v>533</v>
      </c>
      <c r="I156" s="13" t="s">
        <v>612</v>
      </c>
      <c r="J156" s="13" t="s">
        <v>711</v>
      </c>
      <c r="K156" s="13" t="s">
        <v>303</v>
      </c>
      <c r="L156" s="13" t="s">
        <v>613</v>
      </c>
      <c r="M156" s="6" t="s">
        <v>188</v>
      </c>
      <c r="N156" s="6" t="s">
        <v>188</v>
      </c>
      <c r="O156" s="6" t="s">
        <v>190</v>
      </c>
      <c r="P156" s="7" t="s">
        <v>333</v>
      </c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>
      <c r="A157" s="12">
        <v>3.0</v>
      </c>
      <c r="B157" s="7" t="s">
        <v>54</v>
      </c>
      <c r="C157" s="7" t="s">
        <v>533</v>
      </c>
      <c r="I157" s="13" t="s">
        <v>615</v>
      </c>
      <c r="J157" s="13" t="s">
        <v>713</v>
      </c>
      <c r="K157" s="13" t="s">
        <v>303</v>
      </c>
      <c r="L157" s="13" t="s">
        <v>613</v>
      </c>
      <c r="M157" s="6" t="s">
        <v>188</v>
      </c>
      <c r="N157" s="6" t="s">
        <v>188</v>
      </c>
      <c r="O157" s="6" t="s">
        <v>190</v>
      </c>
      <c r="P157" s="7" t="s">
        <v>333</v>
      </c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>
      <c r="A158" s="12">
        <v>3.0</v>
      </c>
      <c r="B158" s="7" t="s">
        <v>54</v>
      </c>
      <c r="C158" s="7" t="s">
        <v>533</v>
      </c>
      <c r="I158" s="13" t="s">
        <v>616</v>
      </c>
      <c r="J158" s="13" t="s">
        <v>711</v>
      </c>
      <c r="K158" s="13" t="s">
        <v>303</v>
      </c>
      <c r="L158" s="13" t="s">
        <v>617</v>
      </c>
      <c r="M158" s="6" t="s">
        <v>188</v>
      </c>
      <c r="N158" s="6" t="s">
        <v>188</v>
      </c>
      <c r="O158" s="6" t="s">
        <v>190</v>
      </c>
      <c r="P158" s="7" t="s">
        <v>333</v>
      </c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>
      <c r="A159" s="12">
        <v>3.0</v>
      </c>
      <c r="B159" s="7" t="s">
        <v>54</v>
      </c>
      <c r="C159" s="7" t="s">
        <v>533</v>
      </c>
      <c r="I159" s="13" t="s">
        <v>625</v>
      </c>
      <c r="J159" s="13" t="s">
        <v>713</v>
      </c>
      <c r="K159" s="13" t="s">
        <v>303</v>
      </c>
      <c r="L159" s="13" t="s">
        <v>626</v>
      </c>
      <c r="M159" s="6" t="s">
        <v>188</v>
      </c>
      <c r="N159" s="6" t="s">
        <v>188</v>
      </c>
      <c r="O159" s="6" t="s">
        <v>190</v>
      </c>
      <c r="P159" s="7" t="s">
        <v>333</v>
      </c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>
      <c r="A160" s="12">
        <v>3.0</v>
      </c>
      <c r="B160" s="7" t="s">
        <v>54</v>
      </c>
      <c r="C160" s="7" t="s">
        <v>533</v>
      </c>
      <c r="I160" s="13" t="s">
        <v>628</v>
      </c>
      <c r="J160" s="13" t="s">
        <v>711</v>
      </c>
      <c r="K160" s="13" t="s">
        <v>303</v>
      </c>
      <c r="L160" s="13" t="s">
        <v>626</v>
      </c>
      <c r="M160" s="6" t="s">
        <v>188</v>
      </c>
      <c r="N160" s="6" t="s">
        <v>188</v>
      </c>
      <c r="O160" s="6" t="s">
        <v>190</v>
      </c>
      <c r="P160" s="7" t="s">
        <v>333</v>
      </c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>
      <c r="A161" s="12">
        <v>3.0</v>
      </c>
      <c r="B161" s="7" t="s">
        <v>54</v>
      </c>
      <c r="C161" s="7" t="s">
        <v>533</v>
      </c>
      <c r="I161" s="13" t="s">
        <v>629</v>
      </c>
      <c r="J161" s="13" t="s">
        <v>713</v>
      </c>
      <c r="K161" s="13" t="s">
        <v>303</v>
      </c>
      <c r="L161" s="13" t="s">
        <v>613</v>
      </c>
      <c r="M161" s="6" t="s">
        <v>188</v>
      </c>
      <c r="N161" s="6" t="s">
        <v>188</v>
      </c>
      <c r="O161" s="6" t="s">
        <v>190</v>
      </c>
      <c r="P161" s="7" t="s">
        <v>333</v>
      </c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>
      <c r="A162" s="12">
        <v>3.0</v>
      </c>
      <c r="B162" s="7" t="s">
        <v>54</v>
      </c>
      <c r="C162" s="7" t="s">
        <v>533</v>
      </c>
      <c r="I162" s="13" t="s">
        <v>630</v>
      </c>
      <c r="J162" s="13" t="s">
        <v>711</v>
      </c>
      <c r="K162" s="13" t="s">
        <v>303</v>
      </c>
      <c r="L162" s="13" t="s">
        <v>631</v>
      </c>
      <c r="M162" s="6" t="s">
        <v>188</v>
      </c>
      <c r="N162" s="6" t="s">
        <v>188</v>
      </c>
      <c r="O162" s="6" t="s">
        <v>190</v>
      </c>
      <c r="P162" s="7" t="s">
        <v>333</v>
      </c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>
      <c r="A163" s="12">
        <v>3.0</v>
      </c>
      <c r="B163" s="7" t="s">
        <v>54</v>
      </c>
      <c r="C163" s="7" t="s">
        <v>533</v>
      </c>
      <c r="I163" s="13" t="s">
        <v>632</v>
      </c>
      <c r="J163" s="13" t="s">
        <v>713</v>
      </c>
      <c r="K163" s="13" t="s">
        <v>303</v>
      </c>
      <c r="L163" s="13" t="s">
        <v>631</v>
      </c>
      <c r="M163" s="6" t="s">
        <v>188</v>
      </c>
      <c r="N163" s="6" t="s">
        <v>188</v>
      </c>
      <c r="O163" s="6" t="s">
        <v>190</v>
      </c>
      <c r="P163" s="7" t="s">
        <v>333</v>
      </c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>
      <c r="A164" s="12">
        <v>3.0</v>
      </c>
      <c r="B164" s="7" t="s">
        <v>54</v>
      </c>
      <c r="C164" s="7" t="s">
        <v>533</v>
      </c>
      <c r="I164" s="13" t="s">
        <v>633</v>
      </c>
      <c r="J164" s="13" t="s">
        <v>711</v>
      </c>
      <c r="K164" s="13" t="s">
        <v>303</v>
      </c>
      <c r="L164" s="13" t="s">
        <v>626</v>
      </c>
      <c r="M164" s="6" t="s">
        <v>188</v>
      </c>
      <c r="N164" s="6" t="s">
        <v>188</v>
      </c>
      <c r="O164" s="6" t="s">
        <v>190</v>
      </c>
      <c r="P164" s="7" t="s">
        <v>333</v>
      </c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>
      <c r="A165" s="12">
        <v>3.0</v>
      </c>
      <c r="B165" s="7" t="s">
        <v>54</v>
      </c>
      <c r="C165" s="7" t="s">
        <v>533</v>
      </c>
      <c r="I165" s="13" t="s">
        <v>634</v>
      </c>
      <c r="J165" s="13" t="s">
        <v>713</v>
      </c>
      <c r="K165" s="13" t="s">
        <v>303</v>
      </c>
      <c r="L165" s="13" t="s">
        <v>617</v>
      </c>
      <c r="M165" s="6" t="s">
        <v>188</v>
      </c>
      <c r="N165" s="6" t="s">
        <v>188</v>
      </c>
      <c r="O165" s="6" t="s">
        <v>190</v>
      </c>
      <c r="P165" s="7" t="s">
        <v>333</v>
      </c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>
      <c r="A166" s="12">
        <v>3.0</v>
      </c>
      <c r="B166" s="7" t="s">
        <v>54</v>
      </c>
      <c r="C166" s="7" t="s">
        <v>533</v>
      </c>
      <c r="I166" s="13" t="s">
        <v>635</v>
      </c>
      <c r="J166" s="13" t="s">
        <v>711</v>
      </c>
      <c r="K166" s="13" t="s">
        <v>303</v>
      </c>
      <c r="L166" s="13" t="s">
        <v>636</v>
      </c>
      <c r="M166" s="6" t="s">
        <v>188</v>
      </c>
      <c r="N166" s="6" t="s">
        <v>188</v>
      </c>
      <c r="O166" s="6" t="s">
        <v>190</v>
      </c>
      <c r="P166" s="7" t="s">
        <v>333</v>
      </c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>
      <c r="A167" s="12">
        <v>3.0</v>
      </c>
      <c r="B167" s="7" t="s">
        <v>54</v>
      </c>
      <c r="C167" s="7" t="s">
        <v>533</v>
      </c>
      <c r="I167" s="13" t="s">
        <v>637</v>
      </c>
      <c r="J167" s="13" t="s">
        <v>713</v>
      </c>
      <c r="K167" s="13" t="s">
        <v>303</v>
      </c>
      <c r="L167" s="13" t="s">
        <v>617</v>
      </c>
      <c r="M167" s="6" t="s">
        <v>188</v>
      </c>
      <c r="N167" s="6" t="s">
        <v>188</v>
      </c>
      <c r="O167" s="6" t="s">
        <v>190</v>
      </c>
      <c r="P167" s="7" t="s">
        <v>333</v>
      </c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>
      <c r="A168" s="12">
        <v>3.0</v>
      </c>
      <c r="B168" s="7" t="s">
        <v>54</v>
      </c>
      <c r="C168" s="7" t="s">
        <v>533</v>
      </c>
      <c r="I168" s="13" t="s">
        <v>282</v>
      </c>
      <c r="J168" s="13" t="s">
        <v>711</v>
      </c>
      <c r="K168" s="13" t="s">
        <v>303</v>
      </c>
      <c r="L168" s="13" t="s">
        <v>642</v>
      </c>
      <c r="M168" s="6" t="s">
        <v>188</v>
      </c>
      <c r="N168" s="6" t="s">
        <v>188</v>
      </c>
      <c r="O168" s="6" t="s">
        <v>190</v>
      </c>
      <c r="P168" s="7" t="s">
        <v>333</v>
      </c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>
      <c r="A169" s="12">
        <v>3.0</v>
      </c>
      <c r="B169" s="7" t="s">
        <v>54</v>
      </c>
      <c r="C169" s="7" t="s">
        <v>533</v>
      </c>
      <c r="I169" s="13" t="s">
        <v>643</v>
      </c>
      <c r="J169" s="13" t="s">
        <v>713</v>
      </c>
      <c r="K169" s="13" t="s">
        <v>303</v>
      </c>
      <c r="L169" s="13" t="s">
        <v>644</v>
      </c>
      <c r="M169" s="6" t="s">
        <v>188</v>
      </c>
      <c r="N169" s="6" t="s">
        <v>188</v>
      </c>
      <c r="O169" s="6" t="s">
        <v>190</v>
      </c>
      <c r="P169" s="7" t="s">
        <v>333</v>
      </c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>
      <c r="A170" s="12">
        <v>3.0</v>
      </c>
      <c r="B170" s="7" t="s">
        <v>54</v>
      </c>
      <c r="C170" s="7" t="s">
        <v>533</v>
      </c>
      <c r="I170" s="13" t="s">
        <v>645</v>
      </c>
      <c r="J170" s="13" t="s">
        <v>711</v>
      </c>
      <c r="K170" s="13" t="s">
        <v>303</v>
      </c>
      <c r="L170" s="13" t="s">
        <v>644</v>
      </c>
      <c r="M170" s="6" t="s">
        <v>188</v>
      </c>
      <c r="N170" s="6" t="s">
        <v>188</v>
      </c>
      <c r="O170" s="6" t="s">
        <v>190</v>
      </c>
      <c r="P170" s="7" t="s">
        <v>333</v>
      </c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>
      <c r="A171" s="12">
        <v>3.0</v>
      </c>
      <c r="B171" s="7" t="s">
        <v>54</v>
      </c>
      <c r="C171" s="7" t="s">
        <v>533</v>
      </c>
      <c r="I171" s="13" t="s">
        <v>646</v>
      </c>
      <c r="J171" s="13" t="s">
        <v>713</v>
      </c>
      <c r="K171" s="13" t="s">
        <v>303</v>
      </c>
      <c r="L171" s="13" t="s">
        <v>642</v>
      </c>
      <c r="M171" s="6" t="s">
        <v>188</v>
      </c>
      <c r="N171" s="6" t="s">
        <v>188</v>
      </c>
      <c r="O171" s="6" t="s">
        <v>190</v>
      </c>
      <c r="P171" s="7" t="s">
        <v>333</v>
      </c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>
      <c r="A172" s="12">
        <v>3.0</v>
      </c>
      <c r="B172" s="7" t="s">
        <v>54</v>
      </c>
      <c r="C172" s="7" t="s">
        <v>533</v>
      </c>
      <c r="I172" s="13" t="s">
        <v>647</v>
      </c>
      <c r="J172" s="13" t="s">
        <v>711</v>
      </c>
      <c r="K172" s="13" t="s">
        <v>303</v>
      </c>
      <c r="L172" s="13" t="s">
        <v>648</v>
      </c>
      <c r="M172" s="6" t="s">
        <v>188</v>
      </c>
      <c r="N172" s="6" t="s">
        <v>188</v>
      </c>
      <c r="O172" s="6" t="s">
        <v>190</v>
      </c>
      <c r="P172" s="7" t="s">
        <v>333</v>
      </c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>
      <c r="A173" s="12">
        <v>3.0</v>
      </c>
      <c r="B173" s="7" t="s">
        <v>54</v>
      </c>
      <c r="C173" s="7" t="s">
        <v>533</v>
      </c>
      <c r="I173" s="13" t="s">
        <v>649</v>
      </c>
      <c r="J173" s="13" t="s">
        <v>713</v>
      </c>
      <c r="K173" s="13" t="s">
        <v>303</v>
      </c>
      <c r="L173" s="13" t="s">
        <v>644</v>
      </c>
      <c r="M173" s="6" t="s">
        <v>188</v>
      </c>
      <c r="N173" s="6" t="s">
        <v>188</v>
      </c>
      <c r="O173" s="6" t="s">
        <v>190</v>
      </c>
      <c r="P173" s="7" t="s">
        <v>333</v>
      </c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>
      <c r="A174" s="12">
        <v>3.0</v>
      </c>
      <c r="B174" s="7" t="s">
        <v>54</v>
      </c>
      <c r="C174" s="7" t="s">
        <v>533</v>
      </c>
      <c r="I174" s="13" t="s">
        <v>650</v>
      </c>
      <c r="J174" s="13" t="s">
        <v>711</v>
      </c>
      <c r="K174" s="13" t="s">
        <v>303</v>
      </c>
      <c r="L174" s="13" t="s">
        <v>642</v>
      </c>
      <c r="M174" s="6" t="s">
        <v>188</v>
      </c>
      <c r="N174" s="6" t="s">
        <v>188</v>
      </c>
      <c r="O174" s="6" t="s">
        <v>190</v>
      </c>
      <c r="P174" s="7" t="s">
        <v>333</v>
      </c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>
      <c r="A175" s="12">
        <v>3.0</v>
      </c>
      <c r="B175" s="7" t="s">
        <v>54</v>
      </c>
      <c r="C175" s="7" t="s">
        <v>533</v>
      </c>
      <c r="I175" s="13" t="s">
        <v>651</v>
      </c>
      <c r="J175" s="13" t="s">
        <v>713</v>
      </c>
      <c r="K175" s="13" t="s">
        <v>303</v>
      </c>
      <c r="L175" s="13" t="s">
        <v>648</v>
      </c>
      <c r="M175" s="6" t="s">
        <v>188</v>
      </c>
      <c r="N175" s="6" t="s">
        <v>188</v>
      </c>
      <c r="O175" s="6" t="s">
        <v>190</v>
      </c>
      <c r="P175" s="7" t="s">
        <v>333</v>
      </c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>
      <c r="A176" s="12">
        <v>3.0</v>
      </c>
      <c r="B176" s="7" t="s">
        <v>54</v>
      </c>
      <c r="C176" s="7" t="s">
        <v>533</v>
      </c>
      <c r="I176" s="13" t="s">
        <v>652</v>
      </c>
      <c r="J176" s="13" t="s">
        <v>711</v>
      </c>
      <c r="K176" s="13" t="s">
        <v>303</v>
      </c>
      <c r="L176" s="13" t="s">
        <v>653</v>
      </c>
      <c r="M176" s="6" t="s">
        <v>188</v>
      </c>
      <c r="N176" s="6" t="s">
        <v>188</v>
      </c>
      <c r="O176" s="6" t="s">
        <v>190</v>
      </c>
      <c r="P176" s="7" t="s">
        <v>333</v>
      </c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>
      <c r="A177" s="12">
        <v>3.0</v>
      </c>
      <c r="B177" s="7" t="s">
        <v>54</v>
      </c>
      <c r="C177" s="7" t="s">
        <v>533</v>
      </c>
      <c r="I177" s="13" t="s">
        <v>654</v>
      </c>
      <c r="J177" s="13" t="s">
        <v>713</v>
      </c>
      <c r="K177" s="13" t="s">
        <v>303</v>
      </c>
      <c r="L177" s="13" t="s">
        <v>648</v>
      </c>
      <c r="M177" s="6" t="s">
        <v>188</v>
      </c>
      <c r="N177" s="6" t="s">
        <v>188</v>
      </c>
      <c r="O177" s="6" t="s">
        <v>190</v>
      </c>
      <c r="P177" s="7" t="s">
        <v>333</v>
      </c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>
      <c r="A178" s="12">
        <v>3.0</v>
      </c>
      <c r="B178" s="7" t="s">
        <v>54</v>
      </c>
      <c r="C178" s="7" t="s">
        <v>533</v>
      </c>
      <c r="I178" s="13" t="s">
        <v>655</v>
      </c>
      <c r="J178" s="13" t="s">
        <v>711</v>
      </c>
      <c r="K178" s="13" t="s">
        <v>303</v>
      </c>
      <c r="L178" s="13" t="s">
        <v>642</v>
      </c>
      <c r="M178" s="6" t="s">
        <v>188</v>
      </c>
      <c r="N178" s="6" t="s">
        <v>188</v>
      </c>
      <c r="O178" s="6" t="s">
        <v>190</v>
      </c>
      <c r="P178" s="7" t="s">
        <v>333</v>
      </c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>
      <c r="A179" s="12">
        <v>3.0</v>
      </c>
      <c r="B179" s="7" t="s">
        <v>54</v>
      </c>
      <c r="C179" s="7" t="s">
        <v>533</v>
      </c>
      <c r="I179" s="13" t="s">
        <v>656</v>
      </c>
      <c r="J179" s="13" t="s">
        <v>713</v>
      </c>
      <c r="K179" s="13" t="s">
        <v>303</v>
      </c>
      <c r="L179" s="13" t="s">
        <v>642</v>
      </c>
      <c r="M179" s="6" t="s">
        <v>188</v>
      </c>
      <c r="N179" s="6" t="s">
        <v>188</v>
      </c>
      <c r="O179" s="6" t="s">
        <v>190</v>
      </c>
      <c r="P179" s="7" t="s">
        <v>333</v>
      </c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>
      <c r="A180" s="12">
        <v>3.0</v>
      </c>
      <c r="B180" s="7" t="s">
        <v>54</v>
      </c>
      <c r="C180" s="7" t="s">
        <v>533</v>
      </c>
      <c r="I180" s="13" t="s">
        <v>657</v>
      </c>
      <c r="J180" s="13" t="s">
        <v>711</v>
      </c>
      <c r="K180" s="13" t="s">
        <v>303</v>
      </c>
      <c r="L180" s="13" t="s">
        <v>653</v>
      </c>
      <c r="M180" s="6" t="s">
        <v>188</v>
      </c>
      <c r="N180" s="6" t="s">
        <v>188</v>
      </c>
      <c r="O180" s="6" t="s">
        <v>190</v>
      </c>
      <c r="P180" s="7" t="s">
        <v>624</v>
      </c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>
      <c r="A181" s="12">
        <v>3.0</v>
      </c>
      <c r="B181" s="7" t="s">
        <v>54</v>
      </c>
      <c r="C181" s="7" t="s">
        <v>533</v>
      </c>
      <c r="I181" s="13" t="s">
        <v>658</v>
      </c>
      <c r="J181" s="13" t="s">
        <v>713</v>
      </c>
      <c r="K181" s="13" t="s">
        <v>303</v>
      </c>
      <c r="L181" s="13" t="s">
        <v>653</v>
      </c>
      <c r="M181" s="6" t="s">
        <v>188</v>
      </c>
      <c r="N181" s="6" t="s">
        <v>188</v>
      </c>
      <c r="O181" s="6" t="s">
        <v>190</v>
      </c>
      <c r="P181" s="7" t="s">
        <v>333</v>
      </c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>
      <c r="A182" s="12">
        <v>4.0</v>
      </c>
      <c r="B182" s="13" t="s">
        <v>73</v>
      </c>
      <c r="C182" s="13" t="s">
        <v>533</v>
      </c>
      <c r="D182" s="14">
        <f>IF(COUNTIF($B$2:$B182,$B182)&gt;1,"",COUNTIF($B$2:$B$3400,$B182))</f>
        <v>50</v>
      </c>
      <c r="E182" s="14">
        <f>IF(COUNTIF($B$2:$B182,$B182)&gt;1,"",COUNTIFS($B$2:$B$3400,$B182,$K$2:$K$3400,"PHÙ HỢP CAO"))</f>
        <v>3</v>
      </c>
      <c r="F182" s="14">
        <f>IF(COUNTIF($B$2:$B182,$B182)&gt;1,"",COUNTIFS($B$2:$B$3400,$B182,$K$2:$K$3400,"CÓ THỂ ĐI"))</f>
        <v>2</v>
      </c>
      <c r="G182" s="14">
        <f>IF(COUNTIF($B$2:$B182,$B182)&gt;1,"",COUNTIFS($B$2:$B$3400,$B182,$K$2:$K$3400,"CẦN SOÁT"))</f>
        <v>45</v>
      </c>
      <c r="H182" s="15" t="str">
        <f>IFERROR(__xludf.DUMMYFUNCTION("IF(COUNTIF($B$2:$B182,$B182)&gt;1,"""",IFERROR(TEXTJOIN(CHAR(10),TRUE,BYROW(QUERY({$B$2:$B$3400,$J$2:$J$3400},""select Col2, count(Col2) where Col1 = '""&amp;$B182&amp;""' group by Col2 order by count(Col2) desc label count(Col2) ''"",0),LAMBDA(r,INDEX(r,1,1)&amp;"" – "&amp;"""&amp;INDEX(r,1,2)&amp;"" link""))),""""))"),"thuế thu nhập doanh nghiệp – 25 link
thuế thu nhập doanh nghiệp 2026 – 25 link")</f>
        <v>thuế thu nhập doanh nghiệp – 25 link
thuế thu nhập doanh nghiệp 2026 – 25 link</v>
      </c>
      <c r="I182" s="10" t="s">
        <v>629</v>
      </c>
      <c r="J182" s="13" t="s">
        <v>727</v>
      </c>
      <c r="K182" s="13" t="s">
        <v>184</v>
      </c>
      <c r="L182" s="13" t="s">
        <v>728</v>
      </c>
      <c r="M182" s="13" t="s">
        <v>188</v>
      </c>
      <c r="N182" s="13" t="s">
        <v>188</v>
      </c>
      <c r="O182" s="13" t="s">
        <v>190</v>
      </c>
      <c r="P182" s="13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>
      <c r="A183" s="12">
        <v>4.0</v>
      </c>
      <c r="B183" s="13" t="s">
        <v>73</v>
      </c>
      <c r="C183" s="13" t="s">
        <v>533</v>
      </c>
      <c r="I183" s="10" t="s">
        <v>638</v>
      </c>
      <c r="J183" s="13" t="s">
        <v>729</v>
      </c>
      <c r="K183" s="13" t="s">
        <v>184</v>
      </c>
      <c r="L183" s="13" t="s">
        <v>730</v>
      </c>
      <c r="M183" s="13" t="s">
        <v>188</v>
      </c>
      <c r="N183" s="13" t="s">
        <v>188</v>
      </c>
      <c r="O183" s="13" t="s">
        <v>190</v>
      </c>
      <c r="P183" s="13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>
      <c r="A184" s="12">
        <v>4.0</v>
      </c>
      <c r="B184" s="13" t="s">
        <v>73</v>
      </c>
      <c r="C184" s="13" t="s">
        <v>533</v>
      </c>
      <c r="I184" s="10" t="s">
        <v>652</v>
      </c>
      <c r="J184" s="13" t="s">
        <v>727</v>
      </c>
      <c r="K184" s="13" t="s">
        <v>184</v>
      </c>
      <c r="L184" s="13" t="s">
        <v>731</v>
      </c>
      <c r="M184" s="13" t="s">
        <v>188</v>
      </c>
      <c r="N184" s="13" t="s">
        <v>188</v>
      </c>
      <c r="O184" s="13" t="s">
        <v>190</v>
      </c>
      <c r="P184" s="13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>
      <c r="A185" s="12">
        <v>4.0</v>
      </c>
      <c r="B185" s="13" t="s">
        <v>73</v>
      </c>
      <c r="C185" s="13" t="s">
        <v>533</v>
      </c>
      <c r="I185" s="10" t="s">
        <v>732</v>
      </c>
      <c r="J185" s="13" t="s">
        <v>729</v>
      </c>
      <c r="K185" s="13" t="s">
        <v>283</v>
      </c>
      <c r="L185" s="13" t="s">
        <v>733</v>
      </c>
      <c r="M185" s="13" t="s">
        <v>188</v>
      </c>
      <c r="N185" s="13" t="s">
        <v>188</v>
      </c>
      <c r="O185" s="13" t="s">
        <v>190</v>
      </c>
      <c r="P185" s="13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>
      <c r="A186" s="12">
        <v>4.0</v>
      </c>
      <c r="B186" s="13" t="s">
        <v>73</v>
      </c>
      <c r="C186" s="13" t="s">
        <v>533</v>
      </c>
      <c r="I186" s="10" t="s">
        <v>641</v>
      </c>
      <c r="J186" s="13" t="s">
        <v>727</v>
      </c>
      <c r="K186" s="13" t="s">
        <v>283</v>
      </c>
      <c r="L186" s="13" t="s">
        <v>734</v>
      </c>
      <c r="M186" s="13" t="s">
        <v>188</v>
      </c>
      <c r="N186" s="13" t="s">
        <v>188</v>
      </c>
      <c r="O186" s="13" t="s">
        <v>190</v>
      </c>
      <c r="P186" s="13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>
      <c r="A187" s="12">
        <v>4.0</v>
      </c>
      <c r="B187" s="13" t="s">
        <v>73</v>
      </c>
      <c r="C187" s="13" t="s">
        <v>533</v>
      </c>
      <c r="I187" s="10" t="s">
        <v>296</v>
      </c>
      <c r="J187" s="13" t="s">
        <v>729</v>
      </c>
      <c r="K187" s="13" t="s">
        <v>303</v>
      </c>
      <c r="L187" s="13" t="s">
        <v>735</v>
      </c>
      <c r="M187" s="13" t="s">
        <v>188</v>
      </c>
      <c r="N187" s="13" t="s">
        <v>188</v>
      </c>
      <c r="O187" s="13" t="s">
        <v>190</v>
      </c>
      <c r="P187" s="13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>
      <c r="A188" s="12">
        <v>4.0</v>
      </c>
      <c r="B188" s="13" t="s">
        <v>73</v>
      </c>
      <c r="C188" s="13" t="s">
        <v>533</v>
      </c>
      <c r="I188" s="10" t="s">
        <v>615</v>
      </c>
      <c r="J188" s="13" t="s">
        <v>727</v>
      </c>
      <c r="K188" s="13" t="s">
        <v>303</v>
      </c>
      <c r="L188" s="13" t="s">
        <v>736</v>
      </c>
      <c r="M188" s="13" t="s">
        <v>188</v>
      </c>
      <c r="N188" s="13" t="s">
        <v>188</v>
      </c>
      <c r="O188" s="13" t="s">
        <v>190</v>
      </c>
      <c r="P188" s="13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>
      <c r="A189" s="12">
        <v>4.0</v>
      </c>
      <c r="B189" s="13" t="s">
        <v>73</v>
      </c>
      <c r="C189" s="13" t="s">
        <v>533</v>
      </c>
      <c r="I189" s="10" t="s">
        <v>737</v>
      </c>
      <c r="J189" s="13" t="s">
        <v>729</v>
      </c>
      <c r="K189" s="13" t="s">
        <v>303</v>
      </c>
      <c r="L189" s="13" t="s">
        <v>738</v>
      </c>
      <c r="M189" s="13" t="s">
        <v>188</v>
      </c>
      <c r="N189" s="13" t="s">
        <v>188</v>
      </c>
      <c r="O189" s="13" t="s">
        <v>190</v>
      </c>
      <c r="P189" s="13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>
      <c r="A190" s="12">
        <v>4.0</v>
      </c>
      <c r="B190" s="13" t="s">
        <v>73</v>
      </c>
      <c r="C190" s="13" t="s">
        <v>533</v>
      </c>
      <c r="I190" s="10" t="s">
        <v>635</v>
      </c>
      <c r="J190" s="13" t="s">
        <v>727</v>
      </c>
      <c r="K190" s="13" t="s">
        <v>303</v>
      </c>
      <c r="L190" s="13" t="s">
        <v>736</v>
      </c>
      <c r="M190" s="13" t="s">
        <v>188</v>
      </c>
      <c r="N190" s="13" t="s">
        <v>188</v>
      </c>
      <c r="O190" s="13" t="s">
        <v>190</v>
      </c>
      <c r="P190" s="13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>
      <c r="A191" s="12">
        <v>4.0</v>
      </c>
      <c r="B191" s="13" t="s">
        <v>73</v>
      </c>
      <c r="C191" s="13" t="s">
        <v>533</v>
      </c>
      <c r="I191" s="10" t="s">
        <v>266</v>
      </c>
      <c r="J191" s="13" t="s">
        <v>729</v>
      </c>
      <c r="K191" s="13" t="s">
        <v>303</v>
      </c>
      <c r="L191" s="13" t="s">
        <v>739</v>
      </c>
      <c r="M191" s="13" t="s">
        <v>188</v>
      </c>
      <c r="N191" s="13" t="s">
        <v>188</v>
      </c>
      <c r="O191" s="13" t="s">
        <v>190</v>
      </c>
      <c r="P191" s="13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>
      <c r="A192" s="12">
        <v>4.0</v>
      </c>
      <c r="B192" s="13" t="s">
        <v>73</v>
      </c>
      <c r="C192" s="13" t="s">
        <v>533</v>
      </c>
      <c r="I192" s="10" t="s">
        <v>608</v>
      </c>
      <c r="J192" s="13" t="s">
        <v>727</v>
      </c>
      <c r="K192" s="13" t="s">
        <v>303</v>
      </c>
      <c r="L192" s="13" t="s">
        <v>740</v>
      </c>
      <c r="M192" s="13" t="s">
        <v>188</v>
      </c>
      <c r="N192" s="13" t="s">
        <v>188</v>
      </c>
      <c r="O192" s="13" t="s">
        <v>190</v>
      </c>
      <c r="P192" s="13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>
      <c r="A193" s="12">
        <v>4.0</v>
      </c>
      <c r="B193" s="13" t="s">
        <v>73</v>
      </c>
      <c r="C193" s="13" t="s">
        <v>533</v>
      </c>
      <c r="I193" s="10" t="s">
        <v>741</v>
      </c>
      <c r="J193" s="13" t="s">
        <v>729</v>
      </c>
      <c r="K193" s="13" t="s">
        <v>303</v>
      </c>
      <c r="L193" s="13" t="s">
        <v>738</v>
      </c>
      <c r="M193" s="13" t="s">
        <v>188</v>
      </c>
      <c r="N193" s="13" t="s">
        <v>188</v>
      </c>
      <c r="O193" s="13" t="s">
        <v>190</v>
      </c>
      <c r="P193" s="13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>
      <c r="A194" s="12">
        <v>4.0</v>
      </c>
      <c r="B194" s="13" t="s">
        <v>73</v>
      </c>
      <c r="C194" s="13" t="s">
        <v>533</v>
      </c>
      <c r="I194" s="10" t="s">
        <v>593</v>
      </c>
      <c r="J194" s="13" t="s">
        <v>727</v>
      </c>
      <c r="K194" s="13" t="s">
        <v>303</v>
      </c>
      <c r="L194" s="13" t="s">
        <v>736</v>
      </c>
      <c r="M194" s="13" t="s">
        <v>188</v>
      </c>
      <c r="N194" s="13" t="s">
        <v>188</v>
      </c>
      <c r="O194" s="13" t="s">
        <v>190</v>
      </c>
      <c r="P194" s="13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>
      <c r="A195" s="12">
        <v>4.0</v>
      </c>
      <c r="B195" s="13" t="s">
        <v>73</v>
      </c>
      <c r="C195" s="13" t="s">
        <v>533</v>
      </c>
      <c r="I195" s="10" t="s">
        <v>250</v>
      </c>
      <c r="J195" s="13" t="s">
        <v>729</v>
      </c>
      <c r="K195" s="13" t="s">
        <v>303</v>
      </c>
      <c r="L195" s="13" t="s">
        <v>736</v>
      </c>
      <c r="M195" s="13" t="s">
        <v>188</v>
      </c>
      <c r="N195" s="13" t="s">
        <v>188</v>
      </c>
      <c r="O195" s="13" t="s">
        <v>190</v>
      </c>
      <c r="P195" s="13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>
      <c r="A196" s="12">
        <v>4.0</v>
      </c>
      <c r="B196" s="13" t="s">
        <v>73</v>
      </c>
      <c r="C196" s="13" t="s">
        <v>533</v>
      </c>
      <c r="I196" s="10" t="s">
        <v>742</v>
      </c>
      <c r="J196" s="13" t="s">
        <v>727</v>
      </c>
      <c r="K196" s="13" t="s">
        <v>303</v>
      </c>
      <c r="L196" s="13" t="s">
        <v>738</v>
      </c>
      <c r="M196" s="13" t="s">
        <v>188</v>
      </c>
      <c r="N196" s="13" t="s">
        <v>188</v>
      </c>
      <c r="O196" s="13" t="s">
        <v>190</v>
      </c>
      <c r="P196" s="13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>
      <c r="A197" s="12">
        <v>4.0</v>
      </c>
      <c r="B197" s="13" t="s">
        <v>73</v>
      </c>
      <c r="C197" s="13" t="s">
        <v>533</v>
      </c>
      <c r="I197" s="10" t="s">
        <v>743</v>
      </c>
      <c r="J197" s="13" t="s">
        <v>729</v>
      </c>
      <c r="K197" s="13" t="s">
        <v>303</v>
      </c>
      <c r="L197" s="13" t="s">
        <v>738</v>
      </c>
      <c r="M197" s="13" t="s">
        <v>188</v>
      </c>
      <c r="N197" s="13" t="s">
        <v>188</v>
      </c>
      <c r="O197" s="13" t="s">
        <v>190</v>
      </c>
      <c r="P197" s="13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>
      <c r="A198" s="12">
        <v>4.0</v>
      </c>
      <c r="B198" s="13" t="s">
        <v>73</v>
      </c>
      <c r="C198" s="13" t="s">
        <v>533</v>
      </c>
      <c r="I198" s="10" t="s">
        <v>744</v>
      </c>
      <c r="J198" s="13" t="s">
        <v>727</v>
      </c>
      <c r="K198" s="13" t="s">
        <v>303</v>
      </c>
      <c r="L198" s="13" t="s">
        <v>738</v>
      </c>
      <c r="M198" s="13" t="s">
        <v>188</v>
      </c>
      <c r="N198" s="13" t="s">
        <v>188</v>
      </c>
      <c r="O198" s="13" t="s">
        <v>190</v>
      </c>
      <c r="P198" s="13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>
      <c r="A199" s="12">
        <v>4.0</v>
      </c>
      <c r="B199" s="13" t="s">
        <v>73</v>
      </c>
      <c r="C199" s="13" t="s">
        <v>533</v>
      </c>
      <c r="I199" s="10" t="s">
        <v>745</v>
      </c>
      <c r="J199" s="13" t="s">
        <v>729</v>
      </c>
      <c r="K199" s="13" t="s">
        <v>303</v>
      </c>
      <c r="L199" s="13" t="s">
        <v>738</v>
      </c>
      <c r="M199" s="13" t="s">
        <v>188</v>
      </c>
      <c r="N199" s="13" t="s">
        <v>188</v>
      </c>
      <c r="O199" s="13" t="s">
        <v>190</v>
      </c>
      <c r="P199" s="13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>
      <c r="A200" s="12">
        <v>4.0</v>
      </c>
      <c r="B200" s="13" t="s">
        <v>73</v>
      </c>
      <c r="C200" s="13" t="s">
        <v>533</v>
      </c>
      <c r="I200" s="10" t="s">
        <v>594</v>
      </c>
      <c r="J200" s="13" t="s">
        <v>727</v>
      </c>
      <c r="K200" s="13" t="s">
        <v>303</v>
      </c>
      <c r="L200" s="13" t="s">
        <v>738</v>
      </c>
      <c r="M200" s="13" t="s">
        <v>188</v>
      </c>
      <c r="N200" s="13" t="s">
        <v>188</v>
      </c>
      <c r="O200" s="13" t="s">
        <v>190</v>
      </c>
      <c r="P200" s="13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>
      <c r="A201" s="12">
        <v>4.0</v>
      </c>
      <c r="B201" s="13" t="s">
        <v>73</v>
      </c>
      <c r="C201" s="13" t="s">
        <v>533</v>
      </c>
      <c r="I201" s="10" t="s">
        <v>746</v>
      </c>
      <c r="J201" s="13" t="s">
        <v>729</v>
      </c>
      <c r="K201" s="13" t="s">
        <v>303</v>
      </c>
      <c r="L201" s="13" t="s">
        <v>738</v>
      </c>
      <c r="M201" s="13" t="s">
        <v>188</v>
      </c>
      <c r="N201" s="13" t="s">
        <v>188</v>
      </c>
      <c r="O201" s="13" t="s">
        <v>190</v>
      </c>
      <c r="P201" s="13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>
      <c r="A202" s="12">
        <v>4.0</v>
      </c>
      <c r="B202" s="13" t="s">
        <v>73</v>
      </c>
      <c r="C202" s="13" t="s">
        <v>533</v>
      </c>
      <c r="I202" s="10" t="s">
        <v>747</v>
      </c>
      <c r="J202" s="13" t="s">
        <v>727</v>
      </c>
      <c r="K202" s="13" t="s">
        <v>303</v>
      </c>
      <c r="L202" s="13" t="s">
        <v>738</v>
      </c>
      <c r="M202" s="13" t="s">
        <v>188</v>
      </c>
      <c r="N202" s="13" t="s">
        <v>188</v>
      </c>
      <c r="O202" s="13" t="s">
        <v>190</v>
      </c>
      <c r="P202" s="13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>
      <c r="A203" s="12">
        <v>4.0</v>
      </c>
      <c r="B203" s="13" t="s">
        <v>73</v>
      </c>
      <c r="C203" s="13" t="s">
        <v>533</v>
      </c>
      <c r="I203" s="10" t="s">
        <v>748</v>
      </c>
      <c r="J203" s="13" t="s">
        <v>729</v>
      </c>
      <c r="K203" s="13" t="s">
        <v>303</v>
      </c>
      <c r="L203" s="13" t="s">
        <v>738</v>
      </c>
      <c r="M203" s="13" t="s">
        <v>188</v>
      </c>
      <c r="N203" s="13" t="s">
        <v>188</v>
      </c>
      <c r="O203" s="13" t="s">
        <v>190</v>
      </c>
      <c r="P203" s="13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>
      <c r="A204" s="12">
        <v>4.0</v>
      </c>
      <c r="B204" s="13" t="s">
        <v>73</v>
      </c>
      <c r="C204" s="13" t="s">
        <v>533</v>
      </c>
      <c r="I204" s="10" t="s">
        <v>749</v>
      </c>
      <c r="J204" s="13" t="s">
        <v>727</v>
      </c>
      <c r="K204" s="13" t="s">
        <v>303</v>
      </c>
      <c r="L204" s="13" t="s">
        <v>738</v>
      </c>
      <c r="M204" s="13" t="s">
        <v>188</v>
      </c>
      <c r="N204" s="13" t="s">
        <v>188</v>
      </c>
      <c r="O204" s="13" t="s">
        <v>190</v>
      </c>
      <c r="P204" s="13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>
      <c r="A205" s="12">
        <v>4.0</v>
      </c>
      <c r="B205" s="13" t="s">
        <v>73</v>
      </c>
      <c r="C205" s="13" t="s">
        <v>533</v>
      </c>
      <c r="I205" s="10" t="s">
        <v>750</v>
      </c>
      <c r="J205" s="13" t="s">
        <v>729</v>
      </c>
      <c r="K205" s="13" t="s">
        <v>303</v>
      </c>
      <c r="L205" s="13" t="s">
        <v>738</v>
      </c>
      <c r="M205" s="13" t="s">
        <v>188</v>
      </c>
      <c r="N205" s="13" t="s">
        <v>188</v>
      </c>
      <c r="O205" s="13" t="s">
        <v>190</v>
      </c>
      <c r="P205" s="13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>
      <c r="A206" s="12">
        <v>4.0</v>
      </c>
      <c r="B206" s="13" t="s">
        <v>73</v>
      </c>
      <c r="C206" s="13" t="s">
        <v>533</v>
      </c>
      <c r="I206" s="10" t="s">
        <v>751</v>
      </c>
      <c r="J206" s="13" t="s">
        <v>727</v>
      </c>
      <c r="K206" s="13" t="s">
        <v>303</v>
      </c>
      <c r="L206" s="13" t="s">
        <v>738</v>
      </c>
      <c r="M206" s="13" t="s">
        <v>188</v>
      </c>
      <c r="N206" s="13" t="s">
        <v>188</v>
      </c>
      <c r="O206" s="13" t="s">
        <v>190</v>
      </c>
      <c r="P206" s="13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>
      <c r="A207" s="12">
        <v>4.0</v>
      </c>
      <c r="B207" s="13" t="s">
        <v>73</v>
      </c>
      <c r="C207" s="13" t="s">
        <v>533</v>
      </c>
      <c r="I207" s="10" t="s">
        <v>752</v>
      </c>
      <c r="J207" s="13" t="s">
        <v>729</v>
      </c>
      <c r="K207" s="13" t="s">
        <v>303</v>
      </c>
      <c r="L207" s="13" t="s">
        <v>738</v>
      </c>
      <c r="M207" s="13" t="s">
        <v>188</v>
      </c>
      <c r="N207" s="13" t="s">
        <v>188</v>
      </c>
      <c r="O207" s="13" t="s">
        <v>190</v>
      </c>
      <c r="P207" s="13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>
      <c r="A208" s="12">
        <v>4.0</v>
      </c>
      <c r="B208" s="13" t="s">
        <v>73</v>
      </c>
      <c r="C208" s="13" t="s">
        <v>533</v>
      </c>
      <c r="I208" s="10" t="s">
        <v>753</v>
      </c>
      <c r="J208" s="13" t="s">
        <v>727</v>
      </c>
      <c r="K208" s="13" t="s">
        <v>303</v>
      </c>
      <c r="L208" s="13" t="s">
        <v>738</v>
      </c>
      <c r="M208" s="13" t="s">
        <v>188</v>
      </c>
      <c r="N208" s="13" t="s">
        <v>188</v>
      </c>
      <c r="O208" s="13" t="s">
        <v>190</v>
      </c>
      <c r="P208" s="13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>
      <c r="A209" s="12">
        <v>4.0</v>
      </c>
      <c r="B209" s="13" t="s">
        <v>73</v>
      </c>
      <c r="C209" s="13" t="s">
        <v>533</v>
      </c>
      <c r="I209" s="10" t="s">
        <v>754</v>
      </c>
      <c r="J209" s="13" t="s">
        <v>729</v>
      </c>
      <c r="K209" s="13" t="s">
        <v>303</v>
      </c>
      <c r="L209" s="13" t="s">
        <v>738</v>
      </c>
      <c r="M209" s="13" t="s">
        <v>188</v>
      </c>
      <c r="N209" s="13" t="s">
        <v>188</v>
      </c>
      <c r="O209" s="13" t="s">
        <v>190</v>
      </c>
      <c r="P209" s="13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>
      <c r="A210" s="12">
        <v>4.0</v>
      </c>
      <c r="B210" s="7" t="s">
        <v>73</v>
      </c>
      <c r="C210" s="7" t="s">
        <v>533</v>
      </c>
      <c r="I210" s="13" t="s">
        <v>54</v>
      </c>
      <c r="J210" s="13" t="s">
        <v>727</v>
      </c>
      <c r="K210" s="13" t="s">
        <v>303</v>
      </c>
      <c r="L210" s="13" t="s">
        <v>755</v>
      </c>
      <c r="M210" s="6" t="s">
        <v>188</v>
      </c>
      <c r="N210" s="6" t="s">
        <v>188</v>
      </c>
      <c r="O210" s="6" t="s">
        <v>190</v>
      </c>
      <c r="P210" s="7" t="s">
        <v>333</v>
      </c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>
      <c r="A211" s="12">
        <v>4.0</v>
      </c>
      <c r="B211" s="7" t="s">
        <v>73</v>
      </c>
      <c r="C211" s="7" t="s">
        <v>533</v>
      </c>
      <c r="I211" s="13" t="s">
        <v>610</v>
      </c>
      <c r="J211" s="13" t="s">
        <v>729</v>
      </c>
      <c r="K211" s="13" t="s">
        <v>303</v>
      </c>
      <c r="L211" s="13" t="s">
        <v>756</v>
      </c>
      <c r="M211" s="6" t="s">
        <v>188</v>
      </c>
      <c r="N211" s="6" t="s">
        <v>188</v>
      </c>
      <c r="O211" s="6" t="s">
        <v>190</v>
      </c>
      <c r="P211" s="7" t="s">
        <v>333</v>
      </c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>
      <c r="A212" s="12">
        <v>4.0</v>
      </c>
      <c r="B212" s="7" t="s">
        <v>73</v>
      </c>
      <c r="C212" s="7" t="s">
        <v>533</v>
      </c>
      <c r="I212" s="13" t="s">
        <v>612</v>
      </c>
      <c r="J212" s="13" t="s">
        <v>727</v>
      </c>
      <c r="K212" s="13" t="s">
        <v>303</v>
      </c>
      <c r="L212" s="13" t="s">
        <v>755</v>
      </c>
      <c r="M212" s="6" t="s">
        <v>188</v>
      </c>
      <c r="N212" s="6" t="s">
        <v>188</v>
      </c>
      <c r="O212" s="6" t="s">
        <v>190</v>
      </c>
      <c r="P212" s="7" t="s">
        <v>333</v>
      </c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>
      <c r="A213" s="12">
        <v>4.0</v>
      </c>
      <c r="B213" s="7" t="s">
        <v>73</v>
      </c>
      <c r="C213" s="7" t="s">
        <v>533</v>
      </c>
      <c r="I213" s="13" t="s">
        <v>625</v>
      </c>
      <c r="J213" s="13" t="s">
        <v>729</v>
      </c>
      <c r="K213" s="13" t="s">
        <v>303</v>
      </c>
      <c r="L213" s="13" t="s">
        <v>757</v>
      </c>
      <c r="M213" s="6" t="s">
        <v>188</v>
      </c>
      <c r="N213" s="6" t="s">
        <v>188</v>
      </c>
      <c r="O213" s="6" t="s">
        <v>190</v>
      </c>
      <c r="P213" s="7" t="s">
        <v>333</v>
      </c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>
      <c r="A214" s="12">
        <v>4.0</v>
      </c>
      <c r="B214" s="7" t="s">
        <v>73</v>
      </c>
      <c r="C214" s="7" t="s">
        <v>533</v>
      </c>
      <c r="I214" s="13" t="s">
        <v>628</v>
      </c>
      <c r="J214" s="13" t="s">
        <v>727</v>
      </c>
      <c r="K214" s="13" t="s">
        <v>303</v>
      </c>
      <c r="L214" s="13" t="s">
        <v>757</v>
      </c>
      <c r="M214" s="6" t="s">
        <v>188</v>
      </c>
      <c r="N214" s="6" t="s">
        <v>188</v>
      </c>
      <c r="O214" s="6" t="s">
        <v>190</v>
      </c>
      <c r="P214" s="7" t="s">
        <v>333</v>
      </c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>
      <c r="A215" s="12">
        <v>4.0</v>
      </c>
      <c r="B215" s="7" t="s">
        <v>73</v>
      </c>
      <c r="C215" s="7" t="s">
        <v>533</v>
      </c>
      <c r="I215" s="13" t="s">
        <v>575</v>
      </c>
      <c r="J215" s="13" t="s">
        <v>729</v>
      </c>
      <c r="K215" s="13" t="s">
        <v>303</v>
      </c>
      <c r="L215" s="13" t="s">
        <v>758</v>
      </c>
      <c r="M215" s="6" t="s">
        <v>188</v>
      </c>
      <c r="N215" s="6" t="s">
        <v>188</v>
      </c>
      <c r="O215" s="6" t="s">
        <v>190</v>
      </c>
      <c r="P215" s="7" t="s">
        <v>624</v>
      </c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>
      <c r="A216" s="12">
        <v>4.0</v>
      </c>
      <c r="B216" s="7" t="s">
        <v>73</v>
      </c>
      <c r="C216" s="7" t="s">
        <v>533</v>
      </c>
      <c r="I216" s="13" t="s">
        <v>633</v>
      </c>
      <c r="J216" s="13" t="s">
        <v>727</v>
      </c>
      <c r="K216" s="13" t="s">
        <v>303</v>
      </c>
      <c r="L216" s="13" t="s">
        <v>757</v>
      </c>
      <c r="M216" s="6" t="s">
        <v>188</v>
      </c>
      <c r="N216" s="6" t="s">
        <v>188</v>
      </c>
      <c r="O216" s="6" t="s">
        <v>190</v>
      </c>
      <c r="P216" s="7" t="s">
        <v>333</v>
      </c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>
      <c r="A217" s="12">
        <v>4.0</v>
      </c>
      <c r="B217" s="7" t="s">
        <v>73</v>
      </c>
      <c r="C217" s="7" t="s">
        <v>533</v>
      </c>
      <c r="I217" s="13" t="s">
        <v>282</v>
      </c>
      <c r="J217" s="13" t="s">
        <v>729</v>
      </c>
      <c r="K217" s="13" t="s">
        <v>303</v>
      </c>
      <c r="L217" s="13" t="s">
        <v>759</v>
      </c>
      <c r="M217" s="6" t="s">
        <v>188</v>
      </c>
      <c r="N217" s="6" t="s">
        <v>188</v>
      </c>
      <c r="O217" s="6" t="s">
        <v>190</v>
      </c>
      <c r="P217" s="7" t="s">
        <v>333</v>
      </c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>
      <c r="A218" s="12">
        <v>4.0</v>
      </c>
      <c r="B218" s="7" t="s">
        <v>73</v>
      </c>
      <c r="C218" s="7" t="s">
        <v>533</v>
      </c>
      <c r="I218" s="13" t="s">
        <v>643</v>
      </c>
      <c r="J218" s="13" t="s">
        <v>727</v>
      </c>
      <c r="K218" s="13" t="s">
        <v>303</v>
      </c>
      <c r="L218" s="13" t="s">
        <v>760</v>
      </c>
      <c r="M218" s="6" t="s">
        <v>188</v>
      </c>
      <c r="N218" s="6" t="s">
        <v>188</v>
      </c>
      <c r="O218" s="6" t="s">
        <v>190</v>
      </c>
      <c r="P218" s="7" t="s">
        <v>333</v>
      </c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>
      <c r="A219" s="12">
        <v>4.0</v>
      </c>
      <c r="B219" s="7" t="s">
        <v>73</v>
      </c>
      <c r="C219" s="7" t="s">
        <v>533</v>
      </c>
      <c r="I219" s="13" t="s">
        <v>645</v>
      </c>
      <c r="J219" s="13" t="s">
        <v>729</v>
      </c>
      <c r="K219" s="13" t="s">
        <v>303</v>
      </c>
      <c r="L219" s="13" t="s">
        <v>760</v>
      </c>
      <c r="M219" s="6" t="s">
        <v>188</v>
      </c>
      <c r="N219" s="6" t="s">
        <v>188</v>
      </c>
      <c r="O219" s="6" t="s">
        <v>190</v>
      </c>
      <c r="P219" s="7" t="s">
        <v>333</v>
      </c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>
      <c r="A220" s="12">
        <v>4.0</v>
      </c>
      <c r="B220" s="7" t="s">
        <v>73</v>
      </c>
      <c r="C220" s="7" t="s">
        <v>533</v>
      </c>
      <c r="I220" s="13" t="s">
        <v>659</v>
      </c>
      <c r="J220" s="13" t="s">
        <v>727</v>
      </c>
      <c r="K220" s="13" t="s">
        <v>303</v>
      </c>
      <c r="L220" s="13" t="s">
        <v>759</v>
      </c>
      <c r="M220" s="6" t="s">
        <v>188</v>
      </c>
      <c r="N220" s="6" t="s">
        <v>188</v>
      </c>
      <c r="O220" s="6" t="s">
        <v>190</v>
      </c>
      <c r="P220" s="7" t="s">
        <v>333</v>
      </c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>
      <c r="A221" s="12">
        <v>4.0</v>
      </c>
      <c r="B221" s="7" t="s">
        <v>73</v>
      </c>
      <c r="C221" s="7" t="s">
        <v>533</v>
      </c>
      <c r="I221" s="13" t="s">
        <v>646</v>
      </c>
      <c r="J221" s="13" t="s">
        <v>729</v>
      </c>
      <c r="K221" s="13" t="s">
        <v>303</v>
      </c>
      <c r="L221" s="13" t="s">
        <v>759</v>
      </c>
      <c r="M221" s="6" t="s">
        <v>188</v>
      </c>
      <c r="N221" s="6" t="s">
        <v>188</v>
      </c>
      <c r="O221" s="6" t="s">
        <v>190</v>
      </c>
      <c r="P221" s="7" t="s">
        <v>333</v>
      </c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>
      <c r="A222" s="12">
        <v>4.0</v>
      </c>
      <c r="B222" s="7" t="s">
        <v>73</v>
      </c>
      <c r="C222" s="7" t="s">
        <v>533</v>
      </c>
      <c r="I222" s="13" t="s">
        <v>661</v>
      </c>
      <c r="J222" s="13" t="s">
        <v>727</v>
      </c>
      <c r="K222" s="13" t="s">
        <v>303</v>
      </c>
      <c r="L222" s="13" t="s">
        <v>759</v>
      </c>
      <c r="M222" s="6" t="s">
        <v>188</v>
      </c>
      <c r="N222" s="6" t="s">
        <v>188</v>
      </c>
      <c r="O222" s="6" t="s">
        <v>190</v>
      </c>
      <c r="P222" s="7" t="s">
        <v>333</v>
      </c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>
      <c r="A223" s="12">
        <v>4.0</v>
      </c>
      <c r="B223" s="7" t="s">
        <v>73</v>
      </c>
      <c r="C223" s="7" t="s">
        <v>533</v>
      </c>
      <c r="I223" s="13" t="s">
        <v>649</v>
      </c>
      <c r="J223" s="13" t="s">
        <v>729</v>
      </c>
      <c r="K223" s="13" t="s">
        <v>303</v>
      </c>
      <c r="L223" s="13" t="s">
        <v>760</v>
      </c>
      <c r="M223" s="6" t="s">
        <v>188</v>
      </c>
      <c r="N223" s="6" t="s">
        <v>188</v>
      </c>
      <c r="O223" s="6" t="s">
        <v>190</v>
      </c>
      <c r="P223" s="7" t="s">
        <v>333</v>
      </c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>
      <c r="A224" s="12">
        <v>4.0</v>
      </c>
      <c r="B224" s="7" t="s">
        <v>73</v>
      </c>
      <c r="C224" s="7" t="s">
        <v>533</v>
      </c>
      <c r="I224" s="13" t="s">
        <v>662</v>
      </c>
      <c r="J224" s="13" t="s">
        <v>727</v>
      </c>
      <c r="K224" s="13" t="s">
        <v>303</v>
      </c>
      <c r="L224" s="13" t="s">
        <v>761</v>
      </c>
      <c r="M224" s="6" t="s">
        <v>188</v>
      </c>
      <c r="N224" s="6" t="s">
        <v>188</v>
      </c>
      <c r="O224" s="6" t="s">
        <v>190</v>
      </c>
      <c r="P224" s="7" t="s">
        <v>333</v>
      </c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>
      <c r="A225" s="12">
        <v>4.0</v>
      </c>
      <c r="B225" s="7" t="s">
        <v>73</v>
      </c>
      <c r="C225" s="7" t="s">
        <v>533</v>
      </c>
      <c r="I225" s="13" t="s">
        <v>650</v>
      </c>
      <c r="J225" s="13" t="s">
        <v>729</v>
      </c>
      <c r="K225" s="13" t="s">
        <v>303</v>
      </c>
      <c r="L225" s="13" t="s">
        <v>759</v>
      </c>
      <c r="M225" s="6" t="s">
        <v>188</v>
      </c>
      <c r="N225" s="6" t="s">
        <v>188</v>
      </c>
      <c r="O225" s="6" t="s">
        <v>190</v>
      </c>
      <c r="P225" s="7" t="s">
        <v>333</v>
      </c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>
      <c r="A226" s="12">
        <v>4.0</v>
      </c>
      <c r="B226" s="7" t="s">
        <v>73</v>
      </c>
      <c r="C226" s="7" t="s">
        <v>533</v>
      </c>
      <c r="I226" s="13" t="s">
        <v>655</v>
      </c>
      <c r="J226" s="13" t="s">
        <v>727</v>
      </c>
      <c r="K226" s="13" t="s">
        <v>303</v>
      </c>
      <c r="L226" s="13" t="s">
        <v>759</v>
      </c>
      <c r="M226" s="6" t="s">
        <v>188</v>
      </c>
      <c r="N226" s="6" t="s">
        <v>188</v>
      </c>
      <c r="O226" s="6" t="s">
        <v>190</v>
      </c>
      <c r="P226" s="7" t="s">
        <v>333</v>
      </c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>
      <c r="A227" s="12">
        <v>4.0</v>
      </c>
      <c r="B227" s="7" t="s">
        <v>73</v>
      </c>
      <c r="C227" s="7" t="s">
        <v>533</v>
      </c>
      <c r="I227" s="13" t="s">
        <v>656</v>
      </c>
      <c r="J227" s="13" t="s">
        <v>729</v>
      </c>
      <c r="K227" s="13" t="s">
        <v>303</v>
      </c>
      <c r="L227" s="13" t="s">
        <v>759</v>
      </c>
      <c r="M227" s="6" t="s">
        <v>188</v>
      </c>
      <c r="N227" s="6" t="s">
        <v>188</v>
      </c>
      <c r="O227" s="6" t="s">
        <v>190</v>
      </c>
      <c r="P227" s="7" t="s">
        <v>333</v>
      </c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>
      <c r="A228" s="12">
        <v>4.0</v>
      </c>
      <c r="B228" s="7" t="s">
        <v>73</v>
      </c>
      <c r="C228" s="7" t="s">
        <v>533</v>
      </c>
      <c r="I228" s="13" t="s">
        <v>670</v>
      </c>
      <c r="J228" s="13" t="s">
        <v>727</v>
      </c>
      <c r="K228" s="13" t="s">
        <v>303</v>
      </c>
      <c r="L228" s="13" t="s">
        <v>759</v>
      </c>
      <c r="M228" s="6" t="s">
        <v>188</v>
      </c>
      <c r="N228" s="6" t="s">
        <v>188</v>
      </c>
      <c r="O228" s="6" t="s">
        <v>190</v>
      </c>
      <c r="P228" s="7" t="s">
        <v>333</v>
      </c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>
      <c r="A229" s="12">
        <v>4.0</v>
      </c>
      <c r="B229" s="7" t="s">
        <v>73</v>
      </c>
      <c r="C229" s="7" t="s">
        <v>533</v>
      </c>
      <c r="I229" s="13" t="s">
        <v>657</v>
      </c>
      <c r="J229" s="13" t="s">
        <v>729</v>
      </c>
      <c r="K229" s="13" t="s">
        <v>303</v>
      </c>
      <c r="L229" s="13" t="s">
        <v>761</v>
      </c>
      <c r="M229" s="6" t="s">
        <v>188</v>
      </c>
      <c r="N229" s="6" t="s">
        <v>188</v>
      </c>
      <c r="O229" s="6" t="s">
        <v>190</v>
      </c>
      <c r="P229" s="7" t="s">
        <v>624</v>
      </c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>
      <c r="A230" s="12">
        <v>4.0</v>
      </c>
      <c r="B230" s="7" t="s">
        <v>73</v>
      </c>
      <c r="C230" s="7" t="s">
        <v>533</v>
      </c>
      <c r="I230" s="13" t="s">
        <v>674</v>
      </c>
      <c r="J230" s="13" t="s">
        <v>727</v>
      </c>
      <c r="K230" s="13" t="s">
        <v>303</v>
      </c>
      <c r="L230" s="13" t="s">
        <v>759</v>
      </c>
      <c r="M230" s="6" t="s">
        <v>188</v>
      </c>
      <c r="N230" s="6" t="s">
        <v>188</v>
      </c>
      <c r="O230" s="6" t="s">
        <v>190</v>
      </c>
      <c r="P230" s="7" t="s">
        <v>333</v>
      </c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>
      <c r="A231" s="12">
        <v>4.0</v>
      </c>
      <c r="B231" s="7" t="s">
        <v>73</v>
      </c>
      <c r="C231" s="7" t="s">
        <v>533</v>
      </c>
      <c r="I231" s="13" t="s">
        <v>676</v>
      </c>
      <c r="J231" s="13" t="s">
        <v>729</v>
      </c>
      <c r="K231" s="13" t="s">
        <v>303</v>
      </c>
      <c r="L231" s="13" t="s">
        <v>760</v>
      </c>
      <c r="M231" s="6" t="s">
        <v>188</v>
      </c>
      <c r="N231" s="6" t="s">
        <v>188</v>
      </c>
      <c r="O231" s="6" t="s">
        <v>190</v>
      </c>
      <c r="P231" s="7" t="s">
        <v>333</v>
      </c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>
      <c r="A232" s="12">
        <v>5.0</v>
      </c>
      <c r="B232" s="13" t="s">
        <v>227</v>
      </c>
      <c r="C232" s="13" t="s">
        <v>533</v>
      </c>
      <c r="D232" s="14">
        <f>IF(COUNTIF($B$2:$B232,$B232)&gt;1,"",COUNTIF($B$2:$B$3400,$B232))</f>
        <v>30</v>
      </c>
      <c r="E232" s="14">
        <f>IF(COUNTIF($B$2:$B232,$B232)&gt;1,"",COUNTIFS($B$2:$B$3400,$B232,$K$2:$K$3400,"PHÙ HỢP CAO"))</f>
        <v>2</v>
      </c>
      <c r="F232" s="14">
        <f>IF(COUNTIF($B$2:$B232,$B232)&gt;1,"",COUNTIFS($B$2:$B$3400,$B232,$K$2:$K$3400,"CÓ THỂ ĐI"))</f>
        <v>3</v>
      </c>
      <c r="G232" s="14">
        <f>IF(COUNTIF($B$2:$B232,$B232)&gt;1,"",COUNTIFS($B$2:$B$3400,$B232,$K$2:$K$3400,"CẦN SOÁT"))</f>
        <v>25</v>
      </c>
      <c r="H232" s="15" t="str">
        <f>IFERROR(__xludf.DUMMYFUNCTION("IF(COUNTIF($B$2:$B232,$B232)&gt;1,"""",IFERROR(TEXTJOIN(CHAR(10),TRUE,BYROW(QUERY({$B$2:$B$3400,$J$2:$J$3400},""select Col2, count(Col2) where Col1 = '""&amp;$B232&amp;""' group by Col2 order by count(Col2) desc label count(Col2) ''"",0),LAMBDA(r,INDEX(r,1,1)&amp;"" – "&amp;"""&amp;INDEX(r,1,2)&amp;"" link""))),""""))"),"thuế GTGT là gì – 10 link
thuế VAT – 10 link
thuế giá trị gia tăng – 10 link")</f>
        <v>thuế GTGT là gì – 10 link
thuế VAT – 10 link
thuế giá trị gia tăng – 10 link</v>
      </c>
      <c r="I232" s="10" t="s">
        <v>593</v>
      </c>
      <c r="J232" s="13" t="s">
        <v>769</v>
      </c>
      <c r="K232" s="13" t="s">
        <v>184</v>
      </c>
      <c r="L232" s="13" t="s">
        <v>771</v>
      </c>
      <c r="M232" s="13" t="s">
        <v>188</v>
      </c>
      <c r="N232" s="13" t="s">
        <v>188</v>
      </c>
      <c r="O232" s="13" t="s">
        <v>190</v>
      </c>
      <c r="P232" s="13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>
      <c r="A233" s="12">
        <v>5.0</v>
      </c>
      <c r="B233" s="13" t="s">
        <v>227</v>
      </c>
      <c r="C233" s="13" t="s">
        <v>533</v>
      </c>
      <c r="I233" s="10" t="s">
        <v>641</v>
      </c>
      <c r="J233" s="13" t="s">
        <v>772</v>
      </c>
      <c r="K233" s="13" t="s">
        <v>184</v>
      </c>
      <c r="L233" s="13" t="s">
        <v>773</v>
      </c>
      <c r="M233" s="13" t="s">
        <v>188</v>
      </c>
      <c r="N233" s="13" t="s">
        <v>188</v>
      </c>
      <c r="O233" s="13" t="s">
        <v>190</v>
      </c>
      <c r="P233" s="13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>
      <c r="A234" s="12">
        <v>5.0</v>
      </c>
      <c r="B234" s="13" t="s">
        <v>227</v>
      </c>
      <c r="C234" s="13" t="s">
        <v>533</v>
      </c>
      <c r="I234" s="10" t="s">
        <v>694</v>
      </c>
      <c r="J234" s="13" t="s">
        <v>778</v>
      </c>
      <c r="K234" s="13" t="s">
        <v>283</v>
      </c>
      <c r="L234" s="13" t="s">
        <v>779</v>
      </c>
      <c r="M234" s="13" t="s">
        <v>188</v>
      </c>
      <c r="N234" s="13" t="s">
        <v>188</v>
      </c>
      <c r="O234" s="13" t="s">
        <v>190</v>
      </c>
      <c r="P234" s="13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>
      <c r="A235" s="12">
        <v>5.0</v>
      </c>
      <c r="B235" s="13" t="s">
        <v>227</v>
      </c>
      <c r="C235" s="13" t="s">
        <v>533</v>
      </c>
      <c r="I235" s="10" t="s">
        <v>592</v>
      </c>
      <c r="J235" s="13" t="s">
        <v>769</v>
      </c>
      <c r="K235" s="13" t="s">
        <v>283</v>
      </c>
      <c r="L235" s="13" t="s">
        <v>780</v>
      </c>
      <c r="M235" s="13" t="s">
        <v>188</v>
      </c>
      <c r="N235" s="13" t="s">
        <v>188</v>
      </c>
      <c r="O235" s="13" t="s">
        <v>190</v>
      </c>
      <c r="P235" s="13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>
      <c r="A236" s="12">
        <v>5.0</v>
      </c>
      <c r="B236" s="13" t="s">
        <v>227</v>
      </c>
      <c r="C236" s="13" t="s">
        <v>533</v>
      </c>
      <c r="I236" s="10" t="s">
        <v>680</v>
      </c>
      <c r="J236" s="13" t="s">
        <v>772</v>
      </c>
      <c r="K236" s="13" t="s">
        <v>283</v>
      </c>
      <c r="L236" s="13" t="s">
        <v>782</v>
      </c>
      <c r="M236" s="13" t="s">
        <v>188</v>
      </c>
      <c r="N236" s="13" t="s">
        <v>188</v>
      </c>
      <c r="O236" s="13" t="s">
        <v>190</v>
      </c>
      <c r="P236" s="13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>
      <c r="A237" s="12">
        <v>5.0</v>
      </c>
      <c r="B237" s="13" t="s">
        <v>227</v>
      </c>
      <c r="C237" s="13" t="s">
        <v>533</v>
      </c>
      <c r="I237" s="10" t="s">
        <v>591</v>
      </c>
      <c r="J237" s="13" t="s">
        <v>778</v>
      </c>
      <c r="K237" s="13" t="s">
        <v>303</v>
      </c>
      <c r="L237" s="13" t="s">
        <v>783</v>
      </c>
      <c r="M237" s="13" t="s">
        <v>188</v>
      </c>
      <c r="N237" s="13" t="s">
        <v>188</v>
      </c>
      <c r="O237" s="13" t="s">
        <v>190</v>
      </c>
      <c r="P237" s="13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>
      <c r="A238" s="12">
        <v>5.0</v>
      </c>
      <c r="B238" s="13" t="s">
        <v>227</v>
      </c>
      <c r="C238" s="13" t="s">
        <v>533</v>
      </c>
      <c r="I238" s="10" t="s">
        <v>698</v>
      </c>
      <c r="J238" s="13" t="s">
        <v>769</v>
      </c>
      <c r="K238" s="13" t="s">
        <v>303</v>
      </c>
      <c r="L238" s="13" t="s">
        <v>783</v>
      </c>
      <c r="M238" s="13" t="s">
        <v>188</v>
      </c>
      <c r="N238" s="13" t="s">
        <v>188</v>
      </c>
      <c r="O238" s="13" t="s">
        <v>190</v>
      </c>
      <c r="P238" s="13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>
      <c r="A239" s="12">
        <v>5.0</v>
      </c>
      <c r="B239" s="13" t="s">
        <v>227</v>
      </c>
      <c r="C239" s="13" t="s">
        <v>533</v>
      </c>
      <c r="I239" s="10" t="s">
        <v>630</v>
      </c>
      <c r="J239" s="13" t="s">
        <v>772</v>
      </c>
      <c r="K239" s="13" t="s">
        <v>303</v>
      </c>
      <c r="L239" s="13" t="s">
        <v>784</v>
      </c>
      <c r="M239" s="13" t="s">
        <v>188</v>
      </c>
      <c r="N239" s="13" t="s">
        <v>188</v>
      </c>
      <c r="O239" s="13" t="s">
        <v>190</v>
      </c>
      <c r="P239" s="13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>
      <c r="A240" s="12">
        <v>5.0</v>
      </c>
      <c r="B240" s="13" t="s">
        <v>227</v>
      </c>
      <c r="C240" s="13" t="s">
        <v>533</v>
      </c>
      <c r="I240" s="10" t="s">
        <v>785</v>
      </c>
      <c r="J240" s="13" t="s">
        <v>778</v>
      </c>
      <c r="K240" s="13" t="s">
        <v>303</v>
      </c>
      <c r="L240" s="13" t="s">
        <v>786</v>
      </c>
      <c r="M240" s="13" t="s">
        <v>188</v>
      </c>
      <c r="N240" s="13" t="s">
        <v>188</v>
      </c>
      <c r="O240" s="13" t="s">
        <v>190</v>
      </c>
      <c r="P240" s="13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>
      <c r="A241" s="12">
        <v>5.0</v>
      </c>
      <c r="B241" s="13" t="s">
        <v>227</v>
      </c>
      <c r="C241" s="13" t="s">
        <v>533</v>
      </c>
      <c r="I241" s="10" t="s">
        <v>665</v>
      </c>
      <c r="J241" s="13" t="s">
        <v>769</v>
      </c>
      <c r="K241" s="13" t="s">
        <v>303</v>
      </c>
      <c r="L241" s="13" t="s">
        <v>787</v>
      </c>
      <c r="M241" s="13" t="s">
        <v>188</v>
      </c>
      <c r="N241" s="13" t="s">
        <v>188</v>
      </c>
      <c r="O241" s="13" t="s">
        <v>190</v>
      </c>
      <c r="P241" s="13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>
      <c r="A242" s="12">
        <v>5.0</v>
      </c>
      <c r="B242" s="13" t="s">
        <v>227</v>
      </c>
      <c r="C242" s="13" t="s">
        <v>533</v>
      </c>
      <c r="I242" s="10" t="s">
        <v>584</v>
      </c>
      <c r="J242" s="13" t="s">
        <v>772</v>
      </c>
      <c r="K242" s="13" t="s">
        <v>303</v>
      </c>
      <c r="L242" s="13" t="s">
        <v>783</v>
      </c>
      <c r="M242" s="13" t="s">
        <v>188</v>
      </c>
      <c r="N242" s="13" t="s">
        <v>188</v>
      </c>
      <c r="O242" s="13" t="s">
        <v>190</v>
      </c>
      <c r="P242" s="13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>
      <c r="A243" s="12">
        <v>5.0</v>
      </c>
      <c r="B243" s="13" t="s">
        <v>227</v>
      </c>
      <c r="C243" s="13" t="s">
        <v>533</v>
      </c>
      <c r="I243" s="10" t="s">
        <v>266</v>
      </c>
      <c r="J243" s="13" t="s">
        <v>778</v>
      </c>
      <c r="K243" s="13" t="s">
        <v>303</v>
      </c>
      <c r="L243" s="13" t="s">
        <v>783</v>
      </c>
      <c r="M243" s="13" t="s">
        <v>188</v>
      </c>
      <c r="N243" s="13" t="s">
        <v>188</v>
      </c>
      <c r="O243" s="13" t="s">
        <v>190</v>
      </c>
      <c r="P243" s="13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>
      <c r="A244" s="12">
        <v>5.0</v>
      </c>
      <c r="B244" s="13" t="s">
        <v>227</v>
      </c>
      <c r="C244" s="13" t="s">
        <v>533</v>
      </c>
      <c r="I244" s="10" t="s">
        <v>632</v>
      </c>
      <c r="J244" s="13" t="s">
        <v>769</v>
      </c>
      <c r="K244" s="13" t="s">
        <v>303</v>
      </c>
      <c r="L244" s="13" t="s">
        <v>784</v>
      </c>
      <c r="M244" s="13" t="s">
        <v>188</v>
      </c>
      <c r="N244" s="13" t="s">
        <v>188</v>
      </c>
      <c r="O244" s="13" t="s">
        <v>190</v>
      </c>
      <c r="P244" s="13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>
      <c r="A245" s="12">
        <v>5.0</v>
      </c>
      <c r="B245" s="13" t="s">
        <v>227</v>
      </c>
      <c r="C245" s="13" t="s">
        <v>533</v>
      </c>
      <c r="I245" s="10" t="s">
        <v>608</v>
      </c>
      <c r="J245" s="13" t="s">
        <v>772</v>
      </c>
      <c r="K245" s="13" t="s">
        <v>303</v>
      </c>
      <c r="L245" s="13" t="s">
        <v>784</v>
      </c>
      <c r="M245" s="13" t="s">
        <v>188</v>
      </c>
      <c r="N245" s="13" t="s">
        <v>188</v>
      </c>
      <c r="O245" s="13" t="s">
        <v>190</v>
      </c>
      <c r="P245" s="13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>
      <c r="A246" s="12">
        <v>5.0</v>
      </c>
      <c r="B246" s="13" t="s">
        <v>227</v>
      </c>
      <c r="C246" s="13" t="s">
        <v>533</v>
      </c>
      <c r="I246" s="10" t="s">
        <v>667</v>
      </c>
      <c r="J246" s="13" t="s">
        <v>778</v>
      </c>
      <c r="K246" s="13" t="s">
        <v>303</v>
      </c>
      <c r="L246" s="13" t="s">
        <v>787</v>
      </c>
      <c r="M246" s="13" t="s">
        <v>188</v>
      </c>
      <c r="N246" s="13" t="s">
        <v>188</v>
      </c>
      <c r="O246" s="13" t="s">
        <v>190</v>
      </c>
      <c r="P246" s="13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>
      <c r="A247" s="12">
        <v>5.0</v>
      </c>
      <c r="B247" s="13" t="s">
        <v>227</v>
      </c>
      <c r="C247" s="13" t="s">
        <v>533</v>
      </c>
      <c r="I247" s="10" t="s">
        <v>668</v>
      </c>
      <c r="J247" s="13" t="s">
        <v>769</v>
      </c>
      <c r="K247" s="13" t="s">
        <v>303</v>
      </c>
      <c r="L247" s="13" t="s">
        <v>784</v>
      </c>
      <c r="M247" s="13" t="s">
        <v>188</v>
      </c>
      <c r="N247" s="13" t="s">
        <v>188</v>
      </c>
      <c r="O247" s="13" t="s">
        <v>190</v>
      </c>
      <c r="P247" s="13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>
      <c r="A248" s="12">
        <v>5.0</v>
      </c>
      <c r="B248" s="13" t="s">
        <v>227</v>
      </c>
      <c r="C248" s="13" t="s">
        <v>533</v>
      </c>
      <c r="I248" s="10" t="s">
        <v>788</v>
      </c>
      <c r="J248" s="13" t="s">
        <v>772</v>
      </c>
      <c r="K248" s="13" t="s">
        <v>303</v>
      </c>
      <c r="L248" s="13" t="s">
        <v>784</v>
      </c>
      <c r="M248" s="13" t="s">
        <v>188</v>
      </c>
      <c r="N248" s="13" t="s">
        <v>188</v>
      </c>
      <c r="O248" s="13" t="s">
        <v>190</v>
      </c>
      <c r="P248" s="13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>
      <c r="A249" s="12">
        <v>5.0</v>
      </c>
      <c r="B249" s="13" t="s">
        <v>227</v>
      </c>
      <c r="C249" s="13" t="s">
        <v>533</v>
      </c>
      <c r="I249" s="10" t="s">
        <v>789</v>
      </c>
      <c r="J249" s="13" t="s">
        <v>778</v>
      </c>
      <c r="K249" s="13" t="s">
        <v>303</v>
      </c>
      <c r="L249" s="13" t="s">
        <v>784</v>
      </c>
      <c r="M249" s="13" t="s">
        <v>188</v>
      </c>
      <c r="N249" s="13" t="s">
        <v>188</v>
      </c>
      <c r="O249" s="13" t="s">
        <v>190</v>
      </c>
      <c r="P249" s="13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>
      <c r="A250" s="12">
        <v>5.0</v>
      </c>
      <c r="B250" s="13" t="s">
        <v>227</v>
      </c>
      <c r="C250" s="13" t="s">
        <v>533</v>
      </c>
      <c r="I250" s="10" t="s">
        <v>790</v>
      </c>
      <c r="J250" s="13" t="s">
        <v>769</v>
      </c>
      <c r="K250" s="13" t="s">
        <v>303</v>
      </c>
      <c r="L250" s="13" t="s">
        <v>786</v>
      </c>
      <c r="M250" s="13" t="s">
        <v>188</v>
      </c>
      <c r="N250" s="13" t="s">
        <v>188</v>
      </c>
      <c r="O250" s="13" t="s">
        <v>190</v>
      </c>
      <c r="P250" s="13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>
      <c r="A251" s="12">
        <v>5.0</v>
      </c>
      <c r="B251" s="13" t="s">
        <v>227</v>
      </c>
      <c r="C251" s="13" t="s">
        <v>533</v>
      </c>
      <c r="I251" s="10" t="s">
        <v>791</v>
      </c>
      <c r="J251" s="13" t="s">
        <v>772</v>
      </c>
      <c r="K251" s="13" t="s">
        <v>303</v>
      </c>
      <c r="L251" s="13" t="s">
        <v>786</v>
      </c>
      <c r="M251" s="13" t="s">
        <v>188</v>
      </c>
      <c r="N251" s="13" t="s">
        <v>188</v>
      </c>
      <c r="O251" s="13" t="s">
        <v>190</v>
      </c>
      <c r="P251" s="13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>
      <c r="A252" s="12">
        <v>5.0</v>
      </c>
      <c r="B252" s="13" t="s">
        <v>227</v>
      </c>
      <c r="C252" s="13" t="s">
        <v>533</v>
      </c>
      <c r="I252" s="10" t="s">
        <v>792</v>
      </c>
      <c r="J252" s="13" t="s">
        <v>778</v>
      </c>
      <c r="K252" s="13" t="s">
        <v>303</v>
      </c>
      <c r="L252" s="13" t="s">
        <v>787</v>
      </c>
      <c r="M252" s="13" t="s">
        <v>188</v>
      </c>
      <c r="N252" s="13" t="s">
        <v>188</v>
      </c>
      <c r="O252" s="13" t="s">
        <v>190</v>
      </c>
      <c r="P252" s="13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>
      <c r="A253" s="12">
        <v>5.0</v>
      </c>
      <c r="B253" s="13" t="s">
        <v>227</v>
      </c>
      <c r="C253" s="13" t="s">
        <v>533</v>
      </c>
      <c r="I253" s="10" t="s">
        <v>793</v>
      </c>
      <c r="J253" s="13" t="s">
        <v>769</v>
      </c>
      <c r="K253" s="13" t="s">
        <v>303</v>
      </c>
      <c r="L253" s="13" t="s">
        <v>784</v>
      </c>
      <c r="M253" s="13" t="s">
        <v>188</v>
      </c>
      <c r="N253" s="13" t="s">
        <v>188</v>
      </c>
      <c r="O253" s="13" t="s">
        <v>190</v>
      </c>
      <c r="P253" s="13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>
      <c r="A254" s="12">
        <v>5.0</v>
      </c>
      <c r="B254" s="13" t="s">
        <v>227</v>
      </c>
      <c r="C254" s="13" t="s">
        <v>533</v>
      </c>
      <c r="I254" s="10" t="s">
        <v>794</v>
      </c>
      <c r="J254" s="13" t="s">
        <v>772</v>
      </c>
      <c r="K254" s="13" t="s">
        <v>303</v>
      </c>
      <c r="L254" s="13" t="s">
        <v>784</v>
      </c>
      <c r="M254" s="13" t="s">
        <v>188</v>
      </c>
      <c r="N254" s="13" t="s">
        <v>188</v>
      </c>
      <c r="O254" s="13" t="s">
        <v>190</v>
      </c>
      <c r="P254" s="13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>
      <c r="A255" s="12">
        <v>5.0</v>
      </c>
      <c r="B255" s="7" t="s">
        <v>227</v>
      </c>
      <c r="C255" s="7" t="s">
        <v>533</v>
      </c>
      <c r="I255" s="13" t="s">
        <v>54</v>
      </c>
      <c r="J255" s="13" t="s">
        <v>778</v>
      </c>
      <c r="K255" s="13" t="s">
        <v>303</v>
      </c>
      <c r="L255" s="13" t="s">
        <v>613</v>
      </c>
      <c r="M255" s="6" t="s">
        <v>188</v>
      </c>
      <c r="N255" s="6" t="s">
        <v>188</v>
      </c>
      <c r="O255" s="6" t="s">
        <v>190</v>
      </c>
      <c r="P255" s="7" t="s">
        <v>333</v>
      </c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>
      <c r="A256" s="12">
        <v>5.0</v>
      </c>
      <c r="B256" s="7" t="s">
        <v>227</v>
      </c>
      <c r="C256" s="7" t="s">
        <v>533</v>
      </c>
      <c r="I256" s="13" t="s">
        <v>590</v>
      </c>
      <c r="J256" s="13" t="s">
        <v>769</v>
      </c>
      <c r="K256" s="13" t="s">
        <v>303</v>
      </c>
      <c r="L256" s="13" t="s">
        <v>640</v>
      </c>
      <c r="M256" s="6" t="s">
        <v>188</v>
      </c>
      <c r="N256" s="6" t="s">
        <v>188</v>
      </c>
      <c r="O256" s="6" t="s">
        <v>190</v>
      </c>
      <c r="P256" s="7" t="s">
        <v>333</v>
      </c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>
      <c r="A257" s="12">
        <v>5.0</v>
      </c>
      <c r="B257" s="7" t="s">
        <v>227</v>
      </c>
      <c r="C257" s="7" t="s">
        <v>533</v>
      </c>
      <c r="I257" s="13" t="s">
        <v>250</v>
      </c>
      <c r="J257" s="13" t="s">
        <v>772</v>
      </c>
      <c r="K257" s="13" t="s">
        <v>303</v>
      </c>
      <c r="L257" s="13" t="s">
        <v>795</v>
      </c>
      <c r="M257" s="6" t="s">
        <v>188</v>
      </c>
      <c r="N257" s="6" t="s">
        <v>188</v>
      </c>
      <c r="O257" s="6" t="s">
        <v>190</v>
      </c>
      <c r="P257" s="7" t="s">
        <v>333</v>
      </c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>
      <c r="A258" s="12">
        <v>5.0</v>
      </c>
      <c r="B258" s="7" t="s">
        <v>227</v>
      </c>
      <c r="C258" s="7" t="s">
        <v>533</v>
      </c>
      <c r="I258" s="13" t="s">
        <v>572</v>
      </c>
      <c r="J258" s="13" t="s">
        <v>778</v>
      </c>
      <c r="K258" s="13" t="s">
        <v>303</v>
      </c>
      <c r="L258" s="13" t="s">
        <v>796</v>
      </c>
      <c r="M258" s="6" t="s">
        <v>188</v>
      </c>
      <c r="N258" s="6" t="s">
        <v>188</v>
      </c>
      <c r="O258" s="6" t="s">
        <v>190</v>
      </c>
      <c r="P258" s="7" t="s">
        <v>624</v>
      </c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>
      <c r="A259" s="12">
        <v>5.0</v>
      </c>
      <c r="B259" s="7" t="s">
        <v>227</v>
      </c>
      <c r="C259" s="7" t="s">
        <v>533</v>
      </c>
      <c r="I259" s="13" t="s">
        <v>610</v>
      </c>
      <c r="J259" s="13" t="s">
        <v>769</v>
      </c>
      <c r="K259" s="13" t="s">
        <v>303</v>
      </c>
      <c r="L259" s="13" t="s">
        <v>611</v>
      </c>
      <c r="M259" s="6" t="s">
        <v>188</v>
      </c>
      <c r="N259" s="6" t="s">
        <v>188</v>
      </c>
      <c r="O259" s="6" t="s">
        <v>190</v>
      </c>
      <c r="P259" s="7" t="s">
        <v>333</v>
      </c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>
      <c r="A260" s="12">
        <v>5.0</v>
      </c>
      <c r="B260" s="7" t="s">
        <v>227</v>
      </c>
      <c r="C260" s="7" t="s">
        <v>533</v>
      </c>
      <c r="I260" s="13" t="s">
        <v>615</v>
      </c>
      <c r="J260" s="13" t="s">
        <v>772</v>
      </c>
      <c r="K260" s="13" t="s">
        <v>303</v>
      </c>
      <c r="L260" s="13" t="s">
        <v>613</v>
      </c>
      <c r="M260" s="6" t="s">
        <v>188</v>
      </c>
      <c r="N260" s="6" t="s">
        <v>188</v>
      </c>
      <c r="O260" s="6" t="s">
        <v>190</v>
      </c>
      <c r="P260" s="7" t="s">
        <v>333</v>
      </c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>
      <c r="A261" s="12">
        <v>5.0</v>
      </c>
      <c r="B261" s="7" t="s">
        <v>227</v>
      </c>
      <c r="C261" s="7" t="s">
        <v>533</v>
      </c>
      <c r="I261" s="13" t="s">
        <v>612</v>
      </c>
      <c r="J261" s="13" t="s">
        <v>778</v>
      </c>
      <c r="K261" s="13" t="s">
        <v>303</v>
      </c>
      <c r="L261" s="13" t="s">
        <v>613</v>
      </c>
      <c r="M261" s="6" t="s">
        <v>188</v>
      </c>
      <c r="N261" s="6" t="s">
        <v>188</v>
      </c>
      <c r="O261" s="6" t="s">
        <v>190</v>
      </c>
      <c r="P261" s="7" t="s">
        <v>333</v>
      </c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>
      <c r="A262" s="12">
        <v>6.0</v>
      </c>
      <c r="B262" s="13" t="s">
        <v>250</v>
      </c>
      <c r="C262" s="13" t="s">
        <v>533</v>
      </c>
      <c r="D262" s="14">
        <f>IF(COUNTIF($B$2:$B262,$B262)&gt;1,"",COUNTIF($B$2:$B$3400,$B262))</f>
        <v>30</v>
      </c>
      <c r="E262" s="14">
        <f>IF(COUNTIF($B$2:$B262,$B262)&gt;1,"",COUNTIFS($B$2:$B$3400,$B262,$K$2:$K$3400,"PHÙ HỢP CAO"))</f>
        <v>2</v>
      </c>
      <c r="F262" s="14">
        <f>IF(COUNTIF($B$2:$B262,$B262)&gt;1,"",COUNTIFS($B$2:$B$3400,$B262,$K$2:$K$3400,"CÓ THỂ ĐI"))</f>
        <v>3</v>
      </c>
      <c r="G262" s="14">
        <f>IF(COUNTIF($B$2:$B262,$B262)&gt;1,"",COUNTIFS($B$2:$B$3400,$B262,$K$2:$K$3400,"CẦN SOÁT"))</f>
        <v>25</v>
      </c>
      <c r="H262" s="15" t="str">
        <f>IFERROR(__xludf.DUMMYFUNCTION("IF(COUNTIF($B$2:$B262,$B262)&gt;1,"""",IFERROR(TEXTJOIN(CHAR(10),TRUE,BYROW(QUERY({$B$2:$B$3400,$J$2:$J$3400},""select Col2, count(Col2) where Col1 = '""&amp;$B262&amp;""' group by Col2 order by count(Col2) desc label count(Col2) ''"",0),LAMBDA(r,INDEX(r,1,1)&amp;"" – "&amp;"""&amp;INDEX(r,1,2)&amp;"" link""))),""""))"),"kiểm tra nợ thuế doanh nghiệp – 10 link
tra cứu nợ thuế doanh nghiệp – 10 link
tra cứu nợ thuế theo mã số thuế – 10 link")</f>
        <v>kiểm tra nợ thuế doanh nghiệp – 10 link
tra cứu nợ thuế doanh nghiệp – 10 link
tra cứu nợ thuế theo mã số thuế – 10 link</v>
      </c>
      <c r="I262" s="10" t="s">
        <v>635</v>
      </c>
      <c r="J262" s="13" t="s">
        <v>809</v>
      </c>
      <c r="K262" s="13" t="s">
        <v>184</v>
      </c>
      <c r="L262" s="13" t="s">
        <v>810</v>
      </c>
      <c r="M262" s="13" t="s">
        <v>188</v>
      </c>
      <c r="N262" s="13" t="s">
        <v>188</v>
      </c>
      <c r="O262" s="13" t="s">
        <v>190</v>
      </c>
      <c r="P262" s="13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>
      <c r="A263" s="12">
        <v>6.0</v>
      </c>
      <c r="B263" s="13" t="s">
        <v>250</v>
      </c>
      <c r="C263" s="13" t="s">
        <v>533</v>
      </c>
      <c r="I263" s="10" t="s">
        <v>575</v>
      </c>
      <c r="J263" s="13" t="s">
        <v>811</v>
      </c>
      <c r="K263" s="13" t="s">
        <v>184</v>
      </c>
      <c r="L263" s="13" t="s">
        <v>812</v>
      </c>
      <c r="M263" s="13" t="s">
        <v>188</v>
      </c>
      <c r="N263" s="13" t="s">
        <v>188</v>
      </c>
      <c r="O263" s="13" t="s">
        <v>190</v>
      </c>
      <c r="P263" s="13" t="s">
        <v>715</v>
      </c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>
      <c r="A264" s="12">
        <v>6.0</v>
      </c>
      <c r="B264" s="13" t="s">
        <v>250</v>
      </c>
      <c r="C264" s="13" t="s">
        <v>533</v>
      </c>
      <c r="I264" s="10" t="s">
        <v>638</v>
      </c>
      <c r="J264" s="13" t="s">
        <v>816</v>
      </c>
      <c r="K264" s="13" t="s">
        <v>283</v>
      </c>
      <c r="L264" s="13" t="s">
        <v>817</v>
      </c>
      <c r="M264" s="13" t="s">
        <v>188</v>
      </c>
      <c r="N264" s="13" t="s">
        <v>188</v>
      </c>
      <c r="O264" s="13" t="s">
        <v>190</v>
      </c>
      <c r="P264" s="13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>
      <c r="A265" s="12">
        <v>6.0</v>
      </c>
      <c r="B265" s="13" t="s">
        <v>250</v>
      </c>
      <c r="C265" s="13" t="s">
        <v>533</v>
      </c>
      <c r="I265" s="10" t="s">
        <v>593</v>
      </c>
      <c r="J265" s="13" t="s">
        <v>809</v>
      </c>
      <c r="K265" s="13" t="s">
        <v>283</v>
      </c>
      <c r="L265" s="13" t="s">
        <v>818</v>
      </c>
      <c r="M265" s="13" t="s">
        <v>188</v>
      </c>
      <c r="N265" s="13" t="s">
        <v>188</v>
      </c>
      <c r="O265" s="13" t="s">
        <v>190</v>
      </c>
      <c r="P265" s="13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>
      <c r="A266" s="12">
        <v>6.0</v>
      </c>
      <c r="B266" s="13" t="s">
        <v>250</v>
      </c>
      <c r="C266" s="13" t="s">
        <v>533</v>
      </c>
      <c r="I266" s="10" t="s">
        <v>578</v>
      </c>
      <c r="J266" s="13" t="s">
        <v>811</v>
      </c>
      <c r="K266" s="13" t="s">
        <v>283</v>
      </c>
      <c r="L266" s="13" t="s">
        <v>819</v>
      </c>
      <c r="M266" s="13" t="s">
        <v>188</v>
      </c>
      <c r="N266" s="13" t="s">
        <v>188</v>
      </c>
      <c r="O266" s="13" t="s">
        <v>190</v>
      </c>
      <c r="P266" s="13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>
      <c r="A267" s="12">
        <v>6.0</v>
      </c>
      <c r="B267" s="13" t="s">
        <v>250</v>
      </c>
      <c r="C267" s="13" t="s">
        <v>533</v>
      </c>
      <c r="I267" s="10" t="s">
        <v>641</v>
      </c>
      <c r="J267" s="13" t="s">
        <v>816</v>
      </c>
      <c r="K267" s="13" t="s">
        <v>303</v>
      </c>
      <c r="L267" s="13" t="s">
        <v>736</v>
      </c>
      <c r="M267" s="13" t="s">
        <v>188</v>
      </c>
      <c r="N267" s="13" t="s">
        <v>188</v>
      </c>
      <c r="O267" s="13" t="s">
        <v>190</v>
      </c>
      <c r="P267" s="13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>
      <c r="A268" s="12">
        <v>6.0</v>
      </c>
      <c r="B268" s="13" t="s">
        <v>250</v>
      </c>
      <c r="C268" s="13" t="s">
        <v>533</v>
      </c>
      <c r="I268" s="10" t="s">
        <v>296</v>
      </c>
      <c r="J268" s="13" t="s">
        <v>809</v>
      </c>
      <c r="K268" s="13" t="s">
        <v>303</v>
      </c>
      <c r="L268" s="13" t="s">
        <v>736</v>
      </c>
      <c r="M268" s="13" t="s">
        <v>188</v>
      </c>
      <c r="N268" s="13" t="s">
        <v>188</v>
      </c>
      <c r="O268" s="13" t="s">
        <v>190</v>
      </c>
      <c r="P268" s="13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>
      <c r="A269" s="12">
        <v>6.0</v>
      </c>
      <c r="B269" s="13" t="s">
        <v>250</v>
      </c>
      <c r="C269" s="13" t="s">
        <v>533</v>
      </c>
      <c r="I269" s="10" t="s">
        <v>615</v>
      </c>
      <c r="J269" s="13" t="s">
        <v>811</v>
      </c>
      <c r="K269" s="13" t="s">
        <v>303</v>
      </c>
      <c r="L269" s="13" t="s">
        <v>736</v>
      </c>
      <c r="M269" s="13" t="s">
        <v>188</v>
      </c>
      <c r="N269" s="13" t="s">
        <v>188</v>
      </c>
      <c r="O269" s="13" t="s">
        <v>190</v>
      </c>
      <c r="P269" s="13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>
      <c r="A270" s="12">
        <v>6.0</v>
      </c>
      <c r="B270" s="13" t="s">
        <v>250</v>
      </c>
      <c r="C270" s="13" t="s">
        <v>533</v>
      </c>
      <c r="I270" s="10" t="s">
        <v>585</v>
      </c>
      <c r="J270" s="13" t="s">
        <v>816</v>
      </c>
      <c r="K270" s="13" t="s">
        <v>303</v>
      </c>
      <c r="L270" s="13" t="s">
        <v>825</v>
      </c>
      <c r="M270" s="13" t="s">
        <v>188</v>
      </c>
      <c r="N270" s="13" t="s">
        <v>188</v>
      </c>
      <c r="O270" s="13" t="s">
        <v>190</v>
      </c>
      <c r="P270" s="13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>
      <c r="A271" s="12">
        <v>6.0</v>
      </c>
      <c r="B271" s="13" t="s">
        <v>250</v>
      </c>
      <c r="C271" s="13" t="s">
        <v>533</v>
      </c>
      <c r="I271" s="10" t="s">
        <v>266</v>
      </c>
      <c r="J271" s="13" t="s">
        <v>809</v>
      </c>
      <c r="K271" s="13" t="s">
        <v>303</v>
      </c>
      <c r="L271" s="13" t="s">
        <v>736</v>
      </c>
      <c r="M271" s="13" t="s">
        <v>188</v>
      </c>
      <c r="N271" s="13" t="s">
        <v>188</v>
      </c>
      <c r="O271" s="13" t="s">
        <v>190</v>
      </c>
      <c r="P271" s="13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>
      <c r="A272" s="12">
        <v>6.0</v>
      </c>
      <c r="B272" s="7" t="s">
        <v>250</v>
      </c>
      <c r="C272" s="7" t="s">
        <v>533</v>
      </c>
      <c r="I272" s="13" t="s">
        <v>637</v>
      </c>
      <c r="J272" s="13" t="s">
        <v>811</v>
      </c>
      <c r="K272" s="13" t="s">
        <v>303</v>
      </c>
      <c r="L272" s="13" t="s">
        <v>827</v>
      </c>
      <c r="M272" s="6" t="s">
        <v>188</v>
      </c>
      <c r="N272" s="6" t="s">
        <v>188</v>
      </c>
      <c r="O272" s="6" t="s">
        <v>190</v>
      </c>
      <c r="P272" s="7" t="s">
        <v>333</v>
      </c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>
      <c r="A273" s="12">
        <v>6.0</v>
      </c>
      <c r="B273" s="7" t="s">
        <v>250</v>
      </c>
      <c r="C273" s="7" t="s">
        <v>533</v>
      </c>
      <c r="I273" s="13" t="s">
        <v>691</v>
      </c>
      <c r="J273" s="13" t="s">
        <v>816</v>
      </c>
      <c r="K273" s="13" t="s">
        <v>303</v>
      </c>
      <c r="L273" s="13" t="s">
        <v>827</v>
      </c>
      <c r="M273" s="6" t="s">
        <v>188</v>
      </c>
      <c r="N273" s="6" t="s">
        <v>188</v>
      </c>
      <c r="O273" s="6" t="s">
        <v>190</v>
      </c>
      <c r="P273" s="7" t="s">
        <v>624</v>
      </c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>
      <c r="A274" s="12">
        <v>6.0</v>
      </c>
      <c r="B274" s="7" t="s">
        <v>250</v>
      </c>
      <c r="C274" s="7" t="s">
        <v>533</v>
      </c>
      <c r="I274" s="13" t="s">
        <v>572</v>
      </c>
      <c r="J274" s="13" t="s">
        <v>809</v>
      </c>
      <c r="K274" s="13" t="s">
        <v>303</v>
      </c>
      <c r="L274" s="13" t="s">
        <v>831</v>
      </c>
      <c r="M274" s="6" t="s">
        <v>188</v>
      </c>
      <c r="N274" s="6" t="s">
        <v>188</v>
      </c>
      <c r="O274" s="6" t="s">
        <v>190</v>
      </c>
      <c r="P274" s="7" t="s">
        <v>624</v>
      </c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>
      <c r="A275" s="12">
        <v>6.0</v>
      </c>
      <c r="B275" s="7" t="s">
        <v>250</v>
      </c>
      <c r="C275" s="7" t="s">
        <v>533</v>
      </c>
      <c r="I275" s="13" t="s">
        <v>583</v>
      </c>
      <c r="J275" s="13" t="s">
        <v>811</v>
      </c>
      <c r="K275" s="13" t="s">
        <v>303</v>
      </c>
      <c r="L275" s="13" t="s">
        <v>832</v>
      </c>
      <c r="M275" s="6" t="s">
        <v>188</v>
      </c>
      <c r="N275" s="6" t="s">
        <v>188</v>
      </c>
      <c r="O275" s="6" t="s">
        <v>190</v>
      </c>
      <c r="P275" s="7" t="s">
        <v>333</v>
      </c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>
      <c r="A276" s="12">
        <v>6.0</v>
      </c>
      <c r="B276" s="7" t="s">
        <v>250</v>
      </c>
      <c r="C276" s="7" t="s">
        <v>533</v>
      </c>
      <c r="I276" s="13" t="s">
        <v>608</v>
      </c>
      <c r="J276" s="13" t="s">
        <v>816</v>
      </c>
      <c r="K276" s="13" t="s">
        <v>303</v>
      </c>
      <c r="L276" s="13" t="s">
        <v>833</v>
      </c>
      <c r="M276" s="6" t="s">
        <v>188</v>
      </c>
      <c r="N276" s="6" t="s">
        <v>188</v>
      </c>
      <c r="O276" s="6" t="s">
        <v>190</v>
      </c>
      <c r="P276" s="7" t="s">
        <v>333</v>
      </c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>
      <c r="A277" s="12">
        <v>6.0</v>
      </c>
      <c r="B277" s="7" t="s">
        <v>250</v>
      </c>
      <c r="C277" s="7" t="s">
        <v>533</v>
      </c>
      <c r="I277" s="13" t="s">
        <v>587</v>
      </c>
      <c r="J277" s="13" t="s">
        <v>809</v>
      </c>
      <c r="K277" s="13" t="s">
        <v>303</v>
      </c>
      <c r="L277" s="13" t="s">
        <v>834</v>
      </c>
      <c r="M277" s="6" t="s">
        <v>188</v>
      </c>
      <c r="N277" s="6" t="s">
        <v>188</v>
      </c>
      <c r="O277" s="6" t="s">
        <v>190</v>
      </c>
      <c r="P277" s="7" t="s">
        <v>624</v>
      </c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>
      <c r="A278" s="12">
        <v>6.0</v>
      </c>
      <c r="B278" s="7" t="s">
        <v>250</v>
      </c>
      <c r="C278" s="7" t="s">
        <v>533</v>
      </c>
      <c r="I278" s="13" t="s">
        <v>616</v>
      </c>
      <c r="J278" s="13" t="s">
        <v>811</v>
      </c>
      <c r="K278" s="13" t="s">
        <v>303</v>
      </c>
      <c r="L278" s="13" t="s">
        <v>836</v>
      </c>
      <c r="M278" s="6" t="s">
        <v>188</v>
      </c>
      <c r="N278" s="6" t="s">
        <v>188</v>
      </c>
      <c r="O278" s="6" t="s">
        <v>190</v>
      </c>
      <c r="P278" s="7" t="s">
        <v>333</v>
      </c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>
      <c r="A279" s="12">
        <v>6.0</v>
      </c>
      <c r="B279" s="7" t="s">
        <v>250</v>
      </c>
      <c r="C279" s="7" t="s">
        <v>533</v>
      </c>
      <c r="I279" s="13" t="s">
        <v>597</v>
      </c>
      <c r="J279" s="13" t="s">
        <v>816</v>
      </c>
      <c r="K279" s="13" t="s">
        <v>303</v>
      </c>
      <c r="L279" s="13" t="s">
        <v>838</v>
      </c>
      <c r="M279" s="6" t="s">
        <v>188</v>
      </c>
      <c r="N279" s="6" t="s">
        <v>188</v>
      </c>
      <c r="O279" s="6" t="s">
        <v>190</v>
      </c>
      <c r="P279" s="7" t="s">
        <v>333</v>
      </c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>
      <c r="A280" s="12">
        <v>6.0</v>
      </c>
      <c r="B280" s="7" t="s">
        <v>250</v>
      </c>
      <c r="C280" s="7" t="s">
        <v>533</v>
      </c>
      <c r="I280" s="13" t="s">
        <v>680</v>
      </c>
      <c r="J280" s="13" t="s">
        <v>809</v>
      </c>
      <c r="K280" s="13" t="s">
        <v>303</v>
      </c>
      <c r="L280" s="13" t="s">
        <v>839</v>
      </c>
      <c r="M280" s="6" t="s">
        <v>188</v>
      </c>
      <c r="N280" s="6" t="s">
        <v>188</v>
      </c>
      <c r="O280" s="6" t="s">
        <v>190</v>
      </c>
      <c r="P280" s="7" t="s">
        <v>333</v>
      </c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>
      <c r="A281" s="12">
        <v>6.0</v>
      </c>
      <c r="B281" s="7" t="s">
        <v>250</v>
      </c>
      <c r="C281" s="7" t="s">
        <v>533</v>
      </c>
      <c r="I281" s="13" t="s">
        <v>443</v>
      </c>
      <c r="J281" s="13" t="s">
        <v>811</v>
      </c>
      <c r="K281" s="13" t="s">
        <v>303</v>
      </c>
      <c r="L281" s="13" t="s">
        <v>831</v>
      </c>
      <c r="M281" s="6" t="s">
        <v>188</v>
      </c>
      <c r="N281" s="6" t="s">
        <v>188</v>
      </c>
      <c r="O281" s="6" t="s">
        <v>190</v>
      </c>
      <c r="P281" s="7" t="s">
        <v>333</v>
      </c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>
      <c r="A282" s="12">
        <v>6.0</v>
      </c>
      <c r="B282" s="7" t="s">
        <v>250</v>
      </c>
      <c r="C282" s="7" t="s">
        <v>533</v>
      </c>
      <c r="I282" s="13" t="s">
        <v>54</v>
      </c>
      <c r="J282" s="13" t="s">
        <v>816</v>
      </c>
      <c r="K282" s="13" t="s">
        <v>303</v>
      </c>
      <c r="L282" s="13" t="s">
        <v>613</v>
      </c>
      <c r="M282" s="6" t="s">
        <v>188</v>
      </c>
      <c r="N282" s="6" t="s">
        <v>188</v>
      </c>
      <c r="O282" s="6" t="s">
        <v>190</v>
      </c>
      <c r="P282" s="7" t="s">
        <v>333</v>
      </c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>
      <c r="A283" s="12">
        <v>6.0</v>
      </c>
      <c r="B283" s="7" t="s">
        <v>250</v>
      </c>
      <c r="C283" s="7" t="s">
        <v>533</v>
      </c>
      <c r="I283" s="13" t="s">
        <v>689</v>
      </c>
      <c r="J283" s="13" t="s">
        <v>809</v>
      </c>
      <c r="K283" s="13" t="s">
        <v>303</v>
      </c>
      <c r="L283" s="13" t="s">
        <v>842</v>
      </c>
      <c r="M283" s="6" t="s">
        <v>188</v>
      </c>
      <c r="N283" s="6" t="s">
        <v>188</v>
      </c>
      <c r="O283" s="6" t="s">
        <v>190</v>
      </c>
      <c r="P283" s="7" t="s">
        <v>333</v>
      </c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>
      <c r="A284" s="12">
        <v>6.0</v>
      </c>
      <c r="B284" s="7" t="s">
        <v>250</v>
      </c>
      <c r="C284" s="7" t="s">
        <v>533</v>
      </c>
      <c r="I284" s="13" t="s">
        <v>634</v>
      </c>
      <c r="J284" s="13" t="s">
        <v>811</v>
      </c>
      <c r="K284" s="13" t="s">
        <v>303</v>
      </c>
      <c r="L284" s="13" t="s">
        <v>836</v>
      </c>
      <c r="M284" s="6" t="s">
        <v>188</v>
      </c>
      <c r="N284" s="6" t="s">
        <v>188</v>
      </c>
      <c r="O284" s="6" t="s">
        <v>190</v>
      </c>
      <c r="P284" s="7" t="s">
        <v>333</v>
      </c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>
      <c r="A285" s="12">
        <v>6.0</v>
      </c>
      <c r="B285" s="7" t="s">
        <v>250</v>
      </c>
      <c r="C285" s="7" t="s">
        <v>533</v>
      </c>
      <c r="I285" s="13" t="s">
        <v>791</v>
      </c>
      <c r="J285" s="13" t="s">
        <v>816</v>
      </c>
      <c r="K285" s="13" t="s">
        <v>303</v>
      </c>
      <c r="L285" s="13" t="s">
        <v>843</v>
      </c>
      <c r="M285" s="6" t="s">
        <v>188</v>
      </c>
      <c r="N285" s="6" t="s">
        <v>188</v>
      </c>
      <c r="O285" s="6" t="s">
        <v>190</v>
      </c>
      <c r="P285" s="7" t="s">
        <v>333</v>
      </c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>
      <c r="A286" s="12">
        <v>6.0</v>
      </c>
      <c r="B286" s="7" t="s">
        <v>250</v>
      </c>
      <c r="C286" s="7" t="s">
        <v>533</v>
      </c>
      <c r="I286" s="13" t="s">
        <v>592</v>
      </c>
      <c r="J286" s="13" t="s">
        <v>809</v>
      </c>
      <c r="K286" s="13" t="s">
        <v>303</v>
      </c>
      <c r="L286" s="13" t="s">
        <v>640</v>
      </c>
      <c r="M286" s="6" t="s">
        <v>188</v>
      </c>
      <c r="N286" s="6" t="s">
        <v>188</v>
      </c>
      <c r="O286" s="6" t="s">
        <v>190</v>
      </c>
      <c r="P286" s="7" t="s">
        <v>333</v>
      </c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>
      <c r="A287" s="12">
        <v>6.0</v>
      </c>
      <c r="B287" s="7" t="s">
        <v>250</v>
      </c>
      <c r="C287" s="7" t="s">
        <v>533</v>
      </c>
      <c r="I287" s="13" t="s">
        <v>590</v>
      </c>
      <c r="J287" s="13" t="s">
        <v>811</v>
      </c>
      <c r="K287" s="13" t="s">
        <v>303</v>
      </c>
      <c r="L287" s="13" t="s">
        <v>640</v>
      </c>
      <c r="M287" s="6" t="s">
        <v>188</v>
      </c>
      <c r="N287" s="6" t="s">
        <v>188</v>
      </c>
      <c r="O287" s="6" t="s">
        <v>190</v>
      </c>
      <c r="P287" s="7" t="s">
        <v>333</v>
      </c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>
      <c r="A288" s="12">
        <v>6.0</v>
      </c>
      <c r="B288" s="7" t="s">
        <v>250</v>
      </c>
      <c r="C288" s="7" t="s">
        <v>533</v>
      </c>
      <c r="I288" s="13" t="s">
        <v>610</v>
      </c>
      <c r="J288" s="13" t="s">
        <v>816</v>
      </c>
      <c r="K288" s="13" t="s">
        <v>303</v>
      </c>
      <c r="L288" s="13" t="s">
        <v>611</v>
      </c>
      <c r="M288" s="6" t="s">
        <v>188</v>
      </c>
      <c r="N288" s="6" t="s">
        <v>188</v>
      </c>
      <c r="O288" s="6" t="s">
        <v>190</v>
      </c>
      <c r="P288" s="7" t="s">
        <v>333</v>
      </c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>
      <c r="A289" s="12">
        <v>6.0</v>
      </c>
      <c r="B289" s="7" t="s">
        <v>250</v>
      </c>
      <c r="C289" s="7" t="s">
        <v>533</v>
      </c>
      <c r="I289" s="13" t="s">
        <v>612</v>
      </c>
      <c r="J289" s="13" t="s">
        <v>809</v>
      </c>
      <c r="K289" s="13" t="s">
        <v>303</v>
      </c>
      <c r="L289" s="13" t="s">
        <v>613</v>
      </c>
      <c r="M289" s="6" t="s">
        <v>188</v>
      </c>
      <c r="N289" s="6" t="s">
        <v>188</v>
      </c>
      <c r="O289" s="6" t="s">
        <v>190</v>
      </c>
      <c r="P289" s="7" t="s">
        <v>333</v>
      </c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>
      <c r="A290" s="12">
        <v>6.0</v>
      </c>
      <c r="B290" s="7" t="s">
        <v>250</v>
      </c>
      <c r="C290" s="7" t="s">
        <v>533</v>
      </c>
      <c r="I290" s="13" t="s">
        <v>844</v>
      </c>
      <c r="J290" s="13" t="s">
        <v>811</v>
      </c>
      <c r="K290" s="13" t="s">
        <v>303</v>
      </c>
      <c r="L290" s="13" t="s">
        <v>845</v>
      </c>
      <c r="M290" s="6" t="s">
        <v>188</v>
      </c>
      <c r="N290" s="6" t="s">
        <v>188</v>
      </c>
      <c r="O290" s="6" t="s">
        <v>190</v>
      </c>
      <c r="P290" s="7" t="s">
        <v>333</v>
      </c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>
      <c r="A291" s="12">
        <v>6.0</v>
      </c>
      <c r="B291" s="7" t="s">
        <v>250</v>
      </c>
      <c r="C291" s="7" t="s">
        <v>533</v>
      </c>
      <c r="I291" s="13" t="s">
        <v>846</v>
      </c>
      <c r="J291" s="13" t="s">
        <v>816</v>
      </c>
      <c r="K291" s="13" t="s">
        <v>303</v>
      </c>
      <c r="L291" s="13" t="s">
        <v>845</v>
      </c>
      <c r="M291" s="6" t="s">
        <v>188</v>
      </c>
      <c r="N291" s="6" t="s">
        <v>188</v>
      </c>
      <c r="O291" s="6" t="s">
        <v>190</v>
      </c>
      <c r="P291" s="7" t="s">
        <v>333</v>
      </c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>
      <c r="A292" s="12">
        <v>7.0</v>
      </c>
      <c r="B292" s="13" t="s">
        <v>266</v>
      </c>
      <c r="C292" s="13" t="s">
        <v>533</v>
      </c>
      <c r="D292" s="14">
        <f>IF(COUNTIF($B$2:$B292,$B292)&gt;1,"",COUNTIF($B$2:$B$3400,$B292))</f>
        <v>30</v>
      </c>
      <c r="E292" s="14">
        <f>IF(COUNTIF($B$2:$B292,$B292)&gt;1,"",COUNTIFS($B$2:$B$3400,$B292,$K$2:$K$3400,"PHÙ HỢP CAO"))</f>
        <v>3</v>
      </c>
      <c r="F292" s="14">
        <f>IF(COUNTIF($B$2:$B292,$B292)&gt;1,"",COUNTIFS($B$2:$B$3400,$B292,$K$2:$K$3400,"CÓ THỂ ĐI"))</f>
        <v>2</v>
      </c>
      <c r="G292" s="14">
        <f>IF(COUNTIF($B$2:$B292,$B292)&gt;1,"",COUNTIFS($B$2:$B$3400,$B292,$K$2:$K$3400,"CẦN SOÁT"))</f>
        <v>25</v>
      </c>
      <c r="H292" s="15" t="str">
        <f>IFERROR(__xludf.DUMMYFUNCTION("IF(COUNTIF($B$2:$B292,$B292)&gt;1,"""",IFERROR(TEXTJOIN(CHAR(10),TRUE,BYROW(QUERY({$B$2:$B$3400,$J$2:$J$3400},""select Col2, count(Col2) where Col1 = '""&amp;$B292&amp;""' group by Col2 order by count(Col2) desc label count(Col2) ''"",0),LAMBDA(r,INDEX(r,1,1)&amp;"" – "&amp;"""&amp;INDEX(r,1,2)&amp;"" link""))),""""))"),"các loại thuế doanh nghiệp phải nộp – 10 link
doanh nghiệp phải nộp những loại thuế nào – 10 link
thuế doanh nghiệp – 10 link")</f>
        <v>các loại thuế doanh nghiệp phải nộp – 10 link
doanh nghiệp phải nộp những loại thuế nào – 10 link
thuế doanh nghiệp – 10 link</v>
      </c>
      <c r="I292" s="10" t="s">
        <v>615</v>
      </c>
      <c r="J292" s="13" t="s">
        <v>849</v>
      </c>
      <c r="K292" s="13" t="s">
        <v>184</v>
      </c>
      <c r="L292" s="13" t="s">
        <v>850</v>
      </c>
      <c r="M292" s="13" t="s">
        <v>188</v>
      </c>
      <c r="N292" s="13" t="s">
        <v>188</v>
      </c>
      <c r="O292" s="13" t="s">
        <v>190</v>
      </c>
      <c r="P292" s="13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>
      <c r="A293" s="12">
        <v>7.0</v>
      </c>
      <c r="B293" s="13" t="s">
        <v>266</v>
      </c>
      <c r="C293" s="13" t="s">
        <v>533</v>
      </c>
      <c r="I293" s="10" t="s">
        <v>662</v>
      </c>
      <c r="J293" s="13" t="s">
        <v>853</v>
      </c>
      <c r="K293" s="13" t="s">
        <v>184</v>
      </c>
      <c r="L293" s="13" t="s">
        <v>855</v>
      </c>
      <c r="M293" s="13" t="s">
        <v>188</v>
      </c>
      <c r="N293" s="13" t="s">
        <v>188</v>
      </c>
      <c r="O293" s="13" t="s">
        <v>190</v>
      </c>
      <c r="P293" s="13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>
      <c r="A294" s="12">
        <v>7.0</v>
      </c>
      <c r="B294" s="13" t="s">
        <v>266</v>
      </c>
      <c r="C294" s="13" t="s">
        <v>533</v>
      </c>
      <c r="I294" s="10" t="s">
        <v>625</v>
      </c>
      <c r="J294" s="13" t="s">
        <v>857</v>
      </c>
      <c r="K294" s="13" t="s">
        <v>184</v>
      </c>
      <c r="L294" s="13" t="s">
        <v>858</v>
      </c>
      <c r="M294" s="13" t="s">
        <v>188</v>
      </c>
      <c r="N294" s="13" t="s">
        <v>188</v>
      </c>
      <c r="O294" s="13" t="s">
        <v>190</v>
      </c>
      <c r="P294" s="13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>
      <c r="A295" s="12">
        <v>7.0</v>
      </c>
      <c r="B295" s="13" t="s">
        <v>266</v>
      </c>
      <c r="C295" s="13" t="s">
        <v>533</v>
      </c>
      <c r="I295" s="10" t="s">
        <v>657</v>
      </c>
      <c r="J295" s="13" t="s">
        <v>849</v>
      </c>
      <c r="K295" s="13" t="s">
        <v>283</v>
      </c>
      <c r="L295" s="13" t="s">
        <v>860</v>
      </c>
      <c r="M295" s="13" t="s">
        <v>188</v>
      </c>
      <c r="N295" s="13" t="s">
        <v>188</v>
      </c>
      <c r="O295" s="13" t="s">
        <v>190</v>
      </c>
      <c r="P295" s="13" t="s">
        <v>715</v>
      </c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>
      <c r="A296" s="12">
        <v>7.0</v>
      </c>
      <c r="B296" s="13" t="s">
        <v>266</v>
      </c>
      <c r="C296" s="13" t="s">
        <v>533</v>
      </c>
      <c r="I296" s="10" t="s">
        <v>646</v>
      </c>
      <c r="J296" s="13" t="s">
        <v>853</v>
      </c>
      <c r="K296" s="13" t="s">
        <v>283</v>
      </c>
      <c r="L296" s="13" t="s">
        <v>864</v>
      </c>
      <c r="M296" s="13" t="s">
        <v>188</v>
      </c>
      <c r="N296" s="13" t="s">
        <v>188</v>
      </c>
      <c r="O296" s="13" t="s">
        <v>190</v>
      </c>
      <c r="P296" s="13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>
      <c r="A297" s="12">
        <v>7.0</v>
      </c>
      <c r="B297" s="13" t="s">
        <v>266</v>
      </c>
      <c r="C297" s="13" t="s">
        <v>533</v>
      </c>
      <c r="I297" s="10" t="s">
        <v>866</v>
      </c>
      <c r="J297" s="13" t="s">
        <v>857</v>
      </c>
      <c r="K297" s="13" t="s">
        <v>303</v>
      </c>
      <c r="L297" s="13" t="s">
        <v>868</v>
      </c>
      <c r="M297" s="13" t="s">
        <v>188</v>
      </c>
      <c r="N297" s="13" t="s">
        <v>188</v>
      </c>
      <c r="O297" s="13" t="s">
        <v>190</v>
      </c>
      <c r="P297" s="13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>
      <c r="A298" s="12">
        <v>7.0</v>
      </c>
      <c r="B298" s="13" t="s">
        <v>266</v>
      </c>
      <c r="C298" s="13" t="s">
        <v>533</v>
      </c>
      <c r="I298" s="10" t="s">
        <v>641</v>
      </c>
      <c r="J298" s="13" t="s">
        <v>849</v>
      </c>
      <c r="K298" s="13" t="s">
        <v>303</v>
      </c>
      <c r="L298" s="13" t="s">
        <v>736</v>
      </c>
      <c r="M298" s="13" t="s">
        <v>188</v>
      </c>
      <c r="N298" s="13" t="s">
        <v>188</v>
      </c>
      <c r="O298" s="13" t="s">
        <v>190</v>
      </c>
      <c r="P298" s="13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>
      <c r="A299" s="12">
        <v>7.0</v>
      </c>
      <c r="B299" s="13" t="s">
        <v>266</v>
      </c>
      <c r="C299" s="13" t="s">
        <v>533</v>
      </c>
      <c r="I299" s="10" t="s">
        <v>871</v>
      </c>
      <c r="J299" s="13" t="s">
        <v>853</v>
      </c>
      <c r="K299" s="13" t="s">
        <v>303</v>
      </c>
      <c r="L299" s="13" t="s">
        <v>868</v>
      </c>
      <c r="M299" s="13" t="s">
        <v>188</v>
      </c>
      <c r="N299" s="13" t="s">
        <v>188</v>
      </c>
      <c r="O299" s="13" t="s">
        <v>190</v>
      </c>
      <c r="P299" s="13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>
      <c r="A300" s="12">
        <v>7.0</v>
      </c>
      <c r="B300" s="13" t="s">
        <v>266</v>
      </c>
      <c r="C300" s="13" t="s">
        <v>533</v>
      </c>
      <c r="I300" s="10" t="s">
        <v>296</v>
      </c>
      <c r="J300" s="13" t="s">
        <v>857</v>
      </c>
      <c r="K300" s="13" t="s">
        <v>303</v>
      </c>
      <c r="L300" s="13" t="s">
        <v>736</v>
      </c>
      <c r="M300" s="13" t="s">
        <v>188</v>
      </c>
      <c r="N300" s="13" t="s">
        <v>188</v>
      </c>
      <c r="O300" s="13" t="s">
        <v>190</v>
      </c>
      <c r="P300" s="13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>
      <c r="A301" s="12">
        <v>7.0</v>
      </c>
      <c r="B301" s="13" t="s">
        <v>266</v>
      </c>
      <c r="C301" s="13" t="s">
        <v>533</v>
      </c>
      <c r="I301" s="10" t="s">
        <v>635</v>
      </c>
      <c r="J301" s="13" t="s">
        <v>849</v>
      </c>
      <c r="K301" s="13" t="s">
        <v>303</v>
      </c>
      <c r="L301" s="13" t="s">
        <v>736</v>
      </c>
      <c r="M301" s="13" t="s">
        <v>188</v>
      </c>
      <c r="N301" s="13" t="s">
        <v>188</v>
      </c>
      <c r="O301" s="13" t="s">
        <v>190</v>
      </c>
      <c r="P301" s="13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>
      <c r="A302" s="12">
        <v>7.0</v>
      </c>
      <c r="B302" s="13" t="s">
        <v>266</v>
      </c>
      <c r="C302" s="13" t="s">
        <v>533</v>
      </c>
      <c r="I302" s="10" t="s">
        <v>695</v>
      </c>
      <c r="J302" s="13" t="s">
        <v>853</v>
      </c>
      <c r="K302" s="13" t="s">
        <v>303</v>
      </c>
      <c r="L302" s="13" t="s">
        <v>872</v>
      </c>
      <c r="M302" s="13" t="s">
        <v>188</v>
      </c>
      <c r="N302" s="13" t="s">
        <v>188</v>
      </c>
      <c r="O302" s="13" t="s">
        <v>190</v>
      </c>
      <c r="P302" s="13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>
      <c r="A303" s="12">
        <v>7.0</v>
      </c>
      <c r="B303" s="13" t="s">
        <v>266</v>
      </c>
      <c r="C303" s="13" t="s">
        <v>533</v>
      </c>
      <c r="I303" s="10" t="s">
        <v>650</v>
      </c>
      <c r="J303" s="13" t="s">
        <v>857</v>
      </c>
      <c r="K303" s="13" t="s">
        <v>303</v>
      </c>
      <c r="L303" s="13" t="s">
        <v>868</v>
      </c>
      <c r="M303" s="13" t="s">
        <v>188</v>
      </c>
      <c r="N303" s="13" t="s">
        <v>188</v>
      </c>
      <c r="O303" s="13" t="s">
        <v>190</v>
      </c>
      <c r="P303" s="13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>
      <c r="A304" s="12">
        <v>7.0</v>
      </c>
      <c r="B304" s="13" t="s">
        <v>266</v>
      </c>
      <c r="C304" s="13" t="s">
        <v>533</v>
      </c>
      <c r="I304" s="10" t="s">
        <v>686</v>
      </c>
      <c r="J304" s="13" t="s">
        <v>849</v>
      </c>
      <c r="K304" s="13" t="s">
        <v>303</v>
      </c>
      <c r="L304" s="13" t="s">
        <v>873</v>
      </c>
      <c r="M304" s="13" t="s">
        <v>188</v>
      </c>
      <c r="N304" s="13" t="s">
        <v>188</v>
      </c>
      <c r="O304" s="13" t="s">
        <v>190</v>
      </c>
      <c r="P304" s="13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>
      <c r="A305" s="12">
        <v>7.0</v>
      </c>
      <c r="B305" s="13" t="s">
        <v>266</v>
      </c>
      <c r="C305" s="13" t="s">
        <v>533</v>
      </c>
      <c r="I305" s="10" t="s">
        <v>608</v>
      </c>
      <c r="J305" s="13" t="s">
        <v>853</v>
      </c>
      <c r="K305" s="13" t="s">
        <v>303</v>
      </c>
      <c r="L305" s="13" t="s">
        <v>872</v>
      </c>
      <c r="M305" s="13" t="s">
        <v>188</v>
      </c>
      <c r="N305" s="13" t="s">
        <v>188</v>
      </c>
      <c r="O305" s="13" t="s">
        <v>190</v>
      </c>
      <c r="P305" s="13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>
      <c r="A306" s="12">
        <v>7.0</v>
      </c>
      <c r="B306" s="13" t="s">
        <v>266</v>
      </c>
      <c r="C306" s="13" t="s">
        <v>533</v>
      </c>
      <c r="I306" s="10" t="s">
        <v>638</v>
      </c>
      <c r="J306" s="13" t="s">
        <v>857</v>
      </c>
      <c r="K306" s="13" t="s">
        <v>303</v>
      </c>
      <c r="L306" s="13" t="s">
        <v>736</v>
      </c>
      <c r="M306" s="13" t="s">
        <v>188</v>
      </c>
      <c r="N306" s="13" t="s">
        <v>188</v>
      </c>
      <c r="O306" s="13" t="s">
        <v>190</v>
      </c>
      <c r="P306" s="13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>
      <c r="A307" s="12">
        <v>7.0</v>
      </c>
      <c r="B307" s="13" t="s">
        <v>266</v>
      </c>
      <c r="C307" s="13" t="s">
        <v>533</v>
      </c>
      <c r="I307" s="10" t="s">
        <v>593</v>
      </c>
      <c r="J307" s="13" t="s">
        <v>849</v>
      </c>
      <c r="K307" s="13" t="s">
        <v>303</v>
      </c>
      <c r="L307" s="13" t="s">
        <v>736</v>
      </c>
      <c r="M307" s="13" t="s">
        <v>188</v>
      </c>
      <c r="N307" s="13" t="s">
        <v>188</v>
      </c>
      <c r="O307" s="13" t="s">
        <v>190</v>
      </c>
      <c r="P307" s="13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>
      <c r="A308" s="12">
        <v>7.0</v>
      </c>
      <c r="B308" s="13" t="s">
        <v>266</v>
      </c>
      <c r="C308" s="13" t="s">
        <v>533</v>
      </c>
      <c r="I308" s="10" t="s">
        <v>874</v>
      </c>
      <c r="J308" s="13" t="s">
        <v>853</v>
      </c>
      <c r="K308" s="13" t="s">
        <v>303</v>
      </c>
      <c r="L308" s="13" t="s">
        <v>868</v>
      </c>
      <c r="M308" s="13" t="s">
        <v>188</v>
      </c>
      <c r="N308" s="13" t="s">
        <v>188</v>
      </c>
      <c r="O308" s="13" t="s">
        <v>190</v>
      </c>
      <c r="P308" s="13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>
      <c r="A309" s="12">
        <v>7.0</v>
      </c>
      <c r="B309" s="13" t="s">
        <v>266</v>
      </c>
      <c r="C309" s="13" t="s">
        <v>533</v>
      </c>
      <c r="I309" s="10" t="s">
        <v>250</v>
      </c>
      <c r="J309" s="13" t="s">
        <v>857</v>
      </c>
      <c r="K309" s="13" t="s">
        <v>303</v>
      </c>
      <c r="L309" s="13" t="s">
        <v>736</v>
      </c>
      <c r="M309" s="13" t="s">
        <v>188</v>
      </c>
      <c r="N309" s="13" t="s">
        <v>188</v>
      </c>
      <c r="O309" s="13" t="s">
        <v>190</v>
      </c>
      <c r="P309" s="13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>
      <c r="A310" s="12">
        <v>7.0</v>
      </c>
      <c r="B310" s="13" t="s">
        <v>266</v>
      </c>
      <c r="C310" s="13" t="s">
        <v>533</v>
      </c>
      <c r="I310" s="10" t="s">
        <v>655</v>
      </c>
      <c r="J310" s="13" t="s">
        <v>849</v>
      </c>
      <c r="K310" s="13" t="s">
        <v>303</v>
      </c>
      <c r="L310" s="13" t="s">
        <v>868</v>
      </c>
      <c r="M310" s="13" t="s">
        <v>188</v>
      </c>
      <c r="N310" s="13" t="s">
        <v>188</v>
      </c>
      <c r="O310" s="13" t="s">
        <v>190</v>
      </c>
      <c r="P310" s="13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>
      <c r="A311" s="12">
        <v>7.0</v>
      </c>
      <c r="B311" s="7" t="s">
        <v>266</v>
      </c>
      <c r="C311" s="7" t="s">
        <v>533</v>
      </c>
      <c r="I311" s="13" t="s">
        <v>54</v>
      </c>
      <c r="J311" s="13" t="s">
        <v>853</v>
      </c>
      <c r="K311" s="13" t="s">
        <v>303</v>
      </c>
      <c r="L311" s="13" t="s">
        <v>755</v>
      </c>
      <c r="M311" s="6" t="s">
        <v>188</v>
      </c>
      <c r="N311" s="6" t="s">
        <v>188</v>
      </c>
      <c r="O311" s="6" t="s">
        <v>190</v>
      </c>
      <c r="P311" s="7" t="s">
        <v>333</v>
      </c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>
      <c r="A312" s="12">
        <v>7.0</v>
      </c>
      <c r="B312" s="7" t="s">
        <v>266</v>
      </c>
      <c r="C312" s="7" t="s">
        <v>533</v>
      </c>
      <c r="I312" s="13" t="s">
        <v>610</v>
      </c>
      <c r="J312" s="13" t="s">
        <v>857</v>
      </c>
      <c r="K312" s="13" t="s">
        <v>303</v>
      </c>
      <c r="L312" s="13" t="s">
        <v>756</v>
      </c>
      <c r="M312" s="6" t="s">
        <v>188</v>
      </c>
      <c r="N312" s="6" t="s">
        <v>188</v>
      </c>
      <c r="O312" s="6" t="s">
        <v>190</v>
      </c>
      <c r="P312" s="7" t="s">
        <v>333</v>
      </c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>
      <c r="A313" s="12">
        <v>7.0</v>
      </c>
      <c r="B313" s="7" t="s">
        <v>266</v>
      </c>
      <c r="C313" s="7" t="s">
        <v>533</v>
      </c>
      <c r="I313" s="13" t="s">
        <v>612</v>
      </c>
      <c r="J313" s="13" t="s">
        <v>849</v>
      </c>
      <c r="K313" s="13" t="s">
        <v>303</v>
      </c>
      <c r="L313" s="13" t="s">
        <v>755</v>
      </c>
      <c r="M313" s="6" t="s">
        <v>188</v>
      </c>
      <c r="N313" s="6" t="s">
        <v>188</v>
      </c>
      <c r="O313" s="6" t="s">
        <v>190</v>
      </c>
      <c r="P313" s="7" t="s">
        <v>333</v>
      </c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>
      <c r="A314" s="12">
        <v>7.0</v>
      </c>
      <c r="B314" s="7" t="s">
        <v>266</v>
      </c>
      <c r="C314" s="7" t="s">
        <v>533</v>
      </c>
      <c r="I314" s="13" t="s">
        <v>73</v>
      </c>
      <c r="J314" s="13" t="s">
        <v>853</v>
      </c>
      <c r="K314" s="13" t="s">
        <v>303</v>
      </c>
      <c r="L314" s="13" t="s">
        <v>758</v>
      </c>
      <c r="M314" s="6" t="s">
        <v>188</v>
      </c>
      <c r="N314" s="6" t="s">
        <v>188</v>
      </c>
      <c r="O314" s="6" t="s">
        <v>190</v>
      </c>
      <c r="P314" s="7" t="s">
        <v>333</v>
      </c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>
      <c r="A315" s="12">
        <v>7.0</v>
      </c>
      <c r="B315" s="7" t="s">
        <v>266</v>
      </c>
      <c r="C315" s="7" t="s">
        <v>533</v>
      </c>
      <c r="I315" s="13" t="s">
        <v>629</v>
      </c>
      <c r="J315" s="13" t="s">
        <v>857</v>
      </c>
      <c r="K315" s="13" t="s">
        <v>303</v>
      </c>
      <c r="L315" s="13" t="s">
        <v>755</v>
      </c>
      <c r="M315" s="6" t="s">
        <v>188</v>
      </c>
      <c r="N315" s="6" t="s">
        <v>188</v>
      </c>
      <c r="O315" s="6" t="s">
        <v>190</v>
      </c>
      <c r="P315" s="7" t="s">
        <v>333</v>
      </c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>
      <c r="A316" s="12">
        <v>7.0</v>
      </c>
      <c r="B316" s="7" t="s">
        <v>266</v>
      </c>
      <c r="C316" s="7" t="s">
        <v>533</v>
      </c>
      <c r="I316" s="13" t="s">
        <v>628</v>
      </c>
      <c r="J316" s="13" t="s">
        <v>849</v>
      </c>
      <c r="K316" s="13" t="s">
        <v>303</v>
      </c>
      <c r="L316" s="13" t="s">
        <v>757</v>
      </c>
      <c r="M316" s="6" t="s">
        <v>188</v>
      </c>
      <c r="N316" s="6" t="s">
        <v>188</v>
      </c>
      <c r="O316" s="6" t="s">
        <v>190</v>
      </c>
      <c r="P316" s="7" t="s">
        <v>333</v>
      </c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>
      <c r="A317" s="12">
        <v>7.0</v>
      </c>
      <c r="B317" s="7" t="s">
        <v>266</v>
      </c>
      <c r="C317" s="7" t="s">
        <v>533</v>
      </c>
      <c r="I317" s="13" t="s">
        <v>575</v>
      </c>
      <c r="J317" s="13" t="s">
        <v>853</v>
      </c>
      <c r="K317" s="13" t="s">
        <v>303</v>
      </c>
      <c r="L317" s="13" t="s">
        <v>758</v>
      </c>
      <c r="M317" s="6" t="s">
        <v>188</v>
      </c>
      <c r="N317" s="6" t="s">
        <v>188</v>
      </c>
      <c r="O317" s="6" t="s">
        <v>190</v>
      </c>
      <c r="P317" s="7" t="s">
        <v>624</v>
      </c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>
      <c r="A318" s="12">
        <v>7.0</v>
      </c>
      <c r="B318" s="7" t="s">
        <v>266</v>
      </c>
      <c r="C318" s="7" t="s">
        <v>533</v>
      </c>
      <c r="I318" s="13" t="s">
        <v>633</v>
      </c>
      <c r="J318" s="13" t="s">
        <v>857</v>
      </c>
      <c r="K318" s="13" t="s">
        <v>303</v>
      </c>
      <c r="L318" s="13" t="s">
        <v>757</v>
      </c>
      <c r="M318" s="6" t="s">
        <v>188</v>
      </c>
      <c r="N318" s="6" t="s">
        <v>188</v>
      </c>
      <c r="O318" s="6" t="s">
        <v>190</v>
      </c>
      <c r="P318" s="7" t="s">
        <v>333</v>
      </c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>
      <c r="A319" s="12">
        <v>7.0</v>
      </c>
      <c r="B319" s="7" t="s">
        <v>266</v>
      </c>
      <c r="C319" s="7" t="s">
        <v>533</v>
      </c>
      <c r="I319" s="13" t="s">
        <v>282</v>
      </c>
      <c r="J319" s="13" t="s">
        <v>849</v>
      </c>
      <c r="K319" s="13" t="s">
        <v>303</v>
      </c>
      <c r="L319" s="13" t="s">
        <v>759</v>
      </c>
      <c r="M319" s="6" t="s">
        <v>188</v>
      </c>
      <c r="N319" s="6" t="s">
        <v>188</v>
      </c>
      <c r="O319" s="6" t="s">
        <v>190</v>
      </c>
      <c r="P319" s="7" t="s">
        <v>333</v>
      </c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>
      <c r="A320" s="12">
        <v>7.0</v>
      </c>
      <c r="B320" s="7" t="s">
        <v>266</v>
      </c>
      <c r="C320" s="7" t="s">
        <v>533</v>
      </c>
      <c r="I320" s="13" t="s">
        <v>652</v>
      </c>
      <c r="J320" s="13" t="s">
        <v>853</v>
      </c>
      <c r="K320" s="13" t="s">
        <v>303</v>
      </c>
      <c r="L320" s="13" t="s">
        <v>761</v>
      </c>
      <c r="M320" s="6" t="s">
        <v>188</v>
      </c>
      <c r="N320" s="6" t="s">
        <v>188</v>
      </c>
      <c r="O320" s="6" t="s">
        <v>190</v>
      </c>
      <c r="P320" s="7" t="s">
        <v>333</v>
      </c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>
      <c r="A321" s="12">
        <v>7.0</v>
      </c>
      <c r="B321" s="7" t="s">
        <v>266</v>
      </c>
      <c r="C321" s="7" t="s">
        <v>533</v>
      </c>
      <c r="I321" s="13" t="s">
        <v>643</v>
      </c>
      <c r="J321" s="13" t="s">
        <v>857</v>
      </c>
      <c r="K321" s="13" t="s">
        <v>303</v>
      </c>
      <c r="L321" s="13" t="s">
        <v>760</v>
      </c>
      <c r="M321" s="6" t="s">
        <v>188</v>
      </c>
      <c r="N321" s="6" t="s">
        <v>188</v>
      </c>
      <c r="O321" s="6" t="s">
        <v>190</v>
      </c>
      <c r="P321" s="7" t="s">
        <v>333</v>
      </c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>
      <c r="A322" s="12">
        <v>8.0</v>
      </c>
      <c r="B322" s="13" t="s">
        <v>282</v>
      </c>
      <c r="C322" s="13" t="s">
        <v>533</v>
      </c>
      <c r="D322" s="14">
        <f>IF(COUNTIF($B$2:$B322,$B322)&gt;1,"",COUNTIF($B$2:$B$3400,$B322))</f>
        <v>30</v>
      </c>
      <c r="E322" s="14">
        <f>IF(COUNTIF($B$2:$B322,$B322)&gt;1,"",COUNTIFS($B$2:$B$3400,$B322,$K$2:$K$3400,"PHÙ HỢP CAO"))</f>
        <v>3</v>
      </c>
      <c r="F322" s="14">
        <f>IF(COUNTIF($B$2:$B322,$B322)&gt;1,"",COUNTIFS($B$2:$B$3400,$B322,$K$2:$K$3400,"CÓ THỂ ĐI"))</f>
        <v>2</v>
      </c>
      <c r="G322" s="14">
        <f>IF(COUNTIF($B$2:$B322,$B322)&gt;1,"",COUNTIFS($B$2:$B$3400,$B322,$K$2:$K$3400,"CẦN SOÁT"))</f>
        <v>25</v>
      </c>
      <c r="H322" s="15" t="str">
        <f>IFERROR(__xludf.DUMMYFUNCTION("IF(COUNTIF($B$2:$B322,$B322)&gt;1,"""",IFERROR(TEXTJOIN(CHAR(10),TRUE,BYROW(QUERY({$B$2:$B$3400,$J$2:$J$3400},""select Col2, count(Col2) where Col1 = '""&amp;$B322&amp;""' group by Col2 order by count(Col2) desc label count(Col2) ''"",0),LAMBDA(r,INDEX(r,1,1)&amp;"" – "&amp;"""&amp;INDEX(r,1,2)&amp;"" link""))),""""))"),"công ty dùng tài khoản cá nhân có được không – 15 link
công ty sử dụng tài khoản cá nhân – 15 link")</f>
        <v>công ty dùng tài khoản cá nhân có được không – 15 link
công ty sử dụng tài khoản cá nhân – 15 link</v>
      </c>
      <c r="I322" s="10" t="s">
        <v>674</v>
      </c>
      <c r="J322" s="13" t="s">
        <v>876</v>
      </c>
      <c r="K322" s="13" t="s">
        <v>184</v>
      </c>
      <c r="L322" s="13" t="s">
        <v>877</v>
      </c>
      <c r="M322" s="13" t="s">
        <v>188</v>
      </c>
      <c r="N322" s="13" t="s">
        <v>188</v>
      </c>
      <c r="O322" s="13" t="s">
        <v>190</v>
      </c>
      <c r="P322" s="13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>
      <c r="A323" s="12">
        <v>8.0</v>
      </c>
      <c r="B323" s="13" t="s">
        <v>282</v>
      </c>
      <c r="C323" s="13" t="s">
        <v>533</v>
      </c>
      <c r="I323" s="10" t="s">
        <v>661</v>
      </c>
      <c r="J323" s="13" t="s">
        <v>878</v>
      </c>
      <c r="K323" s="13" t="s">
        <v>184</v>
      </c>
      <c r="L323" s="13" t="s">
        <v>879</v>
      </c>
      <c r="M323" s="13" t="s">
        <v>188</v>
      </c>
      <c r="N323" s="13" t="s">
        <v>188</v>
      </c>
      <c r="O323" s="13" t="s">
        <v>190</v>
      </c>
      <c r="P323" s="13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>
      <c r="A324" s="12">
        <v>8.0</v>
      </c>
      <c r="B324" s="13" t="s">
        <v>282</v>
      </c>
      <c r="C324" s="13" t="s">
        <v>533</v>
      </c>
      <c r="I324" s="10" t="s">
        <v>696</v>
      </c>
      <c r="J324" s="13" t="s">
        <v>876</v>
      </c>
      <c r="K324" s="13" t="s">
        <v>184</v>
      </c>
      <c r="L324" s="13" t="s">
        <v>880</v>
      </c>
      <c r="M324" s="13" t="s">
        <v>188</v>
      </c>
      <c r="N324" s="13" t="s">
        <v>188</v>
      </c>
      <c r="O324" s="13" t="s">
        <v>190</v>
      </c>
      <c r="P324" s="13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>
      <c r="A325" s="12">
        <v>8.0</v>
      </c>
      <c r="B325" s="13" t="s">
        <v>282</v>
      </c>
      <c r="C325" s="13" t="s">
        <v>533</v>
      </c>
      <c r="I325" s="10" t="s">
        <v>599</v>
      </c>
      <c r="J325" s="13" t="s">
        <v>878</v>
      </c>
      <c r="K325" s="13" t="s">
        <v>283</v>
      </c>
      <c r="L325" s="13" t="s">
        <v>881</v>
      </c>
      <c r="M325" s="13" t="s">
        <v>188</v>
      </c>
      <c r="N325" s="13" t="s">
        <v>188</v>
      </c>
      <c r="O325" s="13" t="s">
        <v>190</v>
      </c>
      <c r="P325" s="13" t="s">
        <v>715</v>
      </c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>
      <c r="A326" s="12">
        <v>8.0</v>
      </c>
      <c r="B326" s="13" t="s">
        <v>282</v>
      </c>
      <c r="C326" s="13" t="s">
        <v>533</v>
      </c>
      <c r="I326" s="10" t="s">
        <v>882</v>
      </c>
      <c r="J326" s="13" t="s">
        <v>876</v>
      </c>
      <c r="K326" s="13" t="s">
        <v>283</v>
      </c>
      <c r="L326" s="13" t="s">
        <v>883</v>
      </c>
      <c r="M326" s="13" t="s">
        <v>188</v>
      </c>
      <c r="N326" s="13" t="s">
        <v>188</v>
      </c>
      <c r="O326" s="13" t="s">
        <v>190</v>
      </c>
      <c r="P326" s="13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>
      <c r="A327" s="12">
        <v>8.0</v>
      </c>
      <c r="B327" s="13" t="s">
        <v>282</v>
      </c>
      <c r="C327" s="13" t="s">
        <v>533</v>
      </c>
      <c r="I327" s="10" t="s">
        <v>670</v>
      </c>
      <c r="J327" s="13" t="s">
        <v>878</v>
      </c>
      <c r="K327" s="13" t="s">
        <v>303</v>
      </c>
      <c r="L327" s="13" t="s">
        <v>884</v>
      </c>
      <c r="M327" s="13" t="s">
        <v>188</v>
      </c>
      <c r="N327" s="13" t="s">
        <v>188</v>
      </c>
      <c r="O327" s="13" t="s">
        <v>190</v>
      </c>
      <c r="P327" s="13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>
      <c r="A328" s="12">
        <v>8.0</v>
      </c>
      <c r="B328" s="13" t="s">
        <v>282</v>
      </c>
      <c r="C328" s="13" t="s">
        <v>533</v>
      </c>
      <c r="I328" s="10" t="s">
        <v>659</v>
      </c>
      <c r="J328" s="13" t="s">
        <v>876</v>
      </c>
      <c r="K328" s="13" t="s">
        <v>303</v>
      </c>
      <c r="L328" s="13" t="s">
        <v>885</v>
      </c>
      <c r="M328" s="13" t="s">
        <v>188</v>
      </c>
      <c r="N328" s="13" t="s">
        <v>188</v>
      </c>
      <c r="O328" s="13" t="s">
        <v>190</v>
      </c>
      <c r="P328" s="13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>
      <c r="A329" s="12">
        <v>8.0</v>
      </c>
      <c r="B329" s="13" t="s">
        <v>282</v>
      </c>
      <c r="C329" s="13" t="s">
        <v>533</v>
      </c>
      <c r="I329" s="10" t="s">
        <v>886</v>
      </c>
      <c r="J329" s="13" t="s">
        <v>878</v>
      </c>
      <c r="K329" s="13" t="s">
        <v>303</v>
      </c>
      <c r="L329" s="13" t="s">
        <v>887</v>
      </c>
      <c r="M329" s="13" t="s">
        <v>188</v>
      </c>
      <c r="N329" s="13" t="s">
        <v>188</v>
      </c>
      <c r="O329" s="13" t="s">
        <v>190</v>
      </c>
      <c r="P329" s="13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>
      <c r="A330" s="12">
        <v>8.0</v>
      </c>
      <c r="B330" s="13" t="s">
        <v>282</v>
      </c>
      <c r="C330" s="13" t="s">
        <v>533</v>
      </c>
      <c r="I330" s="10" t="s">
        <v>888</v>
      </c>
      <c r="J330" s="13" t="s">
        <v>876</v>
      </c>
      <c r="K330" s="13" t="s">
        <v>303</v>
      </c>
      <c r="L330" s="13" t="s">
        <v>887</v>
      </c>
      <c r="M330" s="13" t="s">
        <v>188</v>
      </c>
      <c r="N330" s="13" t="s">
        <v>188</v>
      </c>
      <c r="O330" s="13" t="s">
        <v>190</v>
      </c>
      <c r="P330" s="13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>
      <c r="A331" s="12">
        <v>8.0</v>
      </c>
      <c r="B331" s="13" t="s">
        <v>282</v>
      </c>
      <c r="C331" s="13" t="s">
        <v>533</v>
      </c>
      <c r="I331" s="10" t="s">
        <v>889</v>
      </c>
      <c r="J331" s="13" t="s">
        <v>878</v>
      </c>
      <c r="K331" s="13" t="s">
        <v>303</v>
      </c>
      <c r="L331" s="13" t="s">
        <v>887</v>
      </c>
      <c r="M331" s="13" t="s">
        <v>188</v>
      </c>
      <c r="N331" s="13" t="s">
        <v>188</v>
      </c>
      <c r="O331" s="13" t="s">
        <v>190</v>
      </c>
      <c r="P331" s="13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>
      <c r="A332" s="12">
        <v>8.0</v>
      </c>
      <c r="B332" s="13" t="s">
        <v>282</v>
      </c>
      <c r="C332" s="13" t="s">
        <v>533</v>
      </c>
      <c r="I332" s="10" t="s">
        <v>890</v>
      </c>
      <c r="J332" s="13" t="s">
        <v>876</v>
      </c>
      <c r="K332" s="13" t="s">
        <v>303</v>
      </c>
      <c r="L332" s="13" t="s">
        <v>887</v>
      </c>
      <c r="M332" s="13" t="s">
        <v>188</v>
      </c>
      <c r="N332" s="13" t="s">
        <v>188</v>
      </c>
      <c r="O332" s="13" t="s">
        <v>190</v>
      </c>
      <c r="P332" s="13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>
      <c r="A333" s="12">
        <v>8.0</v>
      </c>
      <c r="B333" s="13" t="s">
        <v>282</v>
      </c>
      <c r="C333" s="13" t="s">
        <v>533</v>
      </c>
      <c r="I333" s="10" t="s">
        <v>891</v>
      </c>
      <c r="J333" s="13" t="s">
        <v>878</v>
      </c>
      <c r="K333" s="13" t="s">
        <v>303</v>
      </c>
      <c r="L333" s="13" t="s">
        <v>892</v>
      </c>
      <c r="M333" s="13" t="s">
        <v>188</v>
      </c>
      <c r="N333" s="13" t="s">
        <v>188</v>
      </c>
      <c r="O333" s="13" t="s">
        <v>190</v>
      </c>
      <c r="P333" s="13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>
      <c r="A334" s="12">
        <v>8.0</v>
      </c>
      <c r="B334" s="13" t="s">
        <v>282</v>
      </c>
      <c r="C334" s="13" t="s">
        <v>533</v>
      </c>
      <c r="I334" s="10" t="s">
        <v>656</v>
      </c>
      <c r="J334" s="13" t="s">
        <v>876</v>
      </c>
      <c r="K334" s="13" t="s">
        <v>303</v>
      </c>
      <c r="L334" s="13" t="s">
        <v>884</v>
      </c>
      <c r="M334" s="13" t="s">
        <v>188</v>
      </c>
      <c r="N334" s="13" t="s">
        <v>188</v>
      </c>
      <c r="O334" s="13" t="s">
        <v>190</v>
      </c>
      <c r="P334" s="13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>
      <c r="A335" s="12">
        <v>8.0</v>
      </c>
      <c r="B335" s="7" t="s">
        <v>282</v>
      </c>
      <c r="C335" s="7" t="s">
        <v>533</v>
      </c>
      <c r="I335" s="13" t="s">
        <v>593</v>
      </c>
      <c r="J335" s="13" t="s">
        <v>878</v>
      </c>
      <c r="K335" s="13" t="s">
        <v>303</v>
      </c>
      <c r="L335" s="13" t="s">
        <v>893</v>
      </c>
      <c r="M335" s="6" t="s">
        <v>188</v>
      </c>
      <c r="N335" s="6" t="s">
        <v>188</v>
      </c>
      <c r="O335" s="6" t="s">
        <v>190</v>
      </c>
      <c r="P335" s="7" t="s">
        <v>333</v>
      </c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>
      <c r="A336" s="12">
        <v>8.0</v>
      </c>
      <c r="B336" s="7" t="s">
        <v>282</v>
      </c>
      <c r="C336" s="7" t="s">
        <v>533</v>
      </c>
      <c r="I336" s="13" t="s">
        <v>54</v>
      </c>
      <c r="J336" s="13" t="s">
        <v>876</v>
      </c>
      <c r="K336" s="13" t="s">
        <v>303</v>
      </c>
      <c r="L336" s="13" t="s">
        <v>613</v>
      </c>
      <c r="M336" s="6" t="s">
        <v>188</v>
      </c>
      <c r="N336" s="6" t="s">
        <v>188</v>
      </c>
      <c r="O336" s="6" t="s">
        <v>190</v>
      </c>
      <c r="P336" s="7" t="s">
        <v>333</v>
      </c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>
      <c r="A337" s="12">
        <v>8.0</v>
      </c>
      <c r="B337" s="7" t="s">
        <v>282</v>
      </c>
      <c r="C337" s="7" t="s">
        <v>533</v>
      </c>
      <c r="I337" s="13" t="s">
        <v>608</v>
      </c>
      <c r="J337" s="13" t="s">
        <v>878</v>
      </c>
      <c r="K337" s="13" t="s">
        <v>303</v>
      </c>
      <c r="L337" s="13" t="s">
        <v>609</v>
      </c>
      <c r="M337" s="6" t="s">
        <v>188</v>
      </c>
      <c r="N337" s="6" t="s">
        <v>188</v>
      </c>
      <c r="O337" s="6" t="s">
        <v>190</v>
      </c>
      <c r="P337" s="7" t="s">
        <v>333</v>
      </c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>
      <c r="A338" s="12">
        <v>8.0</v>
      </c>
      <c r="B338" s="7" t="s">
        <v>282</v>
      </c>
      <c r="C338" s="7" t="s">
        <v>533</v>
      </c>
      <c r="I338" s="13" t="s">
        <v>646</v>
      </c>
      <c r="J338" s="13" t="s">
        <v>876</v>
      </c>
      <c r="K338" s="13" t="s">
        <v>303</v>
      </c>
      <c r="L338" s="13" t="s">
        <v>894</v>
      </c>
      <c r="M338" s="6" t="s">
        <v>188</v>
      </c>
      <c r="N338" s="6" t="s">
        <v>188</v>
      </c>
      <c r="O338" s="6" t="s">
        <v>190</v>
      </c>
      <c r="P338" s="7" t="s">
        <v>333</v>
      </c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>
      <c r="A339" s="12">
        <v>8.0</v>
      </c>
      <c r="B339" s="7" t="s">
        <v>282</v>
      </c>
      <c r="C339" s="7" t="s">
        <v>533</v>
      </c>
      <c r="I339" s="13" t="s">
        <v>650</v>
      </c>
      <c r="J339" s="13" t="s">
        <v>878</v>
      </c>
      <c r="K339" s="13" t="s">
        <v>303</v>
      </c>
      <c r="L339" s="13" t="s">
        <v>894</v>
      </c>
      <c r="M339" s="6" t="s">
        <v>188</v>
      </c>
      <c r="N339" s="6" t="s">
        <v>188</v>
      </c>
      <c r="O339" s="6" t="s">
        <v>190</v>
      </c>
      <c r="P339" s="7" t="s">
        <v>333</v>
      </c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>
      <c r="A340" s="12">
        <v>8.0</v>
      </c>
      <c r="B340" s="7" t="s">
        <v>282</v>
      </c>
      <c r="C340" s="7" t="s">
        <v>533</v>
      </c>
      <c r="I340" s="13" t="s">
        <v>655</v>
      </c>
      <c r="J340" s="13" t="s">
        <v>876</v>
      </c>
      <c r="K340" s="13" t="s">
        <v>303</v>
      </c>
      <c r="L340" s="13" t="s">
        <v>894</v>
      </c>
      <c r="M340" s="6" t="s">
        <v>188</v>
      </c>
      <c r="N340" s="6" t="s">
        <v>188</v>
      </c>
      <c r="O340" s="6" t="s">
        <v>190</v>
      </c>
      <c r="P340" s="7" t="s">
        <v>333</v>
      </c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>
      <c r="A341" s="12">
        <v>8.0</v>
      </c>
      <c r="B341" s="7" t="s">
        <v>282</v>
      </c>
      <c r="C341" s="7" t="s">
        <v>533</v>
      </c>
      <c r="I341" s="13" t="s">
        <v>592</v>
      </c>
      <c r="J341" s="13" t="s">
        <v>878</v>
      </c>
      <c r="K341" s="13" t="s">
        <v>303</v>
      </c>
      <c r="L341" s="13" t="s">
        <v>640</v>
      </c>
      <c r="M341" s="6" t="s">
        <v>188</v>
      </c>
      <c r="N341" s="6" t="s">
        <v>188</v>
      </c>
      <c r="O341" s="6" t="s">
        <v>190</v>
      </c>
      <c r="P341" s="7" t="s">
        <v>333</v>
      </c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>
      <c r="A342" s="12">
        <v>8.0</v>
      </c>
      <c r="B342" s="7" t="s">
        <v>282</v>
      </c>
      <c r="C342" s="7" t="s">
        <v>533</v>
      </c>
      <c r="I342" s="13" t="s">
        <v>689</v>
      </c>
      <c r="J342" s="13" t="s">
        <v>876</v>
      </c>
      <c r="K342" s="13" t="s">
        <v>303</v>
      </c>
      <c r="L342" s="13" t="s">
        <v>895</v>
      </c>
      <c r="M342" s="6" t="s">
        <v>188</v>
      </c>
      <c r="N342" s="6" t="s">
        <v>188</v>
      </c>
      <c r="O342" s="6" t="s">
        <v>190</v>
      </c>
      <c r="P342" s="7" t="s">
        <v>333</v>
      </c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>
      <c r="A343" s="12">
        <v>8.0</v>
      </c>
      <c r="B343" s="7" t="s">
        <v>282</v>
      </c>
      <c r="C343" s="7" t="s">
        <v>533</v>
      </c>
      <c r="I343" s="13" t="s">
        <v>250</v>
      </c>
      <c r="J343" s="13" t="s">
        <v>878</v>
      </c>
      <c r="K343" s="13" t="s">
        <v>303</v>
      </c>
      <c r="L343" s="13" t="s">
        <v>795</v>
      </c>
      <c r="M343" s="6" t="s">
        <v>188</v>
      </c>
      <c r="N343" s="6" t="s">
        <v>188</v>
      </c>
      <c r="O343" s="6" t="s">
        <v>190</v>
      </c>
      <c r="P343" s="7" t="s">
        <v>333</v>
      </c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>
      <c r="A344" s="12">
        <v>8.0</v>
      </c>
      <c r="B344" s="7" t="s">
        <v>282</v>
      </c>
      <c r="C344" s="7" t="s">
        <v>533</v>
      </c>
      <c r="I344" s="13" t="s">
        <v>615</v>
      </c>
      <c r="J344" s="13" t="s">
        <v>876</v>
      </c>
      <c r="K344" s="13" t="s">
        <v>303</v>
      </c>
      <c r="L344" s="13" t="s">
        <v>613</v>
      </c>
      <c r="M344" s="6" t="s">
        <v>188</v>
      </c>
      <c r="N344" s="6" t="s">
        <v>188</v>
      </c>
      <c r="O344" s="6" t="s">
        <v>190</v>
      </c>
      <c r="P344" s="7" t="s">
        <v>333</v>
      </c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>
      <c r="A345" s="12">
        <v>8.0</v>
      </c>
      <c r="B345" s="7" t="s">
        <v>282</v>
      </c>
      <c r="C345" s="7" t="s">
        <v>533</v>
      </c>
      <c r="I345" s="13" t="s">
        <v>590</v>
      </c>
      <c r="J345" s="13" t="s">
        <v>878</v>
      </c>
      <c r="K345" s="13" t="s">
        <v>303</v>
      </c>
      <c r="L345" s="13" t="s">
        <v>640</v>
      </c>
      <c r="M345" s="6" t="s">
        <v>188</v>
      </c>
      <c r="N345" s="6" t="s">
        <v>188</v>
      </c>
      <c r="O345" s="6" t="s">
        <v>190</v>
      </c>
      <c r="P345" s="7" t="s">
        <v>333</v>
      </c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>
      <c r="A346" s="12">
        <v>8.0</v>
      </c>
      <c r="B346" s="7" t="s">
        <v>282</v>
      </c>
      <c r="C346" s="7" t="s">
        <v>533</v>
      </c>
      <c r="I346" s="13" t="s">
        <v>572</v>
      </c>
      <c r="J346" s="13" t="s">
        <v>876</v>
      </c>
      <c r="K346" s="13" t="s">
        <v>303</v>
      </c>
      <c r="L346" s="13" t="s">
        <v>796</v>
      </c>
      <c r="M346" s="6" t="s">
        <v>188</v>
      </c>
      <c r="N346" s="6" t="s">
        <v>188</v>
      </c>
      <c r="O346" s="6" t="s">
        <v>190</v>
      </c>
      <c r="P346" s="7" t="s">
        <v>624</v>
      </c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>
      <c r="A347" s="12">
        <v>8.0</v>
      </c>
      <c r="B347" s="7" t="s">
        <v>282</v>
      </c>
      <c r="C347" s="7" t="s">
        <v>533</v>
      </c>
      <c r="I347" s="13" t="s">
        <v>583</v>
      </c>
      <c r="J347" s="13" t="s">
        <v>878</v>
      </c>
      <c r="K347" s="13" t="s">
        <v>303</v>
      </c>
      <c r="L347" s="13" t="s">
        <v>896</v>
      </c>
      <c r="M347" s="6" t="s">
        <v>188</v>
      </c>
      <c r="N347" s="6" t="s">
        <v>188</v>
      </c>
      <c r="O347" s="6" t="s">
        <v>190</v>
      </c>
      <c r="P347" s="7" t="s">
        <v>333</v>
      </c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>
      <c r="A348" s="12">
        <v>8.0</v>
      </c>
      <c r="B348" s="7" t="s">
        <v>282</v>
      </c>
      <c r="C348" s="7" t="s">
        <v>533</v>
      </c>
      <c r="I348" s="13" t="s">
        <v>610</v>
      </c>
      <c r="J348" s="13" t="s">
        <v>876</v>
      </c>
      <c r="K348" s="13" t="s">
        <v>303</v>
      </c>
      <c r="L348" s="13" t="s">
        <v>611</v>
      </c>
      <c r="M348" s="6" t="s">
        <v>188</v>
      </c>
      <c r="N348" s="6" t="s">
        <v>188</v>
      </c>
      <c r="O348" s="6" t="s">
        <v>190</v>
      </c>
      <c r="P348" s="7" t="s">
        <v>333</v>
      </c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>
      <c r="A349" s="12">
        <v>8.0</v>
      </c>
      <c r="B349" s="7" t="s">
        <v>282</v>
      </c>
      <c r="C349" s="7" t="s">
        <v>533</v>
      </c>
      <c r="I349" s="13" t="s">
        <v>612</v>
      </c>
      <c r="J349" s="13" t="s">
        <v>878</v>
      </c>
      <c r="K349" s="13" t="s">
        <v>303</v>
      </c>
      <c r="L349" s="13" t="s">
        <v>613</v>
      </c>
      <c r="M349" s="6" t="s">
        <v>188</v>
      </c>
      <c r="N349" s="6" t="s">
        <v>188</v>
      </c>
      <c r="O349" s="6" t="s">
        <v>190</v>
      </c>
      <c r="P349" s="7" t="s">
        <v>333</v>
      </c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>
      <c r="A350" s="12">
        <v>8.0</v>
      </c>
      <c r="B350" s="7" t="s">
        <v>282</v>
      </c>
      <c r="C350" s="7" t="s">
        <v>533</v>
      </c>
      <c r="I350" s="13" t="s">
        <v>897</v>
      </c>
      <c r="J350" s="13" t="s">
        <v>876</v>
      </c>
      <c r="K350" s="13" t="s">
        <v>303</v>
      </c>
      <c r="L350" s="13" t="s">
        <v>898</v>
      </c>
      <c r="M350" s="6" t="s">
        <v>188</v>
      </c>
      <c r="N350" s="6" t="s">
        <v>188</v>
      </c>
      <c r="O350" s="6" t="s">
        <v>190</v>
      </c>
      <c r="P350" s="7" t="s">
        <v>333</v>
      </c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>
      <c r="A351" s="12">
        <v>8.0</v>
      </c>
      <c r="B351" s="7" t="s">
        <v>282</v>
      </c>
      <c r="C351" s="7" t="s">
        <v>533</v>
      </c>
      <c r="I351" s="13" t="s">
        <v>899</v>
      </c>
      <c r="J351" s="13" t="s">
        <v>878</v>
      </c>
      <c r="K351" s="13" t="s">
        <v>303</v>
      </c>
      <c r="L351" s="13" t="s">
        <v>898</v>
      </c>
      <c r="M351" s="6" t="s">
        <v>188</v>
      </c>
      <c r="N351" s="6" t="s">
        <v>188</v>
      </c>
      <c r="O351" s="6" t="s">
        <v>190</v>
      </c>
      <c r="P351" s="7" t="s">
        <v>333</v>
      </c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>
      <c r="A352" s="12">
        <v>9.0</v>
      </c>
      <c r="B352" s="13" t="s">
        <v>296</v>
      </c>
      <c r="C352" s="13" t="s">
        <v>533</v>
      </c>
      <c r="D352" s="14">
        <f>IF(COUNTIF($B$2:$B352,$B352)&gt;1,"",COUNTIF($B$2:$B$3400,$B352))</f>
        <v>30</v>
      </c>
      <c r="E352" s="14">
        <f>IF(COUNTIF($B$2:$B352,$B352)&gt;1,"",COUNTIFS($B$2:$B$3400,$B352,$K$2:$K$3400,"PHÙ HỢP CAO"))</f>
        <v>2</v>
      </c>
      <c r="F352" s="14">
        <f>IF(COUNTIF($B$2:$B352,$B352)&gt;1,"",COUNTIFS($B$2:$B$3400,$B352,$K$2:$K$3400,"CÓ THỂ ĐI"))</f>
        <v>3</v>
      </c>
      <c r="G352" s="14">
        <f>IF(COUNTIF($B$2:$B352,$B352)&gt;1,"",COUNTIFS($B$2:$B$3400,$B352,$K$2:$K$3400,"CẦN SOÁT"))</f>
        <v>25</v>
      </c>
      <c r="H352" s="15" t="str">
        <f>IFERROR(__xludf.DUMMYFUNCTION("IF(COUNTIF($B$2:$B352,$B352)&gt;1,"""",IFERROR(TEXTJOIN(CHAR(10),TRUE,BYROW(QUERY({$B$2:$B$3400,$J$2:$J$3400},""select Col2, count(Col2) where Col1 = '""&amp;$B352&amp;""' group by Col2 order by count(Col2) desc label count(Col2) ''"",0),LAMBDA(r,INDEX(r,1,1)&amp;"" – "&amp;"""&amp;INDEX(r,1,2)&amp;"" link""))),""""))"),"cách tính thuế TNDN – 10 link
cách tính thuế thu nhập doanh nghiệp – 10 link
công thức tính thuế TNDN – 10 link")</f>
        <v>cách tính thuế TNDN – 10 link
cách tính thuế thu nhập doanh nghiệp – 10 link
công thức tính thuế TNDN – 10 link</v>
      </c>
      <c r="I352" s="10" t="s">
        <v>629</v>
      </c>
      <c r="J352" s="13" t="s">
        <v>900</v>
      </c>
      <c r="K352" s="13" t="s">
        <v>184</v>
      </c>
      <c r="L352" s="13" t="s">
        <v>901</v>
      </c>
      <c r="M352" s="13" t="s">
        <v>188</v>
      </c>
      <c r="N352" s="13" t="s">
        <v>188</v>
      </c>
      <c r="O352" s="13" t="s">
        <v>190</v>
      </c>
      <c r="P352" s="13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>
      <c r="A353" s="12">
        <v>9.0</v>
      </c>
      <c r="B353" s="13" t="s">
        <v>296</v>
      </c>
      <c r="C353" s="13" t="s">
        <v>533</v>
      </c>
      <c r="I353" s="10" t="s">
        <v>902</v>
      </c>
      <c r="J353" s="13" t="s">
        <v>903</v>
      </c>
      <c r="K353" s="13" t="s">
        <v>184</v>
      </c>
      <c r="L353" s="13" t="s">
        <v>904</v>
      </c>
      <c r="M353" s="13" t="s">
        <v>188</v>
      </c>
      <c r="N353" s="13" t="s">
        <v>188</v>
      </c>
      <c r="O353" s="13" t="s">
        <v>190</v>
      </c>
      <c r="P353" s="13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>
      <c r="A354" s="12">
        <v>9.0</v>
      </c>
      <c r="B354" s="13" t="s">
        <v>296</v>
      </c>
      <c r="C354" s="13" t="s">
        <v>533</v>
      </c>
      <c r="I354" s="10" t="s">
        <v>737</v>
      </c>
      <c r="J354" s="13" t="s">
        <v>905</v>
      </c>
      <c r="K354" s="13" t="s">
        <v>283</v>
      </c>
      <c r="L354" s="13" t="s">
        <v>906</v>
      </c>
      <c r="M354" s="13" t="s">
        <v>188</v>
      </c>
      <c r="N354" s="13" t="s">
        <v>188</v>
      </c>
      <c r="O354" s="13" t="s">
        <v>190</v>
      </c>
      <c r="P354" s="13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>
      <c r="A355" s="12">
        <v>9.0</v>
      </c>
      <c r="B355" s="13" t="s">
        <v>296</v>
      </c>
      <c r="C355" s="13" t="s">
        <v>533</v>
      </c>
      <c r="I355" s="10" t="s">
        <v>907</v>
      </c>
      <c r="J355" s="13" t="s">
        <v>900</v>
      </c>
      <c r="K355" s="13" t="s">
        <v>283</v>
      </c>
      <c r="L355" s="13" t="s">
        <v>908</v>
      </c>
      <c r="M355" s="13" t="s">
        <v>188</v>
      </c>
      <c r="N355" s="13" t="s">
        <v>188</v>
      </c>
      <c r="O355" s="13" t="s">
        <v>190</v>
      </c>
      <c r="P355" s="13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>
      <c r="A356" s="12">
        <v>9.0</v>
      </c>
      <c r="B356" s="13" t="s">
        <v>296</v>
      </c>
      <c r="C356" s="13" t="s">
        <v>533</v>
      </c>
      <c r="I356" s="10" t="s">
        <v>686</v>
      </c>
      <c r="J356" s="13" t="s">
        <v>903</v>
      </c>
      <c r="K356" s="13" t="s">
        <v>283</v>
      </c>
      <c r="L356" s="13" t="s">
        <v>909</v>
      </c>
      <c r="M356" s="13" t="s">
        <v>188</v>
      </c>
      <c r="N356" s="13" t="s">
        <v>188</v>
      </c>
      <c r="O356" s="13" t="s">
        <v>190</v>
      </c>
      <c r="P356" s="13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>
      <c r="A357" s="12">
        <v>9.0</v>
      </c>
      <c r="B357" s="13" t="s">
        <v>296</v>
      </c>
      <c r="C357" s="13" t="s">
        <v>533</v>
      </c>
      <c r="I357" s="10" t="s">
        <v>910</v>
      </c>
      <c r="J357" s="13" t="s">
        <v>905</v>
      </c>
      <c r="K357" s="13" t="s">
        <v>303</v>
      </c>
      <c r="L357" s="13" t="s">
        <v>911</v>
      </c>
      <c r="M357" s="13" t="s">
        <v>188</v>
      </c>
      <c r="N357" s="13" t="s">
        <v>188</v>
      </c>
      <c r="O357" s="13" t="s">
        <v>190</v>
      </c>
      <c r="P357" s="13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>
      <c r="A358" s="12">
        <v>9.0</v>
      </c>
      <c r="B358" s="13" t="s">
        <v>296</v>
      </c>
      <c r="C358" s="13" t="s">
        <v>533</v>
      </c>
      <c r="I358" s="10" t="s">
        <v>732</v>
      </c>
      <c r="J358" s="13" t="s">
        <v>900</v>
      </c>
      <c r="K358" s="13" t="s">
        <v>303</v>
      </c>
      <c r="L358" s="13" t="s">
        <v>738</v>
      </c>
      <c r="M358" s="13" t="s">
        <v>188</v>
      </c>
      <c r="N358" s="13" t="s">
        <v>188</v>
      </c>
      <c r="O358" s="13" t="s">
        <v>190</v>
      </c>
      <c r="P358" s="13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>
      <c r="A359" s="12">
        <v>9.0</v>
      </c>
      <c r="B359" s="13" t="s">
        <v>296</v>
      </c>
      <c r="C359" s="13" t="s">
        <v>533</v>
      </c>
      <c r="I359" s="10" t="s">
        <v>266</v>
      </c>
      <c r="J359" s="13" t="s">
        <v>903</v>
      </c>
      <c r="K359" s="13" t="s">
        <v>303</v>
      </c>
      <c r="L359" s="13" t="s">
        <v>740</v>
      </c>
      <c r="M359" s="13" t="s">
        <v>188</v>
      </c>
      <c r="N359" s="13" t="s">
        <v>188</v>
      </c>
      <c r="O359" s="13" t="s">
        <v>190</v>
      </c>
      <c r="P359" s="13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>
      <c r="A360" s="12">
        <v>9.0</v>
      </c>
      <c r="B360" s="13" t="s">
        <v>296</v>
      </c>
      <c r="C360" s="13" t="s">
        <v>533</v>
      </c>
      <c r="I360" s="10" t="s">
        <v>608</v>
      </c>
      <c r="J360" s="13" t="s">
        <v>905</v>
      </c>
      <c r="K360" s="13" t="s">
        <v>303</v>
      </c>
      <c r="L360" s="13" t="s">
        <v>740</v>
      </c>
      <c r="M360" s="13" t="s">
        <v>188</v>
      </c>
      <c r="N360" s="13" t="s">
        <v>188</v>
      </c>
      <c r="O360" s="13" t="s">
        <v>190</v>
      </c>
      <c r="P360" s="13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>
      <c r="A361" s="12">
        <v>9.0</v>
      </c>
      <c r="B361" s="13" t="s">
        <v>296</v>
      </c>
      <c r="C361" s="13" t="s">
        <v>533</v>
      </c>
      <c r="I361" s="10" t="s">
        <v>73</v>
      </c>
      <c r="J361" s="13" t="s">
        <v>900</v>
      </c>
      <c r="K361" s="13" t="s">
        <v>303</v>
      </c>
      <c r="L361" s="13" t="s">
        <v>912</v>
      </c>
      <c r="M361" s="13" t="s">
        <v>188</v>
      </c>
      <c r="N361" s="13" t="s">
        <v>188</v>
      </c>
      <c r="O361" s="13" t="s">
        <v>190</v>
      </c>
      <c r="P361" s="13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>
      <c r="A362" s="12">
        <v>9.0</v>
      </c>
      <c r="B362" s="13" t="s">
        <v>296</v>
      </c>
      <c r="C362" s="13" t="s">
        <v>533</v>
      </c>
      <c r="I362" s="10" t="s">
        <v>741</v>
      </c>
      <c r="J362" s="13" t="s">
        <v>903</v>
      </c>
      <c r="K362" s="13" t="s">
        <v>303</v>
      </c>
      <c r="L362" s="13" t="s">
        <v>738</v>
      </c>
      <c r="M362" s="13" t="s">
        <v>188</v>
      </c>
      <c r="N362" s="13" t="s">
        <v>188</v>
      </c>
      <c r="O362" s="13" t="s">
        <v>190</v>
      </c>
      <c r="P362" s="13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>
      <c r="A363" s="12">
        <v>9.0</v>
      </c>
      <c r="B363" s="13" t="s">
        <v>296</v>
      </c>
      <c r="C363" s="13" t="s">
        <v>533</v>
      </c>
      <c r="I363" s="10" t="s">
        <v>742</v>
      </c>
      <c r="J363" s="13" t="s">
        <v>905</v>
      </c>
      <c r="K363" s="13" t="s">
        <v>303</v>
      </c>
      <c r="L363" s="13" t="s">
        <v>738</v>
      </c>
      <c r="M363" s="13" t="s">
        <v>188</v>
      </c>
      <c r="N363" s="13" t="s">
        <v>188</v>
      </c>
      <c r="O363" s="13" t="s">
        <v>190</v>
      </c>
      <c r="P363" s="13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>
      <c r="A364" s="12">
        <v>9.0</v>
      </c>
      <c r="B364" s="13" t="s">
        <v>296</v>
      </c>
      <c r="C364" s="13" t="s">
        <v>533</v>
      </c>
      <c r="I364" s="10" t="s">
        <v>743</v>
      </c>
      <c r="J364" s="13" t="s">
        <v>900</v>
      </c>
      <c r="K364" s="13" t="s">
        <v>303</v>
      </c>
      <c r="L364" s="13" t="s">
        <v>738</v>
      </c>
      <c r="M364" s="13" t="s">
        <v>188</v>
      </c>
      <c r="N364" s="13" t="s">
        <v>188</v>
      </c>
      <c r="O364" s="13" t="s">
        <v>190</v>
      </c>
      <c r="P364" s="13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>
      <c r="A365" s="12">
        <v>9.0</v>
      </c>
      <c r="B365" s="13" t="s">
        <v>296</v>
      </c>
      <c r="C365" s="13" t="s">
        <v>533</v>
      </c>
      <c r="I365" s="10" t="s">
        <v>744</v>
      </c>
      <c r="J365" s="13" t="s">
        <v>903</v>
      </c>
      <c r="K365" s="13" t="s">
        <v>303</v>
      </c>
      <c r="L365" s="13" t="s">
        <v>738</v>
      </c>
      <c r="M365" s="13" t="s">
        <v>188</v>
      </c>
      <c r="N365" s="13" t="s">
        <v>188</v>
      </c>
      <c r="O365" s="13" t="s">
        <v>190</v>
      </c>
      <c r="P365" s="13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>
      <c r="A366" s="12">
        <v>9.0</v>
      </c>
      <c r="B366" s="13" t="s">
        <v>296</v>
      </c>
      <c r="C366" s="13" t="s">
        <v>533</v>
      </c>
      <c r="I366" s="10" t="s">
        <v>745</v>
      </c>
      <c r="J366" s="13" t="s">
        <v>905</v>
      </c>
      <c r="K366" s="13" t="s">
        <v>303</v>
      </c>
      <c r="L366" s="13" t="s">
        <v>738</v>
      </c>
      <c r="M366" s="13" t="s">
        <v>188</v>
      </c>
      <c r="N366" s="13" t="s">
        <v>188</v>
      </c>
      <c r="O366" s="13" t="s">
        <v>190</v>
      </c>
      <c r="P366" s="13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>
      <c r="A367" s="12">
        <v>9.0</v>
      </c>
      <c r="B367" s="13" t="s">
        <v>296</v>
      </c>
      <c r="C367" s="13" t="s">
        <v>533</v>
      </c>
      <c r="I367" s="10" t="s">
        <v>594</v>
      </c>
      <c r="J367" s="13" t="s">
        <v>900</v>
      </c>
      <c r="K367" s="13" t="s">
        <v>303</v>
      </c>
      <c r="L367" s="13" t="s">
        <v>738</v>
      </c>
      <c r="M367" s="13" t="s">
        <v>188</v>
      </c>
      <c r="N367" s="13" t="s">
        <v>188</v>
      </c>
      <c r="O367" s="13" t="s">
        <v>190</v>
      </c>
      <c r="P367" s="13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>
      <c r="A368" s="12">
        <v>9.0</v>
      </c>
      <c r="B368" s="13" t="s">
        <v>296</v>
      </c>
      <c r="C368" s="13" t="s">
        <v>533</v>
      </c>
      <c r="I368" s="10" t="s">
        <v>746</v>
      </c>
      <c r="J368" s="13" t="s">
        <v>903</v>
      </c>
      <c r="K368" s="13" t="s">
        <v>303</v>
      </c>
      <c r="L368" s="13" t="s">
        <v>738</v>
      </c>
      <c r="M368" s="13" t="s">
        <v>188</v>
      </c>
      <c r="N368" s="13" t="s">
        <v>188</v>
      </c>
      <c r="O368" s="13" t="s">
        <v>190</v>
      </c>
      <c r="P368" s="13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>
      <c r="A369" s="12">
        <v>9.0</v>
      </c>
      <c r="B369" s="13" t="s">
        <v>296</v>
      </c>
      <c r="C369" s="13" t="s">
        <v>533</v>
      </c>
      <c r="I369" s="10" t="s">
        <v>747</v>
      </c>
      <c r="J369" s="13" t="s">
        <v>905</v>
      </c>
      <c r="K369" s="13" t="s">
        <v>303</v>
      </c>
      <c r="L369" s="13" t="s">
        <v>738</v>
      </c>
      <c r="M369" s="13" t="s">
        <v>188</v>
      </c>
      <c r="N369" s="13" t="s">
        <v>188</v>
      </c>
      <c r="O369" s="13" t="s">
        <v>190</v>
      </c>
      <c r="P369" s="13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>
      <c r="A370" s="12">
        <v>9.0</v>
      </c>
      <c r="B370" s="13" t="s">
        <v>296</v>
      </c>
      <c r="C370" s="13" t="s">
        <v>533</v>
      </c>
      <c r="I370" s="10" t="s">
        <v>748</v>
      </c>
      <c r="J370" s="13" t="s">
        <v>900</v>
      </c>
      <c r="K370" s="13" t="s">
        <v>303</v>
      </c>
      <c r="L370" s="13" t="s">
        <v>738</v>
      </c>
      <c r="M370" s="13" t="s">
        <v>188</v>
      </c>
      <c r="N370" s="13" t="s">
        <v>188</v>
      </c>
      <c r="O370" s="13" t="s">
        <v>190</v>
      </c>
      <c r="P370" s="13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>
      <c r="A371" s="12">
        <v>9.0</v>
      </c>
      <c r="B371" s="13" t="s">
        <v>296</v>
      </c>
      <c r="C371" s="13" t="s">
        <v>533</v>
      </c>
      <c r="I371" s="10" t="s">
        <v>749</v>
      </c>
      <c r="J371" s="13" t="s">
        <v>903</v>
      </c>
      <c r="K371" s="13" t="s">
        <v>303</v>
      </c>
      <c r="L371" s="13" t="s">
        <v>738</v>
      </c>
      <c r="M371" s="13" t="s">
        <v>188</v>
      </c>
      <c r="N371" s="13" t="s">
        <v>188</v>
      </c>
      <c r="O371" s="13" t="s">
        <v>190</v>
      </c>
      <c r="P371" s="13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>
      <c r="A372" s="12">
        <v>9.0</v>
      </c>
      <c r="B372" s="13" t="s">
        <v>296</v>
      </c>
      <c r="C372" s="13" t="s">
        <v>533</v>
      </c>
      <c r="I372" s="10" t="s">
        <v>750</v>
      </c>
      <c r="J372" s="13" t="s">
        <v>905</v>
      </c>
      <c r="K372" s="13" t="s">
        <v>303</v>
      </c>
      <c r="L372" s="13" t="s">
        <v>738</v>
      </c>
      <c r="M372" s="13" t="s">
        <v>188</v>
      </c>
      <c r="N372" s="13" t="s">
        <v>188</v>
      </c>
      <c r="O372" s="13" t="s">
        <v>190</v>
      </c>
      <c r="P372" s="13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>
      <c r="A373" s="12">
        <v>9.0</v>
      </c>
      <c r="B373" s="13" t="s">
        <v>296</v>
      </c>
      <c r="C373" s="13" t="s">
        <v>533</v>
      </c>
      <c r="I373" s="10" t="s">
        <v>751</v>
      </c>
      <c r="J373" s="13" t="s">
        <v>900</v>
      </c>
      <c r="K373" s="13" t="s">
        <v>303</v>
      </c>
      <c r="L373" s="13" t="s">
        <v>738</v>
      </c>
      <c r="M373" s="13" t="s">
        <v>188</v>
      </c>
      <c r="N373" s="13" t="s">
        <v>188</v>
      </c>
      <c r="O373" s="13" t="s">
        <v>190</v>
      </c>
      <c r="P373" s="13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>
      <c r="A374" s="12">
        <v>9.0</v>
      </c>
      <c r="B374" s="13" t="s">
        <v>296</v>
      </c>
      <c r="C374" s="13" t="s">
        <v>533</v>
      </c>
      <c r="I374" s="10" t="s">
        <v>752</v>
      </c>
      <c r="J374" s="13" t="s">
        <v>903</v>
      </c>
      <c r="K374" s="13" t="s">
        <v>303</v>
      </c>
      <c r="L374" s="13" t="s">
        <v>738</v>
      </c>
      <c r="M374" s="13" t="s">
        <v>188</v>
      </c>
      <c r="N374" s="13" t="s">
        <v>188</v>
      </c>
      <c r="O374" s="13" t="s">
        <v>190</v>
      </c>
      <c r="P374" s="13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>
      <c r="A375" s="12">
        <v>9.0</v>
      </c>
      <c r="B375" s="13" t="s">
        <v>296</v>
      </c>
      <c r="C375" s="13" t="s">
        <v>533</v>
      </c>
      <c r="I375" s="10" t="s">
        <v>753</v>
      </c>
      <c r="J375" s="13" t="s">
        <v>905</v>
      </c>
      <c r="K375" s="13" t="s">
        <v>303</v>
      </c>
      <c r="L375" s="13" t="s">
        <v>738</v>
      </c>
      <c r="M375" s="13" t="s">
        <v>188</v>
      </c>
      <c r="N375" s="13" t="s">
        <v>188</v>
      </c>
      <c r="O375" s="13" t="s">
        <v>190</v>
      </c>
      <c r="P375" s="13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>
      <c r="A376" s="12">
        <v>9.0</v>
      </c>
      <c r="B376" s="13" t="s">
        <v>296</v>
      </c>
      <c r="C376" s="13" t="s">
        <v>533</v>
      </c>
      <c r="I376" s="10" t="s">
        <v>754</v>
      </c>
      <c r="J376" s="13" t="s">
        <v>900</v>
      </c>
      <c r="K376" s="13" t="s">
        <v>303</v>
      </c>
      <c r="L376" s="13" t="s">
        <v>738</v>
      </c>
      <c r="M376" s="13" t="s">
        <v>188</v>
      </c>
      <c r="N376" s="13" t="s">
        <v>188</v>
      </c>
      <c r="O376" s="13" t="s">
        <v>190</v>
      </c>
      <c r="P376" s="13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>
      <c r="A377" s="12">
        <v>9.0</v>
      </c>
      <c r="B377" s="7" t="s">
        <v>296</v>
      </c>
      <c r="C377" s="7" t="s">
        <v>533</v>
      </c>
      <c r="I377" s="13" t="s">
        <v>638</v>
      </c>
      <c r="J377" s="13" t="s">
        <v>903</v>
      </c>
      <c r="K377" s="13" t="s">
        <v>303</v>
      </c>
      <c r="L377" s="13" t="s">
        <v>916</v>
      </c>
      <c r="M377" s="6" t="s">
        <v>188</v>
      </c>
      <c r="N377" s="6" t="s">
        <v>188</v>
      </c>
      <c r="O377" s="6" t="s">
        <v>190</v>
      </c>
      <c r="P377" s="7" t="s">
        <v>333</v>
      </c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>
      <c r="A378" s="12">
        <v>9.0</v>
      </c>
      <c r="B378" s="7" t="s">
        <v>296</v>
      </c>
      <c r="C378" s="7" t="s">
        <v>533</v>
      </c>
      <c r="I378" s="13" t="s">
        <v>641</v>
      </c>
      <c r="J378" s="13" t="s">
        <v>905</v>
      </c>
      <c r="K378" s="13" t="s">
        <v>303</v>
      </c>
      <c r="L378" s="13" t="s">
        <v>916</v>
      </c>
      <c r="M378" s="6" t="s">
        <v>188</v>
      </c>
      <c r="N378" s="6" t="s">
        <v>188</v>
      </c>
      <c r="O378" s="6" t="s">
        <v>190</v>
      </c>
      <c r="P378" s="7" t="s">
        <v>333</v>
      </c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>
      <c r="A379" s="12">
        <v>9.0</v>
      </c>
      <c r="B379" s="7" t="s">
        <v>296</v>
      </c>
      <c r="C379" s="7" t="s">
        <v>533</v>
      </c>
      <c r="I379" s="13" t="s">
        <v>668</v>
      </c>
      <c r="J379" s="13" t="s">
        <v>900</v>
      </c>
      <c r="K379" s="13" t="s">
        <v>303</v>
      </c>
      <c r="L379" s="13" t="s">
        <v>919</v>
      </c>
      <c r="M379" s="6" t="s">
        <v>188</v>
      </c>
      <c r="N379" s="6" t="s">
        <v>188</v>
      </c>
      <c r="O379" s="6" t="s">
        <v>190</v>
      </c>
      <c r="P379" s="7" t="s">
        <v>333</v>
      </c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>
      <c r="A380" s="12">
        <v>9.0</v>
      </c>
      <c r="B380" s="7" t="s">
        <v>296</v>
      </c>
      <c r="C380" s="7" t="s">
        <v>533</v>
      </c>
      <c r="I380" s="13" t="s">
        <v>658</v>
      </c>
      <c r="J380" s="13" t="s">
        <v>903</v>
      </c>
      <c r="K380" s="13" t="s">
        <v>303</v>
      </c>
      <c r="L380" s="13" t="s">
        <v>916</v>
      </c>
      <c r="M380" s="6" t="s">
        <v>188</v>
      </c>
      <c r="N380" s="6" t="s">
        <v>188</v>
      </c>
      <c r="O380" s="6" t="s">
        <v>190</v>
      </c>
      <c r="P380" s="7" t="s">
        <v>333</v>
      </c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>
      <c r="A381" s="12">
        <v>9.0</v>
      </c>
      <c r="B381" s="7" t="s">
        <v>296</v>
      </c>
      <c r="C381" s="7" t="s">
        <v>533</v>
      </c>
      <c r="I381" s="13" t="s">
        <v>662</v>
      </c>
      <c r="J381" s="13" t="s">
        <v>905</v>
      </c>
      <c r="K381" s="13" t="s">
        <v>303</v>
      </c>
      <c r="L381" s="13" t="s">
        <v>916</v>
      </c>
      <c r="M381" s="6" t="s">
        <v>188</v>
      </c>
      <c r="N381" s="6" t="s">
        <v>188</v>
      </c>
      <c r="O381" s="6" t="s">
        <v>190</v>
      </c>
      <c r="P381" s="7" t="s">
        <v>333</v>
      </c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>
      <c r="A382" s="12">
        <v>10.0</v>
      </c>
      <c r="B382" s="13" t="s">
        <v>306</v>
      </c>
      <c r="C382" s="13" t="s">
        <v>920</v>
      </c>
      <c r="D382" s="14">
        <f>IF(COUNTIF($B$2:$B382,$B382)&gt;1,"",COUNTIF($B$2:$B$3400,$B382))</f>
        <v>30</v>
      </c>
      <c r="E382" s="14">
        <f>IF(COUNTIF($B$2:$B382,$B382)&gt;1,"",COUNTIFS($B$2:$B$3400,$B382,$K$2:$K$3400,"PHÙ HỢP CAO"))</f>
        <v>3</v>
      </c>
      <c r="F382" s="14">
        <f>IF(COUNTIF($B$2:$B382,$B382)&gt;1,"",COUNTIFS($B$2:$B$3400,$B382,$K$2:$K$3400,"CÓ THỂ ĐI"))</f>
        <v>2</v>
      </c>
      <c r="G382" s="14">
        <f>IF(COUNTIF($B$2:$B382,$B382)&gt;1,"",COUNTIFS($B$2:$B$3400,$B382,$K$2:$K$3400,"CẦN SOÁT"))</f>
        <v>25</v>
      </c>
      <c r="H382" s="15" t="str">
        <f>IFERROR(__xludf.DUMMYFUNCTION("IF(COUNTIF($B$2:$B382,$B382)&gt;1,"""",IFERROR(TEXTJOIN(CHAR(10),TRUE,BYROW(QUERY({$B$2:$B$3400,$J$2:$J$3400},""select Col2, count(Col2) where Col1 = '""&amp;$B382&amp;""' group by Col2 order by count(Col2) desc label count(Col2) ''"",0),LAMBDA(r,INDEX(r,1,1)&amp;"" – "&amp;"""&amp;INDEX(r,1,2)&amp;"" link""))),""""))"),"cách nạp thẻ viettel – 8 link
nạp thẻ viettel – 8 link
cách nạp tiền viettel – 7 link
cách nạp tiền điện thoại viettel – 7 link")</f>
        <v>cách nạp thẻ viettel – 8 link
nạp thẻ viettel – 8 link
cách nạp tiền viettel – 7 link
cách nạp tiền điện thoại viettel – 7 link</v>
      </c>
      <c r="I382" s="10" t="s">
        <v>923</v>
      </c>
      <c r="J382" s="13" t="s">
        <v>859</v>
      </c>
      <c r="K382" s="13" t="s">
        <v>184</v>
      </c>
      <c r="L382" s="13" t="s">
        <v>925</v>
      </c>
      <c r="M382" s="13" t="s">
        <v>188</v>
      </c>
      <c r="N382" s="13" t="s">
        <v>188</v>
      </c>
      <c r="O382" s="13" t="s">
        <v>190</v>
      </c>
      <c r="P382" s="13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>
      <c r="A383" s="12">
        <v>10.0</v>
      </c>
      <c r="B383" s="13" t="s">
        <v>306</v>
      </c>
      <c r="C383" s="13" t="s">
        <v>920</v>
      </c>
      <c r="I383" s="10" t="s">
        <v>926</v>
      </c>
      <c r="J383" s="13" t="s">
        <v>861</v>
      </c>
      <c r="K383" s="13" t="s">
        <v>184</v>
      </c>
      <c r="L383" s="13" t="s">
        <v>928</v>
      </c>
      <c r="M383" s="13" t="s">
        <v>188</v>
      </c>
      <c r="N383" s="13" t="s">
        <v>188</v>
      </c>
      <c r="O383" s="13" t="s">
        <v>190</v>
      </c>
      <c r="P383" s="13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>
      <c r="A384" s="12">
        <v>10.0</v>
      </c>
      <c r="B384" s="13" t="s">
        <v>306</v>
      </c>
      <c r="C384" s="13" t="s">
        <v>920</v>
      </c>
      <c r="I384" s="10" t="s">
        <v>929</v>
      </c>
      <c r="J384" s="13" t="s">
        <v>862</v>
      </c>
      <c r="K384" s="13" t="s">
        <v>184</v>
      </c>
      <c r="L384" s="13" t="s">
        <v>930</v>
      </c>
      <c r="M384" s="13" t="s">
        <v>188</v>
      </c>
      <c r="N384" s="13" t="s">
        <v>188</v>
      </c>
      <c r="O384" s="13" t="s">
        <v>190</v>
      </c>
      <c r="P384" s="13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>
      <c r="A385" s="12">
        <v>10.0</v>
      </c>
      <c r="B385" s="13" t="s">
        <v>306</v>
      </c>
      <c r="C385" s="13" t="s">
        <v>920</v>
      </c>
      <c r="I385" s="10" t="s">
        <v>931</v>
      </c>
      <c r="J385" s="13" t="s">
        <v>863</v>
      </c>
      <c r="K385" s="13" t="s">
        <v>283</v>
      </c>
      <c r="L385" s="13" t="s">
        <v>932</v>
      </c>
      <c r="M385" s="13" t="s">
        <v>188</v>
      </c>
      <c r="N385" s="13" t="s">
        <v>188</v>
      </c>
      <c r="O385" s="13" t="s">
        <v>190</v>
      </c>
      <c r="P385" s="13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>
      <c r="A386" s="12">
        <v>10.0</v>
      </c>
      <c r="B386" s="13" t="s">
        <v>306</v>
      </c>
      <c r="C386" s="13" t="s">
        <v>920</v>
      </c>
      <c r="I386" s="10" t="s">
        <v>933</v>
      </c>
      <c r="J386" s="13" t="s">
        <v>859</v>
      </c>
      <c r="K386" s="13" t="s">
        <v>283</v>
      </c>
      <c r="L386" s="13" t="s">
        <v>935</v>
      </c>
      <c r="M386" s="13" t="s">
        <v>188</v>
      </c>
      <c r="N386" s="13" t="s">
        <v>188</v>
      </c>
      <c r="O386" s="13" t="s">
        <v>190</v>
      </c>
      <c r="P386" s="13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>
      <c r="A387" s="12">
        <v>10.0</v>
      </c>
      <c r="B387" s="13" t="s">
        <v>306</v>
      </c>
      <c r="C387" s="13" t="s">
        <v>920</v>
      </c>
      <c r="I387" s="10" t="s">
        <v>937</v>
      </c>
      <c r="J387" s="13" t="s">
        <v>861</v>
      </c>
      <c r="K387" s="13" t="s">
        <v>303</v>
      </c>
      <c r="L387" s="13" t="s">
        <v>938</v>
      </c>
      <c r="M387" s="13" t="s">
        <v>188</v>
      </c>
      <c r="N387" s="13" t="s">
        <v>188</v>
      </c>
      <c r="O387" s="13" t="s">
        <v>190</v>
      </c>
      <c r="P387" s="13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>
      <c r="A388" s="12">
        <v>10.0</v>
      </c>
      <c r="B388" s="13" t="s">
        <v>306</v>
      </c>
      <c r="C388" s="13" t="s">
        <v>920</v>
      </c>
      <c r="I388" s="10" t="s">
        <v>939</v>
      </c>
      <c r="J388" s="13" t="s">
        <v>862</v>
      </c>
      <c r="K388" s="13" t="s">
        <v>303</v>
      </c>
      <c r="L388" s="13" t="s">
        <v>938</v>
      </c>
      <c r="M388" s="13" t="s">
        <v>188</v>
      </c>
      <c r="N388" s="13" t="s">
        <v>188</v>
      </c>
      <c r="O388" s="13" t="s">
        <v>190</v>
      </c>
      <c r="P388" s="13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>
      <c r="A389" s="12">
        <v>10.0</v>
      </c>
      <c r="B389" s="13" t="s">
        <v>306</v>
      </c>
      <c r="C389" s="13" t="s">
        <v>920</v>
      </c>
      <c r="I389" s="10" t="s">
        <v>789</v>
      </c>
      <c r="J389" s="13" t="s">
        <v>863</v>
      </c>
      <c r="K389" s="13" t="s">
        <v>303</v>
      </c>
      <c r="L389" s="13" t="s">
        <v>942</v>
      </c>
      <c r="M389" s="13" t="s">
        <v>188</v>
      </c>
      <c r="N389" s="13" t="s">
        <v>188</v>
      </c>
      <c r="O389" s="13" t="s">
        <v>190</v>
      </c>
      <c r="P389" s="13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>
      <c r="A390" s="12">
        <v>10.0</v>
      </c>
      <c r="B390" s="7" t="s">
        <v>306</v>
      </c>
      <c r="C390" s="7" t="s">
        <v>920</v>
      </c>
      <c r="I390" s="13" t="s">
        <v>943</v>
      </c>
      <c r="J390" s="13" t="s">
        <v>859</v>
      </c>
      <c r="K390" s="13" t="s">
        <v>303</v>
      </c>
      <c r="L390" s="13" t="s">
        <v>944</v>
      </c>
      <c r="M390" s="6" t="s">
        <v>188</v>
      </c>
      <c r="N390" s="6" t="s">
        <v>188</v>
      </c>
      <c r="O390" s="6" t="s">
        <v>190</v>
      </c>
      <c r="P390" s="7" t="s">
        <v>333</v>
      </c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>
      <c r="A391" s="12">
        <v>10.0</v>
      </c>
      <c r="B391" s="7" t="s">
        <v>306</v>
      </c>
      <c r="C391" s="7" t="s">
        <v>920</v>
      </c>
      <c r="I391" s="13" t="s">
        <v>945</v>
      </c>
      <c r="J391" s="13" t="s">
        <v>861</v>
      </c>
      <c r="K391" s="13" t="s">
        <v>303</v>
      </c>
      <c r="L391" s="13" t="s">
        <v>946</v>
      </c>
      <c r="M391" s="6" t="s">
        <v>188</v>
      </c>
      <c r="N391" s="6" t="s">
        <v>188</v>
      </c>
      <c r="O391" s="6" t="s">
        <v>190</v>
      </c>
      <c r="P391" s="7" t="s">
        <v>333</v>
      </c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>
      <c r="A392" s="12">
        <v>10.0</v>
      </c>
      <c r="B392" s="7" t="s">
        <v>306</v>
      </c>
      <c r="C392" s="7" t="s">
        <v>920</v>
      </c>
      <c r="I392" s="13" t="s">
        <v>947</v>
      </c>
      <c r="J392" s="13" t="s">
        <v>862</v>
      </c>
      <c r="K392" s="13" t="s">
        <v>303</v>
      </c>
      <c r="L392" s="13" t="s">
        <v>948</v>
      </c>
      <c r="M392" s="6" t="s">
        <v>188</v>
      </c>
      <c r="N392" s="6" t="s">
        <v>188</v>
      </c>
      <c r="O392" s="6" t="s">
        <v>190</v>
      </c>
      <c r="P392" s="7" t="s">
        <v>333</v>
      </c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>
      <c r="A393" s="12">
        <v>10.0</v>
      </c>
      <c r="B393" s="7" t="s">
        <v>306</v>
      </c>
      <c r="C393" s="7" t="s">
        <v>920</v>
      </c>
      <c r="I393" s="13" t="s">
        <v>949</v>
      </c>
      <c r="J393" s="13" t="s">
        <v>863</v>
      </c>
      <c r="K393" s="13" t="s">
        <v>303</v>
      </c>
      <c r="L393" s="13" t="s">
        <v>950</v>
      </c>
      <c r="M393" s="6" t="s">
        <v>188</v>
      </c>
      <c r="N393" s="6" t="s">
        <v>188</v>
      </c>
      <c r="O393" s="6" t="s">
        <v>190</v>
      </c>
      <c r="P393" s="7" t="s">
        <v>333</v>
      </c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>
      <c r="A394" s="12">
        <v>10.0</v>
      </c>
      <c r="B394" s="7" t="s">
        <v>306</v>
      </c>
      <c r="C394" s="7" t="s">
        <v>920</v>
      </c>
      <c r="I394" s="13" t="s">
        <v>953</v>
      </c>
      <c r="J394" s="13" t="s">
        <v>859</v>
      </c>
      <c r="K394" s="13" t="s">
        <v>303</v>
      </c>
      <c r="L394" s="13" t="s">
        <v>950</v>
      </c>
      <c r="M394" s="6" t="s">
        <v>188</v>
      </c>
      <c r="N394" s="6" t="s">
        <v>188</v>
      </c>
      <c r="O394" s="6" t="s">
        <v>190</v>
      </c>
      <c r="P394" s="7" t="s">
        <v>333</v>
      </c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>
      <c r="A395" s="12">
        <v>10.0</v>
      </c>
      <c r="B395" s="7" t="s">
        <v>306</v>
      </c>
      <c r="C395" s="7" t="s">
        <v>920</v>
      </c>
      <c r="I395" s="13" t="s">
        <v>955</v>
      </c>
      <c r="J395" s="13" t="s">
        <v>861</v>
      </c>
      <c r="K395" s="13" t="s">
        <v>303</v>
      </c>
      <c r="L395" s="13" t="s">
        <v>956</v>
      </c>
      <c r="M395" s="6" t="s">
        <v>188</v>
      </c>
      <c r="N395" s="6" t="s">
        <v>188</v>
      </c>
      <c r="O395" s="6" t="s">
        <v>190</v>
      </c>
      <c r="P395" s="7" t="s">
        <v>333</v>
      </c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>
      <c r="A396" s="12">
        <v>10.0</v>
      </c>
      <c r="B396" s="7" t="s">
        <v>306</v>
      </c>
      <c r="C396" s="7" t="s">
        <v>920</v>
      </c>
      <c r="I396" s="13" t="s">
        <v>957</v>
      </c>
      <c r="J396" s="13" t="s">
        <v>862</v>
      </c>
      <c r="K396" s="13" t="s">
        <v>303</v>
      </c>
      <c r="L396" s="13" t="s">
        <v>950</v>
      </c>
      <c r="M396" s="6" t="s">
        <v>188</v>
      </c>
      <c r="N396" s="6" t="s">
        <v>188</v>
      </c>
      <c r="O396" s="6" t="s">
        <v>190</v>
      </c>
      <c r="P396" s="7" t="s">
        <v>333</v>
      </c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>
      <c r="A397" s="12">
        <v>10.0</v>
      </c>
      <c r="B397" s="7" t="s">
        <v>306</v>
      </c>
      <c r="C397" s="7" t="s">
        <v>920</v>
      </c>
      <c r="I397" s="13" t="s">
        <v>958</v>
      </c>
      <c r="J397" s="13" t="s">
        <v>863</v>
      </c>
      <c r="K397" s="13" t="s">
        <v>303</v>
      </c>
      <c r="L397" s="13" t="s">
        <v>950</v>
      </c>
      <c r="M397" s="6" t="s">
        <v>188</v>
      </c>
      <c r="N397" s="6" t="s">
        <v>188</v>
      </c>
      <c r="O397" s="6" t="s">
        <v>190</v>
      </c>
      <c r="P397" s="7" t="s">
        <v>333</v>
      </c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>
      <c r="A398" s="12">
        <v>10.0</v>
      </c>
      <c r="B398" s="7" t="s">
        <v>306</v>
      </c>
      <c r="C398" s="7" t="s">
        <v>920</v>
      </c>
      <c r="I398" s="13" t="s">
        <v>962</v>
      </c>
      <c r="J398" s="13" t="s">
        <v>859</v>
      </c>
      <c r="K398" s="13" t="s">
        <v>303</v>
      </c>
      <c r="L398" s="13" t="s">
        <v>963</v>
      </c>
      <c r="M398" s="6" t="s">
        <v>188</v>
      </c>
      <c r="N398" s="6" t="s">
        <v>188</v>
      </c>
      <c r="O398" s="6" t="s">
        <v>190</v>
      </c>
      <c r="P398" s="7" t="s">
        <v>333</v>
      </c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>
      <c r="A399" s="12">
        <v>10.0</v>
      </c>
      <c r="B399" s="7" t="s">
        <v>306</v>
      </c>
      <c r="C399" s="7" t="s">
        <v>920</v>
      </c>
      <c r="I399" s="13" t="s">
        <v>964</v>
      </c>
      <c r="J399" s="13" t="s">
        <v>861</v>
      </c>
      <c r="K399" s="13" t="s">
        <v>303</v>
      </c>
      <c r="L399" s="13" t="s">
        <v>965</v>
      </c>
      <c r="M399" s="6" t="s">
        <v>188</v>
      </c>
      <c r="N399" s="6" t="s">
        <v>188</v>
      </c>
      <c r="O399" s="6" t="s">
        <v>190</v>
      </c>
      <c r="P399" s="7" t="s">
        <v>333</v>
      </c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>
      <c r="A400" s="12">
        <v>10.0</v>
      </c>
      <c r="B400" s="7" t="s">
        <v>306</v>
      </c>
      <c r="C400" s="7" t="s">
        <v>920</v>
      </c>
      <c r="I400" s="13" t="s">
        <v>407</v>
      </c>
      <c r="J400" s="13" t="s">
        <v>862</v>
      </c>
      <c r="K400" s="13" t="s">
        <v>303</v>
      </c>
      <c r="L400" s="13" t="s">
        <v>966</v>
      </c>
      <c r="M400" s="6" t="s">
        <v>188</v>
      </c>
      <c r="N400" s="6" t="s">
        <v>188</v>
      </c>
      <c r="O400" s="6" t="s">
        <v>190</v>
      </c>
      <c r="P400" s="7" t="s">
        <v>333</v>
      </c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>
      <c r="A401" s="12">
        <v>10.0</v>
      </c>
      <c r="B401" s="7" t="s">
        <v>306</v>
      </c>
      <c r="C401" s="7" t="s">
        <v>920</v>
      </c>
      <c r="I401" s="13" t="s">
        <v>967</v>
      </c>
      <c r="J401" s="13" t="s">
        <v>863</v>
      </c>
      <c r="K401" s="13" t="s">
        <v>303</v>
      </c>
      <c r="L401" s="13" t="s">
        <v>968</v>
      </c>
      <c r="M401" s="6" t="s">
        <v>188</v>
      </c>
      <c r="N401" s="6" t="s">
        <v>188</v>
      </c>
      <c r="O401" s="6" t="s">
        <v>190</v>
      </c>
      <c r="P401" s="7" t="s">
        <v>333</v>
      </c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>
      <c r="A402" s="12">
        <v>10.0</v>
      </c>
      <c r="B402" s="7" t="s">
        <v>306</v>
      </c>
      <c r="C402" s="7" t="s">
        <v>920</v>
      </c>
      <c r="I402" s="13" t="s">
        <v>970</v>
      </c>
      <c r="J402" s="13" t="s">
        <v>859</v>
      </c>
      <c r="K402" s="13" t="s">
        <v>303</v>
      </c>
      <c r="L402" s="13" t="s">
        <v>971</v>
      </c>
      <c r="M402" s="6" t="s">
        <v>188</v>
      </c>
      <c r="N402" s="6" t="s">
        <v>188</v>
      </c>
      <c r="O402" s="6" t="s">
        <v>190</v>
      </c>
      <c r="P402" s="7" t="s">
        <v>333</v>
      </c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>
      <c r="A403" s="12">
        <v>10.0</v>
      </c>
      <c r="B403" s="7" t="s">
        <v>306</v>
      </c>
      <c r="C403" s="7" t="s">
        <v>920</v>
      </c>
      <c r="I403" s="13" t="s">
        <v>972</v>
      </c>
      <c r="J403" s="13" t="s">
        <v>861</v>
      </c>
      <c r="K403" s="13" t="s">
        <v>303</v>
      </c>
      <c r="L403" s="13" t="s">
        <v>973</v>
      </c>
      <c r="M403" s="6" t="s">
        <v>188</v>
      </c>
      <c r="N403" s="6" t="s">
        <v>188</v>
      </c>
      <c r="O403" s="6" t="s">
        <v>190</v>
      </c>
      <c r="P403" s="7" t="s">
        <v>333</v>
      </c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>
      <c r="A404" s="12">
        <v>10.0</v>
      </c>
      <c r="B404" s="7" t="s">
        <v>306</v>
      </c>
      <c r="C404" s="7" t="s">
        <v>920</v>
      </c>
      <c r="I404" s="13" t="s">
        <v>974</v>
      </c>
      <c r="J404" s="13" t="s">
        <v>862</v>
      </c>
      <c r="K404" s="13" t="s">
        <v>303</v>
      </c>
      <c r="L404" s="13" t="s">
        <v>975</v>
      </c>
      <c r="M404" s="6" t="s">
        <v>188</v>
      </c>
      <c r="N404" s="6" t="s">
        <v>188</v>
      </c>
      <c r="O404" s="6" t="s">
        <v>190</v>
      </c>
      <c r="P404" s="7" t="s">
        <v>333</v>
      </c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>
      <c r="A405" s="12">
        <v>10.0</v>
      </c>
      <c r="B405" s="7" t="s">
        <v>306</v>
      </c>
      <c r="C405" s="7" t="s">
        <v>920</v>
      </c>
      <c r="I405" s="13" t="s">
        <v>976</v>
      </c>
      <c r="J405" s="13" t="s">
        <v>863</v>
      </c>
      <c r="K405" s="13" t="s">
        <v>303</v>
      </c>
      <c r="L405" s="13" t="s">
        <v>977</v>
      </c>
      <c r="M405" s="6" t="s">
        <v>188</v>
      </c>
      <c r="N405" s="6" t="s">
        <v>188</v>
      </c>
      <c r="O405" s="6" t="s">
        <v>190</v>
      </c>
      <c r="P405" s="7" t="s">
        <v>333</v>
      </c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>
      <c r="A406" s="12">
        <v>10.0</v>
      </c>
      <c r="B406" s="7" t="s">
        <v>306</v>
      </c>
      <c r="C406" s="7" t="s">
        <v>920</v>
      </c>
      <c r="I406" s="13" t="s">
        <v>979</v>
      </c>
      <c r="J406" s="13" t="s">
        <v>859</v>
      </c>
      <c r="K406" s="13" t="s">
        <v>303</v>
      </c>
      <c r="L406" s="13" t="s">
        <v>980</v>
      </c>
      <c r="M406" s="6" t="s">
        <v>188</v>
      </c>
      <c r="N406" s="6" t="s">
        <v>188</v>
      </c>
      <c r="O406" s="6" t="s">
        <v>190</v>
      </c>
      <c r="P406" s="7" t="s">
        <v>333</v>
      </c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>
      <c r="A407" s="12">
        <v>10.0</v>
      </c>
      <c r="B407" s="7" t="s">
        <v>306</v>
      </c>
      <c r="C407" s="7" t="s">
        <v>920</v>
      </c>
      <c r="I407" s="13" t="s">
        <v>334</v>
      </c>
      <c r="J407" s="13" t="s">
        <v>861</v>
      </c>
      <c r="K407" s="13" t="s">
        <v>303</v>
      </c>
      <c r="L407" s="13" t="s">
        <v>981</v>
      </c>
      <c r="M407" s="6" t="s">
        <v>188</v>
      </c>
      <c r="N407" s="6" t="s">
        <v>188</v>
      </c>
      <c r="O407" s="6" t="s">
        <v>190</v>
      </c>
      <c r="P407" s="7" t="s">
        <v>333</v>
      </c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>
      <c r="A408" s="12">
        <v>10.0</v>
      </c>
      <c r="B408" s="7" t="s">
        <v>306</v>
      </c>
      <c r="C408" s="7" t="s">
        <v>920</v>
      </c>
      <c r="I408" s="13" t="s">
        <v>982</v>
      </c>
      <c r="J408" s="13" t="s">
        <v>862</v>
      </c>
      <c r="K408" s="13" t="s">
        <v>303</v>
      </c>
      <c r="L408" s="13" t="s">
        <v>983</v>
      </c>
      <c r="M408" s="6" t="s">
        <v>188</v>
      </c>
      <c r="N408" s="6" t="s">
        <v>188</v>
      </c>
      <c r="O408" s="6" t="s">
        <v>190</v>
      </c>
      <c r="P408" s="7" t="s">
        <v>333</v>
      </c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>
      <c r="A409" s="12">
        <v>10.0</v>
      </c>
      <c r="B409" s="7" t="s">
        <v>306</v>
      </c>
      <c r="C409" s="7" t="s">
        <v>920</v>
      </c>
      <c r="I409" s="13" t="s">
        <v>984</v>
      </c>
      <c r="J409" s="13" t="s">
        <v>863</v>
      </c>
      <c r="K409" s="13" t="s">
        <v>303</v>
      </c>
      <c r="L409" s="13" t="s">
        <v>985</v>
      </c>
      <c r="M409" s="6" t="s">
        <v>188</v>
      </c>
      <c r="N409" s="6" t="s">
        <v>188</v>
      </c>
      <c r="O409" s="6" t="s">
        <v>190</v>
      </c>
      <c r="P409" s="7" t="s">
        <v>333</v>
      </c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>
      <c r="A410" s="12">
        <v>10.0</v>
      </c>
      <c r="B410" s="7" t="s">
        <v>306</v>
      </c>
      <c r="C410" s="7" t="s">
        <v>920</v>
      </c>
      <c r="I410" s="13" t="s">
        <v>986</v>
      </c>
      <c r="J410" s="13" t="s">
        <v>859</v>
      </c>
      <c r="K410" s="13" t="s">
        <v>303</v>
      </c>
      <c r="L410" s="13" t="s">
        <v>987</v>
      </c>
      <c r="M410" s="6" t="s">
        <v>188</v>
      </c>
      <c r="N410" s="6" t="s">
        <v>188</v>
      </c>
      <c r="O410" s="6" t="s">
        <v>190</v>
      </c>
      <c r="P410" s="7" t="s">
        <v>333</v>
      </c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>
      <c r="A411" s="12">
        <v>10.0</v>
      </c>
      <c r="B411" s="7" t="s">
        <v>306</v>
      </c>
      <c r="C411" s="7" t="s">
        <v>920</v>
      </c>
      <c r="I411" s="13" t="s">
        <v>989</v>
      </c>
      <c r="J411" s="13" t="s">
        <v>861</v>
      </c>
      <c r="K411" s="13" t="s">
        <v>303</v>
      </c>
      <c r="L411" s="13" t="s">
        <v>981</v>
      </c>
      <c r="M411" s="6" t="s">
        <v>188</v>
      </c>
      <c r="N411" s="6" t="s">
        <v>188</v>
      </c>
      <c r="O411" s="6" t="s">
        <v>190</v>
      </c>
      <c r="P411" s="7" t="s">
        <v>333</v>
      </c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>
      <c r="A412" s="12">
        <v>11.0</v>
      </c>
      <c r="B412" s="13" t="s">
        <v>316</v>
      </c>
      <c r="C412" s="13" t="s">
        <v>920</v>
      </c>
      <c r="D412" s="14">
        <f>IF(COUNTIF($B$2:$B412,$B412)&gt;1,"",COUNTIF($B$2:$B$3400,$B412))</f>
        <v>50</v>
      </c>
      <c r="E412" s="14">
        <f>IF(COUNTIF($B$2:$B412,$B412)&gt;1,"",COUNTIFS($B$2:$B$3400,$B412,$K$2:$K$3400,"PHÙ HỢP CAO"))</f>
        <v>3</v>
      </c>
      <c r="F412" s="14">
        <f>IF(COUNTIF($B$2:$B412,$B412)&gt;1,"",COUNTIFS($B$2:$B$3400,$B412,$K$2:$K$3400,"CÓ THỂ ĐI"))</f>
        <v>2</v>
      </c>
      <c r="G412" s="14">
        <f>IF(COUNTIF($B$2:$B412,$B412)&gt;1,"",COUNTIFS($B$2:$B$3400,$B412,$K$2:$K$3400,"CẦN SOÁT"))</f>
        <v>45</v>
      </c>
      <c r="H412" s="15" t="str">
        <f>IFERROR(__xludf.DUMMYFUNCTION("IF(COUNTIF($B$2:$B412,$B412)&gt;1,"""",IFERROR(TEXTJOIN(CHAR(10),TRUE,BYROW(QUERY({$B$2:$B$3400,$J$2:$J$3400},""select Col2, count(Col2) where Col1 = '""&amp;$B412&amp;""' group by Col2 order by count(Col2) desc label count(Col2) ''"",0),LAMBDA(r,INDEX(r,1,1)&amp;"" – "&amp;"""&amp;INDEX(r,1,2)&amp;"" link""))),""""))"),"giá điện sinh hoạt – 25 link
giá điện sinh hoạt mới nhất – 25 link")</f>
        <v>giá điện sinh hoạt – 25 link
giá điện sinh hoạt mới nhất – 25 link</v>
      </c>
      <c r="I412" s="10" t="s">
        <v>994</v>
      </c>
      <c r="J412" s="13" t="s">
        <v>847</v>
      </c>
      <c r="K412" s="13" t="s">
        <v>184</v>
      </c>
      <c r="L412" s="13" t="s">
        <v>996</v>
      </c>
      <c r="M412" s="13" t="s">
        <v>188</v>
      </c>
      <c r="N412" s="13" t="s">
        <v>188</v>
      </c>
      <c r="O412" s="13" t="s">
        <v>190</v>
      </c>
      <c r="P412" s="13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>
      <c r="A413" s="12">
        <v>11.0</v>
      </c>
      <c r="B413" s="13" t="s">
        <v>316</v>
      </c>
      <c r="C413" s="13" t="s">
        <v>920</v>
      </c>
      <c r="I413" s="10" t="s">
        <v>791</v>
      </c>
      <c r="J413" s="13" t="s">
        <v>848</v>
      </c>
      <c r="K413" s="13" t="s">
        <v>184</v>
      </c>
      <c r="L413" s="13" t="s">
        <v>997</v>
      </c>
      <c r="M413" s="13" t="s">
        <v>188</v>
      </c>
      <c r="N413" s="13" t="s">
        <v>188</v>
      </c>
      <c r="O413" s="13" t="s">
        <v>190</v>
      </c>
      <c r="P413" s="13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>
      <c r="A414" s="12">
        <v>11.0</v>
      </c>
      <c r="B414" s="13" t="s">
        <v>316</v>
      </c>
      <c r="C414" s="13" t="s">
        <v>920</v>
      </c>
      <c r="I414" s="10" t="s">
        <v>957</v>
      </c>
      <c r="J414" s="13" t="s">
        <v>847</v>
      </c>
      <c r="K414" s="13" t="s">
        <v>184</v>
      </c>
      <c r="L414" s="13" t="s">
        <v>999</v>
      </c>
      <c r="M414" s="13" t="s">
        <v>188</v>
      </c>
      <c r="N414" s="13" t="s">
        <v>188</v>
      </c>
      <c r="O414" s="13" t="s">
        <v>190</v>
      </c>
      <c r="P414" s="13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>
      <c r="A415" s="12">
        <v>11.0</v>
      </c>
      <c r="B415" s="13" t="s">
        <v>316</v>
      </c>
      <c r="C415" s="13" t="s">
        <v>920</v>
      </c>
      <c r="I415" s="10" t="s">
        <v>789</v>
      </c>
      <c r="J415" s="13" t="s">
        <v>848</v>
      </c>
      <c r="K415" s="13" t="s">
        <v>283</v>
      </c>
      <c r="L415" s="13" t="s">
        <v>1000</v>
      </c>
      <c r="M415" s="13" t="s">
        <v>188</v>
      </c>
      <c r="N415" s="13" t="s">
        <v>188</v>
      </c>
      <c r="O415" s="13" t="s">
        <v>190</v>
      </c>
      <c r="P415" s="13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>
      <c r="A416" s="12">
        <v>11.0</v>
      </c>
      <c r="B416" s="13" t="s">
        <v>316</v>
      </c>
      <c r="C416" s="13" t="s">
        <v>920</v>
      </c>
      <c r="I416" s="10" t="s">
        <v>1001</v>
      </c>
      <c r="J416" s="13" t="s">
        <v>847</v>
      </c>
      <c r="K416" s="13" t="s">
        <v>283</v>
      </c>
      <c r="L416" s="13" t="s">
        <v>1002</v>
      </c>
      <c r="M416" s="13" t="s">
        <v>188</v>
      </c>
      <c r="N416" s="13" t="s">
        <v>188</v>
      </c>
      <c r="O416" s="13" t="s">
        <v>190</v>
      </c>
      <c r="P416" s="13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>
      <c r="A417" s="12">
        <v>11.0</v>
      </c>
      <c r="B417" s="13" t="s">
        <v>316</v>
      </c>
      <c r="C417" s="13" t="s">
        <v>920</v>
      </c>
      <c r="I417" s="10" t="s">
        <v>680</v>
      </c>
      <c r="J417" s="13" t="s">
        <v>848</v>
      </c>
      <c r="K417" s="13" t="s">
        <v>303</v>
      </c>
      <c r="L417" s="13" t="s">
        <v>1003</v>
      </c>
      <c r="M417" s="13" t="s">
        <v>188</v>
      </c>
      <c r="N417" s="13" t="s">
        <v>188</v>
      </c>
      <c r="O417" s="13" t="s">
        <v>190</v>
      </c>
      <c r="P417" s="13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>
      <c r="A418" s="12">
        <v>11.0</v>
      </c>
      <c r="B418" s="13" t="s">
        <v>316</v>
      </c>
      <c r="C418" s="13" t="s">
        <v>920</v>
      </c>
      <c r="I418" s="10" t="s">
        <v>694</v>
      </c>
      <c r="J418" s="13" t="s">
        <v>847</v>
      </c>
      <c r="K418" s="13" t="s">
        <v>303</v>
      </c>
      <c r="L418" s="13" t="s">
        <v>1005</v>
      </c>
      <c r="M418" s="13" t="s">
        <v>188</v>
      </c>
      <c r="N418" s="13" t="s">
        <v>188</v>
      </c>
      <c r="O418" s="13" t="s">
        <v>190</v>
      </c>
      <c r="P418" s="13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>
      <c r="A419" s="12">
        <v>11.0</v>
      </c>
      <c r="B419" s="13" t="s">
        <v>316</v>
      </c>
      <c r="C419" s="13" t="s">
        <v>920</v>
      </c>
      <c r="I419" s="10" t="s">
        <v>630</v>
      </c>
      <c r="J419" s="13" t="s">
        <v>848</v>
      </c>
      <c r="K419" s="13" t="s">
        <v>303</v>
      </c>
      <c r="L419" s="13" t="s">
        <v>1003</v>
      </c>
      <c r="M419" s="13" t="s">
        <v>188</v>
      </c>
      <c r="N419" s="13" t="s">
        <v>188</v>
      </c>
      <c r="O419" s="13" t="s">
        <v>190</v>
      </c>
      <c r="P419" s="13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>
      <c r="A420" s="12">
        <v>11.0</v>
      </c>
      <c r="B420" s="13" t="s">
        <v>316</v>
      </c>
      <c r="C420" s="13" t="s">
        <v>920</v>
      </c>
      <c r="I420" s="10" t="s">
        <v>665</v>
      </c>
      <c r="J420" s="13" t="s">
        <v>847</v>
      </c>
      <c r="K420" s="13" t="s">
        <v>303</v>
      </c>
      <c r="L420" s="13" t="s">
        <v>1005</v>
      </c>
      <c r="M420" s="13" t="s">
        <v>188</v>
      </c>
      <c r="N420" s="13" t="s">
        <v>188</v>
      </c>
      <c r="O420" s="13" t="s">
        <v>190</v>
      </c>
      <c r="P420" s="13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>
      <c r="A421" s="12">
        <v>11.0</v>
      </c>
      <c r="B421" s="13" t="s">
        <v>316</v>
      </c>
      <c r="C421" s="13" t="s">
        <v>920</v>
      </c>
      <c r="I421" s="10" t="s">
        <v>632</v>
      </c>
      <c r="J421" s="13" t="s">
        <v>848</v>
      </c>
      <c r="K421" s="13" t="s">
        <v>303</v>
      </c>
      <c r="L421" s="13" t="s">
        <v>1003</v>
      </c>
      <c r="M421" s="13" t="s">
        <v>188</v>
      </c>
      <c r="N421" s="13" t="s">
        <v>188</v>
      </c>
      <c r="O421" s="13" t="s">
        <v>190</v>
      </c>
      <c r="P421" s="13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>
      <c r="A422" s="12">
        <v>11.0</v>
      </c>
      <c r="B422" s="13" t="s">
        <v>316</v>
      </c>
      <c r="C422" s="13" t="s">
        <v>920</v>
      </c>
      <c r="I422" s="10" t="s">
        <v>608</v>
      </c>
      <c r="J422" s="13" t="s">
        <v>847</v>
      </c>
      <c r="K422" s="13" t="s">
        <v>303</v>
      </c>
      <c r="L422" s="13" t="s">
        <v>1003</v>
      </c>
      <c r="M422" s="13" t="s">
        <v>188</v>
      </c>
      <c r="N422" s="13" t="s">
        <v>188</v>
      </c>
      <c r="O422" s="13" t="s">
        <v>190</v>
      </c>
      <c r="P422" s="13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>
      <c r="A423" s="12">
        <v>11.0</v>
      </c>
      <c r="B423" s="13" t="s">
        <v>316</v>
      </c>
      <c r="C423" s="13" t="s">
        <v>920</v>
      </c>
      <c r="I423" s="10" t="s">
        <v>667</v>
      </c>
      <c r="J423" s="13" t="s">
        <v>848</v>
      </c>
      <c r="K423" s="13" t="s">
        <v>303</v>
      </c>
      <c r="L423" s="13" t="s">
        <v>1005</v>
      </c>
      <c r="M423" s="13" t="s">
        <v>188</v>
      </c>
      <c r="N423" s="13" t="s">
        <v>188</v>
      </c>
      <c r="O423" s="13" t="s">
        <v>190</v>
      </c>
      <c r="P423" s="13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>
      <c r="A424" s="12">
        <v>11.0</v>
      </c>
      <c r="B424" s="13" t="s">
        <v>316</v>
      </c>
      <c r="C424" s="13" t="s">
        <v>920</v>
      </c>
      <c r="I424" s="10" t="s">
        <v>668</v>
      </c>
      <c r="J424" s="13" t="s">
        <v>847</v>
      </c>
      <c r="K424" s="13" t="s">
        <v>303</v>
      </c>
      <c r="L424" s="13" t="s">
        <v>1003</v>
      </c>
      <c r="M424" s="13" t="s">
        <v>188</v>
      </c>
      <c r="N424" s="13" t="s">
        <v>188</v>
      </c>
      <c r="O424" s="13" t="s">
        <v>190</v>
      </c>
      <c r="P424" s="13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>
      <c r="A425" s="12">
        <v>11.0</v>
      </c>
      <c r="B425" s="13" t="s">
        <v>316</v>
      </c>
      <c r="C425" s="13" t="s">
        <v>920</v>
      </c>
      <c r="I425" s="10" t="s">
        <v>579</v>
      </c>
      <c r="J425" s="13" t="s">
        <v>848</v>
      </c>
      <c r="K425" s="13" t="s">
        <v>303</v>
      </c>
      <c r="L425" s="13" t="s">
        <v>1007</v>
      </c>
      <c r="M425" s="13" t="s">
        <v>188</v>
      </c>
      <c r="N425" s="13" t="s">
        <v>188</v>
      </c>
      <c r="O425" s="13" t="s">
        <v>190</v>
      </c>
      <c r="P425" s="13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>
      <c r="A426" s="12">
        <v>11.0</v>
      </c>
      <c r="B426" s="13" t="s">
        <v>316</v>
      </c>
      <c r="C426" s="13" t="s">
        <v>920</v>
      </c>
      <c r="I426" s="10" t="s">
        <v>926</v>
      </c>
      <c r="J426" s="13" t="s">
        <v>847</v>
      </c>
      <c r="K426" s="13" t="s">
        <v>303</v>
      </c>
      <c r="L426" s="13" t="s">
        <v>1008</v>
      </c>
      <c r="M426" s="13" t="s">
        <v>188</v>
      </c>
      <c r="N426" s="13" t="s">
        <v>188</v>
      </c>
      <c r="O426" s="13" t="s">
        <v>190</v>
      </c>
      <c r="P426" s="13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>
      <c r="A427" s="12">
        <v>11.0</v>
      </c>
      <c r="B427" s="13" t="s">
        <v>316</v>
      </c>
      <c r="C427" s="13" t="s">
        <v>920</v>
      </c>
      <c r="I427" s="10" t="s">
        <v>792</v>
      </c>
      <c r="J427" s="13" t="s">
        <v>848</v>
      </c>
      <c r="K427" s="13" t="s">
        <v>303</v>
      </c>
      <c r="L427" s="13" t="s">
        <v>1008</v>
      </c>
      <c r="M427" s="13" t="s">
        <v>188</v>
      </c>
      <c r="N427" s="13" t="s">
        <v>188</v>
      </c>
      <c r="O427" s="13" t="s">
        <v>190</v>
      </c>
      <c r="P427" s="13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>
      <c r="A428" s="12">
        <v>11.0</v>
      </c>
      <c r="B428" s="13" t="s">
        <v>316</v>
      </c>
      <c r="C428" s="13" t="s">
        <v>920</v>
      </c>
      <c r="I428" s="10" t="s">
        <v>793</v>
      </c>
      <c r="J428" s="13" t="s">
        <v>847</v>
      </c>
      <c r="K428" s="13" t="s">
        <v>303</v>
      </c>
      <c r="L428" s="13" t="s">
        <v>1008</v>
      </c>
      <c r="M428" s="13" t="s">
        <v>188</v>
      </c>
      <c r="N428" s="13" t="s">
        <v>188</v>
      </c>
      <c r="O428" s="13" t="s">
        <v>190</v>
      </c>
      <c r="P428" s="13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>
      <c r="A429" s="12">
        <v>11.0</v>
      </c>
      <c r="B429" s="7" t="s">
        <v>316</v>
      </c>
      <c r="C429" s="7" t="s">
        <v>920</v>
      </c>
      <c r="I429" s="13" t="s">
        <v>943</v>
      </c>
      <c r="J429" s="13" t="s">
        <v>848</v>
      </c>
      <c r="K429" s="13" t="s">
        <v>303</v>
      </c>
      <c r="L429" s="13" t="s">
        <v>1010</v>
      </c>
      <c r="M429" s="6" t="s">
        <v>188</v>
      </c>
      <c r="N429" s="6" t="s">
        <v>188</v>
      </c>
      <c r="O429" s="6" t="s">
        <v>190</v>
      </c>
      <c r="P429" s="7" t="s">
        <v>333</v>
      </c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>
      <c r="A430" s="12">
        <v>11.0</v>
      </c>
      <c r="B430" s="7" t="s">
        <v>316</v>
      </c>
      <c r="C430" s="7" t="s">
        <v>920</v>
      </c>
      <c r="I430" s="13" t="s">
        <v>955</v>
      </c>
      <c r="J430" s="13" t="s">
        <v>847</v>
      </c>
      <c r="K430" s="13" t="s">
        <v>303</v>
      </c>
      <c r="L430" s="13" t="s">
        <v>956</v>
      </c>
      <c r="M430" s="6" t="s">
        <v>188</v>
      </c>
      <c r="N430" s="6" t="s">
        <v>188</v>
      </c>
      <c r="O430" s="6" t="s">
        <v>190</v>
      </c>
      <c r="P430" s="7" t="s">
        <v>333</v>
      </c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>
      <c r="A431" s="12">
        <v>11.0</v>
      </c>
      <c r="B431" s="7" t="s">
        <v>316</v>
      </c>
      <c r="C431" s="7" t="s">
        <v>920</v>
      </c>
      <c r="I431" s="13" t="s">
        <v>945</v>
      </c>
      <c r="J431" s="13" t="s">
        <v>848</v>
      </c>
      <c r="K431" s="13" t="s">
        <v>303</v>
      </c>
      <c r="L431" s="13" t="s">
        <v>1011</v>
      </c>
      <c r="M431" s="6" t="s">
        <v>188</v>
      </c>
      <c r="N431" s="6" t="s">
        <v>188</v>
      </c>
      <c r="O431" s="6" t="s">
        <v>190</v>
      </c>
      <c r="P431" s="7" t="s">
        <v>333</v>
      </c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>
      <c r="A432" s="12">
        <v>11.0</v>
      </c>
      <c r="B432" s="7" t="s">
        <v>316</v>
      </c>
      <c r="C432" s="7" t="s">
        <v>920</v>
      </c>
      <c r="I432" s="13" t="s">
        <v>788</v>
      </c>
      <c r="J432" s="13" t="s">
        <v>847</v>
      </c>
      <c r="K432" s="13" t="s">
        <v>303</v>
      </c>
      <c r="L432" s="13" t="s">
        <v>1013</v>
      </c>
      <c r="M432" s="6" t="s">
        <v>188</v>
      </c>
      <c r="N432" s="6" t="s">
        <v>188</v>
      </c>
      <c r="O432" s="6" t="s">
        <v>190</v>
      </c>
      <c r="P432" s="7" t="s">
        <v>333</v>
      </c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>
      <c r="A433" s="12">
        <v>11.0</v>
      </c>
      <c r="B433" s="7" t="s">
        <v>316</v>
      </c>
      <c r="C433" s="7" t="s">
        <v>920</v>
      </c>
      <c r="I433" s="13" t="s">
        <v>1014</v>
      </c>
      <c r="J433" s="13" t="s">
        <v>848</v>
      </c>
      <c r="K433" s="13" t="s">
        <v>303</v>
      </c>
      <c r="L433" s="13" t="s">
        <v>1015</v>
      </c>
      <c r="M433" s="6" t="s">
        <v>188</v>
      </c>
      <c r="N433" s="6" t="s">
        <v>188</v>
      </c>
      <c r="O433" s="6" t="s">
        <v>190</v>
      </c>
      <c r="P433" s="7" t="s">
        <v>333</v>
      </c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>
      <c r="A434" s="12">
        <v>11.0</v>
      </c>
      <c r="B434" s="7" t="s">
        <v>316</v>
      </c>
      <c r="C434" s="7" t="s">
        <v>920</v>
      </c>
      <c r="I434" s="13" t="s">
        <v>964</v>
      </c>
      <c r="J434" s="13" t="s">
        <v>847</v>
      </c>
      <c r="K434" s="13" t="s">
        <v>303</v>
      </c>
      <c r="L434" s="13" t="s">
        <v>965</v>
      </c>
      <c r="M434" s="6" t="s">
        <v>188</v>
      </c>
      <c r="N434" s="6" t="s">
        <v>188</v>
      </c>
      <c r="O434" s="6" t="s">
        <v>190</v>
      </c>
      <c r="P434" s="7" t="s">
        <v>333</v>
      </c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>
      <c r="A435" s="12">
        <v>11.0</v>
      </c>
      <c r="B435" s="7" t="s">
        <v>316</v>
      </c>
      <c r="C435" s="7" t="s">
        <v>920</v>
      </c>
      <c r="I435" s="13" t="s">
        <v>407</v>
      </c>
      <c r="J435" s="13" t="s">
        <v>848</v>
      </c>
      <c r="K435" s="13" t="s">
        <v>303</v>
      </c>
      <c r="L435" s="13" t="s">
        <v>966</v>
      </c>
      <c r="M435" s="6" t="s">
        <v>188</v>
      </c>
      <c r="N435" s="6" t="s">
        <v>188</v>
      </c>
      <c r="O435" s="6" t="s">
        <v>190</v>
      </c>
      <c r="P435" s="7" t="s">
        <v>333</v>
      </c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>
      <c r="A436" s="12">
        <v>11.0</v>
      </c>
      <c r="B436" s="7" t="s">
        <v>316</v>
      </c>
      <c r="C436" s="7" t="s">
        <v>920</v>
      </c>
      <c r="I436" s="13" t="s">
        <v>967</v>
      </c>
      <c r="J436" s="13" t="s">
        <v>847</v>
      </c>
      <c r="K436" s="13" t="s">
        <v>303</v>
      </c>
      <c r="L436" s="13" t="s">
        <v>968</v>
      </c>
      <c r="M436" s="6" t="s">
        <v>188</v>
      </c>
      <c r="N436" s="6" t="s">
        <v>188</v>
      </c>
      <c r="O436" s="6" t="s">
        <v>190</v>
      </c>
      <c r="P436" s="7" t="s">
        <v>333</v>
      </c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>
      <c r="A437" s="12">
        <v>11.0</v>
      </c>
      <c r="B437" s="7" t="s">
        <v>316</v>
      </c>
      <c r="C437" s="7" t="s">
        <v>920</v>
      </c>
      <c r="I437" s="13" t="s">
        <v>972</v>
      </c>
      <c r="J437" s="13" t="s">
        <v>848</v>
      </c>
      <c r="K437" s="13" t="s">
        <v>303</v>
      </c>
      <c r="L437" s="13" t="s">
        <v>973</v>
      </c>
      <c r="M437" s="6" t="s">
        <v>188</v>
      </c>
      <c r="N437" s="6" t="s">
        <v>188</v>
      </c>
      <c r="O437" s="6" t="s">
        <v>190</v>
      </c>
      <c r="P437" s="7" t="s">
        <v>333</v>
      </c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>
      <c r="A438" s="12">
        <v>11.0</v>
      </c>
      <c r="B438" s="7" t="s">
        <v>316</v>
      </c>
      <c r="C438" s="7" t="s">
        <v>920</v>
      </c>
      <c r="I438" s="13" t="s">
        <v>976</v>
      </c>
      <c r="J438" s="13" t="s">
        <v>847</v>
      </c>
      <c r="K438" s="13" t="s">
        <v>303</v>
      </c>
      <c r="L438" s="13" t="s">
        <v>977</v>
      </c>
      <c r="M438" s="6" t="s">
        <v>188</v>
      </c>
      <c r="N438" s="6" t="s">
        <v>188</v>
      </c>
      <c r="O438" s="6" t="s">
        <v>190</v>
      </c>
      <c r="P438" s="7" t="s">
        <v>333</v>
      </c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>
      <c r="A439" s="12">
        <v>11.0</v>
      </c>
      <c r="B439" s="7" t="s">
        <v>316</v>
      </c>
      <c r="C439" s="7" t="s">
        <v>920</v>
      </c>
      <c r="I439" s="13" t="s">
        <v>979</v>
      </c>
      <c r="J439" s="13" t="s">
        <v>848</v>
      </c>
      <c r="K439" s="13" t="s">
        <v>303</v>
      </c>
      <c r="L439" s="13" t="s">
        <v>980</v>
      </c>
      <c r="M439" s="6" t="s">
        <v>188</v>
      </c>
      <c r="N439" s="6" t="s">
        <v>188</v>
      </c>
      <c r="O439" s="6" t="s">
        <v>190</v>
      </c>
      <c r="P439" s="7" t="s">
        <v>333</v>
      </c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>
      <c r="A440" s="12">
        <v>11.0</v>
      </c>
      <c r="B440" s="7" t="s">
        <v>316</v>
      </c>
      <c r="C440" s="7" t="s">
        <v>920</v>
      </c>
      <c r="I440" s="13" t="s">
        <v>1017</v>
      </c>
      <c r="J440" s="13" t="s">
        <v>847</v>
      </c>
      <c r="K440" s="13" t="s">
        <v>303</v>
      </c>
      <c r="L440" s="13" t="s">
        <v>981</v>
      </c>
      <c r="M440" s="6" t="s">
        <v>188</v>
      </c>
      <c r="N440" s="6" t="s">
        <v>188</v>
      </c>
      <c r="O440" s="6" t="s">
        <v>190</v>
      </c>
      <c r="P440" s="7" t="s">
        <v>333</v>
      </c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>
      <c r="A441" s="12">
        <v>11.0</v>
      </c>
      <c r="B441" s="7" t="s">
        <v>316</v>
      </c>
      <c r="C441" s="7" t="s">
        <v>920</v>
      </c>
      <c r="I441" s="13" t="s">
        <v>1019</v>
      </c>
      <c r="J441" s="13" t="s">
        <v>848</v>
      </c>
      <c r="K441" s="13" t="s">
        <v>303</v>
      </c>
      <c r="L441" s="13" t="s">
        <v>1021</v>
      </c>
      <c r="M441" s="6" t="s">
        <v>188</v>
      </c>
      <c r="N441" s="6" t="s">
        <v>188</v>
      </c>
      <c r="O441" s="6" t="s">
        <v>190</v>
      </c>
      <c r="P441" s="7" t="s">
        <v>333</v>
      </c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>
      <c r="A442" s="12">
        <v>11.0</v>
      </c>
      <c r="B442" s="7" t="s">
        <v>316</v>
      </c>
      <c r="C442" s="7" t="s">
        <v>920</v>
      </c>
      <c r="I442" s="13" t="s">
        <v>334</v>
      </c>
      <c r="J442" s="13" t="s">
        <v>847</v>
      </c>
      <c r="K442" s="13" t="s">
        <v>303</v>
      </c>
      <c r="L442" s="13" t="s">
        <v>981</v>
      </c>
      <c r="M442" s="6" t="s">
        <v>188</v>
      </c>
      <c r="N442" s="6" t="s">
        <v>188</v>
      </c>
      <c r="O442" s="6" t="s">
        <v>190</v>
      </c>
      <c r="P442" s="7" t="s">
        <v>333</v>
      </c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>
      <c r="A443" s="12">
        <v>11.0</v>
      </c>
      <c r="B443" s="7" t="s">
        <v>316</v>
      </c>
      <c r="C443" s="7" t="s">
        <v>920</v>
      </c>
      <c r="I443" s="13" t="s">
        <v>790</v>
      </c>
      <c r="J443" s="13" t="s">
        <v>848</v>
      </c>
      <c r="K443" s="13" t="s">
        <v>303</v>
      </c>
      <c r="L443" s="13" t="s">
        <v>1024</v>
      </c>
      <c r="M443" s="6" t="s">
        <v>188</v>
      </c>
      <c r="N443" s="6" t="s">
        <v>188</v>
      </c>
      <c r="O443" s="6" t="s">
        <v>190</v>
      </c>
      <c r="P443" s="7" t="s">
        <v>333</v>
      </c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>
      <c r="A444" s="12">
        <v>11.0</v>
      </c>
      <c r="B444" s="7" t="s">
        <v>316</v>
      </c>
      <c r="C444" s="7" t="s">
        <v>920</v>
      </c>
      <c r="I444" s="13" t="s">
        <v>1025</v>
      </c>
      <c r="J444" s="13" t="s">
        <v>847</v>
      </c>
      <c r="K444" s="13" t="s">
        <v>303</v>
      </c>
      <c r="L444" s="13" t="s">
        <v>981</v>
      </c>
      <c r="M444" s="6" t="s">
        <v>188</v>
      </c>
      <c r="N444" s="6" t="s">
        <v>188</v>
      </c>
      <c r="O444" s="6" t="s">
        <v>190</v>
      </c>
      <c r="P444" s="7" t="s">
        <v>333</v>
      </c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>
      <c r="A445" s="12">
        <v>11.0</v>
      </c>
      <c r="B445" s="7" t="s">
        <v>316</v>
      </c>
      <c r="C445" s="7" t="s">
        <v>920</v>
      </c>
      <c r="I445" s="13" t="s">
        <v>794</v>
      </c>
      <c r="J445" s="13" t="s">
        <v>848</v>
      </c>
      <c r="K445" s="13" t="s">
        <v>303</v>
      </c>
      <c r="L445" s="13" t="s">
        <v>1027</v>
      </c>
      <c r="M445" s="6" t="s">
        <v>188</v>
      </c>
      <c r="N445" s="6" t="s">
        <v>188</v>
      </c>
      <c r="O445" s="6" t="s">
        <v>190</v>
      </c>
      <c r="P445" s="7" t="s">
        <v>333</v>
      </c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>
      <c r="A446" s="12">
        <v>11.0</v>
      </c>
      <c r="B446" s="7" t="s">
        <v>316</v>
      </c>
      <c r="C446" s="7" t="s">
        <v>920</v>
      </c>
      <c r="I446" s="13" t="s">
        <v>588</v>
      </c>
      <c r="J446" s="13" t="s">
        <v>847</v>
      </c>
      <c r="K446" s="13" t="s">
        <v>303</v>
      </c>
      <c r="L446" s="13" t="s">
        <v>1028</v>
      </c>
      <c r="M446" s="6" t="s">
        <v>188</v>
      </c>
      <c r="N446" s="6" t="s">
        <v>188</v>
      </c>
      <c r="O446" s="6" t="s">
        <v>190</v>
      </c>
      <c r="P446" s="7" t="s">
        <v>333</v>
      </c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>
      <c r="A447" s="12">
        <v>11.0</v>
      </c>
      <c r="B447" s="7" t="s">
        <v>316</v>
      </c>
      <c r="C447" s="7" t="s">
        <v>920</v>
      </c>
      <c r="I447" s="13" t="s">
        <v>1029</v>
      </c>
      <c r="J447" s="13" t="s">
        <v>848</v>
      </c>
      <c r="K447" s="13" t="s">
        <v>303</v>
      </c>
      <c r="L447" s="13" t="s">
        <v>1030</v>
      </c>
      <c r="M447" s="6" t="s">
        <v>188</v>
      </c>
      <c r="N447" s="6" t="s">
        <v>188</v>
      </c>
      <c r="O447" s="6" t="s">
        <v>190</v>
      </c>
      <c r="P447" s="7" t="s">
        <v>333</v>
      </c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>
      <c r="A448" s="12">
        <v>11.0</v>
      </c>
      <c r="B448" s="7" t="s">
        <v>316</v>
      </c>
      <c r="C448" s="7" t="s">
        <v>920</v>
      </c>
      <c r="I448" s="13" t="s">
        <v>982</v>
      </c>
      <c r="J448" s="13" t="s">
        <v>847</v>
      </c>
      <c r="K448" s="13" t="s">
        <v>303</v>
      </c>
      <c r="L448" s="13" t="s">
        <v>983</v>
      </c>
      <c r="M448" s="6" t="s">
        <v>188</v>
      </c>
      <c r="N448" s="6" t="s">
        <v>188</v>
      </c>
      <c r="O448" s="6" t="s">
        <v>190</v>
      </c>
      <c r="P448" s="7" t="s">
        <v>333</v>
      </c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>
      <c r="A449" s="12">
        <v>11.0</v>
      </c>
      <c r="B449" s="7" t="s">
        <v>316</v>
      </c>
      <c r="C449" s="7" t="s">
        <v>920</v>
      </c>
      <c r="I449" s="13" t="s">
        <v>984</v>
      </c>
      <c r="J449" s="13" t="s">
        <v>848</v>
      </c>
      <c r="K449" s="13" t="s">
        <v>303</v>
      </c>
      <c r="L449" s="13" t="s">
        <v>985</v>
      </c>
      <c r="M449" s="6" t="s">
        <v>188</v>
      </c>
      <c r="N449" s="6" t="s">
        <v>188</v>
      </c>
      <c r="O449" s="6" t="s">
        <v>190</v>
      </c>
      <c r="P449" s="7" t="s">
        <v>333</v>
      </c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>
      <c r="A450" s="12">
        <v>11.0</v>
      </c>
      <c r="B450" s="7" t="s">
        <v>316</v>
      </c>
      <c r="C450" s="7" t="s">
        <v>920</v>
      </c>
      <c r="I450" s="13" t="s">
        <v>1032</v>
      </c>
      <c r="J450" s="13" t="s">
        <v>847</v>
      </c>
      <c r="K450" s="13" t="s">
        <v>303</v>
      </c>
      <c r="L450" s="13" t="s">
        <v>1033</v>
      </c>
      <c r="M450" s="6" t="s">
        <v>188</v>
      </c>
      <c r="N450" s="6" t="s">
        <v>188</v>
      </c>
      <c r="O450" s="6" t="s">
        <v>190</v>
      </c>
      <c r="P450" s="7" t="s">
        <v>333</v>
      </c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>
      <c r="A451" s="12">
        <v>11.0</v>
      </c>
      <c r="B451" s="7" t="s">
        <v>316</v>
      </c>
      <c r="C451" s="7" t="s">
        <v>920</v>
      </c>
      <c r="I451" s="13" t="s">
        <v>1034</v>
      </c>
      <c r="J451" s="13" t="s">
        <v>848</v>
      </c>
      <c r="K451" s="13" t="s">
        <v>303</v>
      </c>
      <c r="L451" s="13" t="s">
        <v>1035</v>
      </c>
      <c r="M451" s="6" t="s">
        <v>188</v>
      </c>
      <c r="N451" s="6" t="s">
        <v>188</v>
      </c>
      <c r="O451" s="6" t="s">
        <v>190</v>
      </c>
      <c r="P451" s="7" t="s">
        <v>333</v>
      </c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>
      <c r="A452" s="12">
        <v>11.0</v>
      </c>
      <c r="B452" s="7" t="s">
        <v>316</v>
      </c>
      <c r="C452" s="7" t="s">
        <v>920</v>
      </c>
      <c r="I452" s="13" t="s">
        <v>986</v>
      </c>
      <c r="J452" s="13" t="s">
        <v>847</v>
      </c>
      <c r="K452" s="13" t="s">
        <v>303</v>
      </c>
      <c r="L452" s="13" t="s">
        <v>987</v>
      </c>
      <c r="M452" s="6" t="s">
        <v>188</v>
      </c>
      <c r="N452" s="6" t="s">
        <v>188</v>
      </c>
      <c r="O452" s="6" t="s">
        <v>190</v>
      </c>
      <c r="P452" s="7" t="s">
        <v>333</v>
      </c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>
      <c r="A453" s="12">
        <v>11.0</v>
      </c>
      <c r="B453" s="7" t="s">
        <v>316</v>
      </c>
      <c r="C453" s="7" t="s">
        <v>920</v>
      </c>
      <c r="I453" s="13" t="s">
        <v>989</v>
      </c>
      <c r="J453" s="13" t="s">
        <v>848</v>
      </c>
      <c r="K453" s="13" t="s">
        <v>303</v>
      </c>
      <c r="L453" s="13" t="s">
        <v>981</v>
      </c>
      <c r="M453" s="6" t="s">
        <v>188</v>
      </c>
      <c r="N453" s="6" t="s">
        <v>188</v>
      </c>
      <c r="O453" s="6" t="s">
        <v>190</v>
      </c>
      <c r="P453" s="7" t="s">
        <v>333</v>
      </c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>
      <c r="A454" s="12">
        <v>11.0</v>
      </c>
      <c r="B454" s="7" t="s">
        <v>316</v>
      </c>
      <c r="C454" s="7" t="s">
        <v>920</v>
      </c>
      <c r="I454" s="13" t="s">
        <v>1036</v>
      </c>
      <c r="J454" s="13" t="s">
        <v>847</v>
      </c>
      <c r="K454" s="13" t="s">
        <v>303</v>
      </c>
      <c r="L454" s="13" t="s">
        <v>1037</v>
      </c>
      <c r="M454" s="6" t="s">
        <v>188</v>
      </c>
      <c r="N454" s="6" t="s">
        <v>188</v>
      </c>
      <c r="O454" s="6" t="s">
        <v>190</v>
      </c>
      <c r="P454" s="7" t="s">
        <v>333</v>
      </c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>
      <c r="A455" s="12">
        <v>11.0</v>
      </c>
      <c r="B455" s="7" t="s">
        <v>316</v>
      </c>
      <c r="C455" s="7" t="s">
        <v>920</v>
      </c>
      <c r="I455" s="13" t="s">
        <v>1039</v>
      </c>
      <c r="J455" s="13" t="s">
        <v>848</v>
      </c>
      <c r="K455" s="13" t="s">
        <v>303</v>
      </c>
      <c r="L455" s="13" t="s">
        <v>1040</v>
      </c>
      <c r="M455" s="6" t="s">
        <v>188</v>
      </c>
      <c r="N455" s="6" t="s">
        <v>188</v>
      </c>
      <c r="O455" s="6" t="s">
        <v>190</v>
      </c>
      <c r="P455" s="7" t="s">
        <v>333</v>
      </c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>
      <c r="A456" s="12">
        <v>11.0</v>
      </c>
      <c r="B456" s="7" t="s">
        <v>316</v>
      </c>
      <c r="C456" s="7" t="s">
        <v>920</v>
      </c>
      <c r="I456" s="13" t="s">
        <v>929</v>
      </c>
      <c r="J456" s="13" t="s">
        <v>847</v>
      </c>
      <c r="K456" s="13" t="s">
        <v>303</v>
      </c>
      <c r="L456" s="13" t="s">
        <v>1033</v>
      </c>
      <c r="M456" s="6" t="s">
        <v>188</v>
      </c>
      <c r="N456" s="6" t="s">
        <v>188</v>
      </c>
      <c r="O456" s="6" t="s">
        <v>190</v>
      </c>
      <c r="P456" s="7" t="s">
        <v>333</v>
      </c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>
      <c r="A457" s="12">
        <v>11.0</v>
      </c>
      <c r="B457" s="7" t="s">
        <v>316</v>
      </c>
      <c r="C457" s="7" t="s">
        <v>920</v>
      </c>
      <c r="I457" s="13" t="s">
        <v>1041</v>
      </c>
      <c r="J457" s="13" t="s">
        <v>848</v>
      </c>
      <c r="K457" s="13" t="s">
        <v>303</v>
      </c>
      <c r="L457" s="13" t="s">
        <v>981</v>
      </c>
      <c r="M457" s="6" t="s">
        <v>188</v>
      </c>
      <c r="N457" s="6" t="s">
        <v>188</v>
      </c>
      <c r="O457" s="6" t="s">
        <v>190</v>
      </c>
      <c r="P457" s="7" t="s">
        <v>333</v>
      </c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>
      <c r="A458" s="12">
        <v>11.0</v>
      </c>
      <c r="B458" s="7" t="s">
        <v>316</v>
      </c>
      <c r="C458" s="7" t="s">
        <v>920</v>
      </c>
      <c r="I458" s="13" t="s">
        <v>1042</v>
      </c>
      <c r="J458" s="13" t="s">
        <v>847</v>
      </c>
      <c r="K458" s="13" t="s">
        <v>303</v>
      </c>
      <c r="L458" s="13" t="s">
        <v>1043</v>
      </c>
      <c r="M458" s="6" t="s">
        <v>188</v>
      </c>
      <c r="N458" s="6" t="s">
        <v>188</v>
      </c>
      <c r="O458" s="6" t="s">
        <v>190</v>
      </c>
      <c r="P458" s="7" t="s">
        <v>333</v>
      </c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>
      <c r="A459" s="12">
        <v>11.0</v>
      </c>
      <c r="B459" s="7" t="s">
        <v>316</v>
      </c>
      <c r="C459" s="7" t="s">
        <v>920</v>
      </c>
      <c r="I459" s="13" t="s">
        <v>888</v>
      </c>
      <c r="J459" s="13" t="s">
        <v>848</v>
      </c>
      <c r="K459" s="13" t="s">
        <v>303</v>
      </c>
      <c r="L459" s="13" t="s">
        <v>1045</v>
      </c>
      <c r="M459" s="6" t="s">
        <v>188</v>
      </c>
      <c r="N459" s="6" t="s">
        <v>188</v>
      </c>
      <c r="O459" s="6" t="s">
        <v>190</v>
      </c>
      <c r="P459" s="7" t="s">
        <v>333</v>
      </c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>
      <c r="A460" s="12">
        <v>11.0</v>
      </c>
      <c r="B460" s="7" t="s">
        <v>316</v>
      </c>
      <c r="C460" s="7" t="s">
        <v>920</v>
      </c>
      <c r="I460" s="13" t="s">
        <v>1046</v>
      </c>
      <c r="J460" s="13" t="s">
        <v>847</v>
      </c>
      <c r="K460" s="13" t="s">
        <v>303</v>
      </c>
      <c r="L460" s="13" t="s">
        <v>1043</v>
      </c>
      <c r="M460" s="6" t="s">
        <v>188</v>
      </c>
      <c r="N460" s="6" t="s">
        <v>188</v>
      </c>
      <c r="O460" s="6" t="s">
        <v>190</v>
      </c>
      <c r="P460" s="7" t="s">
        <v>333</v>
      </c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>
      <c r="A461" s="12">
        <v>11.0</v>
      </c>
      <c r="B461" s="7" t="s">
        <v>316</v>
      </c>
      <c r="C461" s="7" t="s">
        <v>920</v>
      </c>
      <c r="I461" s="13" t="s">
        <v>1047</v>
      </c>
      <c r="J461" s="13" t="s">
        <v>848</v>
      </c>
      <c r="K461" s="13" t="s">
        <v>303</v>
      </c>
      <c r="L461" s="13" t="s">
        <v>1048</v>
      </c>
      <c r="M461" s="6" t="s">
        <v>188</v>
      </c>
      <c r="N461" s="6" t="s">
        <v>188</v>
      </c>
      <c r="O461" s="6" t="s">
        <v>190</v>
      </c>
      <c r="P461" s="7" t="s">
        <v>333</v>
      </c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>
      <c r="A462" s="12">
        <v>12.0</v>
      </c>
      <c r="B462" s="13" t="s">
        <v>326</v>
      </c>
      <c r="C462" s="13" t="s">
        <v>920</v>
      </c>
      <c r="D462" s="14">
        <f>IF(COUNTIF($B$2:$B462,$B462)&gt;1,"",COUNTIF($B$2:$B$3400,$B462))</f>
        <v>50</v>
      </c>
      <c r="E462" s="14">
        <f>IF(COUNTIF($B$2:$B462,$B462)&gt;1,"",COUNTIFS($B$2:$B$3400,$B462,$K$2:$K$3400,"PHÙ HỢP CAO"))</f>
        <v>2</v>
      </c>
      <c r="F462" s="14">
        <f>IF(COUNTIF($B$2:$B462,$B462)&gt;1,"",COUNTIFS($B$2:$B$3400,$B462,$K$2:$K$3400,"CÓ THỂ ĐI"))</f>
        <v>3</v>
      </c>
      <c r="G462" s="14">
        <f>IF(COUNTIF($B$2:$B462,$B462)&gt;1,"",COUNTIFS($B$2:$B$3400,$B462,$K$2:$K$3400,"CẦN SOÁT"))</f>
        <v>45</v>
      </c>
      <c r="H462" s="15" t="str">
        <f>IFERROR(__xludf.DUMMYFUNCTION("IF(COUNTIF($B$2:$B462,$B462)&gt;1,"""",IFERROR(TEXTJOIN(CHAR(10),TRUE,BYROW(QUERY({$B$2:$B$3400,$J$2:$J$3400},""select Col2, count(Col2) where Col1 = '""&amp;$B462&amp;""' group by Col2 order by count(Col2) desc label count(Col2) ''"",0),LAMBDA(r,INDEX(r,1,1)&amp;"" – "&amp;"""&amp;INDEX(r,1,2)&amp;"" link""))),""""))"),"thuế thu nhập cá nhân – 25 link
thuế thu nhập cá nhân năm 2026 – 25 link")</f>
        <v>thuế thu nhập cá nhân – 25 link
thuế thu nhập cá nhân năm 2026 – 25 link</v>
      </c>
      <c r="I462" s="10" t="s">
        <v>572</v>
      </c>
      <c r="J462" s="13" t="s">
        <v>851</v>
      </c>
      <c r="K462" s="13" t="s">
        <v>184</v>
      </c>
      <c r="L462" s="13" t="s">
        <v>1052</v>
      </c>
      <c r="M462" s="13" t="s">
        <v>188</v>
      </c>
      <c r="N462" s="13" t="s">
        <v>188</v>
      </c>
      <c r="O462" s="13" t="s">
        <v>190</v>
      </c>
      <c r="P462" s="13" t="s">
        <v>715</v>
      </c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>
      <c r="A463" s="12">
        <v>12.0</v>
      </c>
      <c r="B463" s="13" t="s">
        <v>326</v>
      </c>
      <c r="C463" s="13" t="s">
        <v>920</v>
      </c>
      <c r="I463" s="10" t="s">
        <v>587</v>
      </c>
      <c r="J463" s="13" t="s">
        <v>852</v>
      </c>
      <c r="K463" s="13" t="s">
        <v>184</v>
      </c>
      <c r="L463" s="13" t="s">
        <v>1053</v>
      </c>
      <c r="M463" s="13" t="s">
        <v>188</v>
      </c>
      <c r="N463" s="13" t="s">
        <v>188</v>
      </c>
      <c r="O463" s="13" t="s">
        <v>190</v>
      </c>
      <c r="P463" s="13" t="s">
        <v>715</v>
      </c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>
      <c r="A464" s="12">
        <v>12.0</v>
      </c>
      <c r="B464" s="13" t="s">
        <v>326</v>
      </c>
      <c r="C464" s="13" t="s">
        <v>920</v>
      </c>
      <c r="I464" s="10" t="s">
        <v>691</v>
      </c>
      <c r="J464" s="13" t="s">
        <v>851</v>
      </c>
      <c r="K464" s="13" t="s">
        <v>283</v>
      </c>
      <c r="L464" s="13" t="s">
        <v>1093</v>
      </c>
      <c r="M464" s="13" t="s">
        <v>188</v>
      </c>
      <c r="N464" s="13" t="s">
        <v>188</v>
      </c>
      <c r="O464" s="13" t="s">
        <v>190</v>
      </c>
      <c r="P464" s="13" t="s">
        <v>715</v>
      </c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>
      <c r="A465" s="12">
        <v>12.0</v>
      </c>
      <c r="B465" s="13" t="s">
        <v>326</v>
      </c>
      <c r="C465" s="13" t="s">
        <v>920</v>
      </c>
      <c r="I465" s="10" t="s">
        <v>1095</v>
      </c>
      <c r="J465" s="13" t="s">
        <v>852</v>
      </c>
      <c r="K465" s="13" t="s">
        <v>283</v>
      </c>
      <c r="L465" s="13" t="s">
        <v>1098</v>
      </c>
      <c r="M465" s="13" t="s">
        <v>188</v>
      </c>
      <c r="N465" s="13" t="s">
        <v>188</v>
      </c>
      <c r="O465" s="13" t="s">
        <v>190</v>
      </c>
      <c r="P465" s="13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>
      <c r="A466" s="12">
        <v>12.0</v>
      </c>
      <c r="B466" s="13" t="s">
        <v>326</v>
      </c>
      <c r="C466" s="13" t="s">
        <v>920</v>
      </c>
      <c r="I466" s="10" t="s">
        <v>1101</v>
      </c>
      <c r="J466" s="13" t="s">
        <v>851</v>
      </c>
      <c r="K466" s="13" t="s">
        <v>283</v>
      </c>
      <c r="L466" s="13" t="s">
        <v>1103</v>
      </c>
      <c r="M466" s="13" t="s">
        <v>188</v>
      </c>
      <c r="N466" s="13" t="s">
        <v>188</v>
      </c>
      <c r="O466" s="13" t="s">
        <v>190</v>
      </c>
      <c r="P466" s="13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>
      <c r="A467" s="12">
        <v>12.0</v>
      </c>
      <c r="B467" s="13" t="s">
        <v>326</v>
      </c>
      <c r="C467" s="13" t="s">
        <v>920</v>
      </c>
      <c r="I467" s="10" t="s">
        <v>591</v>
      </c>
      <c r="J467" s="13" t="s">
        <v>852</v>
      </c>
      <c r="K467" s="13" t="s">
        <v>303</v>
      </c>
      <c r="L467" s="13" t="s">
        <v>1106</v>
      </c>
      <c r="M467" s="13" t="s">
        <v>188</v>
      </c>
      <c r="N467" s="13" t="s">
        <v>188</v>
      </c>
      <c r="O467" s="13" t="s">
        <v>190</v>
      </c>
      <c r="P467" s="13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>
      <c r="A468" s="12">
        <v>12.0</v>
      </c>
      <c r="B468" s="13" t="s">
        <v>326</v>
      </c>
      <c r="C468" s="13" t="s">
        <v>920</v>
      </c>
      <c r="I468" s="10" t="s">
        <v>882</v>
      </c>
      <c r="J468" s="13" t="s">
        <v>851</v>
      </c>
      <c r="K468" s="13" t="s">
        <v>303</v>
      </c>
      <c r="L468" s="13" t="s">
        <v>1107</v>
      </c>
      <c r="M468" s="13" t="s">
        <v>188</v>
      </c>
      <c r="N468" s="13" t="s">
        <v>188</v>
      </c>
      <c r="O468" s="13" t="s">
        <v>190</v>
      </c>
      <c r="P468" s="13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>
      <c r="A469" s="12">
        <v>12.0</v>
      </c>
      <c r="B469" s="13" t="s">
        <v>326</v>
      </c>
      <c r="C469" s="13" t="s">
        <v>920</v>
      </c>
      <c r="I469" s="10" t="s">
        <v>585</v>
      </c>
      <c r="J469" s="13" t="s">
        <v>852</v>
      </c>
      <c r="K469" s="13" t="s">
        <v>303</v>
      </c>
      <c r="L469" s="13" t="s">
        <v>1109</v>
      </c>
      <c r="M469" s="13" t="s">
        <v>188</v>
      </c>
      <c r="N469" s="13" t="s">
        <v>188</v>
      </c>
      <c r="O469" s="13" t="s">
        <v>190</v>
      </c>
      <c r="P469" s="13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>
      <c r="A470" s="12">
        <v>12.0</v>
      </c>
      <c r="B470" s="13" t="s">
        <v>326</v>
      </c>
      <c r="C470" s="13" t="s">
        <v>920</v>
      </c>
      <c r="I470" s="10" t="s">
        <v>698</v>
      </c>
      <c r="J470" s="13" t="s">
        <v>851</v>
      </c>
      <c r="K470" s="13" t="s">
        <v>303</v>
      </c>
      <c r="L470" s="13" t="s">
        <v>1106</v>
      </c>
      <c r="M470" s="13" t="s">
        <v>188</v>
      </c>
      <c r="N470" s="13" t="s">
        <v>188</v>
      </c>
      <c r="O470" s="13" t="s">
        <v>190</v>
      </c>
      <c r="P470" s="13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>
      <c r="A471" s="12">
        <v>12.0</v>
      </c>
      <c r="B471" s="13" t="s">
        <v>326</v>
      </c>
      <c r="C471" s="13" t="s">
        <v>920</v>
      </c>
      <c r="I471" s="10" t="s">
        <v>1110</v>
      </c>
      <c r="J471" s="13" t="s">
        <v>852</v>
      </c>
      <c r="K471" s="13" t="s">
        <v>303</v>
      </c>
      <c r="L471" s="13" t="s">
        <v>1107</v>
      </c>
      <c r="M471" s="13" t="s">
        <v>188</v>
      </c>
      <c r="N471" s="13" t="s">
        <v>188</v>
      </c>
      <c r="O471" s="13" t="s">
        <v>190</v>
      </c>
      <c r="P471" s="13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>
      <c r="A472" s="12">
        <v>12.0</v>
      </c>
      <c r="B472" s="13" t="s">
        <v>326</v>
      </c>
      <c r="C472" s="13" t="s">
        <v>920</v>
      </c>
      <c r="I472" s="10" t="s">
        <v>584</v>
      </c>
      <c r="J472" s="13" t="s">
        <v>851</v>
      </c>
      <c r="K472" s="13" t="s">
        <v>303</v>
      </c>
      <c r="L472" s="13" t="s">
        <v>1106</v>
      </c>
      <c r="M472" s="13" t="s">
        <v>188</v>
      </c>
      <c r="N472" s="13" t="s">
        <v>188</v>
      </c>
      <c r="O472" s="13" t="s">
        <v>190</v>
      </c>
      <c r="P472" s="13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>
      <c r="A473" s="12">
        <v>12.0</v>
      </c>
      <c r="B473" s="13" t="s">
        <v>326</v>
      </c>
      <c r="C473" s="13" t="s">
        <v>920</v>
      </c>
      <c r="I473" s="10" t="s">
        <v>1112</v>
      </c>
      <c r="J473" s="13" t="s">
        <v>852</v>
      </c>
      <c r="K473" s="13" t="s">
        <v>303</v>
      </c>
      <c r="L473" s="13" t="s">
        <v>1107</v>
      </c>
      <c r="M473" s="13" t="s">
        <v>188</v>
      </c>
      <c r="N473" s="13" t="s">
        <v>188</v>
      </c>
      <c r="O473" s="13" t="s">
        <v>190</v>
      </c>
      <c r="P473" s="13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>
      <c r="A474" s="12">
        <v>12.0</v>
      </c>
      <c r="B474" s="13" t="s">
        <v>326</v>
      </c>
      <c r="C474" s="13" t="s">
        <v>920</v>
      </c>
      <c r="I474" s="10" t="s">
        <v>1116</v>
      </c>
      <c r="J474" s="13" t="s">
        <v>851</v>
      </c>
      <c r="K474" s="13" t="s">
        <v>303</v>
      </c>
      <c r="L474" s="13" t="s">
        <v>1107</v>
      </c>
      <c r="M474" s="13" t="s">
        <v>188</v>
      </c>
      <c r="N474" s="13" t="s">
        <v>188</v>
      </c>
      <c r="O474" s="13" t="s">
        <v>190</v>
      </c>
      <c r="P474" s="13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>
      <c r="A475" s="12">
        <v>12.0</v>
      </c>
      <c r="B475" s="13" t="s">
        <v>326</v>
      </c>
      <c r="C475" s="13" t="s">
        <v>920</v>
      </c>
      <c r="I475" s="10" t="s">
        <v>443</v>
      </c>
      <c r="J475" s="13" t="s">
        <v>852</v>
      </c>
      <c r="K475" s="13" t="s">
        <v>303</v>
      </c>
      <c r="L475" s="13" t="s">
        <v>1120</v>
      </c>
      <c r="M475" s="13" t="s">
        <v>188</v>
      </c>
      <c r="N475" s="13" t="s">
        <v>188</v>
      </c>
      <c r="O475" s="13" t="s">
        <v>190</v>
      </c>
      <c r="P475" s="13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>
      <c r="A476" s="12">
        <v>12.0</v>
      </c>
      <c r="B476" s="13" t="s">
        <v>326</v>
      </c>
      <c r="C476" s="13" t="s">
        <v>920</v>
      </c>
      <c r="I476" s="10" t="s">
        <v>1121</v>
      </c>
      <c r="J476" s="13" t="s">
        <v>851</v>
      </c>
      <c r="K476" s="13" t="s">
        <v>303</v>
      </c>
      <c r="L476" s="13" t="s">
        <v>1107</v>
      </c>
      <c r="M476" s="13" t="s">
        <v>188</v>
      </c>
      <c r="N476" s="13" t="s">
        <v>188</v>
      </c>
      <c r="O476" s="13" t="s">
        <v>190</v>
      </c>
      <c r="P476" s="13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>
      <c r="A477" s="12">
        <v>12.0</v>
      </c>
      <c r="B477" s="13" t="s">
        <v>326</v>
      </c>
      <c r="C477" s="13" t="s">
        <v>920</v>
      </c>
      <c r="I477" s="10" t="s">
        <v>1123</v>
      </c>
      <c r="J477" s="13" t="s">
        <v>852</v>
      </c>
      <c r="K477" s="13" t="s">
        <v>303</v>
      </c>
      <c r="L477" s="13" t="s">
        <v>1107</v>
      </c>
      <c r="M477" s="13" t="s">
        <v>188</v>
      </c>
      <c r="N477" s="13" t="s">
        <v>188</v>
      </c>
      <c r="O477" s="13" t="s">
        <v>190</v>
      </c>
      <c r="P477" s="13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>
      <c r="A478" s="12">
        <v>12.0</v>
      </c>
      <c r="B478" s="7" t="s">
        <v>326</v>
      </c>
      <c r="C478" s="7" t="s">
        <v>920</v>
      </c>
      <c r="I478" s="13" t="s">
        <v>475</v>
      </c>
      <c r="J478" s="13" t="s">
        <v>851</v>
      </c>
      <c r="K478" s="13" t="s">
        <v>303</v>
      </c>
      <c r="L478" s="13" t="s">
        <v>1124</v>
      </c>
      <c r="M478" s="6" t="s">
        <v>188</v>
      </c>
      <c r="N478" s="6" t="s">
        <v>188</v>
      </c>
      <c r="O478" s="6" t="s">
        <v>190</v>
      </c>
      <c r="P478" s="7" t="s">
        <v>333</v>
      </c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>
      <c r="A479" s="12">
        <v>12.0</v>
      </c>
      <c r="B479" s="7" t="s">
        <v>326</v>
      </c>
      <c r="C479" s="7" t="s">
        <v>920</v>
      </c>
      <c r="I479" s="13" t="s">
        <v>73</v>
      </c>
      <c r="J479" s="13" t="s">
        <v>852</v>
      </c>
      <c r="K479" s="13" t="s">
        <v>303</v>
      </c>
      <c r="L479" s="13" t="s">
        <v>1125</v>
      </c>
      <c r="M479" s="6" t="s">
        <v>188</v>
      </c>
      <c r="N479" s="6" t="s">
        <v>188</v>
      </c>
      <c r="O479" s="6" t="s">
        <v>190</v>
      </c>
      <c r="P479" s="7" t="s">
        <v>333</v>
      </c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>
      <c r="A480" s="12">
        <v>12.0</v>
      </c>
      <c r="B480" s="7" t="s">
        <v>326</v>
      </c>
      <c r="C480" s="7" t="s">
        <v>920</v>
      </c>
      <c r="I480" s="13" t="s">
        <v>296</v>
      </c>
      <c r="J480" s="13" t="s">
        <v>851</v>
      </c>
      <c r="K480" s="13" t="s">
        <v>303</v>
      </c>
      <c r="L480" s="13" t="s">
        <v>1125</v>
      </c>
      <c r="M480" s="6" t="s">
        <v>188</v>
      </c>
      <c r="N480" s="6" t="s">
        <v>188</v>
      </c>
      <c r="O480" s="6" t="s">
        <v>190</v>
      </c>
      <c r="P480" s="7" t="s">
        <v>333</v>
      </c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>
      <c r="A481" s="12">
        <v>12.0</v>
      </c>
      <c r="B481" s="7" t="s">
        <v>326</v>
      </c>
      <c r="C481" s="7" t="s">
        <v>920</v>
      </c>
      <c r="I481" s="13" t="s">
        <v>593</v>
      </c>
      <c r="J481" s="13" t="s">
        <v>852</v>
      </c>
      <c r="K481" s="13" t="s">
        <v>303</v>
      </c>
      <c r="L481" s="13" t="s">
        <v>613</v>
      </c>
      <c r="M481" s="6" t="s">
        <v>188</v>
      </c>
      <c r="N481" s="6" t="s">
        <v>188</v>
      </c>
      <c r="O481" s="6" t="s">
        <v>190</v>
      </c>
      <c r="P481" s="7" t="s">
        <v>333</v>
      </c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>
      <c r="A482" s="12">
        <v>12.0</v>
      </c>
      <c r="B482" s="7" t="s">
        <v>326</v>
      </c>
      <c r="C482" s="7" t="s">
        <v>920</v>
      </c>
      <c r="I482" s="13" t="s">
        <v>54</v>
      </c>
      <c r="J482" s="13" t="s">
        <v>851</v>
      </c>
      <c r="K482" s="13" t="s">
        <v>303</v>
      </c>
      <c r="L482" s="13" t="s">
        <v>613</v>
      </c>
      <c r="M482" s="6" t="s">
        <v>188</v>
      </c>
      <c r="N482" s="6" t="s">
        <v>188</v>
      </c>
      <c r="O482" s="6" t="s">
        <v>190</v>
      </c>
      <c r="P482" s="7" t="s">
        <v>333</v>
      </c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>
      <c r="A483" s="12">
        <v>12.0</v>
      </c>
      <c r="B483" s="7" t="s">
        <v>326</v>
      </c>
      <c r="C483" s="7" t="s">
        <v>920</v>
      </c>
      <c r="I483" s="13" t="s">
        <v>608</v>
      </c>
      <c r="J483" s="13" t="s">
        <v>852</v>
      </c>
      <c r="K483" s="13" t="s">
        <v>303</v>
      </c>
      <c r="L483" s="13" t="s">
        <v>609</v>
      </c>
      <c r="M483" s="6" t="s">
        <v>188</v>
      </c>
      <c r="N483" s="6" t="s">
        <v>188</v>
      </c>
      <c r="O483" s="6" t="s">
        <v>190</v>
      </c>
      <c r="P483" s="7" t="s">
        <v>333</v>
      </c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>
      <c r="A484" s="12">
        <v>12.0</v>
      </c>
      <c r="B484" s="7" t="s">
        <v>326</v>
      </c>
      <c r="C484" s="7" t="s">
        <v>920</v>
      </c>
      <c r="I484" s="13" t="s">
        <v>592</v>
      </c>
      <c r="J484" s="13" t="s">
        <v>851</v>
      </c>
      <c r="K484" s="13" t="s">
        <v>303</v>
      </c>
      <c r="L484" s="13" t="s">
        <v>640</v>
      </c>
      <c r="M484" s="6" t="s">
        <v>188</v>
      </c>
      <c r="N484" s="6" t="s">
        <v>188</v>
      </c>
      <c r="O484" s="6" t="s">
        <v>190</v>
      </c>
      <c r="P484" s="7" t="s">
        <v>333</v>
      </c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>
      <c r="A485" s="12">
        <v>12.0</v>
      </c>
      <c r="B485" s="7" t="s">
        <v>326</v>
      </c>
      <c r="C485" s="7" t="s">
        <v>920</v>
      </c>
      <c r="I485" s="13" t="s">
        <v>250</v>
      </c>
      <c r="J485" s="13" t="s">
        <v>852</v>
      </c>
      <c r="K485" s="13" t="s">
        <v>303</v>
      </c>
      <c r="L485" s="13" t="s">
        <v>795</v>
      </c>
      <c r="M485" s="6" t="s">
        <v>188</v>
      </c>
      <c r="N485" s="6" t="s">
        <v>188</v>
      </c>
      <c r="O485" s="6" t="s">
        <v>190</v>
      </c>
      <c r="P485" s="7" t="s">
        <v>333</v>
      </c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>
      <c r="A486" s="12">
        <v>12.0</v>
      </c>
      <c r="B486" s="7" t="s">
        <v>326</v>
      </c>
      <c r="C486" s="7" t="s">
        <v>920</v>
      </c>
      <c r="I486" s="13" t="s">
        <v>615</v>
      </c>
      <c r="J486" s="13" t="s">
        <v>851</v>
      </c>
      <c r="K486" s="13" t="s">
        <v>303</v>
      </c>
      <c r="L486" s="13" t="s">
        <v>613</v>
      </c>
      <c r="M486" s="6" t="s">
        <v>188</v>
      </c>
      <c r="N486" s="6" t="s">
        <v>188</v>
      </c>
      <c r="O486" s="6" t="s">
        <v>190</v>
      </c>
      <c r="P486" s="7" t="s">
        <v>333</v>
      </c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>
      <c r="A487" s="12">
        <v>12.0</v>
      </c>
      <c r="B487" s="7" t="s">
        <v>326</v>
      </c>
      <c r="C487" s="7" t="s">
        <v>920</v>
      </c>
      <c r="I487" s="13" t="s">
        <v>590</v>
      </c>
      <c r="J487" s="13" t="s">
        <v>852</v>
      </c>
      <c r="K487" s="13" t="s">
        <v>303</v>
      </c>
      <c r="L487" s="13" t="s">
        <v>640</v>
      </c>
      <c r="M487" s="6" t="s">
        <v>188</v>
      </c>
      <c r="N487" s="6" t="s">
        <v>188</v>
      </c>
      <c r="O487" s="6" t="s">
        <v>190</v>
      </c>
      <c r="P487" s="7" t="s">
        <v>333</v>
      </c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>
      <c r="A488" s="12">
        <v>12.0</v>
      </c>
      <c r="B488" s="7" t="s">
        <v>326</v>
      </c>
      <c r="C488" s="7" t="s">
        <v>920</v>
      </c>
      <c r="I488" s="13" t="s">
        <v>583</v>
      </c>
      <c r="J488" s="13" t="s">
        <v>851</v>
      </c>
      <c r="K488" s="13" t="s">
        <v>303</v>
      </c>
      <c r="L488" s="13" t="s">
        <v>896</v>
      </c>
      <c r="M488" s="6" t="s">
        <v>188</v>
      </c>
      <c r="N488" s="6" t="s">
        <v>188</v>
      </c>
      <c r="O488" s="6" t="s">
        <v>190</v>
      </c>
      <c r="P488" s="7" t="s">
        <v>333</v>
      </c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>
      <c r="A489" s="12">
        <v>12.0</v>
      </c>
      <c r="B489" s="7" t="s">
        <v>326</v>
      </c>
      <c r="C489" s="7" t="s">
        <v>920</v>
      </c>
      <c r="I489" s="13" t="s">
        <v>610</v>
      </c>
      <c r="J489" s="13" t="s">
        <v>852</v>
      </c>
      <c r="K489" s="13" t="s">
        <v>303</v>
      </c>
      <c r="L489" s="13" t="s">
        <v>611</v>
      </c>
      <c r="M489" s="6" t="s">
        <v>188</v>
      </c>
      <c r="N489" s="6" t="s">
        <v>188</v>
      </c>
      <c r="O489" s="6" t="s">
        <v>190</v>
      </c>
      <c r="P489" s="7" t="s">
        <v>333</v>
      </c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>
      <c r="A490" s="12">
        <v>12.0</v>
      </c>
      <c r="B490" s="7" t="s">
        <v>326</v>
      </c>
      <c r="C490" s="7" t="s">
        <v>920</v>
      </c>
      <c r="I490" s="13" t="s">
        <v>612</v>
      </c>
      <c r="J490" s="13" t="s">
        <v>851</v>
      </c>
      <c r="K490" s="13" t="s">
        <v>303</v>
      </c>
      <c r="L490" s="13" t="s">
        <v>613</v>
      </c>
      <c r="M490" s="6" t="s">
        <v>188</v>
      </c>
      <c r="N490" s="6" t="s">
        <v>188</v>
      </c>
      <c r="O490" s="6" t="s">
        <v>190</v>
      </c>
      <c r="P490" s="7" t="s">
        <v>333</v>
      </c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>
      <c r="A491" s="12">
        <v>12.0</v>
      </c>
      <c r="B491" s="7" t="s">
        <v>326</v>
      </c>
      <c r="C491" s="7" t="s">
        <v>920</v>
      </c>
      <c r="I491" s="13" t="s">
        <v>1136</v>
      </c>
      <c r="J491" s="13" t="s">
        <v>852</v>
      </c>
      <c r="K491" s="13" t="s">
        <v>303</v>
      </c>
      <c r="L491" s="13" t="s">
        <v>1137</v>
      </c>
      <c r="M491" s="6" t="s">
        <v>188</v>
      </c>
      <c r="N491" s="6" t="s">
        <v>188</v>
      </c>
      <c r="O491" s="6" t="s">
        <v>190</v>
      </c>
      <c r="P491" s="7" t="s">
        <v>333</v>
      </c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>
      <c r="A492" s="12">
        <v>12.0</v>
      </c>
      <c r="B492" s="7" t="s">
        <v>326</v>
      </c>
      <c r="C492" s="7" t="s">
        <v>920</v>
      </c>
      <c r="I492" s="13" t="s">
        <v>1138</v>
      </c>
      <c r="J492" s="13" t="s">
        <v>851</v>
      </c>
      <c r="K492" s="13" t="s">
        <v>303</v>
      </c>
      <c r="L492" s="13" t="s">
        <v>1137</v>
      </c>
      <c r="M492" s="6" t="s">
        <v>188</v>
      </c>
      <c r="N492" s="6" t="s">
        <v>188</v>
      </c>
      <c r="O492" s="6" t="s">
        <v>190</v>
      </c>
      <c r="P492" s="7" t="s">
        <v>333</v>
      </c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>
      <c r="A493" s="12">
        <v>12.0</v>
      </c>
      <c r="B493" s="7" t="s">
        <v>326</v>
      </c>
      <c r="C493" s="7" t="s">
        <v>920</v>
      </c>
      <c r="I493" s="13" t="s">
        <v>1141</v>
      </c>
      <c r="J493" s="13" t="s">
        <v>852</v>
      </c>
      <c r="K493" s="13" t="s">
        <v>303</v>
      </c>
      <c r="L493" s="13" t="s">
        <v>1137</v>
      </c>
      <c r="M493" s="6" t="s">
        <v>188</v>
      </c>
      <c r="N493" s="6" t="s">
        <v>188</v>
      </c>
      <c r="O493" s="6" t="s">
        <v>190</v>
      </c>
      <c r="P493" s="7" t="s">
        <v>333</v>
      </c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>
      <c r="A494" s="12">
        <v>12.0</v>
      </c>
      <c r="B494" s="7" t="s">
        <v>326</v>
      </c>
      <c r="C494" s="7" t="s">
        <v>920</v>
      </c>
      <c r="I494" s="13" t="s">
        <v>1143</v>
      </c>
      <c r="J494" s="13" t="s">
        <v>851</v>
      </c>
      <c r="K494" s="13" t="s">
        <v>303</v>
      </c>
      <c r="L494" s="13" t="s">
        <v>1137</v>
      </c>
      <c r="M494" s="6" t="s">
        <v>188</v>
      </c>
      <c r="N494" s="6" t="s">
        <v>188</v>
      </c>
      <c r="O494" s="6" t="s">
        <v>190</v>
      </c>
      <c r="P494" s="7" t="s">
        <v>333</v>
      </c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>
      <c r="A495" s="12">
        <v>12.0</v>
      </c>
      <c r="B495" s="7" t="s">
        <v>326</v>
      </c>
      <c r="C495" s="7" t="s">
        <v>920</v>
      </c>
      <c r="I495" s="13" t="s">
        <v>44</v>
      </c>
      <c r="J495" s="13" t="s">
        <v>852</v>
      </c>
      <c r="K495" s="13" t="s">
        <v>303</v>
      </c>
      <c r="L495" s="13" t="s">
        <v>796</v>
      </c>
      <c r="M495" s="6" t="s">
        <v>188</v>
      </c>
      <c r="N495" s="6" t="s">
        <v>188</v>
      </c>
      <c r="O495" s="6" t="s">
        <v>190</v>
      </c>
      <c r="P495" s="7" t="s">
        <v>333</v>
      </c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>
      <c r="A496" s="12">
        <v>12.0</v>
      </c>
      <c r="B496" s="7" t="s">
        <v>326</v>
      </c>
      <c r="C496" s="7" t="s">
        <v>920</v>
      </c>
      <c r="I496" s="13" t="s">
        <v>600</v>
      </c>
      <c r="J496" s="13" t="s">
        <v>851</v>
      </c>
      <c r="K496" s="13" t="s">
        <v>303</v>
      </c>
      <c r="L496" s="13" t="s">
        <v>1137</v>
      </c>
      <c r="M496" s="6" t="s">
        <v>188</v>
      </c>
      <c r="N496" s="6" t="s">
        <v>188</v>
      </c>
      <c r="O496" s="6" t="s">
        <v>190</v>
      </c>
      <c r="P496" s="7" t="s">
        <v>333</v>
      </c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>
      <c r="A497" s="12">
        <v>12.0</v>
      </c>
      <c r="B497" s="7" t="s">
        <v>326</v>
      </c>
      <c r="C497" s="7" t="s">
        <v>920</v>
      </c>
      <c r="I497" s="13" t="s">
        <v>408</v>
      </c>
      <c r="J497" s="13" t="s">
        <v>852</v>
      </c>
      <c r="K497" s="13" t="s">
        <v>303</v>
      </c>
      <c r="L497" s="13" t="s">
        <v>1137</v>
      </c>
      <c r="M497" s="6" t="s">
        <v>188</v>
      </c>
      <c r="N497" s="6" t="s">
        <v>188</v>
      </c>
      <c r="O497" s="6" t="s">
        <v>190</v>
      </c>
      <c r="P497" s="7" t="s">
        <v>333</v>
      </c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>
      <c r="A498" s="12">
        <v>12.0</v>
      </c>
      <c r="B498" s="7" t="s">
        <v>326</v>
      </c>
      <c r="C498" s="7" t="s">
        <v>920</v>
      </c>
      <c r="I498" s="13" t="s">
        <v>616</v>
      </c>
      <c r="J498" s="13" t="s">
        <v>851</v>
      </c>
      <c r="K498" s="13" t="s">
        <v>303</v>
      </c>
      <c r="L498" s="13" t="s">
        <v>617</v>
      </c>
      <c r="M498" s="6" t="s">
        <v>188</v>
      </c>
      <c r="N498" s="6" t="s">
        <v>188</v>
      </c>
      <c r="O498" s="6" t="s">
        <v>190</v>
      </c>
      <c r="P498" s="7" t="s">
        <v>333</v>
      </c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>
      <c r="A499" s="12">
        <v>12.0</v>
      </c>
      <c r="B499" s="7" t="s">
        <v>326</v>
      </c>
      <c r="C499" s="7" t="s">
        <v>920</v>
      </c>
      <c r="I499" s="13" t="s">
        <v>1148</v>
      </c>
      <c r="J499" s="13" t="s">
        <v>852</v>
      </c>
      <c r="K499" s="13" t="s">
        <v>303</v>
      </c>
      <c r="L499" s="13" t="s">
        <v>1137</v>
      </c>
      <c r="M499" s="6" t="s">
        <v>188</v>
      </c>
      <c r="N499" s="6" t="s">
        <v>188</v>
      </c>
      <c r="O499" s="6" t="s">
        <v>190</v>
      </c>
      <c r="P499" s="7" t="s">
        <v>333</v>
      </c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>
      <c r="A500" s="12">
        <v>12.0</v>
      </c>
      <c r="B500" s="7" t="s">
        <v>326</v>
      </c>
      <c r="C500" s="7" t="s">
        <v>920</v>
      </c>
      <c r="I500" s="13" t="s">
        <v>356</v>
      </c>
      <c r="J500" s="13" t="s">
        <v>851</v>
      </c>
      <c r="K500" s="13" t="s">
        <v>303</v>
      </c>
      <c r="L500" s="13" t="s">
        <v>1137</v>
      </c>
      <c r="M500" s="6" t="s">
        <v>188</v>
      </c>
      <c r="N500" s="6" t="s">
        <v>188</v>
      </c>
      <c r="O500" s="6" t="s">
        <v>190</v>
      </c>
      <c r="P500" s="7" t="s">
        <v>333</v>
      </c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>
      <c r="A501" s="12">
        <v>12.0</v>
      </c>
      <c r="B501" s="7" t="s">
        <v>326</v>
      </c>
      <c r="C501" s="7" t="s">
        <v>920</v>
      </c>
      <c r="I501" s="13" t="s">
        <v>1150</v>
      </c>
      <c r="J501" s="13" t="s">
        <v>852</v>
      </c>
      <c r="K501" s="13" t="s">
        <v>303</v>
      </c>
      <c r="L501" s="13" t="s">
        <v>1137</v>
      </c>
      <c r="M501" s="6" t="s">
        <v>188</v>
      </c>
      <c r="N501" s="6" t="s">
        <v>188</v>
      </c>
      <c r="O501" s="6" t="s">
        <v>190</v>
      </c>
      <c r="P501" s="7" t="s">
        <v>333</v>
      </c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>
      <c r="A502" s="12">
        <v>12.0</v>
      </c>
      <c r="B502" s="7" t="s">
        <v>326</v>
      </c>
      <c r="C502" s="7" t="s">
        <v>920</v>
      </c>
      <c r="I502" s="13" t="s">
        <v>1151</v>
      </c>
      <c r="J502" s="13" t="s">
        <v>851</v>
      </c>
      <c r="K502" s="13" t="s">
        <v>303</v>
      </c>
      <c r="L502" s="13" t="s">
        <v>1137</v>
      </c>
      <c r="M502" s="6" t="s">
        <v>188</v>
      </c>
      <c r="N502" s="6" t="s">
        <v>188</v>
      </c>
      <c r="O502" s="6" t="s">
        <v>190</v>
      </c>
      <c r="P502" s="7" t="s">
        <v>333</v>
      </c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>
      <c r="A503" s="12">
        <v>12.0</v>
      </c>
      <c r="B503" s="7" t="s">
        <v>326</v>
      </c>
      <c r="C503" s="7" t="s">
        <v>920</v>
      </c>
      <c r="I503" s="13" t="s">
        <v>437</v>
      </c>
      <c r="J503" s="13" t="s">
        <v>852</v>
      </c>
      <c r="K503" s="13" t="s">
        <v>303</v>
      </c>
      <c r="L503" s="13" t="s">
        <v>1137</v>
      </c>
      <c r="M503" s="6" t="s">
        <v>188</v>
      </c>
      <c r="N503" s="6" t="s">
        <v>188</v>
      </c>
      <c r="O503" s="6" t="s">
        <v>190</v>
      </c>
      <c r="P503" s="7" t="s">
        <v>333</v>
      </c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>
      <c r="A504" s="12">
        <v>12.0</v>
      </c>
      <c r="B504" s="7" t="s">
        <v>326</v>
      </c>
      <c r="C504" s="7" t="s">
        <v>920</v>
      </c>
      <c r="I504" s="13" t="s">
        <v>1155</v>
      </c>
      <c r="J504" s="13" t="s">
        <v>851</v>
      </c>
      <c r="K504" s="13" t="s">
        <v>303</v>
      </c>
      <c r="L504" s="13" t="s">
        <v>1137</v>
      </c>
      <c r="M504" s="6" t="s">
        <v>188</v>
      </c>
      <c r="N504" s="6" t="s">
        <v>188</v>
      </c>
      <c r="O504" s="6" t="s">
        <v>190</v>
      </c>
      <c r="P504" s="7" t="s">
        <v>333</v>
      </c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>
      <c r="A505" s="12">
        <v>12.0</v>
      </c>
      <c r="B505" s="7" t="s">
        <v>326</v>
      </c>
      <c r="C505" s="7" t="s">
        <v>920</v>
      </c>
      <c r="I505" s="13" t="s">
        <v>1156</v>
      </c>
      <c r="J505" s="13" t="s">
        <v>852</v>
      </c>
      <c r="K505" s="13" t="s">
        <v>303</v>
      </c>
      <c r="L505" s="13" t="s">
        <v>1137</v>
      </c>
      <c r="M505" s="6" t="s">
        <v>188</v>
      </c>
      <c r="N505" s="6" t="s">
        <v>188</v>
      </c>
      <c r="O505" s="6" t="s">
        <v>190</v>
      </c>
      <c r="P505" s="7" t="s">
        <v>333</v>
      </c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>
      <c r="A506" s="12">
        <v>12.0</v>
      </c>
      <c r="B506" s="7" t="s">
        <v>326</v>
      </c>
      <c r="C506" s="7" t="s">
        <v>920</v>
      </c>
      <c r="I506" s="13" t="s">
        <v>581</v>
      </c>
      <c r="J506" s="13" t="s">
        <v>851</v>
      </c>
      <c r="K506" s="13" t="s">
        <v>303</v>
      </c>
      <c r="L506" s="13" t="s">
        <v>1159</v>
      </c>
      <c r="M506" s="6" t="s">
        <v>188</v>
      </c>
      <c r="N506" s="6" t="s">
        <v>188</v>
      </c>
      <c r="O506" s="6" t="s">
        <v>190</v>
      </c>
      <c r="P506" s="7" t="s">
        <v>333</v>
      </c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>
      <c r="A507" s="12">
        <v>12.0</v>
      </c>
      <c r="B507" s="7" t="s">
        <v>326</v>
      </c>
      <c r="C507" s="7" t="s">
        <v>920</v>
      </c>
      <c r="I507" s="13" t="s">
        <v>630</v>
      </c>
      <c r="J507" s="13" t="s">
        <v>852</v>
      </c>
      <c r="K507" s="13" t="s">
        <v>303</v>
      </c>
      <c r="L507" s="13" t="s">
        <v>631</v>
      </c>
      <c r="M507" s="6" t="s">
        <v>188</v>
      </c>
      <c r="N507" s="6" t="s">
        <v>188</v>
      </c>
      <c r="O507" s="6" t="s">
        <v>190</v>
      </c>
      <c r="P507" s="7" t="s">
        <v>333</v>
      </c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>
      <c r="A508" s="12">
        <v>12.0</v>
      </c>
      <c r="B508" s="7" t="s">
        <v>326</v>
      </c>
      <c r="C508" s="7" t="s">
        <v>920</v>
      </c>
      <c r="I508" s="13" t="s">
        <v>632</v>
      </c>
      <c r="J508" s="13" t="s">
        <v>851</v>
      </c>
      <c r="K508" s="13" t="s">
        <v>303</v>
      </c>
      <c r="L508" s="13" t="s">
        <v>631</v>
      </c>
      <c r="M508" s="6" t="s">
        <v>188</v>
      </c>
      <c r="N508" s="6" t="s">
        <v>188</v>
      </c>
      <c r="O508" s="6" t="s">
        <v>190</v>
      </c>
      <c r="P508" s="7" t="s">
        <v>333</v>
      </c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>
      <c r="A509" s="12">
        <v>12.0</v>
      </c>
      <c r="B509" s="7" t="s">
        <v>326</v>
      </c>
      <c r="C509" s="7" t="s">
        <v>920</v>
      </c>
      <c r="I509" s="13" t="s">
        <v>625</v>
      </c>
      <c r="J509" s="13" t="s">
        <v>852</v>
      </c>
      <c r="K509" s="13" t="s">
        <v>303</v>
      </c>
      <c r="L509" s="13" t="s">
        <v>626</v>
      </c>
      <c r="M509" s="6" t="s">
        <v>188</v>
      </c>
      <c r="N509" s="6" t="s">
        <v>188</v>
      </c>
      <c r="O509" s="6" t="s">
        <v>190</v>
      </c>
      <c r="P509" s="7" t="s">
        <v>333</v>
      </c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>
      <c r="A510" s="12">
        <v>12.0</v>
      </c>
      <c r="B510" s="7" t="s">
        <v>326</v>
      </c>
      <c r="C510" s="7" t="s">
        <v>920</v>
      </c>
      <c r="I510" s="13" t="s">
        <v>629</v>
      </c>
      <c r="J510" s="13" t="s">
        <v>851</v>
      </c>
      <c r="K510" s="13" t="s">
        <v>303</v>
      </c>
      <c r="L510" s="13" t="s">
        <v>613</v>
      </c>
      <c r="M510" s="6" t="s">
        <v>188</v>
      </c>
      <c r="N510" s="6" t="s">
        <v>188</v>
      </c>
      <c r="O510" s="6" t="s">
        <v>190</v>
      </c>
      <c r="P510" s="7" t="s">
        <v>333</v>
      </c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>
      <c r="A511" s="12">
        <v>12.0</v>
      </c>
      <c r="B511" s="7" t="s">
        <v>326</v>
      </c>
      <c r="C511" s="7" t="s">
        <v>920</v>
      </c>
      <c r="I511" s="13" t="s">
        <v>635</v>
      </c>
      <c r="J511" s="13" t="s">
        <v>852</v>
      </c>
      <c r="K511" s="13" t="s">
        <v>303</v>
      </c>
      <c r="L511" s="13" t="s">
        <v>636</v>
      </c>
      <c r="M511" s="6" t="s">
        <v>188</v>
      </c>
      <c r="N511" s="6" t="s">
        <v>188</v>
      </c>
      <c r="O511" s="6" t="s">
        <v>190</v>
      </c>
      <c r="P511" s="7" t="s">
        <v>333</v>
      </c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>
      <c r="A512" s="12">
        <v>13.0</v>
      </c>
      <c r="B512" s="13" t="s">
        <v>334</v>
      </c>
      <c r="C512" s="13" t="s">
        <v>920</v>
      </c>
      <c r="D512" s="14">
        <f>IF(COUNTIF($B$2:$B512,$B512)&gt;1,"",COUNTIF($B$2:$B$3400,$B512))</f>
        <v>30</v>
      </c>
      <c r="E512" s="14">
        <f>IF(COUNTIF($B$2:$B512,$B512)&gt;1,"",COUNTIFS($B$2:$B$3400,$B512,$K$2:$K$3400,"PHÙ HỢP CAO"))</f>
        <v>2</v>
      </c>
      <c r="F512" s="14">
        <f>IF(COUNTIF($B$2:$B512,$B512)&gt;1,"",COUNTIFS($B$2:$B$3400,$B512,$K$2:$K$3400,"CÓ THỂ ĐI"))</f>
        <v>3</v>
      </c>
      <c r="G512" s="14">
        <f>IF(COUNTIF($B$2:$B512,$B512)&gt;1,"",COUNTIFS($B$2:$B$3400,$B512,$K$2:$K$3400,"CẦN SOÁT"))</f>
        <v>25</v>
      </c>
      <c r="H512" s="15" t="str">
        <f>IFERROR(__xludf.DUMMYFUNCTION("IF(COUNTIF($B$2:$B512,$B512)&gt;1,"""",IFERROR(TEXTJOIN(CHAR(10),TRUE,BYROW(QUERY({$B$2:$B$3400,$J$2:$J$3400},""select Col2, count(Col2) where Col1 = '""&amp;$B512&amp;""' group by Col2 order by count(Col2) desc label count(Col2) ''"",0),LAMBDA(r,INDEX(r,1,1)&amp;"" – "&amp;"""&amp;INDEX(r,1,2)&amp;"" link""))),""""))"),"tra số tài khoản ngân hàng – 15 link
tra tài khoản ngân hàng – 15 link")</f>
        <v>tra số tài khoản ngân hàng – 15 link
tra tài khoản ngân hàng – 15 link</v>
      </c>
      <c r="I512" s="10" t="s">
        <v>1025</v>
      </c>
      <c r="J512" s="13" t="s">
        <v>869</v>
      </c>
      <c r="K512" s="13" t="s">
        <v>184</v>
      </c>
      <c r="L512" s="13" t="s">
        <v>1171</v>
      </c>
      <c r="M512" s="13" t="s">
        <v>188</v>
      </c>
      <c r="N512" s="13" t="s">
        <v>188</v>
      </c>
      <c r="O512" s="13" t="s">
        <v>190</v>
      </c>
      <c r="P512" s="13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>
      <c r="A513" s="12">
        <v>13.0</v>
      </c>
      <c r="B513" s="13" t="s">
        <v>334</v>
      </c>
      <c r="C513" s="13" t="s">
        <v>920</v>
      </c>
      <c r="I513" s="10" t="s">
        <v>1085</v>
      </c>
      <c r="J513" s="13" t="s">
        <v>870</v>
      </c>
      <c r="K513" s="13" t="s">
        <v>184</v>
      </c>
      <c r="L513" s="13" t="s">
        <v>1173</v>
      </c>
      <c r="M513" s="13" t="s">
        <v>188</v>
      </c>
      <c r="N513" s="13" t="s">
        <v>188</v>
      </c>
      <c r="O513" s="13" t="s">
        <v>190</v>
      </c>
      <c r="P513" s="13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>
      <c r="A514" s="12">
        <v>13.0</v>
      </c>
      <c r="B514" s="13" t="s">
        <v>334</v>
      </c>
      <c r="C514" s="13" t="s">
        <v>920</v>
      </c>
      <c r="I514" s="10" t="s">
        <v>1088</v>
      </c>
      <c r="J514" s="13" t="s">
        <v>869</v>
      </c>
      <c r="K514" s="13" t="s">
        <v>283</v>
      </c>
      <c r="L514" s="13" t="s">
        <v>1176</v>
      </c>
      <c r="M514" s="13" t="s">
        <v>188</v>
      </c>
      <c r="N514" s="13" t="s">
        <v>188</v>
      </c>
      <c r="O514" s="13" t="s">
        <v>190</v>
      </c>
      <c r="P514" s="13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>
      <c r="A515" s="12">
        <v>13.0</v>
      </c>
      <c r="B515" s="13" t="s">
        <v>334</v>
      </c>
      <c r="C515" s="13" t="s">
        <v>920</v>
      </c>
      <c r="I515" s="10" t="s">
        <v>1091</v>
      </c>
      <c r="J515" s="13" t="s">
        <v>870</v>
      </c>
      <c r="K515" s="13" t="s">
        <v>283</v>
      </c>
      <c r="L515" s="13" t="s">
        <v>1178</v>
      </c>
      <c r="M515" s="13" t="s">
        <v>188</v>
      </c>
      <c r="N515" s="13" t="s">
        <v>188</v>
      </c>
      <c r="O515" s="13" t="s">
        <v>190</v>
      </c>
      <c r="P515" s="13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>
      <c r="A516" s="12">
        <v>13.0</v>
      </c>
      <c r="B516" s="13" t="s">
        <v>334</v>
      </c>
      <c r="C516" s="13" t="s">
        <v>920</v>
      </c>
      <c r="I516" s="10" t="s">
        <v>689</v>
      </c>
      <c r="J516" s="13" t="s">
        <v>869</v>
      </c>
      <c r="K516" s="13" t="s">
        <v>283</v>
      </c>
      <c r="L516" s="13" t="s">
        <v>1182</v>
      </c>
      <c r="M516" s="13" t="s">
        <v>188</v>
      </c>
      <c r="N516" s="13" t="s">
        <v>188</v>
      </c>
      <c r="O516" s="13" t="s">
        <v>190</v>
      </c>
      <c r="P516" s="13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>
      <c r="A517" s="12">
        <v>13.0</v>
      </c>
      <c r="B517" s="13" t="s">
        <v>334</v>
      </c>
      <c r="C517" s="13" t="s">
        <v>920</v>
      </c>
      <c r="I517" s="10" t="s">
        <v>1041</v>
      </c>
      <c r="J517" s="13" t="s">
        <v>870</v>
      </c>
      <c r="K517" s="13" t="s">
        <v>303</v>
      </c>
      <c r="L517" s="13" t="s">
        <v>1184</v>
      </c>
      <c r="M517" s="13" t="s">
        <v>188</v>
      </c>
      <c r="N517" s="13" t="s">
        <v>188</v>
      </c>
      <c r="O517" s="13" t="s">
        <v>190</v>
      </c>
      <c r="P517" s="13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>
      <c r="A518" s="12">
        <v>13.0</v>
      </c>
      <c r="B518" s="13" t="s">
        <v>334</v>
      </c>
      <c r="C518" s="13" t="s">
        <v>920</v>
      </c>
      <c r="I518" s="10" t="s">
        <v>1161</v>
      </c>
      <c r="J518" s="13" t="s">
        <v>869</v>
      </c>
      <c r="K518" s="13" t="s">
        <v>303</v>
      </c>
      <c r="L518" s="13" t="s">
        <v>1188</v>
      </c>
      <c r="M518" s="13" t="s">
        <v>188</v>
      </c>
      <c r="N518" s="13" t="s">
        <v>188</v>
      </c>
      <c r="O518" s="13" t="s">
        <v>190</v>
      </c>
      <c r="P518" s="13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>
      <c r="A519" s="12">
        <v>13.0</v>
      </c>
      <c r="B519" s="13" t="s">
        <v>334</v>
      </c>
      <c r="C519" s="13" t="s">
        <v>920</v>
      </c>
      <c r="I519" s="10" t="s">
        <v>1190</v>
      </c>
      <c r="J519" s="13" t="s">
        <v>870</v>
      </c>
      <c r="K519" s="13" t="s">
        <v>303</v>
      </c>
      <c r="L519" s="13" t="s">
        <v>1184</v>
      </c>
      <c r="M519" s="13" t="s">
        <v>188</v>
      </c>
      <c r="N519" s="13" t="s">
        <v>188</v>
      </c>
      <c r="O519" s="13" t="s">
        <v>190</v>
      </c>
      <c r="P519" s="13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>
      <c r="A520" s="12">
        <v>13.0</v>
      </c>
      <c r="B520" s="13" t="s">
        <v>334</v>
      </c>
      <c r="C520" s="13" t="s">
        <v>920</v>
      </c>
      <c r="I520" s="10" t="s">
        <v>979</v>
      </c>
      <c r="J520" s="13" t="s">
        <v>869</v>
      </c>
      <c r="K520" s="13" t="s">
        <v>303</v>
      </c>
      <c r="L520" s="13" t="s">
        <v>1184</v>
      </c>
      <c r="M520" s="13" t="s">
        <v>188</v>
      </c>
      <c r="N520" s="13" t="s">
        <v>188</v>
      </c>
      <c r="O520" s="13" t="s">
        <v>190</v>
      </c>
      <c r="P520" s="13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>
      <c r="A521" s="12">
        <v>13.0</v>
      </c>
      <c r="B521" s="13" t="s">
        <v>334</v>
      </c>
      <c r="C521" s="13" t="s">
        <v>920</v>
      </c>
      <c r="I521" s="10" t="s">
        <v>1194</v>
      </c>
      <c r="J521" s="13" t="s">
        <v>870</v>
      </c>
      <c r="K521" s="13" t="s">
        <v>303</v>
      </c>
      <c r="L521" s="13" t="s">
        <v>1184</v>
      </c>
      <c r="M521" s="13" t="s">
        <v>188</v>
      </c>
      <c r="N521" s="13" t="s">
        <v>188</v>
      </c>
      <c r="O521" s="13" t="s">
        <v>190</v>
      </c>
      <c r="P521" s="13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>
      <c r="A522" s="12">
        <v>13.0</v>
      </c>
      <c r="B522" s="13" t="s">
        <v>334</v>
      </c>
      <c r="C522" s="13" t="s">
        <v>920</v>
      </c>
      <c r="I522" s="10" t="s">
        <v>431</v>
      </c>
      <c r="J522" s="13" t="s">
        <v>869</v>
      </c>
      <c r="K522" s="13" t="s">
        <v>303</v>
      </c>
      <c r="L522" s="13" t="s">
        <v>1184</v>
      </c>
      <c r="M522" s="13" t="s">
        <v>188</v>
      </c>
      <c r="N522" s="13" t="s">
        <v>188</v>
      </c>
      <c r="O522" s="13" t="s">
        <v>190</v>
      </c>
      <c r="P522" s="13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>
      <c r="A523" s="12">
        <v>13.0</v>
      </c>
      <c r="B523" s="13" t="s">
        <v>334</v>
      </c>
      <c r="C523" s="13" t="s">
        <v>920</v>
      </c>
      <c r="I523" s="10" t="s">
        <v>1195</v>
      </c>
      <c r="J523" s="13" t="s">
        <v>870</v>
      </c>
      <c r="K523" s="13" t="s">
        <v>303</v>
      </c>
      <c r="L523" s="13" t="s">
        <v>1184</v>
      </c>
      <c r="M523" s="13" t="s">
        <v>188</v>
      </c>
      <c r="N523" s="13" t="s">
        <v>188</v>
      </c>
      <c r="O523" s="13" t="s">
        <v>190</v>
      </c>
      <c r="P523" s="13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>
      <c r="A524" s="12">
        <v>13.0</v>
      </c>
      <c r="B524" s="13" t="s">
        <v>334</v>
      </c>
      <c r="C524" s="13" t="s">
        <v>920</v>
      </c>
      <c r="I524" s="10" t="s">
        <v>1201</v>
      </c>
      <c r="J524" s="13" t="s">
        <v>869</v>
      </c>
      <c r="K524" s="13" t="s">
        <v>303</v>
      </c>
      <c r="L524" s="13" t="s">
        <v>1184</v>
      </c>
      <c r="M524" s="13" t="s">
        <v>188</v>
      </c>
      <c r="N524" s="13" t="s">
        <v>188</v>
      </c>
      <c r="O524" s="13" t="s">
        <v>190</v>
      </c>
      <c r="P524" s="13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>
      <c r="A525" s="12">
        <v>13.0</v>
      </c>
      <c r="B525" s="13" t="s">
        <v>334</v>
      </c>
      <c r="C525" s="13" t="s">
        <v>920</v>
      </c>
      <c r="I525" s="10" t="s">
        <v>989</v>
      </c>
      <c r="J525" s="13" t="s">
        <v>870</v>
      </c>
      <c r="K525" s="13" t="s">
        <v>303</v>
      </c>
      <c r="L525" s="13" t="s">
        <v>1184</v>
      </c>
      <c r="M525" s="13" t="s">
        <v>188</v>
      </c>
      <c r="N525" s="13" t="s">
        <v>188</v>
      </c>
      <c r="O525" s="13" t="s">
        <v>190</v>
      </c>
      <c r="P525" s="13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>
      <c r="A526" s="12">
        <v>13.0</v>
      </c>
      <c r="B526" s="13" t="s">
        <v>334</v>
      </c>
      <c r="C526" s="13" t="s">
        <v>920</v>
      </c>
      <c r="I526" s="10" t="s">
        <v>1187</v>
      </c>
      <c r="J526" s="13" t="s">
        <v>869</v>
      </c>
      <c r="K526" s="13" t="s">
        <v>303</v>
      </c>
      <c r="L526" s="13" t="s">
        <v>1184</v>
      </c>
      <c r="M526" s="13" t="s">
        <v>188</v>
      </c>
      <c r="N526" s="13" t="s">
        <v>188</v>
      </c>
      <c r="O526" s="13" t="s">
        <v>190</v>
      </c>
      <c r="P526" s="13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>
      <c r="A527" s="12">
        <v>13.0</v>
      </c>
      <c r="B527" s="13" t="s">
        <v>334</v>
      </c>
      <c r="C527" s="13" t="s">
        <v>920</v>
      </c>
      <c r="I527" s="10" t="s">
        <v>1017</v>
      </c>
      <c r="J527" s="13" t="s">
        <v>870</v>
      </c>
      <c r="K527" s="13" t="s">
        <v>303</v>
      </c>
      <c r="L527" s="13" t="s">
        <v>1184</v>
      </c>
      <c r="M527" s="13" t="s">
        <v>188</v>
      </c>
      <c r="N527" s="13" t="s">
        <v>188</v>
      </c>
      <c r="O527" s="13" t="s">
        <v>190</v>
      </c>
      <c r="P527" s="13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>
      <c r="A528" s="12">
        <v>13.0</v>
      </c>
      <c r="B528" s="13" t="s">
        <v>334</v>
      </c>
      <c r="C528" s="13" t="s">
        <v>920</v>
      </c>
      <c r="I528" s="10" t="s">
        <v>1210</v>
      </c>
      <c r="J528" s="13" t="s">
        <v>869</v>
      </c>
      <c r="K528" s="13" t="s">
        <v>303</v>
      </c>
      <c r="L528" s="13" t="s">
        <v>1188</v>
      </c>
      <c r="M528" s="13" t="s">
        <v>188</v>
      </c>
      <c r="N528" s="13" t="s">
        <v>188</v>
      </c>
      <c r="O528" s="13" t="s">
        <v>190</v>
      </c>
      <c r="P528" s="13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>
      <c r="A529" s="12">
        <v>13.0</v>
      </c>
      <c r="B529" s="13" t="s">
        <v>334</v>
      </c>
      <c r="C529" s="13" t="s">
        <v>920</v>
      </c>
      <c r="I529" s="10" t="s">
        <v>1213</v>
      </c>
      <c r="J529" s="13" t="s">
        <v>870</v>
      </c>
      <c r="K529" s="13" t="s">
        <v>303</v>
      </c>
      <c r="L529" s="13" t="s">
        <v>1188</v>
      </c>
      <c r="M529" s="13" t="s">
        <v>188</v>
      </c>
      <c r="N529" s="13" t="s">
        <v>188</v>
      </c>
      <c r="O529" s="13" t="s">
        <v>190</v>
      </c>
      <c r="P529" s="13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>
      <c r="A530" s="12">
        <v>13.0</v>
      </c>
      <c r="B530" s="13" t="s">
        <v>334</v>
      </c>
      <c r="C530" s="13" t="s">
        <v>920</v>
      </c>
      <c r="I530" s="10" t="s">
        <v>1183</v>
      </c>
      <c r="J530" s="13" t="s">
        <v>869</v>
      </c>
      <c r="K530" s="13" t="s">
        <v>303</v>
      </c>
      <c r="L530" s="13" t="s">
        <v>1184</v>
      </c>
      <c r="M530" s="13" t="s">
        <v>188</v>
      </c>
      <c r="N530" s="13" t="s">
        <v>188</v>
      </c>
      <c r="O530" s="13" t="s">
        <v>190</v>
      </c>
      <c r="P530" s="13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>
      <c r="A531" s="12">
        <v>13.0</v>
      </c>
      <c r="B531" s="13" t="s">
        <v>334</v>
      </c>
      <c r="C531" s="13" t="s">
        <v>920</v>
      </c>
      <c r="I531" s="10" t="s">
        <v>1216</v>
      </c>
      <c r="J531" s="13" t="s">
        <v>870</v>
      </c>
      <c r="K531" s="13" t="s">
        <v>303</v>
      </c>
      <c r="L531" s="13" t="s">
        <v>1184</v>
      </c>
      <c r="M531" s="13" t="s">
        <v>188</v>
      </c>
      <c r="N531" s="13" t="s">
        <v>188</v>
      </c>
      <c r="O531" s="13" t="s">
        <v>190</v>
      </c>
      <c r="P531" s="13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>
      <c r="A532" s="12">
        <v>13.0</v>
      </c>
      <c r="B532" s="13" t="s">
        <v>334</v>
      </c>
      <c r="C532" s="13" t="s">
        <v>920</v>
      </c>
      <c r="I532" s="10" t="s">
        <v>943</v>
      </c>
      <c r="J532" s="13" t="s">
        <v>869</v>
      </c>
      <c r="K532" s="13" t="s">
        <v>303</v>
      </c>
      <c r="L532" s="13" t="s">
        <v>1184</v>
      </c>
      <c r="M532" s="13" t="s">
        <v>188</v>
      </c>
      <c r="N532" s="13" t="s">
        <v>188</v>
      </c>
      <c r="O532" s="13" t="s">
        <v>190</v>
      </c>
      <c r="P532" s="13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>
      <c r="A533" s="12">
        <v>13.0</v>
      </c>
      <c r="B533" s="13" t="s">
        <v>334</v>
      </c>
      <c r="C533" s="13" t="s">
        <v>920</v>
      </c>
      <c r="I533" s="10" t="s">
        <v>1221</v>
      </c>
      <c r="J533" s="13" t="s">
        <v>870</v>
      </c>
      <c r="K533" s="13" t="s">
        <v>303</v>
      </c>
      <c r="L533" s="13" t="s">
        <v>1188</v>
      </c>
      <c r="M533" s="13" t="s">
        <v>188</v>
      </c>
      <c r="N533" s="13" t="s">
        <v>188</v>
      </c>
      <c r="O533" s="13" t="s">
        <v>190</v>
      </c>
      <c r="P533" s="13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>
      <c r="A534" s="12">
        <v>13.0</v>
      </c>
      <c r="B534" s="7" t="s">
        <v>334</v>
      </c>
      <c r="C534" s="7" t="s">
        <v>920</v>
      </c>
      <c r="I534" s="13" t="s">
        <v>945</v>
      </c>
      <c r="J534" s="13" t="s">
        <v>869</v>
      </c>
      <c r="K534" s="13" t="s">
        <v>303</v>
      </c>
      <c r="L534" s="13" t="s">
        <v>1222</v>
      </c>
      <c r="M534" s="6" t="s">
        <v>188</v>
      </c>
      <c r="N534" s="6" t="s">
        <v>188</v>
      </c>
      <c r="O534" s="6" t="s">
        <v>190</v>
      </c>
      <c r="P534" s="7" t="s">
        <v>333</v>
      </c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>
      <c r="A535" s="12">
        <v>13.0</v>
      </c>
      <c r="B535" s="7" t="s">
        <v>334</v>
      </c>
      <c r="C535" s="7" t="s">
        <v>920</v>
      </c>
      <c r="I535" s="13" t="s">
        <v>407</v>
      </c>
      <c r="J535" s="13" t="s">
        <v>870</v>
      </c>
      <c r="K535" s="13" t="s">
        <v>303</v>
      </c>
      <c r="L535" s="13" t="s">
        <v>1226</v>
      </c>
      <c r="M535" s="6" t="s">
        <v>188</v>
      </c>
      <c r="N535" s="6" t="s">
        <v>188</v>
      </c>
      <c r="O535" s="6" t="s">
        <v>190</v>
      </c>
      <c r="P535" s="7" t="s">
        <v>333</v>
      </c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>
      <c r="A536" s="12">
        <v>13.0</v>
      </c>
      <c r="B536" s="7" t="s">
        <v>334</v>
      </c>
      <c r="C536" s="7" t="s">
        <v>920</v>
      </c>
      <c r="I536" s="13" t="s">
        <v>976</v>
      </c>
      <c r="J536" s="13" t="s">
        <v>869</v>
      </c>
      <c r="K536" s="13" t="s">
        <v>303</v>
      </c>
      <c r="L536" s="13" t="s">
        <v>1227</v>
      </c>
      <c r="M536" s="6" t="s">
        <v>188</v>
      </c>
      <c r="N536" s="6" t="s">
        <v>188</v>
      </c>
      <c r="O536" s="6" t="s">
        <v>190</v>
      </c>
      <c r="P536" s="7" t="s">
        <v>333</v>
      </c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>
      <c r="A537" s="12">
        <v>13.0</v>
      </c>
      <c r="B537" s="7" t="s">
        <v>334</v>
      </c>
      <c r="C537" s="7" t="s">
        <v>920</v>
      </c>
      <c r="I537" s="13" t="s">
        <v>984</v>
      </c>
      <c r="J537" s="13" t="s">
        <v>870</v>
      </c>
      <c r="K537" s="13" t="s">
        <v>303</v>
      </c>
      <c r="L537" s="13" t="s">
        <v>1230</v>
      </c>
      <c r="M537" s="6" t="s">
        <v>188</v>
      </c>
      <c r="N537" s="6" t="s">
        <v>188</v>
      </c>
      <c r="O537" s="6" t="s">
        <v>190</v>
      </c>
      <c r="P537" s="7" t="s">
        <v>333</v>
      </c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>
      <c r="A538" s="12">
        <v>13.0</v>
      </c>
      <c r="B538" s="7" t="s">
        <v>334</v>
      </c>
      <c r="C538" s="7" t="s">
        <v>920</v>
      </c>
      <c r="I538" s="13" t="s">
        <v>1032</v>
      </c>
      <c r="J538" s="13" t="s">
        <v>869</v>
      </c>
      <c r="K538" s="13" t="s">
        <v>303</v>
      </c>
      <c r="L538" s="13" t="s">
        <v>1232</v>
      </c>
      <c r="M538" s="6" t="s">
        <v>188</v>
      </c>
      <c r="N538" s="6" t="s">
        <v>188</v>
      </c>
      <c r="O538" s="6" t="s">
        <v>190</v>
      </c>
      <c r="P538" s="7" t="s">
        <v>333</v>
      </c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>
      <c r="A539" s="12">
        <v>13.0</v>
      </c>
      <c r="B539" s="7" t="s">
        <v>334</v>
      </c>
      <c r="C539" s="7" t="s">
        <v>920</v>
      </c>
      <c r="I539" s="13" t="s">
        <v>1034</v>
      </c>
      <c r="J539" s="13" t="s">
        <v>870</v>
      </c>
      <c r="K539" s="13" t="s">
        <v>303</v>
      </c>
      <c r="L539" s="13" t="s">
        <v>1237</v>
      </c>
      <c r="M539" s="6" t="s">
        <v>188</v>
      </c>
      <c r="N539" s="6" t="s">
        <v>188</v>
      </c>
      <c r="O539" s="6" t="s">
        <v>190</v>
      </c>
      <c r="P539" s="7" t="s">
        <v>333</v>
      </c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>
      <c r="A540" s="12">
        <v>13.0</v>
      </c>
      <c r="B540" s="7" t="s">
        <v>334</v>
      </c>
      <c r="C540" s="7" t="s">
        <v>920</v>
      </c>
      <c r="I540" s="13" t="s">
        <v>1036</v>
      </c>
      <c r="J540" s="13" t="s">
        <v>869</v>
      </c>
      <c r="K540" s="13" t="s">
        <v>303</v>
      </c>
      <c r="L540" s="13" t="s">
        <v>1239</v>
      </c>
      <c r="M540" s="6" t="s">
        <v>188</v>
      </c>
      <c r="N540" s="6" t="s">
        <v>188</v>
      </c>
      <c r="O540" s="6" t="s">
        <v>190</v>
      </c>
      <c r="P540" s="7" t="s">
        <v>333</v>
      </c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>
      <c r="A541" s="12">
        <v>13.0</v>
      </c>
      <c r="B541" s="7" t="s">
        <v>334</v>
      </c>
      <c r="C541" s="7" t="s">
        <v>920</v>
      </c>
      <c r="I541" s="13" t="s">
        <v>1039</v>
      </c>
      <c r="J541" s="13" t="s">
        <v>870</v>
      </c>
      <c r="K541" s="13" t="s">
        <v>303</v>
      </c>
      <c r="L541" s="13" t="s">
        <v>1240</v>
      </c>
      <c r="M541" s="6" t="s">
        <v>188</v>
      </c>
      <c r="N541" s="6" t="s">
        <v>188</v>
      </c>
      <c r="O541" s="6" t="s">
        <v>190</v>
      </c>
      <c r="P541" s="7" t="s">
        <v>333</v>
      </c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>
      <c r="A542" s="12">
        <v>14.0</v>
      </c>
      <c r="B542" s="13" t="s">
        <v>346</v>
      </c>
      <c r="C542" s="13" t="s">
        <v>920</v>
      </c>
      <c r="D542" s="14">
        <f>IF(COUNTIF($B$2:$B542,$B542)&gt;1,"",COUNTIF($B$2:$B$3400,$B542))</f>
        <v>30</v>
      </c>
      <c r="E542" s="14">
        <f>IF(COUNTIF($B$2:$B542,$B542)&gt;1,"",COUNTIFS($B$2:$B$3400,$B542,$K$2:$K$3400,"PHÙ HỢP CAO"))</f>
        <v>4</v>
      </c>
      <c r="F542" s="14">
        <f>IF(COUNTIF($B$2:$B542,$B542)&gt;1,"",COUNTIFS($B$2:$B$3400,$B542,$K$2:$K$3400,"CÓ THỂ ĐI"))</f>
        <v>1</v>
      </c>
      <c r="G542" s="14">
        <f>IF(COUNTIF($B$2:$B542,$B542)&gt;1,"",COUNTIFS($B$2:$B$3400,$B542,$K$2:$K$3400,"CẦN SOÁT"))</f>
        <v>25</v>
      </c>
      <c r="H542" s="15" t="str">
        <f>IFERROR(__xludf.DUMMYFUNCTION("IF(COUNTIF($B$2:$B542,$B542)&gt;1,"""",IFERROR(TEXTJOIN(CHAR(10),TRUE,BYROW(QUERY({$B$2:$B$3400,$J$2:$J$3400},""select Col2, count(Col2) where Col1 = '""&amp;$B542&amp;""' group by Col2 order by count(Col2) desc label count(Col2) ''"",0),LAMBDA(r,INDEX(r,1,1)&amp;"" – "&amp;"""&amp;INDEX(r,1,2)&amp;"" link""))),""""))"),"cách tạo tài khoản ngân hàng – 15 link
mở tài khoản ngân hàng online – 15 link")</f>
        <v>cách tạo tài khoản ngân hàng – 15 link
mở tài khoản ngân hàng online – 15 link</v>
      </c>
      <c r="I542" s="10" t="s">
        <v>1096</v>
      </c>
      <c r="J542" s="13" t="s">
        <v>865</v>
      </c>
      <c r="K542" s="13" t="s">
        <v>184</v>
      </c>
      <c r="L542" s="13" t="s">
        <v>1253</v>
      </c>
      <c r="M542" s="13" t="s">
        <v>188</v>
      </c>
      <c r="N542" s="13" t="s">
        <v>188</v>
      </c>
      <c r="O542" s="13" t="s">
        <v>190</v>
      </c>
      <c r="P542" s="13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>
      <c r="A543" s="12">
        <v>14.0</v>
      </c>
      <c r="B543" s="13" t="s">
        <v>346</v>
      </c>
      <c r="C543" s="13" t="s">
        <v>920</v>
      </c>
      <c r="I543" s="10" t="s">
        <v>1100</v>
      </c>
      <c r="J543" s="13" t="s">
        <v>867</v>
      </c>
      <c r="K543" s="13" t="s">
        <v>184</v>
      </c>
      <c r="L543" s="13" t="s">
        <v>1257</v>
      </c>
      <c r="M543" s="13" t="s">
        <v>188</v>
      </c>
      <c r="N543" s="13" t="s">
        <v>188</v>
      </c>
      <c r="O543" s="13" t="s">
        <v>190</v>
      </c>
      <c r="P543" s="13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>
      <c r="A544" s="12">
        <v>14.0</v>
      </c>
      <c r="B544" s="13" t="s">
        <v>346</v>
      </c>
      <c r="C544" s="13" t="s">
        <v>920</v>
      </c>
      <c r="I544" s="10" t="s">
        <v>1036</v>
      </c>
      <c r="J544" s="13" t="s">
        <v>865</v>
      </c>
      <c r="K544" s="13" t="s">
        <v>184</v>
      </c>
      <c r="L544" s="13" t="s">
        <v>1261</v>
      </c>
      <c r="M544" s="13" t="s">
        <v>188</v>
      </c>
      <c r="N544" s="13" t="s">
        <v>188</v>
      </c>
      <c r="O544" s="13" t="s">
        <v>190</v>
      </c>
      <c r="P544" s="13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>
      <c r="A545" s="12">
        <v>14.0</v>
      </c>
      <c r="B545" s="13" t="s">
        <v>346</v>
      </c>
      <c r="C545" s="13" t="s">
        <v>920</v>
      </c>
      <c r="I545" s="10" t="s">
        <v>1039</v>
      </c>
      <c r="J545" s="13" t="s">
        <v>867</v>
      </c>
      <c r="K545" s="13" t="s">
        <v>184</v>
      </c>
      <c r="L545" s="13" t="s">
        <v>1265</v>
      </c>
      <c r="M545" s="13" t="s">
        <v>188</v>
      </c>
      <c r="N545" s="13" t="s">
        <v>188</v>
      </c>
      <c r="O545" s="13" t="s">
        <v>190</v>
      </c>
      <c r="P545" s="13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>
      <c r="A546" s="12">
        <v>14.0</v>
      </c>
      <c r="B546" s="13" t="s">
        <v>346</v>
      </c>
      <c r="C546" s="13" t="s">
        <v>920</v>
      </c>
      <c r="I546" s="10" t="s">
        <v>976</v>
      </c>
      <c r="J546" s="13" t="s">
        <v>865</v>
      </c>
      <c r="K546" s="13" t="s">
        <v>283</v>
      </c>
      <c r="L546" s="13" t="s">
        <v>1267</v>
      </c>
      <c r="M546" s="13" t="s">
        <v>188</v>
      </c>
      <c r="N546" s="13" t="s">
        <v>188</v>
      </c>
      <c r="O546" s="13" t="s">
        <v>190</v>
      </c>
      <c r="P546" s="13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>
      <c r="A547" s="12">
        <v>14.0</v>
      </c>
      <c r="B547" s="13" t="s">
        <v>346</v>
      </c>
      <c r="C547" s="13" t="s">
        <v>920</v>
      </c>
      <c r="I547" s="10" t="s">
        <v>674</v>
      </c>
      <c r="J547" s="13" t="s">
        <v>867</v>
      </c>
      <c r="K547" s="13" t="s">
        <v>303</v>
      </c>
      <c r="L547" s="13" t="s">
        <v>1270</v>
      </c>
      <c r="M547" s="13" t="s">
        <v>188</v>
      </c>
      <c r="N547" s="13" t="s">
        <v>188</v>
      </c>
      <c r="O547" s="13" t="s">
        <v>190</v>
      </c>
      <c r="P547" s="13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>
      <c r="A548" s="12">
        <v>14.0</v>
      </c>
      <c r="B548" s="13" t="s">
        <v>346</v>
      </c>
      <c r="C548" s="13" t="s">
        <v>920</v>
      </c>
      <c r="I548" s="10" t="s">
        <v>659</v>
      </c>
      <c r="J548" s="13" t="s">
        <v>865</v>
      </c>
      <c r="K548" s="13" t="s">
        <v>303</v>
      </c>
      <c r="L548" s="13" t="s">
        <v>1271</v>
      </c>
      <c r="M548" s="13" t="s">
        <v>188</v>
      </c>
      <c r="N548" s="13" t="s">
        <v>188</v>
      </c>
      <c r="O548" s="13" t="s">
        <v>190</v>
      </c>
      <c r="P548" s="13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>
      <c r="A549" s="12">
        <v>14.0</v>
      </c>
      <c r="B549" s="13" t="s">
        <v>346</v>
      </c>
      <c r="C549" s="13" t="s">
        <v>920</v>
      </c>
      <c r="I549" s="10" t="s">
        <v>589</v>
      </c>
      <c r="J549" s="13" t="s">
        <v>867</v>
      </c>
      <c r="K549" s="13" t="s">
        <v>303</v>
      </c>
      <c r="L549" s="13" t="s">
        <v>1270</v>
      </c>
      <c r="M549" s="13" t="s">
        <v>188</v>
      </c>
      <c r="N549" s="13" t="s">
        <v>188</v>
      </c>
      <c r="O549" s="13" t="s">
        <v>190</v>
      </c>
      <c r="P549" s="13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>
      <c r="A550" s="12">
        <v>14.0</v>
      </c>
      <c r="B550" s="13" t="s">
        <v>346</v>
      </c>
      <c r="C550" s="13" t="s">
        <v>920</v>
      </c>
      <c r="I550" s="10" t="s">
        <v>557</v>
      </c>
      <c r="J550" s="13" t="s">
        <v>865</v>
      </c>
      <c r="K550" s="13" t="s">
        <v>303</v>
      </c>
      <c r="L550" s="13" t="s">
        <v>1271</v>
      </c>
      <c r="M550" s="13" t="s">
        <v>188</v>
      </c>
      <c r="N550" s="13" t="s">
        <v>188</v>
      </c>
      <c r="O550" s="13" t="s">
        <v>190</v>
      </c>
      <c r="P550" s="13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>
      <c r="A551" s="12">
        <v>14.0</v>
      </c>
      <c r="B551" s="13" t="s">
        <v>346</v>
      </c>
      <c r="C551" s="13" t="s">
        <v>920</v>
      </c>
      <c r="I551" s="10" t="s">
        <v>689</v>
      </c>
      <c r="J551" s="13" t="s">
        <v>867</v>
      </c>
      <c r="K551" s="13" t="s">
        <v>303</v>
      </c>
      <c r="L551" s="13" t="s">
        <v>1271</v>
      </c>
      <c r="M551" s="13" t="s">
        <v>188</v>
      </c>
      <c r="N551" s="13" t="s">
        <v>188</v>
      </c>
      <c r="O551" s="13" t="s">
        <v>190</v>
      </c>
      <c r="P551" s="13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>
      <c r="A552" s="12">
        <v>14.0</v>
      </c>
      <c r="B552" s="13" t="s">
        <v>346</v>
      </c>
      <c r="C552" s="13" t="s">
        <v>920</v>
      </c>
      <c r="I552" s="10" t="s">
        <v>1280</v>
      </c>
      <c r="J552" s="13" t="s">
        <v>865</v>
      </c>
      <c r="K552" s="13" t="s">
        <v>303</v>
      </c>
      <c r="L552" s="13" t="s">
        <v>1271</v>
      </c>
      <c r="M552" s="13" t="s">
        <v>188</v>
      </c>
      <c r="N552" s="13" t="s">
        <v>188</v>
      </c>
      <c r="O552" s="13" t="s">
        <v>190</v>
      </c>
      <c r="P552" s="13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>
      <c r="A553" s="12">
        <v>14.0</v>
      </c>
      <c r="B553" s="13" t="s">
        <v>346</v>
      </c>
      <c r="C553" s="13" t="s">
        <v>920</v>
      </c>
      <c r="I553" s="10" t="s">
        <v>1041</v>
      </c>
      <c r="J553" s="13" t="s">
        <v>867</v>
      </c>
      <c r="K553" s="13" t="s">
        <v>303</v>
      </c>
      <c r="L553" s="13" t="s">
        <v>1271</v>
      </c>
      <c r="M553" s="13" t="s">
        <v>188</v>
      </c>
      <c r="N553" s="13" t="s">
        <v>188</v>
      </c>
      <c r="O553" s="13" t="s">
        <v>190</v>
      </c>
      <c r="P553" s="13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>
      <c r="A554" s="12">
        <v>14.0</v>
      </c>
      <c r="B554" s="13" t="s">
        <v>346</v>
      </c>
      <c r="C554" s="13" t="s">
        <v>920</v>
      </c>
      <c r="I554" s="10" t="s">
        <v>664</v>
      </c>
      <c r="J554" s="13" t="s">
        <v>865</v>
      </c>
      <c r="K554" s="13" t="s">
        <v>303</v>
      </c>
      <c r="L554" s="13" t="s">
        <v>1271</v>
      </c>
      <c r="M554" s="13" t="s">
        <v>188</v>
      </c>
      <c r="N554" s="13" t="s">
        <v>188</v>
      </c>
      <c r="O554" s="13" t="s">
        <v>190</v>
      </c>
      <c r="P554" s="13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>
      <c r="A555" s="12">
        <v>14.0</v>
      </c>
      <c r="B555" s="13" t="s">
        <v>346</v>
      </c>
      <c r="C555" s="13" t="s">
        <v>920</v>
      </c>
      <c r="I555" s="10" t="s">
        <v>1119</v>
      </c>
      <c r="J555" s="13" t="s">
        <v>867</v>
      </c>
      <c r="K555" s="13" t="s">
        <v>303</v>
      </c>
      <c r="L555" s="13" t="s">
        <v>1288</v>
      </c>
      <c r="M555" s="13" t="s">
        <v>188</v>
      </c>
      <c r="N555" s="13" t="s">
        <v>188</v>
      </c>
      <c r="O555" s="13" t="s">
        <v>190</v>
      </c>
      <c r="P555" s="13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>
      <c r="A556" s="12">
        <v>14.0</v>
      </c>
      <c r="B556" s="13" t="s">
        <v>346</v>
      </c>
      <c r="C556" s="13" t="s">
        <v>920</v>
      </c>
      <c r="I556" s="10" t="s">
        <v>1289</v>
      </c>
      <c r="J556" s="13" t="s">
        <v>865</v>
      </c>
      <c r="K556" s="13" t="s">
        <v>303</v>
      </c>
      <c r="L556" s="13" t="s">
        <v>1271</v>
      </c>
      <c r="M556" s="13" t="s">
        <v>188</v>
      </c>
      <c r="N556" s="13" t="s">
        <v>188</v>
      </c>
      <c r="O556" s="13" t="s">
        <v>190</v>
      </c>
      <c r="P556" s="13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>
      <c r="A557" s="12">
        <v>14.0</v>
      </c>
      <c r="B557" s="13" t="s">
        <v>346</v>
      </c>
      <c r="C557" s="13" t="s">
        <v>920</v>
      </c>
      <c r="I557" s="10" t="s">
        <v>1293</v>
      </c>
      <c r="J557" s="13" t="s">
        <v>867</v>
      </c>
      <c r="K557" s="13" t="s">
        <v>303</v>
      </c>
      <c r="L557" s="13" t="s">
        <v>1295</v>
      </c>
      <c r="M557" s="13" t="s">
        <v>188</v>
      </c>
      <c r="N557" s="13" t="s">
        <v>188</v>
      </c>
      <c r="O557" s="13" t="s">
        <v>190</v>
      </c>
      <c r="P557" s="13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>
      <c r="A558" s="12">
        <v>14.0</v>
      </c>
      <c r="B558" s="13" t="s">
        <v>346</v>
      </c>
      <c r="C558" s="13" t="s">
        <v>920</v>
      </c>
      <c r="I558" s="10" t="s">
        <v>407</v>
      </c>
      <c r="J558" s="13" t="s">
        <v>865</v>
      </c>
      <c r="K558" s="13" t="s">
        <v>303</v>
      </c>
      <c r="L558" s="13" t="s">
        <v>1271</v>
      </c>
      <c r="M558" s="13" t="s">
        <v>188</v>
      </c>
      <c r="N558" s="13" t="s">
        <v>188</v>
      </c>
      <c r="O558" s="13" t="s">
        <v>190</v>
      </c>
      <c r="P558" s="13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>
      <c r="A559" s="12">
        <v>14.0</v>
      </c>
      <c r="B559" s="13" t="s">
        <v>346</v>
      </c>
      <c r="C559" s="13" t="s">
        <v>920</v>
      </c>
      <c r="I559" s="10" t="s">
        <v>1032</v>
      </c>
      <c r="J559" s="13" t="s">
        <v>867</v>
      </c>
      <c r="K559" s="13" t="s">
        <v>303</v>
      </c>
      <c r="L559" s="13" t="s">
        <v>1271</v>
      </c>
      <c r="M559" s="13" t="s">
        <v>188</v>
      </c>
      <c r="N559" s="13" t="s">
        <v>188</v>
      </c>
      <c r="O559" s="13" t="s">
        <v>190</v>
      </c>
      <c r="P559" s="13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>
      <c r="A560" s="12">
        <v>14.0</v>
      </c>
      <c r="B560" s="13" t="s">
        <v>346</v>
      </c>
      <c r="C560" s="13" t="s">
        <v>920</v>
      </c>
      <c r="I560" s="10" t="s">
        <v>1244</v>
      </c>
      <c r="J560" s="13" t="s">
        <v>865</v>
      </c>
      <c r="K560" s="13" t="s">
        <v>303</v>
      </c>
      <c r="L560" s="13" t="s">
        <v>1300</v>
      </c>
      <c r="M560" s="13" t="s">
        <v>188</v>
      </c>
      <c r="N560" s="13" t="s">
        <v>188</v>
      </c>
      <c r="O560" s="13" t="s">
        <v>190</v>
      </c>
      <c r="P560" s="13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>
      <c r="A561" s="12">
        <v>14.0</v>
      </c>
      <c r="B561" s="13" t="s">
        <v>346</v>
      </c>
      <c r="C561" s="13" t="s">
        <v>920</v>
      </c>
      <c r="I561" s="10" t="s">
        <v>1190</v>
      </c>
      <c r="J561" s="13" t="s">
        <v>867</v>
      </c>
      <c r="K561" s="13" t="s">
        <v>303</v>
      </c>
      <c r="L561" s="13" t="s">
        <v>1271</v>
      </c>
      <c r="M561" s="13" t="s">
        <v>188</v>
      </c>
      <c r="N561" s="13" t="s">
        <v>188</v>
      </c>
      <c r="O561" s="13" t="s">
        <v>190</v>
      </c>
      <c r="P561" s="13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>
      <c r="A562" s="12">
        <v>14.0</v>
      </c>
      <c r="B562" s="13" t="s">
        <v>346</v>
      </c>
      <c r="C562" s="13" t="s">
        <v>920</v>
      </c>
      <c r="I562" s="10" t="s">
        <v>1302</v>
      </c>
      <c r="J562" s="13" t="s">
        <v>865</v>
      </c>
      <c r="K562" s="13" t="s">
        <v>303</v>
      </c>
      <c r="L562" s="13" t="s">
        <v>1271</v>
      </c>
      <c r="M562" s="13" t="s">
        <v>188</v>
      </c>
      <c r="N562" s="13" t="s">
        <v>188</v>
      </c>
      <c r="O562" s="13" t="s">
        <v>190</v>
      </c>
      <c r="P562" s="13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>
      <c r="A563" s="12">
        <v>14.0</v>
      </c>
      <c r="B563" s="13" t="s">
        <v>346</v>
      </c>
      <c r="C563" s="13" t="s">
        <v>920</v>
      </c>
      <c r="I563" s="10" t="s">
        <v>1179</v>
      </c>
      <c r="J563" s="13" t="s">
        <v>867</v>
      </c>
      <c r="K563" s="13" t="s">
        <v>303</v>
      </c>
      <c r="L563" s="13" t="s">
        <v>1270</v>
      </c>
      <c r="M563" s="13" t="s">
        <v>188</v>
      </c>
      <c r="N563" s="13" t="s">
        <v>188</v>
      </c>
      <c r="O563" s="13" t="s">
        <v>190</v>
      </c>
      <c r="P563" s="13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>
      <c r="A564" s="12">
        <v>14.0</v>
      </c>
      <c r="B564" s="13" t="s">
        <v>346</v>
      </c>
      <c r="C564" s="13" t="s">
        <v>920</v>
      </c>
      <c r="I564" s="10" t="s">
        <v>1305</v>
      </c>
      <c r="J564" s="13" t="s">
        <v>865</v>
      </c>
      <c r="K564" s="13" t="s">
        <v>303</v>
      </c>
      <c r="L564" s="13" t="s">
        <v>1271</v>
      </c>
      <c r="M564" s="13" t="s">
        <v>188</v>
      </c>
      <c r="N564" s="13" t="s">
        <v>188</v>
      </c>
      <c r="O564" s="13" t="s">
        <v>190</v>
      </c>
      <c r="P564" s="13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>
      <c r="A565" s="12">
        <v>14.0</v>
      </c>
      <c r="B565" s="13" t="s">
        <v>346</v>
      </c>
      <c r="C565" s="13" t="s">
        <v>920</v>
      </c>
      <c r="I565" s="10" t="s">
        <v>475</v>
      </c>
      <c r="J565" s="13" t="s">
        <v>867</v>
      </c>
      <c r="K565" s="13" t="s">
        <v>303</v>
      </c>
      <c r="L565" s="13" t="s">
        <v>1271</v>
      </c>
      <c r="M565" s="13" t="s">
        <v>188</v>
      </c>
      <c r="N565" s="13" t="s">
        <v>188</v>
      </c>
      <c r="O565" s="13" t="s">
        <v>190</v>
      </c>
      <c r="P565" s="13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>
      <c r="A566" s="12">
        <v>14.0</v>
      </c>
      <c r="B566" s="13" t="s">
        <v>346</v>
      </c>
      <c r="C566" s="13" t="s">
        <v>920</v>
      </c>
      <c r="I566" s="10" t="s">
        <v>979</v>
      </c>
      <c r="J566" s="13" t="s">
        <v>865</v>
      </c>
      <c r="K566" s="13" t="s">
        <v>303</v>
      </c>
      <c r="L566" s="13" t="s">
        <v>1271</v>
      </c>
      <c r="M566" s="13" t="s">
        <v>188</v>
      </c>
      <c r="N566" s="13" t="s">
        <v>188</v>
      </c>
      <c r="O566" s="13" t="s">
        <v>190</v>
      </c>
      <c r="P566" s="13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>
      <c r="A567" s="12">
        <v>14.0</v>
      </c>
      <c r="B567" s="13" t="s">
        <v>346</v>
      </c>
      <c r="C567" s="13" t="s">
        <v>920</v>
      </c>
      <c r="I567" s="10" t="s">
        <v>957</v>
      </c>
      <c r="J567" s="13" t="s">
        <v>867</v>
      </c>
      <c r="K567" s="13" t="s">
        <v>303</v>
      </c>
      <c r="L567" s="13" t="s">
        <v>1271</v>
      </c>
      <c r="M567" s="13" t="s">
        <v>188</v>
      </c>
      <c r="N567" s="13" t="s">
        <v>188</v>
      </c>
      <c r="O567" s="13" t="s">
        <v>190</v>
      </c>
      <c r="P567" s="13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>
      <c r="A568" s="12">
        <v>14.0</v>
      </c>
      <c r="B568" s="13" t="s">
        <v>346</v>
      </c>
      <c r="C568" s="13" t="s">
        <v>920</v>
      </c>
      <c r="I568" s="10" t="s">
        <v>890</v>
      </c>
      <c r="J568" s="13" t="s">
        <v>865</v>
      </c>
      <c r="K568" s="13" t="s">
        <v>303</v>
      </c>
      <c r="L568" s="13" t="s">
        <v>1270</v>
      </c>
      <c r="M568" s="13" t="s">
        <v>188</v>
      </c>
      <c r="N568" s="13" t="s">
        <v>188</v>
      </c>
      <c r="O568" s="13" t="s">
        <v>190</v>
      </c>
      <c r="P568" s="13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>
      <c r="A569" s="12">
        <v>14.0</v>
      </c>
      <c r="B569" s="13" t="s">
        <v>346</v>
      </c>
      <c r="C569" s="13" t="s">
        <v>920</v>
      </c>
      <c r="I569" s="10" t="s">
        <v>399</v>
      </c>
      <c r="J569" s="13" t="s">
        <v>867</v>
      </c>
      <c r="K569" s="13" t="s">
        <v>303</v>
      </c>
      <c r="L569" s="13" t="s">
        <v>1288</v>
      </c>
      <c r="M569" s="13" t="s">
        <v>188</v>
      </c>
      <c r="N569" s="13" t="s">
        <v>188</v>
      </c>
      <c r="O569" s="13" t="s">
        <v>190</v>
      </c>
      <c r="P569" s="13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>
      <c r="A570" s="12">
        <v>14.0</v>
      </c>
      <c r="B570" s="13" t="s">
        <v>346</v>
      </c>
      <c r="C570" s="13" t="s">
        <v>920</v>
      </c>
      <c r="I570" s="10" t="s">
        <v>937</v>
      </c>
      <c r="J570" s="13" t="s">
        <v>865</v>
      </c>
      <c r="K570" s="13" t="s">
        <v>303</v>
      </c>
      <c r="L570" s="13" t="s">
        <v>1271</v>
      </c>
      <c r="M570" s="13" t="s">
        <v>188</v>
      </c>
      <c r="N570" s="13" t="s">
        <v>188</v>
      </c>
      <c r="O570" s="13" t="s">
        <v>190</v>
      </c>
      <c r="P570" s="13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>
      <c r="A571" s="12">
        <v>14.0</v>
      </c>
      <c r="B571" s="13" t="s">
        <v>346</v>
      </c>
      <c r="C571" s="13" t="s">
        <v>920</v>
      </c>
      <c r="I571" s="10" t="s">
        <v>1154</v>
      </c>
      <c r="J571" s="13" t="s">
        <v>867</v>
      </c>
      <c r="K571" s="13" t="s">
        <v>303</v>
      </c>
      <c r="L571" s="13" t="s">
        <v>1270</v>
      </c>
      <c r="M571" s="13" t="s">
        <v>188</v>
      </c>
      <c r="N571" s="13" t="s">
        <v>188</v>
      </c>
      <c r="O571" s="13" t="s">
        <v>190</v>
      </c>
      <c r="P571" s="13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>
      <c r="A572" s="12">
        <v>15.0</v>
      </c>
      <c r="B572" s="13" t="s">
        <v>359</v>
      </c>
      <c r="C572" s="13" t="s">
        <v>920</v>
      </c>
      <c r="D572" s="14">
        <f>IF(COUNTIF($B$2:$B572,$B572)&gt;1,"",COUNTIF($B$2:$B$3400,$B572))</f>
        <v>30</v>
      </c>
      <c r="E572" s="14">
        <f>IF(COUNTIF($B$2:$B572,$B572)&gt;1,"",COUNTIFS($B$2:$B$3400,$B572,$K$2:$K$3400,"PHÙ HỢP CAO"))</f>
        <v>2</v>
      </c>
      <c r="F572" s="14">
        <f>IF(COUNTIF($B$2:$B572,$B572)&gt;1,"",COUNTIFS($B$2:$B$3400,$B572,$K$2:$K$3400,"CÓ THỂ ĐI"))</f>
        <v>3</v>
      </c>
      <c r="G572" s="14">
        <f>IF(COUNTIF($B$2:$B572,$B572)&gt;1,"",COUNTIFS($B$2:$B$3400,$B572,$K$2:$K$3400,"CẦN SOÁT"))</f>
        <v>25</v>
      </c>
      <c r="H572" s="15" t="str">
        <f>IFERROR(__xludf.DUMMYFUNCTION("IF(COUNTIF($B$2:$B572,$B572)&gt;1,"""",IFERROR(TEXTJOIN(CHAR(10),TRUE,BYROW(QUERY({$B$2:$B$3400,$J$2:$J$3400},""select Col2, count(Col2) where Col1 = '""&amp;$B572&amp;""' group by Col2 order by count(Col2) desc label count(Col2) ''"",0),LAMBDA(r,INDEX(r,1,1)&amp;"" – "&amp;"""&amp;INDEX(r,1,2)&amp;"" link""))),""""))"),"chọn ngân hàng uy tín – 15 link
ngân hàng uy tín – 15 link")</f>
        <v>chọn ngân hàng uy tín – 15 link
ngân hàng uy tín – 15 link</v>
      </c>
      <c r="I572" s="10" t="s">
        <v>982</v>
      </c>
      <c r="J572" s="13" t="s">
        <v>1114</v>
      </c>
      <c r="K572" s="13" t="s">
        <v>184</v>
      </c>
      <c r="L572" s="13" t="s">
        <v>1323</v>
      </c>
      <c r="M572" s="13" t="s">
        <v>188</v>
      </c>
      <c r="N572" s="13" t="s">
        <v>188</v>
      </c>
      <c r="O572" s="13" t="s">
        <v>190</v>
      </c>
      <c r="P572" s="13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>
      <c r="A573" s="12">
        <v>15.0</v>
      </c>
      <c r="B573" s="13" t="s">
        <v>359</v>
      </c>
      <c r="C573" s="13" t="s">
        <v>920</v>
      </c>
      <c r="I573" s="10" t="s">
        <v>1115</v>
      </c>
      <c r="J573" s="13" t="s">
        <v>1118</v>
      </c>
      <c r="K573" s="13" t="s">
        <v>184</v>
      </c>
      <c r="L573" s="13" t="s">
        <v>1325</v>
      </c>
      <c r="M573" s="13" t="s">
        <v>188</v>
      </c>
      <c r="N573" s="13" t="s">
        <v>188</v>
      </c>
      <c r="O573" s="13" t="s">
        <v>190</v>
      </c>
      <c r="P573" s="13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>
      <c r="A574" s="12">
        <v>15.0</v>
      </c>
      <c r="B574" s="13" t="s">
        <v>359</v>
      </c>
      <c r="C574" s="13" t="s">
        <v>920</v>
      </c>
      <c r="I574" s="10" t="s">
        <v>1119</v>
      </c>
      <c r="J574" s="13" t="s">
        <v>1114</v>
      </c>
      <c r="K574" s="13" t="s">
        <v>283</v>
      </c>
      <c r="L574" s="13" t="s">
        <v>1327</v>
      </c>
      <c r="M574" s="13" t="s">
        <v>188</v>
      </c>
      <c r="N574" s="13" t="s">
        <v>188</v>
      </c>
      <c r="O574" s="13" t="s">
        <v>190</v>
      </c>
      <c r="P574" s="13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>
      <c r="A575" s="12">
        <v>15.0</v>
      </c>
      <c r="B575" s="13" t="s">
        <v>359</v>
      </c>
      <c r="C575" s="13" t="s">
        <v>920</v>
      </c>
      <c r="I575" s="10" t="s">
        <v>1328</v>
      </c>
      <c r="J575" s="13" t="s">
        <v>1118</v>
      </c>
      <c r="K575" s="13" t="s">
        <v>283</v>
      </c>
      <c r="L575" s="13" t="s">
        <v>1330</v>
      </c>
      <c r="M575" s="13" t="s">
        <v>188</v>
      </c>
      <c r="N575" s="13" t="s">
        <v>188</v>
      </c>
      <c r="O575" s="13" t="s">
        <v>190</v>
      </c>
      <c r="P575" s="13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>
      <c r="A576" s="12">
        <v>15.0</v>
      </c>
      <c r="B576" s="13" t="s">
        <v>359</v>
      </c>
      <c r="C576" s="13" t="s">
        <v>920</v>
      </c>
      <c r="I576" s="10" t="s">
        <v>1331</v>
      </c>
      <c r="J576" s="13" t="s">
        <v>1114</v>
      </c>
      <c r="K576" s="13" t="s">
        <v>283</v>
      </c>
      <c r="L576" s="13" t="s">
        <v>1332</v>
      </c>
      <c r="M576" s="13" t="s">
        <v>188</v>
      </c>
      <c r="N576" s="13" t="s">
        <v>188</v>
      </c>
      <c r="O576" s="13" t="s">
        <v>190</v>
      </c>
      <c r="P576" s="13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>
      <c r="A577" s="12">
        <v>15.0</v>
      </c>
      <c r="B577" s="13" t="s">
        <v>359</v>
      </c>
      <c r="C577" s="13" t="s">
        <v>920</v>
      </c>
      <c r="I577" s="10" t="s">
        <v>687</v>
      </c>
      <c r="J577" s="13" t="s">
        <v>1118</v>
      </c>
      <c r="K577" s="13" t="s">
        <v>303</v>
      </c>
      <c r="L577" s="13" t="s">
        <v>1333</v>
      </c>
      <c r="M577" s="13" t="s">
        <v>188</v>
      </c>
      <c r="N577" s="13" t="s">
        <v>188</v>
      </c>
      <c r="O577" s="13" t="s">
        <v>190</v>
      </c>
      <c r="P577" s="13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>
      <c r="A578" s="12">
        <v>15.0</v>
      </c>
      <c r="B578" s="13" t="s">
        <v>359</v>
      </c>
      <c r="C578" s="13" t="s">
        <v>920</v>
      </c>
      <c r="I578" s="10" t="s">
        <v>418</v>
      </c>
      <c r="J578" s="13" t="s">
        <v>1114</v>
      </c>
      <c r="K578" s="13" t="s">
        <v>303</v>
      </c>
      <c r="L578" s="13" t="s">
        <v>1333</v>
      </c>
      <c r="M578" s="13" t="s">
        <v>188</v>
      </c>
      <c r="N578" s="13" t="s">
        <v>188</v>
      </c>
      <c r="O578" s="13" t="s">
        <v>190</v>
      </c>
      <c r="P578" s="13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>
      <c r="A579" s="12">
        <v>15.0</v>
      </c>
      <c r="B579" s="13" t="s">
        <v>359</v>
      </c>
      <c r="C579" s="13" t="s">
        <v>920</v>
      </c>
      <c r="I579" s="10" t="s">
        <v>1338</v>
      </c>
      <c r="J579" s="13" t="s">
        <v>1118</v>
      </c>
      <c r="K579" s="13" t="s">
        <v>303</v>
      </c>
      <c r="L579" s="13" t="s">
        <v>1341</v>
      </c>
      <c r="M579" s="13" t="s">
        <v>188</v>
      </c>
      <c r="N579" s="13" t="s">
        <v>188</v>
      </c>
      <c r="O579" s="13" t="s">
        <v>190</v>
      </c>
      <c r="P579" s="13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>
      <c r="A580" s="12">
        <v>15.0</v>
      </c>
      <c r="B580" s="13" t="s">
        <v>359</v>
      </c>
      <c r="C580" s="13" t="s">
        <v>920</v>
      </c>
      <c r="I580" s="10" t="s">
        <v>1342</v>
      </c>
      <c r="J580" s="13" t="s">
        <v>1114</v>
      </c>
      <c r="K580" s="13" t="s">
        <v>303</v>
      </c>
      <c r="L580" s="13" t="s">
        <v>1333</v>
      </c>
      <c r="M580" s="13" t="s">
        <v>188</v>
      </c>
      <c r="N580" s="13" t="s">
        <v>188</v>
      </c>
      <c r="O580" s="13" t="s">
        <v>190</v>
      </c>
      <c r="P580" s="13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>
      <c r="A581" s="12">
        <v>15.0</v>
      </c>
      <c r="B581" s="13" t="s">
        <v>359</v>
      </c>
      <c r="C581" s="13" t="s">
        <v>920</v>
      </c>
      <c r="I581" s="10" t="s">
        <v>167</v>
      </c>
      <c r="J581" s="13" t="s">
        <v>1118</v>
      </c>
      <c r="K581" s="13" t="s">
        <v>303</v>
      </c>
      <c r="L581" s="13" t="s">
        <v>1345</v>
      </c>
      <c r="M581" s="13" t="s">
        <v>188</v>
      </c>
      <c r="N581" s="13" t="s">
        <v>188</v>
      </c>
      <c r="O581" s="13" t="s">
        <v>190</v>
      </c>
      <c r="P581" s="13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>
      <c r="A582" s="12">
        <v>15.0</v>
      </c>
      <c r="B582" s="13" t="s">
        <v>359</v>
      </c>
      <c r="C582" s="13" t="s">
        <v>920</v>
      </c>
      <c r="I582" s="10" t="s">
        <v>1346</v>
      </c>
      <c r="J582" s="13" t="s">
        <v>1114</v>
      </c>
      <c r="K582" s="13" t="s">
        <v>303</v>
      </c>
      <c r="L582" s="13" t="s">
        <v>1348</v>
      </c>
      <c r="M582" s="13" t="s">
        <v>188</v>
      </c>
      <c r="N582" s="13" t="s">
        <v>188</v>
      </c>
      <c r="O582" s="13" t="s">
        <v>190</v>
      </c>
      <c r="P582" s="13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>
      <c r="A583" s="12">
        <v>15.0</v>
      </c>
      <c r="B583" s="13" t="s">
        <v>359</v>
      </c>
      <c r="C583" s="13" t="s">
        <v>920</v>
      </c>
      <c r="I583" s="10" t="s">
        <v>594</v>
      </c>
      <c r="J583" s="13" t="s">
        <v>1118</v>
      </c>
      <c r="K583" s="13" t="s">
        <v>303</v>
      </c>
      <c r="L583" s="13" t="s">
        <v>1345</v>
      </c>
      <c r="M583" s="13" t="s">
        <v>188</v>
      </c>
      <c r="N583" s="13" t="s">
        <v>188</v>
      </c>
      <c r="O583" s="13" t="s">
        <v>190</v>
      </c>
      <c r="P583" s="13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>
      <c r="A584" s="12">
        <v>15.0</v>
      </c>
      <c r="B584" s="13" t="s">
        <v>359</v>
      </c>
      <c r="C584" s="13" t="s">
        <v>920</v>
      </c>
      <c r="I584" s="10" t="s">
        <v>1340</v>
      </c>
      <c r="J584" s="13" t="s">
        <v>1114</v>
      </c>
      <c r="K584" s="13" t="s">
        <v>303</v>
      </c>
      <c r="L584" s="13" t="s">
        <v>1351</v>
      </c>
      <c r="M584" s="13" t="s">
        <v>188</v>
      </c>
      <c r="N584" s="13" t="s">
        <v>188</v>
      </c>
      <c r="O584" s="13" t="s">
        <v>190</v>
      </c>
      <c r="P584" s="13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>
      <c r="A585" s="12">
        <v>15.0</v>
      </c>
      <c r="B585" s="13" t="s">
        <v>359</v>
      </c>
      <c r="C585" s="13" t="s">
        <v>920</v>
      </c>
      <c r="I585" s="10" t="s">
        <v>986</v>
      </c>
      <c r="J585" s="13" t="s">
        <v>1118</v>
      </c>
      <c r="K585" s="13" t="s">
        <v>303</v>
      </c>
      <c r="L585" s="13" t="s">
        <v>1353</v>
      </c>
      <c r="M585" s="13" t="s">
        <v>188</v>
      </c>
      <c r="N585" s="13" t="s">
        <v>188</v>
      </c>
      <c r="O585" s="13" t="s">
        <v>190</v>
      </c>
      <c r="P585" s="13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>
      <c r="A586" s="12">
        <v>15.0</v>
      </c>
      <c r="B586" s="13" t="s">
        <v>359</v>
      </c>
      <c r="C586" s="13" t="s">
        <v>920</v>
      </c>
      <c r="I586" s="10" t="s">
        <v>595</v>
      </c>
      <c r="J586" s="13" t="s">
        <v>1114</v>
      </c>
      <c r="K586" s="13" t="s">
        <v>303</v>
      </c>
      <c r="L586" s="13" t="s">
        <v>1333</v>
      </c>
      <c r="M586" s="13" t="s">
        <v>188</v>
      </c>
      <c r="N586" s="13" t="s">
        <v>188</v>
      </c>
      <c r="O586" s="13" t="s">
        <v>190</v>
      </c>
      <c r="P586" s="13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>
      <c r="A587" s="12">
        <v>15.0</v>
      </c>
      <c r="B587" s="13" t="s">
        <v>359</v>
      </c>
      <c r="C587" s="13" t="s">
        <v>920</v>
      </c>
      <c r="I587" s="10" t="s">
        <v>1354</v>
      </c>
      <c r="J587" s="13" t="s">
        <v>1118</v>
      </c>
      <c r="K587" s="13" t="s">
        <v>303</v>
      </c>
      <c r="L587" s="13" t="s">
        <v>1345</v>
      </c>
      <c r="M587" s="13" t="s">
        <v>188</v>
      </c>
      <c r="N587" s="13" t="s">
        <v>188</v>
      </c>
      <c r="O587" s="13" t="s">
        <v>190</v>
      </c>
      <c r="P587" s="13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>
      <c r="A588" s="12">
        <v>15.0</v>
      </c>
      <c r="B588" s="13" t="s">
        <v>359</v>
      </c>
      <c r="C588" s="13" t="s">
        <v>920</v>
      </c>
      <c r="I588" s="10" t="s">
        <v>1356</v>
      </c>
      <c r="J588" s="13" t="s">
        <v>1114</v>
      </c>
      <c r="K588" s="13" t="s">
        <v>303</v>
      </c>
      <c r="L588" s="13" t="s">
        <v>1333</v>
      </c>
      <c r="M588" s="13" t="s">
        <v>188</v>
      </c>
      <c r="N588" s="13" t="s">
        <v>188</v>
      </c>
      <c r="O588" s="13" t="s">
        <v>190</v>
      </c>
      <c r="P588" s="13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>
      <c r="A589" s="12">
        <v>15.0</v>
      </c>
      <c r="B589" s="13" t="s">
        <v>359</v>
      </c>
      <c r="C589" s="13" t="s">
        <v>920</v>
      </c>
      <c r="I589" s="10" t="s">
        <v>1142</v>
      </c>
      <c r="J589" s="13" t="s">
        <v>1118</v>
      </c>
      <c r="K589" s="13" t="s">
        <v>303</v>
      </c>
      <c r="L589" s="13" t="s">
        <v>1345</v>
      </c>
      <c r="M589" s="13" t="s">
        <v>188</v>
      </c>
      <c r="N589" s="13" t="s">
        <v>188</v>
      </c>
      <c r="O589" s="13" t="s">
        <v>190</v>
      </c>
      <c r="P589" s="13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>
      <c r="A590" s="12">
        <v>15.0</v>
      </c>
      <c r="B590" s="13" t="s">
        <v>359</v>
      </c>
      <c r="C590" s="13" t="s">
        <v>920</v>
      </c>
      <c r="I590" s="10" t="s">
        <v>1360</v>
      </c>
      <c r="J590" s="13" t="s">
        <v>1114</v>
      </c>
      <c r="K590" s="13" t="s">
        <v>303</v>
      </c>
      <c r="L590" s="13" t="s">
        <v>1333</v>
      </c>
      <c r="M590" s="13" t="s">
        <v>188</v>
      </c>
      <c r="N590" s="13" t="s">
        <v>188</v>
      </c>
      <c r="O590" s="13" t="s">
        <v>190</v>
      </c>
      <c r="P590" s="13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>
      <c r="A591" s="12">
        <v>15.0</v>
      </c>
      <c r="B591" s="13" t="s">
        <v>359</v>
      </c>
      <c r="C591" s="13" t="s">
        <v>920</v>
      </c>
      <c r="I591" s="10" t="s">
        <v>1361</v>
      </c>
      <c r="J591" s="13" t="s">
        <v>1118</v>
      </c>
      <c r="K591" s="13" t="s">
        <v>303</v>
      </c>
      <c r="L591" s="13" t="s">
        <v>1333</v>
      </c>
      <c r="M591" s="13" t="s">
        <v>188</v>
      </c>
      <c r="N591" s="13" t="s">
        <v>188</v>
      </c>
      <c r="O591" s="13" t="s">
        <v>190</v>
      </c>
      <c r="P591" s="13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>
      <c r="A592" s="12">
        <v>15.0</v>
      </c>
      <c r="B592" s="13" t="s">
        <v>359</v>
      </c>
      <c r="C592" s="13" t="s">
        <v>920</v>
      </c>
      <c r="I592" s="10" t="s">
        <v>614</v>
      </c>
      <c r="J592" s="13" t="s">
        <v>1114</v>
      </c>
      <c r="K592" s="13" t="s">
        <v>303</v>
      </c>
      <c r="L592" s="13" t="s">
        <v>1333</v>
      </c>
      <c r="M592" s="13" t="s">
        <v>188</v>
      </c>
      <c r="N592" s="13" t="s">
        <v>188</v>
      </c>
      <c r="O592" s="13" t="s">
        <v>190</v>
      </c>
      <c r="P592" s="13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>
      <c r="A593" s="12">
        <v>15.0</v>
      </c>
      <c r="B593" s="13" t="s">
        <v>359</v>
      </c>
      <c r="C593" s="13" t="s">
        <v>920</v>
      </c>
      <c r="I593" s="10" t="s">
        <v>1367</v>
      </c>
      <c r="J593" s="13" t="s">
        <v>1118</v>
      </c>
      <c r="K593" s="13" t="s">
        <v>303</v>
      </c>
      <c r="L593" s="13" t="s">
        <v>1333</v>
      </c>
      <c r="M593" s="13" t="s">
        <v>188</v>
      </c>
      <c r="N593" s="13" t="s">
        <v>188</v>
      </c>
      <c r="O593" s="13" t="s">
        <v>190</v>
      </c>
      <c r="P593" s="13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>
      <c r="A594" s="12">
        <v>15.0</v>
      </c>
      <c r="B594" s="13" t="s">
        <v>359</v>
      </c>
      <c r="C594" s="13" t="s">
        <v>920</v>
      </c>
      <c r="I594" s="10" t="s">
        <v>551</v>
      </c>
      <c r="J594" s="13" t="s">
        <v>1114</v>
      </c>
      <c r="K594" s="13" t="s">
        <v>303</v>
      </c>
      <c r="L594" s="13" t="s">
        <v>1333</v>
      </c>
      <c r="M594" s="13" t="s">
        <v>188</v>
      </c>
      <c r="N594" s="13" t="s">
        <v>188</v>
      </c>
      <c r="O594" s="13" t="s">
        <v>190</v>
      </c>
      <c r="P594" s="13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>
      <c r="A595" s="12">
        <v>15.0</v>
      </c>
      <c r="B595" s="13" t="s">
        <v>359</v>
      </c>
      <c r="C595" s="13" t="s">
        <v>920</v>
      </c>
      <c r="I595" s="10" t="s">
        <v>43</v>
      </c>
      <c r="J595" s="13" t="s">
        <v>1118</v>
      </c>
      <c r="K595" s="13" t="s">
        <v>303</v>
      </c>
      <c r="L595" s="13" t="s">
        <v>1333</v>
      </c>
      <c r="M595" s="13" t="s">
        <v>188</v>
      </c>
      <c r="N595" s="13" t="s">
        <v>188</v>
      </c>
      <c r="O595" s="13" t="s">
        <v>190</v>
      </c>
      <c r="P595" s="13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>
      <c r="A596" s="12">
        <v>15.0</v>
      </c>
      <c r="B596" s="13" t="s">
        <v>359</v>
      </c>
      <c r="C596" s="13" t="s">
        <v>920</v>
      </c>
      <c r="I596" s="10" t="s">
        <v>380</v>
      </c>
      <c r="J596" s="13" t="s">
        <v>1114</v>
      </c>
      <c r="K596" s="13" t="s">
        <v>303</v>
      </c>
      <c r="L596" s="13" t="s">
        <v>1333</v>
      </c>
      <c r="M596" s="13" t="s">
        <v>188</v>
      </c>
      <c r="N596" s="13" t="s">
        <v>188</v>
      </c>
      <c r="O596" s="13" t="s">
        <v>190</v>
      </c>
      <c r="P596" s="13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>
      <c r="A597" s="12">
        <v>15.0</v>
      </c>
      <c r="B597" s="13" t="s">
        <v>359</v>
      </c>
      <c r="C597" s="13" t="s">
        <v>920</v>
      </c>
      <c r="I597" s="10" t="s">
        <v>330</v>
      </c>
      <c r="J597" s="13" t="s">
        <v>1118</v>
      </c>
      <c r="K597" s="13" t="s">
        <v>303</v>
      </c>
      <c r="L597" s="13" t="s">
        <v>1345</v>
      </c>
      <c r="M597" s="13" t="s">
        <v>188</v>
      </c>
      <c r="N597" s="13" t="s">
        <v>188</v>
      </c>
      <c r="O597" s="13" t="s">
        <v>190</v>
      </c>
      <c r="P597" s="13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>
      <c r="A598" s="12">
        <v>15.0</v>
      </c>
      <c r="B598" s="13" t="s">
        <v>359</v>
      </c>
      <c r="C598" s="13" t="s">
        <v>920</v>
      </c>
      <c r="I598" s="10" t="s">
        <v>1221</v>
      </c>
      <c r="J598" s="13" t="s">
        <v>1114</v>
      </c>
      <c r="K598" s="13" t="s">
        <v>303</v>
      </c>
      <c r="L598" s="13" t="s">
        <v>1333</v>
      </c>
      <c r="M598" s="13" t="s">
        <v>188</v>
      </c>
      <c r="N598" s="13" t="s">
        <v>188</v>
      </c>
      <c r="O598" s="13" t="s">
        <v>190</v>
      </c>
      <c r="P598" s="13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>
      <c r="A599" s="12">
        <v>15.0</v>
      </c>
      <c r="B599" s="13" t="s">
        <v>359</v>
      </c>
      <c r="C599" s="13" t="s">
        <v>920</v>
      </c>
      <c r="I599" s="10" t="s">
        <v>1373</v>
      </c>
      <c r="J599" s="13" t="s">
        <v>1118</v>
      </c>
      <c r="K599" s="13" t="s">
        <v>303</v>
      </c>
      <c r="L599" s="13" t="s">
        <v>1348</v>
      </c>
      <c r="M599" s="13" t="s">
        <v>188</v>
      </c>
      <c r="N599" s="13" t="s">
        <v>188</v>
      </c>
      <c r="O599" s="13" t="s">
        <v>190</v>
      </c>
      <c r="P599" s="13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>
      <c r="A600" s="12">
        <v>15.0</v>
      </c>
      <c r="B600" s="13" t="s">
        <v>359</v>
      </c>
      <c r="C600" s="13" t="s">
        <v>920</v>
      </c>
      <c r="I600" s="10" t="s">
        <v>1376</v>
      </c>
      <c r="J600" s="13" t="s">
        <v>1114</v>
      </c>
      <c r="K600" s="13" t="s">
        <v>303</v>
      </c>
      <c r="L600" s="13" t="s">
        <v>1378</v>
      </c>
      <c r="M600" s="13" t="s">
        <v>188</v>
      </c>
      <c r="N600" s="13" t="s">
        <v>188</v>
      </c>
      <c r="O600" s="13" t="s">
        <v>190</v>
      </c>
      <c r="P600" s="13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>
      <c r="A601" s="12">
        <v>15.0</v>
      </c>
      <c r="B601" s="13" t="s">
        <v>359</v>
      </c>
      <c r="C601" s="13" t="s">
        <v>920</v>
      </c>
      <c r="I601" s="10" t="s">
        <v>1379</v>
      </c>
      <c r="J601" s="13" t="s">
        <v>1118</v>
      </c>
      <c r="K601" s="13" t="s">
        <v>303</v>
      </c>
      <c r="L601" s="13" t="s">
        <v>1333</v>
      </c>
      <c r="M601" s="13" t="s">
        <v>188</v>
      </c>
      <c r="N601" s="13" t="s">
        <v>188</v>
      </c>
      <c r="O601" s="13" t="s">
        <v>190</v>
      </c>
      <c r="P601" s="13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>
      <c r="A602" s="12">
        <v>16.0</v>
      </c>
      <c r="B602" s="13" t="s">
        <v>371</v>
      </c>
      <c r="C602" s="13" t="s">
        <v>920</v>
      </c>
      <c r="D602" s="14">
        <f>IF(COUNTIF($B$2:$B602,$B602)&gt;1,"",COUNTIF($B$2:$B$3400,$B602))</f>
        <v>30</v>
      </c>
      <c r="E602" s="14">
        <f>IF(COUNTIF($B$2:$B602,$B602)&gt;1,"",COUNTIFS($B$2:$B$3400,$B602,$K$2:$K$3400,"PHÙ HỢP CAO"))</f>
        <v>4</v>
      </c>
      <c r="F602" s="14">
        <f>IF(COUNTIF($B$2:$B602,$B602)&gt;1,"",COUNTIFS($B$2:$B$3400,$B602,$K$2:$K$3400,"CÓ THỂ ĐI"))</f>
        <v>1</v>
      </c>
      <c r="G602" s="14">
        <f>IF(COUNTIF($B$2:$B602,$B602)&gt;1,"",COUNTIFS($B$2:$B$3400,$B602,$K$2:$K$3400,"CẦN SOÁT"))</f>
        <v>25</v>
      </c>
      <c r="H602" s="15" t="str">
        <f>IFERROR(__xludf.DUMMYFUNCTION("IF(COUNTIF($B$2:$B602,$B602)&gt;1,"""",IFERROR(TEXTJOIN(CHAR(10),TRUE,BYROW(QUERY({$B$2:$B$3400,$J$2:$J$3400},""select Col2, count(Col2) where Col1 = '""&amp;$B602&amp;""' group by Col2 order by count(Col2) desc label count(Col2) ''"",0),LAMBDA(r,INDEX(r,1,1)&amp;"" – "&amp;"""&amp;INDEX(r,1,2)&amp;"" link""))),""""))"),"chuyển khoản thành công nhưng không nhận được tiền – 10 link
chuyển tiền thành công nhưng chưa nhận được – 10 link
tiền chuyển khoản bị treo – 10 link")</f>
        <v>chuyển khoản thành công nhưng không nhận được tiền – 10 link
chuyển tiền thành công nhưng chưa nhận được – 10 link
tiền chuyển khoản bị treo – 10 link</v>
      </c>
      <c r="I602" s="10" t="s">
        <v>943</v>
      </c>
      <c r="J602" s="13" t="s">
        <v>1127</v>
      </c>
      <c r="K602" s="13" t="s">
        <v>184</v>
      </c>
      <c r="L602" s="13" t="s">
        <v>1390</v>
      </c>
      <c r="M602" s="13" t="s">
        <v>188</v>
      </c>
      <c r="N602" s="13" t="s">
        <v>188</v>
      </c>
      <c r="O602" s="13" t="s">
        <v>190</v>
      </c>
      <c r="P602" s="13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>
      <c r="A603" s="12">
        <v>16.0</v>
      </c>
      <c r="B603" s="13" t="s">
        <v>371</v>
      </c>
      <c r="C603" s="13" t="s">
        <v>920</v>
      </c>
      <c r="I603" s="10" t="s">
        <v>1019</v>
      </c>
      <c r="J603" s="13" t="s">
        <v>1129</v>
      </c>
      <c r="K603" s="13" t="s">
        <v>184</v>
      </c>
      <c r="L603" s="13" t="s">
        <v>1393</v>
      </c>
      <c r="M603" s="13" t="s">
        <v>188</v>
      </c>
      <c r="N603" s="13" t="s">
        <v>188</v>
      </c>
      <c r="O603" s="13" t="s">
        <v>190</v>
      </c>
      <c r="P603" s="13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>
      <c r="A604" s="12">
        <v>16.0</v>
      </c>
      <c r="B604" s="13" t="s">
        <v>371</v>
      </c>
      <c r="C604" s="13" t="s">
        <v>920</v>
      </c>
      <c r="I604" s="10" t="s">
        <v>1088</v>
      </c>
      <c r="J604" s="13" t="s">
        <v>1131</v>
      </c>
      <c r="K604" s="13" t="s">
        <v>184</v>
      </c>
      <c r="L604" s="13" t="s">
        <v>1394</v>
      </c>
      <c r="M604" s="13" t="s">
        <v>188</v>
      </c>
      <c r="N604" s="13" t="s">
        <v>188</v>
      </c>
      <c r="O604" s="13" t="s">
        <v>190</v>
      </c>
      <c r="P604" s="13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>
      <c r="A605" s="12">
        <v>16.0</v>
      </c>
      <c r="B605" s="13" t="s">
        <v>371</v>
      </c>
      <c r="C605" s="13" t="s">
        <v>920</v>
      </c>
      <c r="I605" s="10" t="s">
        <v>1132</v>
      </c>
      <c r="J605" s="13" t="s">
        <v>1127</v>
      </c>
      <c r="K605" s="13" t="s">
        <v>184</v>
      </c>
      <c r="L605" s="13" t="s">
        <v>1396</v>
      </c>
      <c r="M605" s="13" t="s">
        <v>188</v>
      </c>
      <c r="N605" s="13" t="s">
        <v>188</v>
      </c>
      <c r="O605" s="13" t="s">
        <v>190</v>
      </c>
      <c r="P605" s="13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>
      <c r="A606" s="12">
        <v>16.0</v>
      </c>
      <c r="B606" s="13" t="s">
        <v>371</v>
      </c>
      <c r="C606" s="13" t="s">
        <v>920</v>
      </c>
      <c r="I606" s="10" t="s">
        <v>967</v>
      </c>
      <c r="J606" s="13" t="s">
        <v>1129</v>
      </c>
      <c r="K606" s="13" t="s">
        <v>283</v>
      </c>
      <c r="L606" s="13" t="s">
        <v>1399</v>
      </c>
      <c r="M606" s="13" t="s">
        <v>188</v>
      </c>
      <c r="N606" s="13" t="s">
        <v>188</v>
      </c>
      <c r="O606" s="13" t="s">
        <v>190</v>
      </c>
      <c r="P606" s="13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>
      <c r="A607" s="12">
        <v>16.0</v>
      </c>
      <c r="B607" s="13" t="s">
        <v>371</v>
      </c>
      <c r="C607" s="13" t="s">
        <v>920</v>
      </c>
      <c r="I607" s="10" t="s">
        <v>1400</v>
      </c>
      <c r="J607" s="13" t="s">
        <v>1131</v>
      </c>
      <c r="K607" s="13" t="s">
        <v>303</v>
      </c>
      <c r="L607" s="13" t="s">
        <v>1404</v>
      </c>
      <c r="M607" s="13" t="s">
        <v>188</v>
      </c>
      <c r="N607" s="13" t="s">
        <v>188</v>
      </c>
      <c r="O607" s="13" t="s">
        <v>190</v>
      </c>
      <c r="P607" s="13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>
      <c r="A608" s="12">
        <v>16.0</v>
      </c>
      <c r="B608" s="13" t="s">
        <v>371</v>
      </c>
      <c r="C608" s="13" t="s">
        <v>920</v>
      </c>
      <c r="I608" s="10" t="s">
        <v>1042</v>
      </c>
      <c r="J608" s="13" t="s">
        <v>1127</v>
      </c>
      <c r="K608" s="13" t="s">
        <v>303</v>
      </c>
      <c r="L608" s="13" t="s">
        <v>1407</v>
      </c>
      <c r="M608" s="13" t="s">
        <v>188</v>
      </c>
      <c r="N608" s="13" t="s">
        <v>188</v>
      </c>
      <c r="O608" s="13" t="s">
        <v>190</v>
      </c>
      <c r="P608" s="13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>
      <c r="A609" s="12">
        <v>16.0</v>
      </c>
      <c r="B609" s="13" t="s">
        <v>371</v>
      </c>
      <c r="C609" s="13" t="s">
        <v>920</v>
      </c>
      <c r="I609" s="10" t="s">
        <v>661</v>
      </c>
      <c r="J609" s="13" t="s">
        <v>1129</v>
      </c>
      <c r="K609" s="13" t="s">
        <v>303</v>
      </c>
      <c r="L609" s="13" t="s">
        <v>1409</v>
      </c>
      <c r="M609" s="13" t="s">
        <v>188</v>
      </c>
      <c r="N609" s="13" t="s">
        <v>188</v>
      </c>
      <c r="O609" s="13" t="s">
        <v>190</v>
      </c>
      <c r="P609" s="13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>
      <c r="A610" s="12">
        <v>16.0</v>
      </c>
      <c r="B610" s="13" t="s">
        <v>371</v>
      </c>
      <c r="C610" s="13" t="s">
        <v>920</v>
      </c>
      <c r="I610" s="10" t="s">
        <v>1410</v>
      </c>
      <c r="J610" s="13" t="s">
        <v>1131</v>
      </c>
      <c r="K610" s="13" t="s">
        <v>303</v>
      </c>
      <c r="L610" s="13" t="s">
        <v>1407</v>
      </c>
      <c r="M610" s="13" t="s">
        <v>188</v>
      </c>
      <c r="N610" s="13" t="s">
        <v>188</v>
      </c>
      <c r="O610" s="13" t="s">
        <v>190</v>
      </c>
      <c r="P610" s="13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>
      <c r="A611" s="12">
        <v>16.0</v>
      </c>
      <c r="B611" s="13" t="s">
        <v>371</v>
      </c>
      <c r="C611" s="13" t="s">
        <v>920</v>
      </c>
      <c r="I611" s="10" t="s">
        <v>1161</v>
      </c>
      <c r="J611" s="13" t="s">
        <v>1127</v>
      </c>
      <c r="K611" s="13" t="s">
        <v>303</v>
      </c>
      <c r="L611" s="13" t="s">
        <v>1404</v>
      </c>
      <c r="M611" s="13" t="s">
        <v>188</v>
      </c>
      <c r="N611" s="13" t="s">
        <v>188</v>
      </c>
      <c r="O611" s="13" t="s">
        <v>190</v>
      </c>
      <c r="P611" s="13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>
      <c r="A612" s="12">
        <v>16.0</v>
      </c>
      <c r="B612" s="13" t="s">
        <v>371</v>
      </c>
      <c r="C612" s="13" t="s">
        <v>920</v>
      </c>
      <c r="I612" s="10" t="s">
        <v>696</v>
      </c>
      <c r="J612" s="13" t="s">
        <v>1129</v>
      </c>
      <c r="K612" s="13" t="s">
        <v>303</v>
      </c>
      <c r="L612" s="13" t="s">
        <v>1404</v>
      </c>
      <c r="M612" s="13" t="s">
        <v>188</v>
      </c>
      <c r="N612" s="13" t="s">
        <v>188</v>
      </c>
      <c r="O612" s="13" t="s">
        <v>190</v>
      </c>
      <c r="P612" s="13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>
      <c r="A613" s="12">
        <v>16.0</v>
      </c>
      <c r="B613" s="13" t="s">
        <v>371</v>
      </c>
      <c r="C613" s="13" t="s">
        <v>920</v>
      </c>
      <c r="I613" s="10" t="s">
        <v>1046</v>
      </c>
      <c r="J613" s="13" t="s">
        <v>1131</v>
      </c>
      <c r="K613" s="13" t="s">
        <v>303</v>
      </c>
      <c r="L613" s="13" t="s">
        <v>1407</v>
      </c>
      <c r="M613" s="13" t="s">
        <v>188</v>
      </c>
      <c r="N613" s="13" t="s">
        <v>188</v>
      </c>
      <c r="O613" s="13" t="s">
        <v>190</v>
      </c>
      <c r="P613" s="13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>
      <c r="A614" s="12">
        <v>16.0</v>
      </c>
      <c r="B614" s="13" t="s">
        <v>371</v>
      </c>
      <c r="C614" s="13" t="s">
        <v>920</v>
      </c>
      <c r="I614" s="10" t="s">
        <v>1416</v>
      </c>
      <c r="J614" s="13" t="s">
        <v>1127</v>
      </c>
      <c r="K614" s="13" t="s">
        <v>303</v>
      </c>
      <c r="L614" s="13" t="s">
        <v>1404</v>
      </c>
      <c r="M614" s="13" t="s">
        <v>188</v>
      </c>
      <c r="N614" s="13" t="s">
        <v>188</v>
      </c>
      <c r="O614" s="13" t="s">
        <v>190</v>
      </c>
      <c r="P614" s="13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>
      <c r="A615" s="12">
        <v>16.0</v>
      </c>
      <c r="B615" s="13" t="s">
        <v>371</v>
      </c>
      <c r="C615" s="13" t="s">
        <v>920</v>
      </c>
      <c r="I615" s="10" t="s">
        <v>984</v>
      </c>
      <c r="J615" s="13" t="s">
        <v>1129</v>
      </c>
      <c r="K615" s="13" t="s">
        <v>303</v>
      </c>
      <c r="L615" s="13" t="s">
        <v>1417</v>
      </c>
      <c r="M615" s="13" t="s">
        <v>188</v>
      </c>
      <c r="N615" s="13" t="s">
        <v>188</v>
      </c>
      <c r="O615" s="13" t="s">
        <v>190</v>
      </c>
      <c r="P615" s="13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>
      <c r="A616" s="12">
        <v>16.0</v>
      </c>
      <c r="B616" s="13" t="s">
        <v>371</v>
      </c>
      <c r="C616" s="13" t="s">
        <v>920</v>
      </c>
      <c r="I616" s="10" t="s">
        <v>1418</v>
      </c>
      <c r="J616" s="13" t="s">
        <v>1131</v>
      </c>
      <c r="K616" s="13" t="s">
        <v>303</v>
      </c>
      <c r="L616" s="13" t="s">
        <v>1407</v>
      </c>
      <c r="M616" s="13" t="s">
        <v>188</v>
      </c>
      <c r="N616" s="13" t="s">
        <v>188</v>
      </c>
      <c r="O616" s="13" t="s">
        <v>190</v>
      </c>
      <c r="P616" s="13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>
      <c r="A617" s="12">
        <v>16.0</v>
      </c>
      <c r="B617" s="13" t="s">
        <v>371</v>
      </c>
      <c r="C617" s="13" t="s">
        <v>920</v>
      </c>
      <c r="I617" s="10" t="s">
        <v>788</v>
      </c>
      <c r="J617" s="13" t="s">
        <v>1127</v>
      </c>
      <c r="K617" s="13" t="s">
        <v>303</v>
      </c>
      <c r="L617" s="13" t="s">
        <v>1417</v>
      </c>
      <c r="M617" s="13" t="s">
        <v>188</v>
      </c>
      <c r="N617" s="13" t="s">
        <v>188</v>
      </c>
      <c r="O617" s="13" t="s">
        <v>190</v>
      </c>
      <c r="P617" s="13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>
      <c r="A618" s="12">
        <v>16.0</v>
      </c>
      <c r="B618" s="13" t="s">
        <v>371</v>
      </c>
      <c r="C618" s="13" t="s">
        <v>920</v>
      </c>
      <c r="I618" s="10" t="s">
        <v>1419</v>
      </c>
      <c r="J618" s="13" t="s">
        <v>1129</v>
      </c>
      <c r="K618" s="13" t="s">
        <v>303</v>
      </c>
      <c r="L618" s="13" t="s">
        <v>1407</v>
      </c>
      <c r="M618" s="13" t="s">
        <v>188</v>
      </c>
      <c r="N618" s="13" t="s">
        <v>188</v>
      </c>
      <c r="O618" s="13" t="s">
        <v>190</v>
      </c>
      <c r="P618" s="13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>
      <c r="A619" s="12">
        <v>16.0</v>
      </c>
      <c r="B619" s="13" t="s">
        <v>371</v>
      </c>
      <c r="C619" s="13" t="s">
        <v>920</v>
      </c>
      <c r="I619" s="10" t="s">
        <v>1420</v>
      </c>
      <c r="J619" s="13" t="s">
        <v>1131</v>
      </c>
      <c r="K619" s="13" t="s">
        <v>303</v>
      </c>
      <c r="L619" s="13" t="s">
        <v>1424</v>
      </c>
      <c r="M619" s="13" t="s">
        <v>188</v>
      </c>
      <c r="N619" s="13" t="s">
        <v>188</v>
      </c>
      <c r="O619" s="13" t="s">
        <v>190</v>
      </c>
      <c r="P619" s="13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>
      <c r="A620" s="12">
        <v>16.0</v>
      </c>
      <c r="B620" s="13" t="s">
        <v>371</v>
      </c>
      <c r="C620" s="13" t="s">
        <v>920</v>
      </c>
      <c r="I620" s="10" t="s">
        <v>945</v>
      </c>
      <c r="J620" s="13" t="s">
        <v>1127</v>
      </c>
      <c r="K620" s="13" t="s">
        <v>303</v>
      </c>
      <c r="L620" s="13" t="s">
        <v>1430</v>
      </c>
      <c r="M620" s="13" t="s">
        <v>188</v>
      </c>
      <c r="N620" s="13" t="s">
        <v>188</v>
      </c>
      <c r="O620" s="13" t="s">
        <v>190</v>
      </c>
      <c r="P620" s="13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>
      <c r="A621" s="12">
        <v>16.0</v>
      </c>
      <c r="B621" s="13" t="s">
        <v>371</v>
      </c>
      <c r="C621" s="13" t="s">
        <v>920</v>
      </c>
      <c r="I621" s="10" t="s">
        <v>1432</v>
      </c>
      <c r="J621" s="13" t="s">
        <v>1129</v>
      </c>
      <c r="K621" s="13" t="s">
        <v>303</v>
      </c>
      <c r="L621" s="13" t="s">
        <v>1404</v>
      </c>
      <c r="M621" s="13" t="s">
        <v>188</v>
      </c>
      <c r="N621" s="13" t="s">
        <v>188</v>
      </c>
      <c r="O621" s="13" t="s">
        <v>190</v>
      </c>
      <c r="P621" s="13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>
      <c r="A622" s="12">
        <v>16.0</v>
      </c>
      <c r="B622" s="13" t="s">
        <v>371</v>
      </c>
      <c r="C622" s="13" t="s">
        <v>920</v>
      </c>
      <c r="I622" s="10" t="s">
        <v>1434</v>
      </c>
      <c r="J622" s="13" t="s">
        <v>1131</v>
      </c>
      <c r="K622" s="13" t="s">
        <v>303</v>
      </c>
      <c r="L622" s="13" t="s">
        <v>1407</v>
      </c>
      <c r="M622" s="13" t="s">
        <v>188</v>
      </c>
      <c r="N622" s="13" t="s">
        <v>188</v>
      </c>
      <c r="O622" s="13" t="s">
        <v>190</v>
      </c>
      <c r="P622" s="13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>
      <c r="A623" s="12">
        <v>16.0</v>
      </c>
      <c r="B623" s="13" t="s">
        <v>371</v>
      </c>
      <c r="C623" s="13" t="s">
        <v>920</v>
      </c>
      <c r="I623" s="10" t="s">
        <v>1437</v>
      </c>
      <c r="J623" s="13" t="s">
        <v>1127</v>
      </c>
      <c r="K623" s="13" t="s">
        <v>303</v>
      </c>
      <c r="L623" s="13" t="s">
        <v>1407</v>
      </c>
      <c r="M623" s="13" t="s">
        <v>188</v>
      </c>
      <c r="N623" s="13" t="s">
        <v>188</v>
      </c>
      <c r="O623" s="13" t="s">
        <v>190</v>
      </c>
      <c r="P623" s="13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>
      <c r="A624" s="12">
        <v>16.0</v>
      </c>
      <c r="B624" s="13" t="s">
        <v>371</v>
      </c>
      <c r="C624" s="13" t="s">
        <v>920</v>
      </c>
      <c r="I624" s="10" t="s">
        <v>1039</v>
      </c>
      <c r="J624" s="13" t="s">
        <v>1129</v>
      </c>
      <c r="K624" s="13" t="s">
        <v>303</v>
      </c>
      <c r="L624" s="13" t="s">
        <v>1407</v>
      </c>
      <c r="M624" s="13" t="s">
        <v>188</v>
      </c>
      <c r="N624" s="13" t="s">
        <v>188</v>
      </c>
      <c r="O624" s="13" t="s">
        <v>190</v>
      </c>
      <c r="P624" s="13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>
      <c r="A625" s="12">
        <v>16.0</v>
      </c>
      <c r="B625" s="7" t="s">
        <v>371</v>
      </c>
      <c r="C625" s="7" t="s">
        <v>920</v>
      </c>
      <c r="I625" s="10" t="s">
        <v>1241</v>
      </c>
      <c r="J625" s="13" t="s">
        <v>1131</v>
      </c>
      <c r="K625" s="13" t="s">
        <v>303</v>
      </c>
      <c r="L625" s="13" t="s">
        <v>1407</v>
      </c>
      <c r="M625" s="6" t="s">
        <v>188</v>
      </c>
      <c r="N625" s="6" t="s">
        <v>188</v>
      </c>
      <c r="O625" s="6" t="s">
        <v>190</v>
      </c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>
      <c r="A626" s="12">
        <v>16.0</v>
      </c>
      <c r="B626" s="7" t="s">
        <v>371</v>
      </c>
      <c r="C626" s="7" t="s">
        <v>920</v>
      </c>
      <c r="I626" s="10" t="s">
        <v>607</v>
      </c>
      <c r="J626" s="13" t="s">
        <v>1127</v>
      </c>
      <c r="K626" s="13" t="s">
        <v>303</v>
      </c>
      <c r="L626" s="13" t="s">
        <v>1404</v>
      </c>
      <c r="M626" s="6" t="s">
        <v>188</v>
      </c>
      <c r="N626" s="6" t="s">
        <v>188</v>
      </c>
      <c r="O626" s="6" t="s">
        <v>190</v>
      </c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>
      <c r="A627" s="12">
        <v>16.0</v>
      </c>
      <c r="B627" s="7" t="s">
        <v>371</v>
      </c>
      <c r="C627" s="7" t="s">
        <v>920</v>
      </c>
      <c r="I627" s="10" t="s">
        <v>972</v>
      </c>
      <c r="J627" s="13" t="s">
        <v>1129</v>
      </c>
      <c r="K627" s="13" t="s">
        <v>303</v>
      </c>
      <c r="L627" s="13" t="s">
        <v>1407</v>
      </c>
      <c r="M627" s="6" t="s">
        <v>188</v>
      </c>
      <c r="N627" s="6" t="s">
        <v>188</v>
      </c>
      <c r="O627" s="6" t="s">
        <v>190</v>
      </c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>
      <c r="A628" s="12">
        <v>16.0</v>
      </c>
      <c r="B628" s="7" t="s">
        <v>371</v>
      </c>
      <c r="C628" s="7" t="s">
        <v>920</v>
      </c>
      <c r="I628" s="10" t="s">
        <v>955</v>
      </c>
      <c r="J628" s="13" t="s">
        <v>1131</v>
      </c>
      <c r="K628" s="13" t="s">
        <v>303</v>
      </c>
      <c r="L628" s="13" t="s">
        <v>1417</v>
      </c>
      <c r="M628" s="6" t="s">
        <v>188</v>
      </c>
      <c r="N628" s="6" t="s">
        <v>188</v>
      </c>
      <c r="O628" s="6" t="s">
        <v>190</v>
      </c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>
      <c r="A629" s="12">
        <v>16.0</v>
      </c>
      <c r="B629" s="7" t="s">
        <v>371</v>
      </c>
      <c r="C629" s="7" t="s">
        <v>920</v>
      </c>
      <c r="I629" s="10" t="s">
        <v>1448</v>
      </c>
      <c r="J629" s="13" t="s">
        <v>1127</v>
      </c>
      <c r="K629" s="13" t="s">
        <v>303</v>
      </c>
      <c r="L629" s="13" t="s">
        <v>1407</v>
      </c>
      <c r="M629" s="6" t="s">
        <v>188</v>
      </c>
      <c r="N629" s="6" t="s">
        <v>188</v>
      </c>
      <c r="O629" s="6" t="s">
        <v>190</v>
      </c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>
      <c r="A630" s="12">
        <v>16.0</v>
      </c>
      <c r="B630" s="7" t="s">
        <v>371</v>
      </c>
      <c r="C630" s="7" t="s">
        <v>920</v>
      </c>
      <c r="I630" s="10" t="s">
        <v>1452</v>
      </c>
      <c r="J630" s="13" t="s">
        <v>1129</v>
      </c>
      <c r="K630" s="13" t="s">
        <v>303</v>
      </c>
      <c r="L630" s="13" t="s">
        <v>1407</v>
      </c>
      <c r="M630" s="6" t="s">
        <v>188</v>
      </c>
      <c r="N630" s="6" t="s">
        <v>188</v>
      </c>
      <c r="O630" s="6" t="s">
        <v>190</v>
      </c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>
      <c r="A631" s="12">
        <v>16.0</v>
      </c>
      <c r="B631" s="7" t="s">
        <v>371</v>
      </c>
      <c r="C631" s="7" t="s">
        <v>920</v>
      </c>
      <c r="I631" s="10" t="s">
        <v>1453</v>
      </c>
      <c r="J631" s="13" t="s">
        <v>1131</v>
      </c>
      <c r="K631" s="13" t="s">
        <v>303</v>
      </c>
      <c r="L631" s="13" t="s">
        <v>1407</v>
      </c>
      <c r="M631" s="6" t="s">
        <v>188</v>
      </c>
      <c r="N631" s="6" t="s">
        <v>188</v>
      </c>
      <c r="O631" s="6" t="s">
        <v>190</v>
      </c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>
      <c r="A632" s="12">
        <v>17.0</v>
      </c>
      <c r="B632" s="7" t="s">
        <v>385</v>
      </c>
      <c r="C632" s="7" t="s">
        <v>920</v>
      </c>
      <c r="D632" s="26">
        <f>IF(COUNTIF($B$2:$B632,$B632)&gt;1,"",COUNTIF($B$2:$B$3400,$B632))</f>
        <v>30</v>
      </c>
      <c r="E632" s="26">
        <f>IF(COUNTIF($B$2:$B632,$B632)&gt;1,"",COUNTIFS($B$2:$B$3400,$B632,$K$2:$K$3400,"PHÙ HỢP CAO"))</f>
        <v>2</v>
      </c>
      <c r="F632" s="26">
        <f>IF(COUNTIF($B$2:$B632,$B632)&gt;1,"",COUNTIFS($B$2:$B$3400,$B632,$K$2:$K$3400,"CÓ THỂ ĐI"))</f>
        <v>3</v>
      </c>
      <c r="G632" s="26">
        <f>IF(COUNTIF($B$2:$B632,$B632)&gt;1,"",COUNTIFS($B$2:$B$3400,$B632,$K$2:$K$3400,"CẦN SOÁT"))</f>
        <v>25</v>
      </c>
      <c r="H632" s="27" t="str">
        <f>IFERROR(__xludf.DUMMYFUNCTION("IF(COUNTIF($B$2:$B632,$B632)&gt;1,"""",IFERROR(TEXTJOIN(CHAR(10),TRUE,BYROW(QUERY({$B$2:$B$3400,$J$2:$J$3400},""select Col2, count(Col2) where Col1 = '""&amp;$B632&amp;""' group by Col2 order by count(Col2) desc label count(Col2) ''"",0),LAMBDA(r,INDEX(r,1,1)&amp;"" – "&amp;"""&amp;INDEX(r,1,2)&amp;"" link""))),""""))"),"bao nhiêu tuổi được mở tài khoản ngân hàng – 15 link
độ tuổi mở tài khoản ngân hàng – 15 link")</f>
        <v>bao nhiêu tuổi được mở tài khoản ngân hàng – 15 link
độ tuổi mở tài khoản ngân hàng – 15 link</v>
      </c>
      <c r="I632" s="10" t="s">
        <v>1135</v>
      </c>
      <c r="J632" s="13" t="s">
        <v>1140</v>
      </c>
      <c r="K632" s="13" t="s">
        <v>184</v>
      </c>
      <c r="L632" s="13" t="s">
        <v>1467</v>
      </c>
      <c r="M632" s="6" t="s">
        <v>188</v>
      </c>
      <c r="N632" s="6" t="s">
        <v>188</v>
      </c>
      <c r="O632" s="6" t="s">
        <v>190</v>
      </c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>
      <c r="A633" s="12">
        <v>17.0</v>
      </c>
      <c r="B633" s="7" t="s">
        <v>385</v>
      </c>
      <c r="C633" s="7" t="s">
        <v>920</v>
      </c>
      <c r="I633" s="10" t="s">
        <v>1142</v>
      </c>
      <c r="J633" s="13" t="s">
        <v>1145</v>
      </c>
      <c r="K633" s="13" t="s">
        <v>184</v>
      </c>
      <c r="L633" s="13" t="s">
        <v>1468</v>
      </c>
      <c r="M633" s="6" t="s">
        <v>188</v>
      </c>
      <c r="N633" s="6" t="s">
        <v>188</v>
      </c>
      <c r="O633" s="6" t="s">
        <v>190</v>
      </c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>
      <c r="A634" s="12">
        <v>17.0</v>
      </c>
      <c r="B634" s="7" t="s">
        <v>385</v>
      </c>
      <c r="C634" s="7" t="s">
        <v>920</v>
      </c>
      <c r="I634" s="10" t="s">
        <v>1146</v>
      </c>
      <c r="J634" s="13" t="s">
        <v>1140</v>
      </c>
      <c r="K634" s="13" t="s">
        <v>283</v>
      </c>
      <c r="L634" s="13" t="s">
        <v>1469</v>
      </c>
      <c r="M634" s="6" t="s">
        <v>188</v>
      </c>
      <c r="N634" s="6" t="s">
        <v>188</v>
      </c>
      <c r="O634" s="6" t="s">
        <v>190</v>
      </c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>
      <c r="A635" s="12">
        <v>17.0</v>
      </c>
      <c r="B635" s="7" t="s">
        <v>385</v>
      </c>
      <c r="C635" s="7" t="s">
        <v>920</v>
      </c>
      <c r="I635" s="10" t="s">
        <v>1472</v>
      </c>
      <c r="J635" s="13" t="s">
        <v>1145</v>
      </c>
      <c r="K635" s="13" t="s">
        <v>283</v>
      </c>
      <c r="L635" s="13" t="s">
        <v>1473</v>
      </c>
      <c r="M635" s="6" t="s">
        <v>188</v>
      </c>
      <c r="N635" s="6" t="s">
        <v>188</v>
      </c>
      <c r="O635" s="6" t="s">
        <v>190</v>
      </c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>
      <c r="A636" s="12">
        <v>17.0</v>
      </c>
      <c r="B636" s="7" t="s">
        <v>385</v>
      </c>
      <c r="C636" s="7" t="s">
        <v>920</v>
      </c>
      <c r="I636" s="10" t="s">
        <v>1475</v>
      </c>
      <c r="J636" s="13" t="s">
        <v>1140</v>
      </c>
      <c r="K636" s="13" t="s">
        <v>283</v>
      </c>
      <c r="L636" s="13" t="s">
        <v>1476</v>
      </c>
      <c r="M636" s="6" t="s">
        <v>188</v>
      </c>
      <c r="N636" s="6" t="s">
        <v>188</v>
      </c>
      <c r="O636" s="6" t="s">
        <v>190</v>
      </c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>
      <c r="A637" s="12">
        <v>17.0</v>
      </c>
      <c r="B637" s="7" t="s">
        <v>385</v>
      </c>
      <c r="C637" s="7" t="s">
        <v>920</v>
      </c>
      <c r="I637" s="10" t="s">
        <v>1478</v>
      </c>
      <c r="J637" s="13" t="s">
        <v>1145</v>
      </c>
      <c r="K637" s="13" t="s">
        <v>303</v>
      </c>
      <c r="L637" s="13" t="s">
        <v>1480</v>
      </c>
      <c r="M637" s="6" t="s">
        <v>188</v>
      </c>
      <c r="N637" s="6" t="s">
        <v>188</v>
      </c>
      <c r="O637" s="6" t="s">
        <v>190</v>
      </c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>
      <c r="A638" s="12">
        <v>17.0</v>
      </c>
      <c r="B638" s="7" t="s">
        <v>385</v>
      </c>
      <c r="C638" s="7" t="s">
        <v>920</v>
      </c>
      <c r="I638" s="10" t="s">
        <v>1481</v>
      </c>
      <c r="J638" s="13" t="s">
        <v>1140</v>
      </c>
      <c r="K638" s="13" t="s">
        <v>303</v>
      </c>
      <c r="L638" s="13" t="s">
        <v>1482</v>
      </c>
      <c r="M638" s="6" t="s">
        <v>188</v>
      </c>
      <c r="N638" s="6" t="s">
        <v>188</v>
      </c>
      <c r="O638" s="6" t="s">
        <v>190</v>
      </c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>
      <c r="A639" s="12">
        <v>17.0</v>
      </c>
      <c r="B639" s="7" t="s">
        <v>385</v>
      </c>
      <c r="C639" s="7" t="s">
        <v>920</v>
      </c>
      <c r="I639" s="10" t="s">
        <v>1192</v>
      </c>
      <c r="J639" s="13" t="s">
        <v>1145</v>
      </c>
      <c r="K639" s="13" t="s">
        <v>303</v>
      </c>
      <c r="L639" s="13" t="s">
        <v>1483</v>
      </c>
      <c r="M639" s="6" t="s">
        <v>188</v>
      </c>
      <c r="N639" s="6" t="s">
        <v>188</v>
      </c>
      <c r="O639" s="6" t="s">
        <v>190</v>
      </c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>
      <c r="A640" s="12">
        <v>17.0</v>
      </c>
      <c r="B640" s="7" t="s">
        <v>385</v>
      </c>
      <c r="C640" s="7" t="s">
        <v>920</v>
      </c>
      <c r="I640" s="10" t="s">
        <v>1486</v>
      </c>
      <c r="J640" s="13" t="s">
        <v>1140</v>
      </c>
      <c r="K640" s="13" t="s">
        <v>303</v>
      </c>
      <c r="L640" s="13" t="s">
        <v>1489</v>
      </c>
      <c r="M640" s="6" t="s">
        <v>188</v>
      </c>
      <c r="N640" s="6" t="s">
        <v>188</v>
      </c>
      <c r="O640" s="6" t="s">
        <v>190</v>
      </c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>
      <c r="A641" s="12">
        <v>17.0</v>
      </c>
      <c r="B641" s="7" t="s">
        <v>385</v>
      </c>
      <c r="C641" s="7" t="s">
        <v>920</v>
      </c>
      <c r="I641" s="10" t="s">
        <v>1491</v>
      </c>
      <c r="J641" s="13" t="s">
        <v>1145</v>
      </c>
      <c r="K641" s="13" t="s">
        <v>303</v>
      </c>
      <c r="L641" s="13" t="s">
        <v>1483</v>
      </c>
      <c r="M641" s="6" t="s">
        <v>188</v>
      </c>
      <c r="N641" s="6" t="s">
        <v>188</v>
      </c>
      <c r="O641" s="6" t="s">
        <v>190</v>
      </c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>
      <c r="A642" s="12">
        <v>17.0</v>
      </c>
      <c r="B642" s="7" t="s">
        <v>385</v>
      </c>
      <c r="C642" s="7" t="s">
        <v>920</v>
      </c>
      <c r="I642" s="10" t="s">
        <v>1493</v>
      </c>
      <c r="J642" s="13" t="s">
        <v>1140</v>
      </c>
      <c r="K642" s="13" t="s">
        <v>303</v>
      </c>
      <c r="L642" s="13" t="s">
        <v>1489</v>
      </c>
      <c r="M642" s="6" t="s">
        <v>188</v>
      </c>
      <c r="N642" s="6" t="s">
        <v>188</v>
      </c>
      <c r="O642" s="6" t="s">
        <v>190</v>
      </c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>
      <c r="A643" s="12">
        <v>17.0</v>
      </c>
      <c r="B643" s="7" t="s">
        <v>385</v>
      </c>
      <c r="C643" s="7" t="s">
        <v>920</v>
      </c>
      <c r="I643" s="10" t="s">
        <v>979</v>
      </c>
      <c r="J643" s="13" t="s">
        <v>1145</v>
      </c>
      <c r="K643" s="13" t="s">
        <v>303</v>
      </c>
      <c r="L643" s="13" t="s">
        <v>1483</v>
      </c>
      <c r="M643" s="6" t="s">
        <v>188</v>
      </c>
      <c r="N643" s="6" t="s">
        <v>188</v>
      </c>
      <c r="O643" s="6" t="s">
        <v>190</v>
      </c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>
      <c r="A644" s="12">
        <v>17.0</v>
      </c>
      <c r="B644" s="7" t="s">
        <v>385</v>
      </c>
      <c r="C644" s="7" t="s">
        <v>920</v>
      </c>
      <c r="I644" s="10" t="s">
        <v>1312</v>
      </c>
      <c r="J644" s="13" t="s">
        <v>1140</v>
      </c>
      <c r="K644" s="13" t="s">
        <v>303</v>
      </c>
      <c r="L644" s="13" t="s">
        <v>1489</v>
      </c>
      <c r="M644" s="6" t="s">
        <v>188</v>
      </c>
      <c r="N644" s="6" t="s">
        <v>188</v>
      </c>
      <c r="O644" s="6" t="s">
        <v>190</v>
      </c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>
      <c r="A645" s="12">
        <v>17.0</v>
      </c>
      <c r="B645" s="7" t="s">
        <v>385</v>
      </c>
      <c r="C645" s="7" t="s">
        <v>920</v>
      </c>
      <c r="I645" s="10" t="s">
        <v>1346</v>
      </c>
      <c r="J645" s="13" t="s">
        <v>1145</v>
      </c>
      <c r="K645" s="13" t="s">
        <v>303</v>
      </c>
      <c r="L645" s="13" t="s">
        <v>1489</v>
      </c>
      <c r="M645" s="6" t="s">
        <v>188</v>
      </c>
      <c r="N645" s="6" t="s">
        <v>188</v>
      </c>
      <c r="O645" s="6" t="s">
        <v>190</v>
      </c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>
      <c r="A646" s="12">
        <v>17.0</v>
      </c>
      <c r="B646" s="7" t="s">
        <v>385</v>
      </c>
      <c r="C646" s="7" t="s">
        <v>920</v>
      </c>
      <c r="I646" s="10" t="s">
        <v>399</v>
      </c>
      <c r="J646" s="13" t="s">
        <v>1140</v>
      </c>
      <c r="K646" s="13" t="s">
        <v>303</v>
      </c>
      <c r="L646" s="13" t="s">
        <v>1497</v>
      </c>
      <c r="M646" s="6" t="s">
        <v>188</v>
      </c>
      <c r="N646" s="6" t="s">
        <v>188</v>
      </c>
      <c r="O646" s="6" t="s">
        <v>190</v>
      </c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>
      <c r="A647" s="12">
        <v>17.0</v>
      </c>
      <c r="B647" s="7" t="s">
        <v>385</v>
      </c>
      <c r="C647" s="7" t="s">
        <v>920</v>
      </c>
      <c r="I647" s="10" t="s">
        <v>1500</v>
      </c>
      <c r="J647" s="13" t="s">
        <v>1145</v>
      </c>
      <c r="K647" s="13" t="s">
        <v>303</v>
      </c>
      <c r="L647" s="13" t="s">
        <v>1489</v>
      </c>
      <c r="M647" s="6" t="s">
        <v>188</v>
      </c>
      <c r="N647" s="6" t="s">
        <v>188</v>
      </c>
      <c r="O647" s="6" t="s">
        <v>190</v>
      </c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>
      <c r="A648" s="12">
        <v>17.0</v>
      </c>
      <c r="B648" s="7" t="s">
        <v>385</v>
      </c>
      <c r="C648" s="7" t="s">
        <v>920</v>
      </c>
      <c r="I648" s="10" t="s">
        <v>1154</v>
      </c>
      <c r="J648" s="13" t="s">
        <v>1140</v>
      </c>
      <c r="K648" s="13" t="s">
        <v>303</v>
      </c>
      <c r="L648" s="13" t="s">
        <v>1482</v>
      </c>
      <c r="M648" s="6" t="s">
        <v>188</v>
      </c>
      <c r="N648" s="6" t="s">
        <v>188</v>
      </c>
      <c r="O648" s="6" t="s">
        <v>190</v>
      </c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>
      <c r="A649" s="12">
        <v>17.0</v>
      </c>
      <c r="B649" s="7" t="s">
        <v>385</v>
      </c>
      <c r="C649" s="7" t="s">
        <v>920</v>
      </c>
      <c r="I649" s="10" t="s">
        <v>1504</v>
      </c>
      <c r="J649" s="13" t="s">
        <v>1145</v>
      </c>
      <c r="K649" s="13" t="s">
        <v>303</v>
      </c>
      <c r="L649" s="13" t="s">
        <v>1489</v>
      </c>
      <c r="M649" s="6" t="s">
        <v>188</v>
      </c>
      <c r="N649" s="6" t="s">
        <v>188</v>
      </c>
      <c r="O649" s="6" t="s">
        <v>190</v>
      </c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>
      <c r="A650" s="12">
        <v>17.0</v>
      </c>
      <c r="B650" s="7" t="s">
        <v>385</v>
      </c>
      <c r="C650" s="7" t="s">
        <v>920</v>
      </c>
      <c r="I650" s="10" t="s">
        <v>536</v>
      </c>
      <c r="J650" s="13" t="s">
        <v>1140</v>
      </c>
      <c r="K650" s="13" t="s">
        <v>303</v>
      </c>
      <c r="L650" s="13" t="s">
        <v>1489</v>
      </c>
      <c r="M650" s="6" t="s">
        <v>188</v>
      </c>
      <c r="N650" s="6" t="s">
        <v>188</v>
      </c>
      <c r="O650" s="6" t="s">
        <v>190</v>
      </c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>
      <c r="A651" s="12">
        <v>17.0</v>
      </c>
      <c r="B651" s="7" t="s">
        <v>385</v>
      </c>
      <c r="C651" s="7" t="s">
        <v>920</v>
      </c>
      <c r="I651" s="10" t="s">
        <v>1507</v>
      </c>
      <c r="J651" s="13" t="s">
        <v>1145</v>
      </c>
      <c r="K651" s="13" t="s">
        <v>303</v>
      </c>
      <c r="L651" s="13" t="s">
        <v>1483</v>
      </c>
      <c r="M651" s="6" t="s">
        <v>188</v>
      </c>
      <c r="N651" s="6" t="s">
        <v>188</v>
      </c>
      <c r="O651" s="6" t="s">
        <v>190</v>
      </c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>
      <c r="A652" s="12">
        <v>17.0</v>
      </c>
      <c r="B652" s="7" t="s">
        <v>385</v>
      </c>
      <c r="C652" s="7" t="s">
        <v>920</v>
      </c>
      <c r="I652" s="10" t="s">
        <v>1354</v>
      </c>
      <c r="J652" s="13" t="s">
        <v>1140</v>
      </c>
      <c r="K652" s="13" t="s">
        <v>303</v>
      </c>
      <c r="L652" s="13" t="s">
        <v>1509</v>
      </c>
      <c r="M652" s="6" t="s">
        <v>188</v>
      </c>
      <c r="N652" s="6" t="s">
        <v>188</v>
      </c>
      <c r="O652" s="6" t="s">
        <v>190</v>
      </c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>
      <c r="A653" s="12">
        <v>17.0</v>
      </c>
      <c r="B653" s="7" t="s">
        <v>385</v>
      </c>
      <c r="C653" s="7" t="s">
        <v>920</v>
      </c>
      <c r="I653" s="10" t="s">
        <v>1510</v>
      </c>
      <c r="J653" s="13" t="s">
        <v>1145</v>
      </c>
      <c r="K653" s="13" t="s">
        <v>303</v>
      </c>
      <c r="L653" s="13" t="s">
        <v>1489</v>
      </c>
      <c r="M653" s="6" t="s">
        <v>188</v>
      </c>
      <c r="N653" s="6" t="s">
        <v>188</v>
      </c>
      <c r="O653" s="6" t="s">
        <v>190</v>
      </c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>
      <c r="A654" s="12">
        <v>17.0</v>
      </c>
      <c r="B654" s="7" t="s">
        <v>385</v>
      </c>
      <c r="C654" s="7" t="s">
        <v>920</v>
      </c>
      <c r="I654" s="10" t="s">
        <v>1513</v>
      </c>
      <c r="J654" s="13" t="s">
        <v>1140</v>
      </c>
      <c r="K654" s="13" t="s">
        <v>303</v>
      </c>
      <c r="L654" s="13" t="s">
        <v>1489</v>
      </c>
      <c r="M654" s="6" t="s">
        <v>188</v>
      </c>
      <c r="N654" s="6" t="s">
        <v>188</v>
      </c>
      <c r="O654" s="6" t="s">
        <v>190</v>
      </c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>
      <c r="A655" s="12">
        <v>17.0</v>
      </c>
      <c r="B655" s="7" t="s">
        <v>385</v>
      </c>
      <c r="C655" s="7" t="s">
        <v>920</v>
      </c>
      <c r="I655" s="10" t="s">
        <v>1309</v>
      </c>
      <c r="J655" s="13" t="s">
        <v>1145</v>
      </c>
      <c r="K655" s="13" t="s">
        <v>303</v>
      </c>
      <c r="L655" s="13" t="s">
        <v>1489</v>
      </c>
      <c r="M655" s="6" t="s">
        <v>188</v>
      </c>
      <c r="N655" s="6" t="s">
        <v>188</v>
      </c>
      <c r="O655" s="6" t="s">
        <v>190</v>
      </c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>
      <c r="A656" s="12">
        <v>17.0</v>
      </c>
      <c r="B656" s="7" t="s">
        <v>385</v>
      </c>
      <c r="C656" s="7" t="s">
        <v>920</v>
      </c>
      <c r="I656" s="10" t="s">
        <v>1149</v>
      </c>
      <c r="J656" s="13" t="s">
        <v>1140</v>
      </c>
      <c r="K656" s="13" t="s">
        <v>303</v>
      </c>
      <c r="L656" s="13" t="s">
        <v>1482</v>
      </c>
      <c r="M656" s="6" t="s">
        <v>188</v>
      </c>
      <c r="N656" s="6" t="s">
        <v>188</v>
      </c>
      <c r="O656" s="6" t="s">
        <v>190</v>
      </c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>
      <c r="A657" s="12">
        <v>17.0</v>
      </c>
      <c r="B657" s="7" t="s">
        <v>385</v>
      </c>
      <c r="C657" s="7" t="s">
        <v>920</v>
      </c>
      <c r="I657" s="10" t="s">
        <v>1521</v>
      </c>
      <c r="J657" s="13" t="s">
        <v>1145</v>
      </c>
      <c r="K657" s="13" t="s">
        <v>303</v>
      </c>
      <c r="L657" s="13" t="s">
        <v>1489</v>
      </c>
      <c r="M657" s="6" t="s">
        <v>188</v>
      </c>
      <c r="N657" s="6" t="s">
        <v>188</v>
      </c>
      <c r="O657" s="6" t="s">
        <v>190</v>
      </c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>
      <c r="A658" s="12">
        <v>17.0</v>
      </c>
      <c r="B658" s="7" t="s">
        <v>385</v>
      </c>
      <c r="C658" s="7" t="s">
        <v>920</v>
      </c>
      <c r="I658" s="10" t="s">
        <v>1156</v>
      </c>
      <c r="J658" s="13" t="s">
        <v>1140</v>
      </c>
      <c r="K658" s="13" t="s">
        <v>303</v>
      </c>
      <c r="L658" s="13" t="s">
        <v>1483</v>
      </c>
      <c r="M658" s="6" t="s">
        <v>188</v>
      </c>
      <c r="N658" s="6" t="s">
        <v>188</v>
      </c>
      <c r="O658" s="6" t="s">
        <v>190</v>
      </c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>
      <c r="A659" s="12">
        <v>17.0</v>
      </c>
      <c r="B659" s="7" t="s">
        <v>385</v>
      </c>
      <c r="C659" s="7" t="s">
        <v>920</v>
      </c>
      <c r="I659" s="10" t="s">
        <v>1528</v>
      </c>
      <c r="J659" s="13" t="s">
        <v>1145</v>
      </c>
      <c r="K659" s="13" t="s">
        <v>303</v>
      </c>
      <c r="L659" s="13" t="s">
        <v>1530</v>
      </c>
      <c r="M659" s="6" t="s">
        <v>188</v>
      </c>
      <c r="N659" s="6" t="s">
        <v>188</v>
      </c>
      <c r="O659" s="6" t="s">
        <v>190</v>
      </c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>
      <c r="A660" s="12">
        <v>17.0</v>
      </c>
      <c r="B660" s="7" t="s">
        <v>385</v>
      </c>
      <c r="C660" s="7" t="s">
        <v>920</v>
      </c>
      <c r="I660" s="13" t="s">
        <v>943</v>
      </c>
      <c r="J660" s="13" t="s">
        <v>1140</v>
      </c>
      <c r="K660" s="13" t="s">
        <v>303</v>
      </c>
      <c r="L660" s="13" t="s">
        <v>1010</v>
      </c>
      <c r="M660" s="6" t="s">
        <v>188</v>
      </c>
      <c r="N660" s="6" t="s">
        <v>188</v>
      </c>
      <c r="O660" s="6" t="s">
        <v>190</v>
      </c>
      <c r="P660" s="7" t="s">
        <v>333</v>
      </c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>
      <c r="A661" s="12">
        <v>17.0</v>
      </c>
      <c r="B661" s="7" t="s">
        <v>385</v>
      </c>
      <c r="C661" s="7" t="s">
        <v>920</v>
      </c>
      <c r="I661" s="13" t="s">
        <v>1167</v>
      </c>
      <c r="J661" s="13" t="s">
        <v>1145</v>
      </c>
      <c r="K661" s="13" t="s">
        <v>303</v>
      </c>
      <c r="L661" s="13" t="s">
        <v>1531</v>
      </c>
      <c r="M661" s="6" t="s">
        <v>188</v>
      </c>
      <c r="N661" s="6" t="s">
        <v>188</v>
      </c>
      <c r="O661" s="6" t="s">
        <v>190</v>
      </c>
      <c r="P661" s="7" t="s">
        <v>333</v>
      </c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>
      <c r="A662" s="12">
        <v>18.0</v>
      </c>
      <c r="B662" s="7" t="s">
        <v>399</v>
      </c>
      <c r="C662" s="7" t="s">
        <v>920</v>
      </c>
      <c r="D662" s="26">
        <f>IF(COUNTIF($B$2:$B662,$B662)&gt;1,"",COUNTIF($B$2:$B$3400,$B662))</f>
        <v>30</v>
      </c>
      <c r="E662" s="26">
        <f>IF(COUNTIF($B$2:$B662,$B662)&gt;1,"",COUNTIFS($B$2:$B$3400,$B662,$K$2:$K$3400,"PHÙ HỢP CAO"))</f>
        <v>2</v>
      </c>
      <c r="F662" s="26">
        <f>IF(COUNTIF($B$2:$B662,$B662)&gt;1,"",COUNTIFS($B$2:$B$3400,$B662,$K$2:$K$3400,"CÓ THỂ ĐI"))</f>
        <v>3</v>
      </c>
      <c r="G662" s="26">
        <f>IF(COUNTIF($B$2:$B662,$B662)&gt;1,"",COUNTIFS($B$2:$B$3400,$B662,$K$2:$K$3400,"CẦN SOÁT"))</f>
        <v>25</v>
      </c>
      <c r="H662" s="27" t="str">
        <f>IFERROR(__xludf.DUMMYFUNCTION("IF(COUNTIF($B$2:$B662,$B662)&gt;1,"""",IFERROR(TEXTJOIN(CHAR(10),TRUE,BYROW(QUERY({$B$2:$B$3400,$J$2:$J$3400},""select Col2, count(Col2) where Col1 = '""&amp;$B662&amp;""' group by Col2 order by count(Col2) desc label count(Col2) ''"",0),LAMBDA(r,INDEX(r,1,1)&amp;"" – "&amp;"""&amp;INDEX(r,1,2)&amp;"" link""))),""""))"),"mở tài khoản ngân hàng cho học sinh – 15 link
mở tài khoản ngân hàng dưới 18 tuổi – 15 link")</f>
        <v>mở tài khoản ngân hàng cho học sinh – 15 link
mở tài khoản ngân hàng dưới 18 tuổi – 15 link</v>
      </c>
      <c r="I662" s="10" t="s">
        <v>1149</v>
      </c>
      <c r="J662" s="13" t="s">
        <v>1153</v>
      </c>
      <c r="K662" s="13" t="s">
        <v>184</v>
      </c>
      <c r="L662" s="13" t="s">
        <v>1541</v>
      </c>
      <c r="M662" s="6" t="s">
        <v>188</v>
      </c>
      <c r="N662" s="6" t="s">
        <v>188</v>
      </c>
      <c r="O662" s="6" t="s">
        <v>190</v>
      </c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>
      <c r="A663" s="12">
        <v>18.0</v>
      </c>
      <c r="B663" s="7" t="s">
        <v>399</v>
      </c>
      <c r="C663" s="7" t="s">
        <v>920</v>
      </c>
      <c r="I663" s="10" t="s">
        <v>1154</v>
      </c>
      <c r="J663" s="13" t="s">
        <v>1158</v>
      </c>
      <c r="K663" s="13" t="s">
        <v>184</v>
      </c>
      <c r="L663" s="13" t="s">
        <v>1543</v>
      </c>
      <c r="M663" s="6" t="s">
        <v>188</v>
      </c>
      <c r="N663" s="6" t="s">
        <v>188</v>
      </c>
      <c r="O663" s="6" t="s">
        <v>190</v>
      </c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>
      <c r="A664" s="12">
        <v>18.0</v>
      </c>
      <c r="B664" s="7" t="s">
        <v>399</v>
      </c>
      <c r="C664" s="7" t="s">
        <v>920</v>
      </c>
      <c r="I664" s="10" t="s">
        <v>958</v>
      </c>
      <c r="J664" s="13" t="s">
        <v>1153</v>
      </c>
      <c r="K664" s="13" t="s">
        <v>283</v>
      </c>
      <c r="L664" s="13" t="s">
        <v>1545</v>
      </c>
      <c r="M664" s="6" t="s">
        <v>188</v>
      </c>
      <c r="N664" s="6" t="s">
        <v>188</v>
      </c>
      <c r="O664" s="6" t="s">
        <v>190</v>
      </c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>
      <c r="A665" s="12">
        <v>18.0</v>
      </c>
      <c r="B665" s="7" t="s">
        <v>399</v>
      </c>
      <c r="C665" s="7" t="s">
        <v>920</v>
      </c>
      <c r="I665" s="10" t="s">
        <v>1546</v>
      </c>
      <c r="J665" s="13" t="s">
        <v>1158</v>
      </c>
      <c r="K665" s="13" t="s">
        <v>283</v>
      </c>
      <c r="L665" s="13" t="s">
        <v>1548</v>
      </c>
      <c r="M665" s="6" t="s">
        <v>188</v>
      </c>
      <c r="N665" s="6" t="s">
        <v>188</v>
      </c>
      <c r="O665" s="6" t="s">
        <v>190</v>
      </c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>
      <c r="A666" s="12">
        <v>18.0</v>
      </c>
      <c r="B666" s="7" t="s">
        <v>399</v>
      </c>
      <c r="C666" s="7" t="s">
        <v>920</v>
      </c>
      <c r="I666" s="10" t="s">
        <v>1549</v>
      </c>
      <c r="J666" s="13" t="s">
        <v>1153</v>
      </c>
      <c r="K666" s="13" t="s">
        <v>283</v>
      </c>
      <c r="L666" s="13" t="s">
        <v>1550</v>
      </c>
      <c r="M666" s="6" t="s">
        <v>188</v>
      </c>
      <c r="N666" s="6" t="s">
        <v>188</v>
      </c>
      <c r="O666" s="6" t="s">
        <v>190</v>
      </c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>
      <c r="A667" s="12">
        <v>18.0</v>
      </c>
      <c r="B667" s="7" t="s">
        <v>399</v>
      </c>
      <c r="C667" s="7" t="s">
        <v>920</v>
      </c>
      <c r="I667" s="10" t="s">
        <v>1478</v>
      </c>
      <c r="J667" s="13" t="s">
        <v>1158</v>
      </c>
      <c r="K667" s="13" t="s">
        <v>303</v>
      </c>
      <c r="L667" s="13" t="s">
        <v>1480</v>
      </c>
      <c r="M667" s="6" t="s">
        <v>188</v>
      </c>
      <c r="N667" s="6" t="s">
        <v>188</v>
      </c>
      <c r="O667" s="6" t="s">
        <v>190</v>
      </c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>
      <c r="A668" s="12">
        <v>18.0</v>
      </c>
      <c r="B668" s="7" t="s">
        <v>399</v>
      </c>
      <c r="C668" s="7" t="s">
        <v>920</v>
      </c>
      <c r="I668" s="10" t="s">
        <v>1481</v>
      </c>
      <c r="J668" s="13" t="s">
        <v>1153</v>
      </c>
      <c r="K668" s="13" t="s">
        <v>303</v>
      </c>
      <c r="L668" s="13" t="s">
        <v>1553</v>
      </c>
      <c r="M668" s="6" t="s">
        <v>188</v>
      </c>
      <c r="N668" s="6" t="s">
        <v>188</v>
      </c>
      <c r="O668" s="6" t="s">
        <v>190</v>
      </c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>
      <c r="A669" s="12">
        <v>18.0</v>
      </c>
      <c r="B669" s="7" t="s">
        <v>399</v>
      </c>
      <c r="C669" s="7" t="s">
        <v>920</v>
      </c>
      <c r="I669" s="10" t="s">
        <v>1555</v>
      </c>
      <c r="J669" s="13" t="s">
        <v>1158</v>
      </c>
      <c r="K669" s="13" t="s">
        <v>303</v>
      </c>
      <c r="L669" s="13" t="s">
        <v>1557</v>
      </c>
      <c r="M669" s="6" t="s">
        <v>188</v>
      </c>
      <c r="N669" s="6" t="s">
        <v>188</v>
      </c>
      <c r="O669" s="6" t="s">
        <v>190</v>
      </c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>
      <c r="A670" s="12">
        <v>18.0</v>
      </c>
      <c r="B670" s="7" t="s">
        <v>399</v>
      </c>
      <c r="C670" s="7" t="s">
        <v>920</v>
      </c>
      <c r="I670" s="10" t="s">
        <v>1558</v>
      </c>
      <c r="J670" s="13" t="s">
        <v>1153</v>
      </c>
      <c r="K670" s="13" t="s">
        <v>303</v>
      </c>
      <c r="L670" s="13" t="s">
        <v>1557</v>
      </c>
      <c r="M670" s="6" t="s">
        <v>188</v>
      </c>
      <c r="N670" s="6" t="s">
        <v>188</v>
      </c>
      <c r="O670" s="6" t="s">
        <v>190</v>
      </c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>
      <c r="A671" s="12">
        <v>18.0</v>
      </c>
      <c r="B671" s="7" t="s">
        <v>399</v>
      </c>
      <c r="C671" s="7" t="s">
        <v>920</v>
      </c>
      <c r="I671" s="10" t="s">
        <v>1560</v>
      </c>
      <c r="J671" s="13" t="s">
        <v>1158</v>
      </c>
      <c r="K671" s="13" t="s">
        <v>303</v>
      </c>
      <c r="L671" s="13" t="s">
        <v>1557</v>
      </c>
      <c r="M671" s="6" t="s">
        <v>188</v>
      </c>
      <c r="N671" s="6" t="s">
        <v>188</v>
      </c>
      <c r="O671" s="6" t="s">
        <v>190</v>
      </c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>
      <c r="A672" s="12">
        <v>18.0</v>
      </c>
      <c r="B672" s="7" t="s">
        <v>399</v>
      </c>
      <c r="C672" s="7" t="s">
        <v>920</v>
      </c>
      <c r="I672" s="10" t="s">
        <v>1135</v>
      </c>
      <c r="J672" s="13" t="s">
        <v>1153</v>
      </c>
      <c r="K672" s="13" t="s">
        <v>303</v>
      </c>
      <c r="L672" s="13" t="s">
        <v>1482</v>
      </c>
      <c r="M672" s="6" t="s">
        <v>188</v>
      </c>
      <c r="N672" s="6" t="s">
        <v>188</v>
      </c>
      <c r="O672" s="6" t="s">
        <v>190</v>
      </c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>
      <c r="A673" s="12">
        <v>18.0</v>
      </c>
      <c r="B673" s="7" t="s">
        <v>399</v>
      </c>
      <c r="C673" s="7" t="s">
        <v>920</v>
      </c>
      <c r="I673" s="10" t="s">
        <v>1564</v>
      </c>
      <c r="J673" s="13" t="s">
        <v>1158</v>
      </c>
      <c r="K673" s="13" t="s">
        <v>303</v>
      </c>
      <c r="L673" s="13" t="s">
        <v>1557</v>
      </c>
      <c r="M673" s="6" t="s">
        <v>188</v>
      </c>
      <c r="N673" s="6" t="s">
        <v>188</v>
      </c>
      <c r="O673" s="6" t="s">
        <v>190</v>
      </c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>
      <c r="A674" s="12">
        <v>18.0</v>
      </c>
      <c r="B674" s="7" t="s">
        <v>399</v>
      </c>
      <c r="C674" s="7" t="s">
        <v>920</v>
      </c>
      <c r="I674" s="10" t="s">
        <v>1142</v>
      </c>
      <c r="J674" s="13" t="s">
        <v>1153</v>
      </c>
      <c r="K674" s="13" t="s">
        <v>303</v>
      </c>
      <c r="L674" s="13" t="s">
        <v>1530</v>
      </c>
      <c r="M674" s="6" t="s">
        <v>188</v>
      </c>
      <c r="N674" s="6" t="s">
        <v>188</v>
      </c>
      <c r="O674" s="6" t="s">
        <v>190</v>
      </c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>
      <c r="A675" s="12">
        <v>18.0</v>
      </c>
      <c r="B675" s="7" t="s">
        <v>399</v>
      </c>
      <c r="C675" s="7" t="s">
        <v>920</v>
      </c>
      <c r="I675" s="10" t="s">
        <v>1568</v>
      </c>
      <c r="J675" s="13" t="s">
        <v>1158</v>
      </c>
      <c r="K675" s="13" t="s">
        <v>303</v>
      </c>
      <c r="L675" s="13" t="s">
        <v>1557</v>
      </c>
      <c r="M675" s="6" t="s">
        <v>188</v>
      </c>
      <c r="N675" s="6" t="s">
        <v>188</v>
      </c>
      <c r="O675" s="6" t="s">
        <v>190</v>
      </c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>
      <c r="A676" s="12">
        <v>18.0</v>
      </c>
      <c r="B676" s="7" t="s">
        <v>399</v>
      </c>
      <c r="C676" s="7" t="s">
        <v>920</v>
      </c>
      <c r="I676" s="10" t="s">
        <v>1528</v>
      </c>
      <c r="J676" s="13" t="s">
        <v>1153</v>
      </c>
      <c r="K676" s="13" t="s">
        <v>303</v>
      </c>
      <c r="L676" s="13" t="s">
        <v>1530</v>
      </c>
      <c r="M676" s="6" t="s">
        <v>188</v>
      </c>
      <c r="N676" s="6" t="s">
        <v>188</v>
      </c>
      <c r="O676" s="6" t="s">
        <v>190</v>
      </c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>
      <c r="A677" s="12">
        <v>18.0</v>
      </c>
      <c r="B677" s="7" t="s">
        <v>399</v>
      </c>
      <c r="C677" s="7" t="s">
        <v>920</v>
      </c>
      <c r="I677" s="13" t="s">
        <v>979</v>
      </c>
      <c r="J677" s="13" t="s">
        <v>1158</v>
      </c>
      <c r="K677" s="13" t="s">
        <v>303</v>
      </c>
      <c r="L677" s="13" t="s">
        <v>1570</v>
      </c>
      <c r="M677" s="6" t="s">
        <v>188</v>
      </c>
      <c r="N677" s="6" t="s">
        <v>188</v>
      </c>
      <c r="O677" s="6" t="s">
        <v>190</v>
      </c>
      <c r="P677" s="7" t="s">
        <v>333</v>
      </c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>
      <c r="A678" s="12">
        <v>18.0</v>
      </c>
      <c r="B678" s="7" t="s">
        <v>399</v>
      </c>
      <c r="C678" s="7" t="s">
        <v>920</v>
      </c>
      <c r="I678" s="13" t="s">
        <v>1491</v>
      </c>
      <c r="J678" s="13" t="s">
        <v>1153</v>
      </c>
      <c r="K678" s="13" t="s">
        <v>303</v>
      </c>
      <c r="L678" s="13" t="s">
        <v>1571</v>
      </c>
      <c r="M678" s="6" t="s">
        <v>188</v>
      </c>
      <c r="N678" s="6" t="s">
        <v>188</v>
      </c>
      <c r="O678" s="6" t="s">
        <v>190</v>
      </c>
      <c r="P678" s="7" t="s">
        <v>333</v>
      </c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>
      <c r="A679" s="12">
        <v>18.0</v>
      </c>
      <c r="B679" s="7" t="s">
        <v>399</v>
      </c>
      <c r="C679" s="7" t="s">
        <v>920</v>
      </c>
      <c r="I679" s="13" t="s">
        <v>943</v>
      </c>
      <c r="J679" s="13" t="s">
        <v>1158</v>
      </c>
      <c r="K679" s="13" t="s">
        <v>303</v>
      </c>
      <c r="L679" s="13" t="s">
        <v>1010</v>
      </c>
      <c r="M679" s="6" t="s">
        <v>188</v>
      </c>
      <c r="N679" s="6" t="s">
        <v>188</v>
      </c>
      <c r="O679" s="6" t="s">
        <v>190</v>
      </c>
      <c r="P679" s="7" t="s">
        <v>333</v>
      </c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>
      <c r="A680" s="12">
        <v>18.0</v>
      </c>
      <c r="B680" s="7" t="s">
        <v>399</v>
      </c>
      <c r="C680" s="7" t="s">
        <v>920</v>
      </c>
      <c r="I680" s="13" t="s">
        <v>385</v>
      </c>
      <c r="J680" s="13" t="s">
        <v>1153</v>
      </c>
      <c r="K680" s="13" t="s">
        <v>303</v>
      </c>
      <c r="L680" s="13" t="s">
        <v>1574</v>
      </c>
      <c r="M680" s="6" t="s">
        <v>188</v>
      </c>
      <c r="N680" s="6" t="s">
        <v>188</v>
      </c>
      <c r="O680" s="6" t="s">
        <v>190</v>
      </c>
      <c r="P680" s="7" t="s">
        <v>333</v>
      </c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>
      <c r="A681" s="12">
        <v>18.0</v>
      </c>
      <c r="B681" s="7" t="s">
        <v>399</v>
      </c>
      <c r="C681" s="7" t="s">
        <v>920</v>
      </c>
      <c r="I681" s="13" t="s">
        <v>1194</v>
      </c>
      <c r="J681" s="13" t="s">
        <v>1158</v>
      </c>
      <c r="K681" s="13" t="s">
        <v>303</v>
      </c>
      <c r="L681" s="13" t="s">
        <v>1576</v>
      </c>
      <c r="M681" s="6" t="s">
        <v>188</v>
      </c>
      <c r="N681" s="6" t="s">
        <v>188</v>
      </c>
      <c r="O681" s="6" t="s">
        <v>190</v>
      </c>
      <c r="P681" s="7" t="s">
        <v>333</v>
      </c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>
      <c r="A682" s="12">
        <v>18.0</v>
      </c>
      <c r="B682" s="7" t="s">
        <v>399</v>
      </c>
      <c r="C682" s="7" t="s">
        <v>920</v>
      </c>
      <c r="I682" s="13" t="s">
        <v>1167</v>
      </c>
      <c r="J682" s="13" t="s">
        <v>1153</v>
      </c>
      <c r="K682" s="13" t="s">
        <v>303</v>
      </c>
      <c r="L682" s="13" t="s">
        <v>1531</v>
      </c>
      <c r="M682" s="6" t="s">
        <v>188</v>
      </c>
      <c r="N682" s="6" t="s">
        <v>188</v>
      </c>
      <c r="O682" s="6" t="s">
        <v>190</v>
      </c>
      <c r="P682" s="7" t="s">
        <v>333</v>
      </c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>
      <c r="A683" s="12">
        <v>18.0</v>
      </c>
      <c r="B683" s="7" t="s">
        <v>399</v>
      </c>
      <c r="C683" s="7" t="s">
        <v>920</v>
      </c>
      <c r="I683" s="13" t="s">
        <v>1187</v>
      </c>
      <c r="J683" s="13" t="s">
        <v>1158</v>
      </c>
      <c r="K683" s="13" t="s">
        <v>303</v>
      </c>
      <c r="L683" s="13" t="s">
        <v>1576</v>
      </c>
      <c r="M683" s="6" t="s">
        <v>188</v>
      </c>
      <c r="N683" s="6" t="s">
        <v>188</v>
      </c>
      <c r="O683" s="6" t="s">
        <v>190</v>
      </c>
      <c r="P683" s="7" t="s">
        <v>333</v>
      </c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>
      <c r="A684" s="12">
        <v>18.0</v>
      </c>
      <c r="B684" s="7" t="s">
        <v>399</v>
      </c>
      <c r="C684" s="7" t="s">
        <v>920</v>
      </c>
      <c r="I684" s="13" t="s">
        <v>955</v>
      </c>
      <c r="J684" s="13" t="s">
        <v>1153</v>
      </c>
      <c r="K684" s="13" t="s">
        <v>303</v>
      </c>
      <c r="L684" s="13" t="s">
        <v>956</v>
      </c>
      <c r="M684" s="6" t="s">
        <v>188</v>
      </c>
      <c r="N684" s="6" t="s">
        <v>188</v>
      </c>
      <c r="O684" s="6" t="s">
        <v>190</v>
      </c>
      <c r="P684" s="7" t="s">
        <v>333</v>
      </c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>
      <c r="A685" s="12">
        <v>18.0</v>
      </c>
      <c r="B685" s="7" t="s">
        <v>399</v>
      </c>
      <c r="C685" s="7" t="s">
        <v>920</v>
      </c>
      <c r="I685" s="13" t="s">
        <v>945</v>
      </c>
      <c r="J685" s="13" t="s">
        <v>1158</v>
      </c>
      <c r="K685" s="13" t="s">
        <v>303</v>
      </c>
      <c r="L685" s="13" t="s">
        <v>1011</v>
      </c>
      <c r="M685" s="6" t="s">
        <v>188</v>
      </c>
      <c r="N685" s="6" t="s">
        <v>188</v>
      </c>
      <c r="O685" s="6" t="s">
        <v>190</v>
      </c>
      <c r="P685" s="7" t="s">
        <v>333</v>
      </c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>
      <c r="A686" s="12">
        <v>18.0</v>
      </c>
      <c r="B686" s="7" t="s">
        <v>399</v>
      </c>
      <c r="C686" s="7" t="s">
        <v>920</v>
      </c>
      <c r="I686" s="13" t="s">
        <v>1507</v>
      </c>
      <c r="J686" s="13" t="s">
        <v>1153</v>
      </c>
      <c r="K686" s="13" t="s">
        <v>303</v>
      </c>
      <c r="L686" s="13" t="s">
        <v>1579</v>
      </c>
      <c r="M686" s="6" t="s">
        <v>188</v>
      </c>
      <c r="N686" s="6" t="s">
        <v>188</v>
      </c>
      <c r="O686" s="6" t="s">
        <v>190</v>
      </c>
      <c r="P686" s="7" t="s">
        <v>333</v>
      </c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>
      <c r="A687" s="12">
        <v>18.0</v>
      </c>
      <c r="B687" s="7" t="s">
        <v>399</v>
      </c>
      <c r="C687" s="7" t="s">
        <v>920</v>
      </c>
      <c r="I687" s="13" t="s">
        <v>1354</v>
      </c>
      <c r="J687" s="13" t="s">
        <v>1158</v>
      </c>
      <c r="K687" s="13" t="s">
        <v>303</v>
      </c>
      <c r="L687" s="13" t="s">
        <v>1583</v>
      </c>
      <c r="M687" s="6" t="s">
        <v>188</v>
      </c>
      <c r="N687" s="6" t="s">
        <v>188</v>
      </c>
      <c r="O687" s="6" t="s">
        <v>190</v>
      </c>
      <c r="P687" s="7" t="s">
        <v>333</v>
      </c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>
      <c r="A688" s="12">
        <v>18.0</v>
      </c>
      <c r="B688" s="7" t="s">
        <v>399</v>
      </c>
      <c r="C688" s="7" t="s">
        <v>920</v>
      </c>
      <c r="I688" s="13" t="s">
        <v>964</v>
      </c>
      <c r="J688" s="13" t="s">
        <v>1153</v>
      </c>
      <c r="K688" s="13" t="s">
        <v>303</v>
      </c>
      <c r="L688" s="13" t="s">
        <v>965</v>
      </c>
      <c r="M688" s="6" t="s">
        <v>188</v>
      </c>
      <c r="N688" s="6" t="s">
        <v>188</v>
      </c>
      <c r="O688" s="6" t="s">
        <v>190</v>
      </c>
      <c r="P688" s="7" t="s">
        <v>333</v>
      </c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>
      <c r="A689" s="12">
        <v>18.0</v>
      </c>
      <c r="B689" s="7" t="s">
        <v>399</v>
      </c>
      <c r="C689" s="7" t="s">
        <v>920</v>
      </c>
      <c r="I689" s="13" t="s">
        <v>967</v>
      </c>
      <c r="J689" s="13" t="s">
        <v>1158</v>
      </c>
      <c r="K689" s="13" t="s">
        <v>303</v>
      </c>
      <c r="L689" s="13" t="s">
        <v>968</v>
      </c>
      <c r="M689" s="6" t="s">
        <v>188</v>
      </c>
      <c r="N689" s="6" t="s">
        <v>188</v>
      </c>
      <c r="O689" s="6" t="s">
        <v>190</v>
      </c>
      <c r="P689" s="7" t="s">
        <v>333</v>
      </c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>
      <c r="A690" s="12">
        <v>18.0</v>
      </c>
      <c r="B690" s="7" t="s">
        <v>399</v>
      </c>
      <c r="C690" s="7" t="s">
        <v>920</v>
      </c>
      <c r="I690" s="13" t="s">
        <v>972</v>
      </c>
      <c r="J690" s="13" t="s">
        <v>1153</v>
      </c>
      <c r="K690" s="13" t="s">
        <v>303</v>
      </c>
      <c r="L690" s="13" t="s">
        <v>973</v>
      </c>
      <c r="M690" s="6" t="s">
        <v>188</v>
      </c>
      <c r="N690" s="6" t="s">
        <v>188</v>
      </c>
      <c r="O690" s="6" t="s">
        <v>190</v>
      </c>
      <c r="P690" s="7" t="s">
        <v>333</v>
      </c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>
      <c r="A691" s="12">
        <v>18.0</v>
      </c>
      <c r="B691" s="7" t="s">
        <v>399</v>
      </c>
      <c r="C691" s="7" t="s">
        <v>920</v>
      </c>
      <c r="I691" s="13" t="s">
        <v>407</v>
      </c>
      <c r="J691" s="13" t="s">
        <v>1158</v>
      </c>
      <c r="K691" s="13" t="s">
        <v>303</v>
      </c>
      <c r="L691" s="13" t="s">
        <v>966</v>
      </c>
      <c r="M691" s="6" t="s">
        <v>188</v>
      </c>
      <c r="N691" s="6" t="s">
        <v>188</v>
      </c>
      <c r="O691" s="6" t="s">
        <v>190</v>
      </c>
      <c r="P691" s="7" t="s">
        <v>333</v>
      </c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>
      <c r="A692" s="12">
        <v>19.0</v>
      </c>
      <c r="B692" s="7" t="s">
        <v>407</v>
      </c>
      <c r="C692" s="7" t="s">
        <v>920</v>
      </c>
      <c r="D692" s="26">
        <f>IF(COUNTIF($B$2:$B692,$B692)&gt;1,"",COUNTIF($B$2:$B$3400,$B692))</f>
        <v>30</v>
      </c>
      <c r="E692" s="26">
        <f>IF(COUNTIF($B$2:$B692,$B692)&gt;1,"",COUNTIFS($B$2:$B$3400,$B692,$K$2:$K$3400,"PHÙ HỢP CAO"))</f>
        <v>2</v>
      </c>
      <c r="F692" s="26">
        <f>IF(COUNTIF($B$2:$B692,$B692)&gt;1,"",COUNTIFS($B$2:$B$3400,$B692,$K$2:$K$3400,"CÓ THỂ ĐI"))</f>
        <v>3</v>
      </c>
      <c r="G692" s="26">
        <f>IF(COUNTIF($B$2:$B692,$B692)&gt;1,"",COUNTIFS($B$2:$B$3400,$B692,$K$2:$K$3400,"CẦN SOÁT"))</f>
        <v>25</v>
      </c>
      <c r="H692" s="27" t="str">
        <f>IFERROR(__xludf.DUMMYFUNCTION("IF(COUNTIF($B$2:$B692,$B692)&gt;1,"""",IFERROR(TEXTJOIN(CHAR(10),TRUE,BYROW(QUERY({$B$2:$B$3400,$J$2:$J$3400},""select Col2, count(Col2) where Col1 = '""&amp;$B692&amp;""' group by Col2 order by count(Col2) desc label count(Col2) ''"",0),LAMBDA(r,INDEX(r,1,1)&amp;"" – "&amp;"""&amp;INDEX(r,1,2)&amp;"" link""))),""""))"),"nạp tiền vào tài khoản ngân hàng – 15 link
nộp tiền vào tài khoản – 15 link")</f>
        <v>nạp tiền vào tài khoản ngân hàng – 15 link
nộp tiền vào tài khoản – 15 link</v>
      </c>
      <c r="I692" s="10" t="s">
        <v>1161</v>
      </c>
      <c r="J692" s="13" t="s">
        <v>1163</v>
      </c>
      <c r="K692" s="13" t="s">
        <v>184</v>
      </c>
      <c r="L692" s="13" t="s">
        <v>1603</v>
      </c>
      <c r="M692" s="6" t="s">
        <v>188</v>
      </c>
      <c r="N692" s="6" t="s">
        <v>188</v>
      </c>
      <c r="O692" s="6" t="s">
        <v>190</v>
      </c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>
      <c r="A693" s="12">
        <v>19.0</v>
      </c>
      <c r="B693" s="7" t="s">
        <v>407</v>
      </c>
      <c r="C693" s="7" t="s">
        <v>920</v>
      </c>
      <c r="I693" s="10" t="s">
        <v>1164</v>
      </c>
      <c r="J693" s="13" t="s">
        <v>1166</v>
      </c>
      <c r="K693" s="13" t="s">
        <v>184</v>
      </c>
      <c r="L693" s="13" t="s">
        <v>1605</v>
      </c>
      <c r="M693" s="6" t="s">
        <v>188</v>
      </c>
      <c r="N693" s="6" t="s">
        <v>188</v>
      </c>
      <c r="O693" s="6" t="s">
        <v>190</v>
      </c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>
      <c r="A694" s="12">
        <v>19.0</v>
      </c>
      <c r="B694" s="7" t="s">
        <v>407</v>
      </c>
      <c r="C694" s="7" t="s">
        <v>920</v>
      </c>
      <c r="I694" s="10" t="s">
        <v>1167</v>
      </c>
      <c r="J694" s="13" t="s">
        <v>1163</v>
      </c>
      <c r="K694" s="13" t="s">
        <v>283</v>
      </c>
      <c r="L694" s="13" t="s">
        <v>1608</v>
      </c>
      <c r="M694" s="6" t="s">
        <v>188</v>
      </c>
      <c r="N694" s="6" t="s">
        <v>188</v>
      </c>
      <c r="O694" s="6" t="s">
        <v>190</v>
      </c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>
      <c r="A695" s="12">
        <v>19.0</v>
      </c>
      <c r="B695" s="7" t="s">
        <v>407</v>
      </c>
      <c r="C695" s="7" t="s">
        <v>920</v>
      </c>
      <c r="I695" s="10" t="s">
        <v>670</v>
      </c>
      <c r="J695" s="13" t="s">
        <v>1166</v>
      </c>
      <c r="K695" s="13" t="s">
        <v>283</v>
      </c>
      <c r="L695" s="13" t="s">
        <v>1182</v>
      </c>
      <c r="M695" s="6" t="s">
        <v>188</v>
      </c>
      <c r="N695" s="6" t="s">
        <v>188</v>
      </c>
      <c r="O695" s="6" t="s">
        <v>190</v>
      </c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>
      <c r="A696" s="12">
        <v>19.0</v>
      </c>
      <c r="B696" s="7" t="s">
        <v>407</v>
      </c>
      <c r="C696" s="7" t="s">
        <v>920</v>
      </c>
      <c r="I696" s="10" t="s">
        <v>947</v>
      </c>
      <c r="J696" s="13" t="s">
        <v>1163</v>
      </c>
      <c r="K696" s="13" t="s">
        <v>283</v>
      </c>
      <c r="L696" s="13" t="s">
        <v>1614</v>
      </c>
      <c r="M696" s="6" t="s">
        <v>188</v>
      </c>
      <c r="N696" s="6" t="s">
        <v>188</v>
      </c>
      <c r="O696" s="6" t="s">
        <v>190</v>
      </c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>
      <c r="A697" s="12">
        <v>19.0</v>
      </c>
      <c r="B697" s="7" t="s">
        <v>407</v>
      </c>
      <c r="C697" s="7" t="s">
        <v>920</v>
      </c>
      <c r="I697" s="10" t="s">
        <v>1615</v>
      </c>
      <c r="J697" s="13" t="s">
        <v>1166</v>
      </c>
      <c r="K697" s="13" t="s">
        <v>303</v>
      </c>
      <c r="L697" s="13" t="s">
        <v>1619</v>
      </c>
      <c r="M697" s="6" t="s">
        <v>188</v>
      </c>
      <c r="N697" s="6" t="s">
        <v>188</v>
      </c>
      <c r="O697" s="6" t="s">
        <v>190</v>
      </c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>
      <c r="A698" s="12">
        <v>19.0</v>
      </c>
      <c r="B698" s="7" t="s">
        <v>407</v>
      </c>
      <c r="C698" s="7" t="s">
        <v>920</v>
      </c>
      <c r="I698" s="10" t="s">
        <v>696</v>
      </c>
      <c r="J698" s="13" t="s">
        <v>1163</v>
      </c>
      <c r="K698" s="13" t="s">
        <v>303</v>
      </c>
      <c r="L698" s="13" t="s">
        <v>1622</v>
      </c>
      <c r="M698" s="6" t="s">
        <v>188</v>
      </c>
      <c r="N698" s="6" t="s">
        <v>188</v>
      </c>
      <c r="O698" s="6" t="s">
        <v>190</v>
      </c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>
      <c r="A699" s="12">
        <v>19.0</v>
      </c>
      <c r="B699" s="7" t="s">
        <v>407</v>
      </c>
      <c r="C699" s="7" t="s">
        <v>920</v>
      </c>
      <c r="I699" s="10" t="s">
        <v>1486</v>
      </c>
      <c r="J699" s="13" t="s">
        <v>1166</v>
      </c>
      <c r="K699" s="13" t="s">
        <v>303</v>
      </c>
      <c r="L699" s="13" t="s">
        <v>1619</v>
      </c>
      <c r="M699" s="6" t="s">
        <v>188</v>
      </c>
      <c r="N699" s="6" t="s">
        <v>188</v>
      </c>
      <c r="O699" s="6" t="s">
        <v>190</v>
      </c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>
      <c r="A700" s="12">
        <v>19.0</v>
      </c>
      <c r="B700" s="7" t="s">
        <v>407</v>
      </c>
      <c r="C700" s="7" t="s">
        <v>920</v>
      </c>
      <c r="I700" s="10" t="s">
        <v>1047</v>
      </c>
      <c r="J700" s="13" t="s">
        <v>1163</v>
      </c>
      <c r="K700" s="13" t="s">
        <v>303</v>
      </c>
      <c r="L700" s="13" t="s">
        <v>1619</v>
      </c>
      <c r="M700" s="6" t="s">
        <v>188</v>
      </c>
      <c r="N700" s="6" t="s">
        <v>188</v>
      </c>
      <c r="O700" s="6" t="s">
        <v>190</v>
      </c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>
      <c r="A701" s="12">
        <v>19.0</v>
      </c>
      <c r="B701" s="7" t="s">
        <v>407</v>
      </c>
      <c r="C701" s="7" t="s">
        <v>920</v>
      </c>
      <c r="I701" s="10" t="s">
        <v>1146</v>
      </c>
      <c r="J701" s="13" t="s">
        <v>1166</v>
      </c>
      <c r="K701" s="13" t="s">
        <v>303</v>
      </c>
      <c r="L701" s="13" t="s">
        <v>1619</v>
      </c>
      <c r="M701" s="6" t="s">
        <v>188</v>
      </c>
      <c r="N701" s="6" t="s">
        <v>188</v>
      </c>
      <c r="O701" s="6" t="s">
        <v>190</v>
      </c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>
      <c r="A702" s="12">
        <v>19.0</v>
      </c>
      <c r="B702" s="7" t="s">
        <v>407</v>
      </c>
      <c r="C702" s="7" t="s">
        <v>920</v>
      </c>
      <c r="I702" s="10" t="s">
        <v>1626</v>
      </c>
      <c r="J702" s="13" t="s">
        <v>1163</v>
      </c>
      <c r="K702" s="13" t="s">
        <v>303</v>
      </c>
      <c r="L702" s="13" t="s">
        <v>1619</v>
      </c>
      <c r="M702" s="6" t="s">
        <v>188</v>
      </c>
      <c r="N702" s="6" t="s">
        <v>188</v>
      </c>
      <c r="O702" s="6" t="s">
        <v>190</v>
      </c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>
      <c r="A703" s="12">
        <v>19.0</v>
      </c>
      <c r="B703" s="7" t="s">
        <v>407</v>
      </c>
      <c r="C703" s="7" t="s">
        <v>920</v>
      </c>
      <c r="I703" s="10" t="s">
        <v>1493</v>
      </c>
      <c r="J703" s="13" t="s">
        <v>1166</v>
      </c>
      <c r="K703" s="13" t="s">
        <v>303</v>
      </c>
      <c r="L703" s="13" t="s">
        <v>1630</v>
      </c>
      <c r="M703" s="6" t="s">
        <v>188</v>
      </c>
      <c r="N703" s="6" t="s">
        <v>188</v>
      </c>
      <c r="O703" s="6" t="s">
        <v>190</v>
      </c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>
      <c r="A704" s="12">
        <v>19.0</v>
      </c>
      <c r="B704" s="7" t="s">
        <v>407</v>
      </c>
      <c r="C704" s="7" t="s">
        <v>920</v>
      </c>
      <c r="I704" s="10" t="s">
        <v>1231</v>
      </c>
      <c r="J704" s="13" t="s">
        <v>1163</v>
      </c>
      <c r="K704" s="13" t="s">
        <v>303</v>
      </c>
      <c r="L704" s="13" t="s">
        <v>1619</v>
      </c>
      <c r="M704" s="6" t="s">
        <v>188</v>
      </c>
      <c r="N704" s="6" t="s">
        <v>188</v>
      </c>
      <c r="O704" s="6" t="s">
        <v>190</v>
      </c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>
      <c r="A705" s="12">
        <v>19.0</v>
      </c>
      <c r="B705" s="7" t="s">
        <v>407</v>
      </c>
      <c r="C705" s="7" t="s">
        <v>920</v>
      </c>
      <c r="I705" s="10" t="s">
        <v>1475</v>
      </c>
      <c r="J705" s="13" t="s">
        <v>1166</v>
      </c>
      <c r="K705" s="13" t="s">
        <v>303</v>
      </c>
      <c r="L705" s="13" t="s">
        <v>1619</v>
      </c>
      <c r="M705" s="6" t="s">
        <v>188</v>
      </c>
      <c r="N705" s="6" t="s">
        <v>188</v>
      </c>
      <c r="O705" s="6" t="s">
        <v>190</v>
      </c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>
      <c r="A706" s="12">
        <v>19.0</v>
      </c>
      <c r="B706" s="7" t="s">
        <v>407</v>
      </c>
      <c r="C706" s="7" t="s">
        <v>920</v>
      </c>
      <c r="I706" s="10" t="s">
        <v>923</v>
      </c>
      <c r="J706" s="13" t="s">
        <v>1163</v>
      </c>
      <c r="K706" s="13" t="s">
        <v>303</v>
      </c>
      <c r="L706" s="13" t="s">
        <v>1630</v>
      </c>
      <c r="M706" s="6" t="s">
        <v>188</v>
      </c>
      <c r="N706" s="6" t="s">
        <v>188</v>
      </c>
      <c r="O706" s="6" t="s">
        <v>190</v>
      </c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>
      <c r="A707" s="12">
        <v>19.0</v>
      </c>
      <c r="B707" s="7" t="s">
        <v>407</v>
      </c>
      <c r="C707" s="7" t="s">
        <v>920</v>
      </c>
      <c r="I707" s="10" t="s">
        <v>549</v>
      </c>
      <c r="J707" s="13" t="s">
        <v>1166</v>
      </c>
      <c r="K707" s="13" t="s">
        <v>303</v>
      </c>
      <c r="L707" s="13" t="s">
        <v>1619</v>
      </c>
      <c r="M707" s="6" t="s">
        <v>188</v>
      </c>
      <c r="N707" s="6" t="s">
        <v>188</v>
      </c>
      <c r="O707" s="6" t="s">
        <v>190</v>
      </c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>
      <c r="A708" s="12">
        <v>19.0</v>
      </c>
      <c r="B708" s="7" t="s">
        <v>407</v>
      </c>
      <c r="C708" s="7" t="s">
        <v>920</v>
      </c>
      <c r="I708" s="10" t="s">
        <v>926</v>
      </c>
      <c r="J708" s="13" t="s">
        <v>1163</v>
      </c>
      <c r="K708" s="13" t="s">
        <v>303</v>
      </c>
      <c r="L708" s="13" t="s">
        <v>1630</v>
      </c>
      <c r="M708" s="6" t="s">
        <v>188</v>
      </c>
      <c r="N708" s="6" t="s">
        <v>188</v>
      </c>
      <c r="O708" s="6" t="s">
        <v>190</v>
      </c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>
      <c r="A709" s="12">
        <v>19.0</v>
      </c>
      <c r="B709" s="7" t="s">
        <v>407</v>
      </c>
      <c r="C709" s="7" t="s">
        <v>920</v>
      </c>
      <c r="I709" s="10" t="s">
        <v>1641</v>
      </c>
      <c r="J709" s="13" t="s">
        <v>1166</v>
      </c>
      <c r="K709" s="13" t="s">
        <v>303</v>
      </c>
      <c r="L709" s="13" t="s">
        <v>1619</v>
      </c>
      <c r="M709" s="6" t="s">
        <v>188</v>
      </c>
      <c r="N709" s="6" t="s">
        <v>188</v>
      </c>
      <c r="O709" s="6" t="s">
        <v>190</v>
      </c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>
      <c r="A710" s="12">
        <v>19.0</v>
      </c>
      <c r="B710" s="7" t="s">
        <v>407</v>
      </c>
      <c r="C710" s="7" t="s">
        <v>920</v>
      </c>
      <c r="I710" s="10" t="s">
        <v>484</v>
      </c>
      <c r="J710" s="13" t="s">
        <v>1163</v>
      </c>
      <c r="K710" s="13" t="s">
        <v>303</v>
      </c>
      <c r="L710" s="13" t="s">
        <v>1619</v>
      </c>
      <c r="M710" s="6" t="s">
        <v>188</v>
      </c>
      <c r="N710" s="6" t="s">
        <v>188</v>
      </c>
      <c r="O710" s="6" t="s">
        <v>190</v>
      </c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>
      <c r="A711" s="12">
        <v>19.0</v>
      </c>
      <c r="B711" s="7" t="s">
        <v>407</v>
      </c>
      <c r="C711" s="7" t="s">
        <v>920</v>
      </c>
      <c r="I711" s="10" t="s">
        <v>1235</v>
      </c>
      <c r="J711" s="13" t="s">
        <v>1166</v>
      </c>
      <c r="K711" s="13" t="s">
        <v>303</v>
      </c>
      <c r="L711" s="13" t="s">
        <v>1619</v>
      </c>
      <c r="M711" s="6" t="s">
        <v>188</v>
      </c>
      <c r="N711" s="6" t="s">
        <v>188</v>
      </c>
      <c r="O711" s="6" t="s">
        <v>190</v>
      </c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>
      <c r="A712" s="12">
        <v>19.0</v>
      </c>
      <c r="B712" s="7" t="s">
        <v>407</v>
      </c>
      <c r="C712" s="7" t="s">
        <v>920</v>
      </c>
      <c r="I712" s="10" t="s">
        <v>1650</v>
      </c>
      <c r="J712" s="13" t="s">
        <v>1163</v>
      </c>
      <c r="K712" s="13" t="s">
        <v>303</v>
      </c>
      <c r="L712" s="13" t="s">
        <v>1619</v>
      </c>
      <c r="M712" s="6" t="s">
        <v>188</v>
      </c>
      <c r="N712" s="6" t="s">
        <v>188</v>
      </c>
      <c r="O712" s="6" t="s">
        <v>190</v>
      </c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>
      <c r="A713" s="12">
        <v>19.0</v>
      </c>
      <c r="B713" s="7" t="s">
        <v>407</v>
      </c>
      <c r="C713" s="7" t="s">
        <v>920</v>
      </c>
      <c r="I713" s="10" t="s">
        <v>1472</v>
      </c>
      <c r="J713" s="13" t="s">
        <v>1166</v>
      </c>
      <c r="K713" s="13" t="s">
        <v>303</v>
      </c>
      <c r="L713" s="13" t="s">
        <v>1619</v>
      </c>
      <c r="M713" s="6" t="s">
        <v>188</v>
      </c>
      <c r="N713" s="6" t="s">
        <v>188</v>
      </c>
      <c r="O713" s="6" t="s">
        <v>190</v>
      </c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>
      <c r="A714" s="12">
        <v>19.0</v>
      </c>
      <c r="B714" s="7" t="s">
        <v>407</v>
      </c>
      <c r="C714" s="7" t="s">
        <v>920</v>
      </c>
      <c r="I714" s="10" t="s">
        <v>1225</v>
      </c>
      <c r="J714" s="13" t="s">
        <v>1163</v>
      </c>
      <c r="K714" s="13" t="s">
        <v>303</v>
      </c>
      <c r="L714" s="13" t="s">
        <v>1619</v>
      </c>
      <c r="M714" s="6" t="s">
        <v>188</v>
      </c>
      <c r="N714" s="6" t="s">
        <v>188</v>
      </c>
      <c r="O714" s="6" t="s">
        <v>190</v>
      </c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>
      <c r="A715" s="12">
        <v>19.0</v>
      </c>
      <c r="B715" s="7" t="s">
        <v>407</v>
      </c>
      <c r="C715" s="7" t="s">
        <v>920</v>
      </c>
      <c r="I715" s="10" t="s">
        <v>1654</v>
      </c>
      <c r="J715" s="13" t="s">
        <v>1166</v>
      </c>
      <c r="K715" s="13" t="s">
        <v>303</v>
      </c>
      <c r="L715" s="13" t="s">
        <v>1619</v>
      </c>
      <c r="M715" s="6" t="s">
        <v>188</v>
      </c>
      <c r="N715" s="6" t="s">
        <v>188</v>
      </c>
      <c r="O715" s="6" t="s">
        <v>190</v>
      </c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>
      <c r="A716" s="12">
        <v>19.0</v>
      </c>
      <c r="B716" s="7" t="s">
        <v>407</v>
      </c>
      <c r="C716" s="7" t="s">
        <v>920</v>
      </c>
      <c r="I716" s="10" t="s">
        <v>1657</v>
      </c>
      <c r="J716" s="13" t="s">
        <v>1163</v>
      </c>
      <c r="K716" s="13" t="s">
        <v>303</v>
      </c>
      <c r="L716" s="13" t="s">
        <v>1619</v>
      </c>
      <c r="M716" s="6" t="s">
        <v>188</v>
      </c>
      <c r="N716" s="6" t="s">
        <v>188</v>
      </c>
      <c r="O716" s="6" t="s">
        <v>190</v>
      </c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>
      <c r="A717" s="12">
        <v>19.0</v>
      </c>
      <c r="B717" s="7" t="s">
        <v>407</v>
      </c>
      <c r="C717" s="7" t="s">
        <v>920</v>
      </c>
      <c r="I717" s="10" t="s">
        <v>976</v>
      </c>
      <c r="J717" s="13" t="s">
        <v>1166</v>
      </c>
      <c r="K717" s="13" t="s">
        <v>303</v>
      </c>
      <c r="L717" s="13" t="s">
        <v>1619</v>
      </c>
      <c r="M717" s="6" t="s">
        <v>188</v>
      </c>
      <c r="N717" s="6" t="s">
        <v>188</v>
      </c>
      <c r="O717" s="6" t="s">
        <v>190</v>
      </c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>
      <c r="A718" s="12">
        <v>19.0</v>
      </c>
      <c r="B718" s="7" t="s">
        <v>407</v>
      </c>
      <c r="C718" s="7" t="s">
        <v>920</v>
      </c>
      <c r="I718" s="10" t="s">
        <v>1661</v>
      </c>
      <c r="J718" s="13" t="s">
        <v>1163</v>
      </c>
      <c r="K718" s="13" t="s">
        <v>303</v>
      </c>
      <c r="L718" s="13" t="s">
        <v>1619</v>
      </c>
      <c r="M718" s="6" t="s">
        <v>188</v>
      </c>
      <c r="N718" s="6" t="s">
        <v>188</v>
      </c>
      <c r="O718" s="6" t="s">
        <v>190</v>
      </c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>
      <c r="A719" s="12">
        <v>19.0</v>
      </c>
      <c r="B719" s="7" t="s">
        <v>407</v>
      </c>
      <c r="C719" s="7" t="s">
        <v>920</v>
      </c>
      <c r="I719" s="10" t="s">
        <v>1213</v>
      </c>
      <c r="J719" s="13" t="s">
        <v>1166</v>
      </c>
      <c r="K719" s="13" t="s">
        <v>303</v>
      </c>
      <c r="L719" s="13" t="s">
        <v>1619</v>
      </c>
      <c r="M719" s="6" t="s">
        <v>188</v>
      </c>
      <c r="N719" s="6" t="s">
        <v>188</v>
      </c>
      <c r="O719" s="6" t="s">
        <v>190</v>
      </c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>
      <c r="A720" s="12">
        <v>19.0</v>
      </c>
      <c r="B720" s="7" t="s">
        <v>407</v>
      </c>
      <c r="C720" s="7" t="s">
        <v>920</v>
      </c>
      <c r="I720" s="10" t="s">
        <v>1663</v>
      </c>
      <c r="J720" s="13" t="s">
        <v>1163</v>
      </c>
      <c r="K720" s="13" t="s">
        <v>303</v>
      </c>
      <c r="L720" s="13" t="s">
        <v>1630</v>
      </c>
      <c r="M720" s="6" t="s">
        <v>188</v>
      </c>
      <c r="N720" s="6" t="s">
        <v>188</v>
      </c>
      <c r="O720" s="6" t="s">
        <v>190</v>
      </c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>
      <c r="A721" s="12">
        <v>19.0</v>
      </c>
      <c r="B721" s="7" t="s">
        <v>407</v>
      </c>
      <c r="C721" s="7" t="s">
        <v>920</v>
      </c>
      <c r="I721" s="10" t="s">
        <v>1666</v>
      </c>
      <c r="J721" s="13" t="s">
        <v>1166</v>
      </c>
      <c r="K721" s="13" t="s">
        <v>303</v>
      </c>
      <c r="L721" s="13" t="s">
        <v>1619</v>
      </c>
      <c r="M721" s="6" t="s">
        <v>188</v>
      </c>
      <c r="N721" s="6" t="s">
        <v>188</v>
      </c>
      <c r="O721" s="6" t="s">
        <v>190</v>
      </c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>
      <c r="A722" s="12">
        <v>20.0</v>
      </c>
      <c r="B722" s="7" t="s">
        <v>420</v>
      </c>
      <c r="C722" s="7" t="s">
        <v>920</v>
      </c>
      <c r="D722" s="26">
        <f>IF(COUNTIF($B$2:$B722,$B722)&gt;1,"",COUNTIF($B$2:$B$3400,$B722))</f>
        <v>30</v>
      </c>
      <c r="E722" s="26">
        <f>IF(COUNTIF($B$2:$B722,$B722)&gt;1,"",COUNTIFS($B$2:$B$3400,$B722,$K$2:$K$3400,"PHÙ HỢP CAO"))</f>
        <v>1</v>
      </c>
      <c r="F722" s="26">
        <f>IF(COUNTIF($B$2:$B722,$B722)&gt;1,"",COUNTIFS($B$2:$B$3400,$B722,$K$2:$K$3400,"CÓ THỂ ĐI"))</f>
        <v>4</v>
      </c>
      <c r="G722" s="26">
        <f>IF(COUNTIF($B$2:$B722,$B722)&gt;1,"",COUNTIFS($B$2:$B$3400,$B722,$K$2:$K$3400,"CẦN SOÁT"))</f>
        <v>25</v>
      </c>
      <c r="H722" s="27" t="str">
        <f>IFERROR(__xludf.DUMMYFUNCTION("IF(COUNTIF($B$2:$B722,$B722)&gt;1,"""",IFERROR(TEXTJOIN(CHAR(10),TRUE,BYROW(QUERY({$B$2:$B$3400,$J$2:$J$3400},""select Col2, count(Col2) where Col1 = '""&amp;$B722&amp;""' group by Col2 order by count(Col2) desc label count(Col2) ''"",0),LAMBDA(r,INDEX(r,1,1)&amp;"" – "&amp;"""&amp;INDEX(r,1,2)&amp;"" link""))),""""))"),"cách sao kê tài khoản ngân hàng – 15 link
sao kê tài khoản ngân hàng – 15 link")</f>
        <v>cách sao kê tài khoản ngân hàng – 15 link
sao kê tài khoản ngân hàng – 15 link</v>
      </c>
      <c r="I722" s="10" t="s">
        <v>1095</v>
      </c>
      <c r="J722" s="13" t="s">
        <v>1172</v>
      </c>
      <c r="K722" s="13" t="s">
        <v>184</v>
      </c>
      <c r="L722" s="13" t="s">
        <v>1688</v>
      </c>
      <c r="M722" s="6" t="s">
        <v>188</v>
      </c>
      <c r="N722" s="6" t="s">
        <v>188</v>
      </c>
      <c r="O722" s="6" t="s">
        <v>190</v>
      </c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>
      <c r="A723" s="12">
        <v>20.0</v>
      </c>
      <c r="B723" s="7" t="s">
        <v>420</v>
      </c>
      <c r="C723" s="7" t="s">
        <v>920</v>
      </c>
      <c r="I723" s="10" t="s">
        <v>889</v>
      </c>
      <c r="J723" s="13" t="s">
        <v>1175</v>
      </c>
      <c r="K723" s="13" t="s">
        <v>283</v>
      </c>
      <c r="L723" s="13" t="s">
        <v>1691</v>
      </c>
      <c r="M723" s="6" t="s">
        <v>188</v>
      </c>
      <c r="N723" s="6" t="s">
        <v>188</v>
      </c>
      <c r="O723" s="6" t="s">
        <v>190</v>
      </c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>
      <c r="A724" s="12">
        <v>20.0</v>
      </c>
      <c r="B724" s="7" t="s">
        <v>420</v>
      </c>
      <c r="C724" s="7" t="s">
        <v>920</v>
      </c>
      <c r="I724" s="10" t="s">
        <v>1116</v>
      </c>
      <c r="J724" s="13" t="s">
        <v>1172</v>
      </c>
      <c r="K724" s="13" t="s">
        <v>283</v>
      </c>
      <c r="L724" s="13" t="s">
        <v>1694</v>
      </c>
      <c r="M724" s="6" t="s">
        <v>188</v>
      </c>
      <c r="N724" s="6" t="s">
        <v>188</v>
      </c>
      <c r="O724" s="6" t="s">
        <v>190</v>
      </c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>
      <c r="A725" s="12">
        <v>20.0</v>
      </c>
      <c r="B725" s="7" t="s">
        <v>420</v>
      </c>
      <c r="C725" s="7" t="s">
        <v>920</v>
      </c>
      <c r="I725" s="10" t="s">
        <v>599</v>
      </c>
      <c r="J725" s="13" t="s">
        <v>1175</v>
      </c>
      <c r="K725" s="13" t="s">
        <v>283</v>
      </c>
      <c r="L725" s="13" t="s">
        <v>1695</v>
      </c>
      <c r="M725" s="6" t="s">
        <v>188</v>
      </c>
      <c r="N725" s="6" t="s">
        <v>188</v>
      </c>
      <c r="O725" s="6" t="s">
        <v>190</v>
      </c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>
      <c r="A726" s="12">
        <v>20.0</v>
      </c>
      <c r="B726" s="7" t="s">
        <v>420</v>
      </c>
      <c r="C726" s="7" t="s">
        <v>920</v>
      </c>
      <c r="I726" s="10" t="s">
        <v>1696</v>
      </c>
      <c r="J726" s="13" t="s">
        <v>1172</v>
      </c>
      <c r="K726" s="13" t="s">
        <v>283</v>
      </c>
      <c r="L726" s="13" t="s">
        <v>1700</v>
      </c>
      <c r="M726" s="6" t="s">
        <v>188</v>
      </c>
      <c r="N726" s="6" t="s">
        <v>188</v>
      </c>
      <c r="O726" s="6" t="s">
        <v>190</v>
      </c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>
      <c r="A727" s="12">
        <v>20.0</v>
      </c>
      <c r="B727" s="7" t="s">
        <v>420</v>
      </c>
      <c r="C727" s="7" t="s">
        <v>920</v>
      </c>
      <c r="I727" s="10" t="s">
        <v>1701</v>
      </c>
      <c r="J727" s="13" t="s">
        <v>1175</v>
      </c>
      <c r="K727" s="13" t="s">
        <v>303</v>
      </c>
      <c r="L727" s="13" t="s">
        <v>1703</v>
      </c>
      <c r="M727" s="6" t="s">
        <v>188</v>
      </c>
      <c r="N727" s="6" t="s">
        <v>188</v>
      </c>
      <c r="O727" s="6" t="s">
        <v>190</v>
      </c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>
      <c r="A728" s="12">
        <v>20.0</v>
      </c>
      <c r="B728" s="7" t="s">
        <v>420</v>
      </c>
      <c r="C728" s="7" t="s">
        <v>920</v>
      </c>
      <c r="I728" s="10" t="s">
        <v>1705</v>
      </c>
      <c r="J728" s="13" t="s">
        <v>1172</v>
      </c>
      <c r="K728" s="13" t="s">
        <v>303</v>
      </c>
      <c r="L728" s="13" t="s">
        <v>1703</v>
      </c>
      <c r="M728" s="6" t="s">
        <v>188</v>
      </c>
      <c r="N728" s="6" t="s">
        <v>188</v>
      </c>
      <c r="O728" s="6" t="s">
        <v>190</v>
      </c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>
      <c r="A729" s="12">
        <v>20.0</v>
      </c>
      <c r="B729" s="7" t="s">
        <v>420</v>
      </c>
      <c r="C729" s="7" t="s">
        <v>920</v>
      </c>
      <c r="I729" s="10" t="s">
        <v>1706</v>
      </c>
      <c r="J729" s="13" t="s">
        <v>1175</v>
      </c>
      <c r="K729" s="13" t="s">
        <v>303</v>
      </c>
      <c r="L729" s="13" t="s">
        <v>1703</v>
      </c>
      <c r="M729" s="6" t="s">
        <v>188</v>
      </c>
      <c r="N729" s="6" t="s">
        <v>188</v>
      </c>
      <c r="O729" s="6" t="s">
        <v>190</v>
      </c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>
      <c r="A730" s="12">
        <v>20.0</v>
      </c>
      <c r="B730" s="7" t="s">
        <v>420</v>
      </c>
      <c r="C730" s="7" t="s">
        <v>920</v>
      </c>
      <c r="I730" s="10" t="s">
        <v>1710</v>
      </c>
      <c r="J730" s="13" t="s">
        <v>1172</v>
      </c>
      <c r="K730" s="13" t="s">
        <v>303</v>
      </c>
      <c r="L730" s="13" t="s">
        <v>1703</v>
      </c>
      <c r="M730" s="6" t="s">
        <v>188</v>
      </c>
      <c r="N730" s="6" t="s">
        <v>188</v>
      </c>
      <c r="O730" s="6" t="s">
        <v>190</v>
      </c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>
      <c r="A731" s="12">
        <v>20.0</v>
      </c>
      <c r="B731" s="7" t="s">
        <v>420</v>
      </c>
      <c r="C731" s="7" t="s">
        <v>920</v>
      </c>
      <c r="I731" s="10" t="s">
        <v>1558</v>
      </c>
      <c r="J731" s="13" t="s">
        <v>1175</v>
      </c>
      <c r="K731" s="13" t="s">
        <v>303</v>
      </c>
      <c r="L731" s="13" t="s">
        <v>1703</v>
      </c>
      <c r="M731" s="6" t="s">
        <v>188</v>
      </c>
      <c r="N731" s="6" t="s">
        <v>188</v>
      </c>
      <c r="O731" s="6" t="s">
        <v>190</v>
      </c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>
      <c r="A732" s="12">
        <v>20.0</v>
      </c>
      <c r="B732" s="7" t="s">
        <v>420</v>
      </c>
      <c r="C732" s="7" t="s">
        <v>920</v>
      </c>
      <c r="I732" s="10" t="s">
        <v>1252</v>
      </c>
      <c r="J732" s="13" t="s">
        <v>1172</v>
      </c>
      <c r="K732" s="13" t="s">
        <v>303</v>
      </c>
      <c r="L732" s="13" t="s">
        <v>1703</v>
      </c>
      <c r="M732" s="6" t="s">
        <v>188</v>
      </c>
      <c r="N732" s="6" t="s">
        <v>188</v>
      </c>
      <c r="O732" s="6" t="s">
        <v>190</v>
      </c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>
      <c r="A733" s="12">
        <v>20.0</v>
      </c>
      <c r="B733" s="7" t="s">
        <v>420</v>
      </c>
      <c r="C733" s="7" t="s">
        <v>920</v>
      </c>
      <c r="I733" s="10" t="s">
        <v>1716</v>
      </c>
      <c r="J733" s="13" t="s">
        <v>1175</v>
      </c>
      <c r="K733" s="13" t="s">
        <v>303</v>
      </c>
      <c r="L733" s="13" t="s">
        <v>1703</v>
      </c>
      <c r="M733" s="6" t="s">
        <v>188</v>
      </c>
      <c r="N733" s="6" t="s">
        <v>188</v>
      </c>
      <c r="O733" s="6" t="s">
        <v>190</v>
      </c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>
      <c r="A734" s="12">
        <v>20.0</v>
      </c>
      <c r="B734" s="7" t="s">
        <v>420</v>
      </c>
      <c r="C734" s="7" t="s">
        <v>920</v>
      </c>
      <c r="I734" s="10" t="s">
        <v>1719</v>
      </c>
      <c r="J734" s="13" t="s">
        <v>1172</v>
      </c>
      <c r="K734" s="13" t="s">
        <v>303</v>
      </c>
      <c r="L734" s="13" t="s">
        <v>1703</v>
      </c>
      <c r="M734" s="6" t="s">
        <v>188</v>
      </c>
      <c r="N734" s="6" t="s">
        <v>188</v>
      </c>
      <c r="O734" s="6" t="s">
        <v>190</v>
      </c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>
      <c r="A735" s="12">
        <v>20.0</v>
      </c>
      <c r="B735" s="7" t="s">
        <v>420</v>
      </c>
      <c r="C735" s="7" t="s">
        <v>920</v>
      </c>
      <c r="I735" s="10" t="s">
        <v>1722</v>
      </c>
      <c r="J735" s="13" t="s">
        <v>1175</v>
      </c>
      <c r="K735" s="13" t="s">
        <v>303</v>
      </c>
      <c r="L735" s="13" t="s">
        <v>1703</v>
      </c>
      <c r="M735" s="6" t="s">
        <v>188</v>
      </c>
      <c r="N735" s="6" t="s">
        <v>188</v>
      </c>
      <c r="O735" s="6" t="s">
        <v>190</v>
      </c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>
      <c r="A736" s="12">
        <v>20.0</v>
      </c>
      <c r="B736" s="7" t="s">
        <v>420</v>
      </c>
      <c r="C736" s="7" t="s">
        <v>920</v>
      </c>
      <c r="I736" s="10" t="s">
        <v>1724</v>
      </c>
      <c r="J736" s="13" t="s">
        <v>1172</v>
      </c>
      <c r="K736" s="13" t="s">
        <v>303</v>
      </c>
      <c r="L736" s="13" t="s">
        <v>1703</v>
      </c>
      <c r="M736" s="6" t="s">
        <v>188</v>
      </c>
      <c r="N736" s="6" t="s">
        <v>188</v>
      </c>
      <c r="O736" s="6" t="s">
        <v>190</v>
      </c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>
      <c r="A737" s="12">
        <v>20.0</v>
      </c>
      <c r="B737" s="7" t="s">
        <v>420</v>
      </c>
      <c r="C737" s="7" t="s">
        <v>920</v>
      </c>
      <c r="I737" s="10" t="s">
        <v>1728</v>
      </c>
      <c r="J737" s="13" t="s">
        <v>1175</v>
      </c>
      <c r="K737" s="13" t="s">
        <v>303</v>
      </c>
      <c r="L737" s="13" t="s">
        <v>1703</v>
      </c>
      <c r="M737" s="6" t="s">
        <v>188</v>
      </c>
      <c r="N737" s="6" t="s">
        <v>188</v>
      </c>
      <c r="O737" s="6" t="s">
        <v>190</v>
      </c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>
      <c r="A738" s="12">
        <v>20.0</v>
      </c>
      <c r="B738" s="7" t="s">
        <v>420</v>
      </c>
      <c r="C738" s="7" t="s">
        <v>920</v>
      </c>
      <c r="I738" s="10" t="s">
        <v>1320</v>
      </c>
      <c r="J738" s="13" t="s">
        <v>1172</v>
      </c>
      <c r="K738" s="13" t="s">
        <v>303</v>
      </c>
      <c r="L738" s="13" t="s">
        <v>1703</v>
      </c>
      <c r="M738" s="6" t="s">
        <v>188</v>
      </c>
      <c r="N738" s="6" t="s">
        <v>188</v>
      </c>
      <c r="O738" s="6" t="s">
        <v>190</v>
      </c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>
      <c r="A739" s="12">
        <v>20.0</v>
      </c>
      <c r="B739" s="7" t="s">
        <v>420</v>
      </c>
      <c r="C739" s="7" t="s">
        <v>920</v>
      </c>
      <c r="I739" s="10" t="s">
        <v>1734</v>
      </c>
      <c r="J739" s="13" t="s">
        <v>1175</v>
      </c>
      <c r="K739" s="13" t="s">
        <v>303</v>
      </c>
      <c r="L739" s="13" t="s">
        <v>1703</v>
      </c>
      <c r="M739" s="6" t="s">
        <v>188</v>
      </c>
      <c r="N739" s="6" t="s">
        <v>188</v>
      </c>
      <c r="O739" s="6" t="s">
        <v>190</v>
      </c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>
      <c r="A740" s="12">
        <v>20.0</v>
      </c>
      <c r="B740" s="7" t="s">
        <v>420</v>
      </c>
      <c r="C740" s="7" t="s">
        <v>920</v>
      </c>
      <c r="I740" s="10" t="s">
        <v>1387</v>
      </c>
      <c r="J740" s="13" t="s">
        <v>1172</v>
      </c>
      <c r="K740" s="13" t="s">
        <v>303</v>
      </c>
      <c r="L740" s="13" t="s">
        <v>1737</v>
      </c>
      <c r="M740" s="6" t="s">
        <v>188</v>
      </c>
      <c r="N740" s="6" t="s">
        <v>188</v>
      </c>
      <c r="O740" s="6" t="s">
        <v>190</v>
      </c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>
      <c r="A741" s="12">
        <v>20.0</v>
      </c>
      <c r="B741" s="7" t="s">
        <v>420</v>
      </c>
      <c r="C741" s="7" t="s">
        <v>920</v>
      </c>
      <c r="I741" s="10" t="s">
        <v>1336</v>
      </c>
      <c r="J741" s="13" t="s">
        <v>1175</v>
      </c>
      <c r="K741" s="13" t="s">
        <v>303</v>
      </c>
      <c r="L741" s="13" t="s">
        <v>1703</v>
      </c>
      <c r="M741" s="6" t="s">
        <v>188</v>
      </c>
      <c r="N741" s="6" t="s">
        <v>188</v>
      </c>
      <c r="O741" s="6" t="s">
        <v>190</v>
      </c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>
      <c r="A742" s="12">
        <v>20.0</v>
      </c>
      <c r="B742" s="7" t="s">
        <v>420</v>
      </c>
      <c r="C742" s="7" t="s">
        <v>920</v>
      </c>
      <c r="I742" s="10" t="s">
        <v>1743</v>
      </c>
      <c r="J742" s="13" t="s">
        <v>1172</v>
      </c>
      <c r="K742" s="13" t="s">
        <v>303</v>
      </c>
      <c r="L742" s="13" t="s">
        <v>1703</v>
      </c>
      <c r="M742" s="6" t="s">
        <v>188</v>
      </c>
      <c r="N742" s="6" t="s">
        <v>188</v>
      </c>
      <c r="O742" s="6" t="s">
        <v>190</v>
      </c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>
      <c r="A743" s="12">
        <v>20.0</v>
      </c>
      <c r="B743" s="7" t="s">
        <v>420</v>
      </c>
      <c r="C743" s="7" t="s">
        <v>920</v>
      </c>
      <c r="I743" s="10" t="s">
        <v>600</v>
      </c>
      <c r="J743" s="13" t="s">
        <v>1175</v>
      </c>
      <c r="K743" s="13" t="s">
        <v>303</v>
      </c>
      <c r="L743" s="13" t="s">
        <v>1703</v>
      </c>
      <c r="M743" s="6" t="s">
        <v>188</v>
      </c>
      <c r="N743" s="6" t="s">
        <v>188</v>
      </c>
      <c r="O743" s="6" t="s">
        <v>190</v>
      </c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>
      <c r="A744" s="12">
        <v>20.0</v>
      </c>
      <c r="B744" s="7" t="s">
        <v>420</v>
      </c>
      <c r="C744" s="7" t="s">
        <v>920</v>
      </c>
      <c r="I744" s="10" t="s">
        <v>1150</v>
      </c>
      <c r="J744" s="13" t="s">
        <v>1172</v>
      </c>
      <c r="K744" s="13" t="s">
        <v>303</v>
      </c>
      <c r="L744" s="13" t="s">
        <v>1749</v>
      </c>
      <c r="M744" s="6" t="s">
        <v>188</v>
      </c>
      <c r="N744" s="6" t="s">
        <v>188</v>
      </c>
      <c r="O744" s="6" t="s">
        <v>190</v>
      </c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>
      <c r="A745" s="12">
        <v>20.0</v>
      </c>
      <c r="B745" s="7" t="s">
        <v>420</v>
      </c>
      <c r="C745" s="7" t="s">
        <v>920</v>
      </c>
      <c r="I745" s="10" t="s">
        <v>1149</v>
      </c>
      <c r="J745" s="13" t="s">
        <v>1175</v>
      </c>
      <c r="K745" s="13" t="s">
        <v>303</v>
      </c>
      <c r="L745" s="13" t="s">
        <v>1703</v>
      </c>
      <c r="M745" s="6" t="s">
        <v>188</v>
      </c>
      <c r="N745" s="6" t="s">
        <v>188</v>
      </c>
      <c r="O745" s="6" t="s">
        <v>190</v>
      </c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>
      <c r="A746" s="12">
        <v>20.0</v>
      </c>
      <c r="B746" s="7" t="s">
        <v>420</v>
      </c>
      <c r="C746" s="7" t="s">
        <v>920</v>
      </c>
      <c r="I746" s="10" t="s">
        <v>1317</v>
      </c>
      <c r="J746" s="13" t="s">
        <v>1172</v>
      </c>
      <c r="K746" s="13" t="s">
        <v>303</v>
      </c>
      <c r="L746" s="13" t="s">
        <v>1703</v>
      </c>
      <c r="M746" s="6" t="s">
        <v>188</v>
      </c>
      <c r="N746" s="6" t="s">
        <v>188</v>
      </c>
      <c r="O746" s="6" t="s">
        <v>190</v>
      </c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>
      <c r="A747" s="12">
        <v>20.0</v>
      </c>
      <c r="B747" s="7" t="s">
        <v>420</v>
      </c>
      <c r="C747" s="7" t="s">
        <v>920</v>
      </c>
      <c r="I747" s="10" t="s">
        <v>1755</v>
      </c>
      <c r="J747" s="13" t="s">
        <v>1175</v>
      </c>
      <c r="K747" s="13" t="s">
        <v>303</v>
      </c>
      <c r="L747" s="13" t="s">
        <v>1703</v>
      </c>
      <c r="M747" s="6" t="s">
        <v>188</v>
      </c>
      <c r="N747" s="6" t="s">
        <v>188</v>
      </c>
      <c r="O747" s="6" t="s">
        <v>190</v>
      </c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>
      <c r="A748" s="12">
        <v>20.0</v>
      </c>
      <c r="B748" s="7" t="s">
        <v>420</v>
      </c>
      <c r="C748" s="7" t="s">
        <v>920</v>
      </c>
      <c r="I748" s="10" t="s">
        <v>1151</v>
      </c>
      <c r="J748" s="13" t="s">
        <v>1172</v>
      </c>
      <c r="K748" s="13" t="s">
        <v>303</v>
      </c>
      <c r="L748" s="13" t="s">
        <v>1749</v>
      </c>
      <c r="M748" s="6" t="s">
        <v>188</v>
      </c>
      <c r="N748" s="6" t="s">
        <v>188</v>
      </c>
      <c r="O748" s="6" t="s">
        <v>190</v>
      </c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>
      <c r="A749" s="12">
        <v>20.0</v>
      </c>
      <c r="B749" s="7" t="s">
        <v>420</v>
      </c>
      <c r="C749" s="7" t="s">
        <v>920</v>
      </c>
      <c r="I749" s="10" t="s">
        <v>1760</v>
      </c>
      <c r="J749" s="13" t="s">
        <v>1175</v>
      </c>
      <c r="K749" s="13" t="s">
        <v>303</v>
      </c>
      <c r="L749" s="13" t="s">
        <v>1703</v>
      </c>
      <c r="M749" s="6" t="s">
        <v>188</v>
      </c>
      <c r="N749" s="6" t="s">
        <v>188</v>
      </c>
      <c r="O749" s="6" t="s">
        <v>190</v>
      </c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>
      <c r="A750" s="12">
        <v>20.0</v>
      </c>
      <c r="B750" s="7" t="s">
        <v>420</v>
      </c>
      <c r="C750" s="7" t="s">
        <v>920</v>
      </c>
      <c r="I750" s="10" t="s">
        <v>1155</v>
      </c>
      <c r="J750" s="13" t="s">
        <v>1172</v>
      </c>
      <c r="K750" s="13" t="s">
        <v>303</v>
      </c>
      <c r="L750" s="13" t="s">
        <v>1749</v>
      </c>
      <c r="M750" s="6" t="s">
        <v>188</v>
      </c>
      <c r="N750" s="6" t="s">
        <v>188</v>
      </c>
      <c r="O750" s="6" t="s">
        <v>190</v>
      </c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>
      <c r="A751" s="12">
        <v>20.0</v>
      </c>
      <c r="B751" s="7" t="s">
        <v>420</v>
      </c>
      <c r="C751" s="7" t="s">
        <v>920</v>
      </c>
      <c r="I751" s="10" t="s">
        <v>1764</v>
      </c>
      <c r="J751" s="13" t="s">
        <v>1175</v>
      </c>
      <c r="K751" s="13" t="s">
        <v>303</v>
      </c>
      <c r="L751" s="13" t="s">
        <v>1703</v>
      </c>
      <c r="M751" s="6" t="s">
        <v>188</v>
      </c>
      <c r="N751" s="6" t="s">
        <v>188</v>
      </c>
      <c r="O751" s="6" t="s">
        <v>190</v>
      </c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>
      <c r="A752" s="12">
        <v>21.0</v>
      </c>
      <c r="B752" s="7" t="s">
        <v>431</v>
      </c>
      <c r="C752" s="7" t="s">
        <v>920</v>
      </c>
      <c r="D752" s="26">
        <f>IF(COUNTIF($B$2:$B752,$B752)&gt;1,"",COUNTIF($B$2:$B$3400,$B752))</f>
        <v>30</v>
      </c>
      <c r="E752" s="26">
        <f>IF(COUNTIF($B$2:$B752,$B752)&gt;1,"",COUNTIFS($B$2:$B$3400,$B752,$K$2:$K$3400,"PHÙ HỢP CAO"))</f>
        <v>4</v>
      </c>
      <c r="F752" s="26">
        <f>IF(COUNTIF($B$2:$B752,$B752)&gt;1,"",COUNTIFS($B$2:$B$3400,$B752,$K$2:$K$3400,"CÓ THỂ ĐI"))</f>
        <v>1</v>
      </c>
      <c r="G752" s="26">
        <f>IF(COUNTIF($B$2:$B752,$B752)&gt;1,"",COUNTIFS($B$2:$B$3400,$B752,$K$2:$K$3400,"CẦN SOÁT"))</f>
        <v>25</v>
      </c>
      <c r="H752" s="27" t="str">
        <f>IFERROR(__xludf.DUMMYFUNCTION("IF(COUNTIF($B$2:$B752,$B752)&gt;1,"""",IFERROR(TEXTJOIN(CHAR(10),TRUE,BYROW(QUERY({$B$2:$B$3400,$J$2:$J$3400},""select Col2, count(Col2) where Col1 = '""&amp;$B752&amp;""' group by Col2 order by count(Col2) desc label count(Col2) ''"",0),LAMBDA(r,INDEX(r,1,1)&amp;"" – "&amp;"""&amp;INDEX(r,1,2)&amp;"" link""))),""""))"),"dãy số phát tài phát lộc – 15 link
số tài khoản phát tài phát lộc – 15 link")</f>
        <v>dãy số phát tài phát lộc – 15 link
số tài khoản phát tài phát lộc – 15 link</v>
      </c>
      <c r="I752" s="10" t="s">
        <v>1179</v>
      </c>
      <c r="J752" s="13" t="s">
        <v>1181</v>
      </c>
      <c r="K752" s="13" t="s">
        <v>184</v>
      </c>
      <c r="L752" s="13" t="s">
        <v>1775</v>
      </c>
      <c r="M752" s="6" t="s">
        <v>188</v>
      </c>
      <c r="N752" s="6" t="s">
        <v>188</v>
      </c>
      <c r="O752" s="6" t="s">
        <v>190</v>
      </c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>
      <c r="A753" s="12">
        <v>21.0</v>
      </c>
      <c r="B753" s="7" t="s">
        <v>431</v>
      </c>
      <c r="C753" s="7" t="s">
        <v>920</v>
      </c>
      <c r="I753" s="10" t="s">
        <v>1183</v>
      </c>
      <c r="J753" s="13" t="s">
        <v>1186</v>
      </c>
      <c r="K753" s="13" t="s">
        <v>184</v>
      </c>
      <c r="L753" s="13" t="s">
        <v>1776</v>
      </c>
      <c r="M753" s="6" t="s">
        <v>188</v>
      </c>
      <c r="N753" s="6" t="s">
        <v>188</v>
      </c>
      <c r="O753" s="6" t="s">
        <v>190</v>
      </c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>
      <c r="A754" s="12">
        <v>21.0</v>
      </c>
      <c r="B754" s="7" t="s">
        <v>431</v>
      </c>
      <c r="C754" s="7" t="s">
        <v>920</v>
      </c>
      <c r="I754" s="10" t="s">
        <v>1187</v>
      </c>
      <c r="J754" s="13" t="s">
        <v>1181</v>
      </c>
      <c r="K754" s="13" t="s">
        <v>184</v>
      </c>
      <c r="L754" s="13" t="s">
        <v>1778</v>
      </c>
      <c r="M754" s="6" t="s">
        <v>188</v>
      </c>
      <c r="N754" s="6" t="s">
        <v>188</v>
      </c>
      <c r="O754" s="6" t="s">
        <v>190</v>
      </c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>
      <c r="A755" s="12">
        <v>21.0</v>
      </c>
      <c r="B755" s="7" t="s">
        <v>431</v>
      </c>
      <c r="C755" s="7" t="s">
        <v>920</v>
      </c>
      <c r="I755" s="10" t="s">
        <v>979</v>
      </c>
      <c r="J755" s="13" t="s">
        <v>1186</v>
      </c>
      <c r="K755" s="13" t="s">
        <v>184</v>
      </c>
      <c r="L755" s="13" t="s">
        <v>1779</v>
      </c>
      <c r="M755" s="6" t="s">
        <v>188</v>
      </c>
      <c r="N755" s="6" t="s">
        <v>188</v>
      </c>
      <c r="O755" s="6" t="s">
        <v>190</v>
      </c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>
      <c r="A756" s="12">
        <v>21.0</v>
      </c>
      <c r="B756" s="7" t="s">
        <v>431</v>
      </c>
      <c r="C756" s="7" t="s">
        <v>920</v>
      </c>
      <c r="I756" s="10" t="s">
        <v>1192</v>
      </c>
      <c r="J756" s="13" t="s">
        <v>1181</v>
      </c>
      <c r="K756" s="13" t="s">
        <v>283</v>
      </c>
      <c r="L756" s="13" t="s">
        <v>1783</v>
      </c>
      <c r="M756" s="6" t="s">
        <v>188</v>
      </c>
      <c r="N756" s="6" t="s">
        <v>188</v>
      </c>
      <c r="O756" s="6" t="s">
        <v>190</v>
      </c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>
      <c r="A757" s="12">
        <v>21.0</v>
      </c>
      <c r="B757" s="7" t="s">
        <v>431</v>
      </c>
      <c r="C757" s="7" t="s">
        <v>920</v>
      </c>
      <c r="I757" s="10" t="s">
        <v>1041</v>
      </c>
      <c r="J757" s="13" t="s">
        <v>1186</v>
      </c>
      <c r="K757" s="13" t="s">
        <v>303</v>
      </c>
      <c r="L757" s="13" t="s">
        <v>1784</v>
      </c>
      <c r="M757" s="6" t="s">
        <v>188</v>
      </c>
      <c r="N757" s="6" t="s">
        <v>188</v>
      </c>
      <c r="O757" s="6" t="s">
        <v>190</v>
      </c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>
      <c r="A758" s="12">
        <v>21.0</v>
      </c>
      <c r="B758" s="7" t="s">
        <v>431</v>
      </c>
      <c r="C758" s="7" t="s">
        <v>920</v>
      </c>
      <c r="I758" s="10" t="s">
        <v>1787</v>
      </c>
      <c r="J758" s="13" t="s">
        <v>1181</v>
      </c>
      <c r="K758" s="13" t="s">
        <v>303</v>
      </c>
      <c r="L758" s="13" t="s">
        <v>1788</v>
      </c>
      <c r="M758" s="6" t="s">
        <v>188</v>
      </c>
      <c r="N758" s="6" t="s">
        <v>188</v>
      </c>
      <c r="O758" s="6" t="s">
        <v>190</v>
      </c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>
      <c r="A759" s="12">
        <v>21.0</v>
      </c>
      <c r="B759" s="7" t="s">
        <v>431</v>
      </c>
      <c r="C759" s="7" t="s">
        <v>920</v>
      </c>
      <c r="I759" s="10" t="s">
        <v>1790</v>
      </c>
      <c r="J759" s="13" t="s">
        <v>1186</v>
      </c>
      <c r="K759" s="13" t="s">
        <v>303</v>
      </c>
      <c r="L759" s="13" t="s">
        <v>1788</v>
      </c>
      <c r="M759" s="6" t="s">
        <v>188</v>
      </c>
      <c r="N759" s="6" t="s">
        <v>188</v>
      </c>
      <c r="O759" s="6" t="s">
        <v>190</v>
      </c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>
      <c r="A760" s="12">
        <v>21.0</v>
      </c>
      <c r="B760" s="7" t="s">
        <v>431</v>
      </c>
      <c r="C760" s="7" t="s">
        <v>920</v>
      </c>
      <c r="I760" s="10" t="s">
        <v>1194</v>
      </c>
      <c r="J760" s="13" t="s">
        <v>1181</v>
      </c>
      <c r="K760" s="13" t="s">
        <v>303</v>
      </c>
      <c r="L760" s="13" t="s">
        <v>1791</v>
      </c>
      <c r="M760" s="6" t="s">
        <v>188</v>
      </c>
      <c r="N760" s="6" t="s">
        <v>188</v>
      </c>
      <c r="O760" s="6" t="s">
        <v>190</v>
      </c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>
      <c r="A761" s="12">
        <v>21.0</v>
      </c>
      <c r="B761" s="7" t="s">
        <v>431</v>
      </c>
      <c r="C761" s="7" t="s">
        <v>920</v>
      </c>
      <c r="I761" s="10" t="s">
        <v>1195</v>
      </c>
      <c r="J761" s="13" t="s">
        <v>1186</v>
      </c>
      <c r="K761" s="13" t="s">
        <v>303</v>
      </c>
      <c r="L761" s="13" t="s">
        <v>1793</v>
      </c>
      <c r="M761" s="6" t="s">
        <v>188</v>
      </c>
      <c r="N761" s="6" t="s">
        <v>188</v>
      </c>
      <c r="O761" s="6" t="s">
        <v>190</v>
      </c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>
      <c r="A762" s="12">
        <v>21.0</v>
      </c>
      <c r="B762" s="7" t="s">
        <v>431</v>
      </c>
      <c r="C762" s="7" t="s">
        <v>920</v>
      </c>
      <c r="I762" s="10" t="s">
        <v>1201</v>
      </c>
      <c r="J762" s="13" t="s">
        <v>1181</v>
      </c>
      <c r="K762" s="13" t="s">
        <v>303</v>
      </c>
      <c r="L762" s="13" t="s">
        <v>1794</v>
      </c>
      <c r="M762" s="6" t="s">
        <v>188</v>
      </c>
      <c r="N762" s="6" t="s">
        <v>188</v>
      </c>
      <c r="O762" s="6" t="s">
        <v>190</v>
      </c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>
      <c r="A763" s="12">
        <v>21.0</v>
      </c>
      <c r="B763" s="7" t="s">
        <v>431</v>
      </c>
      <c r="C763" s="7" t="s">
        <v>920</v>
      </c>
      <c r="I763" s="10" t="s">
        <v>1216</v>
      </c>
      <c r="J763" s="13" t="s">
        <v>1186</v>
      </c>
      <c r="K763" s="13" t="s">
        <v>303</v>
      </c>
      <c r="L763" s="13" t="s">
        <v>1793</v>
      </c>
      <c r="M763" s="6" t="s">
        <v>188</v>
      </c>
      <c r="N763" s="6" t="s">
        <v>188</v>
      </c>
      <c r="O763" s="6" t="s">
        <v>190</v>
      </c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>
      <c r="A764" s="12">
        <v>21.0</v>
      </c>
      <c r="B764" s="7" t="s">
        <v>431</v>
      </c>
      <c r="C764" s="7" t="s">
        <v>920</v>
      </c>
      <c r="I764" s="13" t="s">
        <v>943</v>
      </c>
      <c r="J764" s="13" t="s">
        <v>1181</v>
      </c>
      <c r="K764" s="13" t="s">
        <v>303</v>
      </c>
      <c r="L764" s="13" t="s">
        <v>1010</v>
      </c>
      <c r="M764" s="6" t="s">
        <v>188</v>
      </c>
      <c r="N764" s="6" t="s">
        <v>188</v>
      </c>
      <c r="O764" s="6" t="s">
        <v>190</v>
      </c>
      <c r="P764" s="7" t="s">
        <v>333</v>
      </c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>
      <c r="A765" s="12">
        <v>21.0</v>
      </c>
      <c r="B765" s="7" t="s">
        <v>431</v>
      </c>
      <c r="C765" s="7" t="s">
        <v>920</v>
      </c>
      <c r="I765" s="13" t="s">
        <v>955</v>
      </c>
      <c r="J765" s="13" t="s">
        <v>1186</v>
      </c>
      <c r="K765" s="13" t="s">
        <v>303</v>
      </c>
      <c r="L765" s="13" t="s">
        <v>956</v>
      </c>
      <c r="M765" s="6" t="s">
        <v>188</v>
      </c>
      <c r="N765" s="6" t="s">
        <v>188</v>
      </c>
      <c r="O765" s="6" t="s">
        <v>190</v>
      </c>
      <c r="P765" s="7" t="s">
        <v>333</v>
      </c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>
      <c r="A766" s="12">
        <v>21.0</v>
      </c>
      <c r="B766" s="7" t="s">
        <v>431</v>
      </c>
      <c r="C766" s="7" t="s">
        <v>920</v>
      </c>
      <c r="I766" s="13" t="s">
        <v>945</v>
      </c>
      <c r="J766" s="13" t="s">
        <v>1181</v>
      </c>
      <c r="K766" s="13" t="s">
        <v>303</v>
      </c>
      <c r="L766" s="13" t="s">
        <v>1011</v>
      </c>
      <c r="M766" s="6" t="s">
        <v>188</v>
      </c>
      <c r="N766" s="6" t="s">
        <v>188</v>
      </c>
      <c r="O766" s="6" t="s">
        <v>190</v>
      </c>
      <c r="P766" s="7" t="s">
        <v>333</v>
      </c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>
      <c r="A767" s="12">
        <v>21.0</v>
      </c>
      <c r="B767" s="7" t="s">
        <v>431</v>
      </c>
      <c r="C767" s="7" t="s">
        <v>920</v>
      </c>
      <c r="I767" s="13" t="s">
        <v>964</v>
      </c>
      <c r="J767" s="13" t="s">
        <v>1186</v>
      </c>
      <c r="K767" s="13" t="s">
        <v>303</v>
      </c>
      <c r="L767" s="13" t="s">
        <v>965</v>
      </c>
      <c r="M767" s="6" t="s">
        <v>188</v>
      </c>
      <c r="N767" s="6" t="s">
        <v>188</v>
      </c>
      <c r="O767" s="6" t="s">
        <v>190</v>
      </c>
      <c r="P767" s="7" t="s">
        <v>333</v>
      </c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>
      <c r="A768" s="12">
        <v>21.0</v>
      </c>
      <c r="B768" s="7" t="s">
        <v>431</v>
      </c>
      <c r="C768" s="7" t="s">
        <v>920</v>
      </c>
      <c r="I768" s="13" t="s">
        <v>967</v>
      </c>
      <c r="J768" s="13" t="s">
        <v>1181</v>
      </c>
      <c r="K768" s="13" t="s">
        <v>303</v>
      </c>
      <c r="L768" s="13" t="s">
        <v>968</v>
      </c>
      <c r="M768" s="6" t="s">
        <v>188</v>
      </c>
      <c r="N768" s="6" t="s">
        <v>188</v>
      </c>
      <c r="O768" s="6" t="s">
        <v>190</v>
      </c>
      <c r="P768" s="7" t="s">
        <v>333</v>
      </c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>
      <c r="A769" s="12">
        <v>21.0</v>
      </c>
      <c r="B769" s="7" t="s">
        <v>431</v>
      </c>
      <c r="C769" s="7" t="s">
        <v>920</v>
      </c>
      <c r="I769" s="13" t="s">
        <v>972</v>
      </c>
      <c r="J769" s="13" t="s">
        <v>1186</v>
      </c>
      <c r="K769" s="13" t="s">
        <v>303</v>
      </c>
      <c r="L769" s="13" t="s">
        <v>973</v>
      </c>
      <c r="M769" s="6" t="s">
        <v>188</v>
      </c>
      <c r="N769" s="6" t="s">
        <v>188</v>
      </c>
      <c r="O769" s="6" t="s">
        <v>190</v>
      </c>
      <c r="P769" s="7" t="s">
        <v>333</v>
      </c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>
      <c r="A770" s="12">
        <v>21.0</v>
      </c>
      <c r="B770" s="7" t="s">
        <v>431</v>
      </c>
      <c r="C770" s="7" t="s">
        <v>920</v>
      </c>
      <c r="I770" s="13" t="s">
        <v>407</v>
      </c>
      <c r="J770" s="13" t="s">
        <v>1181</v>
      </c>
      <c r="K770" s="13" t="s">
        <v>303</v>
      </c>
      <c r="L770" s="13" t="s">
        <v>966</v>
      </c>
      <c r="M770" s="6" t="s">
        <v>188</v>
      </c>
      <c r="N770" s="6" t="s">
        <v>188</v>
      </c>
      <c r="O770" s="6" t="s">
        <v>190</v>
      </c>
      <c r="P770" s="7" t="s">
        <v>333</v>
      </c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>
      <c r="A771" s="12">
        <v>21.0</v>
      </c>
      <c r="B771" s="7" t="s">
        <v>431</v>
      </c>
      <c r="C771" s="7" t="s">
        <v>920</v>
      </c>
      <c r="I771" s="13" t="s">
        <v>976</v>
      </c>
      <c r="J771" s="13" t="s">
        <v>1186</v>
      </c>
      <c r="K771" s="13" t="s">
        <v>303</v>
      </c>
      <c r="L771" s="13" t="s">
        <v>977</v>
      </c>
      <c r="M771" s="6" t="s">
        <v>188</v>
      </c>
      <c r="N771" s="6" t="s">
        <v>188</v>
      </c>
      <c r="O771" s="6" t="s">
        <v>190</v>
      </c>
      <c r="P771" s="7" t="s">
        <v>333</v>
      </c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>
      <c r="A772" s="12">
        <v>21.0</v>
      </c>
      <c r="B772" s="7" t="s">
        <v>431</v>
      </c>
      <c r="C772" s="7" t="s">
        <v>920</v>
      </c>
      <c r="I772" s="13" t="s">
        <v>1017</v>
      </c>
      <c r="J772" s="13" t="s">
        <v>1181</v>
      </c>
      <c r="K772" s="13" t="s">
        <v>303</v>
      </c>
      <c r="L772" s="13" t="s">
        <v>981</v>
      </c>
      <c r="M772" s="6" t="s">
        <v>188</v>
      </c>
      <c r="N772" s="6" t="s">
        <v>188</v>
      </c>
      <c r="O772" s="6" t="s">
        <v>190</v>
      </c>
      <c r="P772" s="7" t="s">
        <v>333</v>
      </c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>
      <c r="A773" s="12">
        <v>21.0</v>
      </c>
      <c r="B773" s="7" t="s">
        <v>431</v>
      </c>
      <c r="C773" s="7" t="s">
        <v>920</v>
      </c>
      <c r="I773" s="13" t="s">
        <v>1019</v>
      </c>
      <c r="J773" s="13" t="s">
        <v>1186</v>
      </c>
      <c r="K773" s="13" t="s">
        <v>303</v>
      </c>
      <c r="L773" s="13" t="s">
        <v>1021</v>
      </c>
      <c r="M773" s="6" t="s">
        <v>188</v>
      </c>
      <c r="N773" s="6" t="s">
        <v>188</v>
      </c>
      <c r="O773" s="6" t="s">
        <v>190</v>
      </c>
      <c r="P773" s="7" t="s">
        <v>333</v>
      </c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>
      <c r="A774" s="12">
        <v>21.0</v>
      </c>
      <c r="B774" s="7" t="s">
        <v>431</v>
      </c>
      <c r="C774" s="7" t="s">
        <v>920</v>
      </c>
      <c r="I774" s="13" t="s">
        <v>334</v>
      </c>
      <c r="J774" s="13" t="s">
        <v>1181</v>
      </c>
      <c r="K774" s="13" t="s">
        <v>303</v>
      </c>
      <c r="L774" s="13" t="s">
        <v>981</v>
      </c>
      <c r="M774" s="6" t="s">
        <v>188</v>
      </c>
      <c r="N774" s="6" t="s">
        <v>188</v>
      </c>
      <c r="O774" s="6" t="s">
        <v>190</v>
      </c>
      <c r="P774" s="7" t="s">
        <v>333</v>
      </c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>
      <c r="A775" s="12">
        <v>21.0</v>
      </c>
      <c r="B775" s="7" t="s">
        <v>431</v>
      </c>
      <c r="C775" s="7" t="s">
        <v>920</v>
      </c>
      <c r="I775" s="13" t="s">
        <v>1025</v>
      </c>
      <c r="J775" s="13" t="s">
        <v>1186</v>
      </c>
      <c r="K775" s="13" t="s">
        <v>303</v>
      </c>
      <c r="L775" s="13" t="s">
        <v>981</v>
      </c>
      <c r="M775" s="6" t="s">
        <v>188</v>
      </c>
      <c r="N775" s="6" t="s">
        <v>188</v>
      </c>
      <c r="O775" s="6" t="s">
        <v>190</v>
      </c>
      <c r="P775" s="7" t="s">
        <v>333</v>
      </c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>
      <c r="A776" s="12">
        <v>21.0</v>
      </c>
      <c r="B776" s="7" t="s">
        <v>431</v>
      </c>
      <c r="C776" s="7" t="s">
        <v>920</v>
      </c>
      <c r="I776" s="13" t="s">
        <v>588</v>
      </c>
      <c r="J776" s="13" t="s">
        <v>1181</v>
      </c>
      <c r="K776" s="13" t="s">
        <v>303</v>
      </c>
      <c r="L776" s="13" t="s">
        <v>1028</v>
      </c>
      <c r="M776" s="6" t="s">
        <v>188</v>
      </c>
      <c r="N776" s="6" t="s">
        <v>188</v>
      </c>
      <c r="O776" s="6" t="s">
        <v>190</v>
      </c>
      <c r="P776" s="7" t="s">
        <v>333</v>
      </c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>
      <c r="A777" s="12">
        <v>21.0</v>
      </c>
      <c r="B777" s="7" t="s">
        <v>431</v>
      </c>
      <c r="C777" s="7" t="s">
        <v>920</v>
      </c>
      <c r="I777" s="13" t="s">
        <v>1029</v>
      </c>
      <c r="J777" s="13" t="s">
        <v>1186</v>
      </c>
      <c r="K777" s="13" t="s">
        <v>303</v>
      </c>
      <c r="L777" s="13" t="s">
        <v>1030</v>
      </c>
      <c r="M777" s="6" t="s">
        <v>188</v>
      </c>
      <c r="N777" s="6" t="s">
        <v>188</v>
      </c>
      <c r="O777" s="6" t="s">
        <v>190</v>
      </c>
      <c r="P777" s="7" t="s">
        <v>333</v>
      </c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>
      <c r="A778" s="12">
        <v>21.0</v>
      </c>
      <c r="B778" s="7" t="s">
        <v>431</v>
      </c>
      <c r="C778" s="7" t="s">
        <v>920</v>
      </c>
      <c r="I778" s="13" t="s">
        <v>982</v>
      </c>
      <c r="J778" s="13" t="s">
        <v>1181</v>
      </c>
      <c r="K778" s="13" t="s">
        <v>303</v>
      </c>
      <c r="L778" s="13" t="s">
        <v>983</v>
      </c>
      <c r="M778" s="6" t="s">
        <v>188</v>
      </c>
      <c r="N778" s="6" t="s">
        <v>188</v>
      </c>
      <c r="O778" s="6" t="s">
        <v>190</v>
      </c>
      <c r="P778" s="7" t="s">
        <v>333</v>
      </c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>
      <c r="A779" s="12">
        <v>21.0</v>
      </c>
      <c r="B779" s="7" t="s">
        <v>431</v>
      </c>
      <c r="C779" s="7" t="s">
        <v>920</v>
      </c>
      <c r="I779" s="13" t="s">
        <v>926</v>
      </c>
      <c r="J779" s="13" t="s">
        <v>1186</v>
      </c>
      <c r="K779" s="13" t="s">
        <v>303</v>
      </c>
      <c r="L779" s="13" t="s">
        <v>1801</v>
      </c>
      <c r="M779" s="6" t="s">
        <v>188</v>
      </c>
      <c r="N779" s="6" t="s">
        <v>188</v>
      </c>
      <c r="O779" s="6" t="s">
        <v>190</v>
      </c>
      <c r="P779" s="7" t="s">
        <v>333</v>
      </c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>
      <c r="A780" s="12">
        <v>21.0</v>
      </c>
      <c r="B780" s="7" t="s">
        <v>431</v>
      </c>
      <c r="C780" s="7" t="s">
        <v>920</v>
      </c>
      <c r="I780" s="13" t="s">
        <v>986</v>
      </c>
      <c r="J780" s="13" t="s">
        <v>1181</v>
      </c>
      <c r="K780" s="13" t="s">
        <v>303</v>
      </c>
      <c r="L780" s="13" t="s">
        <v>987</v>
      </c>
      <c r="M780" s="6" t="s">
        <v>188</v>
      </c>
      <c r="N780" s="6" t="s">
        <v>188</v>
      </c>
      <c r="O780" s="6" t="s">
        <v>190</v>
      </c>
      <c r="P780" s="7" t="s">
        <v>333</v>
      </c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>
      <c r="A781" s="12">
        <v>21.0</v>
      </c>
      <c r="B781" s="7" t="s">
        <v>431</v>
      </c>
      <c r="C781" s="7" t="s">
        <v>920</v>
      </c>
      <c r="I781" s="13" t="s">
        <v>989</v>
      </c>
      <c r="J781" s="13" t="s">
        <v>1186</v>
      </c>
      <c r="K781" s="13" t="s">
        <v>303</v>
      </c>
      <c r="L781" s="13" t="s">
        <v>981</v>
      </c>
      <c r="M781" s="6" t="s">
        <v>188</v>
      </c>
      <c r="N781" s="6" t="s">
        <v>188</v>
      </c>
      <c r="O781" s="6" t="s">
        <v>190</v>
      </c>
      <c r="P781" s="7" t="s">
        <v>333</v>
      </c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>
      <c r="A782" s="12">
        <v>22.0</v>
      </c>
      <c r="B782" s="7" t="s">
        <v>443</v>
      </c>
      <c r="C782" s="7" t="s">
        <v>920</v>
      </c>
      <c r="D782" s="26">
        <f>IF(COUNTIF($B$2:$B782,$B782)&gt;1,"",COUNTIF($B$2:$B$3400,$B782))</f>
        <v>30</v>
      </c>
      <c r="E782" s="26">
        <f>IF(COUNTIF($B$2:$B782,$B782)&gt;1,"",COUNTIFS($B$2:$B$3400,$B782,$K$2:$K$3400,"PHÙ HỢP CAO"))</f>
        <v>2</v>
      </c>
      <c r="F782" s="26">
        <f>IF(COUNTIF($B$2:$B782,$B782)&gt;1,"",COUNTIFS($B$2:$B$3400,$B782,$K$2:$K$3400,"CÓ THỂ ĐI"))</f>
        <v>3</v>
      </c>
      <c r="G782" s="26">
        <f>IF(COUNTIF($B$2:$B782,$B782)&gt;1,"",COUNTIFS($B$2:$B$3400,$B782,$K$2:$K$3400,"CẦN SOÁT"))</f>
        <v>25</v>
      </c>
      <c r="H782" s="27" t="str">
        <f>IFERROR(__xludf.DUMMYFUNCTION("IF(COUNTIF($B$2:$B782,$B782)&gt;1,"""",IFERROR(TEXTJOIN(CHAR(10),TRUE,BYROW(QUERY({$B$2:$B$3400,$J$2:$J$3400},""select Col2, count(Col2) where Col1 = '""&amp;$B782&amp;""' group by Col2 order by count(Col2) desc label count(Col2) ''"",0),LAMBDA(r,INDEX(r,1,1)&amp;"" – "&amp;"""&amp;INDEX(r,1,2)&amp;"" link""))),""""))"),"kiểm tra thuế TNCN online – 10 link
kiểm tra thuế thu nhập cá nhân – 10 link
tra cứu thuế TNCN – 10 link")</f>
        <v>kiểm tra thuế TNCN online – 10 link
kiểm tra thuế thu nhập cá nhân – 10 link
tra cứu thuế TNCN – 10 link</v>
      </c>
      <c r="I782" s="10" t="s">
        <v>585</v>
      </c>
      <c r="J782" s="13" t="s">
        <v>1197</v>
      </c>
      <c r="K782" s="13" t="s">
        <v>184</v>
      </c>
      <c r="L782" s="13" t="s">
        <v>1810</v>
      </c>
      <c r="M782" s="6" t="s">
        <v>188</v>
      </c>
      <c r="N782" s="6" t="s">
        <v>188</v>
      </c>
      <c r="O782" s="6" t="s">
        <v>190</v>
      </c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>
      <c r="A783" s="12">
        <v>22.0</v>
      </c>
      <c r="B783" s="7" t="s">
        <v>443</v>
      </c>
      <c r="C783" s="7" t="s">
        <v>920</v>
      </c>
      <c r="I783" s="10" t="s">
        <v>691</v>
      </c>
      <c r="J783" s="13" t="s">
        <v>1199</v>
      </c>
      <c r="K783" s="13" t="s">
        <v>184</v>
      </c>
      <c r="L783" s="13" t="s">
        <v>1811</v>
      </c>
      <c r="M783" s="6" t="s">
        <v>188</v>
      </c>
      <c r="N783" s="6" t="s">
        <v>188</v>
      </c>
      <c r="O783" s="6" t="s">
        <v>190</v>
      </c>
      <c r="P783" s="13" t="s">
        <v>715</v>
      </c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>
      <c r="A784" s="12">
        <v>22.0</v>
      </c>
      <c r="B784" s="7" t="s">
        <v>443</v>
      </c>
      <c r="C784" s="7" t="s">
        <v>920</v>
      </c>
      <c r="I784" s="10" t="s">
        <v>557</v>
      </c>
      <c r="J784" s="13" t="s">
        <v>1202</v>
      </c>
      <c r="K784" s="13" t="s">
        <v>283</v>
      </c>
      <c r="L784" s="13" t="s">
        <v>1813</v>
      </c>
      <c r="M784" s="6" t="s">
        <v>188</v>
      </c>
      <c r="N784" s="6" t="s">
        <v>188</v>
      </c>
      <c r="O784" s="6" t="s">
        <v>190</v>
      </c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>
      <c r="A785" s="12">
        <v>22.0</v>
      </c>
      <c r="B785" s="7" t="s">
        <v>443</v>
      </c>
      <c r="C785" s="7" t="s">
        <v>920</v>
      </c>
      <c r="I785" s="10" t="s">
        <v>587</v>
      </c>
      <c r="J785" s="13" t="s">
        <v>1197</v>
      </c>
      <c r="K785" s="13" t="s">
        <v>283</v>
      </c>
      <c r="L785" s="13" t="s">
        <v>1814</v>
      </c>
      <c r="M785" s="6" t="s">
        <v>188</v>
      </c>
      <c r="N785" s="6" t="s">
        <v>188</v>
      </c>
      <c r="O785" s="6" t="s">
        <v>190</v>
      </c>
      <c r="P785" s="13" t="s">
        <v>715</v>
      </c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>
      <c r="A786" s="12">
        <v>22.0</v>
      </c>
      <c r="B786" s="7" t="s">
        <v>443</v>
      </c>
      <c r="C786" s="7" t="s">
        <v>920</v>
      </c>
      <c r="I786" s="10" t="s">
        <v>572</v>
      </c>
      <c r="J786" s="13" t="s">
        <v>1199</v>
      </c>
      <c r="K786" s="13" t="s">
        <v>283</v>
      </c>
      <c r="L786" s="13" t="s">
        <v>1817</v>
      </c>
      <c r="M786" s="6" t="s">
        <v>188</v>
      </c>
      <c r="N786" s="6" t="s">
        <v>188</v>
      </c>
      <c r="O786" s="6" t="s">
        <v>190</v>
      </c>
      <c r="P786" s="13" t="s">
        <v>715</v>
      </c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>
      <c r="A787" s="12">
        <v>22.0</v>
      </c>
      <c r="B787" s="7" t="s">
        <v>443</v>
      </c>
      <c r="C787" s="7" t="s">
        <v>920</v>
      </c>
      <c r="I787" s="10" t="s">
        <v>591</v>
      </c>
      <c r="J787" s="13" t="s">
        <v>1202</v>
      </c>
      <c r="K787" s="13" t="s">
        <v>303</v>
      </c>
      <c r="L787" s="13" t="s">
        <v>1106</v>
      </c>
      <c r="M787" s="6" t="s">
        <v>188</v>
      </c>
      <c r="N787" s="6" t="s">
        <v>188</v>
      </c>
      <c r="O787" s="6" t="s">
        <v>190</v>
      </c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>
      <c r="A788" s="12">
        <v>22.0</v>
      </c>
      <c r="B788" s="7" t="s">
        <v>443</v>
      </c>
      <c r="C788" s="7" t="s">
        <v>920</v>
      </c>
      <c r="I788" s="10" t="s">
        <v>575</v>
      </c>
      <c r="J788" s="13" t="s">
        <v>1197</v>
      </c>
      <c r="K788" s="13" t="s">
        <v>303</v>
      </c>
      <c r="L788" s="13" t="s">
        <v>825</v>
      </c>
      <c r="M788" s="6" t="s">
        <v>188</v>
      </c>
      <c r="N788" s="6" t="s">
        <v>188</v>
      </c>
      <c r="O788" s="6" t="s">
        <v>190</v>
      </c>
      <c r="P788" s="13" t="s">
        <v>574</v>
      </c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>
      <c r="A789" s="12">
        <v>22.0</v>
      </c>
      <c r="B789" s="7" t="s">
        <v>443</v>
      </c>
      <c r="C789" s="7" t="s">
        <v>920</v>
      </c>
      <c r="I789" s="10" t="s">
        <v>578</v>
      </c>
      <c r="J789" s="13" t="s">
        <v>1199</v>
      </c>
      <c r="K789" s="13" t="s">
        <v>303</v>
      </c>
      <c r="L789" s="13" t="s">
        <v>1818</v>
      </c>
      <c r="M789" s="6" t="s">
        <v>188</v>
      </c>
      <c r="N789" s="6" t="s">
        <v>188</v>
      </c>
      <c r="O789" s="6" t="s">
        <v>190</v>
      </c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>
      <c r="A790" s="12">
        <v>22.0</v>
      </c>
      <c r="B790" s="7" t="s">
        <v>443</v>
      </c>
      <c r="C790" s="7" t="s">
        <v>920</v>
      </c>
      <c r="I790" s="10" t="s">
        <v>583</v>
      </c>
      <c r="J790" s="13" t="s">
        <v>1202</v>
      </c>
      <c r="K790" s="13" t="s">
        <v>303</v>
      </c>
      <c r="L790" s="13" t="s">
        <v>580</v>
      </c>
      <c r="M790" s="6" t="s">
        <v>188</v>
      </c>
      <c r="N790" s="6" t="s">
        <v>188</v>
      </c>
      <c r="O790" s="6" t="s">
        <v>190</v>
      </c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>
      <c r="A791" s="12">
        <v>22.0</v>
      </c>
      <c r="B791" s="7" t="s">
        <v>443</v>
      </c>
      <c r="C791" s="7" t="s">
        <v>920</v>
      </c>
      <c r="I791" s="10" t="s">
        <v>698</v>
      </c>
      <c r="J791" s="13" t="s">
        <v>1197</v>
      </c>
      <c r="K791" s="13" t="s">
        <v>303</v>
      </c>
      <c r="L791" s="13" t="s">
        <v>1106</v>
      </c>
      <c r="M791" s="6" t="s">
        <v>188</v>
      </c>
      <c r="N791" s="6" t="s">
        <v>188</v>
      </c>
      <c r="O791" s="6" t="s">
        <v>190</v>
      </c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>
      <c r="A792" s="12">
        <v>22.0</v>
      </c>
      <c r="B792" s="7" t="s">
        <v>443</v>
      </c>
      <c r="C792" s="7" t="s">
        <v>920</v>
      </c>
      <c r="I792" s="10" t="s">
        <v>590</v>
      </c>
      <c r="J792" s="13" t="s">
        <v>1199</v>
      </c>
      <c r="K792" s="13" t="s">
        <v>303</v>
      </c>
      <c r="L792" s="13" t="s">
        <v>580</v>
      </c>
      <c r="M792" s="6" t="s">
        <v>188</v>
      </c>
      <c r="N792" s="6" t="s">
        <v>188</v>
      </c>
      <c r="O792" s="6" t="s">
        <v>190</v>
      </c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>
      <c r="A793" s="12">
        <v>22.0</v>
      </c>
      <c r="B793" s="7" t="s">
        <v>443</v>
      </c>
      <c r="C793" s="7" t="s">
        <v>920</v>
      </c>
      <c r="I793" s="10" t="s">
        <v>584</v>
      </c>
      <c r="J793" s="13" t="s">
        <v>1202</v>
      </c>
      <c r="K793" s="13" t="s">
        <v>303</v>
      </c>
      <c r="L793" s="13" t="s">
        <v>1106</v>
      </c>
      <c r="M793" s="6" t="s">
        <v>188</v>
      </c>
      <c r="N793" s="6" t="s">
        <v>188</v>
      </c>
      <c r="O793" s="6" t="s">
        <v>190</v>
      </c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>
      <c r="A794" s="12">
        <v>22.0</v>
      </c>
      <c r="B794" s="7" t="s">
        <v>443</v>
      </c>
      <c r="C794" s="7" t="s">
        <v>920</v>
      </c>
      <c r="I794" s="10" t="s">
        <v>250</v>
      </c>
      <c r="J794" s="13" t="s">
        <v>1197</v>
      </c>
      <c r="K794" s="13" t="s">
        <v>303</v>
      </c>
      <c r="L794" s="13" t="s">
        <v>825</v>
      </c>
      <c r="M794" s="6" t="s">
        <v>188</v>
      </c>
      <c r="N794" s="6" t="s">
        <v>188</v>
      </c>
      <c r="O794" s="6" t="s">
        <v>190</v>
      </c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>
      <c r="A795" s="12">
        <v>22.0</v>
      </c>
      <c r="B795" s="7" t="s">
        <v>443</v>
      </c>
      <c r="C795" s="7" t="s">
        <v>920</v>
      </c>
      <c r="I795" s="10" t="s">
        <v>599</v>
      </c>
      <c r="J795" s="13" t="s">
        <v>1199</v>
      </c>
      <c r="K795" s="13" t="s">
        <v>303</v>
      </c>
      <c r="L795" s="13" t="s">
        <v>580</v>
      </c>
      <c r="M795" s="6" t="s">
        <v>188</v>
      </c>
      <c r="N795" s="6" t="s">
        <v>188</v>
      </c>
      <c r="O795" s="6" t="s">
        <v>190</v>
      </c>
      <c r="P795" s="13" t="s">
        <v>574</v>
      </c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>
      <c r="A796" s="12">
        <v>22.0</v>
      </c>
      <c r="B796" s="7" t="s">
        <v>443</v>
      </c>
      <c r="C796" s="7" t="s">
        <v>920</v>
      </c>
      <c r="I796" s="10" t="s">
        <v>326</v>
      </c>
      <c r="J796" s="13" t="s">
        <v>1202</v>
      </c>
      <c r="K796" s="13" t="s">
        <v>303</v>
      </c>
      <c r="L796" s="13" t="s">
        <v>1824</v>
      </c>
      <c r="M796" s="6" t="s">
        <v>188</v>
      </c>
      <c r="N796" s="6" t="s">
        <v>188</v>
      </c>
      <c r="O796" s="6" t="s">
        <v>190</v>
      </c>
      <c r="P796" s="13" t="s">
        <v>574</v>
      </c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>
      <c r="A797" s="12">
        <v>22.0</v>
      </c>
      <c r="B797" s="7" t="s">
        <v>443</v>
      </c>
      <c r="C797" s="7" t="s">
        <v>920</v>
      </c>
      <c r="I797" s="10" t="s">
        <v>475</v>
      </c>
      <c r="J797" s="13" t="s">
        <v>1197</v>
      </c>
      <c r="K797" s="13" t="s">
        <v>303</v>
      </c>
      <c r="L797" s="13" t="s">
        <v>1824</v>
      </c>
      <c r="M797" s="6" t="s">
        <v>188</v>
      </c>
      <c r="N797" s="6" t="s">
        <v>188</v>
      </c>
      <c r="O797" s="6" t="s">
        <v>190</v>
      </c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>
      <c r="A798" s="12">
        <v>22.0</v>
      </c>
      <c r="B798" s="7" t="s">
        <v>443</v>
      </c>
      <c r="C798" s="7" t="s">
        <v>920</v>
      </c>
      <c r="I798" s="10" t="s">
        <v>44</v>
      </c>
      <c r="J798" s="13" t="s">
        <v>1199</v>
      </c>
      <c r="K798" s="13" t="s">
        <v>303</v>
      </c>
      <c r="L798" s="13" t="s">
        <v>580</v>
      </c>
      <c r="M798" s="6" t="s">
        <v>188</v>
      </c>
      <c r="N798" s="6" t="s">
        <v>188</v>
      </c>
      <c r="O798" s="6" t="s">
        <v>190</v>
      </c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>
      <c r="A799" s="12">
        <v>22.0</v>
      </c>
      <c r="B799" s="7" t="s">
        <v>443</v>
      </c>
      <c r="C799" s="7" t="s">
        <v>920</v>
      </c>
      <c r="I799" s="10" t="s">
        <v>54</v>
      </c>
      <c r="J799" s="13" t="s">
        <v>1202</v>
      </c>
      <c r="K799" s="13" t="s">
        <v>303</v>
      </c>
      <c r="L799" s="13" t="s">
        <v>580</v>
      </c>
      <c r="M799" s="6" t="s">
        <v>188</v>
      </c>
      <c r="N799" s="6" t="s">
        <v>188</v>
      </c>
      <c r="O799" s="6" t="s">
        <v>190</v>
      </c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>
      <c r="A800" s="12">
        <v>22.0</v>
      </c>
      <c r="B800" s="7" t="s">
        <v>443</v>
      </c>
      <c r="C800" s="7" t="s">
        <v>920</v>
      </c>
      <c r="I800" s="13" t="s">
        <v>73</v>
      </c>
      <c r="J800" s="13" t="s">
        <v>1197</v>
      </c>
      <c r="K800" s="13" t="s">
        <v>303</v>
      </c>
      <c r="L800" s="13" t="s">
        <v>1125</v>
      </c>
      <c r="M800" s="6" t="s">
        <v>188</v>
      </c>
      <c r="N800" s="6" t="s">
        <v>188</v>
      </c>
      <c r="O800" s="6" t="s">
        <v>190</v>
      </c>
      <c r="P800" s="7" t="s">
        <v>333</v>
      </c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>
      <c r="A801" s="12">
        <v>22.0</v>
      </c>
      <c r="B801" s="7" t="s">
        <v>443</v>
      </c>
      <c r="C801" s="7" t="s">
        <v>920</v>
      </c>
      <c r="I801" s="13" t="s">
        <v>296</v>
      </c>
      <c r="J801" s="13" t="s">
        <v>1199</v>
      </c>
      <c r="K801" s="13" t="s">
        <v>303</v>
      </c>
      <c r="L801" s="13" t="s">
        <v>1125</v>
      </c>
      <c r="M801" s="6" t="s">
        <v>188</v>
      </c>
      <c r="N801" s="6" t="s">
        <v>188</v>
      </c>
      <c r="O801" s="6" t="s">
        <v>190</v>
      </c>
      <c r="P801" s="7" t="s">
        <v>333</v>
      </c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>
      <c r="A802" s="12">
        <v>22.0</v>
      </c>
      <c r="B802" s="7" t="s">
        <v>443</v>
      </c>
      <c r="C802" s="7" t="s">
        <v>920</v>
      </c>
      <c r="I802" s="13" t="s">
        <v>593</v>
      </c>
      <c r="J802" s="13" t="s">
        <v>1202</v>
      </c>
      <c r="K802" s="13" t="s">
        <v>303</v>
      </c>
      <c r="L802" s="13" t="s">
        <v>613</v>
      </c>
      <c r="M802" s="6" t="s">
        <v>188</v>
      </c>
      <c r="N802" s="6" t="s">
        <v>188</v>
      </c>
      <c r="O802" s="6" t="s">
        <v>190</v>
      </c>
      <c r="P802" s="7" t="s">
        <v>333</v>
      </c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>
      <c r="A803" s="12">
        <v>22.0</v>
      </c>
      <c r="B803" s="7" t="s">
        <v>443</v>
      </c>
      <c r="C803" s="7" t="s">
        <v>920</v>
      </c>
      <c r="I803" s="13" t="s">
        <v>608</v>
      </c>
      <c r="J803" s="13" t="s">
        <v>1197</v>
      </c>
      <c r="K803" s="13" t="s">
        <v>303</v>
      </c>
      <c r="L803" s="13" t="s">
        <v>609</v>
      </c>
      <c r="M803" s="6" t="s">
        <v>188</v>
      </c>
      <c r="N803" s="6" t="s">
        <v>188</v>
      </c>
      <c r="O803" s="6" t="s">
        <v>190</v>
      </c>
      <c r="P803" s="7" t="s">
        <v>333</v>
      </c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>
      <c r="A804" s="12">
        <v>22.0</v>
      </c>
      <c r="B804" s="7" t="s">
        <v>443</v>
      </c>
      <c r="C804" s="7" t="s">
        <v>920</v>
      </c>
      <c r="I804" s="13" t="s">
        <v>1110</v>
      </c>
      <c r="J804" s="13" t="s">
        <v>1199</v>
      </c>
      <c r="K804" s="13" t="s">
        <v>303</v>
      </c>
      <c r="L804" s="13" t="s">
        <v>1827</v>
      </c>
      <c r="M804" s="6" t="s">
        <v>188</v>
      </c>
      <c r="N804" s="6" t="s">
        <v>188</v>
      </c>
      <c r="O804" s="6" t="s">
        <v>190</v>
      </c>
      <c r="P804" s="7" t="s">
        <v>333</v>
      </c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>
      <c r="A805" s="12">
        <v>22.0</v>
      </c>
      <c r="B805" s="7" t="s">
        <v>443</v>
      </c>
      <c r="C805" s="7" t="s">
        <v>920</v>
      </c>
      <c r="I805" s="13" t="s">
        <v>882</v>
      </c>
      <c r="J805" s="13" t="s">
        <v>1202</v>
      </c>
      <c r="K805" s="13" t="s">
        <v>303</v>
      </c>
      <c r="L805" s="13" t="s">
        <v>1827</v>
      </c>
      <c r="M805" s="6" t="s">
        <v>188</v>
      </c>
      <c r="N805" s="6" t="s">
        <v>188</v>
      </c>
      <c r="O805" s="6" t="s">
        <v>190</v>
      </c>
      <c r="P805" s="7" t="s">
        <v>333</v>
      </c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>
      <c r="A806" s="12">
        <v>22.0</v>
      </c>
      <c r="B806" s="7" t="s">
        <v>443</v>
      </c>
      <c r="C806" s="7" t="s">
        <v>920</v>
      </c>
      <c r="I806" s="13" t="s">
        <v>592</v>
      </c>
      <c r="J806" s="13" t="s">
        <v>1197</v>
      </c>
      <c r="K806" s="13" t="s">
        <v>303</v>
      </c>
      <c r="L806" s="13" t="s">
        <v>640</v>
      </c>
      <c r="M806" s="6" t="s">
        <v>188</v>
      </c>
      <c r="N806" s="6" t="s">
        <v>188</v>
      </c>
      <c r="O806" s="6" t="s">
        <v>190</v>
      </c>
      <c r="P806" s="7" t="s">
        <v>333</v>
      </c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>
      <c r="A807" s="12">
        <v>22.0</v>
      </c>
      <c r="B807" s="7" t="s">
        <v>443</v>
      </c>
      <c r="C807" s="7" t="s">
        <v>920</v>
      </c>
      <c r="I807" s="13" t="s">
        <v>615</v>
      </c>
      <c r="J807" s="13" t="s">
        <v>1199</v>
      </c>
      <c r="K807" s="13" t="s">
        <v>303</v>
      </c>
      <c r="L807" s="13" t="s">
        <v>613</v>
      </c>
      <c r="M807" s="6" t="s">
        <v>188</v>
      </c>
      <c r="N807" s="6" t="s">
        <v>188</v>
      </c>
      <c r="O807" s="6" t="s">
        <v>190</v>
      </c>
      <c r="P807" s="7" t="s">
        <v>333</v>
      </c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>
      <c r="A808" s="12">
        <v>22.0</v>
      </c>
      <c r="B808" s="7" t="s">
        <v>443</v>
      </c>
      <c r="C808" s="7" t="s">
        <v>920</v>
      </c>
      <c r="I808" s="13" t="s">
        <v>610</v>
      </c>
      <c r="J808" s="13" t="s">
        <v>1202</v>
      </c>
      <c r="K808" s="13" t="s">
        <v>303</v>
      </c>
      <c r="L808" s="13" t="s">
        <v>611</v>
      </c>
      <c r="M808" s="6" t="s">
        <v>188</v>
      </c>
      <c r="N808" s="6" t="s">
        <v>188</v>
      </c>
      <c r="O808" s="6" t="s">
        <v>190</v>
      </c>
      <c r="P808" s="7" t="s">
        <v>333</v>
      </c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>
      <c r="A809" s="12">
        <v>22.0</v>
      </c>
      <c r="B809" s="7" t="s">
        <v>443</v>
      </c>
      <c r="C809" s="7" t="s">
        <v>920</v>
      </c>
      <c r="I809" s="13" t="s">
        <v>612</v>
      </c>
      <c r="J809" s="13" t="s">
        <v>1197</v>
      </c>
      <c r="K809" s="13" t="s">
        <v>303</v>
      </c>
      <c r="L809" s="13" t="s">
        <v>613</v>
      </c>
      <c r="M809" s="6" t="s">
        <v>188</v>
      </c>
      <c r="N809" s="6" t="s">
        <v>188</v>
      </c>
      <c r="O809" s="6" t="s">
        <v>190</v>
      </c>
      <c r="P809" s="7" t="s">
        <v>333</v>
      </c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>
      <c r="A810" s="12">
        <v>22.0</v>
      </c>
      <c r="B810" s="7" t="s">
        <v>443</v>
      </c>
      <c r="C810" s="7" t="s">
        <v>920</v>
      </c>
      <c r="I810" s="13" t="s">
        <v>1136</v>
      </c>
      <c r="J810" s="13" t="s">
        <v>1199</v>
      </c>
      <c r="K810" s="13" t="s">
        <v>303</v>
      </c>
      <c r="L810" s="13" t="s">
        <v>1137</v>
      </c>
      <c r="M810" s="6" t="s">
        <v>188</v>
      </c>
      <c r="N810" s="6" t="s">
        <v>188</v>
      </c>
      <c r="O810" s="6" t="s">
        <v>190</v>
      </c>
      <c r="P810" s="7" t="s">
        <v>333</v>
      </c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>
      <c r="A811" s="12">
        <v>22.0</v>
      </c>
      <c r="B811" s="7" t="s">
        <v>443</v>
      </c>
      <c r="C811" s="7" t="s">
        <v>920</v>
      </c>
      <c r="I811" s="13" t="s">
        <v>1138</v>
      </c>
      <c r="J811" s="13" t="s">
        <v>1202</v>
      </c>
      <c r="K811" s="13" t="s">
        <v>303</v>
      </c>
      <c r="L811" s="13" t="s">
        <v>1137</v>
      </c>
      <c r="M811" s="6" t="s">
        <v>188</v>
      </c>
      <c r="N811" s="6" t="s">
        <v>188</v>
      </c>
      <c r="O811" s="6" t="s">
        <v>190</v>
      </c>
      <c r="P811" s="7" t="s">
        <v>333</v>
      </c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>
      <c r="A812" s="12">
        <v>23.0</v>
      </c>
      <c r="B812" s="7" t="s">
        <v>457</v>
      </c>
      <c r="C812" s="7" t="s">
        <v>920</v>
      </c>
      <c r="D812" s="26">
        <f>IF(COUNTIF($B$2:$B812,$B812)&gt;1,"",COUNTIF($B$2:$B$3400,$B812))</f>
        <v>30</v>
      </c>
      <c r="E812" s="26">
        <f>IF(COUNTIF($B$2:$B812,$B812)&gt;1,"",COUNTIFS($B$2:$B$3400,$B812,$K$2:$K$3400,"PHÙ HỢP CAO"))</f>
        <v>3</v>
      </c>
      <c r="F812" s="26">
        <f>IF(COUNTIF($B$2:$B812,$B812)&gt;1,"",COUNTIFS($B$2:$B$3400,$B812,$K$2:$K$3400,"CÓ THỂ ĐI"))</f>
        <v>2</v>
      </c>
      <c r="G812" s="26">
        <f>IF(COUNTIF($B$2:$B812,$B812)&gt;1,"",COUNTIFS($B$2:$B$3400,$B812,$K$2:$K$3400,"CẦN SOÁT"))</f>
        <v>25</v>
      </c>
      <c r="H812" s="27" t="str">
        <f>IFERROR(__xludf.DUMMYFUNCTION("IF(COUNTIF($B$2:$B812,$B812)&gt;1,"""",IFERROR(TEXTJOIN(CHAR(10),TRUE,BYROW(QUERY({$B$2:$B$3400,$J$2:$J$3400},""select Col2, count(Col2) where Col1 = '""&amp;$B812&amp;""' group by Col2 order by count(Col2) desc label count(Col2) ''"",0),LAMBDA(r,INDEX(r,1,1)&amp;"" – "&amp;"""&amp;INDEX(r,1,2)&amp;"" link""))),""""))"),"tên đăng nhập – 15 link
tên đăng nhập tài khoản ngân hàng – 15 link")</f>
        <v>tên đăng nhập – 15 link
tên đăng nhập tài khoản ngân hàng – 15 link</v>
      </c>
      <c r="I812" s="10" t="s">
        <v>1032</v>
      </c>
      <c r="J812" s="13" t="s">
        <v>1206</v>
      </c>
      <c r="K812" s="13" t="s">
        <v>184</v>
      </c>
      <c r="L812" s="13" t="s">
        <v>1836</v>
      </c>
      <c r="M812" s="6" t="s">
        <v>188</v>
      </c>
      <c r="N812" s="6" t="s">
        <v>188</v>
      </c>
      <c r="O812" s="6" t="s">
        <v>190</v>
      </c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>
      <c r="A813" s="12">
        <v>23.0</v>
      </c>
      <c r="B813" s="7" t="s">
        <v>457</v>
      </c>
      <c r="C813" s="7" t="s">
        <v>920</v>
      </c>
      <c r="I813" s="10" t="s">
        <v>1207</v>
      </c>
      <c r="J813" s="13" t="s">
        <v>1209</v>
      </c>
      <c r="K813" s="13" t="s">
        <v>184</v>
      </c>
      <c r="L813" s="13" t="s">
        <v>1838</v>
      </c>
      <c r="M813" s="6" t="s">
        <v>188</v>
      </c>
      <c r="N813" s="6" t="s">
        <v>188</v>
      </c>
      <c r="O813" s="6" t="s">
        <v>190</v>
      </c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>
      <c r="A814" s="12">
        <v>23.0</v>
      </c>
      <c r="B814" s="7" t="s">
        <v>457</v>
      </c>
      <c r="C814" s="7" t="s">
        <v>920</v>
      </c>
      <c r="I814" s="10" t="s">
        <v>1211</v>
      </c>
      <c r="J814" s="13" t="s">
        <v>1206</v>
      </c>
      <c r="K814" s="13" t="s">
        <v>184</v>
      </c>
      <c r="L814" s="13" t="s">
        <v>1840</v>
      </c>
      <c r="M814" s="6" t="s">
        <v>188</v>
      </c>
      <c r="N814" s="6" t="s">
        <v>188</v>
      </c>
      <c r="O814" s="6" t="s">
        <v>190</v>
      </c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>
      <c r="A815" s="12">
        <v>23.0</v>
      </c>
      <c r="B815" s="7" t="s">
        <v>457</v>
      </c>
      <c r="C815" s="7" t="s">
        <v>920</v>
      </c>
      <c r="I815" s="10" t="s">
        <v>1214</v>
      </c>
      <c r="J815" s="13" t="s">
        <v>1209</v>
      </c>
      <c r="K815" s="13" t="s">
        <v>283</v>
      </c>
      <c r="L815" s="13" t="s">
        <v>1841</v>
      </c>
      <c r="M815" s="6" t="s">
        <v>188</v>
      </c>
      <c r="N815" s="6" t="s">
        <v>188</v>
      </c>
      <c r="O815" s="6" t="s">
        <v>190</v>
      </c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>
      <c r="A816" s="12">
        <v>23.0</v>
      </c>
      <c r="B816" s="7" t="s">
        <v>457</v>
      </c>
      <c r="C816" s="7" t="s">
        <v>920</v>
      </c>
      <c r="I816" s="10" t="s">
        <v>937</v>
      </c>
      <c r="J816" s="13" t="s">
        <v>1206</v>
      </c>
      <c r="K816" s="13" t="s">
        <v>283</v>
      </c>
      <c r="L816" s="13" t="s">
        <v>1843</v>
      </c>
      <c r="M816" s="6" t="s">
        <v>188</v>
      </c>
      <c r="N816" s="6" t="s">
        <v>188</v>
      </c>
      <c r="O816" s="6" t="s">
        <v>190</v>
      </c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>
      <c r="A817" s="12">
        <v>23.0</v>
      </c>
      <c r="B817" s="7" t="s">
        <v>457</v>
      </c>
      <c r="C817" s="7" t="s">
        <v>920</v>
      </c>
      <c r="I817" s="10" t="s">
        <v>588</v>
      </c>
      <c r="J817" s="13" t="s">
        <v>1209</v>
      </c>
      <c r="K817" s="13" t="s">
        <v>303</v>
      </c>
      <c r="L817" s="13" t="s">
        <v>1847</v>
      </c>
      <c r="M817" s="6" t="s">
        <v>188</v>
      </c>
      <c r="N817" s="6" t="s">
        <v>188</v>
      </c>
      <c r="O817" s="6" t="s">
        <v>190</v>
      </c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>
      <c r="A818" s="12">
        <v>23.0</v>
      </c>
      <c r="B818" s="7" t="s">
        <v>457</v>
      </c>
      <c r="C818" s="7" t="s">
        <v>920</v>
      </c>
      <c r="I818" s="10" t="s">
        <v>1085</v>
      </c>
      <c r="J818" s="13" t="s">
        <v>1206</v>
      </c>
      <c r="K818" s="13" t="s">
        <v>303</v>
      </c>
      <c r="L818" s="13" t="s">
        <v>1847</v>
      </c>
      <c r="M818" s="6" t="s">
        <v>188</v>
      </c>
      <c r="N818" s="6" t="s">
        <v>188</v>
      </c>
      <c r="O818" s="6" t="s">
        <v>190</v>
      </c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>
      <c r="A819" s="12">
        <v>23.0</v>
      </c>
      <c r="B819" s="7" t="s">
        <v>457</v>
      </c>
      <c r="C819" s="7" t="s">
        <v>920</v>
      </c>
      <c r="I819" s="10" t="s">
        <v>689</v>
      </c>
      <c r="J819" s="13" t="s">
        <v>1209</v>
      </c>
      <c r="K819" s="13" t="s">
        <v>303</v>
      </c>
      <c r="L819" s="13" t="s">
        <v>1850</v>
      </c>
      <c r="M819" s="6" t="s">
        <v>188</v>
      </c>
      <c r="N819" s="6" t="s">
        <v>188</v>
      </c>
      <c r="O819" s="6" t="s">
        <v>190</v>
      </c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>
      <c r="A820" s="12">
        <v>23.0</v>
      </c>
      <c r="B820" s="7" t="s">
        <v>457</v>
      </c>
      <c r="C820" s="7" t="s">
        <v>920</v>
      </c>
      <c r="I820" s="10" t="s">
        <v>1851</v>
      </c>
      <c r="J820" s="13" t="s">
        <v>1206</v>
      </c>
      <c r="K820" s="13" t="s">
        <v>303</v>
      </c>
      <c r="L820" s="13" t="s">
        <v>1847</v>
      </c>
      <c r="M820" s="6" t="s">
        <v>188</v>
      </c>
      <c r="N820" s="6" t="s">
        <v>188</v>
      </c>
      <c r="O820" s="6" t="s">
        <v>190</v>
      </c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>
      <c r="A821" s="12">
        <v>23.0</v>
      </c>
      <c r="B821" s="7" t="s">
        <v>457</v>
      </c>
      <c r="C821" s="7" t="s">
        <v>920</v>
      </c>
      <c r="I821" s="10" t="s">
        <v>1146</v>
      </c>
      <c r="J821" s="13" t="s">
        <v>1209</v>
      </c>
      <c r="K821" s="13" t="s">
        <v>303</v>
      </c>
      <c r="L821" s="13" t="s">
        <v>1847</v>
      </c>
      <c r="M821" s="6" t="s">
        <v>188</v>
      </c>
      <c r="N821" s="6" t="s">
        <v>188</v>
      </c>
      <c r="O821" s="6" t="s">
        <v>190</v>
      </c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>
      <c r="A822" s="12">
        <v>23.0</v>
      </c>
      <c r="B822" s="7" t="s">
        <v>457</v>
      </c>
      <c r="C822" s="7" t="s">
        <v>920</v>
      </c>
      <c r="I822" s="10" t="s">
        <v>1856</v>
      </c>
      <c r="J822" s="13" t="s">
        <v>1206</v>
      </c>
      <c r="K822" s="13" t="s">
        <v>303</v>
      </c>
      <c r="L822" s="13" t="s">
        <v>1858</v>
      </c>
      <c r="M822" s="6" t="s">
        <v>188</v>
      </c>
      <c r="N822" s="6" t="s">
        <v>188</v>
      </c>
      <c r="O822" s="6" t="s">
        <v>190</v>
      </c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>
      <c r="A823" s="12">
        <v>23.0</v>
      </c>
      <c r="B823" s="7" t="s">
        <v>457</v>
      </c>
      <c r="C823" s="7" t="s">
        <v>920</v>
      </c>
      <c r="I823" s="10" t="s">
        <v>1190</v>
      </c>
      <c r="J823" s="13" t="s">
        <v>1209</v>
      </c>
      <c r="K823" s="13" t="s">
        <v>303</v>
      </c>
      <c r="L823" s="13" t="s">
        <v>1860</v>
      </c>
      <c r="M823" s="6" t="s">
        <v>188</v>
      </c>
      <c r="N823" s="6" t="s">
        <v>188</v>
      </c>
      <c r="O823" s="6" t="s">
        <v>190</v>
      </c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>
      <c r="A824" s="12">
        <v>23.0</v>
      </c>
      <c r="B824" s="7" t="s">
        <v>457</v>
      </c>
      <c r="C824" s="7" t="s">
        <v>920</v>
      </c>
      <c r="I824" s="10" t="s">
        <v>1034</v>
      </c>
      <c r="J824" s="13" t="s">
        <v>1206</v>
      </c>
      <c r="K824" s="13" t="s">
        <v>303</v>
      </c>
      <c r="L824" s="13" t="s">
        <v>1860</v>
      </c>
      <c r="M824" s="6" t="s">
        <v>188</v>
      </c>
      <c r="N824" s="6" t="s">
        <v>188</v>
      </c>
      <c r="O824" s="6" t="s">
        <v>190</v>
      </c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>
      <c r="A825" s="12">
        <v>23.0</v>
      </c>
      <c r="B825" s="7" t="s">
        <v>457</v>
      </c>
      <c r="C825" s="7" t="s">
        <v>920</v>
      </c>
      <c r="I825" s="10" t="s">
        <v>1862</v>
      </c>
      <c r="J825" s="13" t="s">
        <v>1209</v>
      </c>
      <c r="K825" s="13" t="s">
        <v>303</v>
      </c>
      <c r="L825" s="13" t="s">
        <v>1864</v>
      </c>
      <c r="M825" s="6" t="s">
        <v>188</v>
      </c>
      <c r="N825" s="6" t="s">
        <v>188</v>
      </c>
      <c r="O825" s="6" t="s">
        <v>190</v>
      </c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>
      <c r="A826" s="12">
        <v>23.0</v>
      </c>
      <c r="B826" s="7" t="s">
        <v>457</v>
      </c>
      <c r="C826" s="7" t="s">
        <v>920</v>
      </c>
      <c r="I826" s="10" t="s">
        <v>967</v>
      </c>
      <c r="J826" s="13" t="s">
        <v>1206</v>
      </c>
      <c r="K826" s="13" t="s">
        <v>303</v>
      </c>
      <c r="L826" s="13" t="s">
        <v>1847</v>
      </c>
      <c r="M826" s="6" t="s">
        <v>188</v>
      </c>
      <c r="N826" s="6" t="s">
        <v>188</v>
      </c>
      <c r="O826" s="6" t="s">
        <v>190</v>
      </c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>
      <c r="A827" s="12">
        <v>23.0</v>
      </c>
      <c r="B827" s="7" t="s">
        <v>457</v>
      </c>
      <c r="C827" s="7" t="s">
        <v>920</v>
      </c>
      <c r="I827" s="10" t="s">
        <v>579</v>
      </c>
      <c r="J827" s="13" t="s">
        <v>1209</v>
      </c>
      <c r="K827" s="13" t="s">
        <v>303</v>
      </c>
      <c r="L827" s="13" t="s">
        <v>1847</v>
      </c>
      <c r="M827" s="6" t="s">
        <v>188</v>
      </c>
      <c r="N827" s="6" t="s">
        <v>188</v>
      </c>
      <c r="O827" s="6" t="s">
        <v>190</v>
      </c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>
      <c r="A828" s="12">
        <v>23.0</v>
      </c>
      <c r="B828" s="7" t="s">
        <v>457</v>
      </c>
      <c r="C828" s="7" t="s">
        <v>920</v>
      </c>
      <c r="I828" s="10" t="s">
        <v>549</v>
      </c>
      <c r="J828" s="13" t="s">
        <v>1206</v>
      </c>
      <c r="K828" s="13" t="s">
        <v>303</v>
      </c>
      <c r="L828" s="13" t="s">
        <v>1865</v>
      </c>
      <c r="M828" s="6" t="s">
        <v>188</v>
      </c>
      <c r="N828" s="6" t="s">
        <v>188</v>
      </c>
      <c r="O828" s="6" t="s">
        <v>190</v>
      </c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>
      <c r="A829" s="12">
        <v>23.0</v>
      </c>
      <c r="B829" s="7" t="s">
        <v>457</v>
      </c>
      <c r="C829" s="7" t="s">
        <v>920</v>
      </c>
      <c r="I829" s="10" t="s">
        <v>1806</v>
      </c>
      <c r="J829" s="13" t="s">
        <v>1209</v>
      </c>
      <c r="K829" s="13" t="s">
        <v>303</v>
      </c>
      <c r="L829" s="13" t="s">
        <v>1847</v>
      </c>
      <c r="M829" s="6" t="s">
        <v>188</v>
      </c>
      <c r="N829" s="6" t="s">
        <v>188</v>
      </c>
      <c r="O829" s="6" t="s">
        <v>190</v>
      </c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>
      <c r="A830" s="12">
        <v>23.0</v>
      </c>
      <c r="B830" s="7" t="s">
        <v>457</v>
      </c>
      <c r="C830" s="7" t="s">
        <v>920</v>
      </c>
      <c r="I830" s="10" t="s">
        <v>1164</v>
      </c>
      <c r="J830" s="13" t="s">
        <v>1206</v>
      </c>
      <c r="K830" s="13" t="s">
        <v>303</v>
      </c>
      <c r="L830" s="13" t="s">
        <v>1847</v>
      </c>
      <c r="M830" s="6" t="s">
        <v>188</v>
      </c>
      <c r="N830" s="6" t="s">
        <v>188</v>
      </c>
      <c r="O830" s="6" t="s">
        <v>190</v>
      </c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>
      <c r="A831" s="12">
        <v>23.0</v>
      </c>
      <c r="B831" s="7" t="s">
        <v>457</v>
      </c>
      <c r="C831" s="7" t="s">
        <v>920</v>
      </c>
      <c r="I831" s="10" t="s">
        <v>1364</v>
      </c>
      <c r="J831" s="13" t="s">
        <v>1209</v>
      </c>
      <c r="K831" s="13" t="s">
        <v>303</v>
      </c>
      <c r="L831" s="13" t="s">
        <v>1860</v>
      </c>
      <c r="M831" s="6" t="s">
        <v>188</v>
      </c>
      <c r="N831" s="6" t="s">
        <v>188</v>
      </c>
      <c r="O831" s="6" t="s">
        <v>190</v>
      </c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>
      <c r="A832" s="12">
        <v>23.0</v>
      </c>
      <c r="B832" s="7" t="s">
        <v>457</v>
      </c>
      <c r="C832" s="7" t="s">
        <v>920</v>
      </c>
      <c r="I832" s="10" t="s">
        <v>1001</v>
      </c>
      <c r="J832" s="13" t="s">
        <v>1206</v>
      </c>
      <c r="K832" s="13" t="s">
        <v>303</v>
      </c>
      <c r="L832" s="13" t="s">
        <v>1847</v>
      </c>
      <c r="M832" s="6" t="s">
        <v>188</v>
      </c>
      <c r="N832" s="6" t="s">
        <v>188</v>
      </c>
      <c r="O832" s="6" t="s">
        <v>190</v>
      </c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>
      <c r="A833" s="12">
        <v>23.0</v>
      </c>
      <c r="B833" s="7" t="s">
        <v>457</v>
      </c>
      <c r="C833" s="7" t="s">
        <v>920</v>
      </c>
      <c r="I833" s="10" t="s">
        <v>1868</v>
      </c>
      <c r="J833" s="13" t="s">
        <v>1209</v>
      </c>
      <c r="K833" s="13" t="s">
        <v>303</v>
      </c>
      <c r="L833" s="13" t="s">
        <v>1847</v>
      </c>
      <c r="M833" s="6" t="s">
        <v>188</v>
      </c>
      <c r="N833" s="6" t="s">
        <v>188</v>
      </c>
      <c r="O833" s="6" t="s">
        <v>190</v>
      </c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>
      <c r="A834" s="12">
        <v>23.0</v>
      </c>
      <c r="B834" s="7" t="s">
        <v>457</v>
      </c>
      <c r="C834" s="7" t="s">
        <v>920</v>
      </c>
      <c r="I834" s="10" t="s">
        <v>953</v>
      </c>
      <c r="J834" s="13" t="s">
        <v>1206</v>
      </c>
      <c r="K834" s="13" t="s">
        <v>303</v>
      </c>
      <c r="L834" s="13" t="s">
        <v>1858</v>
      </c>
      <c r="M834" s="6" t="s">
        <v>188</v>
      </c>
      <c r="N834" s="6" t="s">
        <v>188</v>
      </c>
      <c r="O834" s="6" t="s">
        <v>190</v>
      </c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>
      <c r="A835" s="12">
        <v>23.0</v>
      </c>
      <c r="B835" s="7" t="s">
        <v>457</v>
      </c>
      <c r="C835" s="7" t="s">
        <v>920</v>
      </c>
      <c r="I835" s="10" t="s">
        <v>513</v>
      </c>
      <c r="J835" s="13" t="s">
        <v>1209</v>
      </c>
      <c r="K835" s="13" t="s">
        <v>303</v>
      </c>
      <c r="L835" s="13" t="s">
        <v>1871</v>
      </c>
      <c r="M835" s="6" t="s">
        <v>188</v>
      </c>
      <c r="N835" s="6" t="s">
        <v>188</v>
      </c>
      <c r="O835" s="6" t="s">
        <v>190</v>
      </c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>
      <c r="A836" s="12">
        <v>23.0</v>
      </c>
      <c r="B836" s="7" t="s">
        <v>457</v>
      </c>
      <c r="C836" s="7" t="s">
        <v>920</v>
      </c>
      <c r="I836" s="10" t="s">
        <v>1014</v>
      </c>
      <c r="J836" s="13" t="s">
        <v>1206</v>
      </c>
      <c r="K836" s="13" t="s">
        <v>303</v>
      </c>
      <c r="L836" s="13" t="s">
        <v>1847</v>
      </c>
      <c r="M836" s="6" t="s">
        <v>188</v>
      </c>
      <c r="N836" s="6" t="s">
        <v>188</v>
      </c>
      <c r="O836" s="6" t="s">
        <v>190</v>
      </c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r="837">
      <c r="A837" s="12">
        <v>23.0</v>
      </c>
      <c r="B837" s="7" t="s">
        <v>457</v>
      </c>
      <c r="C837" s="7" t="s">
        <v>920</v>
      </c>
      <c r="I837" s="10" t="s">
        <v>964</v>
      </c>
      <c r="J837" s="13" t="s">
        <v>1209</v>
      </c>
      <c r="K837" s="13" t="s">
        <v>303</v>
      </c>
      <c r="L837" s="13" t="s">
        <v>1847</v>
      </c>
      <c r="M837" s="6" t="s">
        <v>188</v>
      </c>
      <c r="N837" s="6" t="s">
        <v>188</v>
      </c>
      <c r="O837" s="6" t="s">
        <v>190</v>
      </c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>
      <c r="A838" s="12">
        <v>23.0</v>
      </c>
      <c r="B838" s="7" t="s">
        <v>457</v>
      </c>
      <c r="C838" s="7" t="s">
        <v>920</v>
      </c>
      <c r="I838" s="10" t="s">
        <v>1808</v>
      </c>
      <c r="J838" s="13" t="s">
        <v>1206</v>
      </c>
      <c r="K838" s="13" t="s">
        <v>303</v>
      </c>
      <c r="L838" s="13" t="s">
        <v>1864</v>
      </c>
      <c r="M838" s="6" t="s">
        <v>188</v>
      </c>
      <c r="N838" s="6" t="s">
        <v>188</v>
      </c>
      <c r="O838" s="6" t="s">
        <v>190</v>
      </c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>
      <c r="A839" s="12">
        <v>23.0</v>
      </c>
      <c r="B839" s="7" t="s">
        <v>457</v>
      </c>
      <c r="C839" s="7" t="s">
        <v>920</v>
      </c>
      <c r="I839" s="10" t="s">
        <v>1654</v>
      </c>
      <c r="J839" s="13" t="s">
        <v>1209</v>
      </c>
      <c r="K839" s="13" t="s">
        <v>303</v>
      </c>
      <c r="L839" s="13" t="s">
        <v>1847</v>
      </c>
      <c r="M839" s="6" t="s">
        <v>188</v>
      </c>
      <c r="N839" s="6" t="s">
        <v>188</v>
      </c>
      <c r="O839" s="6" t="s">
        <v>190</v>
      </c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>
      <c r="A840" s="12">
        <v>23.0</v>
      </c>
      <c r="B840" s="7" t="s">
        <v>457</v>
      </c>
      <c r="C840" s="7" t="s">
        <v>920</v>
      </c>
      <c r="I840" s="10" t="s">
        <v>929</v>
      </c>
      <c r="J840" s="13" t="s">
        <v>1206</v>
      </c>
      <c r="K840" s="13" t="s">
        <v>303</v>
      </c>
      <c r="L840" s="13" t="s">
        <v>1847</v>
      </c>
      <c r="M840" s="6" t="s">
        <v>188</v>
      </c>
      <c r="N840" s="6" t="s">
        <v>188</v>
      </c>
      <c r="O840" s="6" t="s">
        <v>190</v>
      </c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>
      <c r="A841" s="12">
        <v>23.0</v>
      </c>
      <c r="B841" s="7" t="s">
        <v>457</v>
      </c>
      <c r="C841" s="7" t="s">
        <v>920</v>
      </c>
      <c r="I841" s="10" t="s">
        <v>792</v>
      </c>
      <c r="J841" s="13" t="s">
        <v>1209</v>
      </c>
      <c r="K841" s="13" t="s">
        <v>303</v>
      </c>
      <c r="L841" s="13" t="s">
        <v>1871</v>
      </c>
      <c r="M841" s="6" t="s">
        <v>188</v>
      </c>
      <c r="N841" s="6" t="s">
        <v>188</v>
      </c>
      <c r="O841" s="6" t="s">
        <v>190</v>
      </c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>
      <c r="A842" s="12">
        <v>24.0</v>
      </c>
      <c r="B842" s="7" t="s">
        <v>475</v>
      </c>
      <c r="C842" s="7" t="s">
        <v>920</v>
      </c>
      <c r="D842" s="26">
        <f>IF(COUNTIF($B$2:$B842,$B842)&gt;1,"",COUNTIF($B$2:$B$3400,$B842))</f>
        <v>30</v>
      </c>
      <c r="E842" s="26">
        <f>IF(COUNTIF($B$2:$B842,$B842)&gt;1,"",COUNTIFS($B$2:$B$3400,$B842,$K$2:$K$3400,"PHÙ HỢP CAO"))</f>
        <v>1</v>
      </c>
      <c r="F842" s="26">
        <f>IF(COUNTIF($B$2:$B842,$B842)&gt;1,"",COUNTIFS($B$2:$B$3400,$B842,$K$2:$K$3400,"CÓ THỂ ĐI"))</f>
        <v>3</v>
      </c>
      <c r="G842" s="26">
        <f>IF(COUNTIF($B$2:$B842,$B842)&gt;1,"",COUNTIFS($B$2:$B$3400,$B842,$K$2:$K$3400,"CẦN SOÁT"))</f>
        <v>26</v>
      </c>
      <c r="H842" s="27" t="str">
        <f>IFERROR(__xludf.DUMMYFUNCTION("IF(COUNTIF($B$2:$B842,$B842)&gt;1,"""",IFERROR(TEXTJOIN(CHAR(10),TRUE,BYROW(QUERY({$B$2:$B$3400,$J$2:$J$3400},""select Col2, count(Col2) where Col1 = '""&amp;$B842&amp;""' group by Col2 order by count(Col2) desc label count(Col2) ''"",0),LAMBDA(r,INDEX(r,1,1)&amp;"" – "&amp;"""&amp;INDEX(r,1,2)&amp;"" link""))),""""))"),"mức đóng thuế thu nhập cá nhân – 10 link
thuế TNCN – 10 link
thuế thu nhập cá nhân – 10 link")</f>
        <v>mức đóng thuế thu nhập cá nhân – 10 link
thuế TNCN – 10 link
thuế thu nhập cá nhân – 10 link</v>
      </c>
      <c r="I842" s="10" t="s">
        <v>599</v>
      </c>
      <c r="J842" s="13" t="s">
        <v>851</v>
      </c>
      <c r="K842" s="13" t="s">
        <v>184</v>
      </c>
      <c r="L842" s="13" t="s">
        <v>1881</v>
      </c>
      <c r="M842" s="6" t="s">
        <v>188</v>
      </c>
      <c r="N842" s="6" t="s">
        <v>188</v>
      </c>
      <c r="O842" s="6" t="s">
        <v>190</v>
      </c>
      <c r="P842" s="13" t="s">
        <v>715</v>
      </c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>
      <c r="A843" s="12">
        <v>24.0</v>
      </c>
      <c r="B843" s="7" t="s">
        <v>475</v>
      </c>
      <c r="C843" s="7" t="s">
        <v>920</v>
      </c>
      <c r="I843" s="10" t="s">
        <v>585</v>
      </c>
      <c r="J843" s="13" t="s">
        <v>1220</v>
      </c>
      <c r="K843" s="13" t="s">
        <v>283</v>
      </c>
      <c r="L843" s="13" t="s">
        <v>1882</v>
      </c>
      <c r="M843" s="6" t="s">
        <v>188</v>
      </c>
      <c r="N843" s="6" t="s">
        <v>188</v>
      </c>
      <c r="O843" s="6" t="s">
        <v>190</v>
      </c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>
      <c r="A844" s="12">
        <v>24.0</v>
      </c>
      <c r="B844" s="7" t="s">
        <v>475</v>
      </c>
      <c r="C844" s="7" t="s">
        <v>920</v>
      </c>
      <c r="I844" s="10" t="s">
        <v>1101</v>
      </c>
      <c r="J844" s="13" t="s">
        <v>1884</v>
      </c>
      <c r="K844" s="13" t="s">
        <v>283</v>
      </c>
      <c r="L844" s="13" t="s">
        <v>1885</v>
      </c>
      <c r="M844" s="6" t="s">
        <v>188</v>
      </c>
      <c r="N844" s="6" t="s">
        <v>188</v>
      </c>
      <c r="O844" s="6" t="s">
        <v>190</v>
      </c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>
      <c r="A845" s="12">
        <v>24.0</v>
      </c>
      <c r="B845" s="7" t="s">
        <v>475</v>
      </c>
      <c r="C845" s="7" t="s">
        <v>920</v>
      </c>
      <c r="I845" s="10" t="s">
        <v>1095</v>
      </c>
      <c r="J845" s="13" t="s">
        <v>851</v>
      </c>
      <c r="K845" s="13" t="s">
        <v>283</v>
      </c>
      <c r="L845" s="13" t="s">
        <v>1886</v>
      </c>
      <c r="M845" s="6" t="s">
        <v>188</v>
      </c>
      <c r="N845" s="6" t="s">
        <v>188</v>
      </c>
      <c r="O845" s="6" t="s">
        <v>190</v>
      </c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>
      <c r="A846" s="12">
        <v>24.0</v>
      </c>
      <c r="B846" s="7" t="s">
        <v>475</v>
      </c>
      <c r="C846" s="7" t="s">
        <v>920</v>
      </c>
      <c r="I846" s="10" t="s">
        <v>591</v>
      </c>
      <c r="J846" s="13" t="s">
        <v>1220</v>
      </c>
      <c r="K846" s="13" t="s">
        <v>303</v>
      </c>
      <c r="L846" s="13" t="s">
        <v>1106</v>
      </c>
      <c r="M846" s="6" t="s">
        <v>188</v>
      </c>
      <c r="N846" s="6" t="s">
        <v>188</v>
      </c>
      <c r="O846" s="6" t="s">
        <v>190</v>
      </c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>
      <c r="A847" s="12">
        <v>24.0</v>
      </c>
      <c r="B847" s="7" t="s">
        <v>475</v>
      </c>
      <c r="C847" s="7" t="s">
        <v>920</v>
      </c>
      <c r="I847" s="10" t="s">
        <v>572</v>
      </c>
      <c r="J847" s="13" t="s">
        <v>1884</v>
      </c>
      <c r="K847" s="13" t="s">
        <v>303</v>
      </c>
      <c r="L847" s="13" t="s">
        <v>1109</v>
      </c>
      <c r="M847" s="6" t="s">
        <v>188</v>
      </c>
      <c r="N847" s="6" t="s">
        <v>188</v>
      </c>
      <c r="O847" s="6" t="s">
        <v>190</v>
      </c>
      <c r="P847" s="13" t="s">
        <v>574</v>
      </c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>
      <c r="A848" s="12">
        <v>24.0</v>
      </c>
      <c r="B848" s="7" t="s">
        <v>475</v>
      </c>
      <c r="C848" s="7" t="s">
        <v>920</v>
      </c>
      <c r="I848" s="10" t="s">
        <v>587</v>
      </c>
      <c r="J848" s="13" t="s">
        <v>851</v>
      </c>
      <c r="K848" s="13" t="s">
        <v>303</v>
      </c>
      <c r="L848" s="13" t="s">
        <v>1109</v>
      </c>
      <c r="M848" s="6" t="s">
        <v>188</v>
      </c>
      <c r="N848" s="6" t="s">
        <v>188</v>
      </c>
      <c r="O848" s="6" t="s">
        <v>190</v>
      </c>
      <c r="P848" s="13" t="s">
        <v>574</v>
      </c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>
      <c r="A849" s="12">
        <v>24.0</v>
      </c>
      <c r="B849" s="7" t="s">
        <v>475</v>
      </c>
      <c r="C849" s="7" t="s">
        <v>920</v>
      </c>
      <c r="I849" s="10" t="s">
        <v>698</v>
      </c>
      <c r="J849" s="13" t="s">
        <v>1220</v>
      </c>
      <c r="K849" s="13" t="s">
        <v>303</v>
      </c>
      <c r="L849" s="13" t="s">
        <v>1106</v>
      </c>
      <c r="M849" s="6" t="s">
        <v>188</v>
      </c>
      <c r="N849" s="6" t="s">
        <v>188</v>
      </c>
      <c r="O849" s="6" t="s">
        <v>190</v>
      </c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>
      <c r="A850" s="12">
        <v>24.0</v>
      </c>
      <c r="B850" s="7" t="s">
        <v>475</v>
      </c>
      <c r="C850" s="7" t="s">
        <v>920</v>
      </c>
      <c r="I850" s="10" t="s">
        <v>1110</v>
      </c>
      <c r="J850" s="13" t="s">
        <v>1884</v>
      </c>
      <c r="K850" s="13" t="s">
        <v>303</v>
      </c>
      <c r="L850" s="13" t="s">
        <v>1107</v>
      </c>
      <c r="M850" s="6" t="s">
        <v>188</v>
      </c>
      <c r="N850" s="6" t="s">
        <v>188</v>
      </c>
      <c r="O850" s="6" t="s">
        <v>190</v>
      </c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>
      <c r="A851" s="12">
        <v>24.0</v>
      </c>
      <c r="B851" s="7" t="s">
        <v>475</v>
      </c>
      <c r="C851" s="7" t="s">
        <v>920</v>
      </c>
      <c r="I851" s="10" t="s">
        <v>584</v>
      </c>
      <c r="J851" s="13" t="s">
        <v>851</v>
      </c>
      <c r="K851" s="13" t="s">
        <v>303</v>
      </c>
      <c r="L851" s="13" t="s">
        <v>1106</v>
      </c>
      <c r="M851" s="6" t="s">
        <v>188</v>
      </c>
      <c r="N851" s="6" t="s">
        <v>188</v>
      </c>
      <c r="O851" s="6" t="s">
        <v>190</v>
      </c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>
      <c r="A852" s="12">
        <v>24.0</v>
      </c>
      <c r="B852" s="7" t="s">
        <v>475</v>
      </c>
      <c r="C852" s="7" t="s">
        <v>920</v>
      </c>
      <c r="I852" s="10" t="s">
        <v>1112</v>
      </c>
      <c r="J852" s="13" t="s">
        <v>1220</v>
      </c>
      <c r="K852" s="13" t="s">
        <v>303</v>
      </c>
      <c r="L852" s="13" t="s">
        <v>1107</v>
      </c>
      <c r="M852" s="6" t="s">
        <v>188</v>
      </c>
      <c r="N852" s="6" t="s">
        <v>188</v>
      </c>
      <c r="O852" s="6" t="s">
        <v>190</v>
      </c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>
      <c r="A853" s="12">
        <v>24.0</v>
      </c>
      <c r="B853" s="7" t="s">
        <v>475</v>
      </c>
      <c r="C853" s="7" t="s">
        <v>920</v>
      </c>
      <c r="I853" s="10" t="s">
        <v>691</v>
      </c>
      <c r="J853" s="13" t="s">
        <v>1884</v>
      </c>
      <c r="K853" s="13" t="s">
        <v>303</v>
      </c>
      <c r="L853" s="13" t="s">
        <v>1889</v>
      </c>
      <c r="M853" s="6" t="s">
        <v>188</v>
      </c>
      <c r="N853" s="6" t="s">
        <v>188</v>
      </c>
      <c r="O853" s="6" t="s">
        <v>190</v>
      </c>
      <c r="P853" s="13" t="s">
        <v>574</v>
      </c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>
      <c r="A854" s="12">
        <v>24.0</v>
      </c>
      <c r="B854" s="7" t="s">
        <v>475</v>
      </c>
      <c r="C854" s="7" t="s">
        <v>920</v>
      </c>
      <c r="I854" s="10" t="s">
        <v>326</v>
      </c>
      <c r="J854" s="13" t="s">
        <v>851</v>
      </c>
      <c r="K854" s="13" t="s">
        <v>303</v>
      </c>
      <c r="L854" s="13" t="s">
        <v>1891</v>
      </c>
      <c r="M854" s="6" t="s">
        <v>188</v>
      </c>
      <c r="N854" s="6" t="s">
        <v>188</v>
      </c>
      <c r="O854" s="6" t="s">
        <v>190</v>
      </c>
      <c r="P854" s="13" t="s">
        <v>574</v>
      </c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>
      <c r="A855" s="12">
        <v>24.0</v>
      </c>
      <c r="B855" s="7" t="s">
        <v>475</v>
      </c>
      <c r="C855" s="7" t="s">
        <v>920</v>
      </c>
      <c r="I855" s="10" t="s">
        <v>1116</v>
      </c>
      <c r="J855" s="13" t="s">
        <v>1220</v>
      </c>
      <c r="K855" s="13" t="s">
        <v>303</v>
      </c>
      <c r="L855" s="13" t="s">
        <v>1107</v>
      </c>
      <c r="M855" s="6" t="s">
        <v>188</v>
      </c>
      <c r="N855" s="6" t="s">
        <v>188</v>
      </c>
      <c r="O855" s="6" t="s">
        <v>190</v>
      </c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>
      <c r="A856" s="12">
        <v>24.0</v>
      </c>
      <c r="B856" s="7" t="s">
        <v>475</v>
      </c>
      <c r="C856" s="7" t="s">
        <v>920</v>
      </c>
      <c r="I856" s="10" t="s">
        <v>443</v>
      </c>
      <c r="J856" s="13" t="s">
        <v>1884</v>
      </c>
      <c r="K856" s="13" t="s">
        <v>303</v>
      </c>
      <c r="L856" s="13" t="s">
        <v>1120</v>
      </c>
      <c r="M856" s="6" t="s">
        <v>188</v>
      </c>
      <c r="N856" s="6" t="s">
        <v>188</v>
      </c>
      <c r="O856" s="6" t="s">
        <v>190</v>
      </c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>
      <c r="A857" s="12">
        <v>24.0</v>
      </c>
      <c r="B857" s="7" t="s">
        <v>475</v>
      </c>
      <c r="C857" s="7" t="s">
        <v>920</v>
      </c>
      <c r="I857" s="10" t="s">
        <v>1121</v>
      </c>
      <c r="J857" s="13" t="s">
        <v>851</v>
      </c>
      <c r="K857" s="13" t="s">
        <v>303</v>
      </c>
      <c r="L857" s="13" t="s">
        <v>1107</v>
      </c>
      <c r="M857" s="6" t="s">
        <v>188</v>
      </c>
      <c r="N857" s="6" t="s">
        <v>188</v>
      </c>
      <c r="O857" s="6" t="s">
        <v>190</v>
      </c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>
      <c r="A858" s="12">
        <v>24.0</v>
      </c>
      <c r="B858" s="7" t="s">
        <v>475</v>
      </c>
      <c r="C858" s="7" t="s">
        <v>920</v>
      </c>
      <c r="I858" s="10" t="s">
        <v>1123</v>
      </c>
      <c r="J858" s="13" t="s">
        <v>1220</v>
      </c>
      <c r="K858" s="13" t="s">
        <v>303</v>
      </c>
      <c r="L858" s="13" t="s">
        <v>1107</v>
      </c>
      <c r="M858" s="6" t="s">
        <v>188</v>
      </c>
      <c r="N858" s="6" t="s">
        <v>188</v>
      </c>
      <c r="O858" s="6" t="s">
        <v>190</v>
      </c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>
      <c r="A859" s="12">
        <v>24.0</v>
      </c>
      <c r="B859" s="7" t="s">
        <v>475</v>
      </c>
      <c r="C859" s="7" t="s">
        <v>920</v>
      </c>
      <c r="I859" s="13" t="s">
        <v>73</v>
      </c>
      <c r="J859" s="13" t="s">
        <v>1884</v>
      </c>
      <c r="K859" s="13" t="s">
        <v>303</v>
      </c>
      <c r="L859" s="13" t="s">
        <v>1125</v>
      </c>
      <c r="M859" s="6" t="s">
        <v>188</v>
      </c>
      <c r="N859" s="6" t="s">
        <v>188</v>
      </c>
      <c r="O859" s="6" t="s">
        <v>190</v>
      </c>
      <c r="P859" s="7" t="s">
        <v>333</v>
      </c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>
      <c r="A860" s="12">
        <v>24.0</v>
      </c>
      <c r="B860" s="7" t="s">
        <v>475</v>
      </c>
      <c r="C860" s="7" t="s">
        <v>920</v>
      </c>
      <c r="I860" s="13" t="s">
        <v>296</v>
      </c>
      <c r="J860" s="13" t="s">
        <v>851</v>
      </c>
      <c r="K860" s="13" t="s">
        <v>303</v>
      </c>
      <c r="L860" s="13" t="s">
        <v>1125</v>
      </c>
      <c r="M860" s="6" t="s">
        <v>188</v>
      </c>
      <c r="N860" s="6" t="s">
        <v>188</v>
      </c>
      <c r="O860" s="6" t="s">
        <v>190</v>
      </c>
      <c r="P860" s="7" t="s">
        <v>333</v>
      </c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>
      <c r="A861" s="12">
        <v>24.0</v>
      </c>
      <c r="B861" s="7" t="s">
        <v>475</v>
      </c>
      <c r="C861" s="7" t="s">
        <v>920</v>
      </c>
      <c r="I861" s="13" t="s">
        <v>54</v>
      </c>
      <c r="J861" s="13" t="s">
        <v>1220</v>
      </c>
      <c r="K861" s="13" t="s">
        <v>303</v>
      </c>
      <c r="L861" s="13" t="s">
        <v>613</v>
      </c>
      <c r="M861" s="6" t="s">
        <v>188</v>
      </c>
      <c r="N861" s="6" t="s">
        <v>188</v>
      </c>
      <c r="O861" s="6" t="s">
        <v>190</v>
      </c>
      <c r="P861" s="7" t="s">
        <v>333</v>
      </c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>
      <c r="A862" s="12">
        <v>24.0</v>
      </c>
      <c r="B862" s="7" t="s">
        <v>475</v>
      </c>
      <c r="C862" s="7" t="s">
        <v>920</v>
      </c>
      <c r="I862" s="13" t="s">
        <v>593</v>
      </c>
      <c r="J862" s="13" t="s">
        <v>1884</v>
      </c>
      <c r="K862" s="13" t="s">
        <v>303</v>
      </c>
      <c r="L862" s="13" t="s">
        <v>613</v>
      </c>
      <c r="M862" s="6" t="s">
        <v>188</v>
      </c>
      <c r="N862" s="6" t="s">
        <v>188</v>
      </c>
      <c r="O862" s="6" t="s">
        <v>190</v>
      </c>
      <c r="P862" s="7" t="s">
        <v>333</v>
      </c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>
      <c r="A863" s="12">
        <v>24.0</v>
      </c>
      <c r="B863" s="7" t="s">
        <v>475</v>
      </c>
      <c r="C863" s="7" t="s">
        <v>920</v>
      </c>
      <c r="I863" s="13" t="s">
        <v>608</v>
      </c>
      <c r="J863" s="13" t="s">
        <v>851</v>
      </c>
      <c r="K863" s="13" t="s">
        <v>303</v>
      </c>
      <c r="L863" s="13" t="s">
        <v>609</v>
      </c>
      <c r="M863" s="6" t="s">
        <v>188</v>
      </c>
      <c r="N863" s="6" t="s">
        <v>188</v>
      </c>
      <c r="O863" s="6" t="s">
        <v>190</v>
      </c>
      <c r="P863" s="7" t="s">
        <v>333</v>
      </c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>
      <c r="A864" s="12">
        <v>24.0</v>
      </c>
      <c r="B864" s="7" t="s">
        <v>475</v>
      </c>
      <c r="C864" s="7" t="s">
        <v>920</v>
      </c>
      <c r="I864" s="13" t="s">
        <v>882</v>
      </c>
      <c r="J864" s="13" t="s">
        <v>1220</v>
      </c>
      <c r="K864" s="13" t="s">
        <v>303</v>
      </c>
      <c r="L864" s="13" t="s">
        <v>1827</v>
      </c>
      <c r="M864" s="6" t="s">
        <v>188</v>
      </c>
      <c r="N864" s="6" t="s">
        <v>188</v>
      </c>
      <c r="O864" s="6" t="s">
        <v>190</v>
      </c>
      <c r="P864" s="7" t="s">
        <v>333</v>
      </c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>
      <c r="A865" s="12">
        <v>24.0</v>
      </c>
      <c r="B865" s="7" t="s">
        <v>475</v>
      </c>
      <c r="C865" s="7" t="s">
        <v>920</v>
      </c>
      <c r="I865" s="13" t="s">
        <v>592</v>
      </c>
      <c r="J865" s="13" t="s">
        <v>1884</v>
      </c>
      <c r="K865" s="13" t="s">
        <v>303</v>
      </c>
      <c r="L865" s="13" t="s">
        <v>640</v>
      </c>
      <c r="M865" s="6" t="s">
        <v>188</v>
      </c>
      <c r="N865" s="6" t="s">
        <v>188</v>
      </c>
      <c r="O865" s="6" t="s">
        <v>190</v>
      </c>
      <c r="P865" s="7" t="s">
        <v>333</v>
      </c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>
      <c r="A866" s="12">
        <v>24.0</v>
      </c>
      <c r="B866" s="7" t="s">
        <v>475</v>
      </c>
      <c r="C866" s="7" t="s">
        <v>920</v>
      </c>
      <c r="I866" s="13" t="s">
        <v>250</v>
      </c>
      <c r="J866" s="13" t="s">
        <v>851</v>
      </c>
      <c r="K866" s="13" t="s">
        <v>303</v>
      </c>
      <c r="L866" s="13" t="s">
        <v>795</v>
      </c>
      <c r="M866" s="6" t="s">
        <v>188</v>
      </c>
      <c r="N866" s="6" t="s">
        <v>188</v>
      </c>
      <c r="O866" s="6" t="s">
        <v>190</v>
      </c>
      <c r="P866" s="7" t="s">
        <v>333</v>
      </c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>
      <c r="A867" s="12">
        <v>24.0</v>
      </c>
      <c r="B867" s="7" t="s">
        <v>475</v>
      </c>
      <c r="C867" s="7" t="s">
        <v>920</v>
      </c>
      <c r="I867" s="13" t="s">
        <v>590</v>
      </c>
      <c r="J867" s="13" t="s">
        <v>1220</v>
      </c>
      <c r="K867" s="13" t="s">
        <v>303</v>
      </c>
      <c r="L867" s="13" t="s">
        <v>640</v>
      </c>
      <c r="M867" s="6" t="s">
        <v>188</v>
      </c>
      <c r="N867" s="6" t="s">
        <v>188</v>
      </c>
      <c r="O867" s="6" t="s">
        <v>190</v>
      </c>
      <c r="P867" s="7" t="s">
        <v>333</v>
      </c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>
      <c r="A868" s="12">
        <v>24.0</v>
      </c>
      <c r="B868" s="7" t="s">
        <v>475</v>
      </c>
      <c r="C868" s="7" t="s">
        <v>920</v>
      </c>
      <c r="I868" s="13" t="s">
        <v>615</v>
      </c>
      <c r="J868" s="13" t="s">
        <v>1884</v>
      </c>
      <c r="K868" s="13" t="s">
        <v>303</v>
      </c>
      <c r="L868" s="13" t="s">
        <v>613</v>
      </c>
      <c r="M868" s="6" t="s">
        <v>188</v>
      </c>
      <c r="N868" s="6" t="s">
        <v>188</v>
      </c>
      <c r="O868" s="6" t="s">
        <v>190</v>
      </c>
      <c r="P868" s="7" t="s">
        <v>333</v>
      </c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>
      <c r="A869" s="12">
        <v>24.0</v>
      </c>
      <c r="B869" s="7" t="s">
        <v>475</v>
      </c>
      <c r="C869" s="7" t="s">
        <v>920</v>
      </c>
      <c r="I869" s="13" t="s">
        <v>583</v>
      </c>
      <c r="J869" s="13" t="s">
        <v>851</v>
      </c>
      <c r="K869" s="13" t="s">
        <v>303</v>
      </c>
      <c r="L869" s="13" t="s">
        <v>896</v>
      </c>
      <c r="M869" s="6" t="s">
        <v>188</v>
      </c>
      <c r="N869" s="6" t="s">
        <v>188</v>
      </c>
      <c r="O869" s="6" t="s">
        <v>190</v>
      </c>
      <c r="P869" s="7" t="s">
        <v>333</v>
      </c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>
      <c r="A870" s="12">
        <v>24.0</v>
      </c>
      <c r="B870" s="7" t="s">
        <v>475</v>
      </c>
      <c r="C870" s="7" t="s">
        <v>920</v>
      </c>
      <c r="I870" s="13" t="s">
        <v>610</v>
      </c>
      <c r="J870" s="13" t="s">
        <v>1220</v>
      </c>
      <c r="K870" s="13" t="s">
        <v>303</v>
      </c>
      <c r="L870" s="13" t="s">
        <v>611</v>
      </c>
      <c r="M870" s="6" t="s">
        <v>188</v>
      </c>
      <c r="N870" s="6" t="s">
        <v>188</v>
      </c>
      <c r="O870" s="6" t="s">
        <v>190</v>
      </c>
      <c r="P870" s="7" t="s">
        <v>333</v>
      </c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>
      <c r="A871" s="12">
        <v>24.0</v>
      </c>
      <c r="B871" s="7" t="s">
        <v>475</v>
      </c>
      <c r="C871" s="7" t="s">
        <v>920</v>
      </c>
      <c r="I871" s="13" t="s">
        <v>612</v>
      </c>
      <c r="J871" s="13" t="s">
        <v>1884</v>
      </c>
      <c r="K871" s="13" t="s">
        <v>303</v>
      </c>
      <c r="L871" s="13" t="s">
        <v>613</v>
      </c>
      <c r="M871" s="6" t="s">
        <v>188</v>
      </c>
      <c r="N871" s="6" t="s">
        <v>188</v>
      </c>
      <c r="O871" s="6" t="s">
        <v>190</v>
      </c>
      <c r="P871" s="7" t="s">
        <v>333</v>
      </c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>
      <c r="A872" s="12">
        <v>25.0</v>
      </c>
      <c r="B872" s="7" t="s">
        <v>484</v>
      </c>
      <c r="C872" s="7" t="s">
        <v>920</v>
      </c>
      <c r="D872" s="26">
        <f>IF(COUNTIF($B$2:$B872,$B872)&gt;1,"",COUNTIF($B$2:$B$3400,$B872))</f>
        <v>30</v>
      </c>
      <c r="E872" s="26">
        <f>IF(COUNTIF($B$2:$B872,$B872)&gt;1,"",COUNTIFS($B$2:$B$3400,$B872,$K$2:$K$3400,"PHÙ HỢP CAO"))</f>
        <v>3</v>
      </c>
      <c r="F872" s="26">
        <f>IF(COUNTIF($B$2:$B872,$B872)&gt;1,"",COUNTIFS($B$2:$B$3400,$B872,$K$2:$K$3400,"CÓ THỂ ĐI"))</f>
        <v>2</v>
      </c>
      <c r="G872" s="26">
        <f>IF(COUNTIF($B$2:$B872,$B872)&gt;1,"",COUNTIFS($B$2:$B$3400,$B872,$K$2:$K$3400,"CẦN SOÁT"))</f>
        <v>25</v>
      </c>
      <c r="H872" s="27" t="str">
        <f>IFERROR(__xludf.DUMMYFUNCTION("IF(COUNTIF($B$2:$B872,$B872)&gt;1,"""",IFERROR(TEXTJOIN(CHAR(10),TRUE,BYROW(QUERY({$B$2:$B$3400,$J$2:$J$3400},""select Col2, count(Col2) where Col1 = '""&amp;$B872&amp;""' group by Col2 order by count(Col2) desc label count(Col2) ''"",0),LAMBDA(r,INDEX(r,1,1)&amp;"" – "&amp;"""&amp;INDEX(r,1,2)&amp;"" link""))),""""))"),"cách rút tiền bằng mã QR – 10 link
rút tiền bằng mã QR – 10 link
rút tiền không cần thẻ – 10 link")</f>
        <v>cách rút tiền bằng mã QR – 10 link
rút tiền bằng mã QR – 10 link
rút tiền không cần thẻ – 10 link</v>
      </c>
      <c r="I872" s="10" t="s">
        <v>1047</v>
      </c>
      <c r="J872" s="13" t="s">
        <v>1224</v>
      </c>
      <c r="K872" s="13" t="s">
        <v>184</v>
      </c>
      <c r="L872" s="13" t="s">
        <v>1899</v>
      </c>
      <c r="M872" s="6" t="s">
        <v>188</v>
      </c>
      <c r="N872" s="6" t="s">
        <v>188</v>
      </c>
      <c r="O872" s="6" t="s">
        <v>190</v>
      </c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>
      <c r="A873" s="12">
        <v>25.0</v>
      </c>
      <c r="B873" s="7" t="s">
        <v>484</v>
      </c>
      <c r="C873" s="7" t="s">
        <v>920</v>
      </c>
      <c r="I873" s="10" t="s">
        <v>1225</v>
      </c>
      <c r="J873" s="13" t="s">
        <v>1229</v>
      </c>
      <c r="K873" s="13" t="s">
        <v>184</v>
      </c>
      <c r="L873" s="13" t="s">
        <v>1902</v>
      </c>
      <c r="M873" s="6" t="s">
        <v>188</v>
      </c>
      <c r="N873" s="6" t="s">
        <v>188</v>
      </c>
      <c r="O873" s="6" t="s">
        <v>190</v>
      </c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>
      <c r="A874" s="12">
        <v>25.0</v>
      </c>
      <c r="B874" s="7" t="s">
        <v>484</v>
      </c>
      <c r="C874" s="7" t="s">
        <v>920</v>
      </c>
      <c r="I874" s="10" t="s">
        <v>1231</v>
      </c>
      <c r="J874" s="13" t="s">
        <v>1234</v>
      </c>
      <c r="K874" s="13" t="s">
        <v>184</v>
      </c>
      <c r="L874" s="13" t="s">
        <v>1904</v>
      </c>
      <c r="M874" s="6" t="s">
        <v>188</v>
      </c>
      <c r="N874" s="6" t="s">
        <v>188</v>
      </c>
      <c r="O874" s="6" t="s">
        <v>190</v>
      </c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>
      <c r="A875" s="12">
        <v>25.0</v>
      </c>
      <c r="B875" s="7" t="s">
        <v>484</v>
      </c>
      <c r="C875" s="7" t="s">
        <v>920</v>
      </c>
      <c r="I875" s="10" t="s">
        <v>1235</v>
      </c>
      <c r="J875" s="13" t="s">
        <v>1224</v>
      </c>
      <c r="K875" s="13" t="s">
        <v>283</v>
      </c>
      <c r="L875" s="13" t="s">
        <v>1905</v>
      </c>
      <c r="M875" s="6" t="s">
        <v>188</v>
      </c>
      <c r="N875" s="6" t="s">
        <v>188</v>
      </c>
      <c r="O875" s="6" t="s">
        <v>190</v>
      </c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>
      <c r="A876" s="12">
        <v>25.0</v>
      </c>
      <c r="B876" s="7" t="s">
        <v>484</v>
      </c>
      <c r="C876" s="7" t="s">
        <v>920</v>
      </c>
      <c r="I876" s="10" t="s">
        <v>947</v>
      </c>
      <c r="J876" s="13" t="s">
        <v>1229</v>
      </c>
      <c r="K876" s="13" t="s">
        <v>283</v>
      </c>
      <c r="L876" s="13" t="s">
        <v>1908</v>
      </c>
      <c r="M876" s="6" t="s">
        <v>188</v>
      </c>
      <c r="N876" s="6" t="s">
        <v>188</v>
      </c>
      <c r="O876" s="6" t="s">
        <v>190</v>
      </c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>
      <c r="A877" s="12">
        <v>25.0</v>
      </c>
      <c r="B877" s="7" t="s">
        <v>484</v>
      </c>
      <c r="C877" s="7" t="s">
        <v>920</v>
      </c>
      <c r="I877" s="10" t="s">
        <v>1909</v>
      </c>
      <c r="J877" s="13" t="s">
        <v>1234</v>
      </c>
      <c r="K877" s="13" t="s">
        <v>303</v>
      </c>
      <c r="L877" s="13" t="s">
        <v>1911</v>
      </c>
      <c r="M877" s="6" t="s">
        <v>188</v>
      </c>
      <c r="N877" s="6" t="s">
        <v>188</v>
      </c>
      <c r="O877" s="6" t="s">
        <v>190</v>
      </c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>
      <c r="A878" s="12">
        <v>25.0</v>
      </c>
      <c r="B878" s="7" t="s">
        <v>484</v>
      </c>
      <c r="C878" s="7" t="s">
        <v>920</v>
      </c>
      <c r="I878" s="10" t="s">
        <v>588</v>
      </c>
      <c r="J878" s="13" t="s">
        <v>1224</v>
      </c>
      <c r="K878" s="13" t="s">
        <v>303</v>
      </c>
      <c r="L878" s="13" t="s">
        <v>1911</v>
      </c>
      <c r="M878" s="6" t="s">
        <v>188</v>
      </c>
      <c r="N878" s="6" t="s">
        <v>188</v>
      </c>
      <c r="O878" s="6" t="s">
        <v>190</v>
      </c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>
      <c r="A879" s="12">
        <v>25.0</v>
      </c>
      <c r="B879" s="7" t="s">
        <v>484</v>
      </c>
      <c r="C879" s="7" t="s">
        <v>920</v>
      </c>
      <c r="I879" s="10" t="s">
        <v>693</v>
      </c>
      <c r="J879" s="13" t="s">
        <v>1229</v>
      </c>
      <c r="K879" s="13" t="s">
        <v>303</v>
      </c>
      <c r="L879" s="13" t="s">
        <v>1911</v>
      </c>
      <c r="M879" s="6" t="s">
        <v>188</v>
      </c>
      <c r="N879" s="6" t="s">
        <v>188</v>
      </c>
      <c r="O879" s="6" t="s">
        <v>190</v>
      </c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>
      <c r="A880" s="12">
        <v>25.0</v>
      </c>
      <c r="B880" s="7" t="s">
        <v>484</v>
      </c>
      <c r="C880" s="7" t="s">
        <v>920</v>
      </c>
      <c r="I880" s="10" t="s">
        <v>1029</v>
      </c>
      <c r="J880" s="13" t="s">
        <v>1234</v>
      </c>
      <c r="K880" s="13" t="s">
        <v>303</v>
      </c>
      <c r="L880" s="13" t="s">
        <v>1911</v>
      </c>
      <c r="M880" s="6" t="s">
        <v>188</v>
      </c>
      <c r="N880" s="6" t="s">
        <v>188</v>
      </c>
      <c r="O880" s="6" t="s">
        <v>190</v>
      </c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r="881">
      <c r="A881" s="12">
        <v>25.0</v>
      </c>
      <c r="B881" s="7" t="s">
        <v>484</v>
      </c>
      <c r="C881" s="7" t="s">
        <v>920</v>
      </c>
      <c r="I881" s="10" t="s">
        <v>1919</v>
      </c>
      <c r="J881" s="13" t="s">
        <v>1224</v>
      </c>
      <c r="K881" s="13" t="s">
        <v>303</v>
      </c>
      <c r="L881" s="13" t="s">
        <v>1911</v>
      </c>
      <c r="M881" s="6" t="s">
        <v>188</v>
      </c>
      <c r="N881" s="6" t="s">
        <v>188</v>
      </c>
      <c r="O881" s="6" t="s">
        <v>190</v>
      </c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>
      <c r="A882" s="12">
        <v>25.0</v>
      </c>
      <c r="B882" s="7" t="s">
        <v>484</v>
      </c>
      <c r="C882" s="7" t="s">
        <v>920</v>
      </c>
      <c r="I882" s="10" t="s">
        <v>974</v>
      </c>
      <c r="J882" s="13" t="s">
        <v>1229</v>
      </c>
      <c r="K882" s="13" t="s">
        <v>303</v>
      </c>
      <c r="L882" s="13" t="s">
        <v>1911</v>
      </c>
      <c r="M882" s="6" t="s">
        <v>188</v>
      </c>
      <c r="N882" s="6" t="s">
        <v>188</v>
      </c>
      <c r="O882" s="6" t="s">
        <v>190</v>
      </c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>
      <c r="A883" s="12">
        <v>25.0</v>
      </c>
      <c r="B883" s="7" t="s">
        <v>484</v>
      </c>
      <c r="C883" s="7" t="s">
        <v>920</v>
      </c>
      <c r="I883" s="10" t="s">
        <v>1042</v>
      </c>
      <c r="J883" s="13" t="s">
        <v>1234</v>
      </c>
      <c r="K883" s="13" t="s">
        <v>303</v>
      </c>
      <c r="L883" s="13" t="s">
        <v>1911</v>
      </c>
      <c r="M883" s="6" t="s">
        <v>188</v>
      </c>
      <c r="N883" s="6" t="s">
        <v>188</v>
      </c>
      <c r="O883" s="6" t="s">
        <v>190</v>
      </c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>
      <c r="A884" s="12">
        <v>25.0</v>
      </c>
      <c r="B884" s="7" t="s">
        <v>484</v>
      </c>
      <c r="C884" s="7" t="s">
        <v>920</v>
      </c>
      <c r="I884" s="10" t="s">
        <v>888</v>
      </c>
      <c r="J884" s="13" t="s">
        <v>1224</v>
      </c>
      <c r="K884" s="13" t="s">
        <v>303</v>
      </c>
      <c r="L884" s="13" t="s">
        <v>1921</v>
      </c>
      <c r="M884" s="6" t="s">
        <v>188</v>
      </c>
      <c r="N884" s="6" t="s">
        <v>188</v>
      </c>
      <c r="O884" s="6" t="s">
        <v>190</v>
      </c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>
      <c r="A885" s="12">
        <v>25.0</v>
      </c>
      <c r="B885" s="7" t="s">
        <v>484</v>
      </c>
      <c r="C885" s="7" t="s">
        <v>920</v>
      </c>
      <c r="I885" s="10" t="s">
        <v>1644</v>
      </c>
      <c r="J885" s="13" t="s">
        <v>1229</v>
      </c>
      <c r="K885" s="13" t="s">
        <v>303</v>
      </c>
      <c r="L885" s="13" t="s">
        <v>1911</v>
      </c>
      <c r="M885" s="6" t="s">
        <v>188</v>
      </c>
      <c r="N885" s="6" t="s">
        <v>188</v>
      </c>
      <c r="O885" s="6" t="s">
        <v>190</v>
      </c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>
      <c r="A886" s="12">
        <v>25.0</v>
      </c>
      <c r="B886" s="7" t="s">
        <v>484</v>
      </c>
      <c r="C886" s="7" t="s">
        <v>920</v>
      </c>
      <c r="I886" s="10" t="s">
        <v>1615</v>
      </c>
      <c r="J886" s="13" t="s">
        <v>1234</v>
      </c>
      <c r="K886" s="13" t="s">
        <v>303</v>
      </c>
      <c r="L886" s="13" t="s">
        <v>1619</v>
      </c>
      <c r="M886" s="6" t="s">
        <v>188</v>
      </c>
      <c r="N886" s="6" t="s">
        <v>188</v>
      </c>
      <c r="O886" s="6" t="s">
        <v>190</v>
      </c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>
      <c r="A887" s="12">
        <v>25.0</v>
      </c>
      <c r="B887" s="7" t="s">
        <v>484</v>
      </c>
      <c r="C887" s="7" t="s">
        <v>920</v>
      </c>
      <c r="I887" s="10" t="s">
        <v>1161</v>
      </c>
      <c r="J887" s="13" t="s">
        <v>1224</v>
      </c>
      <c r="K887" s="13" t="s">
        <v>303</v>
      </c>
      <c r="L887" s="13" t="s">
        <v>1923</v>
      </c>
      <c r="M887" s="6" t="s">
        <v>188</v>
      </c>
      <c r="N887" s="6" t="s">
        <v>188</v>
      </c>
      <c r="O887" s="6" t="s">
        <v>190</v>
      </c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>
      <c r="A888" s="12">
        <v>25.0</v>
      </c>
      <c r="B888" s="7" t="s">
        <v>484</v>
      </c>
      <c r="C888" s="7" t="s">
        <v>920</v>
      </c>
      <c r="I888" s="10" t="s">
        <v>1925</v>
      </c>
      <c r="J888" s="13" t="s">
        <v>1229</v>
      </c>
      <c r="K888" s="13" t="s">
        <v>303</v>
      </c>
      <c r="L888" s="13" t="s">
        <v>1911</v>
      </c>
      <c r="M888" s="6" t="s">
        <v>188</v>
      </c>
      <c r="N888" s="6" t="s">
        <v>188</v>
      </c>
      <c r="O888" s="6" t="s">
        <v>190</v>
      </c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>
      <c r="A889" s="12">
        <v>25.0</v>
      </c>
      <c r="B889" s="7" t="s">
        <v>484</v>
      </c>
      <c r="C889" s="7" t="s">
        <v>920</v>
      </c>
      <c r="I889" s="10" t="s">
        <v>1929</v>
      </c>
      <c r="J889" s="13" t="s">
        <v>1234</v>
      </c>
      <c r="K889" s="13" t="s">
        <v>303</v>
      </c>
      <c r="L889" s="13" t="s">
        <v>1911</v>
      </c>
      <c r="M889" s="6" t="s">
        <v>188</v>
      </c>
      <c r="N889" s="6" t="s">
        <v>188</v>
      </c>
      <c r="O889" s="6" t="s">
        <v>190</v>
      </c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>
      <c r="A890" s="12">
        <v>25.0</v>
      </c>
      <c r="B890" s="7" t="s">
        <v>484</v>
      </c>
      <c r="C890" s="7" t="s">
        <v>920</v>
      </c>
      <c r="I890" s="10" t="s">
        <v>1931</v>
      </c>
      <c r="J890" s="13" t="s">
        <v>1224</v>
      </c>
      <c r="K890" s="13" t="s">
        <v>303</v>
      </c>
      <c r="L890" s="13" t="s">
        <v>1911</v>
      </c>
      <c r="M890" s="6" t="s">
        <v>188</v>
      </c>
      <c r="N890" s="6" t="s">
        <v>188</v>
      </c>
      <c r="O890" s="6" t="s">
        <v>190</v>
      </c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>
      <c r="A891" s="12">
        <v>25.0</v>
      </c>
      <c r="B891" s="7" t="s">
        <v>484</v>
      </c>
      <c r="C891" s="7" t="s">
        <v>920</v>
      </c>
      <c r="I891" s="10" t="s">
        <v>696</v>
      </c>
      <c r="J891" s="13" t="s">
        <v>1229</v>
      </c>
      <c r="K891" s="13" t="s">
        <v>303</v>
      </c>
      <c r="L891" s="13" t="s">
        <v>1921</v>
      </c>
      <c r="M891" s="6" t="s">
        <v>188</v>
      </c>
      <c r="N891" s="6" t="s">
        <v>188</v>
      </c>
      <c r="O891" s="6" t="s">
        <v>190</v>
      </c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>
      <c r="A892" s="12">
        <v>25.0</v>
      </c>
      <c r="B892" s="7" t="s">
        <v>484</v>
      </c>
      <c r="C892" s="7" t="s">
        <v>920</v>
      </c>
      <c r="I892" s="10" t="s">
        <v>1934</v>
      </c>
      <c r="J892" s="13" t="s">
        <v>1234</v>
      </c>
      <c r="K892" s="13" t="s">
        <v>303</v>
      </c>
      <c r="L892" s="13" t="s">
        <v>1911</v>
      </c>
      <c r="M892" s="6" t="s">
        <v>188</v>
      </c>
      <c r="N892" s="6" t="s">
        <v>188</v>
      </c>
      <c r="O892" s="6" t="s">
        <v>190</v>
      </c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>
      <c r="A893" s="12">
        <v>25.0</v>
      </c>
      <c r="B893" s="7" t="s">
        <v>484</v>
      </c>
      <c r="C893" s="7" t="s">
        <v>920</v>
      </c>
      <c r="I893" s="10" t="s">
        <v>1937</v>
      </c>
      <c r="J893" s="13" t="s">
        <v>1224</v>
      </c>
      <c r="K893" s="13" t="s">
        <v>303</v>
      </c>
      <c r="L893" s="13" t="s">
        <v>1911</v>
      </c>
      <c r="M893" s="6" t="s">
        <v>188</v>
      </c>
      <c r="N893" s="6" t="s">
        <v>188</v>
      </c>
      <c r="O893" s="6" t="s">
        <v>190</v>
      </c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>
      <c r="A894" s="12">
        <v>25.0</v>
      </c>
      <c r="B894" s="7" t="s">
        <v>484</v>
      </c>
      <c r="C894" s="7" t="s">
        <v>920</v>
      </c>
      <c r="I894" s="10" t="s">
        <v>1648</v>
      </c>
      <c r="J894" s="13" t="s">
        <v>1229</v>
      </c>
      <c r="K894" s="13" t="s">
        <v>303</v>
      </c>
      <c r="L894" s="13" t="s">
        <v>1911</v>
      </c>
      <c r="M894" s="6" t="s">
        <v>188</v>
      </c>
      <c r="N894" s="6" t="s">
        <v>188</v>
      </c>
      <c r="O894" s="6" t="s">
        <v>190</v>
      </c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>
      <c r="A895" s="12">
        <v>25.0</v>
      </c>
      <c r="B895" s="7" t="s">
        <v>484</v>
      </c>
      <c r="C895" s="7" t="s">
        <v>920</v>
      </c>
      <c r="I895" s="10" t="s">
        <v>1046</v>
      </c>
      <c r="J895" s="13" t="s">
        <v>1234</v>
      </c>
      <c r="K895" s="13" t="s">
        <v>303</v>
      </c>
      <c r="L895" s="13" t="s">
        <v>1911</v>
      </c>
      <c r="M895" s="6" t="s">
        <v>188</v>
      </c>
      <c r="N895" s="6" t="s">
        <v>188</v>
      </c>
      <c r="O895" s="6" t="s">
        <v>190</v>
      </c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>
      <c r="A896" s="12">
        <v>25.0</v>
      </c>
      <c r="B896" s="7" t="s">
        <v>484</v>
      </c>
      <c r="C896" s="7" t="s">
        <v>920</v>
      </c>
      <c r="I896" s="10" t="s">
        <v>1948</v>
      </c>
      <c r="J896" s="13" t="s">
        <v>1224</v>
      </c>
      <c r="K896" s="13" t="s">
        <v>303</v>
      </c>
      <c r="L896" s="13" t="s">
        <v>1911</v>
      </c>
      <c r="M896" s="6" t="s">
        <v>188</v>
      </c>
      <c r="N896" s="6" t="s">
        <v>188</v>
      </c>
      <c r="O896" s="6" t="s">
        <v>190</v>
      </c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>
      <c r="A897" s="12">
        <v>25.0</v>
      </c>
      <c r="B897" s="7" t="s">
        <v>484</v>
      </c>
      <c r="C897" s="7" t="s">
        <v>920</v>
      </c>
      <c r="I897" s="10" t="s">
        <v>1486</v>
      </c>
      <c r="J897" s="13" t="s">
        <v>1229</v>
      </c>
      <c r="K897" s="13" t="s">
        <v>303</v>
      </c>
      <c r="L897" s="13" t="s">
        <v>1619</v>
      </c>
      <c r="M897" s="6" t="s">
        <v>188</v>
      </c>
      <c r="N897" s="6" t="s">
        <v>188</v>
      </c>
      <c r="O897" s="6" t="s">
        <v>190</v>
      </c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r="898">
      <c r="A898" s="12">
        <v>25.0</v>
      </c>
      <c r="B898" s="7" t="s">
        <v>484</v>
      </c>
      <c r="C898" s="7" t="s">
        <v>920</v>
      </c>
      <c r="I898" s="10" t="s">
        <v>407</v>
      </c>
      <c r="J898" s="13" t="s">
        <v>1234</v>
      </c>
      <c r="K898" s="13" t="s">
        <v>303</v>
      </c>
      <c r="L898" s="13" t="s">
        <v>1619</v>
      </c>
      <c r="M898" s="6" t="s">
        <v>188</v>
      </c>
      <c r="N898" s="6" t="s">
        <v>188</v>
      </c>
      <c r="O898" s="6" t="s">
        <v>190</v>
      </c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>
      <c r="A899" s="12">
        <v>25.0</v>
      </c>
      <c r="B899" s="7" t="s">
        <v>484</v>
      </c>
      <c r="C899" s="7" t="s">
        <v>920</v>
      </c>
      <c r="I899" s="10" t="s">
        <v>1949</v>
      </c>
      <c r="J899" s="13" t="s">
        <v>1224</v>
      </c>
      <c r="K899" s="13" t="s">
        <v>303</v>
      </c>
      <c r="L899" s="13" t="s">
        <v>1911</v>
      </c>
      <c r="M899" s="6" t="s">
        <v>188</v>
      </c>
      <c r="N899" s="6" t="s">
        <v>188</v>
      </c>
      <c r="O899" s="6" t="s">
        <v>190</v>
      </c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>
      <c r="A900" s="12">
        <v>25.0</v>
      </c>
      <c r="B900" s="7" t="s">
        <v>484</v>
      </c>
      <c r="C900" s="7" t="s">
        <v>920</v>
      </c>
      <c r="I900" s="10" t="s">
        <v>1146</v>
      </c>
      <c r="J900" s="13" t="s">
        <v>1229</v>
      </c>
      <c r="K900" s="13" t="s">
        <v>303</v>
      </c>
      <c r="L900" s="13" t="s">
        <v>1619</v>
      </c>
      <c r="M900" s="6" t="s">
        <v>188</v>
      </c>
      <c r="N900" s="6" t="s">
        <v>188</v>
      </c>
      <c r="O900" s="6" t="s">
        <v>190</v>
      </c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r="901">
      <c r="A901" s="12">
        <v>25.0</v>
      </c>
      <c r="B901" s="7" t="s">
        <v>484</v>
      </c>
      <c r="C901" s="7" t="s">
        <v>920</v>
      </c>
      <c r="I901" s="10" t="s">
        <v>1626</v>
      </c>
      <c r="J901" s="13" t="s">
        <v>1234</v>
      </c>
      <c r="K901" s="13" t="s">
        <v>303</v>
      </c>
      <c r="L901" s="13" t="s">
        <v>1619</v>
      </c>
      <c r="M901" s="6" t="s">
        <v>188</v>
      </c>
      <c r="N901" s="6" t="s">
        <v>188</v>
      </c>
      <c r="O901" s="6" t="s">
        <v>190</v>
      </c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>
      <c r="A902" s="12">
        <v>26.0</v>
      </c>
      <c r="B902" s="7" t="s">
        <v>493</v>
      </c>
      <c r="C902" s="7" t="s">
        <v>920</v>
      </c>
      <c r="D902" s="26">
        <f>IF(COUNTIF($B$2:$B902,$B902)&gt;1,"",COUNTIF($B$2:$B$3400,$B902))</f>
        <v>30</v>
      </c>
      <c r="E902" s="26">
        <f>IF(COUNTIF($B$2:$B902,$B902)&gt;1,"",COUNTIFS($B$2:$B$3400,$B902,$K$2:$K$3400,"PHÙ HỢP CAO"))</f>
        <v>4</v>
      </c>
      <c r="F902" s="26">
        <f>IF(COUNTIF($B$2:$B902,$B902)&gt;1,"",COUNTIFS($B$2:$B$3400,$B902,$K$2:$K$3400,"CÓ THỂ ĐI"))</f>
        <v>1</v>
      </c>
      <c r="G902" s="26">
        <f>IF(COUNTIF($B$2:$B902,$B902)&gt;1,"",COUNTIFS($B$2:$B$3400,$B902,$K$2:$K$3400,"CẦN SOÁT"))</f>
        <v>25</v>
      </c>
      <c r="H902" s="27" t="str">
        <f>IFERROR(__xludf.DUMMYFUNCTION("IF(COUNTIF($B$2:$B902,$B902)&gt;1,"""",IFERROR(TEXTJOIN(CHAR(10),TRUE,BYROW(QUERY({$B$2:$B$3400,$J$2:$J$3400},""select Col2, count(Col2) where Col1 = '""&amp;$B902&amp;""' group by Col2 order by count(Col2) desc label count(Col2) ''"",0),LAMBDA(r,INDEX(r,1,1)&amp;"" – "&amp;"""&amp;INDEX(r,1,2)&amp;"" link""))),""""))"),"cách quét NFC căn cước – 10 link
quét NFC CCCD – 10 link
quét NFC CCCD trên iPhone – 10 link")</f>
        <v>cách quét NFC căn cước – 10 link
quét NFC CCCD – 10 link
quét NFC CCCD trên iPhone – 10 link</v>
      </c>
      <c r="I902" s="10" t="s">
        <v>1241</v>
      </c>
      <c r="J902" s="13" t="s">
        <v>1243</v>
      </c>
      <c r="K902" s="13" t="s">
        <v>184</v>
      </c>
      <c r="L902" s="13" t="s">
        <v>1950</v>
      </c>
      <c r="M902" s="6" t="s">
        <v>188</v>
      </c>
      <c r="N902" s="6" t="s">
        <v>188</v>
      </c>
      <c r="O902" s="6" t="s">
        <v>190</v>
      </c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r="903">
      <c r="A903" s="12">
        <v>26.0</v>
      </c>
      <c r="B903" s="7" t="s">
        <v>493</v>
      </c>
      <c r="C903" s="7" t="s">
        <v>920</v>
      </c>
      <c r="I903" s="10" t="s">
        <v>1244</v>
      </c>
      <c r="J903" s="13" t="s">
        <v>1246</v>
      </c>
      <c r="K903" s="13" t="s">
        <v>184</v>
      </c>
      <c r="L903" s="13" t="s">
        <v>1951</v>
      </c>
      <c r="M903" s="6" t="s">
        <v>188</v>
      </c>
      <c r="N903" s="6" t="s">
        <v>188</v>
      </c>
      <c r="O903" s="6" t="s">
        <v>190</v>
      </c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>
      <c r="A904" s="12">
        <v>26.0</v>
      </c>
      <c r="B904" s="7" t="s">
        <v>493</v>
      </c>
      <c r="C904" s="7" t="s">
        <v>920</v>
      </c>
      <c r="I904" s="10" t="s">
        <v>1247</v>
      </c>
      <c r="J904" s="13" t="s">
        <v>1249</v>
      </c>
      <c r="K904" s="13" t="s">
        <v>184</v>
      </c>
      <c r="L904" s="13" t="s">
        <v>1952</v>
      </c>
      <c r="M904" s="6" t="s">
        <v>188</v>
      </c>
      <c r="N904" s="6" t="s">
        <v>188</v>
      </c>
      <c r="O904" s="6" t="s">
        <v>190</v>
      </c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>
      <c r="A905" s="12">
        <v>26.0</v>
      </c>
      <c r="B905" s="7" t="s">
        <v>493</v>
      </c>
      <c r="C905" s="7" t="s">
        <v>920</v>
      </c>
      <c r="I905" s="10" t="s">
        <v>962</v>
      </c>
      <c r="J905" s="13" t="s">
        <v>1243</v>
      </c>
      <c r="K905" s="13" t="s">
        <v>184</v>
      </c>
      <c r="L905" s="13" t="s">
        <v>1953</v>
      </c>
      <c r="M905" s="6" t="s">
        <v>188</v>
      </c>
      <c r="N905" s="6" t="s">
        <v>188</v>
      </c>
      <c r="O905" s="6" t="s">
        <v>190</v>
      </c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>
      <c r="A906" s="12">
        <v>26.0</v>
      </c>
      <c r="B906" s="7" t="s">
        <v>493</v>
      </c>
      <c r="C906" s="7" t="s">
        <v>920</v>
      </c>
      <c r="I906" s="10" t="s">
        <v>958</v>
      </c>
      <c r="J906" s="13" t="s">
        <v>1246</v>
      </c>
      <c r="K906" s="13" t="s">
        <v>283</v>
      </c>
      <c r="L906" s="13" t="s">
        <v>1954</v>
      </c>
      <c r="M906" s="6" t="s">
        <v>188</v>
      </c>
      <c r="N906" s="6" t="s">
        <v>188</v>
      </c>
      <c r="O906" s="6" t="s">
        <v>190</v>
      </c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>
      <c r="A907" s="12">
        <v>26.0</v>
      </c>
      <c r="B907" s="7" t="s">
        <v>493</v>
      </c>
      <c r="C907" s="7" t="s">
        <v>920</v>
      </c>
      <c r="I907" s="10" t="s">
        <v>637</v>
      </c>
      <c r="J907" s="13" t="s">
        <v>1249</v>
      </c>
      <c r="K907" s="13" t="s">
        <v>303</v>
      </c>
      <c r="L907" s="13" t="s">
        <v>1955</v>
      </c>
      <c r="M907" s="6" t="s">
        <v>188</v>
      </c>
      <c r="N907" s="6" t="s">
        <v>188</v>
      </c>
      <c r="O907" s="6" t="s">
        <v>190</v>
      </c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r="908">
      <c r="A908" s="12">
        <v>26.0</v>
      </c>
      <c r="B908" s="7" t="s">
        <v>493</v>
      </c>
      <c r="C908" s="7" t="s">
        <v>920</v>
      </c>
      <c r="I908" s="10" t="s">
        <v>691</v>
      </c>
      <c r="J908" s="13" t="s">
        <v>1243</v>
      </c>
      <c r="K908" s="13" t="s">
        <v>303</v>
      </c>
      <c r="L908" s="13" t="s">
        <v>1956</v>
      </c>
      <c r="M908" s="6" t="s">
        <v>188</v>
      </c>
      <c r="N908" s="6" t="s">
        <v>188</v>
      </c>
      <c r="O908" s="6" t="s">
        <v>190</v>
      </c>
      <c r="P908" s="13" t="s">
        <v>574</v>
      </c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>
      <c r="A909" s="12">
        <v>26.0</v>
      </c>
      <c r="B909" s="7" t="s">
        <v>493</v>
      </c>
      <c r="C909" s="7" t="s">
        <v>920</v>
      </c>
      <c r="I909" s="10" t="s">
        <v>627</v>
      </c>
      <c r="J909" s="13" t="s">
        <v>1246</v>
      </c>
      <c r="K909" s="13" t="s">
        <v>303</v>
      </c>
      <c r="L909" s="13" t="s">
        <v>1957</v>
      </c>
      <c r="M909" s="6" t="s">
        <v>188</v>
      </c>
      <c r="N909" s="6" t="s">
        <v>188</v>
      </c>
      <c r="O909" s="6" t="s">
        <v>190</v>
      </c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>
      <c r="A910" s="12">
        <v>26.0</v>
      </c>
      <c r="B910" s="7" t="s">
        <v>493</v>
      </c>
      <c r="C910" s="7" t="s">
        <v>920</v>
      </c>
      <c r="I910" s="10" t="s">
        <v>660</v>
      </c>
      <c r="J910" s="13" t="s">
        <v>1249</v>
      </c>
      <c r="K910" s="13" t="s">
        <v>303</v>
      </c>
      <c r="L910" s="13" t="s">
        <v>1957</v>
      </c>
      <c r="M910" s="6" t="s">
        <v>188</v>
      </c>
      <c r="N910" s="6" t="s">
        <v>188</v>
      </c>
      <c r="O910" s="6" t="s">
        <v>190</v>
      </c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>
      <c r="A911" s="12">
        <v>26.0</v>
      </c>
      <c r="B911" s="7" t="s">
        <v>493</v>
      </c>
      <c r="C911" s="7" t="s">
        <v>920</v>
      </c>
      <c r="I911" s="10" t="s">
        <v>1846</v>
      </c>
      <c r="J911" s="13" t="s">
        <v>1243</v>
      </c>
      <c r="K911" s="13" t="s">
        <v>303</v>
      </c>
      <c r="L911" s="13" t="s">
        <v>1957</v>
      </c>
      <c r="M911" s="6" t="s">
        <v>188</v>
      </c>
      <c r="N911" s="6" t="s">
        <v>188</v>
      </c>
      <c r="O911" s="6" t="s">
        <v>190</v>
      </c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>
      <c r="A912" s="12">
        <v>26.0</v>
      </c>
      <c r="B912" s="7" t="s">
        <v>493</v>
      </c>
      <c r="C912" s="7" t="s">
        <v>920</v>
      </c>
      <c r="I912" s="10" t="s">
        <v>1150</v>
      </c>
      <c r="J912" s="13" t="s">
        <v>1246</v>
      </c>
      <c r="K912" s="13" t="s">
        <v>303</v>
      </c>
      <c r="L912" s="13" t="s">
        <v>1957</v>
      </c>
      <c r="M912" s="6" t="s">
        <v>188</v>
      </c>
      <c r="N912" s="6" t="s">
        <v>188</v>
      </c>
      <c r="O912" s="6" t="s">
        <v>190</v>
      </c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>
      <c r="A913" s="12">
        <v>26.0</v>
      </c>
      <c r="B913" s="7" t="s">
        <v>493</v>
      </c>
      <c r="C913" s="7" t="s">
        <v>920</v>
      </c>
      <c r="I913" s="10" t="s">
        <v>1854</v>
      </c>
      <c r="J913" s="13" t="s">
        <v>1249</v>
      </c>
      <c r="K913" s="13" t="s">
        <v>303</v>
      </c>
      <c r="L913" s="13" t="s">
        <v>1957</v>
      </c>
      <c r="M913" s="6" t="s">
        <v>188</v>
      </c>
      <c r="N913" s="6" t="s">
        <v>188</v>
      </c>
      <c r="O913" s="6" t="s">
        <v>190</v>
      </c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r="914">
      <c r="A914" s="12">
        <v>26.0</v>
      </c>
      <c r="B914" s="7" t="s">
        <v>493</v>
      </c>
      <c r="C914" s="7" t="s">
        <v>920</v>
      </c>
      <c r="I914" s="10" t="s">
        <v>976</v>
      </c>
      <c r="J914" s="13" t="s">
        <v>1243</v>
      </c>
      <c r="K914" s="13" t="s">
        <v>303</v>
      </c>
      <c r="L914" s="13" t="s">
        <v>1957</v>
      </c>
      <c r="M914" s="6" t="s">
        <v>188</v>
      </c>
      <c r="N914" s="6" t="s">
        <v>188</v>
      </c>
      <c r="O914" s="6" t="s">
        <v>190</v>
      </c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r="915">
      <c r="A915" s="12">
        <v>26.0</v>
      </c>
      <c r="B915" s="7" t="s">
        <v>493</v>
      </c>
      <c r="C915" s="7" t="s">
        <v>920</v>
      </c>
      <c r="I915" s="10" t="s">
        <v>607</v>
      </c>
      <c r="J915" s="13" t="s">
        <v>1246</v>
      </c>
      <c r="K915" s="13" t="s">
        <v>303</v>
      </c>
      <c r="L915" s="13" t="s">
        <v>1957</v>
      </c>
      <c r="M915" s="6" t="s">
        <v>188</v>
      </c>
      <c r="N915" s="6" t="s">
        <v>188</v>
      </c>
      <c r="O915" s="6" t="s">
        <v>190</v>
      </c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r="916">
      <c r="A916" s="12">
        <v>26.0</v>
      </c>
      <c r="B916" s="7" t="s">
        <v>493</v>
      </c>
      <c r="C916" s="7" t="s">
        <v>920</v>
      </c>
      <c r="I916" s="13" t="s">
        <v>943</v>
      </c>
      <c r="J916" s="13" t="s">
        <v>1249</v>
      </c>
      <c r="K916" s="13" t="s">
        <v>303</v>
      </c>
      <c r="L916" s="13" t="s">
        <v>1010</v>
      </c>
      <c r="M916" s="6" t="s">
        <v>188</v>
      </c>
      <c r="N916" s="6" t="s">
        <v>188</v>
      </c>
      <c r="O916" s="6" t="s">
        <v>190</v>
      </c>
      <c r="P916" s="7" t="s">
        <v>333</v>
      </c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>
      <c r="A917" s="12">
        <v>26.0</v>
      </c>
      <c r="B917" s="7" t="s">
        <v>493</v>
      </c>
      <c r="C917" s="7" t="s">
        <v>920</v>
      </c>
      <c r="I917" s="13" t="s">
        <v>955</v>
      </c>
      <c r="J917" s="13" t="s">
        <v>1243</v>
      </c>
      <c r="K917" s="13" t="s">
        <v>303</v>
      </c>
      <c r="L917" s="13" t="s">
        <v>956</v>
      </c>
      <c r="M917" s="6" t="s">
        <v>188</v>
      </c>
      <c r="N917" s="6" t="s">
        <v>188</v>
      </c>
      <c r="O917" s="6" t="s">
        <v>190</v>
      </c>
      <c r="P917" s="7" t="s">
        <v>333</v>
      </c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>
      <c r="A918" s="12">
        <v>26.0</v>
      </c>
      <c r="B918" s="7" t="s">
        <v>493</v>
      </c>
      <c r="C918" s="7" t="s">
        <v>920</v>
      </c>
      <c r="I918" s="13" t="s">
        <v>945</v>
      </c>
      <c r="J918" s="13" t="s">
        <v>1246</v>
      </c>
      <c r="K918" s="13" t="s">
        <v>303</v>
      </c>
      <c r="L918" s="13" t="s">
        <v>1011</v>
      </c>
      <c r="M918" s="6" t="s">
        <v>188</v>
      </c>
      <c r="N918" s="6" t="s">
        <v>188</v>
      </c>
      <c r="O918" s="6" t="s">
        <v>190</v>
      </c>
      <c r="P918" s="7" t="s">
        <v>333</v>
      </c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>
      <c r="A919" s="12">
        <v>26.0</v>
      </c>
      <c r="B919" s="7" t="s">
        <v>493</v>
      </c>
      <c r="C919" s="7" t="s">
        <v>920</v>
      </c>
      <c r="I919" s="13" t="s">
        <v>964</v>
      </c>
      <c r="J919" s="13" t="s">
        <v>1249</v>
      </c>
      <c r="K919" s="13" t="s">
        <v>303</v>
      </c>
      <c r="L919" s="13" t="s">
        <v>965</v>
      </c>
      <c r="M919" s="6" t="s">
        <v>188</v>
      </c>
      <c r="N919" s="6" t="s">
        <v>188</v>
      </c>
      <c r="O919" s="6" t="s">
        <v>190</v>
      </c>
      <c r="P919" s="7" t="s">
        <v>333</v>
      </c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>
      <c r="A920" s="12">
        <v>26.0</v>
      </c>
      <c r="B920" s="7" t="s">
        <v>493</v>
      </c>
      <c r="C920" s="7" t="s">
        <v>920</v>
      </c>
      <c r="I920" s="13" t="s">
        <v>967</v>
      </c>
      <c r="J920" s="13" t="s">
        <v>1243</v>
      </c>
      <c r="K920" s="13" t="s">
        <v>303</v>
      </c>
      <c r="L920" s="13" t="s">
        <v>968</v>
      </c>
      <c r="M920" s="6" t="s">
        <v>188</v>
      </c>
      <c r="N920" s="6" t="s">
        <v>188</v>
      </c>
      <c r="O920" s="6" t="s">
        <v>190</v>
      </c>
      <c r="P920" s="7" t="s">
        <v>333</v>
      </c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r="921">
      <c r="A921" s="12">
        <v>26.0</v>
      </c>
      <c r="B921" s="7" t="s">
        <v>493</v>
      </c>
      <c r="C921" s="7" t="s">
        <v>920</v>
      </c>
      <c r="I921" s="13" t="s">
        <v>972</v>
      </c>
      <c r="J921" s="13" t="s">
        <v>1246</v>
      </c>
      <c r="K921" s="13" t="s">
        <v>303</v>
      </c>
      <c r="L921" s="13" t="s">
        <v>973</v>
      </c>
      <c r="M921" s="6" t="s">
        <v>188</v>
      </c>
      <c r="N921" s="6" t="s">
        <v>188</v>
      </c>
      <c r="O921" s="6" t="s">
        <v>190</v>
      </c>
      <c r="P921" s="7" t="s">
        <v>333</v>
      </c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>
      <c r="A922" s="12">
        <v>26.0</v>
      </c>
      <c r="B922" s="7" t="s">
        <v>493</v>
      </c>
      <c r="C922" s="7" t="s">
        <v>920</v>
      </c>
      <c r="I922" s="13" t="s">
        <v>407</v>
      </c>
      <c r="J922" s="13" t="s">
        <v>1249</v>
      </c>
      <c r="K922" s="13" t="s">
        <v>303</v>
      </c>
      <c r="L922" s="13" t="s">
        <v>966</v>
      </c>
      <c r="M922" s="6" t="s">
        <v>188</v>
      </c>
      <c r="N922" s="6" t="s">
        <v>188</v>
      </c>
      <c r="O922" s="6" t="s">
        <v>190</v>
      </c>
      <c r="P922" s="7" t="s">
        <v>333</v>
      </c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>
      <c r="A923" s="12">
        <v>26.0</v>
      </c>
      <c r="B923" s="7" t="s">
        <v>493</v>
      </c>
      <c r="C923" s="7" t="s">
        <v>920</v>
      </c>
      <c r="I923" s="13" t="s">
        <v>979</v>
      </c>
      <c r="J923" s="13" t="s">
        <v>1243</v>
      </c>
      <c r="K923" s="13" t="s">
        <v>303</v>
      </c>
      <c r="L923" s="13" t="s">
        <v>980</v>
      </c>
      <c r="M923" s="6" t="s">
        <v>188</v>
      </c>
      <c r="N923" s="6" t="s">
        <v>188</v>
      </c>
      <c r="O923" s="6" t="s">
        <v>190</v>
      </c>
      <c r="P923" s="7" t="s">
        <v>333</v>
      </c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>
      <c r="A924" s="12">
        <v>26.0</v>
      </c>
      <c r="B924" s="7" t="s">
        <v>493</v>
      </c>
      <c r="C924" s="7" t="s">
        <v>920</v>
      </c>
      <c r="I924" s="13" t="s">
        <v>1958</v>
      </c>
      <c r="J924" s="13" t="s">
        <v>1246</v>
      </c>
      <c r="K924" s="13" t="s">
        <v>303</v>
      </c>
      <c r="L924" s="13" t="s">
        <v>1959</v>
      </c>
      <c r="M924" s="6" t="s">
        <v>188</v>
      </c>
      <c r="N924" s="6" t="s">
        <v>188</v>
      </c>
      <c r="O924" s="6" t="s">
        <v>190</v>
      </c>
      <c r="P924" s="7" t="s">
        <v>333</v>
      </c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</row>
    <row r="925">
      <c r="A925" s="12">
        <v>26.0</v>
      </c>
      <c r="B925" s="7" t="s">
        <v>493</v>
      </c>
      <c r="C925" s="7" t="s">
        <v>920</v>
      </c>
      <c r="I925" s="13" t="s">
        <v>1017</v>
      </c>
      <c r="J925" s="13" t="s">
        <v>1249</v>
      </c>
      <c r="K925" s="13" t="s">
        <v>303</v>
      </c>
      <c r="L925" s="13" t="s">
        <v>981</v>
      </c>
      <c r="M925" s="6" t="s">
        <v>188</v>
      </c>
      <c r="N925" s="6" t="s">
        <v>188</v>
      </c>
      <c r="O925" s="6" t="s">
        <v>190</v>
      </c>
      <c r="P925" s="7" t="s">
        <v>333</v>
      </c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r="926">
      <c r="A926" s="12">
        <v>26.0</v>
      </c>
      <c r="B926" s="7" t="s">
        <v>493</v>
      </c>
      <c r="C926" s="7" t="s">
        <v>920</v>
      </c>
      <c r="I926" s="13" t="s">
        <v>1019</v>
      </c>
      <c r="J926" s="13" t="s">
        <v>1243</v>
      </c>
      <c r="K926" s="13" t="s">
        <v>303</v>
      </c>
      <c r="L926" s="13" t="s">
        <v>1021</v>
      </c>
      <c r="M926" s="6" t="s">
        <v>188</v>
      </c>
      <c r="N926" s="6" t="s">
        <v>188</v>
      </c>
      <c r="O926" s="6" t="s">
        <v>190</v>
      </c>
      <c r="P926" s="7" t="s">
        <v>333</v>
      </c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>
      <c r="A927" s="12">
        <v>26.0</v>
      </c>
      <c r="B927" s="7" t="s">
        <v>493</v>
      </c>
      <c r="C927" s="7" t="s">
        <v>920</v>
      </c>
      <c r="I927" s="13" t="s">
        <v>334</v>
      </c>
      <c r="J927" s="13" t="s">
        <v>1246</v>
      </c>
      <c r="K927" s="13" t="s">
        <v>303</v>
      </c>
      <c r="L927" s="13" t="s">
        <v>981</v>
      </c>
      <c r="M927" s="6" t="s">
        <v>188</v>
      </c>
      <c r="N927" s="6" t="s">
        <v>188</v>
      </c>
      <c r="O927" s="6" t="s">
        <v>190</v>
      </c>
      <c r="P927" s="7" t="s">
        <v>333</v>
      </c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>
      <c r="A928" s="12">
        <v>26.0</v>
      </c>
      <c r="B928" s="7" t="s">
        <v>493</v>
      </c>
      <c r="C928" s="7" t="s">
        <v>920</v>
      </c>
      <c r="I928" s="13" t="s">
        <v>929</v>
      </c>
      <c r="J928" s="13" t="s">
        <v>1249</v>
      </c>
      <c r="K928" s="13" t="s">
        <v>303</v>
      </c>
      <c r="L928" s="13" t="s">
        <v>1033</v>
      </c>
      <c r="M928" s="6" t="s">
        <v>188</v>
      </c>
      <c r="N928" s="6" t="s">
        <v>188</v>
      </c>
      <c r="O928" s="6" t="s">
        <v>190</v>
      </c>
      <c r="P928" s="7" t="s">
        <v>333</v>
      </c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>
      <c r="A929" s="12">
        <v>26.0</v>
      </c>
      <c r="B929" s="7" t="s">
        <v>493</v>
      </c>
      <c r="C929" s="7" t="s">
        <v>920</v>
      </c>
      <c r="I929" s="13" t="s">
        <v>1025</v>
      </c>
      <c r="J929" s="13" t="s">
        <v>1243</v>
      </c>
      <c r="K929" s="13" t="s">
        <v>303</v>
      </c>
      <c r="L929" s="13" t="s">
        <v>981</v>
      </c>
      <c r="M929" s="6" t="s">
        <v>188</v>
      </c>
      <c r="N929" s="6" t="s">
        <v>188</v>
      </c>
      <c r="O929" s="6" t="s">
        <v>190</v>
      </c>
      <c r="P929" s="7" t="s">
        <v>333</v>
      </c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>
      <c r="A930" s="12">
        <v>26.0</v>
      </c>
      <c r="B930" s="7" t="s">
        <v>493</v>
      </c>
      <c r="C930" s="7" t="s">
        <v>920</v>
      </c>
      <c r="I930" s="13" t="s">
        <v>588</v>
      </c>
      <c r="J930" s="13" t="s">
        <v>1246</v>
      </c>
      <c r="K930" s="13" t="s">
        <v>303</v>
      </c>
      <c r="L930" s="13" t="s">
        <v>1028</v>
      </c>
      <c r="M930" s="6" t="s">
        <v>188</v>
      </c>
      <c r="N930" s="6" t="s">
        <v>188</v>
      </c>
      <c r="O930" s="6" t="s">
        <v>190</v>
      </c>
      <c r="P930" s="7" t="s">
        <v>333</v>
      </c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>
      <c r="A931" s="12">
        <v>26.0</v>
      </c>
      <c r="B931" s="7" t="s">
        <v>493</v>
      </c>
      <c r="C931" s="7" t="s">
        <v>920</v>
      </c>
      <c r="I931" s="13" t="s">
        <v>1029</v>
      </c>
      <c r="J931" s="13" t="s">
        <v>1249</v>
      </c>
      <c r="K931" s="13" t="s">
        <v>303</v>
      </c>
      <c r="L931" s="13" t="s">
        <v>1030</v>
      </c>
      <c r="M931" s="6" t="s">
        <v>188</v>
      </c>
      <c r="N931" s="6" t="s">
        <v>188</v>
      </c>
      <c r="O931" s="6" t="s">
        <v>190</v>
      </c>
      <c r="P931" s="7" t="s">
        <v>333</v>
      </c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>
      <c r="A932" s="12">
        <v>27.0</v>
      </c>
      <c r="B932" s="7" t="s">
        <v>501</v>
      </c>
      <c r="C932" s="7" t="s">
        <v>920</v>
      </c>
      <c r="D932" s="26">
        <f>IF(COUNTIF($B$2:$B932,$B932)&gt;1,"",COUNTIF($B$2:$B$3400,$B932))</f>
        <v>30</v>
      </c>
      <c r="E932" s="26">
        <f>IF(COUNTIF($B$2:$B932,$B932)&gt;1,"",COUNTIFS($B$2:$B$3400,$B932,$K$2:$K$3400,"PHÙ HỢP CAO"))</f>
        <v>3</v>
      </c>
      <c r="F932" s="26">
        <f>IF(COUNTIF($B$2:$B932,$B932)&gt;1,"",COUNTIFS($B$2:$B$3400,$B932,$K$2:$K$3400,"CÓ THỂ ĐI"))</f>
        <v>2</v>
      </c>
      <c r="G932" s="26">
        <f>IF(COUNTIF($B$2:$B932,$B932)&gt;1,"",COUNTIFS($B$2:$B$3400,$B932,$K$2:$K$3400,"CẦN SOÁT"))</f>
        <v>25</v>
      </c>
      <c r="H932" s="27" t="str">
        <f>IFERROR(__xludf.DUMMYFUNCTION("IF(COUNTIF($B$2:$B932,$B932)&gt;1,"""",IFERROR(TEXTJOIN(CHAR(10),TRUE,BYROW(QUERY({$B$2:$B$3400,$J$2:$J$3400},""select Col2, count(Col2) where Col1 = '""&amp;$B932&amp;""' group by Col2 order by count(Col2) desc label count(Col2) ''"",0),LAMBDA(r,INDEX(r,1,1)&amp;"" – "&amp;"""&amp;INDEX(r,1,2)&amp;"" link""))),""""))"),"Techcombank Eco – 10 link
eco card – 10 link
thẻ Eco – 10 link")</f>
        <v>Techcombank Eco – 10 link
eco card – 10 link
thẻ Eco – 10 link</v>
      </c>
      <c r="I932" s="10" t="s">
        <v>1252</v>
      </c>
      <c r="J932" s="13" t="s">
        <v>1255</v>
      </c>
      <c r="K932" s="13" t="s">
        <v>184</v>
      </c>
      <c r="L932" s="13" t="s">
        <v>1960</v>
      </c>
      <c r="M932" s="6" t="s">
        <v>188</v>
      </c>
      <c r="N932" s="6" t="s">
        <v>188</v>
      </c>
      <c r="O932" s="6" t="s">
        <v>190</v>
      </c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>
      <c r="A933" s="12">
        <v>27.0</v>
      </c>
      <c r="B933" s="7" t="s">
        <v>501</v>
      </c>
      <c r="C933" s="7" t="s">
        <v>920</v>
      </c>
      <c r="I933" s="10" t="s">
        <v>1256</v>
      </c>
      <c r="J933" s="13" t="s">
        <v>1259</v>
      </c>
      <c r="K933" s="13" t="s">
        <v>184</v>
      </c>
      <c r="L933" s="13" t="s">
        <v>1961</v>
      </c>
      <c r="M933" s="6" t="s">
        <v>188</v>
      </c>
      <c r="N933" s="6" t="s">
        <v>188</v>
      </c>
      <c r="O933" s="6" t="s">
        <v>190</v>
      </c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>
      <c r="A934" s="12">
        <v>27.0</v>
      </c>
      <c r="B934" s="7" t="s">
        <v>501</v>
      </c>
      <c r="C934" s="7" t="s">
        <v>920</v>
      </c>
      <c r="I934" s="10" t="s">
        <v>1260</v>
      </c>
      <c r="J934" s="13" t="s">
        <v>1263</v>
      </c>
      <c r="K934" s="13" t="s">
        <v>184</v>
      </c>
      <c r="L934" s="13" t="s">
        <v>1962</v>
      </c>
      <c r="M934" s="6" t="s">
        <v>188</v>
      </c>
      <c r="N934" s="6" t="s">
        <v>188</v>
      </c>
      <c r="O934" s="6" t="s">
        <v>190</v>
      </c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>
      <c r="A935" s="12">
        <v>27.0</v>
      </c>
      <c r="B935" s="7" t="s">
        <v>501</v>
      </c>
      <c r="C935" s="7" t="s">
        <v>920</v>
      </c>
      <c r="I935" s="10" t="s">
        <v>1264</v>
      </c>
      <c r="J935" s="13" t="s">
        <v>1255</v>
      </c>
      <c r="K935" s="13" t="s">
        <v>283</v>
      </c>
      <c r="L935" s="13" t="s">
        <v>1963</v>
      </c>
      <c r="M935" s="6" t="s">
        <v>188</v>
      </c>
      <c r="N935" s="6" t="s">
        <v>188</v>
      </c>
      <c r="O935" s="6" t="s">
        <v>190</v>
      </c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>
      <c r="A936" s="12">
        <v>27.0</v>
      </c>
      <c r="B936" s="7" t="s">
        <v>501</v>
      </c>
      <c r="C936" s="7" t="s">
        <v>920</v>
      </c>
      <c r="I936" s="10" t="s">
        <v>1964</v>
      </c>
      <c r="J936" s="13" t="s">
        <v>1259</v>
      </c>
      <c r="K936" s="13" t="s">
        <v>283</v>
      </c>
      <c r="L936" s="13" t="s">
        <v>1965</v>
      </c>
      <c r="M936" s="6" t="s">
        <v>188</v>
      </c>
      <c r="N936" s="6" t="s">
        <v>188</v>
      </c>
      <c r="O936" s="6" t="s">
        <v>190</v>
      </c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>
      <c r="A937" s="12">
        <v>27.0</v>
      </c>
      <c r="B937" s="7" t="s">
        <v>501</v>
      </c>
      <c r="C937" s="7" t="s">
        <v>920</v>
      </c>
      <c r="I937" s="10" t="s">
        <v>1478</v>
      </c>
      <c r="J937" s="13" t="s">
        <v>1263</v>
      </c>
      <c r="K937" s="13" t="s">
        <v>303</v>
      </c>
      <c r="L937" s="13" t="s">
        <v>1966</v>
      </c>
      <c r="M937" s="6" t="s">
        <v>188</v>
      </c>
      <c r="N937" s="6" t="s">
        <v>188</v>
      </c>
      <c r="O937" s="6" t="s">
        <v>190</v>
      </c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>
      <c r="A938" s="12">
        <v>27.0</v>
      </c>
      <c r="B938" s="7" t="s">
        <v>501</v>
      </c>
      <c r="C938" s="7" t="s">
        <v>920</v>
      </c>
      <c r="I938" s="10" t="s">
        <v>886</v>
      </c>
      <c r="J938" s="13" t="s">
        <v>1255</v>
      </c>
      <c r="K938" s="13" t="s">
        <v>303</v>
      </c>
      <c r="L938" s="13" t="s">
        <v>1967</v>
      </c>
      <c r="M938" s="6" t="s">
        <v>188</v>
      </c>
      <c r="N938" s="6" t="s">
        <v>188</v>
      </c>
      <c r="O938" s="6" t="s">
        <v>190</v>
      </c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>
      <c r="A939" s="12">
        <v>27.0</v>
      </c>
      <c r="B939" s="7" t="s">
        <v>501</v>
      </c>
      <c r="C939" s="7" t="s">
        <v>920</v>
      </c>
      <c r="I939" s="10" t="s">
        <v>737</v>
      </c>
      <c r="J939" s="13" t="s">
        <v>1259</v>
      </c>
      <c r="K939" s="13" t="s">
        <v>303</v>
      </c>
      <c r="L939" s="13" t="s">
        <v>1966</v>
      </c>
      <c r="M939" s="6" t="s">
        <v>188</v>
      </c>
      <c r="N939" s="6" t="s">
        <v>188</v>
      </c>
      <c r="O939" s="6" t="s">
        <v>190</v>
      </c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>
      <c r="A940" s="12">
        <v>27.0</v>
      </c>
      <c r="B940" s="7" t="s">
        <v>501</v>
      </c>
      <c r="C940" s="7" t="s">
        <v>920</v>
      </c>
      <c r="I940" s="10" t="s">
        <v>688</v>
      </c>
      <c r="J940" s="13" t="s">
        <v>1263</v>
      </c>
      <c r="K940" s="13" t="s">
        <v>303</v>
      </c>
      <c r="L940" s="13" t="s">
        <v>1966</v>
      </c>
      <c r="M940" s="6" t="s">
        <v>188</v>
      </c>
      <c r="N940" s="6" t="s">
        <v>188</v>
      </c>
      <c r="O940" s="6" t="s">
        <v>190</v>
      </c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>
      <c r="A941" s="12">
        <v>27.0</v>
      </c>
      <c r="B941" s="7" t="s">
        <v>501</v>
      </c>
      <c r="C941" s="7" t="s">
        <v>920</v>
      </c>
      <c r="I941" s="10" t="s">
        <v>1968</v>
      </c>
      <c r="J941" s="13" t="s">
        <v>1255</v>
      </c>
      <c r="K941" s="13" t="s">
        <v>303</v>
      </c>
      <c r="L941" s="13" t="s">
        <v>1966</v>
      </c>
      <c r="M941" s="6" t="s">
        <v>188</v>
      </c>
      <c r="N941" s="6" t="s">
        <v>188</v>
      </c>
      <c r="O941" s="6" t="s">
        <v>190</v>
      </c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>
      <c r="A942" s="12">
        <v>27.0</v>
      </c>
      <c r="B942" s="7" t="s">
        <v>501</v>
      </c>
      <c r="C942" s="7" t="s">
        <v>920</v>
      </c>
      <c r="I942" s="10" t="s">
        <v>695</v>
      </c>
      <c r="J942" s="13" t="s">
        <v>1259</v>
      </c>
      <c r="K942" s="13" t="s">
        <v>303</v>
      </c>
      <c r="L942" s="13" t="s">
        <v>1966</v>
      </c>
      <c r="M942" s="6" t="s">
        <v>188</v>
      </c>
      <c r="N942" s="6" t="s">
        <v>188</v>
      </c>
      <c r="O942" s="6" t="s">
        <v>190</v>
      </c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>
      <c r="A943" s="12">
        <v>27.0</v>
      </c>
      <c r="B943" s="7" t="s">
        <v>501</v>
      </c>
      <c r="C943" s="7" t="s">
        <v>920</v>
      </c>
      <c r="I943" s="10" t="s">
        <v>1969</v>
      </c>
      <c r="J943" s="13" t="s">
        <v>1263</v>
      </c>
      <c r="K943" s="13" t="s">
        <v>303</v>
      </c>
      <c r="L943" s="13" t="s">
        <v>1970</v>
      </c>
      <c r="M943" s="6" t="s">
        <v>188</v>
      </c>
      <c r="N943" s="6" t="s">
        <v>188</v>
      </c>
      <c r="O943" s="6" t="s">
        <v>190</v>
      </c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>
      <c r="A944" s="12">
        <v>27.0</v>
      </c>
      <c r="B944" s="7" t="s">
        <v>501</v>
      </c>
      <c r="C944" s="7" t="s">
        <v>920</v>
      </c>
      <c r="I944" s="10" t="s">
        <v>1971</v>
      </c>
      <c r="J944" s="13" t="s">
        <v>1255</v>
      </c>
      <c r="K944" s="13" t="s">
        <v>303</v>
      </c>
      <c r="L944" s="13" t="s">
        <v>1972</v>
      </c>
      <c r="M944" s="6" t="s">
        <v>188</v>
      </c>
      <c r="N944" s="6" t="s">
        <v>188</v>
      </c>
      <c r="O944" s="6" t="s">
        <v>190</v>
      </c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>
      <c r="A945" s="12">
        <v>27.0</v>
      </c>
      <c r="B945" s="7" t="s">
        <v>501</v>
      </c>
      <c r="C945" s="7" t="s">
        <v>920</v>
      </c>
      <c r="I945" s="10" t="s">
        <v>1973</v>
      </c>
      <c r="J945" s="13" t="s">
        <v>1259</v>
      </c>
      <c r="K945" s="13" t="s">
        <v>303</v>
      </c>
      <c r="L945" s="13" t="s">
        <v>1966</v>
      </c>
      <c r="M945" s="6" t="s">
        <v>188</v>
      </c>
      <c r="N945" s="6" t="s">
        <v>188</v>
      </c>
      <c r="O945" s="6" t="s">
        <v>190</v>
      </c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>
      <c r="A946" s="12">
        <v>27.0</v>
      </c>
      <c r="B946" s="7" t="s">
        <v>501</v>
      </c>
      <c r="C946" s="7" t="s">
        <v>920</v>
      </c>
      <c r="I946" s="10" t="s">
        <v>1974</v>
      </c>
      <c r="J946" s="13" t="s">
        <v>1263</v>
      </c>
      <c r="K946" s="13" t="s">
        <v>303</v>
      </c>
      <c r="L946" s="13" t="s">
        <v>1966</v>
      </c>
      <c r="M946" s="6" t="s">
        <v>188</v>
      </c>
      <c r="N946" s="6" t="s">
        <v>188</v>
      </c>
      <c r="O946" s="6" t="s">
        <v>190</v>
      </c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>
      <c r="A947" s="12">
        <v>27.0</v>
      </c>
      <c r="B947" s="7" t="s">
        <v>501</v>
      </c>
      <c r="C947" s="7" t="s">
        <v>920</v>
      </c>
      <c r="I947" s="10" t="s">
        <v>1975</v>
      </c>
      <c r="J947" s="13" t="s">
        <v>1255</v>
      </c>
      <c r="K947" s="13" t="s">
        <v>303</v>
      </c>
      <c r="L947" s="13" t="s">
        <v>1972</v>
      </c>
      <c r="M947" s="6" t="s">
        <v>188</v>
      </c>
      <c r="N947" s="6" t="s">
        <v>188</v>
      </c>
      <c r="O947" s="6" t="s">
        <v>190</v>
      </c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r="948">
      <c r="A948" s="12">
        <v>27.0</v>
      </c>
      <c r="B948" s="7" t="s">
        <v>501</v>
      </c>
      <c r="C948" s="7" t="s">
        <v>920</v>
      </c>
      <c r="I948" s="10" t="s">
        <v>1976</v>
      </c>
      <c r="J948" s="13" t="s">
        <v>1259</v>
      </c>
      <c r="K948" s="13" t="s">
        <v>303</v>
      </c>
      <c r="L948" s="13" t="s">
        <v>1972</v>
      </c>
      <c r="M948" s="6" t="s">
        <v>188</v>
      </c>
      <c r="N948" s="6" t="s">
        <v>188</v>
      </c>
      <c r="O948" s="6" t="s">
        <v>190</v>
      </c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>
      <c r="A949" s="12">
        <v>27.0</v>
      </c>
      <c r="B949" s="7" t="s">
        <v>501</v>
      </c>
      <c r="C949" s="7" t="s">
        <v>920</v>
      </c>
      <c r="I949" s="10" t="s">
        <v>1977</v>
      </c>
      <c r="J949" s="13" t="s">
        <v>1263</v>
      </c>
      <c r="K949" s="13" t="s">
        <v>303</v>
      </c>
      <c r="L949" s="13" t="s">
        <v>1966</v>
      </c>
      <c r="M949" s="6" t="s">
        <v>188</v>
      </c>
      <c r="N949" s="6" t="s">
        <v>188</v>
      </c>
      <c r="O949" s="6" t="s">
        <v>190</v>
      </c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r="950">
      <c r="A950" s="12">
        <v>27.0</v>
      </c>
      <c r="B950" s="7" t="s">
        <v>501</v>
      </c>
      <c r="C950" s="7" t="s">
        <v>920</v>
      </c>
      <c r="I950" s="10" t="s">
        <v>1978</v>
      </c>
      <c r="J950" s="13" t="s">
        <v>1255</v>
      </c>
      <c r="K950" s="13" t="s">
        <v>303</v>
      </c>
      <c r="L950" s="13" t="s">
        <v>1966</v>
      </c>
      <c r="M950" s="6" t="s">
        <v>188</v>
      </c>
      <c r="N950" s="6" t="s">
        <v>188</v>
      </c>
      <c r="O950" s="6" t="s">
        <v>190</v>
      </c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>
      <c r="A951" s="12">
        <v>27.0</v>
      </c>
      <c r="B951" s="7" t="s">
        <v>501</v>
      </c>
      <c r="C951" s="7" t="s">
        <v>920</v>
      </c>
      <c r="I951" s="10" t="s">
        <v>1979</v>
      </c>
      <c r="J951" s="13" t="s">
        <v>1259</v>
      </c>
      <c r="K951" s="13" t="s">
        <v>303</v>
      </c>
      <c r="L951" s="13" t="s">
        <v>1967</v>
      </c>
      <c r="M951" s="6" t="s">
        <v>188</v>
      </c>
      <c r="N951" s="6" t="s">
        <v>188</v>
      </c>
      <c r="O951" s="6" t="s">
        <v>190</v>
      </c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r="952">
      <c r="A952" s="12">
        <v>27.0</v>
      </c>
      <c r="B952" s="7" t="s">
        <v>501</v>
      </c>
      <c r="C952" s="7" t="s">
        <v>920</v>
      </c>
      <c r="I952" s="10" t="s">
        <v>1558</v>
      </c>
      <c r="J952" s="13" t="s">
        <v>1263</v>
      </c>
      <c r="K952" s="13" t="s">
        <v>303</v>
      </c>
      <c r="L952" s="13" t="s">
        <v>1966</v>
      </c>
      <c r="M952" s="6" t="s">
        <v>188</v>
      </c>
      <c r="N952" s="6" t="s">
        <v>188</v>
      </c>
      <c r="O952" s="6" t="s">
        <v>190</v>
      </c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>
      <c r="A953" s="12">
        <v>27.0</v>
      </c>
      <c r="B953" s="7" t="s">
        <v>501</v>
      </c>
      <c r="C953" s="7" t="s">
        <v>920</v>
      </c>
      <c r="I953" s="10" t="s">
        <v>1980</v>
      </c>
      <c r="J953" s="13" t="s">
        <v>1255</v>
      </c>
      <c r="K953" s="13" t="s">
        <v>303</v>
      </c>
      <c r="L953" s="13" t="s">
        <v>1967</v>
      </c>
      <c r="M953" s="6" t="s">
        <v>188</v>
      </c>
      <c r="N953" s="6" t="s">
        <v>188</v>
      </c>
      <c r="O953" s="6" t="s">
        <v>190</v>
      </c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>
      <c r="A954" s="12">
        <v>27.0</v>
      </c>
      <c r="B954" s="7" t="s">
        <v>501</v>
      </c>
      <c r="C954" s="7" t="s">
        <v>920</v>
      </c>
      <c r="I954" s="10" t="s">
        <v>1981</v>
      </c>
      <c r="J954" s="13" t="s">
        <v>1259</v>
      </c>
      <c r="K954" s="13" t="s">
        <v>303</v>
      </c>
      <c r="L954" s="13" t="s">
        <v>1966</v>
      </c>
      <c r="M954" s="6" t="s">
        <v>188</v>
      </c>
      <c r="N954" s="6" t="s">
        <v>188</v>
      </c>
      <c r="O954" s="6" t="s">
        <v>190</v>
      </c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>
      <c r="A955" s="12">
        <v>27.0</v>
      </c>
      <c r="B955" s="7" t="s">
        <v>501</v>
      </c>
      <c r="C955" s="7" t="s">
        <v>920</v>
      </c>
      <c r="I955" s="10" t="s">
        <v>1982</v>
      </c>
      <c r="J955" s="13" t="s">
        <v>1263</v>
      </c>
      <c r="K955" s="13" t="s">
        <v>303</v>
      </c>
      <c r="L955" s="13" t="s">
        <v>1966</v>
      </c>
      <c r="M955" s="6" t="s">
        <v>188</v>
      </c>
      <c r="N955" s="6" t="s">
        <v>188</v>
      </c>
      <c r="O955" s="6" t="s">
        <v>190</v>
      </c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>
      <c r="A956" s="12">
        <v>27.0</v>
      </c>
      <c r="B956" s="7" t="s">
        <v>501</v>
      </c>
      <c r="C956" s="7" t="s">
        <v>920</v>
      </c>
      <c r="I956" s="10" t="s">
        <v>1983</v>
      </c>
      <c r="J956" s="13" t="s">
        <v>1255</v>
      </c>
      <c r="K956" s="13" t="s">
        <v>303</v>
      </c>
      <c r="L956" s="13" t="s">
        <v>1967</v>
      </c>
      <c r="M956" s="6" t="s">
        <v>188</v>
      </c>
      <c r="N956" s="6" t="s">
        <v>188</v>
      </c>
      <c r="O956" s="6" t="s">
        <v>190</v>
      </c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>
      <c r="A957" s="12">
        <v>27.0</v>
      </c>
      <c r="B957" s="7" t="s">
        <v>501</v>
      </c>
      <c r="C957" s="7" t="s">
        <v>920</v>
      </c>
      <c r="I957" s="10" t="s">
        <v>1984</v>
      </c>
      <c r="J957" s="13" t="s">
        <v>1259</v>
      </c>
      <c r="K957" s="13" t="s">
        <v>303</v>
      </c>
      <c r="L957" s="13" t="s">
        <v>1967</v>
      </c>
      <c r="M957" s="6" t="s">
        <v>188</v>
      </c>
      <c r="N957" s="6" t="s">
        <v>188</v>
      </c>
      <c r="O957" s="6" t="s">
        <v>190</v>
      </c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r="958">
      <c r="A958" s="12">
        <v>27.0</v>
      </c>
      <c r="B958" s="7" t="s">
        <v>501</v>
      </c>
      <c r="C958" s="7" t="s">
        <v>920</v>
      </c>
      <c r="I958" s="10" t="s">
        <v>1985</v>
      </c>
      <c r="J958" s="13" t="s">
        <v>1263</v>
      </c>
      <c r="K958" s="13" t="s">
        <v>303</v>
      </c>
      <c r="L958" s="13" t="s">
        <v>1986</v>
      </c>
      <c r="M958" s="6" t="s">
        <v>188</v>
      </c>
      <c r="N958" s="6" t="s">
        <v>188</v>
      </c>
      <c r="O958" s="6" t="s">
        <v>190</v>
      </c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>
      <c r="A959" s="12">
        <v>27.0</v>
      </c>
      <c r="B959" s="7" t="s">
        <v>501</v>
      </c>
      <c r="C959" s="7" t="s">
        <v>920</v>
      </c>
      <c r="I959" s="10" t="s">
        <v>1987</v>
      </c>
      <c r="J959" s="13" t="s">
        <v>1255</v>
      </c>
      <c r="K959" s="13" t="s">
        <v>303</v>
      </c>
      <c r="L959" s="13" t="s">
        <v>1967</v>
      </c>
      <c r="M959" s="6" t="s">
        <v>188</v>
      </c>
      <c r="N959" s="6" t="s">
        <v>188</v>
      </c>
      <c r="O959" s="6" t="s">
        <v>190</v>
      </c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>
      <c r="A960" s="12">
        <v>27.0</v>
      </c>
      <c r="B960" s="7" t="s">
        <v>501</v>
      </c>
      <c r="C960" s="7" t="s">
        <v>920</v>
      </c>
      <c r="I960" s="10" t="s">
        <v>1164</v>
      </c>
      <c r="J960" s="13" t="s">
        <v>1259</v>
      </c>
      <c r="K960" s="13" t="s">
        <v>303</v>
      </c>
      <c r="L960" s="13" t="s">
        <v>1967</v>
      </c>
      <c r="M960" s="6" t="s">
        <v>188</v>
      </c>
      <c r="N960" s="6" t="s">
        <v>188</v>
      </c>
      <c r="O960" s="6" t="s">
        <v>190</v>
      </c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>
      <c r="A961" s="12">
        <v>27.0</v>
      </c>
      <c r="B961" s="7" t="s">
        <v>501</v>
      </c>
      <c r="C961" s="7" t="s">
        <v>920</v>
      </c>
      <c r="I961" s="10" t="s">
        <v>1988</v>
      </c>
      <c r="J961" s="13" t="s">
        <v>1263</v>
      </c>
      <c r="K961" s="13" t="s">
        <v>303</v>
      </c>
      <c r="L961" s="13" t="s">
        <v>1972</v>
      </c>
      <c r="M961" s="6" t="s">
        <v>188</v>
      </c>
      <c r="N961" s="6" t="s">
        <v>188</v>
      </c>
      <c r="O961" s="6" t="s">
        <v>190</v>
      </c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>
      <c r="A962" s="12">
        <v>28.0</v>
      </c>
      <c r="B962" s="7" t="s">
        <v>513</v>
      </c>
      <c r="C962" s="7" t="s">
        <v>1268</v>
      </c>
      <c r="D962" s="26">
        <f>IF(COUNTIF($B$2:$B962,$B962)&gt;1,"",COUNTIF($B$2:$B$3400,$B962))</f>
        <v>200</v>
      </c>
      <c r="E962" s="26">
        <f>IF(COUNTIF($B$2:$B962,$B962)&gt;1,"",COUNTIFS($B$2:$B$3400,$B962,$K$2:$K$3400,"PHÙ HỢP CAO"))</f>
        <v>3</v>
      </c>
      <c r="F962" s="26">
        <f>IF(COUNTIF($B$2:$B962,$B962)&gt;1,"",COUNTIFS($B$2:$B$3400,$B962,$K$2:$K$3400,"CÓ THỂ ĐI"))</f>
        <v>2</v>
      </c>
      <c r="G962" s="26">
        <f>IF(COUNTIF($B$2:$B962,$B962)&gt;1,"",COUNTIFS($B$2:$B$3400,$B962,$K$2:$K$3400,"CẦN SOÁT"))</f>
        <v>195</v>
      </c>
      <c r="H962" s="27" t="str">
        <f>IFERROR(__xludf.DUMMYFUNCTION("IF(COUNTIF($B$2:$B962,$B962)&gt;1,"""",IFERROR(TEXTJOIN(CHAR(10),TRUE,BYROW(QUERY({$B$2:$B$3400,$J$2:$J$3400},""select Col2, count(Col2) where Col1 = '""&amp;$B962&amp;""' group by Col2 order by count(Col2) desc label count(Col2) ''"",0),LAMBDA(r,INDEX(r,1,1)&amp;"" – "&amp;"""&amp;INDEX(r,1,2)&amp;"" link""))),""""))"),"cic là gì – 50 link
kiểm tra cic – 50 link
tra cứu cic – 50 link
tra cứu cic miễn phí – 50 link")</f>
        <v>cic là gì – 50 link
kiểm tra cic – 50 link
tra cứu cic – 50 link
tra cứu cic miễn phí – 50 link</v>
      </c>
      <c r="I962" s="10" t="s">
        <v>1269</v>
      </c>
      <c r="J962" s="13" t="s">
        <v>774</v>
      </c>
      <c r="K962" s="13" t="s">
        <v>184</v>
      </c>
      <c r="L962" s="13" t="s">
        <v>1989</v>
      </c>
      <c r="M962" s="6" t="s">
        <v>188</v>
      </c>
      <c r="N962" s="6" t="s">
        <v>188</v>
      </c>
      <c r="O962" s="6" t="s">
        <v>190</v>
      </c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>
      <c r="A963" s="12">
        <v>28.0</v>
      </c>
      <c r="B963" s="7" t="s">
        <v>513</v>
      </c>
      <c r="C963" s="7" t="s">
        <v>1268</v>
      </c>
      <c r="I963" s="10" t="s">
        <v>1274</v>
      </c>
      <c r="J963" s="13" t="s">
        <v>775</v>
      </c>
      <c r="K963" s="13" t="s">
        <v>184</v>
      </c>
      <c r="L963" s="13" t="s">
        <v>1990</v>
      </c>
      <c r="M963" s="6" t="s">
        <v>188</v>
      </c>
      <c r="N963" s="6" t="s">
        <v>188</v>
      </c>
      <c r="O963" s="6" t="s">
        <v>190</v>
      </c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</row>
    <row r="964">
      <c r="A964" s="12">
        <v>28.0</v>
      </c>
      <c r="B964" s="7" t="s">
        <v>513</v>
      </c>
      <c r="C964" s="7" t="s">
        <v>1268</v>
      </c>
      <c r="I964" s="10" t="s">
        <v>1277</v>
      </c>
      <c r="J964" s="13" t="s">
        <v>776</v>
      </c>
      <c r="K964" s="13" t="s">
        <v>184</v>
      </c>
      <c r="L964" s="13" t="s">
        <v>1991</v>
      </c>
      <c r="M964" s="6" t="s">
        <v>188</v>
      </c>
      <c r="N964" s="6" t="s">
        <v>188</v>
      </c>
      <c r="O964" s="6" t="s">
        <v>190</v>
      </c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>
      <c r="A965" s="12">
        <v>28.0</v>
      </c>
      <c r="B965" s="7" t="s">
        <v>513</v>
      </c>
      <c r="C965" s="7" t="s">
        <v>1268</v>
      </c>
      <c r="I965" s="10" t="s">
        <v>1281</v>
      </c>
      <c r="J965" s="13" t="s">
        <v>777</v>
      </c>
      <c r="K965" s="13" t="s">
        <v>283</v>
      </c>
      <c r="L965" s="13" t="s">
        <v>1992</v>
      </c>
      <c r="M965" s="6" t="s">
        <v>188</v>
      </c>
      <c r="N965" s="6" t="s">
        <v>188</v>
      </c>
      <c r="O965" s="6" t="s">
        <v>190</v>
      </c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>
      <c r="A966" s="12">
        <v>28.0</v>
      </c>
      <c r="B966" s="7" t="s">
        <v>513</v>
      </c>
      <c r="C966" s="7" t="s">
        <v>1268</v>
      </c>
      <c r="I966" s="10" t="s">
        <v>1284</v>
      </c>
      <c r="J966" s="13" t="s">
        <v>774</v>
      </c>
      <c r="K966" s="13" t="s">
        <v>283</v>
      </c>
      <c r="L966" s="13" t="s">
        <v>1993</v>
      </c>
      <c r="M966" s="6" t="s">
        <v>188</v>
      </c>
      <c r="N966" s="6" t="s">
        <v>188</v>
      </c>
      <c r="O966" s="6" t="s">
        <v>190</v>
      </c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</row>
    <row r="967">
      <c r="A967" s="12">
        <v>28.0</v>
      </c>
      <c r="B967" s="7" t="s">
        <v>513</v>
      </c>
      <c r="C967" s="7" t="s">
        <v>1268</v>
      </c>
      <c r="I967" s="10" t="s">
        <v>1924</v>
      </c>
      <c r="J967" s="13" t="s">
        <v>775</v>
      </c>
      <c r="K967" s="13" t="s">
        <v>303</v>
      </c>
      <c r="L967" s="13" t="s">
        <v>1994</v>
      </c>
      <c r="M967" s="6" t="s">
        <v>188</v>
      </c>
      <c r="N967" s="6" t="s">
        <v>188</v>
      </c>
      <c r="O967" s="6" t="s">
        <v>190</v>
      </c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>
      <c r="A968" s="12">
        <v>28.0</v>
      </c>
      <c r="B968" s="7" t="s">
        <v>513</v>
      </c>
      <c r="C968" s="7" t="s">
        <v>1268</v>
      </c>
      <c r="I968" s="10" t="s">
        <v>627</v>
      </c>
      <c r="J968" s="13" t="s">
        <v>776</v>
      </c>
      <c r="K968" s="13" t="s">
        <v>303</v>
      </c>
      <c r="L968" s="13" t="s">
        <v>1995</v>
      </c>
      <c r="M968" s="6" t="s">
        <v>188</v>
      </c>
      <c r="N968" s="6" t="s">
        <v>188</v>
      </c>
      <c r="O968" s="6" t="s">
        <v>190</v>
      </c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>
      <c r="A969" s="12">
        <v>28.0</v>
      </c>
      <c r="B969" s="7" t="s">
        <v>513</v>
      </c>
      <c r="C969" s="7" t="s">
        <v>1268</v>
      </c>
      <c r="I969" s="10" t="s">
        <v>1996</v>
      </c>
      <c r="J969" s="13" t="s">
        <v>777</v>
      </c>
      <c r="K969" s="13" t="s">
        <v>303</v>
      </c>
      <c r="L969" s="13" t="s">
        <v>1997</v>
      </c>
      <c r="M969" s="6" t="s">
        <v>188</v>
      </c>
      <c r="N969" s="6" t="s">
        <v>188</v>
      </c>
      <c r="O969" s="6" t="s">
        <v>190</v>
      </c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>
      <c r="A970" s="12">
        <v>28.0</v>
      </c>
      <c r="B970" s="7" t="s">
        <v>513</v>
      </c>
      <c r="C970" s="7" t="s">
        <v>1268</v>
      </c>
      <c r="I970" s="10" t="s">
        <v>660</v>
      </c>
      <c r="J970" s="13" t="s">
        <v>774</v>
      </c>
      <c r="K970" s="13" t="s">
        <v>303</v>
      </c>
      <c r="L970" s="13" t="s">
        <v>1997</v>
      </c>
      <c r="M970" s="6" t="s">
        <v>188</v>
      </c>
      <c r="N970" s="6" t="s">
        <v>188</v>
      </c>
      <c r="O970" s="6" t="s">
        <v>190</v>
      </c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>
      <c r="A971" s="12">
        <v>28.0</v>
      </c>
      <c r="B971" s="7" t="s">
        <v>513</v>
      </c>
      <c r="C971" s="7" t="s">
        <v>1268</v>
      </c>
      <c r="I971" s="10" t="s">
        <v>1148</v>
      </c>
      <c r="J971" s="13" t="s">
        <v>775</v>
      </c>
      <c r="K971" s="13" t="s">
        <v>303</v>
      </c>
      <c r="L971" s="13" t="s">
        <v>1998</v>
      </c>
      <c r="M971" s="6" t="s">
        <v>188</v>
      </c>
      <c r="N971" s="6" t="s">
        <v>188</v>
      </c>
      <c r="O971" s="6" t="s">
        <v>190</v>
      </c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>
      <c r="A972" s="12">
        <v>28.0</v>
      </c>
      <c r="B972" s="7" t="s">
        <v>513</v>
      </c>
      <c r="C972" s="7" t="s">
        <v>1268</v>
      </c>
      <c r="I972" s="10" t="s">
        <v>1384</v>
      </c>
      <c r="J972" s="13" t="s">
        <v>776</v>
      </c>
      <c r="K972" s="13" t="s">
        <v>303</v>
      </c>
      <c r="L972" s="13" t="s">
        <v>1998</v>
      </c>
      <c r="M972" s="6" t="s">
        <v>188</v>
      </c>
      <c r="N972" s="6" t="s">
        <v>188</v>
      </c>
      <c r="O972" s="6" t="s">
        <v>190</v>
      </c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>
      <c r="A973" s="12">
        <v>28.0</v>
      </c>
      <c r="B973" s="7" t="s">
        <v>513</v>
      </c>
      <c r="C973" s="7" t="s">
        <v>1268</v>
      </c>
      <c r="I973" s="10" t="s">
        <v>1500</v>
      </c>
      <c r="J973" s="13" t="s">
        <v>777</v>
      </c>
      <c r="K973" s="13" t="s">
        <v>303</v>
      </c>
      <c r="L973" s="13" t="s">
        <v>1997</v>
      </c>
      <c r="M973" s="6" t="s">
        <v>188</v>
      </c>
      <c r="N973" s="6" t="s">
        <v>188</v>
      </c>
      <c r="O973" s="6" t="s">
        <v>190</v>
      </c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>
      <c r="A974" s="12">
        <v>28.0</v>
      </c>
      <c r="B974" s="7" t="s">
        <v>513</v>
      </c>
      <c r="C974" s="7" t="s">
        <v>1268</v>
      </c>
      <c r="I974" s="10" t="s">
        <v>1381</v>
      </c>
      <c r="J974" s="13" t="s">
        <v>774</v>
      </c>
      <c r="K974" s="13" t="s">
        <v>303</v>
      </c>
      <c r="L974" s="13" t="s">
        <v>1997</v>
      </c>
      <c r="M974" s="6" t="s">
        <v>188</v>
      </c>
      <c r="N974" s="6" t="s">
        <v>188</v>
      </c>
      <c r="O974" s="6" t="s">
        <v>190</v>
      </c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>
      <c r="A975" s="12">
        <v>28.0</v>
      </c>
      <c r="B975" s="7" t="s">
        <v>513</v>
      </c>
      <c r="C975" s="7" t="s">
        <v>1268</v>
      </c>
      <c r="I975" s="10" t="s">
        <v>1999</v>
      </c>
      <c r="J975" s="13" t="s">
        <v>775</v>
      </c>
      <c r="K975" s="13" t="s">
        <v>303</v>
      </c>
      <c r="L975" s="13" t="s">
        <v>2000</v>
      </c>
      <c r="M975" s="6" t="s">
        <v>188</v>
      </c>
      <c r="N975" s="6" t="s">
        <v>188</v>
      </c>
      <c r="O975" s="6" t="s">
        <v>190</v>
      </c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>
      <c r="A976" s="12">
        <v>28.0</v>
      </c>
      <c r="B976" s="7" t="s">
        <v>513</v>
      </c>
      <c r="C976" s="7" t="s">
        <v>1268</v>
      </c>
      <c r="I976" s="10" t="s">
        <v>1366</v>
      </c>
      <c r="J976" s="13" t="s">
        <v>776</v>
      </c>
      <c r="K976" s="13" t="s">
        <v>303</v>
      </c>
      <c r="L976" s="13" t="s">
        <v>1997</v>
      </c>
      <c r="M976" s="6" t="s">
        <v>188</v>
      </c>
      <c r="N976" s="6" t="s">
        <v>188</v>
      </c>
      <c r="O976" s="6" t="s">
        <v>190</v>
      </c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>
      <c r="A977" s="12">
        <v>28.0</v>
      </c>
      <c r="B977" s="7" t="s">
        <v>513</v>
      </c>
      <c r="C977" s="7" t="s">
        <v>1268</v>
      </c>
      <c r="I977" s="10" t="s">
        <v>1890</v>
      </c>
      <c r="J977" s="13" t="s">
        <v>777</v>
      </c>
      <c r="K977" s="13" t="s">
        <v>303</v>
      </c>
      <c r="L977" s="13" t="s">
        <v>1995</v>
      </c>
      <c r="M977" s="6" t="s">
        <v>188</v>
      </c>
      <c r="N977" s="6" t="s">
        <v>188</v>
      </c>
      <c r="O977" s="6" t="s">
        <v>190</v>
      </c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>
      <c r="A978" s="12">
        <v>28.0</v>
      </c>
      <c r="B978" s="7" t="s">
        <v>513</v>
      </c>
      <c r="C978" s="7" t="s">
        <v>1268</v>
      </c>
      <c r="I978" s="10" t="s">
        <v>1391</v>
      </c>
      <c r="J978" s="13" t="s">
        <v>774</v>
      </c>
      <c r="K978" s="13" t="s">
        <v>303</v>
      </c>
      <c r="L978" s="13" t="s">
        <v>1997</v>
      </c>
      <c r="M978" s="6" t="s">
        <v>188</v>
      </c>
      <c r="N978" s="6" t="s">
        <v>188</v>
      </c>
      <c r="O978" s="6" t="s">
        <v>190</v>
      </c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>
      <c r="A979" s="12">
        <v>28.0</v>
      </c>
      <c r="B979" s="7" t="s">
        <v>513</v>
      </c>
      <c r="C979" s="7" t="s">
        <v>1268</v>
      </c>
      <c r="I979" s="10" t="s">
        <v>2001</v>
      </c>
      <c r="J979" s="13" t="s">
        <v>775</v>
      </c>
      <c r="K979" s="13" t="s">
        <v>303</v>
      </c>
      <c r="L979" s="13" t="s">
        <v>1994</v>
      </c>
      <c r="M979" s="6" t="s">
        <v>188</v>
      </c>
      <c r="N979" s="6" t="s">
        <v>188</v>
      </c>
      <c r="O979" s="6" t="s">
        <v>190</v>
      </c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>
      <c r="A980" s="12">
        <v>28.0</v>
      </c>
      <c r="B980" s="7" t="s">
        <v>513</v>
      </c>
      <c r="C980" s="7" t="s">
        <v>1268</v>
      </c>
      <c r="I980" s="10" t="s">
        <v>1377</v>
      </c>
      <c r="J980" s="13" t="s">
        <v>776</v>
      </c>
      <c r="K980" s="13" t="s">
        <v>303</v>
      </c>
      <c r="L980" s="13" t="s">
        <v>1997</v>
      </c>
      <c r="M980" s="6" t="s">
        <v>188</v>
      </c>
      <c r="N980" s="6" t="s">
        <v>188</v>
      </c>
      <c r="O980" s="6" t="s">
        <v>190</v>
      </c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>
      <c r="A981" s="12">
        <v>28.0</v>
      </c>
      <c r="B981" s="7" t="s">
        <v>513</v>
      </c>
      <c r="C981" s="7" t="s">
        <v>1268</v>
      </c>
      <c r="I981" s="10" t="s">
        <v>604</v>
      </c>
      <c r="J981" s="13" t="s">
        <v>777</v>
      </c>
      <c r="K981" s="13" t="s">
        <v>303</v>
      </c>
      <c r="L981" s="13" t="s">
        <v>1994</v>
      </c>
      <c r="M981" s="6" t="s">
        <v>188</v>
      </c>
      <c r="N981" s="6" t="s">
        <v>188</v>
      </c>
      <c r="O981" s="6" t="s">
        <v>190</v>
      </c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>
      <c r="A982" s="12">
        <v>28.0</v>
      </c>
      <c r="B982" s="7" t="s">
        <v>513</v>
      </c>
      <c r="C982" s="7" t="s">
        <v>1268</v>
      </c>
      <c r="I982" s="10" t="s">
        <v>1894</v>
      </c>
      <c r="J982" s="13" t="s">
        <v>774</v>
      </c>
      <c r="K982" s="13" t="s">
        <v>303</v>
      </c>
      <c r="L982" s="13" t="s">
        <v>2002</v>
      </c>
      <c r="M982" s="6" t="s">
        <v>188</v>
      </c>
      <c r="N982" s="6" t="s">
        <v>188</v>
      </c>
      <c r="O982" s="6" t="s">
        <v>190</v>
      </c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</row>
    <row r="983">
      <c r="A983" s="12">
        <v>28.0</v>
      </c>
      <c r="B983" s="7" t="s">
        <v>513</v>
      </c>
      <c r="C983" s="7" t="s">
        <v>1268</v>
      </c>
      <c r="I983" s="10" t="s">
        <v>1156</v>
      </c>
      <c r="J983" s="13" t="s">
        <v>775</v>
      </c>
      <c r="K983" s="13" t="s">
        <v>303</v>
      </c>
      <c r="L983" s="13" t="s">
        <v>1994</v>
      </c>
      <c r="M983" s="6" t="s">
        <v>188</v>
      </c>
      <c r="N983" s="6" t="s">
        <v>188</v>
      </c>
      <c r="O983" s="6" t="s">
        <v>190</v>
      </c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r="984">
      <c r="A984" s="12">
        <v>28.0</v>
      </c>
      <c r="B984" s="7" t="s">
        <v>513</v>
      </c>
      <c r="C984" s="7" t="s">
        <v>1268</v>
      </c>
      <c r="I984" s="13" t="s">
        <v>2003</v>
      </c>
      <c r="J984" s="13" t="s">
        <v>776</v>
      </c>
      <c r="K984" s="13" t="s">
        <v>303</v>
      </c>
      <c r="L984" s="13" t="s">
        <v>2004</v>
      </c>
      <c r="M984" s="6" t="s">
        <v>188</v>
      </c>
      <c r="N984" s="6" t="s">
        <v>188</v>
      </c>
      <c r="O984" s="6" t="s">
        <v>190</v>
      </c>
      <c r="P984" s="7" t="s">
        <v>333</v>
      </c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</row>
    <row r="985">
      <c r="A985" s="12">
        <v>28.0</v>
      </c>
      <c r="B985" s="7" t="s">
        <v>513</v>
      </c>
      <c r="C985" s="7" t="s">
        <v>1268</v>
      </c>
      <c r="I985" s="13" t="s">
        <v>1387</v>
      </c>
      <c r="J985" s="13" t="s">
        <v>777</v>
      </c>
      <c r="K985" s="13" t="s">
        <v>303</v>
      </c>
      <c r="L985" s="13" t="s">
        <v>2005</v>
      </c>
      <c r="M985" s="6" t="s">
        <v>188</v>
      </c>
      <c r="N985" s="6" t="s">
        <v>188</v>
      </c>
      <c r="O985" s="6" t="s">
        <v>190</v>
      </c>
      <c r="P985" s="7" t="s">
        <v>333</v>
      </c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  <row r="986">
      <c r="A986" s="12">
        <v>28.0</v>
      </c>
      <c r="B986" s="7" t="s">
        <v>513</v>
      </c>
      <c r="C986" s="7" t="s">
        <v>1268</v>
      </c>
      <c r="I986" s="13" t="s">
        <v>2006</v>
      </c>
      <c r="J986" s="13" t="s">
        <v>774</v>
      </c>
      <c r="K986" s="13" t="s">
        <v>303</v>
      </c>
      <c r="L986" s="13" t="s">
        <v>2004</v>
      </c>
      <c r="M986" s="6" t="s">
        <v>188</v>
      </c>
      <c r="N986" s="6" t="s">
        <v>188</v>
      </c>
      <c r="O986" s="6" t="s">
        <v>190</v>
      </c>
      <c r="P986" s="7" t="s">
        <v>333</v>
      </c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r="987">
      <c r="A987" s="12">
        <v>28.0</v>
      </c>
      <c r="B987" s="7" t="s">
        <v>513</v>
      </c>
      <c r="C987" s="7" t="s">
        <v>1268</v>
      </c>
      <c r="I987" s="13" t="s">
        <v>523</v>
      </c>
      <c r="J987" s="13" t="s">
        <v>775</v>
      </c>
      <c r="K987" s="13" t="s">
        <v>303</v>
      </c>
      <c r="L987" s="13" t="s">
        <v>2004</v>
      </c>
      <c r="M987" s="6" t="s">
        <v>188</v>
      </c>
      <c r="N987" s="6" t="s">
        <v>188</v>
      </c>
      <c r="O987" s="6" t="s">
        <v>190</v>
      </c>
      <c r="P987" s="7" t="s">
        <v>333</v>
      </c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r="988">
      <c r="A988" s="12">
        <v>28.0</v>
      </c>
      <c r="B988" s="7" t="s">
        <v>513</v>
      </c>
      <c r="C988" s="7" t="s">
        <v>1268</v>
      </c>
      <c r="I988" s="13" t="s">
        <v>1298</v>
      </c>
      <c r="J988" s="13" t="s">
        <v>776</v>
      </c>
      <c r="K988" s="13" t="s">
        <v>303</v>
      </c>
      <c r="L988" s="13" t="s">
        <v>2004</v>
      </c>
      <c r="M988" s="6" t="s">
        <v>188</v>
      </c>
      <c r="N988" s="6" t="s">
        <v>188</v>
      </c>
      <c r="O988" s="6" t="s">
        <v>190</v>
      </c>
      <c r="P988" s="7" t="s">
        <v>333</v>
      </c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r="989">
      <c r="A989" s="12">
        <v>28.0</v>
      </c>
      <c r="B989" s="7" t="s">
        <v>513</v>
      </c>
      <c r="C989" s="7" t="s">
        <v>1268</v>
      </c>
      <c r="I989" s="13" t="s">
        <v>1728</v>
      </c>
      <c r="J989" s="13" t="s">
        <v>777</v>
      </c>
      <c r="K989" s="13" t="s">
        <v>303</v>
      </c>
      <c r="L989" s="13" t="s">
        <v>2004</v>
      </c>
      <c r="M989" s="6" t="s">
        <v>188</v>
      </c>
      <c r="N989" s="6" t="s">
        <v>188</v>
      </c>
      <c r="O989" s="6" t="s">
        <v>190</v>
      </c>
      <c r="P989" s="7" t="s">
        <v>333</v>
      </c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r="990">
      <c r="A990" s="12">
        <v>28.0</v>
      </c>
      <c r="B990" s="7" t="s">
        <v>513</v>
      </c>
      <c r="C990" s="7" t="s">
        <v>1268</v>
      </c>
      <c r="I990" s="13" t="s">
        <v>2007</v>
      </c>
      <c r="J990" s="13" t="s">
        <v>774</v>
      </c>
      <c r="K990" s="13" t="s">
        <v>303</v>
      </c>
      <c r="L990" s="13" t="s">
        <v>2004</v>
      </c>
      <c r="M990" s="6" t="s">
        <v>188</v>
      </c>
      <c r="N990" s="6" t="s">
        <v>188</v>
      </c>
      <c r="O990" s="6" t="s">
        <v>190</v>
      </c>
      <c r="P990" s="7" t="s">
        <v>333</v>
      </c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r="991">
      <c r="A991" s="12">
        <v>28.0</v>
      </c>
      <c r="B991" s="7" t="s">
        <v>513</v>
      </c>
      <c r="C991" s="7" t="s">
        <v>1268</v>
      </c>
      <c r="I991" s="13" t="s">
        <v>1743</v>
      </c>
      <c r="J991" s="13" t="s">
        <v>775</v>
      </c>
      <c r="K991" s="13" t="s">
        <v>303</v>
      </c>
      <c r="L991" s="13" t="s">
        <v>2004</v>
      </c>
      <c r="M991" s="6" t="s">
        <v>188</v>
      </c>
      <c r="N991" s="6" t="s">
        <v>188</v>
      </c>
      <c r="O991" s="6" t="s">
        <v>190</v>
      </c>
      <c r="P991" s="7" t="s">
        <v>333</v>
      </c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r="992">
      <c r="A992" s="12">
        <v>28.0</v>
      </c>
      <c r="B992" s="7" t="s">
        <v>513</v>
      </c>
      <c r="C992" s="7" t="s">
        <v>1268</v>
      </c>
      <c r="I992" s="13" t="s">
        <v>2008</v>
      </c>
      <c r="J992" s="13" t="s">
        <v>776</v>
      </c>
      <c r="K992" s="13" t="s">
        <v>303</v>
      </c>
      <c r="L992" s="13" t="s">
        <v>2009</v>
      </c>
      <c r="M992" s="6" t="s">
        <v>188</v>
      </c>
      <c r="N992" s="6" t="s">
        <v>188</v>
      </c>
      <c r="O992" s="6" t="s">
        <v>190</v>
      </c>
      <c r="P992" s="7" t="s">
        <v>333</v>
      </c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</row>
    <row r="993">
      <c r="A993" s="12">
        <v>28.0</v>
      </c>
      <c r="B993" s="7" t="s">
        <v>513</v>
      </c>
      <c r="C993" s="7" t="s">
        <v>1268</v>
      </c>
      <c r="I993" s="13" t="s">
        <v>2010</v>
      </c>
      <c r="J993" s="13" t="s">
        <v>777</v>
      </c>
      <c r="K993" s="13" t="s">
        <v>303</v>
      </c>
      <c r="L993" s="13" t="s">
        <v>2011</v>
      </c>
      <c r="M993" s="6" t="s">
        <v>188</v>
      </c>
      <c r="N993" s="6" t="s">
        <v>188</v>
      </c>
      <c r="O993" s="6" t="s">
        <v>190</v>
      </c>
      <c r="P993" s="7" t="s">
        <v>333</v>
      </c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</row>
    <row r="994">
      <c r="A994" s="12">
        <v>28.0</v>
      </c>
      <c r="B994" s="7" t="s">
        <v>513</v>
      </c>
      <c r="C994" s="7" t="s">
        <v>1268</v>
      </c>
      <c r="I994" s="13" t="s">
        <v>1264</v>
      </c>
      <c r="J994" s="13" t="s">
        <v>774</v>
      </c>
      <c r="K994" s="13" t="s">
        <v>303</v>
      </c>
      <c r="L994" s="13" t="s">
        <v>2012</v>
      </c>
      <c r="M994" s="6" t="s">
        <v>188</v>
      </c>
      <c r="N994" s="6" t="s">
        <v>188</v>
      </c>
      <c r="O994" s="6" t="s">
        <v>190</v>
      </c>
      <c r="P994" s="7" t="s">
        <v>333</v>
      </c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</row>
    <row r="995">
      <c r="A995" s="12">
        <v>28.0</v>
      </c>
      <c r="B995" s="7" t="s">
        <v>513</v>
      </c>
      <c r="C995" s="7" t="s">
        <v>1268</v>
      </c>
      <c r="I995" s="13" t="s">
        <v>2013</v>
      </c>
      <c r="J995" s="13" t="s">
        <v>775</v>
      </c>
      <c r="K995" s="13" t="s">
        <v>303</v>
      </c>
      <c r="L995" s="13" t="s">
        <v>2011</v>
      </c>
      <c r="M995" s="6" t="s">
        <v>188</v>
      </c>
      <c r="N995" s="6" t="s">
        <v>188</v>
      </c>
      <c r="O995" s="6" t="s">
        <v>190</v>
      </c>
      <c r="P995" s="7" t="s">
        <v>333</v>
      </c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</row>
    <row r="996">
      <c r="A996" s="12">
        <v>28.0</v>
      </c>
      <c r="B996" s="7" t="s">
        <v>513</v>
      </c>
      <c r="C996" s="7" t="s">
        <v>1268</v>
      </c>
      <c r="I996" s="13" t="s">
        <v>2014</v>
      </c>
      <c r="J996" s="13" t="s">
        <v>776</v>
      </c>
      <c r="K996" s="13" t="s">
        <v>303</v>
      </c>
      <c r="L996" s="13" t="s">
        <v>2011</v>
      </c>
      <c r="M996" s="6" t="s">
        <v>188</v>
      </c>
      <c r="N996" s="6" t="s">
        <v>188</v>
      </c>
      <c r="O996" s="6" t="s">
        <v>190</v>
      </c>
      <c r="P996" s="7" t="s">
        <v>333</v>
      </c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</row>
    <row r="997">
      <c r="A997" s="12">
        <v>28.0</v>
      </c>
      <c r="B997" s="7" t="s">
        <v>513</v>
      </c>
      <c r="C997" s="7" t="s">
        <v>1268</v>
      </c>
      <c r="I997" s="13" t="s">
        <v>2015</v>
      </c>
      <c r="J997" s="13" t="s">
        <v>777</v>
      </c>
      <c r="K997" s="13" t="s">
        <v>303</v>
      </c>
      <c r="L997" s="13" t="s">
        <v>2011</v>
      </c>
      <c r="M997" s="6" t="s">
        <v>188</v>
      </c>
      <c r="N997" s="6" t="s">
        <v>188</v>
      </c>
      <c r="O997" s="6" t="s">
        <v>190</v>
      </c>
      <c r="P997" s="7" t="s">
        <v>333</v>
      </c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</row>
    <row r="998">
      <c r="A998" s="12">
        <v>28.0</v>
      </c>
      <c r="B998" s="7" t="s">
        <v>513</v>
      </c>
      <c r="C998" s="7" t="s">
        <v>1268</v>
      </c>
      <c r="I998" s="13" t="s">
        <v>1868</v>
      </c>
      <c r="J998" s="13" t="s">
        <v>774</v>
      </c>
      <c r="K998" s="13" t="s">
        <v>303</v>
      </c>
      <c r="L998" s="13" t="s">
        <v>2011</v>
      </c>
      <c r="M998" s="6" t="s">
        <v>188</v>
      </c>
      <c r="N998" s="6" t="s">
        <v>188</v>
      </c>
      <c r="O998" s="6" t="s">
        <v>190</v>
      </c>
      <c r="P998" s="7" t="s">
        <v>333</v>
      </c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</row>
    <row r="999">
      <c r="A999" s="12">
        <v>28.0</v>
      </c>
      <c r="B999" s="7" t="s">
        <v>513</v>
      </c>
      <c r="C999" s="7" t="s">
        <v>1268</v>
      </c>
      <c r="I999" s="13" t="s">
        <v>1350</v>
      </c>
      <c r="J999" s="13" t="s">
        <v>775</v>
      </c>
      <c r="K999" s="13" t="s">
        <v>303</v>
      </c>
      <c r="L999" s="13" t="s">
        <v>2011</v>
      </c>
      <c r="M999" s="6" t="s">
        <v>188</v>
      </c>
      <c r="N999" s="6" t="s">
        <v>188</v>
      </c>
      <c r="O999" s="6" t="s">
        <v>190</v>
      </c>
      <c r="P999" s="7" t="s">
        <v>333</v>
      </c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</row>
    <row r="1000">
      <c r="A1000" s="12">
        <v>28.0</v>
      </c>
      <c r="B1000" s="7" t="s">
        <v>513</v>
      </c>
      <c r="C1000" s="7" t="s">
        <v>1268</v>
      </c>
      <c r="I1000" s="13" t="s">
        <v>1918</v>
      </c>
      <c r="J1000" s="13" t="s">
        <v>776</v>
      </c>
      <c r="K1000" s="13" t="s">
        <v>303</v>
      </c>
      <c r="L1000" s="13" t="s">
        <v>2009</v>
      </c>
      <c r="M1000" s="6" t="s">
        <v>188</v>
      </c>
      <c r="N1000" s="6" t="s">
        <v>188</v>
      </c>
      <c r="O1000" s="6" t="s">
        <v>190</v>
      </c>
      <c r="P1000" s="7" t="s">
        <v>333</v>
      </c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</row>
    <row r="1001">
      <c r="A1001" s="12">
        <v>28.0</v>
      </c>
      <c r="B1001" s="7" t="s">
        <v>513</v>
      </c>
      <c r="C1001" s="7" t="s">
        <v>1268</v>
      </c>
      <c r="I1001" s="13" t="s">
        <v>1347</v>
      </c>
      <c r="J1001" s="13" t="s">
        <v>777</v>
      </c>
      <c r="K1001" s="13" t="s">
        <v>303</v>
      </c>
      <c r="L1001" s="13" t="s">
        <v>2012</v>
      </c>
      <c r="M1001" s="6" t="s">
        <v>188</v>
      </c>
      <c r="N1001" s="6" t="s">
        <v>188</v>
      </c>
      <c r="O1001" s="6" t="s">
        <v>190</v>
      </c>
      <c r="P1001" s="7" t="s">
        <v>333</v>
      </c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</row>
    <row r="1002">
      <c r="A1002" s="12">
        <v>28.0</v>
      </c>
      <c r="B1002" s="7" t="s">
        <v>513</v>
      </c>
      <c r="C1002" s="7" t="s">
        <v>1268</v>
      </c>
      <c r="I1002" s="13" t="s">
        <v>1856</v>
      </c>
      <c r="J1002" s="13" t="s">
        <v>774</v>
      </c>
      <c r="K1002" s="13" t="s">
        <v>303</v>
      </c>
      <c r="L1002" s="13" t="s">
        <v>2012</v>
      </c>
      <c r="M1002" s="6" t="s">
        <v>188</v>
      </c>
      <c r="N1002" s="6" t="s">
        <v>188</v>
      </c>
      <c r="O1002" s="6" t="s">
        <v>190</v>
      </c>
      <c r="P1002" s="7" t="s">
        <v>333</v>
      </c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</row>
    <row r="1003">
      <c r="A1003" s="12">
        <v>28.0</v>
      </c>
      <c r="B1003" s="7" t="s">
        <v>513</v>
      </c>
      <c r="C1003" s="7" t="s">
        <v>1268</v>
      </c>
      <c r="I1003" s="13" t="s">
        <v>1980</v>
      </c>
      <c r="J1003" s="13" t="s">
        <v>775</v>
      </c>
      <c r="K1003" s="13" t="s">
        <v>303</v>
      </c>
      <c r="L1003" s="13" t="s">
        <v>2004</v>
      </c>
      <c r="M1003" s="6" t="s">
        <v>188</v>
      </c>
      <c r="N1003" s="6" t="s">
        <v>188</v>
      </c>
      <c r="O1003" s="6" t="s">
        <v>190</v>
      </c>
      <c r="P1003" s="7" t="s">
        <v>333</v>
      </c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</row>
    <row r="1004">
      <c r="A1004" s="12">
        <v>28.0</v>
      </c>
      <c r="B1004" s="7" t="s">
        <v>513</v>
      </c>
      <c r="C1004" s="7" t="s">
        <v>1268</v>
      </c>
      <c r="I1004" s="13" t="s">
        <v>2016</v>
      </c>
      <c r="J1004" s="13" t="s">
        <v>776</v>
      </c>
      <c r="K1004" s="13" t="s">
        <v>303</v>
      </c>
      <c r="L1004" s="13" t="s">
        <v>2004</v>
      </c>
      <c r="M1004" s="6" t="s">
        <v>188</v>
      </c>
      <c r="N1004" s="6" t="s">
        <v>188</v>
      </c>
      <c r="O1004" s="6" t="s">
        <v>190</v>
      </c>
      <c r="P1004" s="7" t="s">
        <v>333</v>
      </c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</row>
    <row r="1005">
      <c r="A1005" s="12">
        <v>28.0</v>
      </c>
      <c r="B1005" s="7" t="s">
        <v>513</v>
      </c>
      <c r="C1005" s="7" t="s">
        <v>1268</v>
      </c>
      <c r="I1005" s="13" t="s">
        <v>579</v>
      </c>
      <c r="J1005" s="13" t="s">
        <v>777</v>
      </c>
      <c r="K1005" s="13" t="s">
        <v>303</v>
      </c>
      <c r="L1005" s="13" t="s">
        <v>2017</v>
      </c>
      <c r="M1005" s="6" t="s">
        <v>188</v>
      </c>
      <c r="N1005" s="6" t="s">
        <v>188</v>
      </c>
      <c r="O1005" s="6" t="s">
        <v>190</v>
      </c>
      <c r="P1005" s="7" t="s">
        <v>333</v>
      </c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</row>
    <row r="1006">
      <c r="A1006" s="12">
        <v>28.0</v>
      </c>
      <c r="B1006" s="7" t="s">
        <v>513</v>
      </c>
      <c r="C1006" s="7" t="s">
        <v>1268</v>
      </c>
      <c r="I1006" s="13" t="s">
        <v>549</v>
      </c>
      <c r="J1006" s="13" t="s">
        <v>774</v>
      </c>
      <c r="K1006" s="13" t="s">
        <v>303</v>
      </c>
      <c r="L1006" s="13" t="s">
        <v>2018</v>
      </c>
      <c r="M1006" s="6" t="s">
        <v>188</v>
      </c>
      <c r="N1006" s="6" t="s">
        <v>188</v>
      </c>
      <c r="O1006" s="6" t="s">
        <v>190</v>
      </c>
      <c r="P1006" s="7" t="s">
        <v>333</v>
      </c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</row>
    <row r="1007">
      <c r="A1007" s="12">
        <v>28.0</v>
      </c>
      <c r="B1007" s="7" t="s">
        <v>513</v>
      </c>
      <c r="C1007" s="7" t="s">
        <v>1268</v>
      </c>
      <c r="I1007" s="13" t="s">
        <v>2019</v>
      </c>
      <c r="J1007" s="13" t="s">
        <v>775</v>
      </c>
      <c r="K1007" s="13" t="s">
        <v>303</v>
      </c>
      <c r="L1007" s="13" t="s">
        <v>2011</v>
      </c>
      <c r="M1007" s="6" t="s">
        <v>188</v>
      </c>
      <c r="N1007" s="6" t="s">
        <v>188</v>
      </c>
      <c r="O1007" s="6" t="s">
        <v>190</v>
      </c>
      <c r="P1007" s="7" t="s">
        <v>333</v>
      </c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</row>
    <row r="1008">
      <c r="A1008" s="12">
        <v>28.0</v>
      </c>
      <c r="B1008" s="7" t="s">
        <v>513</v>
      </c>
      <c r="C1008" s="7" t="s">
        <v>1268</v>
      </c>
      <c r="I1008" s="13" t="s">
        <v>1626</v>
      </c>
      <c r="J1008" s="13" t="s">
        <v>776</v>
      </c>
      <c r="K1008" s="13" t="s">
        <v>303</v>
      </c>
      <c r="L1008" s="13" t="s">
        <v>2004</v>
      </c>
      <c r="M1008" s="6" t="s">
        <v>188</v>
      </c>
      <c r="N1008" s="6" t="s">
        <v>188</v>
      </c>
      <c r="O1008" s="6" t="s">
        <v>190</v>
      </c>
      <c r="P1008" s="7" t="s">
        <v>333</v>
      </c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</row>
    <row r="1009">
      <c r="A1009" s="12">
        <v>28.0</v>
      </c>
      <c r="B1009" s="7" t="s">
        <v>513</v>
      </c>
      <c r="C1009" s="7" t="s">
        <v>1268</v>
      </c>
      <c r="I1009" s="13" t="s">
        <v>2020</v>
      </c>
      <c r="J1009" s="13" t="s">
        <v>777</v>
      </c>
      <c r="K1009" s="13" t="s">
        <v>303</v>
      </c>
      <c r="L1009" s="13" t="s">
        <v>2021</v>
      </c>
      <c r="M1009" s="6" t="s">
        <v>188</v>
      </c>
      <c r="N1009" s="6" t="s">
        <v>188</v>
      </c>
      <c r="O1009" s="6" t="s">
        <v>190</v>
      </c>
      <c r="P1009" s="7" t="s">
        <v>333</v>
      </c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</row>
    <row r="1010">
      <c r="A1010" s="12">
        <v>28.0</v>
      </c>
      <c r="B1010" s="7" t="s">
        <v>513</v>
      </c>
      <c r="C1010" s="7" t="s">
        <v>1268</v>
      </c>
      <c r="I1010" s="13" t="s">
        <v>2022</v>
      </c>
      <c r="J1010" s="13" t="s">
        <v>774</v>
      </c>
      <c r="K1010" s="13" t="s">
        <v>303</v>
      </c>
      <c r="L1010" s="13" t="s">
        <v>2021</v>
      </c>
      <c r="M1010" s="6" t="s">
        <v>188</v>
      </c>
      <c r="N1010" s="6" t="s">
        <v>188</v>
      </c>
      <c r="O1010" s="6" t="s">
        <v>190</v>
      </c>
      <c r="P1010" s="7" t="s">
        <v>333</v>
      </c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</row>
    <row r="1011">
      <c r="A1011" s="12">
        <v>28.0</v>
      </c>
      <c r="B1011" s="7" t="s">
        <v>513</v>
      </c>
      <c r="C1011" s="7" t="s">
        <v>1268</v>
      </c>
      <c r="I1011" s="13" t="s">
        <v>2023</v>
      </c>
      <c r="J1011" s="13" t="s">
        <v>775</v>
      </c>
      <c r="K1011" s="13" t="s">
        <v>303</v>
      </c>
      <c r="L1011" s="13" t="s">
        <v>2021</v>
      </c>
      <c r="M1011" s="6" t="s">
        <v>188</v>
      </c>
      <c r="N1011" s="6" t="s">
        <v>188</v>
      </c>
      <c r="O1011" s="6" t="s">
        <v>190</v>
      </c>
      <c r="P1011" s="7" t="s">
        <v>624</v>
      </c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</row>
    <row r="1012">
      <c r="A1012" s="12">
        <v>28.0</v>
      </c>
      <c r="B1012" s="7" t="s">
        <v>513</v>
      </c>
      <c r="C1012" s="7" t="s">
        <v>1268</v>
      </c>
      <c r="I1012" s="13" t="s">
        <v>2024</v>
      </c>
      <c r="J1012" s="13" t="s">
        <v>776</v>
      </c>
      <c r="K1012" s="13" t="s">
        <v>303</v>
      </c>
      <c r="L1012" s="13" t="s">
        <v>2021</v>
      </c>
      <c r="M1012" s="6" t="s">
        <v>188</v>
      </c>
      <c r="N1012" s="6" t="s">
        <v>188</v>
      </c>
      <c r="O1012" s="6" t="s">
        <v>190</v>
      </c>
      <c r="P1012" s="7" t="s">
        <v>333</v>
      </c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</row>
    <row r="1013">
      <c r="A1013" s="12">
        <v>28.0</v>
      </c>
      <c r="B1013" s="7" t="s">
        <v>513</v>
      </c>
      <c r="C1013" s="7" t="s">
        <v>1268</v>
      </c>
      <c r="I1013" s="13" t="s">
        <v>546</v>
      </c>
      <c r="J1013" s="13" t="s">
        <v>777</v>
      </c>
      <c r="K1013" s="13" t="s">
        <v>303</v>
      </c>
      <c r="L1013" s="13" t="s">
        <v>2021</v>
      </c>
      <c r="M1013" s="6" t="s">
        <v>188</v>
      </c>
      <c r="N1013" s="6" t="s">
        <v>188</v>
      </c>
      <c r="O1013" s="6" t="s">
        <v>190</v>
      </c>
      <c r="P1013" s="7" t="s">
        <v>333</v>
      </c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</row>
    <row r="1014">
      <c r="A1014" s="12">
        <v>28.0</v>
      </c>
      <c r="B1014" s="7" t="s">
        <v>513</v>
      </c>
      <c r="C1014" s="7" t="s">
        <v>1268</v>
      </c>
      <c r="I1014" s="13" t="s">
        <v>2025</v>
      </c>
      <c r="J1014" s="13" t="s">
        <v>774</v>
      </c>
      <c r="K1014" s="13" t="s">
        <v>303</v>
      </c>
      <c r="L1014" s="13" t="s">
        <v>2021</v>
      </c>
      <c r="M1014" s="6" t="s">
        <v>188</v>
      </c>
      <c r="N1014" s="6" t="s">
        <v>188</v>
      </c>
      <c r="O1014" s="6" t="s">
        <v>190</v>
      </c>
      <c r="P1014" s="7" t="s">
        <v>333</v>
      </c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</row>
    <row r="1015">
      <c r="A1015" s="12">
        <v>28.0</v>
      </c>
      <c r="B1015" s="7" t="s">
        <v>513</v>
      </c>
      <c r="C1015" s="7" t="s">
        <v>1268</v>
      </c>
      <c r="I1015" s="13" t="s">
        <v>2026</v>
      </c>
      <c r="J1015" s="13" t="s">
        <v>775</v>
      </c>
      <c r="K1015" s="13" t="s">
        <v>303</v>
      </c>
      <c r="L1015" s="13" t="s">
        <v>2021</v>
      </c>
      <c r="M1015" s="6" t="s">
        <v>188</v>
      </c>
      <c r="N1015" s="6" t="s">
        <v>188</v>
      </c>
      <c r="O1015" s="6" t="s">
        <v>190</v>
      </c>
      <c r="P1015" s="7" t="s">
        <v>333</v>
      </c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</row>
    <row r="1016">
      <c r="A1016" s="12">
        <v>28.0</v>
      </c>
      <c r="B1016" s="7" t="s">
        <v>513</v>
      </c>
      <c r="C1016" s="7" t="s">
        <v>1268</v>
      </c>
      <c r="I1016" s="13" t="s">
        <v>2027</v>
      </c>
      <c r="J1016" s="13" t="s">
        <v>776</v>
      </c>
      <c r="K1016" s="13" t="s">
        <v>303</v>
      </c>
      <c r="L1016" s="13" t="s">
        <v>2021</v>
      </c>
      <c r="M1016" s="6" t="s">
        <v>188</v>
      </c>
      <c r="N1016" s="6" t="s">
        <v>188</v>
      </c>
      <c r="O1016" s="6" t="s">
        <v>190</v>
      </c>
      <c r="P1016" s="7" t="s">
        <v>333</v>
      </c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</row>
    <row r="1017">
      <c r="A1017" s="12">
        <v>28.0</v>
      </c>
      <c r="B1017" s="7" t="s">
        <v>513</v>
      </c>
      <c r="C1017" s="7" t="s">
        <v>1268</v>
      </c>
      <c r="I1017" s="13" t="s">
        <v>2028</v>
      </c>
      <c r="J1017" s="13" t="s">
        <v>777</v>
      </c>
      <c r="K1017" s="13" t="s">
        <v>303</v>
      </c>
      <c r="L1017" s="13" t="s">
        <v>2021</v>
      </c>
      <c r="M1017" s="6" t="s">
        <v>188</v>
      </c>
      <c r="N1017" s="6" t="s">
        <v>188</v>
      </c>
      <c r="O1017" s="6" t="s">
        <v>190</v>
      </c>
      <c r="P1017" s="7" t="s">
        <v>333</v>
      </c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</row>
    <row r="1018">
      <c r="A1018" s="12">
        <v>28.0</v>
      </c>
      <c r="B1018" s="7" t="s">
        <v>513</v>
      </c>
      <c r="C1018" s="7" t="s">
        <v>1268</v>
      </c>
      <c r="I1018" s="13" t="s">
        <v>2029</v>
      </c>
      <c r="J1018" s="13" t="s">
        <v>774</v>
      </c>
      <c r="K1018" s="13" t="s">
        <v>303</v>
      </c>
      <c r="L1018" s="13" t="s">
        <v>2021</v>
      </c>
      <c r="M1018" s="6" t="s">
        <v>188</v>
      </c>
      <c r="N1018" s="6" t="s">
        <v>188</v>
      </c>
      <c r="O1018" s="6" t="s">
        <v>190</v>
      </c>
      <c r="P1018" s="7" t="s">
        <v>333</v>
      </c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</row>
    <row r="1019">
      <c r="A1019" s="12">
        <v>28.0</v>
      </c>
      <c r="B1019" s="7" t="s">
        <v>513</v>
      </c>
      <c r="C1019" s="7" t="s">
        <v>1268</v>
      </c>
      <c r="I1019" s="13" t="s">
        <v>1367</v>
      </c>
      <c r="J1019" s="13" t="s">
        <v>775</v>
      </c>
      <c r="K1019" s="13" t="s">
        <v>303</v>
      </c>
      <c r="L1019" s="13" t="s">
        <v>2021</v>
      </c>
      <c r="M1019" s="6" t="s">
        <v>188</v>
      </c>
      <c r="N1019" s="6" t="s">
        <v>188</v>
      </c>
      <c r="O1019" s="6" t="s">
        <v>190</v>
      </c>
      <c r="P1019" s="7" t="s">
        <v>333</v>
      </c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</row>
    <row r="1020">
      <c r="A1020" s="12">
        <v>28.0</v>
      </c>
      <c r="B1020" s="7" t="s">
        <v>513</v>
      </c>
      <c r="C1020" s="7" t="s">
        <v>1268</v>
      </c>
      <c r="I1020" s="13" t="s">
        <v>1958</v>
      </c>
      <c r="J1020" s="13" t="s">
        <v>776</v>
      </c>
      <c r="K1020" s="13" t="s">
        <v>303</v>
      </c>
      <c r="L1020" s="13" t="s">
        <v>2021</v>
      </c>
      <c r="M1020" s="6" t="s">
        <v>188</v>
      </c>
      <c r="N1020" s="6" t="s">
        <v>188</v>
      </c>
      <c r="O1020" s="6" t="s">
        <v>190</v>
      </c>
      <c r="P1020" s="7" t="s">
        <v>333</v>
      </c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</row>
    <row r="1021">
      <c r="A1021" s="12">
        <v>28.0</v>
      </c>
      <c r="B1021" s="7" t="s">
        <v>513</v>
      </c>
      <c r="C1021" s="7" t="s">
        <v>1268</v>
      </c>
      <c r="I1021" s="13" t="s">
        <v>1359</v>
      </c>
      <c r="J1021" s="13" t="s">
        <v>777</v>
      </c>
      <c r="K1021" s="13" t="s">
        <v>303</v>
      </c>
      <c r="L1021" s="13" t="s">
        <v>2021</v>
      </c>
      <c r="M1021" s="6" t="s">
        <v>188</v>
      </c>
      <c r="N1021" s="6" t="s">
        <v>188</v>
      </c>
      <c r="O1021" s="6" t="s">
        <v>190</v>
      </c>
      <c r="P1021" s="7" t="s">
        <v>333</v>
      </c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</row>
    <row r="1022">
      <c r="A1022" s="12">
        <v>28.0</v>
      </c>
      <c r="B1022" s="7" t="s">
        <v>513</v>
      </c>
      <c r="C1022" s="7" t="s">
        <v>1268</v>
      </c>
      <c r="I1022" s="13" t="s">
        <v>2030</v>
      </c>
      <c r="J1022" s="13" t="s">
        <v>774</v>
      </c>
      <c r="K1022" s="13" t="s">
        <v>303</v>
      </c>
      <c r="L1022" s="13" t="s">
        <v>2031</v>
      </c>
      <c r="M1022" s="6" t="s">
        <v>188</v>
      </c>
      <c r="N1022" s="6" t="s">
        <v>188</v>
      </c>
      <c r="O1022" s="6" t="s">
        <v>190</v>
      </c>
      <c r="P1022" s="7" t="s">
        <v>333</v>
      </c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</row>
    <row r="1023">
      <c r="A1023" s="12">
        <v>28.0</v>
      </c>
      <c r="B1023" s="7" t="s">
        <v>513</v>
      </c>
      <c r="C1023" s="7" t="s">
        <v>1268</v>
      </c>
      <c r="I1023" s="13" t="s">
        <v>2032</v>
      </c>
      <c r="J1023" s="13" t="s">
        <v>775</v>
      </c>
      <c r="K1023" s="13" t="s">
        <v>303</v>
      </c>
      <c r="L1023" s="13" t="s">
        <v>2021</v>
      </c>
      <c r="M1023" s="6" t="s">
        <v>188</v>
      </c>
      <c r="N1023" s="6" t="s">
        <v>188</v>
      </c>
      <c r="O1023" s="6" t="s">
        <v>190</v>
      </c>
      <c r="P1023" s="7" t="s">
        <v>333</v>
      </c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</row>
    <row r="1024">
      <c r="A1024" s="12">
        <v>28.0</v>
      </c>
      <c r="B1024" s="7" t="s">
        <v>513</v>
      </c>
      <c r="C1024" s="7" t="s">
        <v>1268</v>
      </c>
      <c r="I1024" s="13" t="s">
        <v>1985</v>
      </c>
      <c r="J1024" s="13" t="s">
        <v>776</v>
      </c>
      <c r="K1024" s="13" t="s">
        <v>303</v>
      </c>
      <c r="L1024" s="13" t="s">
        <v>2021</v>
      </c>
      <c r="M1024" s="6" t="s">
        <v>188</v>
      </c>
      <c r="N1024" s="6" t="s">
        <v>188</v>
      </c>
      <c r="O1024" s="6" t="s">
        <v>190</v>
      </c>
      <c r="P1024" s="7" t="s">
        <v>333</v>
      </c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</row>
    <row r="1025">
      <c r="A1025" s="12">
        <v>28.0</v>
      </c>
      <c r="B1025" s="7" t="s">
        <v>513</v>
      </c>
      <c r="C1025" s="7" t="s">
        <v>1268</v>
      </c>
      <c r="I1025" s="13" t="s">
        <v>1326</v>
      </c>
      <c r="J1025" s="13" t="s">
        <v>777</v>
      </c>
      <c r="K1025" s="13" t="s">
        <v>303</v>
      </c>
      <c r="L1025" s="13" t="s">
        <v>2021</v>
      </c>
      <c r="M1025" s="6" t="s">
        <v>188</v>
      </c>
      <c r="N1025" s="6" t="s">
        <v>188</v>
      </c>
      <c r="O1025" s="6" t="s">
        <v>190</v>
      </c>
      <c r="P1025" s="7" t="s">
        <v>333</v>
      </c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</row>
    <row r="1026">
      <c r="A1026" s="12">
        <v>28.0</v>
      </c>
      <c r="B1026" s="7" t="s">
        <v>513</v>
      </c>
      <c r="C1026" s="7" t="s">
        <v>1268</v>
      </c>
      <c r="I1026" s="13" t="s">
        <v>536</v>
      </c>
      <c r="J1026" s="13" t="s">
        <v>774</v>
      </c>
      <c r="K1026" s="13" t="s">
        <v>303</v>
      </c>
      <c r="L1026" s="13" t="s">
        <v>2021</v>
      </c>
      <c r="M1026" s="6" t="s">
        <v>188</v>
      </c>
      <c r="N1026" s="6" t="s">
        <v>188</v>
      </c>
      <c r="O1026" s="6" t="s">
        <v>190</v>
      </c>
      <c r="P1026" s="7" t="s">
        <v>333</v>
      </c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</row>
    <row r="1027">
      <c r="A1027" s="12">
        <v>28.0</v>
      </c>
      <c r="B1027" s="7" t="s">
        <v>513</v>
      </c>
      <c r="C1027" s="7" t="s">
        <v>1268</v>
      </c>
      <c r="I1027" s="13" t="s">
        <v>1361</v>
      </c>
      <c r="J1027" s="13" t="s">
        <v>775</v>
      </c>
      <c r="K1027" s="13" t="s">
        <v>303</v>
      </c>
      <c r="L1027" s="13" t="s">
        <v>2021</v>
      </c>
      <c r="M1027" s="6" t="s">
        <v>188</v>
      </c>
      <c r="N1027" s="6" t="s">
        <v>188</v>
      </c>
      <c r="O1027" s="6" t="s">
        <v>190</v>
      </c>
      <c r="P1027" s="7" t="s">
        <v>333</v>
      </c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</row>
    <row r="1028">
      <c r="A1028" s="12">
        <v>28.0</v>
      </c>
      <c r="B1028" s="7" t="s">
        <v>513</v>
      </c>
      <c r="C1028" s="7" t="s">
        <v>1268</v>
      </c>
      <c r="I1028" s="13" t="s">
        <v>1309</v>
      </c>
      <c r="J1028" s="13" t="s">
        <v>776</v>
      </c>
      <c r="K1028" s="13" t="s">
        <v>303</v>
      </c>
      <c r="L1028" s="13" t="s">
        <v>2021</v>
      </c>
      <c r="M1028" s="6" t="s">
        <v>188</v>
      </c>
      <c r="N1028" s="6" t="s">
        <v>188</v>
      </c>
      <c r="O1028" s="6" t="s">
        <v>190</v>
      </c>
      <c r="P1028" s="7" t="s">
        <v>333</v>
      </c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</row>
    <row r="1029">
      <c r="A1029" s="12">
        <v>28.0</v>
      </c>
      <c r="B1029" s="7" t="s">
        <v>513</v>
      </c>
      <c r="C1029" s="7" t="s">
        <v>1268</v>
      </c>
      <c r="I1029" s="13" t="s">
        <v>1317</v>
      </c>
      <c r="J1029" s="13" t="s">
        <v>777</v>
      </c>
      <c r="K1029" s="13" t="s">
        <v>303</v>
      </c>
      <c r="L1029" s="13" t="s">
        <v>2021</v>
      </c>
      <c r="M1029" s="6" t="s">
        <v>188</v>
      </c>
      <c r="N1029" s="6" t="s">
        <v>188</v>
      </c>
      <c r="O1029" s="6" t="s">
        <v>190</v>
      </c>
      <c r="P1029" s="7" t="s">
        <v>333</v>
      </c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</row>
    <row r="1030">
      <c r="A1030" s="12">
        <v>28.0</v>
      </c>
      <c r="B1030" s="7" t="s">
        <v>513</v>
      </c>
      <c r="C1030" s="7" t="s">
        <v>1268</v>
      </c>
      <c r="I1030" s="13" t="s">
        <v>1340</v>
      </c>
      <c r="J1030" s="13" t="s">
        <v>774</v>
      </c>
      <c r="K1030" s="13" t="s">
        <v>303</v>
      </c>
      <c r="L1030" s="13" t="s">
        <v>2021</v>
      </c>
      <c r="M1030" s="6" t="s">
        <v>188</v>
      </c>
      <c r="N1030" s="6" t="s">
        <v>188</v>
      </c>
      <c r="O1030" s="6" t="s">
        <v>190</v>
      </c>
      <c r="P1030" s="7" t="s">
        <v>333</v>
      </c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</row>
    <row r="1031">
      <c r="A1031" s="12">
        <v>28.0</v>
      </c>
      <c r="B1031" s="7" t="s">
        <v>513</v>
      </c>
      <c r="C1031" s="7" t="s">
        <v>1268</v>
      </c>
      <c r="I1031" s="13" t="s">
        <v>1320</v>
      </c>
      <c r="J1031" s="13" t="s">
        <v>775</v>
      </c>
      <c r="K1031" s="13" t="s">
        <v>303</v>
      </c>
      <c r="L1031" s="13" t="s">
        <v>2021</v>
      </c>
      <c r="M1031" s="6" t="s">
        <v>188</v>
      </c>
      <c r="N1031" s="6" t="s">
        <v>188</v>
      </c>
      <c r="O1031" s="6" t="s">
        <v>190</v>
      </c>
      <c r="P1031" s="7" t="s">
        <v>333</v>
      </c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</row>
    <row r="1032">
      <c r="A1032" s="12">
        <v>28.0</v>
      </c>
      <c r="B1032" s="7" t="s">
        <v>513</v>
      </c>
      <c r="C1032" s="7" t="s">
        <v>1268</v>
      </c>
      <c r="I1032" s="13" t="s">
        <v>970</v>
      </c>
      <c r="J1032" s="13" t="s">
        <v>776</v>
      </c>
      <c r="K1032" s="13" t="s">
        <v>303</v>
      </c>
      <c r="L1032" s="13" t="s">
        <v>2021</v>
      </c>
      <c r="M1032" s="6" t="s">
        <v>188</v>
      </c>
      <c r="N1032" s="6" t="s">
        <v>188</v>
      </c>
      <c r="O1032" s="6" t="s">
        <v>190</v>
      </c>
      <c r="P1032" s="7" t="s">
        <v>333</v>
      </c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</row>
    <row r="1033">
      <c r="A1033" s="12">
        <v>28.0</v>
      </c>
      <c r="B1033" s="7" t="s">
        <v>513</v>
      </c>
      <c r="C1033" s="7" t="s">
        <v>1268</v>
      </c>
      <c r="I1033" s="13" t="s">
        <v>1096</v>
      </c>
      <c r="J1033" s="13" t="s">
        <v>777</v>
      </c>
      <c r="K1033" s="13" t="s">
        <v>303</v>
      </c>
      <c r="L1033" s="13" t="s">
        <v>2021</v>
      </c>
      <c r="M1033" s="6" t="s">
        <v>188</v>
      </c>
      <c r="N1033" s="6" t="s">
        <v>188</v>
      </c>
      <c r="O1033" s="6" t="s">
        <v>190</v>
      </c>
      <c r="P1033" s="7" t="s">
        <v>333</v>
      </c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</row>
    <row r="1034">
      <c r="A1034" s="12">
        <v>28.0</v>
      </c>
      <c r="B1034" s="7" t="s">
        <v>513</v>
      </c>
      <c r="C1034" s="7" t="s">
        <v>1268</v>
      </c>
      <c r="I1034" s="13" t="s">
        <v>547</v>
      </c>
      <c r="J1034" s="13" t="s">
        <v>774</v>
      </c>
      <c r="K1034" s="13" t="s">
        <v>303</v>
      </c>
      <c r="L1034" s="13" t="s">
        <v>2021</v>
      </c>
      <c r="M1034" s="6" t="s">
        <v>188</v>
      </c>
      <c r="N1034" s="6" t="s">
        <v>188</v>
      </c>
      <c r="O1034" s="6" t="s">
        <v>190</v>
      </c>
      <c r="P1034" s="7" t="s">
        <v>333</v>
      </c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</row>
    <row r="1035">
      <c r="A1035" s="12">
        <v>28.0</v>
      </c>
      <c r="B1035" s="7" t="s">
        <v>513</v>
      </c>
      <c r="C1035" s="7" t="s">
        <v>1268</v>
      </c>
      <c r="I1035" s="13" t="s">
        <v>2033</v>
      </c>
      <c r="J1035" s="13" t="s">
        <v>775</v>
      </c>
      <c r="K1035" s="13" t="s">
        <v>303</v>
      </c>
      <c r="L1035" s="13" t="s">
        <v>2021</v>
      </c>
      <c r="M1035" s="6" t="s">
        <v>188</v>
      </c>
      <c r="N1035" s="6" t="s">
        <v>188</v>
      </c>
      <c r="O1035" s="6" t="s">
        <v>190</v>
      </c>
      <c r="P1035" s="7" t="s">
        <v>333</v>
      </c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</row>
    <row r="1036">
      <c r="A1036" s="12">
        <v>28.0</v>
      </c>
      <c r="B1036" s="7" t="s">
        <v>513</v>
      </c>
      <c r="C1036" s="7" t="s">
        <v>1268</v>
      </c>
      <c r="I1036" s="13" t="s">
        <v>1301</v>
      </c>
      <c r="J1036" s="13" t="s">
        <v>776</v>
      </c>
      <c r="K1036" s="13" t="s">
        <v>303</v>
      </c>
      <c r="L1036" s="13" t="s">
        <v>2021</v>
      </c>
      <c r="M1036" s="6" t="s">
        <v>188</v>
      </c>
      <c r="N1036" s="6" t="s">
        <v>188</v>
      </c>
      <c r="O1036" s="6" t="s">
        <v>190</v>
      </c>
      <c r="P1036" s="7" t="s">
        <v>333</v>
      </c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</row>
    <row r="1037">
      <c r="A1037" s="12">
        <v>28.0</v>
      </c>
      <c r="B1037" s="7" t="s">
        <v>513</v>
      </c>
      <c r="C1037" s="7" t="s">
        <v>1268</v>
      </c>
      <c r="I1037" s="13" t="s">
        <v>1001</v>
      </c>
      <c r="J1037" s="13" t="s">
        <v>777</v>
      </c>
      <c r="K1037" s="13" t="s">
        <v>303</v>
      </c>
      <c r="L1037" s="13" t="s">
        <v>2021</v>
      </c>
      <c r="M1037" s="6" t="s">
        <v>188</v>
      </c>
      <c r="N1037" s="6" t="s">
        <v>188</v>
      </c>
      <c r="O1037" s="6" t="s">
        <v>190</v>
      </c>
      <c r="P1037" s="7" t="s">
        <v>333</v>
      </c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</row>
    <row r="1038">
      <c r="A1038" s="12">
        <v>28.0</v>
      </c>
      <c r="B1038" s="7" t="s">
        <v>513</v>
      </c>
      <c r="C1038" s="7" t="s">
        <v>1268</v>
      </c>
      <c r="I1038" s="13" t="s">
        <v>1150</v>
      </c>
      <c r="J1038" s="13" t="s">
        <v>774</v>
      </c>
      <c r="K1038" s="13" t="s">
        <v>303</v>
      </c>
      <c r="L1038" s="13" t="s">
        <v>2021</v>
      </c>
      <c r="M1038" s="6" t="s">
        <v>188</v>
      </c>
      <c r="N1038" s="6" t="s">
        <v>188</v>
      </c>
      <c r="O1038" s="6" t="s">
        <v>190</v>
      </c>
      <c r="P1038" s="7" t="s">
        <v>333</v>
      </c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</row>
    <row r="1039">
      <c r="A1039" s="12">
        <v>28.0</v>
      </c>
      <c r="B1039" s="7" t="s">
        <v>513</v>
      </c>
      <c r="C1039" s="7" t="s">
        <v>1268</v>
      </c>
      <c r="I1039" s="13" t="s">
        <v>1155</v>
      </c>
      <c r="J1039" s="13" t="s">
        <v>775</v>
      </c>
      <c r="K1039" s="13" t="s">
        <v>303</v>
      </c>
      <c r="L1039" s="13" t="s">
        <v>2021</v>
      </c>
      <c r="M1039" s="6" t="s">
        <v>188</v>
      </c>
      <c r="N1039" s="6" t="s">
        <v>188</v>
      </c>
      <c r="O1039" s="6" t="s">
        <v>190</v>
      </c>
      <c r="P1039" s="7" t="s">
        <v>333</v>
      </c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</row>
    <row r="1040">
      <c r="A1040" s="12">
        <v>28.0</v>
      </c>
      <c r="B1040" s="7" t="s">
        <v>513</v>
      </c>
      <c r="C1040" s="7" t="s">
        <v>1268</v>
      </c>
      <c r="I1040" s="13" t="s">
        <v>1322</v>
      </c>
      <c r="J1040" s="13" t="s">
        <v>776</v>
      </c>
      <c r="K1040" s="13" t="s">
        <v>303</v>
      </c>
      <c r="L1040" s="13" t="s">
        <v>2021</v>
      </c>
      <c r="M1040" s="6" t="s">
        <v>188</v>
      </c>
      <c r="N1040" s="6" t="s">
        <v>188</v>
      </c>
      <c r="O1040" s="6" t="s">
        <v>190</v>
      </c>
      <c r="P1040" s="7" t="s">
        <v>333</v>
      </c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</row>
    <row r="1041">
      <c r="A1041" s="12">
        <v>28.0</v>
      </c>
      <c r="B1041" s="7" t="s">
        <v>513</v>
      </c>
      <c r="C1041" s="7" t="s">
        <v>1268</v>
      </c>
      <c r="I1041" s="13" t="s">
        <v>2034</v>
      </c>
      <c r="J1041" s="13" t="s">
        <v>777</v>
      </c>
      <c r="K1041" s="13" t="s">
        <v>303</v>
      </c>
      <c r="L1041" s="13" t="s">
        <v>2021</v>
      </c>
      <c r="M1041" s="6" t="s">
        <v>188</v>
      </c>
      <c r="N1041" s="6" t="s">
        <v>188</v>
      </c>
      <c r="O1041" s="6" t="s">
        <v>190</v>
      </c>
      <c r="P1041" s="7" t="s">
        <v>333</v>
      </c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</row>
    <row r="1042">
      <c r="A1042" s="12">
        <v>28.0</v>
      </c>
      <c r="B1042" s="7" t="s">
        <v>513</v>
      </c>
      <c r="C1042" s="7" t="s">
        <v>1268</v>
      </c>
      <c r="I1042" s="13" t="s">
        <v>1314</v>
      </c>
      <c r="J1042" s="13" t="s">
        <v>774</v>
      </c>
      <c r="K1042" s="13" t="s">
        <v>303</v>
      </c>
      <c r="L1042" s="13" t="s">
        <v>2021</v>
      </c>
      <c r="M1042" s="6" t="s">
        <v>188</v>
      </c>
      <c r="N1042" s="6" t="s">
        <v>188</v>
      </c>
      <c r="O1042" s="6" t="s">
        <v>190</v>
      </c>
      <c r="P1042" s="7" t="s">
        <v>333</v>
      </c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</row>
    <row r="1043">
      <c r="A1043" s="12">
        <v>28.0</v>
      </c>
      <c r="B1043" s="7" t="s">
        <v>513</v>
      </c>
      <c r="C1043" s="7" t="s">
        <v>1268</v>
      </c>
      <c r="I1043" s="13" t="s">
        <v>2035</v>
      </c>
      <c r="J1043" s="13" t="s">
        <v>775</v>
      </c>
      <c r="K1043" s="13" t="s">
        <v>303</v>
      </c>
      <c r="L1043" s="13" t="s">
        <v>2021</v>
      </c>
      <c r="M1043" s="6" t="s">
        <v>188</v>
      </c>
      <c r="N1043" s="6" t="s">
        <v>188</v>
      </c>
      <c r="O1043" s="6" t="s">
        <v>190</v>
      </c>
      <c r="P1043" s="7" t="s">
        <v>333</v>
      </c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</row>
    <row r="1044">
      <c r="A1044" s="12">
        <v>28.0</v>
      </c>
      <c r="B1044" s="7" t="s">
        <v>513</v>
      </c>
      <c r="C1044" s="7" t="s">
        <v>1268</v>
      </c>
      <c r="I1044" s="13" t="s">
        <v>1369</v>
      </c>
      <c r="J1044" s="13" t="s">
        <v>776</v>
      </c>
      <c r="K1044" s="13" t="s">
        <v>303</v>
      </c>
      <c r="L1044" s="13" t="s">
        <v>2021</v>
      </c>
      <c r="M1044" s="6" t="s">
        <v>188</v>
      </c>
      <c r="N1044" s="6" t="s">
        <v>188</v>
      </c>
      <c r="O1044" s="6" t="s">
        <v>190</v>
      </c>
      <c r="P1044" s="7" t="s">
        <v>333</v>
      </c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</row>
    <row r="1045">
      <c r="A1045" s="12">
        <v>28.0</v>
      </c>
      <c r="B1045" s="7" t="s">
        <v>513</v>
      </c>
      <c r="C1045" s="7" t="s">
        <v>1268</v>
      </c>
      <c r="I1045" s="13" t="s">
        <v>1287</v>
      </c>
      <c r="J1045" s="13" t="s">
        <v>777</v>
      </c>
      <c r="K1045" s="13" t="s">
        <v>303</v>
      </c>
      <c r="L1045" s="13" t="s">
        <v>2021</v>
      </c>
      <c r="M1045" s="6" t="s">
        <v>188</v>
      </c>
      <c r="N1045" s="6" t="s">
        <v>188</v>
      </c>
      <c r="O1045" s="6" t="s">
        <v>190</v>
      </c>
      <c r="P1045" s="7" t="s">
        <v>333</v>
      </c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</row>
    <row r="1046">
      <c r="A1046" s="12">
        <v>28.0</v>
      </c>
      <c r="B1046" s="7" t="s">
        <v>513</v>
      </c>
      <c r="C1046" s="7" t="s">
        <v>1268</v>
      </c>
      <c r="I1046" s="13" t="s">
        <v>788</v>
      </c>
      <c r="J1046" s="13" t="s">
        <v>774</v>
      </c>
      <c r="K1046" s="13" t="s">
        <v>303</v>
      </c>
      <c r="L1046" s="13" t="s">
        <v>2021</v>
      </c>
      <c r="M1046" s="6" t="s">
        <v>188</v>
      </c>
      <c r="N1046" s="6" t="s">
        <v>188</v>
      </c>
      <c r="O1046" s="6" t="s">
        <v>190</v>
      </c>
      <c r="P1046" s="7" t="s">
        <v>333</v>
      </c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</row>
    <row r="1047">
      <c r="A1047" s="12">
        <v>28.0</v>
      </c>
      <c r="B1047" s="7" t="s">
        <v>513</v>
      </c>
      <c r="C1047" s="7" t="s">
        <v>1268</v>
      </c>
      <c r="I1047" s="13" t="s">
        <v>2036</v>
      </c>
      <c r="J1047" s="13" t="s">
        <v>775</v>
      </c>
      <c r="K1047" s="13" t="s">
        <v>303</v>
      </c>
      <c r="L1047" s="13" t="s">
        <v>2021</v>
      </c>
      <c r="M1047" s="6" t="s">
        <v>188</v>
      </c>
      <c r="N1047" s="6" t="s">
        <v>188</v>
      </c>
      <c r="O1047" s="6" t="s">
        <v>190</v>
      </c>
      <c r="P1047" s="7" t="s">
        <v>333</v>
      </c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</row>
    <row r="1048">
      <c r="A1048" s="12">
        <v>28.0</v>
      </c>
      <c r="B1048" s="7" t="s">
        <v>513</v>
      </c>
      <c r="C1048" s="7" t="s">
        <v>1268</v>
      </c>
      <c r="I1048" s="13" t="s">
        <v>2037</v>
      </c>
      <c r="J1048" s="13" t="s">
        <v>776</v>
      </c>
      <c r="K1048" s="13" t="s">
        <v>303</v>
      </c>
      <c r="L1048" s="13" t="s">
        <v>2021</v>
      </c>
      <c r="M1048" s="6" t="s">
        <v>188</v>
      </c>
      <c r="N1048" s="6" t="s">
        <v>188</v>
      </c>
      <c r="O1048" s="6" t="s">
        <v>190</v>
      </c>
      <c r="P1048" s="7" t="s">
        <v>333</v>
      </c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</row>
    <row r="1049">
      <c r="A1049" s="12">
        <v>28.0</v>
      </c>
      <c r="B1049" s="7" t="s">
        <v>513</v>
      </c>
      <c r="C1049" s="7" t="s">
        <v>1268</v>
      </c>
      <c r="I1049" s="13" t="s">
        <v>1979</v>
      </c>
      <c r="J1049" s="13" t="s">
        <v>777</v>
      </c>
      <c r="K1049" s="13" t="s">
        <v>303</v>
      </c>
      <c r="L1049" s="13" t="s">
        <v>2021</v>
      </c>
      <c r="M1049" s="6" t="s">
        <v>188</v>
      </c>
      <c r="N1049" s="6" t="s">
        <v>188</v>
      </c>
      <c r="O1049" s="6" t="s">
        <v>190</v>
      </c>
      <c r="P1049" s="7" t="s">
        <v>333</v>
      </c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</row>
    <row r="1050">
      <c r="A1050" s="12">
        <v>28.0</v>
      </c>
      <c r="B1050" s="7" t="s">
        <v>513</v>
      </c>
      <c r="C1050" s="7" t="s">
        <v>1268</v>
      </c>
      <c r="I1050" s="13" t="s">
        <v>1312</v>
      </c>
      <c r="J1050" s="13" t="s">
        <v>774</v>
      </c>
      <c r="K1050" s="13" t="s">
        <v>303</v>
      </c>
      <c r="L1050" s="13" t="s">
        <v>2021</v>
      </c>
      <c r="M1050" s="6" t="s">
        <v>188</v>
      </c>
      <c r="N1050" s="6" t="s">
        <v>188</v>
      </c>
      <c r="O1050" s="6" t="s">
        <v>190</v>
      </c>
      <c r="P1050" s="7" t="s">
        <v>333</v>
      </c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</row>
    <row r="1051">
      <c r="A1051" s="12">
        <v>28.0</v>
      </c>
      <c r="B1051" s="7" t="s">
        <v>513</v>
      </c>
      <c r="C1051" s="7" t="s">
        <v>1268</v>
      </c>
      <c r="I1051" s="13" t="s">
        <v>2038</v>
      </c>
      <c r="J1051" s="13" t="s">
        <v>775</v>
      </c>
      <c r="K1051" s="13" t="s">
        <v>303</v>
      </c>
      <c r="L1051" s="13" t="s">
        <v>2021</v>
      </c>
      <c r="M1051" s="6" t="s">
        <v>188</v>
      </c>
      <c r="N1051" s="6" t="s">
        <v>188</v>
      </c>
      <c r="O1051" s="6" t="s">
        <v>190</v>
      </c>
      <c r="P1051" s="7" t="s">
        <v>333</v>
      </c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</row>
    <row r="1052">
      <c r="A1052" s="12">
        <v>28.0</v>
      </c>
      <c r="B1052" s="7" t="s">
        <v>513</v>
      </c>
      <c r="C1052" s="7" t="s">
        <v>1268</v>
      </c>
      <c r="I1052" s="13" t="s">
        <v>886</v>
      </c>
      <c r="J1052" s="13" t="s">
        <v>776</v>
      </c>
      <c r="K1052" s="13" t="s">
        <v>303</v>
      </c>
      <c r="L1052" s="13" t="s">
        <v>2021</v>
      </c>
      <c r="M1052" s="6" t="s">
        <v>188</v>
      </c>
      <c r="N1052" s="6" t="s">
        <v>188</v>
      </c>
      <c r="O1052" s="6" t="s">
        <v>190</v>
      </c>
      <c r="P1052" s="7" t="s">
        <v>333</v>
      </c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</row>
    <row r="1053">
      <c r="A1053" s="12">
        <v>28.0</v>
      </c>
      <c r="B1053" s="7" t="s">
        <v>513</v>
      </c>
      <c r="C1053" s="7" t="s">
        <v>1268</v>
      </c>
      <c r="I1053" s="13" t="s">
        <v>1615</v>
      </c>
      <c r="J1053" s="13" t="s">
        <v>777</v>
      </c>
      <c r="K1053" s="13" t="s">
        <v>303</v>
      </c>
      <c r="L1053" s="13" t="s">
        <v>2021</v>
      </c>
      <c r="M1053" s="6" t="s">
        <v>188</v>
      </c>
      <c r="N1053" s="6" t="s">
        <v>188</v>
      </c>
      <c r="O1053" s="6" t="s">
        <v>190</v>
      </c>
      <c r="P1053" s="7" t="s">
        <v>333</v>
      </c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</row>
    <row r="1054">
      <c r="A1054" s="12">
        <v>28.0</v>
      </c>
      <c r="B1054" s="7" t="s">
        <v>513</v>
      </c>
      <c r="C1054" s="7" t="s">
        <v>1268</v>
      </c>
      <c r="I1054" s="13" t="s">
        <v>1706</v>
      </c>
      <c r="J1054" s="13" t="s">
        <v>774</v>
      </c>
      <c r="K1054" s="13" t="s">
        <v>303</v>
      </c>
      <c r="L1054" s="13" t="s">
        <v>2021</v>
      </c>
      <c r="M1054" s="6" t="s">
        <v>188</v>
      </c>
      <c r="N1054" s="6" t="s">
        <v>188</v>
      </c>
      <c r="O1054" s="6" t="s">
        <v>190</v>
      </c>
      <c r="P1054" s="7" t="s">
        <v>333</v>
      </c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</row>
    <row r="1055">
      <c r="A1055" s="12">
        <v>28.0</v>
      </c>
      <c r="B1055" s="7" t="s">
        <v>513</v>
      </c>
      <c r="C1055" s="7" t="s">
        <v>1268</v>
      </c>
      <c r="I1055" s="13" t="s">
        <v>2039</v>
      </c>
      <c r="J1055" s="13" t="s">
        <v>775</v>
      </c>
      <c r="K1055" s="13" t="s">
        <v>303</v>
      </c>
      <c r="L1055" s="13" t="s">
        <v>2040</v>
      </c>
      <c r="M1055" s="6" t="s">
        <v>188</v>
      </c>
      <c r="N1055" s="6" t="s">
        <v>188</v>
      </c>
      <c r="O1055" s="6" t="s">
        <v>190</v>
      </c>
      <c r="P1055" s="7" t="s">
        <v>333</v>
      </c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</row>
    <row r="1056">
      <c r="A1056" s="12">
        <v>28.0</v>
      </c>
      <c r="B1056" s="7" t="s">
        <v>513</v>
      </c>
      <c r="C1056" s="7" t="s">
        <v>1268</v>
      </c>
      <c r="I1056" s="13" t="s">
        <v>703</v>
      </c>
      <c r="J1056" s="13" t="s">
        <v>776</v>
      </c>
      <c r="K1056" s="13" t="s">
        <v>303</v>
      </c>
      <c r="L1056" s="13" t="s">
        <v>2040</v>
      </c>
      <c r="M1056" s="6" t="s">
        <v>188</v>
      </c>
      <c r="N1056" s="6" t="s">
        <v>188</v>
      </c>
      <c r="O1056" s="6" t="s">
        <v>190</v>
      </c>
      <c r="P1056" s="7" t="s">
        <v>333</v>
      </c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</row>
    <row r="1057">
      <c r="A1057" s="12">
        <v>28.0</v>
      </c>
      <c r="B1057" s="7" t="s">
        <v>513</v>
      </c>
      <c r="C1057" s="7" t="s">
        <v>1268</v>
      </c>
      <c r="I1057" s="13" t="s">
        <v>2041</v>
      </c>
      <c r="J1057" s="13" t="s">
        <v>777</v>
      </c>
      <c r="K1057" s="13" t="s">
        <v>303</v>
      </c>
      <c r="L1057" s="13" t="s">
        <v>2040</v>
      </c>
      <c r="M1057" s="6" t="s">
        <v>188</v>
      </c>
      <c r="N1057" s="6" t="s">
        <v>188</v>
      </c>
      <c r="O1057" s="6" t="s">
        <v>190</v>
      </c>
      <c r="P1057" s="7" t="s">
        <v>333</v>
      </c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</row>
    <row r="1058">
      <c r="A1058" s="12">
        <v>28.0</v>
      </c>
      <c r="B1058" s="7" t="s">
        <v>513</v>
      </c>
      <c r="C1058" s="7" t="s">
        <v>1268</v>
      </c>
      <c r="I1058" s="13" t="s">
        <v>2042</v>
      </c>
      <c r="J1058" s="13" t="s">
        <v>774</v>
      </c>
      <c r="K1058" s="13" t="s">
        <v>303</v>
      </c>
      <c r="L1058" s="13" t="s">
        <v>2040</v>
      </c>
      <c r="M1058" s="6" t="s">
        <v>188</v>
      </c>
      <c r="N1058" s="6" t="s">
        <v>188</v>
      </c>
      <c r="O1058" s="6" t="s">
        <v>190</v>
      </c>
      <c r="P1058" s="7" t="s">
        <v>333</v>
      </c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</row>
    <row r="1059">
      <c r="A1059" s="12">
        <v>28.0</v>
      </c>
      <c r="B1059" s="7" t="s">
        <v>513</v>
      </c>
      <c r="C1059" s="7" t="s">
        <v>1268</v>
      </c>
      <c r="I1059" s="13" t="s">
        <v>1256</v>
      </c>
      <c r="J1059" s="13" t="s">
        <v>775</v>
      </c>
      <c r="K1059" s="13" t="s">
        <v>303</v>
      </c>
      <c r="L1059" s="13" t="s">
        <v>2043</v>
      </c>
      <c r="M1059" s="6" t="s">
        <v>188</v>
      </c>
      <c r="N1059" s="6" t="s">
        <v>188</v>
      </c>
      <c r="O1059" s="6" t="s">
        <v>190</v>
      </c>
      <c r="P1059" s="7" t="s">
        <v>333</v>
      </c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</row>
    <row r="1060">
      <c r="A1060" s="12">
        <v>28.0</v>
      </c>
      <c r="B1060" s="7" t="s">
        <v>513</v>
      </c>
      <c r="C1060" s="7" t="s">
        <v>1268</v>
      </c>
      <c r="I1060" s="13" t="s">
        <v>1478</v>
      </c>
      <c r="J1060" s="13" t="s">
        <v>776</v>
      </c>
      <c r="K1060" s="13" t="s">
        <v>303</v>
      </c>
      <c r="L1060" s="13" t="s">
        <v>2040</v>
      </c>
      <c r="M1060" s="6" t="s">
        <v>188</v>
      </c>
      <c r="N1060" s="6" t="s">
        <v>188</v>
      </c>
      <c r="O1060" s="6" t="s">
        <v>190</v>
      </c>
      <c r="P1060" s="7" t="s">
        <v>333</v>
      </c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</row>
    <row r="1061">
      <c r="A1061" s="12">
        <v>28.0</v>
      </c>
      <c r="B1061" s="7" t="s">
        <v>513</v>
      </c>
      <c r="C1061" s="7" t="s">
        <v>1268</v>
      </c>
      <c r="I1061" s="13" t="s">
        <v>1673</v>
      </c>
      <c r="J1061" s="13" t="s">
        <v>777</v>
      </c>
      <c r="K1061" s="13" t="s">
        <v>303</v>
      </c>
      <c r="L1061" s="13" t="s">
        <v>2044</v>
      </c>
      <c r="M1061" s="6" t="s">
        <v>188</v>
      </c>
      <c r="N1061" s="6" t="s">
        <v>188</v>
      </c>
      <c r="O1061" s="6" t="s">
        <v>190</v>
      </c>
      <c r="P1061" s="7" t="s">
        <v>333</v>
      </c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</row>
    <row r="1062">
      <c r="A1062" s="12">
        <v>28.0</v>
      </c>
      <c r="B1062" s="7" t="s">
        <v>513</v>
      </c>
      <c r="C1062" s="7" t="s">
        <v>1268</v>
      </c>
      <c r="I1062" s="13" t="s">
        <v>2045</v>
      </c>
      <c r="J1062" s="13" t="s">
        <v>774</v>
      </c>
      <c r="K1062" s="13" t="s">
        <v>303</v>
      </c>
      <c r="L1062" s="13" t="s">
        <v>2046</v>
      </c>
      <c r="M1062" s="6" t="s">
        <v>188</v>
      </c>
      <c r="N1062" s="6" t="s">
        <v>188</v>
      </c>
      <c r="O1062" s="6" t="s">
        <v>190</v>
      </c>
      <c r="P1062" s="7" t="s">
        <v>333</v>
      </c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</row>
    <row r="1063">
      <c r="A1063" s="12">
        <v>28.0</v>
      </c>
      <c r="B1063" s="7" t="s">
        <v>513</v>
      </c>
      <c r="C1063" s="7" t="s">
        <v>1268</v>
      </c>
      <c r="I1063" s="13" t="s">
        <v>548</v>
      </c>
      <c r="J1063" s="13" t="s">
        <v>775</v>
      </c>
      <c r="K1063" s="13" t="s">
        <v>303</v>
      </c>
      <c r="L1063" s="13" t="s">
        <v>2046</v>
      </c>
      <c r="M1063" s="6" t="s">
        <v>188</v>
      </c>
      <c r="N1063" s="6" t="s">
        <v>188</v>
      </c>
      <c r="O1063" s="6" t="s">
        <v>190</v>
      </c>
      <c r="P1063" s="7" t="s">
        <v>333</v>
      </c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</row>
    <row r="1064">
      <c r="A1064" s="12">
        <v>28.0</v>
      </c>
      <c r="B1064" s="7" t="s">
        <v>513</v>
      </c>
      <c r="C1064" s="7" t="s">
        <v>1268</v>
      </c>
      <c r="I1064" s="13" t="s">
        <v>2047</v>
      </c>
      <c r="J1064" s="13" t="s">
        <v>776</v>
      </c>
      <c r="K1064" s="13" t="s">
        <v>303</v>
      </c>
      <c r="L1064" s="13" t="s">
        <v>2046</v>
      </c>
      <c r="M1064" s="6" t="s">
        <v>188</v>
      </c>
      <c r="N1064" s="6" t="s">
        <v>188</v>
      </c>
      <c r="O1064" s="6" t="s">
        <v>190</v>
      </c>
      <c r="P1064" s="7" t="s">
        <v>333</v>
      </c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</row>
    <row r="1065">
      <c r="A1065" s="12">
        <v>28.0</v>
      </c>
      <c r="B1065" s="7" t="s">
        <v>513</v>
      </c>
      <c r="C1065" s="7" t="s">
        <v>1268</v>
      </c>
      <c r="I1065" s="13" t="s">
        <v>2048</v>
      </c>
      <c r="J1065" s="13" t="s">
        <v>777</v>
      </c>
      <c r="K1065" s="13" t="s">
        <v>303</v>
      </c>
      <c r="L1065" s="13" t="s">
        <v>2046</v>
      </c>
      <c r="M1065" s="6" t="s">
        <v>188</v>
      </c>
      <c r="N1065" s="6" t="s">
        <v>188</v>
      </c>
      <c r="O1065" s="6" t="s">
        <v>190</v>
      </c>
      <c r="P1065" s="7" t="s">
        <v>333</v>
      </c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</row>
    <row r="1066">
      <c r="A1066" s="12">
        <v>28.0</v>
      </c>
      <c r="B1066" s="7" t="s">
        <v>513</v>
      </c>
      <c r="C1066" s="7" t="s">
        <v>1268</v>
      </c>
      <c r="I1066" s="13" t="s">
        <v>1510</v>
      </c>
      <c r="J1066" s="13" t="s">
        <v>774</v>
      </c>
      <c r="K1066" s="13" t="s">
        <v>303</v>
      </c>
      <c r="L1066" s="13" t="s">
        <v>2049</v>
      </c>
      <c r="M1066" s="6" t="s">
        <v>188</v>
      </c>
      <c r="N1066" s="6" t="s">
        <v>188</v>
      </c>
      <c r="O1066" s="6" t="s">
        <v>190</v>
      </c>
      <c r="P1066" s="7" t="s">
        <v>333</v>
      </c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</row>
    <row r="1067">
      <c r="A1067" s="12">
        <v>28.0</v>
      </c>
      <c r="B1067" s="7" t="s">
        <v>513</v>
      </c>
      <c r="C1067" s="7" t="s">
        <v>1268</v>
      </c>
      <c r="I1067" s="13" t="s">
        <v>1292</v>
      </c>
      <c r="J1067" s="13" t="s">
        <v>775</v>
      </c>
      <c r="K1067" s="13" t="s">
        <v>303</v>
      </c>
      <c r="L1067" s="13" t="s">
        <v>2050</v>
      </c>
      <c r="M1067" s="6" t="s">
        <v>188</v>
      </c>
      <c r="N1067" s="6" t="s">
        <v>188</v>
      </c>
      <c r="O1067" s="6" t="s">
        <v>190</v>
      </c>
      <c r="P1067" s="7" t="s">
        <v>333</v>
      </c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</row>
    <row r="1068">
      <c r="A1068" s="12">
        <v>28.0</v>
      </c>
      <c r="B1068" s="7" t="s">
        <v>513</v>
      </c>
      <c r="C1068" s="7" t="s">
        <v>1268</v>
      </c>
      <c r="I1068" s="13" t="s">
        <v>1880</v>
      </c>
      <c r="J1068" s="13" t="s">
        <v>776</v>
      </c>
      <c r="K1068" s="13" t="s">
        <v>303</v>
      </c>
      <c r="L1068" s="13" t="s">
        <v>2051</v>
      </c>
      <c r="M1068" s="6" t="s">
        <v>188</v>
      </c>
      <c r="N1068" s="6" t="s">
        <v>188</v>
      </c>
      <c r="O1068" s="6" t="s">
        <v>190</v>
      </c>
      <c r="P1068" s="7" t="s">
        <v>333</v>
      </c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</row>
    <row r="1069">
      <c r="A1069" s="12">
        <v>28.0</v>
      </c>
      <c r="B1069" s="7" t="s">
        <v>513</v>
      </c>
      <c r="C1069" s="7" t="s">
        <v>1268</v>
      </c>
      <c r="I1069" s="13" t="s">
        <v>408</v>
      </c>
      <c r="J1069" s="13" t="s">
        <v>777</v>
      </c>
      <c r="K1069" s="13" t="s">
        <v>303</v>
      </c>
      <c r="L1069" s="13" t="s">
        <v>2052</v>
      </c>
      <c r="M1069" s="6" t="s">
        <v>188</v>
      </c>
      <c r="N1069" s="6" t="s">
        <v>188</v>
      </c>
      <c r="O1069" s="6" t="s">
        <v>190</v>
      </c>
      <c r="P1069" s="7" t="s">
        <v>333</v>
      </c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</row>
    <row r="1070">
      <c r="A1070" s="12">
        <v>28.0</v>
      </c>
      <c r="B1070" s="7" t="s">
        <v>513</v>
      </c>
      <c r="C1070" s="7" t="s">
        <v>1268</v>
      </c>
      <c r="I1070" s="13" t="s">
        <v>652</v>
      </c>
      <c r="J1070" s="13" t="s">
        <v>774</v>
      </c>
      <c r="K1070" s="13" t="s">
        <v>303</v>
      </c>
      <c r="L1070" s="13" t="s">
        <v>2046</v>
      </c>
      <c r="M1070" s="6" t="s">
        <v>188</v>
      </c>
      <c r="N1070" s="6" t="s">
        <v>188</v>
      </c>
      <c r="O1070" s="6" t="s">
        <v>190</v>
      </c>
      <c r="P1070" s="7" t="s">
        <v>333</v>
      </c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</row>
    <row r="1071">
      <c r="A1071" s="12">
        <v>28.0</v>
      </c>
      <c r="B1071" s="7" t="s">
        <v>513</v>
      </c>
      <c r="C1071" s="7" t="s">
        <v>1268</v>
      </c>
      <c r="I1071" s="13" t="s">
        <v>356</v>
      </c>
      <c r="J1071" s="13" t="s">
        <v>775</v>
      </c>
      <c r="K1071" s="13" t="s">
        <v>303</v>
      </c>
      <c r="L1071" s="13" t="s">
        <v>2053</v>
      </c>
      <c r="M1071" s="6" t="s">
        <v>188</v>
      </c>
      <c r="N1071" s="6" t="s">
        <v>188</v>
      </c>
      <c r="O1071" s="6" t="s">
        <v>190</v>
      </c>
      <c r="P1071" s="7" t="s">
        <v>333</v>
      </c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</row>
    <row r="1072">
      <c r="A1072" s="12">
        <v>28.0</v>
      </c>
      <c r="B1072" s="7" t="s">
        <v>513</v>
      </c>
      <c r="C1072" s="7" t="s">
        <v>1268</v>
      </c>
      <c r="I1072" s="13" t="s">
        <v>1432</v>
      </c>
      <c r="J1072" s="13" t="s">
        <v>776</v>
      </c>
      <c r="K1072" s="13" t="s">
        <v>303</v>
      </c>
      <c r="L1072" s="13" t="s">
        <v>2054</v>
      </c>
      <c r="M1072" s="6" t="s">
        <v>188</v>
      </c>
      <c r="N1072" s="6" t="s">
        <v>188</v>
      </c>
      <c r="O1072" s="6" t="s">
        <v>190</v>
      </c>
      <c r="P1072" s="7" t="s">
        <v>333</v>
      </c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</row>
    <row r="1073">
      <c r="A1073" s="12">
        <v>28.0</v>
      </c>
      <c r="B1073" s="7" t="s">
        <v>513</v>
      </c>
      <c r="C1073" s="7" t="s">
        <v>1268</v>
      </c>
      <c r="I1073" s="13" t="s">
        <v>437</v>
      </c>
      <c r="J1073" s="13" t="s">
        <v>777</v>
      </c>
      <c r="K1073" s="13" t="s">
        <v>303</v>
      </c>
      <c r="L1073" s="13" t="s">
        <v>2052</v>
      </c>
      <c r="M1073" s="6" t="s">
        <v>188</v>
      </c>
      <c r="N1073" s="6" t="s">
        <v>188</v>
      </c>
      <c r="O1073" s="6" t="s">
        <v>190</v>
      </c>
      <c r="P1073" s="7" t="s">
        <v>333</v>
      </c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</row>
    <row r="1074">
      <c r="A1074" s="12">
        <v>28.0</v>
      </c>
      <c r="B1074" s="7" t="s">
        <v>513</v>
      </c>
      <c r="C1074" s="7" t="s">
        <v>1268</v>
      </c>
      <c r="I1074" s="13" t="s">
        <v>247</v>
      </c>
      <c r="J1074" s="13" t="s">
        <v>774</v>
      </c>
      <c r="K1074" s="13" t="s">
        <v>303</v>
      </c>
      <c r="L1074" s="13" t="s">
        <v>2053</v>
      </c>
      <c r="M1074" s="6" t="s">
        <v>188</v>
      </c>
      <c r="N1074" s="6" t="s">
        <v>188</v>
      </c>
      <c r="O1074" s="6" t="s">
        <v>190</v>
      </c>
      <c r="P1074" s="7" t="s">
        <v>333</v>
      </c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</row>
    <row r="1075">
      <c r="A1075" s="12">
        <v>28.0</v>
      </c>
      <c r="B1075" s="7" t="s">
        <v>513</v>
      </c>
      <c r="C1075" s="7" t="s">
        <v>1268</v>
      </c>
      <c r="I1075" s="13" t="s">
        <v>505</v>
      </c>
      <c r="J1075" s="13" t="s">
        <v>775</v>
      </c>
      <c r="K1075" s="13" t="s">
        <v>303</v>
      </c>
      <c r="L1075" s="13" t="s">
        <v>2055</v>
      </c>
      <c r="M1075" s="6" t="s">
        <v>188</v>
      </c>
      <c r="N1075" s="6" t="s">
        <v>188</v>
      </c>
      <c r="O1075" s="6" t="s">
        <v>190</v>
      </c>
      <c r="P1075" s="7" t="s">
        <v>333</v>
      </c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</row>
    <row r="1076">
      <c r="A1076" s="12">
        <v>28.0</v>
      </c>
      <c r="B1076" s="7" t="s">
        <v>513</v>
      </c>
      <c r="C1076" s="7" t="s">
        <v>1268</v>
      </c>
      <c r="I1076" s="13" t="s">
        <v>1493</v>
      </c>
      <c r="J1076" s="13" t="s">
        <v>776</v>
      </c>
      <c r="K1076" s="13" t="s">
        <v>303</v>
      </c>
      <c r="L1076" s="13" t="s">
        <v>2054</v>
      </c>
      <c r="M1076" s="6" t="s">
        <v>188</v>
      </c>
      <c r="N1076" s="6" t="s">
        <v>188</v>
      </c>
      <c r="O1076" s="6" t="s">
        <v>190</v>
      </c>
      <c r="P1076" s="7" t="s">
        <v>333</v>
      </c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</row>
    <row r="1077">
      <c r="A1077" s="12">
        <v>28.0</v>
      </c>
      <c r="B1077" s="7" t="s">
        <v>513</v>
      </c>
      <c r="C1077" s="7" t="s">
        <v>1268</v>
      </c>
      <c r="I1077" s="13" t="s">
        <v>2056</v>
      </c>
      <c r="J1077" s="13" t="s">
        <v>777</v>
      </c>
      <c r="K1077" s="13" t="s">
        <v>303</v>
      </c>
      <c r="L1077" s="13" t="s">
        <v>2057</v>
      </c>
      <c r="M1077" s="6" t="s">
        <v>188</v>
      </c>
      <c r="N1077" s="6" t="s">
        <v>188</v>
      </c>
      <c r="O1077" s="6" t="s">
        <v>190</v>
      </c>
      <c r="P1077" s="7" t="s">
        <v>333</v>
      </c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</row>
    <row r="1078">
      <c r="A1078" s="12">
        <v>28.0</v>
      </c>
      <c r="B1078" s="7" t="s">
        <v>513</v>
      </c>
      <c r="C1078" s="7" t="s">
        <v>1268</v>
      </c>
      <c r="I1078" s="13" t="s">
        <v>2058</v>
      </c>
      <c r="J1078" s="13" t="s">
        <v>774</v>
      </c>
      <c r="K1078" s="13" t="s">
        <v>303</v>
      </c>
      <c r="L1078" s="13" t="s">
        <v>2057</v>
      </c>
      <c r="M1078" s="6" t="s">
        <v>188</v>
      </c>
      <c r="N1078" s="6" t="s">
        <v>188</v>
      </c>
      <c r="O1078" s="6" t="s">
        <v>190</v>
      </c>
      <c r="P1078" s="7" t="s">
        <v>333</v>
      </c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</row>
    <row r="1079">
      <c r="A1079" s="12">
        <v>28.0</v>
      </c>
      <c r="B1079" s="7" t="s">
        <v>513</v>
      </c>
      <c r="C1079" s="7" t="s">
        <v>1268</v>
      </c>
      <c r="I1079" s="13" t="s">
        <v>2059</v>
      </c>
      <c r="J1079" s="13" t="s">
        <v>775</v>
      </c>
      <c r="K1079" s="13" t="s">
        <v>303</v>
      </c>
      <c r="L1079" s="13" t="s">
        <v>2057</v>
      </c>
      <c r="M1079" s="6" t="s">
        <v>188</v>
      </c>
      <c r="N1079" s="6" t="s">
        <v>188</v>
      </c>
      <c r="O1079" s="6" t="s">
        <v>190</v>
      </c>
      <c r="P1079" s="7" t="s">
        <v>333</v>
      </c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</row>
    <row r="1080">
      <c r="A1080" s="12">
        <v>28.0</v>
      </c>
      <c r="B1080" s="7" t="s">
        <v>513</v>
      </c>
      <c r="C1080" s="7" t="s">
        <v>1268</v>
      </c>
      <c r="I1080" s="13" t="s">
        <v>2060</v>
      </c>
      <c r="J1080" s="13" t="s">
        <v>776</v>
      </c>
      <c r="K1080" s="13" t="s">
        <v>303</v>
      </c>
      <c r="L1080" s="13" t="s">
        <v>2057</v>
      </c>
      <c r="M1080" s="6" t="s">
        <v>188</v>
      </c>
      <c r="N1080" s="6" t="s">
        <v>188</v>
      </c>
      <c r="O1080" s="6" t="s">
        <v>190</v>
      </c>
      <c r="P1080" s="7" t="s">
        <v>333</v>
      </c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</row>
    <row r="1081">
      <c r="A1081" s="12">
        <v>28.0</v>
      </c>
      <c r="B1081" s="7" t="s">
        <v>513</v>
      </c>
      <c r="C1081" s="7" t="s">
        <v>1268</v>
      </c>
      <c r="I1081" s="13" t="s">
        <v>1555</v>
      </c>
      <c r="J1081" s="13" t="s">
        <v>777</v>
      </c>
      <c r="K1081" s="13" t="s">
        <v>303</v>
      </c>
      <c r="L1081" s="13" t="s">
        <v>2061</v>
      </c>
      <c r="M1081" s="6" t="s">
        <v>188</v>
      </c>
      <c r="N1081" s="6" t="s">
        <v>188</v>
      </c>
      <c r="O1081" s="6" t="s">
        <v>190</v>
      </c>
      <c r="P1081" s="7" t="s">
        <v>333</v>
      </c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</row>
    <row r="1082">
      <c r="A1082" s="12">
        <v>28.0</v>
      </c>
      <c r="B1082" s="7" t="s">
        <v>513</v>
      </c>
      <c r="C1082" s="7" t="s">
        <v>1268</v>
      </c>
      <c r="I1082" s="13" t="s">
        <v>707</v>
      </c>
      <c r="J1082" s="13" t="s">
        <v>774</v>
      </c>
      <c r="K1082" s="13" t="s">
        <v>303</v>
      </c>
      <c r="L1082" s="13" t="s">
        <v>2061</v>
      </c>
      <c r="M1082" s="6" t="s">
        <v>188</v>
      </c>
      <c r="N1082" s="6" t="s">
        <v>188</v>
      </c>
      <c r="O1082" s="6" t="s">
        <v>190</v>
      </c>
      <c r="P1082" s="7" t="s">
        <v>333</v>
      </c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</row>
    <row r="1083">
      <c r="A1083" s="12">
        <v>28.0</v>
      </c>
      <c r="B1083" s="7" t="s">
        <v>513</v>
      </c>
      <c r="C1083" s="7" t="s">
        <v>1268</v>
      </c>
      <c r="I1083" s="13" t="s">
        <v>1504</v>
      </c>
      <c r="J1083" s="13" t="s">
        <v>775</v>
      </c>
      <c r="K1083" s="13" t="s">
        <v>303</v>
      </c>
      <c r="L1083" s="13" t="s">
        <v>2057</v>
      </c>
      <c r="M1083" s="6" t="s">
        <v>188</v>
      </c>
      <c r="N1083" s="6" t="s">
        <v>188</v>
      </c>
      <c r="O1083" s="6" t="s">
        <v>190</v>
      </c>
      <c r="P1083" s="7" t="s">
        <v>333</v>
      </c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</row>
    <row r="1084">
      <c r="A1084" s="12">
        <v>28.0</v>
      </c>
      <c r="B1084" s="7" t="s">
        <v>513</v>
      </c>
      <c r="C1084" s="7" t="s">
        <v>1268</v>
      </c>
      <c r="I1084" s="13" t="s">
        <v>1513</v>
      </c>
      <c r="J1084" s="13" t="s">
        <v>776</v>
      </c>
      <c r="K1084" s="13" t="s">
        <v>303</v>
      </c>
      <c r="L1084" s="13" t="s">
        <v>2057</v>
      </c>
      <c r="M1084" s="6" t="s">
        <v>188</v>
      </c>
      <c r="N1084" s="6" t="s">
        <v>188</v>
      </c>
      <c r="O1084" s="6" t="s">
        <v>190</v>
      </c>
      <c r="P1084" s="7" t="s">
        <v>333</v>
      </c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</row>
    <row r="1085">
      <c r="A1085" s="12">
        <v>28.0</v>
      </c>
      <c r="B1085" s="7" t="s">
        <v>513</v>
      </c>
      <c r="C1085" s="7" t="s">
        <v>1268</v>
      </c>
      <c r="I1085" s="13" t="s">
        <v>1760</v>
      </c>
      <c r="J1085" s="13" t="s">
        <v>777</v>
      </c>
      <c r="K1085" s="13" t="s">
        <v>303</v>
      </c>
      <c r="L1085" s="13" t="s">
        <v>2057</v>
      </c>
      <c r="M1085" s="6" t="s">
        <v>188</v>
      </c>
      <c r="N1085" s="6" t="s">
        <v>188</v>
      </c>
      <c r="O1085" s="6" t="s">
        <v>190</v>
      </c>
      <c r="P1085" s="7" t="s">
        <v>333</v>
      </c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</row>
    <row r="1086">
      <c r="A1086" s="12">
        <v>28.0</v>
      </c>
      <c r="B1086" s="7" t="s">
        <v>513</v>
      </c>
      <c r="C1086" s="7" t="s">
        <v>1268</v>
      </c>
      <c r="I1086" s="13" t="s">
        <v>2062</v>
      </c>
      <c r="J1086" s="13" t="s">
        <v>774</v>
      </c>
      <c r="K1086" s="13" t="s">
        <v>303</v>
      </c>
      <c r="L1086" s="13" t="s">
        <v>2061</v>
      </c>
      <c r="M1086" s="6" t="s">
        <v>188</v>
      </c>
      <c r="N1086" s="6" t="s">
        <v>188</v>
      </c>
      <c r="O1086" s="6" t="s">
        <v>190</v>
      </c>
      <c r="P1086" s="7" t="s">
        <v>333</v>
      </c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</row>
    <row r="1087">
      <c r="A1087" s="12">
        <v>28.0</v>
      </c>
      <c r="B1087" s="7" t="s">
        <v>513</v>
      </c>
      <c r="C1087" s="7" t="s">
        <v>1268</v>
      </c>
      <c r="I1087" s="13" t="s">
        <v>1663</v>
      </c>
      <c r="J1087" s="13" t="s">
        <v>775</v>
      </c>
      <c r="K1087" s="13" t="s">
        <v>303</v>
      </c>
      <c r="L1087" s="13" t="s">
        <v>2057</v>
      </c>
      <c r="M1087" s="6" t="s">
        <v>188</v>
      </c>
      <c r="N1087" s="6" t="s">
        <v>188</v>
      </c>
      <c r="O1087" s="6" t="s">
        <v>190</v>
      </c>
      <c r="P1087" s="7" t="s">
        <v>333</v>
      </c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</row>
    <row r="1088">
      <c r="A1088" s="12">
        <v>28.0</v>
      </c>
      <c r="B1088" s="7" t="s">
        <v>513</v>
      </c>
      <c r="C1088" s="7" t="s">
        <v>1268</v>
      </c>
      <c r="I1088" s="13" t="s">
        <v>2063</v>
      </c>
      <c r="J1088" s="13" t="s">
        <v>776</v>
      </c>
      <c r="K1088" s="13" t="s">
        <v>303</v>
      </c>
      <c r="L1088" s="13" t="s">
        <v>2057</v>
      </c>
      <c r="M1088" s="6" t="s">
        <v>188</v>
      </c>
      <c r="N1088" s="6" t="s">
        <v>188</v>
      </c>
      <c r="O1088" s="6" t="s">
        <v>190</v>
      </c>
      <c r="P1088" s="7" t="s">
        <v>333</v>
      </c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</row>
    <row r="1089">
      <c r="A1089" s="12">
        <v>28.0</v>
      </c>
      <c r="B1089" s="7" t="s">
        <v>513</v>
      </c>
      <c r="C1089" s="7" t="s">
        <v>1268</v>
      </c>
      <c r="I1089" s="13" t="s">
        <v>2064</v>
      </c>
      <c r="J1089" s="13" t="s">
        <v>777</v>
      </c>
      <c r="K1089" s="13" t="s">
        <v>303</v>
      </c>
      <c r="L1089" s="13" t="s">
        <v>2065</v>
      </c>
      <c r="M1089" s="6" t="s">
        <v>188</v>
      </c>
      <c r="N1089" s="6" t="s">
        <v>188</v>
      </c>
      <c r="O1089" s="6" t="s">
        <v>190</v>
      </c>
      <c r="P1089" s="7" t="s">
        <v>333</v>
      </c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</row>
    <row r="1090">
      <c r="A1090" s="12">
        <v>28.0</v>
      </c>
      <c r="B1090" s="7" t="s">
        <v>513</v>
      </c>
      <c r="C1090" s="7" t="s">
        <v>1268</v>
      </c>
      <c r="I1090" s="13" t="s">
        <v>2066</v>
      </c>
      <c r="J1090" s="13" t="s">
        <v>774</v>
      </c>
      <c r="K1090" s="13" t="s">
        <v>303</v>
      </c>
      <c r="L1090" s="13" t="s">
        <v>2057</v>
      </c>
      <c r="M1090" s="6" t="s">
        <v>188</v>
      </c>
      <c r="N1090" s="6" t="s">
        <v>188</v>
      </c>
      <c r="O1090" s="6" t="s">
        <v>190</v>
      </c>
      <c r="P1090" s="7" t="s">
        <v>333</v>
      </c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</row>
    <row r="1091">
      <c r="A1091" s="12">
        <v>28.0</v>
      </c>
      <c r="B1091" s="7" t="s">
        <v>513</v>
      </c>
      <c r="C1091" s="7" t="s">
        <v>1268</v>
      </c>
      <c r="I1091" s="13" t="s">
        <v>1346</v>
      </c>
      <c r="J1091" s="13" t="s">
        <v>775</v>
      </c>
      <c r="K1091" s="13" t="s">
        <v>303</v>
      </c>
      <c r="L1091" s="13" t="s">
        <v>2057</v>
      </c>
      <c r="M1091" s="6" t="s">
        <v>188</v>
      </c>
      <c r="N1091" s="6" t="s">
        <v>188</v>
      </c>
      <c r="O1091" s="6" t="s">
        <v>190</v>
      </c>
      <c r="P1091" s="7" t="s">
        <v>333</v>
      </c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</row>
    <row r="1092">
      <c r="A1092" s="12">
        <v>28.0</v>
      </c>
      <c r="B1092" s="7" t="s">
        <v>513</v>
      </c>
      <c r="C1092" s="7" t="s">
        <v>1268</v>
      </c>
      <c r="I1092" s="13" t="s">
        <v>2067</v>
      </c>
      <c r="J1092" s="13" t="s">
        <v>776</v>
      </c>
      <c r="K1092" s="13" t="s">
        <v>303</v>
      </c>
      <c r="L1092" s="13" t="s">
        <v>2065</v>
      </c>
      <c r="M1092" s="6" t="s">
        <v>188</v>
      </c>
      <c r="N1092" s="6" t="s">
        <v>188</v>
      </c>
      <c r="O1092" s="6" t="s">
        <v>190</v>
      </c>
      <c r="P1092" s="7" t="s">
        <v>333</v>
      </c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</row>
    <row r="1093">
      <c r="A1093" s="12">
        <v>28.0</v>
      </c>
      <c r="B1093" s="7" t="s">
        <v>513</v>
      </c>
      <c r="C1093" s="7" t="s">
        <v>1268</v>
      </c>
      <c r="I1093" s="13" t="s">
        <v>2068</v>
      </c>
      <c r="J1093" s="13" t="s">
        <v>777</v>
      </c>
      <c r="K1093" s="13" t="s">
        <v>303</v>
      </c>
      <c r="L1093" s="13" t="s">
        <v>2069</v>
      </c>
      <c r="M1093" s="6" t="s">
        <v>188</v>
      </c>
      <c r="N1093" s="6" t="s">
        <v>188</v>
      </c>
      <c r="O1093" s="6" t="s">
        <v>190</v>
      </c>
      <c r="P1093" s="7" t="s">
        <v>333</v>
      </c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</row>
    <row r="1094">
      <c r="A1094" s="12">
        <v>28.0</v>
      </c>
      <c r="B1094" s="7" t="s">
        <v>513</v>
      </c>
      <c r="C1094" s="7" t="s">
        <v>1268</v>
      </c>
      <c r="I1094" s="13" t="s">
        <v>2070</v>
      </c>
      <c r="J1094" s="13" t="s">
        <v>774</v>
      </c>
      <c r="K1094" s="13" t="s">
        <v>303</v>
      </c>
      <c r="L1094" s="13" t="s">
        <v>2069</v>
      </c>
      <c r="M1094" s="6" t="s">
        <v>188</v>
      </c>
      <c r="N1094" s="6" t="s">
        <v>188</v>
      </c>
      <c r="O1094" s="6" t="s">
        <v>190</v>
      </c>
      <c r="P1094" s="7" t="s">
        <v>333</v>
      </c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</row>
    <row r="1095">
      <c r="A1095" s="12">
        <v>28.0</v>
      </c>
      <c r="B1095" s="7" t="s">
        <v>513</v>
      </c>
      <c r="C1095" s="7" t="s">
        <v>1268</v>
      </c>
      <c r="I1095" s="13" t="s">
        <v>347</v>
      </c>
      <c r="J1095" s="13" t="s">
        <v>775</v>
      </c>
      <c r="K1095" s="13" t="s">
        <v>303</v>
      </c>
      <c r="L1095" s="13" t="s">
        <v>2061</v>
      </c>
      <c r="M1095" s="6" t="s">
        <v>188</v>
      </c>
      <c r="N1095" s="6" t="s">
        <v>188</v>
      </c>
      <c r="O1095" s="6" t="s">
        <v>190</v>
      </c>
      <c r="P1095" s="7" t="s">
        <v>333</v>
      </c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</row>
    <row r="1096">
      <c r="A1096" s="12">
        <v>28.0</v>
      </c>
      <c r="B1096" s="7" t="s">
        <v>513</v>
      </c>
      <c r="C1096" s="7" t="s">
        <v>1268</v>
      </c>
      <c r="I1096" s="13" t="s">
        <v>2071</v>
      </c>
      <c r="J1096" s="13" t="s">
        <v>776</v>
      </c>
      <c r="K1096" s="13" t="s">
        <v>303</v>
      </c>
      <c r="L1096" s="13" t="s">
        <v>2065</v>
      </c>
      <c r="M1096" s="6" t="s">
        <v>188</v>
      </c>
      <c r="N1096" s="6" t="s">
        <v>188</v>
      </c>
      <c r="O1096" s="6" t="s">
        <v>190</v>
      </c>
      <c r="P1096" s="7" t="s">
        <v>333</v>
      </c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</row>
    <row r="1097">
      <c r="A1097" s="12">
        <v>28.0</v>
      </c>
      <c r="B1097" s="7" t="s">
        <v>513</v>
      </c>
      <c r="C1097" s="7" t="s">
        <v>1268</v>
      </c>
      <c r="I1097" s="13" t="s">
        <v>1354</v>
      </c>
      <c r="J1097" s="13" t="s">
        <v>777</v>
      </c>
      <c r="K1097" s="13" t="s">
        <v>303</v>
      </c>
      <c r="L1097" s="13" t="s">
        <v>2061</v>
      </c>
      <c r="M1097" s="6" t="s">
        <v>188</v>
      </c>
      <c r="N1097" s="6" t="s">
        <v>188</v>
      </c>
      <c r="O1097" s="6" t="s">
        <v>190</v>
      </c>
      <c r="P1097" s="7" t="s">
        <v>333</v>
      </c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</row>
    <row r="1098">
      <c r="A1098" s="12">
        <v>28.0</v>
      </c>
      <c r="B1098" s="7" t="s">
        <v>513</v>
      </c>
      <c r="C1098" s="7" t="s">
        <v>1268</v>
      </c>
      <c r="I1098" s="13" t="s">
        <v>426</v>
      </c>
      <c r="J1098" s="13" t="s">
        <v>774</v>
      </c>
      <c r="K1098" s="13" t="s">
        <v>303</v>
      </c>
      <c r="L1098" s="13" t="s">
        <v>2061</v>
      </c>
      <c r="M1098" s="6" t="s">
        <v>188</v>
      </c>
      <c r="N1098" s="6" t="s">
        <v>188</v>
      </c>
      <c r="O1098" s="6" t="s">
        <v>190</v>
      </c>
      <c r="P1098" s="7" t="s">
        <v>333</v>
      </c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</row>
    <row r="1099">
      <c r="A1099" s="12">
        <v>28.0</v>
      </c>
      <c r="B1099" s="7" t="s">
        <v>513</v>
      </c>
      <c r="C1099" s="7" t="s">
        <v>1268</v>
      </c>
      <c r="I1099" s="13" t="s">
        <v>1907</v>
      </c>
      <c r="J1099" s="13" t="s">
        <v>775</v>
      </c>
      <c r="K1099" s="13" t="s">
        <v>303</v>
      </c>
      <c r="L1099" s="13" t="s">
        <v>2061</v>
      </c>
      <c r="M1099" s="6" t="s">
        <v>188</v>
      </c>
      <c r="N1099" s="6" t="s">
        <v>188</v>
      </c>
      <c r="O1099" s="6" t="s">
        <v>190</v>
      </c>
      <c r="P1099" s="7" t="s">
        <v>333</v>
      </c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</row>
    <row r="1100">
      <c r="A1100" s="12">
        <v>28.0</v>
      </c>
      <c r="B1100" s="7" t="s">
        <v>513</v>
      </c>
      <c r="C1100" s="7" t="s">
        <v>1268</v>
      </c>
      <c r="I1100" s="13" t="s">
        <v>330</v>
      </c>
      <c r="J1100" s="13" t="s">
        <v>776</v>
      </c>
      <c r="K1100" s="13" t="s">
        <v>303</v>
      </c>
      <c r="L1100" s="13" t="s">
        <v>2065</v>
      </c>
      <c r="M1100" s="6" t="s">
        <v>188</v>
      </c>
      <c r="N1100" s="6" t="s">
        <v>188</v>
      </c>
      <c r="O1100" s="6" t="s">
        <v>190</v>
      </c>
      <c r="P1100" s="7" t="s">
        <v>333</v>
      </c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</row>
    <row r="1101">
      <c r="A1101" s="12">
        <v>28.0</v>
      </c>
      <c r="B1101" s="7" t="s">
        <v>513</v>
      </c>
      <c r="C1101" s="7" t="s">
        <v>1268</v>
      </c>
      <c r="I1101" s="13" t="s">
        <v>2072</v>
      </c>
      <c r="J1101" s="13" t="s">
        <v>777</v>
      </c>
      <c r="K1101" s="13" t="s">
        <v>303</v>
      </c>
      <c r="L1101" s="13" t="s">
        <v>2069</v>
      </c>
      <c r="M1101" s="6" t="s">
        <v>188</v>
      </c>
      <c r="N1101" s="6" t="s">
        <v>188</v>
      </c>
      <c r="O1101" s="6" t="s">
        <v>190</v>
      </c>
      <c r="P1101" s="7" t="s">
        <v>333</v>
      </c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</row>
    <row r="1102">
      <c r="A1102" s="12">
        <v>28.0</v>
      </c>
      <c r="B1102" s="7" t="s">
        <v>513</v>
      </c>
      <c r="C1102" s="7" t="s">
        <v>1268</v>
      </c>
      <c r="I1102" s="13" t="s">
        <v>2073</v>
      </c>
      <c r="J1102" s="13" t="s">
        <v>774</v>
      </c>
      <c r="K1102" s="13" t="s">
        <v>303</v>
      </c>
      <c r="L1102" s="13" t="s">
        <v>2069</v>
      </c>
      <c r="M1102" s="6" t="s">
        <v>188</v>
      </c>
      <c r="N1102" s="6" t="s">
        <v>188</v>
      </c>
      <c r="O1102" s="6" t="s">
        <v>190</v>
      </c>
      <c r="P1102" s="7" t="s">
        <v>333</v>
      </c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</row>
    <row r="1103">
      <c r="A1103" s="12">
        <v>28.0</v>
      </c>
      <c r="B1103" s="7" t="s">
        <v>513</v>
      </c>
      <c r="C1103" s="7" t="s">
        <v>1268</v>
      </c>
      <c r="I1103" s="13" t="s">
        <v>197</v>
      </c>
      <c r="J1103" s="13" t="s">
        <v>775</v>
      </c>
      <c r="K1103" s="13" t="s">
        <v>303</v>
      </c>
      <c r="L1103" s="13" t="s">
        <v>2065</v>
      </c>
      <c r="M1103" s="6" t="s">
        <v>188</v>
      </c>
      <c r="N1103" s="6" t="s">
        <v>188</v>
      </c>
      <c r="O1103" s="6" t="s">
        <v>190</v>
      </c>
      <c r="P1103" s="7" t="s">
        <v>333</v>
      </c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</row>
    <row r="1104">
      <c r="A1104" s="12">
        <v>28.0</v>
      </c>
      <c r="B1104" s="7" t="s">
        <v>513</v>
      </c>
      <c r="C1104" s="7" t="s">
        <v>1268</v>
      </c>
      <c r="I1104" s="13" t="s">
        <v>445</v>
      </c>
      <c r="J1104" s="13" t="s">
        <v>776</v>
      </c>
      <c r="K1104" s="13" t="s">
        <v>303</v>
      </c>
      <c r="L1104" s="13" t="s">
        <v>2065</v>
      </c>
      <c r="M1104" s="6" t="s">
        <v>188</v>
      </c>
      <c r="N1104" s="6" t="s">
        <v>188</v>
      </c>
      <c r="O1104" s="6" t="s">
        <v>190</v>
      </c>
      <c r="P1104" s="7" t="s">
        <v>333</v>
      </c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</row>
    <row r="1105">
      <c r="A1105" s="12">
        <v>28.0</v>
      </c>
      <c r="B1105" s="7" t="s">
        <v>513</v>
      </c>
      <c r="C1105" s="7" t="s">
        <v>1268</v>
      </c>
      <c r="I1105" s="13" t="s">
        <v>2074</v>
      </c>
      <c r="J1105" s="13" t="s">
        <v>777</v>
      </c>
      <c r="K1105" s="13" t="s">
        <v>303</v>
      </c>
      <c r="L1105" s="13" t="s">
        <v>2065</v>
      </c>
      <c r="M1105" s="6" t="s">
        <v>188</v>
      </c>
      <c r="N1105" s="6" t="s">
        <v>188</v>
      </c>
      <c r="O1105" s="6" t="s">
        <v>190</v>
      </c>
      <c r="P1105" s="7" t="s">
        <v>333</v>
      </c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</row>
    <row r="1106">
      <c r="A1106" s="12">
        <v>28.0</v>
      </c>
      <c r="B1106" s="7" t="s">
        <v>513</v>
      </c>
      <c r="C1106" s="7" t="s">
        <v>1268</v>
      </c>
      <c r="I1106" s="13" t="s">
        <v>270</v>
      </c>
      <c r="J1106" s="13" t="s">
        <v>774</v>
      </c>
      <c r="K1106" s="13" t="s">
        <v>303</v>
      </c>
      <c r="L1106" s="13" t="s">
        <v>2061</v>
      </c>
      <c r="M1106" s="6" t="s">
        <v>188</v>
      </c>
      <c r="N1106" s="6" t="s">
        <v>188</v>
      </c>
      <c r="O1106" s="6" t="s">
        <v>190</v>
      </c>
      <c r="P1106" s="7" t="s">
        <v>333</v>
      </c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</row>
    <row r="1107">
      <c r="A1107" s="12">
        <v>28.0</v>
      </c>
      <c r="B1107" s="7" t="s">
        <v>513</v>
      </c>
      <c r="C1107" s="7" t="s">
        <v>1268</v>
      </c>
      <c r="I1107" s="13" t="s">
        <v>225</v>
      </c>
      <c r="J1107" s="13" t="s">
        <v>775</v>
      </c>
      <c r="K1107" s="13" t="s">
        <v>303</v>
      </c>
      <c r="L1107" s="13" t="s">
        <v>2065</v>
      </c>
      <c r="M1107" s="6" t="s">
        <v>188</v>
      </c>
      <c r="N1107" s="6" t="s">
        <v>188</v>
      </c>
      <c r="O1107" s="6" t="s">
        <v>190</v>
      </c>
      <c r="P1107" s="7" t="s">
        <v>333</v>
      </c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</row>
    <row r="1108">
      <c r="A1108" s="12">
        <v>28.0</v>
      </c>
      <c r="B1108" s="7" t="s">
        <v>513</v>
      </c>
      <c r="C1108" s="7" t="s">
        <v>1268</v>
      </c>
      <c r="I1108" s="13" t="s">
        <v>460</v>
      </c>
      <c r="J1108" s="13" t="s">
        <v>776</v>
      </c>
      <c r="K1108" s="13" t="s">
        <v>303</v>
      </c>
      <c r="L1108" s="13" t="s">
        <v>2065</v>
      </c>
      <c r="M1108" s="6" t="s">
        <v>188</v>
      </c>
      <c r="N1108" s="6" t="s">
        <v>188</v>
      </c>
      <c r="O1108" s="6" t="s">
        <v>190</v>
      </c>
      <c r="P1108" s="7" t="s">
        <v>333</v>
      </c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</row>
    <row r="1109">
      <c r="A1109" s="12">
        <v>28.0</v>
      </c>
      <c r="B1109" s="7" t="s">
        <v>513</v>
      </c>
      <c r="C1109" s="7" t="s">
        <v>1268</v>
      </c>
      <c r="I1109" s="13" t="s">
        <v>466</v>
      </c>
      <c r="J1109" s="13" t="s">
        <v>777</v>
      </c>
      <c r="K1109" s="13" t="s">
        <v>303</v>
      </c>
      <c r="L1109" s="13" t="s">
        <v>2065</v>
      </c>
      <c r="M1109" s="6" t="s">
        <v>188</v>
      </c>
      <c r="N1109" s="6" t="s">
        <v>188</v>
      </c>
      <c r="O1109" s="6" t="s">
        <v>190</v>
      </c>
      <c r="P1109" s="7" t="s">
        <v>333</v>
      </c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</row>
    <row r="1110">
      <c r="A1110" s="12">
        <v>28.0</v>
      </c>
      <c r="B1110" s="7" t="s">
        <v>513</v>
      </c>
      <c r="C1110" s="7" t="s">
        <v>1268</v>
      </c>
      <c r="I1110" s="13" t="s">
        <v>2075</v>
      </c>
      <c r="J1110" s="13" t="s">
        <v>774</v>
      </c>
      <c r="K1110" s="13" t="s">
        <v>303</v>
      </c>
      <c r="L1110" s="13" t="s">
        <v>2076</v>
      </c>
      <c r="M1110" s="6" t="s">
        <v>188</v>
      </c>
      <c r="N1110" s="6" t="s">
        <v>188</v>
      </c>
      <c r="O1110" s="6" t="s">
        <v>190</v>
      </c>
      <c r="P1110" s="7" t="s">
        <v>333</v>
      </c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</row>
    <row r="1111">
      <c r="A1111" s="12">
        <v>28.0</v>
      </c>
      <c r="B1111" s="7" t="s">
        <v>513</v>
      </c>
      <c r="C1111" s="7" t="s">
        <v>1268</v>
      </c>
      <c r="I1111" s="13" t="s">
        <v>2077</v>
      </c>
      <c r="J1111" s="13" t="s">
        <v>775</v>
      </c>
      <c r="K1111" s="13" t="s">
        <v>303</v>
      </c>
      <c r="L1111" s="13" t="s">
        <v>2069</v>
      </c>
      <c r="M1111" s="6" t="s">
        <v>188</v>
      </c>
      <c r="N1111" s="6" t="s">
        <v>188</v>
      </c>
      <c r="O1111" s="6" t="s">
        <v>190</v>
      </c>
      <c r="P1111" s="7" t="s">
        <v>333</v>
      </c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</row>
    <row r="1112">
      <c r="A1112" s="12">
        <v>28.0</v>
      </c>
      <c r="B1112" s="7" t="s">
        <v>513</v>
      </c>
      <c r="C1112" s="7" t="s">
        <v>1268</v>
      </c>
      <c r="I1112" s="13" t="s">
        <v>1825</v>
      </c>
      <c r="J1112" s="13" t="s">
        <v>776</v>
      </c>
      <c r="K1112" s="13" t="s">
        <v>303</v>
      </c>
      <c r="L1112" s="13" t="s">
        <v>2065</v>
      </c>
      <c r="M1112" s="6" t="s">
        <v>188</v>
      </c>
      <c r="N1112" s="6" t="s">
        <v>188</v>
      </c>
      <c r="O1112" s="6" t="s">
        <v>190</v>
      </c>
      <c r="P1112" s="7" t="s">
        <v>333</v>
      </c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</row>
    <row r="1113">
      <c r="A1113" s="12">
        <v>28.0</v>
      </c>
      <c r="B1113" s="7" t="s">
        <v>513</v>
      </c>
      <c r="C1113" s="7" t="s">
        <v>1268</v>
      </c>
      <c r="I1113" s="13" t="s">
        <v>1599</v>
      </c>
      <c r="J1113" s="13" t="s">
        <v>777</v>
      </c>
      <c r="K1113" s="13" t="s">
        <v>303</v>
      </c>
      <c r="L1113" s="13" t="s">
        <v>2069</v>
      </c>
      <c r="M1113" s="6" t="s">
        <v>188</v>
      </c>
      <c r="N1113" s="6" t="s">
        <v>188</v>
      </c>
      <c r="O1113" s="6" t="s">
        <v>190</v>
      </c>
      <c r="P1113" s="7" t="s">
        <v>333</v>
      </c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</row>
    <row r="1114">
      <c r="A1114" s="12">
        <v>28.0</v>
      </c>
      <c r="B1114" s="7" t="s">
        <v>513</v>
      </c>
      <c r="C1114" s="7" t="s">
        <v>1268</v>
      </c>
      <c r="I1114" s="13" t="s">
        <v>1748</v>
      </c>
      <c r="J1114" s="13" t="s">
        <v>774</v>
      </c>
      <c r="K1114" s="13" t="s">
        <v>303</v>
      </c>
      <c r="L1114" s="13" t="s">
        <v>2069</v>
      </c>
      <c r="M1114" s="6" t="s">
        <v>188</v>
      </c>
      <c r="N1114" s="6" t="s">
        <v>188</v>
      </c>
      <c r="O1114" s="6" t="s">
        <v>190</v>
      </c>
      <c r="P1114" s="7" t="s">
        <v>333</v>
      </c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</row>
    <row r="1115">
      <c r="A1115" s="12">
        <v>28.0</v>
      </c>
      <c r="B1115" s="7" t="s">
        <v>513</v>
      </c>
      <c r="C1115" s="7" t="s">
        <v>1268</v>
      </c>
      <c r="I1115" s="13" t="s">
        <v>167</v>
      </c>
      <c r="J1115" s="13" t="s">
        <v>775</v>
      </c>
      <c r="K1115" s="13" t="s">
        <v>303</v>
      </c>
      <c r="L1115" s="13" t="s">
        <v>2065</v>
      </c>
      <c r="M1115" s="6" t="s">
        <v>188</v>
      </c>
      <c r="N1115" s="6" t="s">
        <v>188</v>
      </c>
      <c r="O1115" s="6" t="s">
        <v>190</v>
      </c>
      <c r="P1115" s="7" t="s">
        <v>333</v>
      </c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</row>
    <row r="1116">
      <c r="A1116" s="12">
        <v>28.0</v>
      </c>
      <c r="B1116" s="7" t="s">
        <v>513</v>
      </c>
      <c r="C1116" s="7" t="s">
        <v>1268</v>
      </c>
      <c r="I1116" s="13" t="s">
        <v>1846</v>
      </c>
      <c r="J1116" s="13" t="s">
        <v>776</v>
      </c>
      <c r="K1116" s="13" t="s">
        <v>303</v>
      </c>
      <c r="L1116" s="13" t="s">
        <v>2069</v>
      </c>
      <c r="M1116" s="6" t="s">
        <v>188</v>
      </c>
      <c r="N1116" s="6" t="s">
        <v>188</v>
      </c>
      <c r="O1116" s="6" t="s">
        <v>190</v>
      </c>
      <c r="P1116" s="7" t="s">
        <v>333</v>
      </c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</row>
    <row r="1117">
      <c r="A1117" s="12">
        <v>28.0</v>
      </c>
      <c r="B1117" s="7" t="s">
        <v>513</v>
      </c>
      <c r="C1117" s="7" t="s">
        <v>1268</v>
      </c>
      <c r="I1117" s="13" t="s">
        <v>511</v>
      </c>
      <c r="J1117" s="13" t="s">
        <v>777</v>
      </c>
      <c r="K1117" s="13" t="s">
        <v>303</v>
      </c>
      <c r="L1117" s="13" t="s">
        <v>2061</v>
      </c>
      <c r="M1117" s="6" t="s">
        <v>188</v>
      </c>
      <c r="N1117" s="6" t="s">
        <v>188</v>
      </c>
      <c r="O1117" s="6" t="s">
        <v>190</v>
      </c>
      <c r="P1117" s="7" t="s">
        <v>333</v>
      </c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</row>
    <row r="1118">
      <c r="A1118" s="12">
        <v>28.0</v>
      </c>
      <c r="B1118" s="7" t="s">
        <v>513</v>
      </c>
      <c r="C1118" s="7" t="s">
        <v>1268</v>
      </c>
      <c r="I1118" s="13" t="s">
        <v>519</v>
      </c>
      <c r="J1118" s="13" t="s">
        <v>774</v>
      </c>
      <c r="K1118" s="13" t="s">
        <v>303</v>
      </c>
      <c r="L1118" s="13" t="s">
        <v>2065</v>
      </c>
      <c r="M1118" s="6" t="s">
        <v>188</v>
      </c>
      <c r="N1118" s="6" t="s">
        <v>188</v>
      </c>
      <c r="O1118" s="6" t="s">
        <v>190</v>
      </c>
      <c r="P1118" s="7" t="s">
        <v>333</v>
      </c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</row>
    <row r="1119">
      <c r="A1119" s="12">
        <v>28.0</v>
      </c>
      <c r="B1119" s="7" t="s">
        <v>513</v>
      </c>
      <c r="C1119" s="7" t="s">
        <v>1268</v>
      </c>
      <c r="I1119" s="13" t="s">
        <v>2078</v>
      </c>
      <c r="J1119" s="13" t="s">
        <v>775</v>
      </c>
      <c r="K1119" s="13" t="s">
        <v>303</v>
      </c>
      <c r="L1119" s="13" t="s">
        <v>2065</v>
      </c>
      <c r="M1119" s="6" t="s">
        <v>188</v>
      </c>
      <c r="N1119" s="6" t="s">
        <v>188</v>
      </c>
      <c r="O1119" s="6" t="s">
        <v>190</v>
      </c>
      <c r="P1119" s="7" t="s">
        <v>333</v>
      </c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</row>
    <row r="1120">
      <c r="A1120" s="12">
        <v>28.0</v>
      </c>
      <c r="B1120" s="7" t="s">
        <v>513</v>
      </c>
      <c r="C1120" s="7" t="s">
        <v>1268</v>
      </c>
      <c r="I1120" s="13" t="s">
        <v>481</v>
      </c>
      <c r="J1120" s="13" t="s">
        <v>776</v>
      </c>
      <c r="K1120" s="13" t="s">
        <v>303</v>
      </c>
      <c r="L1120" s="13" t="s">
        <v>2061</v>
      </c>
      <c r="M1120" s="6" t="s">
        <v>188</v>
      </c>
      <c r="N1120" s="6" t="s">
        <v>188</v>
      </c>
      <c r="O1120" s="6" t="s">
        <v>190</v>
      </c>
      <c r="P1120" s="7" t="s">
        <v>333</v>
      </c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</row>
    <row r="1121">
      <c r="A1121" s="12">
        <v>28.0</v>
      </c>
      <c r="B1121" s="7" t="s">
        <v>513</v>
      </c>
      <c r="C1121" s="7" t="s">
        <v>1268</v>
      </c>
      <c r="I1121" s="13" t="s">
        <v>1709</v>
      </c>
      <c r="J1121" s="13" t="s">
        <v>777</v>
      </c>
      <c r="K1121" s="13" t="s">
        <v>303</v>
      </c>
      <c r="L1121" s="13" t="s">
        <v>2069</v>
      </c>
      <c r="M1121" s="6" t="s">
        <v>188</v>
      </c>
      <c r="N1121" s="6" t="s">
        <v>188</v>
      </c>
      <c r="O1121" s="6" t="s">
        <v>190</v>
      </c>
      <c r="P1121" s="7" t="s">
        <v>333</v>
      </c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</row>
    <row r="1122">
      <c r="A1122" s="12">
        <v>28.0</v>
      </c>
      <c r="B1122" s="7" t="s">
        <v>513</v>
      </c>
      <c r="C1122" s="7" t="s">
        <v>1268</v>
      </c>
      <c r="I1122" s="13" t="s">
        <v>1704</v>
      </c>
      <c r="J1122" s="13" t="s">
        <v>774</v>
      </c>
      <c r="K1122" s="13" t="s">
        <v>303</v>
      </c>
      <c r="L1122" s="13" t="s">
        <v>2069</v>
      </c>
      <c r="M1122" s="6" t="s">
        <v>188</v>
      </c>
      <c r="N1122" s="6" t="s">
        <v>188</v>
      </c>
      <c r="O1122" s="6" t="s">
        <v>190</v>
      </c>
      <c r="P1122" s="7" t="s">
        <v>333</v>
      </c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</row>
    <row r="1123">
      <c r="A1123" s="12">
        <v>28.0</v>
      </c>
      <c r="B1123" s="7" t="s">
        <v>513</v>
      </c>
      <c r="C1123" s="7" t="s">
        <v>1268</v>
      </c>
      <c r="I1123" s="13" t="s">
        <v>365</v>
      </c>
      <c r="J1123" s="13" t="s">
        <v>775</v>
      </c>
      <c r="K1123" s="13" t="s">
        <v>303</v>
      </c>
      <c r="L1123" s="13" t="s">
        <v>2076</v>
      </c>
      <c r="M1123" s="6" t="s">
        <v>188</v>
      </c>
      <c r="N1123" s="6" t="s">
        <v>188</v>
      </c>
      <c r="O1123" s="6" t="s">
        <v>190</v>
      </c>
      <c r="P1123" s="7" t="s">
        <v>333</v>
      </c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</row>
    <row r="1124">
      <c r="A1124" s="12">
        <v>28.0</v>
      </c>
      <c r="B1124" s="7" t="s">
        <v>513</v>
      </c>
      <c r="C1124" s="7" t="s">
        <v>1268</v>
      </c>
      <c r="I1124" s="13" t="s">
        <v>373</v>
      </c>
      <c r="J1124" s="13" t="s">
        <v>776</v>
      </c>
      <c r="K1124" s="13" t="s">
        <v>303</v>
      </c>
      <c r="L1124" s="13" t="s">
        <v>2061</v>
      </c>
      <c r="M1124" s="6" t="s">
        <v>188</v>
      </c>
      <c r="N1124" s="6" t="s">
        <v>188</v>
      </c>
      <c r="O1124" s="6" t="s">
        <v>190</v>
      </c>
      <c r="P1124" s="7" t="s">
        <v>333</v>
      </c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</row>
    <row r="1125">
      <c r="A1125" s="12">
        <v>28.0</v>
      </c>
      <c r="B1125" s="7" t="s">
        <v>513</v>
      </c>
      <c r="C1125" s="7" t="s">
        <v>1268</v>
      </c>
      <c r="I1125" s="13" t="s">
        <v>380</v>
      </c>
      <c r="J1125" s="13" t="s">
        <v>777</v>
      </c>
      <c r="K1125" s="13" t="s">
        <v>303</v>
      </c>
      <c r="L1125" s="13" t="s">
        <v>2076</v>
      </c>
      <c r="M1125" s="6" t="s">
        <v>188</v>
      </c>
      <c r="N1125" s="6" t="s">
        <v>188</v>
      </c>
      <c r="O1125" s="6" t="s">
        <v>190</v>
      </c>
      <c r="P1125" s="7" t="s">
        <v>333</v>
      </c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</row>
    <row r="1126">
      <c r="A1126" s="12">
        <v>28.0</v>
      </c>
      <c r="B1126" s="7" t="s">
        <v>513</v>
      </c>
      <c r="C1126" s="7" t="s">
        <v>1268</v>
      </c>
      <c r="I1126" s="13" t="s">
        <v>2079</v>
      </c>
      <c r="J1126" s="13" t="s">
        <v>774</v>
      </c>
      <c r="K1126" s="13" t="s">
        <v>303</v>
      </c>
      <c r="L1126" s="13" t="s">
        <v>2069</v>
      </c>
      <c r="M1126" s="6" t="s">
        <v>188</v>
      </c>
      <c r="N1126" s="6" t="s">
        <v>188</v>
      </c>
      <c r="O1126" s="6" t="s">
        <v>190</v>
      </c>
      <c r="P1126" s="7" t="s">
        <v>333</v>
      </c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</row>
    <row r="1127">
      <c r="A1127" s="12">
        <v>28.0</v>
      </c>
      <c r="B1127" s="7" t="s">
        <v>513</v>
      </c>
      <c r="C1127" s="7" t="s">
        <v>1268</v>
      </c>
      <c r="I1127" s="13" t="s">
        <v>387</v>
      </c>
      <c r="J1127" s="13" t="s">
        <v>775</v>
      </c>
      <c r="K1127" s="13" t="s">
        <v>303</v>
      </c>
      <c r="L1127" s="13" t="s">
        <v>2069</v>
      </c>
      <c r="M1127" s="6" t="s">
        <v>188</v>
      </c>
      <c r="N1127" s="6" t="s">
        <v>188</v>
      </c>
      <c r="O1127" s="6" t="s">
        <v>190</v>
      </c>
      <c r="P1127" s="7" t="s">
        <v>333</v>
      </c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</row>
    <row r="1128">
      <c r="A1128" s="12">
        <v>28.0</v>
      </c>
      <c r="B1128" s="7" t="s">
        <v>513</v>
      </c>
      <c r="C1128" s="7" t="s">
        <v>1268</v>
      </c>
      <c r="I1128" s="13" t="s">
        <v>404</v>
      </c>
      <c r="J1128" s="13" t="s">
        <v>776</v>
      </c>
      <c r="K1128" s="13" t="s">
        <v>303</v>
      </c>
      <c r="L1128" s="13" t="s">
        <v>2061</v>
      </c>
      <c r="M1128" s="6" t="s">
        <v>188</v>
      </c>
      <c r="N1128" s="6" t="s">
        <v>188</v>
      </c>
      <c r="O1128" s="6" t="s">
        <v>190</v>
      </c>
      <c r="P1128" s="7" t="s">
        <v>333</v>
      </c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</row>
    <row r="1129">
      <c r="A1129" s="12">
        <v>28.0</v>
      </c>
      <c r="B1129" s="7" t="s">
        <v>513</v>
      </c>
      <c r="C1129" s="7" t="s">
        <v>1268</v>
      </c>
      <c r="I1129" s="13" t="s">
        <v>2080</v>
      </c>
      <c r="J1129" s="13" t="s">
        <v>777</v>
      </c>
      <c r="K1129" s="13" t="s">
        <v>303</v>
      </c>
      <c r="L1129" s="13" t="s">
        <v>2081</v>
      </c>
      <c r="M1129" s="6" t="s">
        <v>188</v>
      </c>
      <c r="N1129" s="6" t="s">
        <v>188</v>
      </c>
      <c r="O1129" s="6" t="s">
        <v>190</v>
      </c>
      <c r="P1129" s="7" t="s">
        <v>624</v>
      </c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</row>
    <row r="1130">
      <c r="A1130" s="12">
        <v>28.0</v>
      </c>
      <c r="B1130" s="7" t="s">
        <v>513</v>
      </c>
      <c r="C1130" s="7" t="s">
        <v>1268</v>
      </c>
      <c r="I1130" s="13" t="s">
        <v>2082</v>
      </c>
      <c r="J1130" s="13" t="s">
        <v>774</v>
      </c>
      <c r="K1130" s="13" t="s">
        <v>303</v>
      </c>
      <c r="L1130" s="13" t="s">
        <v>2081</v>
      </c>
      <c r="M1130" s="6" t="s">
        <v>188</v>
      </c>
      <c r="N1130" s="6" t="s">
        <v>188</v>
      </c>
      <c r="O1130" s="6" t="s">
        <v>190</v>
      </c>
      <c r="P1130" s="7" t="s">
        <v>333</v>
      </c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</row>
    <row r="1131">
      <c r="A1131" s="12">
        <v>28.0</v>
      </c>
      <c r="B1131" s="7" t="s">
        <v>513</v>
      </c>
      <c r="C1131" s="7" t="s">
        <v>1268</v>
      </c>
      <c r="I1131" s="13" t="s">
        <v>2083</v>
      </c>
      <c r="J1131" s="13" t="s">
        <v>775</v>
      </c>
      <c r="K1131" s="13" t="s">
        <v>303</v>
      </c>
      <c r="L1131" s="13" t="s">
        <v>2084</v>
      </c>
      <c r="M1131" s="6" t="s">
        <v>188</v>
      </c>
      <c r="N1131" s="6" t="s">
        <v>188</v>
      </c>
      <c r="O1131" s="6" t="s">
        <v>190</v>
      </c>
      <c r="P1131" s="7" t="s">
        <v>333</v>
      </c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</row>
    <row r="1132">
      <c r="A1132" s="12">
        <v>28.0</v>
      </c>
      <c r="B1132" s="7" t="s">
        <v>513</v>
      </c>
      <c r="C1132" s="7" t="s">
        <v>1268</v>
      </c>
      <c r="I1132" s="13" t="s">
        <v>2085</v>
      </c>
      <c r="J1132" s="13" t="s">
        <v>776</v>
      </c>
      <c r="K1132" s="13" t="s">
        <v>303</v>
      </c>
      <c r="L1132" s="13" t="s">
        <v>2081</v>
      </c>
      <c r="M1132" s="6" t="s">
        <v>188</v>
      </c>
      <c r="N1132" s="6" t="s">
        <v>188</v>
      </c>
      <c r="O1132" s="6" t="s">
        <v>190</v>
      </c>
      <c r="P1132" s="7" t="s">
        <v>333</v>
      </c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</row>
    <row r="1133">
      <c r="A1133" s="12">
        <v>28.0</v>
      </c>
      <c r="B1133" s="7" t="s">
        <v>513</v>
      </c>
      <c r="C1133" s="7" t="s">
        <v>1268</v>
      </c>
      <c r="I1133" s="13" t="s">
        <v>2086</v>
      </c>
      <c r="J1133" s="13" t="s">
        <v>777</v>
      </c>
      <c r="K1133" s="13" t="s">
        <v>303</v>
      </c>
      <c r="L1133" s="13" t="s">
        <v>2084</v>
      </c>
      <c r="M1133" s="6" t="s">
        <v>188</v>
      </c>
      <c r="N1133" s="6" t="s">
        <v>188</v>
      </c>
      <c r="O1133" s="6" t="s">
        <v>190</v>
      </c>
      <c r="P1133" s="7" t="s">
        <v>333</v>
      </c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</row>
    <row r="1134">
      <c r="A1134" s="12">
        <v>28.0</v>
      </c>
      <c r="B1134" s="7" t="s">
        <v>513</v>
      </c>
      <c r="C1134" s="7" t="s">
        <v>1268</v>
      </c>
      <c r="I1134" s="13" t="s">
        <v>621</v>
      </c>
      <c r="J1134" s="13" t="s">
        <v>774</v>
      </c>
      <c r="K1134" s="13" t="s">
        <v>303</v>
      </c>
      <c r="L1134" s="13" t="s">
        <v>2081</v>
      </c>
      <c r="M1134" s="6" t="s">
        <v>188</v>
      </c>
      <c r="N1134" s="6" t="s">
        <v>188</v>
      </c>
      <c r="O1134" s="6" t="s">
        <v>190</v>
      </c>
      <c r="P1134" s="7" t="s">
        <v>333</v>
      </c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</row>
    <row r="1135">
      <c r="A1135" s="12">
        <v>28.0</v>
      </c>
      <c r="B1135" s="7" t="s">
        <v>513</v>
      </c>
      <c r="C1135" s="7" t="s">
        <v>1268</v>
      </c>
      <c r="I1135" s="13" t="s">
        <v>2087</v>
      </c>
      <c r="J1135" s="13" t="s">
        <v>775</v>
      </c>
      <c r="K1135" s="13" t="s">
        <v>303</v>
      </c>
      <c r="L1135" s="13" t="s">
        <v>2081</v>
      </c>
      <c r="M1135" s="6" t="s">
        <v>188</v>
      </c>
      <c r="N1135" s="6" t="s">
        <v>188</v>
      </c>
      <c r="O1135" s="6" t="s">
        <v>190</v>
      </c>
      <c r="P1135" s="7" t="s">
        <v>333</v>
      </c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</row>
    <row r="1136">
      <c r="A1136" s="12">
        <v>28.0</v>
      </c>
      <c r="B1136" s="7" t="s">
        <v>513</v>
      </c>
      <c r="C1136" s="7" t="s">
        <v>1268</v>
      </c>
      <c r="I1136" s="13" t="s">
        <v>2088</v>
      </c>
      <c r="J1136" s="13" t="s">
        <v>776</v>
      </c>
      <c r="K1136" s="13" t="s">
        <v>303</v>
      </c>
      <c r="L1136" s="13" t="s">
        <v>2084</v>
      </c>
      <c r="M1136" s="6" t="s">
        <v>188</v>
      </c>
      <c r="N1136" s="6" t="s">
        <v>188</v>
      </c>
      <c r="O1136" s="6" t="s">
        <v>190</v>
      </c>
      <c r="P1136" s="7" t="s">
        <v>333</v>
      </c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</row>
    <row r="1137">
      <c r="A1137" s="12">
        <v>28.0</v>
      </c>
      <c r="B1137" s="7" t="s">
        <v>513</v>
      </c>
      <c r="C1137" s="7" t="s">
        <v>1268</v>
      </c>
      <c r="I1137" s="13" t="s">
        <v>420</v>
      </c>
      <c r="J1137" s="13" t="s">
        <v>777</v>
      </c>
      <c r="K1137" s="13" t="s">
        <v>303</v>
      </c>
      <c r="L1137" s="13" t="s">
        <v>2089</v>
      </c>
      <c r="M1137" s="6" t="s">
        <v>188</v>
      </c>
      <c r="N1137" s="6" t="s">
        <v>188</v>
      </c>
      <c r="O1137" s="6" t="s">
        <v>190</v>
      </c>
      <c r="P1137" s="7" t="s">
        <v>333</v>
      </c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</row>
    <row r="1138">
      <c r="A1138" s="12">
        <v>28.0</v>
      </c>
      <c r="B1138" s="7" t="s">
        <v>513</v>
      </c>
      <c r="C1138" s="7" t="s">
        <v>1268</v>
      </c>
      <c r="I1138" s="13" t="s">
        <v>306</v>
      </c>
      <c r="J1138" s="13" t="s">
        <v>774</v>
      </c>
      <c r="K1138" s="13" t="s">
        <v>303</v>
      </c>
      <c r="L1138" s="13" t="s">
        <v>2084</v>
      </c>
      <c r="M1138" s="6" t="s">
        <v>188</v>
      </c>
      <c r="N1138" s="6" t="s">
        <v>188</v>
      </c>
      <c r="O1138" s="6" t="s">
        <v>190</v>
      </c>
      <c r="P1138" s="7" t="s">
        <v>333</v>
      </c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</row>
    <row r="1139">
      <c r="A1139" s="12">
        <v>28.0</v>
      </c>
      <c r="B1139" s="7" t="s">
        <v>513</v>
      </c>
      <c r="C1139" s="7" t="s">
        <v>1268</v>
      </c>
      <c r="I1139" s="13" t="s">
        <v>2090</v>
      </c>
      <c r="J1139" s="13" t="s">
        <v>775</v>
      </c>
      <c r="K1139" s="13" t="s">
        <v>303</v>
      </c>
      <c r="L1139" s="13" t="s">
        <v>2084</v>
      </c>
      <c r="M1139" s="6" t="s">
        <v>188</v>
      </c>
      <c r="N1139" s="6" t="s">
        <v>188</v>
      </c>
      <c r="O1139" s="6" t="s">
        <v>190</v>
      </c>
      <c r="P1139" s="7" t="s">
        <v>333</v>
      </c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</row>
    <row r="1140">
      <c r="A1140" s="12">
        <v>28.0</v>
      </c>
      <c r="B1140" s="7" t="s">
        <v>513</v>
      </c>
      <c r="C1140" s="7" t="s">
        <v>1268</v>
      </c>
      <c r="I1140" s="13" t="s">
        <v>2091</v>
      </c>
      <c r="J1140" s="13" t="s">
        <v>776</v>
      </c>
      <c r="K1140" s="13" t="s">
        <v>303</v>
      </c>
      <c r="L1140" s="13" t="s">
        <v>2084</v>
      </c>
      <c r="M1140" s="6" t="s">
        <v>188</v>
      </c>
      <c r="N1140" s="6" t="s">
        <v>188</v>
      </c>
      <c r="O1140" s="6" t="s">
        <v>190</v>
      </c>
      <c r="P1140" s="7" t="s">
        <v>333</v>
      </c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</row>
    <row r="1141">
      <c r="A1141" s="12">
        <v>28.0</v>
      </c>
      <c r="B1141" s="7" t="s">
        <v>513</v>
      </c>
      <c r="C1141" s="7" t="s">
        <v>1268</v>
      </c>
      <c r="I1141" s="13" t="s">
        <v>2092</v>
      </c>
      <c r="J1141" s="13" t="s">
        <v>777</v>
      </c>
      <c r="K1141" s="13" t="s">
        <v>303</v>
      </c>
      <c r="L1141" s="13" t="s">
        <v>2084</v>
      </c>
      <c r="M1141" s="6" t="s">
        <v>188</v>
      </c>
      <c r="N1141" s="6" t="s">
        <v>188</v>
      </c>
      <c r="O1141" s="6" t="s">
        <v>190</v>
      </c>
      <c r="P1141" s="7" t="s">
        <v>333</v>
      </c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</row>
    <row r="1142">
      <c r="A1142" s="12">
        <v>28.0</v>
      </c>
      <c r="B1142" s="7" t="s">
        <v>513</v>
      </c>
      <c r="C1142" s="7" t="s">
        <v>1268</v>
      </c>
      <c r="I1142" s="13" t="s">
        <v>700</v>
      </c>
      <c r="J1142" s="13" t="s">
        <v>774</v>
      </c>
      <c r="K1142" s="13" t="s">
        <v>303</v>
      </c>
      <c r="L1142" s="13" t="s">
        <v>2093</v>
      </c>
      <c r="M1142" s="6" t="s">
        <v>188</v>
      </c>
      <c r="N1142" s="6" t="s">
        <v>188</v>
      </c>
      <c r="O1142" s="6" t="s">
        <v>190</v>
      </c>
      <c r="P1142" s="7" t="s">
        <v>333</v>
      </c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</row>
    <row r="1143">
      <c r="A1143" s="12">
        <v>28.0</v>
      </c>
      <c r="B1143" s="7" t="s">
        <v>513</v>
      </c>
      <c r="C1143" s="7" t="s">
        <v>1268</v>
      </c>
      <c r="I1143" s="13" t="s">
        <v>704</v>
      </c>
      <c r="J1143" s="13" t="s">
        <v>775</v>
      </c>
      <c r="K1143" s="13" t="s">
        <v>303</v>
      </c>
      <c r="L1143" s="13" t="s">
        <v>2081</v>
      </c>
      <c r="M1143" s="6" t="s">
        <v>188</v>
      </c>
      <c r="N1143" s="6" t="s">
        <v>188</v>
      </c>
      <c r="O1143" s="6" t="s">
        <v>190</v>
      </c>
      <c r="P1143" s="7" t="s">
        <v>333</v>
      </c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</row>
    <row r="1144">
      <c r="A1144" s="12">
        <v>28.0</v>
      </c>
      <c r="B1144" s="7" t="s">
        <v>513</v>
      </c>
      <c r="C1144" s="7" t="s">
        <v>1268</v>
      </c>
      <c r="I1144" s="13" t="s">
        <v>708</v>
      </c>
      <c r="J1144" s="13" t="s">
        <v>776</v>
      </c>
      <c r="K1144" s="13" t="s">
        <v>303</v>
      </c>
      <c r="L1144" s="13" t="s">
        <v>2081</v>
      </c>
      <c r="M1144" s="6" t="s">
        <v>188</v>
      </c>
      <c r="N1144" s="6" t="s">
        <v>188</v>
      </c>
      <c r="O1144" s="6" t="s">
        <v>190</v>
      </c>
      <c r="P1144" s="7" t="s">
        <v>333</v>
      </c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</row>
    <row r="1145">
      <c r="A1145" s="12">
        <v>28.0</v>
      </c>
      <c r="B1145" s="7" t="s">
        <v>513</v>
      </c>
      <c r="C1145" s="7" t="s">
        <v>1268</v>
      </c>
      <c r="I1145" s="13" t="s">
        <v>1973</v>
      </c>
      <c r="J1145" s="13" t="s">
        <v>777</v>
      </c>
      <c r="K1145" s="13" t="s">
        <v>303</v>
      </c>
      <c r="L1145" s="13" t="s">
        <v>2084</v>
      </c>
      <c r="M1145" s="6" t="s">
        <v>188</v>
      </c>
      <c r="N1145" s="6" t="s">
        <v>188</v>
      </c>
      <c r="O1145" s="6" t="s">
        <v>190</v>
      </c>
      <c r="P1145" s="7" t="s">
        <v>333</v>
      </c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</row>
    <row r="1146">
      <c r="A1146" s="12">
        <v>28.0</v>
      </c>
      <c r="B1146" s="7" t="s">
        <v>513</v>
      </c>
      <c r="C1146" s="7" t="s">
        <v>1268</v>
      </c>
      <c r="I1146" s="13" t="s">
        <v>1302</v>
      </c>
      <c r="J1146" s="13" t="s">
        <v>774</v>
      </c>
      <c r="K1146" s="13" t="s">
        <v>303</v>
      </c>
      <c r="L1146" s="13" t="s">
        <v>2093</v>
      </c>
      <c r="M1146" s="6" t="s">
        <v>188</v>
      </c>
      <c r="N1146" s="6" t="s">
        <v>188</v>
      </c>
      <c r="O1146" s="6" t="s">
        <v>190</v>
      </c>
      <c r="P1146" s="7" t="s">
        <v>333</v>
      </c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</row>
    <row r="1147">
      <c r="A1147" s="12">
        <v>28.0</v>
      </c>
      <c r="B1147" s="7" t="s">
        <v>513</v>
      </c>
      <c r="C1147" s="7" t="s">
        <v>1268</v>
      </c>
      <c r="I1147" s="13" t="s">
        <v>2094</v>
      </c>
      <c r="J1147" s="13" t="s">
        <v>775</v>
      </c>
      <c r="K1147" s="13" t="s">
        <v>303</v>
      </c>
      <c r="L1147" s="13" t="s">
        <v>2084</v>
      </c>
      <c r="M1147" s="6" t="s">
        <v>188</v>
      </c>
      <c r="N1147" s="6" t="s">
        <v>188</v>
      </c>
      <c r="O1147" s="6" t="s">
        <v>190</v>
      </c>
      <c r="P1147" s="7" t="s">
        <v>333</v>
      </c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</row>
    <row r="1148">
      <c r="A1148" s="12">
        <v>28.0</v>
      </c>
      <c r="B1148" s="7" t="s">
        <v>513</v>
      </c>
      <c r="C1148" s="7" t="s">
        <v>1268</v>
      </c>
      <c r="I1148" s="13" t="s">
        <v>931</v>
      </c>
      <c r="J1148" s="13" t="s">
        <v>776</v>
      </c>
      <c r="K1148" s="13" t="s">
        <v>303</v>
      </c>
      <c r="L1148" s="13" t="s">
        <v>2084</v>
      </c>
      <c r="M1148" s="6" t="s">
        <v>188</v>
      </c>
      <c r="N1148" s="6" t="s">
        <v>188</v>
      </c>
      <c r="O1148" s="6" t="s">
        <v>190</v>
      </c>
      <c r="P1148" s="7" t="s">
        <v>333</v>
      </c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</row>
    <row r="1149">
      <c r="A1149" s="12">
        <v>28.0</v>
      </c>
      <c r="B1149" s="7" t="s">
        <v>513</v>
      </c>
      <c r="C1149" s="7" t="s">
        <v>1268</v>
      </c>
      <c r="I1149" s="13" t="s">
        <v>1593</v>
      </c>
      <c r="J1149" s="13" t="s">
        <v>777</v>
      </c>
      <c r="K1149" s="13" t="s">
        <v>303</v>
      </c>
      <c r="L1149" s="13" t="s">
        <v>2081</v>
      </c>
      <c r="M1149" s="6" t="s">
        <v>188</v>
      </c>
      <c r="N1149" s="6" t="s">
        <v>188</v>
      </c>
      <c r="O1149" s="6" t="s">
        <v>190</v>
      </c>
      <c r="P1149" s="7" t="s">
        <v>333</v>
      </c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</row>
    <row r="1150">
      <c r="A1150" s="12">
        <v>28.0</v>
      </c>
      <c r="B1150" s="7" t="s">
        <v>513</v>
      </c>
      <c r="C1150" s="7" t="s">
        <v>1268</v>
      </c>
      <c r="I1150" s="13" t="s">
        <v>1983</v>
      </c>
      <c r="J1150" s="13" t="s">
        <v>774</v>
      </c>
      <c r="K1150" s="13" t="s">
        <v>303</v>
      </c>
      <c r="L1150" s="13" t="s">
        <v>2084</v>
      </c>
      <c r="M1150" s="6" t="s">
        <v>188</v>
      </c>
      <c r="N1150" s="6" t="s">
        <v>188</v>
      </c>
      <c r="O1150" s="6" t="s">
        <v>190</v>
      </c>
      <c r="P1150" s="7" t="s">
        <v>333</v>
      </c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</row>
    <row r="1151">
      <c r="A1151" s="12">
        <v>28.0</v>
      </c>
      <c r="B1151" s="7" t="s">
        <v>513</v>
      </c>
      <c r="C1151" s="7" t="s">
        <v>1268</v>
      </c>
      <c r="I1151" s="13" t="s">
        <v>1984</v>
      </c>
      <c r="J1151" s="13" t="s">
        <v>775</v>
      </c>
      <c r="K1151" s="13" t="s">
        <v>303</v>
      </c>
      <c r="L1151" s="13" t="s">
        <v>2084</v>
      </c>
      <c r="M1151" s="6" t="s">
        <v>188</v>
      </c>
      <c r="N1151" s="6" t="s">
        <v>188</v>
      </c>
      <c r="O1151" s="6" t="s">
        <v>190</v>
      </c>
      <c r="P1151" s="7" t="s">
        <v>333</v>
      </c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</row>
    <row r="1152">
      <c r="A1152" s="12">
        <v>28.0</v>
      </c>
      <c r="B1152" s="7" t="s">
        <v>513</v>
      </c>
      <c r="C1152" s="7" t="s">
        <v>1268</v>
      </c>
      <c r="I1152" s="13" t="s">
        <v>933</v>
      </c>
      <c r="J1152" s="13" t="s">
        <v>776</v>
      </c>
      <c r="K1152" s="13" t="s">
        <v>303</v>
      </c>
      <c r="L1152" s="13" t="s">
        <v>2084</v>
      </c>
      <c r="M1152" s="6" t="s">
        <v>188</v>
      </c>
      <c r="N1152" s="6" t="s">
        <v>188</v>
      </c>
      <c r="O1152" s="6" t="s">
        <v>190</v>
      </c>
      <c r="P1152" s="7" t="s">
        <v>333</v>
      </c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</row>
    <row r="1153">
      <c r="A1153" s="12">
        <v>28.0</v>
      </c>
      <c r="B1153" s="7" t="s">
        <v>513</v>
      </c>
      <c r="C1153" s="7" t="s">
        <v>1268</v>
      </c>
      <c r="I1153" s="13" t="s">
        <v>1641</v>
      </c>
      <c r="J1153" s="13" t="s">
        <v>777</v>
      </c>
      <c r="K1153" s="13" t="s">
        <v>303</v>
      </c>
      <c r="L1153" s="13" t="s">
        <v>2084</v>
      </c>
      <c r="M1153" s="6" t="s">
        <v>188</v>
      </c>
      <c r="N1153" s="6" t="s">
        <v>188</v>
      </c>
      <c r="O1153" s="6" t="s">
        <v>190</v>
      </c>
      <c r="P1153" s="7" t="s">
        <v>333</v>
      </c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</row>
    <row r="1154">
      <c r="A1154" s="12">
        <v>28.0</v>
      </c>
      <c r="B1154" s="7" t="s">
        <v>513</v>
      </c>
      <c r="C1154" s="7" t="s">
        <v>1268</v>
      </c>
      <c r="I1154" s="13" t="s">
        <v>1602</v>
      </c>
      <c r="J1154" s="13" t="s">
        <v>774</v>
      </c>
      <c r="K1154" s="13" t="s">
        <v>303</v>
      </c>
      <c r="L1154" s="13" t="s">
        <v>2081</v>
      </c>
      <c r="M1154" s="6" t="s">
        <v>188</v>
      </c>
      <c r="N1154" s="6" t="s">
        <v>188</v>
      </c>
      <c r="O1154" s="6" t="s">
        <v>190</v>
      </c>
      <c r="P1154" s="7" t="s">
        <v>333</v>
      </c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</row>
    <row r="1155">
      <c r="A1155" s="12">
        <v>28.0</v>
      </c>
      <c r="B1155" s="7" t="s">
        <v>513</v>
      </c>
      <c r="C1155" s="7" t="s">
        <v>1268</v>
      </c>
      <c r="I1155" s="13" t="s">
        <v>1876</v>
      </c>
      <c r="J1155" s="13" t="s">
        <v>775</v>
      </c>
      <c r="K1155" s="13" t="s">
        <v>303</v>
      </c>
      <c r="L1155" s="13" t="s">
        <v>2081</v>
      </c>
      <c r="M1155" s="6" t="s">
        <v>188</v>
      </c>
      <c r="N1155" s="6" t="s">
        <v>188</v>
      </c>
      <c r="O1155" s="6" t="s">
        <v>190</v>
      </c>
      <c r="P1155" s="7" t="s">
        <v>333</v>
      </c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</row>
    <row r="1156">
      <c r="A1156" s="12">
        <v>28.0</v>
      </c>
      <c r="B1156" s="7" t="s">
        <v>513</v>
      </c>
      <c r="C1156" s="7" t="s">
        <v>1268</v>
      </c>
      <c r="I1156" s="13" t="s">
        <v>1650</v>
      </c>
      <c r="J1156" s="13" t="s">
        <v>776</v>
      </c>
      <c r="K1156" s="13" t="s">
        <v>303</v>
      </c>
      <c r="L1156" s="13" t="s">
        <v>2084</v>
      </c>
      <c r="M1156" s="6" t="s">
        <v>188</v>
      </c>
      <c r="N1156" s="6" t="s">
        <v>188</v>
      </c>
      <c r="O1156" s="6" t="s">
        <v>190</v>
      </c>
      <c r="P1156" s="7" t="s">
        <v>333</v>
      </c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</row>
    <row r="1157">
      <c r="A1157" s="12">
        <v>28.0</v>
      </c>
      <c r="B1157" s="7" t="s">
        <v>513</v>
      </c>
      <c r="C1157" s="7" t="s">
        <v>1268</v>
      </c>
      <c r="I1157" s="13" t="s">
        <v>1657</v>
      </c>
      <c r="J1157" s="13" t="s">
        <v>777</v>
      </c>
      <c r="K1157" s="13" t="s">
        <v>303</v>
      </c>
      <c r="L1157" s="13" t="s">
        <v>2084</v>
      </c>
      <c r="M1157" s="6" t="s">
        <v>188</v>
      </c>
      <c r="N1157" s="6" t="s">
        <v>188</v>
      </c>
      <c r="O1157" s="6" t="s">
        <v>190</v>
      </c>
      <c r="P1157" s="7" t="s">
        <v>333</v>
      </c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</row>
    <row r="1158">
      <c r="A1158" s="12">
        <v>28.0</v>
      </c>
      <c r="B1158" s="7" t="s">
        <v>513</v>
      </c>
      <c r="C1158" s="7" t="s">
        <v>1268</v>
      </c>
      <c r="I1158" s="13" t="s">
        <v>1661</v>
      </c>
      <c r="J1158" s="13" t="s">
        <v>774</v>
      </c>
      <c r="K1158" s="13" t="s">
        <v>303</v>
      </c>
      <c r="L1158" s="13" t="s">
        <v>2084</v>
      </c>
      <c r="M1158" s="6" t="s">
        <v>188</v>
      </c>
      <c r="N1158" s="6" t="s">
        <v>188</v>
      </c>
      <c r="O1158" s="6" t="s">
        <v>190</v>
      </c>
      <c r="P1158" s="7" t="s">
        <v>333</v>
      </c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</row>
    <row r="1159">
      <c r="A1159" s="12">
        <v>28.0</v>
      </c>
      <c r="B1159" s="7" t="s">
        <v>513</v>
      </c>
      <c r="C1159" s="7" t="s">
        <v>1268</v>
      </c>
      <c r="I1159" s="13" t="s">
        <v>1857</v>
      </c>
      <c r="J1159" s="13" t="s">
        <v>775</v>
      </c>
      <c r="K1159" s="13" t="s">
        <v>303</v>
      </c>
      <c r="L1159" s="13" t="s">
        <v>2081</v>
      </c>
      <c r="M1159" s="6" t="s">
        <v>188</v>
      </c>
      <c r="N1159" s="6" t="s">
        <v>188</v>
      </c>
      <c r="O1159" s="6" t="s">
        <v>190</v>
      </c>
      <c r="P1159" s="7" t="s">
        <v>333</v>
      </c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</row>
    <row r="1160">
      <c r="A1160" s="12">
        <v>28.0</v>
      </c>
      <c r="B1160" s="7" t="s">
        <v>513</v>
      </c>
      <c r="C1160" s="7" t="s">
        <v>1268</v>
      </c>
      <c r="I1160" s="13" t="s">
        <v>1355</v>
      </c>
      <c r="J1160" s="13" t="s">
        <v>776</v>
      </c>
      <c r="K1160" s="13" t="s">
        <v>303</v>
      </c>
      <c r="L1160" s="13" t="s">
        <v>2084</v>
      </c>
      <c r="M1160" s="6" t="s">
        <v>188</v>
      </c>
      <c r="N1160" s="6" t="s">
        <v>188</v>
      </c>
      <c r="O1160" s="6" t="s">
        <v>190</v>
      </c>
      <c r="P1160" s="7" t="s">
        <v>333</v>
      </c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</row>
    <row r="1161">
      <c r="A1161" s="12">
        <v>28.0</v>
      </c>
      <c r="B1161" s="7" t="s">
        <v>513</v>
      </c>
      <c r="C1161" s="7" t="s">
        <v>1268</v>
      </c>
      <c r="I1161" s="13" t="s">
        <v>1666</v>
      </c>
      <c r="J1161" s="13" t="s">
        <v>777</v>
      </c>
      <c r="K1161" s="13" t="s">
        <v>303</v>
      </c>
      <c r="L1161" s="13" t="s">
        <v>2084</v>
      </c>
      <c r="M1161" s="6" t="s">
        <v>188</v>
      </c>
      <c r="N1161" s="6" t="s">
        <v>188</v>
      </c>
      <c r="O1161" s="6" t="s">
        <v>190</v>
      </c>
      <c r="P1161" s="7" t="s">
        <v>333</v>
      </c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</row>
    <row r="1162">
      <c r="A1162" s="12">
        <v>29.0</v>
      </c>
      <c r="B1162" s="7" t="s">
        <v>523</v>
      </c>
      <c r="C1162" s="7" t="s">
        <v>1268</v>
      </c>
      <c r="D1162" s="26">
        <f>IF(COUNTIF($B$2:$B1162,$B1162)&gt;1,"",COUNTIF($B$2:$B$3400,$B1162))</f>
        <v>50</v>
      </c>
      <c r="E1162" s="26">
        <f>IF(COUNTIF($B$2:$B1162,$B1162)&gt;1,"",COUNTIFS($B$2:$B$3400,$B1162,$K$2:$K$3400,"PHÙ HỢP CAO"))</f>
        <v>3</v>
      </c>
      <c r="F1162" s="26">
        <f>IF(COUNTIF($B$2:$B1162,$B1162)&gt;1,"",COUNTIFS($B$2:$B$3400,$B1162,$K$2:$K$3400,"CÓ THỂ ĐI"))</f>
        <v>2</v>
      </c>
      <c r="G1162" s="26">
        <f>IF(COUNTIF($B$2:$B1162,$B1162)&gt;1,"",COUNTIFS($B$2:$B$3400,$B1162,$K$2:$K$3400,"CẦN SOÁT"))</f>
        <v>45</v>
      </c>
      <c r="H1162" s="27" t="str">
        <f>IFERROR(__xludf.DUMMYFUNCTION("IF(COUNTIF($B$2:$B1162,$B1162)&gt;1,"""",IFERROR(TEXTJOIN(CHAR(10),TRUE,BYROW(QUERY({$B$2:$B$3400,$J$2:$J$3400},""select Col2, count(Col2) where Col1 = '""&amp;$B1162&amp;""' group by Col2 order by count(Col2) desc label count(Col2) ''"",0),LAMBDA(r,INDEX(r,1,1)&amp;"" "&amp;"– ""&amp;INDEX(r,1,2)&amp;"" link""))),""""))"),"quẹt thẻ tín dụng lấy tiền mặt – 25 link
rút tiền thẻ tín dụng – 25 link")</f>
        <v>quẹt thẻ tín dụng lấy tiền mặt – 25 link
rút tiền thẻ tín dụng – 25 link</v>
      </c>
      <c r="I1162" s="10" t="s">
        <v>1287</v>
      </c>
      <c r="J1162" s="13" t="s">
        <v>835</v>
      </c>
      <c r="K1162" s="13" t="s">
        <v>184</v>
      </c>
      <c r="L1162" s="13" t="s">
        <v>2095</v>
      </c>
      <c r="M1162" s="6" t="s">
        <v>188</v>
      </c>
      <c r="N1162" s="6" t="s">
        <v>188</v>
      </c>
      <c r="O1162" s="6" t="s">
        <v>190</v>
      </c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</row>
    <row r="1163">
      <c r="A1163" s="12">
        <v>29.0</v>
      </c>
      <c r="B1163" s="7" t="s">
        <v>523</v>
      </c>
      <c r="C1163" s="7" t="s">
        <v>1268</v>
      </c>
      <c r="I1163" s="10" t="s">
        <v>1292</v>
      </c>
      <c r="J1163" s="13" t="s">
        <v>837</v>
      </c>
      <c r="K1163" s="13" t="s">
        <v>184</v>
      </c>
      <c r="L1163" s="13" t="s">
        <v>2096</v>
      </c>
      <c r="M1163" s="6" t="s">
        <v>188</v>
      </c>
      <c r="N1163" s="6" t="s">
        <v>188</v>
      </c>
      <c r="O1163" s="6" t="s">
        <v>190</v>
      </c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</row>
    <row r="1164">
      <c r="A1164" s="12">
        <v>29.0</v>
      </c>
      <c r="B1164" s="7" t="s">
        <v>523</v>
      </c>
      <c r="C1164" s="7" t="s">
        <v>1268</v>
      </c>
      <c r="I1164" s="10" t="s">
        <v>788</v>
      </c>
      <c r="J1164" s="13" t="s">
        <v>835</v>
      </c>
      <c r="K1164" s="13" t="s">
        <v>184</v>
      </c>
      <c r="L1164" s="13" t="s">
        <v>2097</v>
      </c>
      <c r="M1164" s="6" t="s">
        <v>188</v>
      </c>
      <c r="N1164" s="6" t="s">
        <v>188</v>
      </c>
      <c r="O1164" s="6" t="s">
        <v>190</v>
      </c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</row>
    <row r="1165">
      <c r="A1165" s="12">
        <v>29.0</v>
      </c>
      <c r="B1165" s="7" t="s">
        <v>523</v>
      </c>
      <c r="C1165" s="7" t="s">
        <v>1268</v>
      </c>
      <c r="I1165" s="10" t="s">
        <v>1298</v>
      </c>
      <c r="J1165" s="13" t="s">
        <v>837</v>
      </c>
      <c r="K1165" s="13" t="s">
        <v>283</v>
      </c>
      <c r="L1165" s="13" t="s">
        <v>2098</v>
      </c>
      <c r="M1165" s="6" t="s">
        <v>188</v>
      </c>
      <c r="N1165" s="6" t="s">
        <v>188</v>
      </c>
      <c r="O1165" s="6" t="s">
        <v>190</v>
      </c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</row>
    <row r="1166">
      <c r="A1166" s="12">
        <v>29.0</v>
      </c>
      <c r="B1166" s="7" t="s">
        <v>523</v>
      </c>
      <c r="C1166" s="7" t="s">
        <v>1268</v>
      </c>
      <c r="I1166" s="10" t="s">
        <v>1301</v>
      </c>
      <c r="J1166" s="13" t="s">
        <v>835</v>
      </c>
      <c r="K1166" s="13" t="s">
        <v>283</v>
      </c>
      <c r="L1166" s="13" t="s">
        <v>2099</v>
      </c>
      <c r="M1166" s="6" t="s">
        <v>188</v>
      </c>
      <c r="N1166" s="6" t="s">
        <v>188</v>
      </c>
      <c r="O1166" s="6" t="s">
        <v>190</v>
      </c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</row>
    <row r="1167">
      <c r="A1167" s="12">
        <v>29.0</v>
      </c>
      <c r="B1167" s="7" t="s">
        <v>523</v>
      </c>
      <c r="C1167" s="7" t="s">
        <v>1268</v>
      </c>
      <c r="I1167" s="10" t="s">
        <v>670</v>
      </c>
      <c r="J1167" s="13" t="s">
        <v>837</v>
      </c>
      <c r="K1167" s="13" t="s">
        <v>303</v>
      </c>
      <c r="L1167" s="13" t="s">
        <v>2100</v>
      </c>
      <c r="M1167" s="6" t="s">
        <v>188</v>
      </c>
      <c r="N1167" s="6" t="s">
        <v>188</v>
      </c>
      <c r="O1167" s="6" t="s">
        <v>190</v>
      </c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</row>
    <row r="1168">
      <c r="A1168" s="12">
        <v>29.0</v>
      </c>
      <c r="B1168" s="7" t="s">
        <v>523</v>
      </c>
      <c r="C1168" s="7" t="s">
        <v>1268</v>
      </c>
      <c r="I1168" s="10" t="s">
        <v>2101</v>
      </c>
      <c r="J1168" s="13" t="s">
        <v>835</v>
      </c>
      <c r="K1168" s="13" t="s">
        <v>303</v>
      </c>
      <c r="L1168" s="13" t="s">
        <v>2100</v>
      </c>
      <c r="M1168" s="6" t="s">
        <v>188</v>
      </c>
      <c r="N1168" s="6" t="s">
        <v>188</v>
      </c>
      <c r="O1168" s="6" t="s">
        <v>190</v>
      </c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</row>
    <row r="1169">
      <c r="A1169" s="12">
        <v>29.0</v>
      </c>
      <c r="B1169" s="7" t="s">
        <v>523</v>
      </c>
      <c r="C1169" s="7" t="s">
        <v>1268</v>
      </c>
      <c r="I1169" s="10" t="s">
        <v>882</v>
      </c>
      <c r="J1169" s="13" t="s">
        <v>837</v>
      </c>
      <c r="K1169" s="13" t="s">
        <v>303</v>
      </c>
      <c r="L1169" s="13" t="s">
        <v>2100</v>
      </c>
      <c r="M1169" s="6" t="s">
        <v>188</v>
      </c>
      <c r="N1169" s="6" t="s">
        <v>188</v>
      </c>
      <c r="O1169" s="6" t="s">
        <v>190</v>
      </c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</row>
    <row r="1170">
      <c r="A1170" s="12">
        <v>29.0</v>
      </c>
      <c r="B1170" s="7" t="s">
        <v>523</v>
      </c>
      <c r="C1170" s="7" t="s">
        <v>1268</v>
      </c>
      <c r="I1170" s="10" t="s">
        <v>2102</v>
      </c>
      <c r="J1170" s="13" t="s">
        <v>835</v>
      </c>
      <c r="K1170" s="13" t="s">
        <v>303</v>
      </c>
      <c r="L1170" s="13" t="s">
        <v>2100</v>
      </c>
      <c r="M1170" s="6" t="s">
        <v>188</v>
      </c>
      <c r="N1170" s="6" t="s">
        <v>188</v>
      </c>
      <c r="O1170" s="6" t="s">
        <v>190</v>
      </c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</row>
    <row r="1171">
      <c r="A1171" s="12">
        <v>29.0</v>
      </c>
      <c r="B1171" s="7" t="s">
        <v>523</v>
      </c>
      <c r="C1171" s="7" t="s">
        <v>1268</v>
      </c>
      <c r="I1171" s="10" t="s">
        <v>888</v>
      </c>
      <c r="J1171" s="13" t="s">
        <v>837</v>
      </c>
      <c r="K1171" s="13" t="s">
        <v>303</v>
      </c>
      <c r="L1171" s="13" t="s">
        <v>2103</v>
      </c>
      <c r="M1171" s="6" t="s">
        <v>188</v>
      </c>
      <c r="N1171" s="6" t="s">
        <v>188</v>
      </c>
      <c r="O1171" s="6" t="s">
        <v>190</v>
      </c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</row>
    <row r="1172">
      <c r="A1172" s="12">
        <v>29.0</v>
      </c>
      <c r="B1172" s="7" t="s">
        <v>523</v>
      </c>
      <c r="C1172" s="7" t="s">
        <v>1268</v>
      </c>
      <c r="I1172" s="10" t="s">
        <v>1161</v>
      </c>
      <c r="J1172" s="13" t="s">
        <v>835</v>
      </c>
      <c r="K1172" s="13" t="s">
        <v>303</v>
      </c>
      <c r="L1172" s="13" t="s">
        <v>1921</v>
      </c>
      <c r="M1172" s="6" t="s">
        <v>188</v>
      </c>
      <c r="N1172" s="6" t="s">
        <v>188</v>
      </c>
      <c r="O1172" s="6" t="s">
        <v>190</v>
      </c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</row>
    <row r="1173">
      <c r="A1173" s="12">
        <v>29.0</v>
      </c>
      <c r="B1173" s="7" t="s">
        <v>523</v>
      </c>
      <c r="C1173" s="7" t="s">
        <v>1268</v>
      </c>
      <c r="I1173" s="10" t="s">
        <v>696</v>
      </c>
      <c r="J1173" s="13" t="s">
        <v>837</v>
      </c>
      <c r="K1173" s="13" t="s">
        <v>303</v>
      </c>
      <c r="L1173" s="13" t="s">
        <v>2103</v>
      </c>
      <c r="M1173" s="6" t="s">
        <v>188</v>
      </c>
      <c r="N1173" s="6" t="s">
        <v>188</v>
      </c>
      <c r="O1173" s="6" t="s">
        <v>190</v>
      </c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</row>
    <row r="1174">
      <c r="A1174" s="12">
        <v>29.0</v>
      </c>
      <c r="B1174" s="7" t="s">
        <v>523</v>
      </c>
      <c r="C1174" s="7" t="s">
        <v>1268</v>
      </c>
      <c r="I1174" s="10" t="s">
        <v>1047</v>
      </c>
      <c r="J1174" s="13" t="s">
        <v>835</v>
      </c>
      <c r="K1174" s="13" t="s">
        <v>303</v>
      </c>
      <c r="L1174" s="13" t="s">
        <v>1921</v>
      </c>
      <c r="M1174" s="6" t="s">
        <v>188</v>
      </c>
      <c r="N1174" s="6" t="s">
        <v>188</v>
      </c>
      <c r="O1174" s="6" t="s">
        <v>190</v>
      </c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</row>
    <row r="1175">
      <c r="A1175" s="12">
        <v>29.0</v>
      </c>
      <c r="B1175" s="7" t="s">
        <v>523</v>
      </c>
      <c r="C1175" s="7" t="s">
        <v>1268</v>
      </c>
      <c r="I1175" s="10" t="s">
        <v>1626</v>
      </c>
      <c r="J1175" s="13" t="s">
        <v>837</v>
      </c>
      <c r="K1175" s="13" t="s">
        <v>303</v>
      </c>
      <c r="L1175" s="13" t="s">
        <v>2104</v>
      </c>
      <c r="M1175" s="6" t="s">
        <v>188</v>
      </c>
      <c r="N1175" s="6" t="s">
        <v>188</v>
      </c>
      <c r="O1175" s="6" t="s">
        <v>190</v>
      </c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</row>
    <row r="1176">
      <c r="A1176" s="12">
        <v>29.0</v>
      </c>
      <c r="B1176" s="7" t="s">
        <v>523</v>
      </c>
      <c r="C1176" s="7" t="s">
        <v>1268</v>
      </c>
      <c r="I1176" s="10" t="s">
        <v>1493</v>
      </c>
      <c r="J1176" s="13" t="s">
        <v>835</v>
      </c>
      <c r="K1176" s="13" t="s">
        <v>303</v>
      </c>
      <c r="L1176" s="13" t="s">
        <v>1921</v>
      </c>
      <c r="M1176" s="6" t="s">
        <v>188</v>
      </c>
      <c r="N1176" s="6" t="s">
        <v>188</v>
      </c>
      <c r="O1176" s="6" t="s">
        <v>190</v>
      </c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</row>
    <row r="1177">
      <c r="A1177" s="12">
        <v>29.0</v>
      </c>
      <c r="B1177" s="7" t="s">
        <v>523</v>
      </c>
      <c r="C1177" s="7" t="s">
        <v>1268</v>
      </c>
      <c r="I1177" s="10" t="s">
        <v>1231</v>
      </c>
      <c r="J1177" s="13" t="s">
        <v>837</v>
      </c>
      <c r="K1177" s="13" t="s">
        <v>303</v>
      </c>
      <c r="L1177" s="13" t="s">
        <v>1921</v>
      </c>
      <c r="M1177" s="6" t="s">
        <v>188</v>
      </c>
      <c r="N1177" s="6" t="s">
        <v>188</v>
      </c>
      <c r="O1177" s="6" t="s">
        <v>190</v>
      </c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</row>
    <row r="1178">
      <c r="A1178" s="12">
        <v>29.0</v>
      </c>
      <c r="B1178" s="7" t="s">
        <v>523</v>
      </c>
      <c r="C1178" s="7" t="s">
        <v>1268</v>
      </c>
      <c r="I1178" s="10" t="s">
        <v>596</v>
      </c>
      <c r="J1178" s="13" t="s">
        <v>835</v>
      </c>
      <c r="K1178" s="13" t="s">
        <v>303</v>
      </c>
      <c r="L1178" s="13" t="s">
        <v>1921</v>
      </c>
      <c r="M1178" s="6" t="s">
        <v>188</v>
      </c>
      <c r="N1178" s="6" t="s">
        <v>188</v>
      </c>
      <c r="O1178" s="6" t="s">
        <v>190</v>
      </c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</row>
    <row r="1179">
      <c r="A1179" s="12">
        <v>29.0</v>
      </c>
      <c r="B1179" s="7" t="s">
        <v>523</v>
      </c>
      <c r="C1179" s="7" t="s">
        <v>1268</v>
      </c>
      <c r="I1179" s="10" t="s">
        <v>484</v>
      </c>
      <c r="J1179" s="13" t="s">
        <v>837</v>
      </c>
      <c r="K1179" s="13" t="s">
        <v>303</v>
      </c>
      <c r="L1179" s="13" t="s">
        <v>1921</v>
      </c>
      <c r="M1179" s="6" t="s">
        <v>188</v>
      </c>
      <c r="N1179" s="6" t="s">
        <v>188</v>
      </c>
      <c r="O1179" s="6" t="s">
        <v>190</v>
      </c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</row>
    <row r="1180">
      <c r="A1180" s="12">
        <v>29.0</v>
      </c>
      <c r="B1180" s="7" t="s">
        <v>523</v>
      </c>
      <c r="C1180" s="7" t="s">
        <v>1268</v>
      </c>
      <c r="I1180" s="10" t="s">
        <v>2105</v>
      </c>
      <c r="J1180" s="13" t="s">
        <v>835</v>
      </c>
      <c r="K1180" s="13" t="s">
        <v>303</v>
      </c>
      <c r="L1180" s="13" t="s">
        <v>2100</v>
      </c>
      <c r="M1180" s="6" t="s">
        <v>188</v>
      </c>
      <c r="N1180" s="6" t="s">
        <v>188</v>
      </c>
      <c r="O1180" s="6" t="s">
        <v>190</v>
      </c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</row>
    <row r="1181">
      <c r="A1181" s="12">
        <v>29.0</v>
      </c>
      <c r="B1181" s="7" t="s">
        <v>523</v>
      </c>
      <c r="C1181" s="7" t="s">
        <v>1268</v>
      </c>
      <c r="I1181" s="10" t="s">
        <v>2106</v>
      </c>
      <c r="J1181" s="13" t="s">
        <v>837</v>
      </c>
      <c r="K1181" s="13" t="s">
        <v>303</v>
      </c>
      <c r="L1181" s="13" t="s">
        <v>2100</v>
      </c>
      <c r="M1181" s="6" t="s">
        <v>188</v>
      </c>
      <c r="N1181" s="6" t="s">
        <v>188</v>
      </c>
      <c r="O1181" s="6" t="s">
        <v>190</v>
      </c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</row>
    <row r="1182">
      <c r="A1182" s="12">
        <v>29.0</v>
      </c>
      <c r="B1182" s="7" t="s">
        <v>523</v>
      </c>
      <c r="C1182" s="7" t="s">
        <v>1268</v>
      </c>
      <c r="I1182" s="10" t="s">
        <v>1235</v>
      </c>
      <c r="J1182" s="13" t="s">
        <v>835</v>
      </c>
      <c r="K1182" s="13" t="s">
        <v>303</v>
      </c>
      <c r="L1182" s="13" t="s">
        <v>1921</v>
      </c>
      <c r="M1182" s="6" t="s">
        <v>188</v>
      </c>
      <c r="N1182" s="6" t="s">
        <v>188</v>
      </c>
      <c r="O1182" s="6" t="s">
        <v>190</v>
      </c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</row>
    <row r="1183">
      <c r="A1183" s="12">
        <v>29.0</v>
      </c>
      <c r="B1183" s="7" t="s">
        <v>523</v>
      </c>
      <c r="C1183" s="7" t="s">
        <v>1268</v>
      </c>
      <c r="I1183" s="10" t="s">
        <v>2107</v>
      </c>
      <c r="J1183" s="13" t="s">
        <v>837</v>
      </c>
      <c r="K1183" s="13" t="s">
        <v>303</v>
      </c>
      <c r="L1183" s="13" t="s">
        <v>2100</v>
      </c>
      <c r="M1183" s="6" t="s">
        <v>188</v>
      </c>
      <c r="N1183" s="6" t="s">
        <v>188</v>
      </c>
      <c r="O1183" s="6" t="s">
        <v>190</v>
      </c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</row>
    <row r="1184">
      <c r="A1184" s="12">
        <v>29.0</v>
      </c>
      <c r="B1184" s="7" t="s">
        <v>523</v>
      </c>
      <c r="C1184" s="7" t="s">
        <v>1268</v>
      </c>
      <c r="I1184" s="10" t="s">
        <v>970</v>
      </c>
      <c r="J1184" s="13" t="s">
        <v>835</v>
      </c>
      <c r="K1184" s="13" t="s">
        <v>303</v>
      </c>
      <c r="L1184" s="13" t="s">
        <v>2103</v>
      </c>
      <c r="M1184" s="6" t="s">
        <v>188</v>
      </c>
      <c r="N1184" s="6" t="s">
        <v>188</v>
      </c>
      <c r="O1184" s="6" t="s">
        <v>190</v>
      </c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</row>
    <row r="1185">
      <c r="A1185" s="12">
        <v>29.0</v>
      </c>
      <c r="B1185" s="7" t="s">
        <v>523</v>
      </c>
      <c r="C1185" s="7" t="s">
        <v>1268</v>
      </c>
      <c r="I1185" s="10" t="s">
        <v>1350</v>
      </c>
      <c r="J1185" s="13" t="s">
        <v>837</v>
      </c>
      <c r="K1185" s="13" t="s">
        <v>303</v>
      </c>
      <c r="L1185" s="13" t="s">
        <v>1921</v>
      </c>
      <c r="M1185" s="6" t="s">
        <v>188</v>
      </c>
      <c r="N1185" s="6" t="s">
        <v>188</v>
      </c>
      <c r="O1185" s="6" t="s">
        <v>190</v>
      </c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</row>
    <row r="1186">
      <c r="A1186" s="12">
        <v>29.0</v>
      </c>
      <c r="B1186" s="7" t="s">
        <v>523</v>
      </c>
      <c r="C1186" s="7" t="s">
        <v>1268</v>
      </c>
      <c r="I1186" s="10" t="s">
        <v>1743</v>
      </c>
      <c r="J1186" s="13" t="s">
        <v>835</v>
      </c>
      <c r="K1186" s="13" t="s">
        <v>303</v>
      </c>
      <c r="L1186" s="13" t="s">
        <v>2104</v>
      </c>
      <c r="M1186" s="6" t="s">
        <v>188</v>
      </c>
      <c r="N1186" s="6" t="s">
        <v>188</v>
      </c>
      <c r="O1186" s="6" t="s">
        <v>190</v>
      </c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</row>
    <row r="1187">
      <c r="A1187" s="12">
        <v>29.0</v>
      </c>
      <c r="B1187" s="7" t="s">
        <v>523</v>
      </c>
      <c r="C1187" s="7" t="s">
        <v>1268</v>
      </c>
      <c r="I1187" s="10" t="s">
        <v>2108</v>
      </c>
      <c r="J1187" s="13" t="s">
        <v>837</v>
      </c>
      <c r="K1187" s="13" t="s">
        <v>303</v>
      </c>
      <c r="L1187" s="13" t="s">
        <v>2100</v>
      </c>
      <c r="M1187" s="6" t="s">
        <v>188</v>
      </c>
      <c r="N1187" s="6" t="s">
        <v>188</v>
      </c>
      <c r="O1187" s="6" t="s">
        <v>190</v>
      </c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</row>
    <row r="1188">
      <c r="A1188" s="12">
        <v>29.0</v>
      </c>
      <c r="B1188" s="7" t="s">
        <v>523</v>
      </c>
      <c r="C1188" s="7" t="s">
        <v>1268</v>
      </c>
      <c r="I1188" s="10" t="s">
        <v>1225</v>
      </c>
      <c r="J1188" s="13" t="s">
        <v>835</v>
      </c>
      <c r="K1188" s="13" t="s">
        <v>303</v>
      </c>
      <c r="L1188" s="13" t="s">
        <v>1921</v>
      </c>
      <c r="M1188" s="6" t="s">
        <v>188</v>
      </c>
      <c r="N1188" s="6" t="s">
        <v>188</v>
      </c>
      <c r="O1188" s="6" t="s">
        <v>190</v>
      </c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</row>
    <row r="1189">
      <c r="A1189" s="12">
        <v>29.0</v>
      </c>
      <c r="B1189" s="7" t="s">
        <v>523</v>
      </c>
      <c r="C1189" s="7" t="s">
        <v>1268</v>
      </c>
      <c r="I1189" s="10" t="s">
        <v>2109</v>
      </c>
      <c r="J1189" s="13" t="s">
        <v>837</v>
      </c>
      <c r="K1189" s="13" t="s">
        <v>303</v>
      </c>
      <c r="L1189" s="13" t="s">
        <v>1921</v>
      </c>
      <c r="M1189" s="6" t="s">
        <v>188</v>
      </c>
      <c r="N1189" s="6" t="s">
        <v>188</v>
      </c>
      <c r="O1189" s="6" t="s">
        <v>190</v>
      </c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</row>
    <row r="1190">
      <c r="A1190" s="12">
        <v>29.0</v>
      </c>
      <c r="B1190" s="7" t="s">
        <v>523</v>
      </c>
      <c r="C1190" s="7" t="s">
        <v>1268</v>
      </c>
      <c r="I1190" s="10" t="s">
        <v>1432</v>
      </c>
      <c r="J1190" s="13" t="s">
        <v>835</v>
      </c>
      <c r="K1190" s="13" t="s">
        <v>303</v>
      </c>
      <c r="L1190" s="13" t="s">
        <v>1921</v>
      </c>
      <c r="M1190" s="6" t="s">
        <v>188</v>
      </c>
      <c r="N1190" s="6" t="s">
        <v>188</v>
      </c>
      <c r="O1190" s="6" t="s">
        <v>190</v>
      </c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</row>
    <row r="1191">
      <c r="A1191" s="12">
        <v>29.0</v>
      </c>
      <c r="B1191" s="7" t="s">
        <v>523</v>
      </c>
      <c r="C1191" s="7" t="s">
        <v>1268</v>
      </c>
      <c r="I1191" s="10" t="s">
        <v>2110</v>
      </c>
      <c r="J1191" s="13" t="s">
        <v>837</v>
      </c>
      <c r="K1191" s="13" t="s">
        <v>303</v>
      </c>
      <c r="L1191" s="13" t="s">
        <v>2100</v>
      </c>
      <c r="M1191" s="6" t="s">
        <v>188</v>
      </c>
      <c r="N1191" s="6" t="s">
        <v>188</v>
      </c>
      <c r="O1191" s="6" t="s">
        <v>190</v>
      </c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</row>
    <row r="1192">
      <c r="A1192" s="12">
        <v>29.0</v>
      </c>
      <c r="B1192" s="7" t="s">
        <v>523</v>
      </c>
      <c r="C1192" s="7" t="s">
        <v>1268</v>
      </c>
      <c r="I1192" s="10" t="s">
        <v>2111</v>
      </c>
      <c r="J1192" s="13" t="s">
        <v>835</v>
      </c>
      <c r="K1192" s="13" t="s">
        <v>303</v>
      </c>
      <c r="L1192" s="13" t="s">
        <v>2100</v>
      </c>
      <c r="M1192" s="6" t="s">
        <v>188</v>
      </c>
      <c r="N1192" s="6" t="s">
        <v>188</v>
      </c>
      <c r="O1192" s="6" t="s">
        <v>190</v>
      </c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</row>
    <row r="1193">
      <c r="A1193" s="12">
        <v>29.0</v>
      </c>
      <c r="B1193" s="7" t="s">
        <v>523</v>
      </c>
      <c r="C1193" s="7" t="s">
        <v>1268</v>
      </c>
      <c r="I1193" s="10" t="s">
        <v>947</v>
      </c>
      <c r="J1193" s="13" t="s">
        <v>837</v>
      </c>
      <c r="K1193" s="13" t="s">
        <v>303</v>
      </c>
      <c r="L1193" s="13" t="s">
        <v>1921</v>
      </c>
      <c r="M1193" s="6" t="s">
        <v>188</v>
      </c>
      <c r="N1193" s="6" t="s">
        <v>188</v>
      </c>
      <c r="O1193" s="6" t="s">
        <v>190</v>
      </c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</row>
    <row r="1194">
      <c r="A1194" s="12">
        <v>29.0</v>
      </c>
      <c r="B1194" s="7" t="s">
        <v>523</v>
      </c>
      <c r="C1194" s="7" t="s">
        <v>1268</v>
      </c>
      <c r="I1194" s="10" t="s">
        <v>1825</v>
      </c>
      <c r="J1194" s="13" t="s">
        <v>835</v>
      </c>
      <c r="K1194" s="13" t="s">
        <v>303</v>
      </c>
      <c r="L1194" s="13" t="s">
        <v>2100</v>
      </c>
      <c r="M1194" s="6" t="s">
        <v>188</v>
      </c>
      <c r="N1194" s="6" t="s">
        <v>188</v>
      </c>
      <c r="O1194" s="6" t="s">
        <v>190</v>
      </c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</row>
    <row r="1195">
      <c r="A1195" s="12">
        <v>29.0</v>
      </c>
      <c r="B1195" s="7" t="s">
        <v>523</v>
      </c>
      <c r="C1195" s="7" t="s">
        <v>1268</v>
      </c>
      <c r="I1195" s="10" t="s">
        <v>2112</v>
      </c>
      <c r="J1195" s="13" t="s">
        <v>837</v>
      </c>
      <c r="K1195" s="13" t="s">
        <v>303</v>
      </c>
      <c r="L1195" s="13" t="s">
        <v>1921</v>
      </c>
      <c r="M1195" s="6" t="s">
        <v>188</v>
      </c>
      <c r="N1195" s="6" t="s">
        <v>188</v>
      </c>
      <c r="O1195" s="6" t="s">
        <v>190</v>
      </c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</row>
    <row r="1196">
      <c r="A1196" s="12">
        <v>29.0</v>
      </c>
      <c r="B1196" s="7" t="s">
        <v>523</v>
      </c>
      <c r="C1196" s="7" t="s">
        <v>1268</v>
      </c>
      <c r="I1196" s="10" t="s">
        <v>2113</v>
      </c>
      <c r="J1196" s="13" t="s">
        <v>835</v>
      </c>
      <c r="K1196" s="13" t="s">
        <v>303</v>
      </c>
      <c r="L1196" s="13" t="s">
        <v>1921</v>
      </c>
      <c r="M1196" s="6" t="s">
        <v>188</v>
      </c>
      <c r="N1196" s="6" t="s">
        <v>188</v>
      </c>
      <c r="O1196" s="6" t="s">
        <v>190</v>
      </c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</row>
    <row r="1197">
      <c r="A1197" s="12">
        <v>29.0</v>
      </c>
      <c r="B1197" s="7" t="s">
        <v>523</v>
      </c>
      <c r="C1197" s="7" t="s">
        <v>1268</v>
      </c>
      <c r="I1197" s="10" t="s">
        <v>1731</v>
      </c>
      <c r="J1197" s="13" t="s">
        <v>837</v>
      </c>
      <c r="K1197" s="13" t="s">
        <v>303</v>
      </c>
      <c r="L1197" s="13" t="s">
        <v>1921</v>
      </c>
      <c r="M1197" s="6" t="s">
        <v>188</v>
      </c>
      <c r="N1197" s="6" t="s">
        <v>188</v>
      </c>
      <c r="O1197" s="6" t="s">
        <v>190</v>
      </c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</row>
    <row r="1198">
      <c r="A1198" s="12">
        <v>29.0</v>
      </c>
      <c r="B1198" s="7" t="s">
        <v>523</v>
      </c>
      <c r="C1198" s="7" t="s">
        <v>1268</v>
      </c>
      <c r="I1198" s="13" t="s">
        <v>513</v>
      </c>
      <c r="J1198" s="13" t="s">
        <v>835</v>
      </c>
      <c r="K1198" s="13" t="s">
        <v>303</v>
      </c>
      <c r="L1198" s="13" t="s">
        <v>2114</v>
      </c>
      <c r="M1198" s="6" t="s">
        <v>188</v>
      </c>
      <c r="N1198" s="6" t="s">
        <v>188</v>
      </c>
      <c r="O1198" s="6" t="s">
        <v>190</v>
      </c>
      <c r="P1198" s="7" t="s">
        <v>333</v>
      </c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</row>
    <row r="1199">
      <c r="A1199" s="12">
        <v>29.0</v>
      </c>
      <c r="B1199" s="7" t="s">
        <v>523</v>
      </c>
      <c r="C1199" s="7" t="s">
        <v>1268</v>
      </c>
      <c r="I1199" s="13" t="s">
        <v>1284</v>
      </c>
      <c r="J1199" s="13" t="s">
        <v>837</v>
      </c>
      <c r="K1199" s="13" t="s">
        <v>303</v>
      </c>
      <c r="L1199" s="13" t="s">
        <v>2115</v>
      </c>
      <c r="M1199" s="6" t="s">
        <v>188</v>
      </c>
      <c r="N1199" s="6" t="s">
        <v>188</v>
      </c>
      <c r="O1199" s="6" t="s">
        <v>190</v>
      </c>
      <c r="P1199" s="7" t="s">
        <v>333</v>
      </c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</row>
    <row r="1200">
      <c r="A1200" s="12">
        <v>29.0</v>
      </c>
      <c r="B1200" s="7" t="s">
        <v>523</v>
      </c>
      <c r="C1200" s="7" t="s">
        <v>1268</v>
      </c>
      <c r="I1200" s="13" t="s">
        <v>2003</v>
      </c>
      <c r="J1200" s="13" t="s">
        <v>835</v>
      </c>
      <c r="K1200" s="13" t="s">
        <v>303</v>
      </c>
      <c r="L1200" s="13" t="s">
        <v>2116</v>
      </c>
      <c r="M1200" s="6" t="s">
        <v>188</v>
      </c>
      <c r="N1200" s="6" t="s">
        <v>188</v>
      </c>
      <c r="O1200" s="6" t="s">
        <v>190</v>
      </c>
      <c r="P1200" s="7" t="s">
        <v>333</v>
      </c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</row>
    <row r="1201">
      <c r="A1201" s="12">
        <v>29.0</v>
      </c>
      <c r="B1201" s="7" t="s">
        <v>523</v>
      </c>
      <c r="C1201" s="7" t="s">
        <v>1268</v>
      </c>
      <c r="I1201" s="13" t="s">
        <v>1387</v>
      </c>
      <c r="J1201" s="13" t="s">
        <v>837</v>
      </c>
      <c r="K1201" s="13" t="s">
        <v>303</v>
      </c>
      <c r="L1201" s="13" t="s">
        <v>2117</v>
      </c>
      <c r="M1201" s="6" t="s">
        <v>188</v>
      </c>
      <c r="N1201" s="6" t="s">
        <v>188</v>
      </c>
      <c r="O1201" s="6" t="s">
        <v>190</v>
      </c>
      <c r="P1201" s="7" t="s">
        <v>333</v>
      </c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</row>
    <row r="1202">
      <c r="A1202" s="12">
        <v>29.0</v>
      </c>
      <c r="B1202" s="7" t="s">
        <v>523</v>
      </c>
      <c r="C1202" s="7" t="s">
        <v>1268</v>
      </c>
      <c r="I1202" s="13" t="s">
        <v>1890</v>
      </c>
      <c r="J1202" s="13" t="s">
        <v>835</v>
      </c>
      <c r="K1202" s="13" t="s">
        <v>303</v>
      </c>
      <c r="L1202" s="13" t="s">
        <v>2114</v>
      </c>
      <c r="M1202" s="6" t="s">
        <v>188</v>
      </c>
      <c r="N1202" s="6" t="s">
        <v>188</v>
      </c>
      <c r="O1202" s="6" t="s">
        <v>190</v>
      </c>
      <c r="P1202" s="7" t="s">
        <v>333</v>
      </c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</row>
    <row r="1203">
      <c r="A1203" s="12">
        <v>29.0</v>
      </c>
      <c r="B1203" s="7" t="s">
        <v>523</v>
      </c>
      <c r="C1203" s="7" t="s">
        <v>1268</v>
      </c>
      <c r="I1203" s="13" t="s">
        <v>2006</v>
      </c>
      <c r="J1203" s="13" t="s">
        <v>837</v>
      </c>
      <c r="K1203" s="13" t="s">
        <v>303</v>
      </c>
      <c r="L1203" s="13" t="s">
        <v>2116</v>
      </c>
      <c r="M1203" s="6" t="s">
        <v>188</v>
      </c>
      <c r="N1203" s="6" t="s">
        <v>188</v>
      </c>
      <c r="O1203" s="6" t="s">
        <v>190</v>
      </c>
      <c r="P1203" s="7" t="s">
        <v>333</v>
      </c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</row>
    <row r="1204">
      <c r="A1204" s="12">
        <v>29.0</v>
      </c>
      <c r="B1204" s="7" t="s">
        <v>523</v>
      </c>
      <c r="C1204" s="7" t="s">
        <v>1268</v>
      </c>
      <c r="I1204" s="13" t="s">
        <v>2001</v>
      </c>
      <c r="J1204" s="13" t="s">
        <v>835</v>
      </c>
      <c r="K1204" s="13" t="s">
        <v>303</v>
      </c>
      <c r="L1204" s="13" t="s">
        <v>2118</v>
      </c>
      <c r="M1204" s="6" t="s">
        <v>188</v>
      </c>
      <c r="N1204" s="6" t="s">
        <v>188</v>
      </c>
      <c r="O1204" s="6" t="s">
        <v>190</v>
      </c>
      <c r="P1204" s="7" t="s">
        <v>333</v>
      </c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</row>
    <row r="1205">
      <c r="A1205" s="12">
        <v>29.0</v>
      </c>
      <c r="B1205" s="7" t="s">
        <v>523</v>
      </c>
      <c r="C1205" s="7" t="s">
        <v>1268</v>
      </c>
      <c r="I1205" s="13" t="s">
        <v>1728</v>
      </c>
      <c r="J1205" s="13" t="s">
        <v>837</v>
      </c>
      <c r="K1205" s="13" t="s">
        <v>303</v>
      </c>
      <c r="L1205" s="13" t="s">
        <v>2116</v>
      </c>
      <c r="M1205" s="6" t="s">
        <v>188</v>
      </c>
      <c r="N1205" s="6" t="s">
        <v>188</v>
      </c>
      <c r="O1205" s="6" t="s">
        <v>190</v>
      </c>
      <c r="P1205" s="7" t="s">
        <v>333</v>
      </c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</row>
    <row r="1206">
      <c r="A1206" s="12">
        <v>29.0</v>
      </c>
      <c r="B1206" s="7" t="s">
        <v>523</v>
      </c>
      <c r="C1206" s="7" t="s">
        <v>1268</v>
      </c>
      <c r="I1206" s="13" t="s">
        <v>2007</v>
      </c>
      <c r="J1206" s="13" t="s">
        <v>835</v>
      </c>
      <c r="K1206" s="13" t="s">
        <v>303</v>
      </c>
      <c r="L1206" s="13" t="s">
        <v>2116</v>
      </c>
      <c r="M1206" s="6" t="s">
        <v>188</v>
      </c>
      <c r="N1206" s="6" t="s">
        <v>188</v>
      </c>
      <c r="O1206" s="6" t="s">
        <v>190</v>
      </c>
      <c r="P1206" s="7" t="s">
        <v>333</v>
      </c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</row>
    <row r="1207">
      <c r="A1207" s="12">
        <v>29.0</v>
      </c>
      <c r="B1207" s="7" t="s">
        <v>523</v>
      </c>
      <c r="C1207" s="7" t="s">
        <v>1268</v>
      </c>
      <c r="I1207" s="13" t="s">
        <v>2010</v>
      </c>
      <c r="J1207" s="13" t="s">
        <v>837</v>
      </c>
      <c r="K1207" s="13" t="s">
        <v>303</v>
      </c>
      <c r="L1207" s="13" t="s">
        <v>2119</v>
      </c>
      <c r="M1207" s="6" t="s">
        <v>188</v>
      </c>
      <c r="N1207" s="6" t="s">
        <v>188</v>
      </c>
      <c r="O1207" s="6" t="s">
        <v>190</v>
      </c>
      <c r="P1207" s="7" t="s">
        <v>333</v>
      </c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</row>
    <row r="1208">
      <c r="A1208" s="12">
        <v>29.0</v>
      </c>
      <c r="B1208" s="7" t="s">
        <v>523</v>
      </c>
      <c r="C1208" s="7" t="s">
        <v>1268</v>
      </c>
      <c r="I1208" s="13" t="s">
        <v>1264</v>
      </c>
      <c r="J1208" s="13" t="s">
        <v>835</v>
      </c>
      <c r="K1208" s="13" t="s">
        <v>303</v>
      </c>
      <c r="L1208" s="13" t="s">
        <v>2120</v>
      </c>
      <c r="M1208" s="6" t="s">
        <v>188</v>
      </c>
      <c r="N1208" s="6" t="s">
        <v>188</v>
      </c>
      <c r="O1208" s="6" t="s">
        <v>190</v>
      </c>
      <c r="P1208" s="7" t="s">
        <v>333</v>
      </c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</row>
    <row r="1209">
      <c r="A1209" s="12">
        <v>29.0</v>
      </c>
      <c r="B1209" s="7" t="s">
        <v>523</v>
      </c>
      <c r="C1209" s="7" t="s">
        <v>1268</v>
      </c>
      <c r="I1209" s="13" t="s">
        <v>2013</v>
      </c>
      <c r="J1209" s="13" t="s">
        <v>837</v>
      </c>
      <c r="K1209" s="13" t="s">
        <v>303</v>
      </c>
      <c r="L1209" s="13" t="s">
        <v>2119</v>
      </c>
      <c r="M1209" s="6" t="s">
        <v>188</v>
      </c>
      <c r="N1209" s="6" t="s">
        <v>188</v>
      </c>
      <c r="O1209" s="6" t="s">
        <v>190</v>
      </c>
      <c r="P1209" s="7" t="s">
        <v>333</v>
      </c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</row>
    <row r="1210">
      <c r="A1210" s="12">
        <v>29.0</v>
      </c>
      <c r="B1210" s="7" t="s">
        <v>523</v>
      </c>
      <c r="C1210" s="7" t="s">
        <v>1268</v>
      </c>
      <c r="I1210" s="13" t="s">
        <v>2014</v>
      </c>
      <c r="J1210" s="13" t="s">
        <v>835</v>
      </c>
      <c r="K1210" s="13" t="s">
        <v>303</v>
      </c>
      <c r="L1210" s="13" t="s">
        <v>2119</v>
      </c>
      <c r="M1210" s="6" t="s">
        <v>188</v>
      </c>
      <c r="N1210" s="6" t="s">
        <v>188</v>
      </c>
      <c r="O1210" s="6" t="s">
        <v>190</v>
      </c>
      <c r="P1210" s="7" t="s">
        <v>333</v>
      </c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</row>
    <row r="1211">
      <c r="A1211" s="12">
        <v>29.0</v>
      </c>
      <c r="B1211" s="7" t="s">
        <v>523</v>
      </c>
      <c r="C1211" s="7" t="s">
        <v>1268</v>
      </c>
      <c r="I1211" s="13" t="s">
        <v>2015</v>
      </c>
      <c r="J1211" s="13" t="s">
        <v>837</v>
      </c>
      <c r="K1211" s="13" t="s">
        <v>303</v>
      </c>
      <c r="L1211" s="13" t="s">
        <v>2119</v>
      </c>
      <c r="M1211" s="6" t="s">
        <v>188</v>
      </c>
      <c r="N1211" s="6" t="s">
        <v>188</v>
      </c>
      <c r="O1211" s="6" t="s">
        <v>190</v>
      </c>
      <c r="P1211" s="7" t="s">
        <v>333</v>
      </c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</row>
    <row r="1212">
      <c r="A1212" s="12">
        <v>30.0</v>
      </c>
      <c r="B1212" s="7" t="s">
        <v>536</v>
      </c>
      <c r="C1212" s="7" t="s">
        <v>1268</v>
      </c>
      <c r="D1212" s="26">
        <f>IF(COUNTIF($B$2:$B1212,$B1212)&gt;1,"",COUNTIF($B$2:$B$3400,$B1212))</f>
        <v>30</v>
      </c>
      <c r="E1212" s="26">
        <f>IF(COUNTIF($B$2:$B1212,$B1212)&gt;1,"",COUNTIFS($B$2:$B$3400,$B1212,$K$2:$K$3400,"PHÙ HỢP CAO"))</f>
        <v>4</v>
      </c>
      <c r="F1212" s="26">
        <f>IF(COUNTIF($B$2:$B1212,$B1212)&gt;1,"",COUNTIFS($B$2:$B$3400,$B1212,$K$2:$K$3400,"CÓ THỂ ĐI"))</f>
        <v>1</v>
      </c>
      <c r="G1212" s="26">
        <f>IF(COUNTIF($B$2:$B1212,$B1212)&gt;1,"",COUNTIFS($B$2:$B$3400,$B1212,$K$2:$K$3400,"CẦN SOÁT"))</f>
        <v>25</v>
      </c>
      <c r="H1212" s="27" t="str">
        <f>IFERROR(__xludf.DUMMYFUNCTION("IF(COUNTIF($B$2:$B1212,$B1212)&gt;1,"""",IFERROR(TEXTJOIN(CHAR(10),TRUE,BYROW(QUERY({$B$2:$B$3400,$J$2:$J$3400},""select Col2, count(Col2) where Col1 = '""&amp;$B1212&amp;""' group by Col2 order by count(Col2) desc label count(Col2) ''"",0),LAMBDA(r,INDEX(r,1,1)&amp;"" "&amp;"– ""&amp;INDEX(r,1,2)&amp;"" link""))),""""))"),"làm thẻ tín dụng – 15 link
mở thẻ tín dụng – 15 link")</f>
        <v>làm thẻ tín dụng – 15 link
mở thẻ tín dụng – 15 link</v>
      </c>
      <c r="I1212" s="10" t="s">
        <v>970</v>
      </c>
      <c r="J1212" s="13" t="s">
        <v>1306</v>
      </c>
      <c r="K1212" s="13" t="s">
        <v>184</v>
      </c>
      <c r="L1212" s="13" t="s">
        <v>2121</v>
      </c>
      <c r="M1212" s="6" t="s">
        <v>188</v>
      </c>
      <c r="N1212" s="6" t="s">
        <v>188</v>
      </c>
      <c r="O1212" s="6" t="s">
        <v>190</v>
      </c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</row>
    <row r="1213">
      <c r="A1213" s="12">
        <v>30.0</v>
      </c>
      <c r="B1213" s="7" t="s">
        <v>536</v>
      </c>
      <c r="C1213" s="7" t="s">
        <v>1268</v>
      </c>
      <c r="I1213" s="10" t="s">
        <v>1150</v>
      </c>
      <c r="J1213" s="13" t="s">
        <v>1308</v>
      </c>
      <c r="K1213" s="13" t="s">
        <v>184</v>
      </c>
      <c r="L1213" s="13" t="s">
        <v>2122</v>
      </c>
      <c r="M1213" s="6" t="s">
        <v>188</v>
      </c>
      <c r="N1213" s="6" t="s">
        <v>188</v>
      </c>
      <c r="O1213" s="6" t="s">
        <v>190</v>
      </c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</row>
    <row r="1214">
      <c r="A1214" s="12">
        <v>30.0</v>
      </c>
      <c r="B1214" s="7" t="s">
        <v>536</v>
      </c>
      <c r="C1214" s="7" t="s">
        <v>1268</v>
      </c>
      <c r="I1214" s="10" t="s">
        <v>1309</v>
      </c>
      <c r="J1214" s="13" t="s">
        <v>1306</v>
      </c>
      <c r="K1214" s="13" t="s">
        <v>184</v>
      </c>
      <c r="L1214" s="13" t="s">
        <v>2123</v>
      </c>
      <c r="M1214" s="6" t="s">
        <v>188</v>
      </c>
      <c r="N1214" s="6" t="s">
        <v>188</v>
      </c>
      <c r="O1214" s="6" t="s">
        <v>190</v>
      </c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</row>
    <row r="1215">
      <c r="A1215" s="12">
        <v>30.0</v>
      </c>
      <c r="B1215" s="7" t="s">
        <v>536</v>
      </c>
      <c r="C1215" s="7" t="s">
        <v>1268</v>
      </c>
      <c r="I1215" s="10" t="s">
        <v>1155</v>
      </c>
      <c r="J1215" s="13" t="s">
        <v>1308</v>
      </c>
      <c r="K1215" s="13" t="s">
        <v>184</v>
      </c>
      <c r="L1215" s="13" t="s">
        <v>2124</v>
      </c>
      <c r="M1215" s="6" t="s">
        <v>188</v>
      </c>
      <c r="N1215" s="6" t="s">
        <v>188</v>
      </c>
      <c r="O1215" s="6" t="s">
        <v>190</v>
      </c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</row>
    <row r="1216">
      <c r="A1216" s="12">
        <v>30.0</v>
      </c>
      <c r="B1216" s="7" t="s">
        <v>536</v>
      </c>
      <c r="C1216" s="7" t="s">
        <v>1268</v>
      </c>
      <c r="I1216" s="10" t="s">
        <v>1312</v>
      </c>
      <c r="J1216" s="13" t="s">
        <v>1306</v>
      </c>
      <c r="K1216" s="13" t="s">
        <v>283</v>
      </c>
      <c r="L1216" s="13" t="s">
        <v>2125</v>
      </c>
      <c r="M1216" s="6" t="s">
        <v>188</v>
      </c>
      <c r="N1216" s="6" t="s">
        <v>188</v>
      </c>
      <c r="O1216" s="6" t="s">
        <v>190</v>
      </c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</row>
    <row r="1217">
      <c r="A1217" s="12">
        <v>30.0</v>
      </c>
      <c r="B1217" s="7" t="s">
        <v>536</v>
      </c>
      <c r="C1217" s="7" t="s">
        <v>1268</v>
      </c>
      <c r="I1217" s="10" t="s">
        <v>886</v>
      </c>
      <c r="J1217" s="13" t="s">
        <v>1308</v>
      </c>
      <c r="K1217" s="13" t="s">
        <v>303</v>
      </c>
      <c r="L1217" s="13" t="s">
        <v>2126</v>
      </c>
      <c r="M1217" s="6" t="s">
        <v>188</v>
      </c>
      <c r="N1217" s="6" t="s">
        <v>188</v>
      </c>
      <c r="O1217" s="6" t="s">
        <v>190</v>
      </c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</row>
    <row r="1218">
      <c r="A1218" s="12">
        <v>30.0</v>
      </c>
      <c r="B1218" s="7" t="s">
        <v>536</v>
      </c>
      <c r="C1218" s="7" t="s">
        <v>1268</v>
      </c>
      <c r="I1218" s="10" t="s">
        <v>1615</v>
      </c>
      <c r="J1218" s="13" t="s">
        <v>1306</v>
      </c>
      <c r="K1218" s="13" t="s">
        <v>303</v>
      </c>
      <c r="L1218" s="13" t="s">
        <v>2126</v>
      </c>
      <c r="M1218" s="6" t="s">
        <v>188</v>
      </c>
      <c r="N1218" s="6" t="s">
        <v>188</v>
      </c>
      <c r="O1218" s="6" t="s">
        <v>190</v>
      </c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</row>
    <row r="1219">
      <c r="A1219" s="12">
        <v>30.0</v>
      </c>
      <c r="B1219" s="7" t="s">
        <v>536</v>
      </c>
      <c r="C1219" s="7" t="s">
        <v>1268</v>
      </c>
      <c r="I1219" s="10" t="s">
        <v>1706</v>
      </c>
      <c r="J1219" s="13" t="s">
        <v>1308</v>
      </c>
      <c r="K1219" s="13" t="s">
        <v>303</v>
      </c>
      <c r="L1219" s="13" t="s">
        <v>2126</v>
      </c>
      <c r="M1219" s="6" t="s">
        <v>188</v>
      </c>
      <c r="N1219" s="6" t="s">
        <v>188</v>
      </c>
      <c r="O1219" s="6" t="s">
        <v>190</v>
      </c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</row>
    <row r="1220">
      <c r="A1220" s="12">
        <v>30.0</v>
      </c>
      <c r="B1220" s="7" t="s">
        <v>536</v>
      </c>
      <c r="C1220" s="7" t="s">
        <v>1268</v>
      </c>
      <c r="I1220" s="10" t="s">
        <v>1322</v>
      </c>
      <c r="J1220" s="13" t="s">
        <v>1306</v>
      </c>
      <c r="K1220" s="13" t="s">
        <v>303</v>
      </c>
      <c r="L1220" s="13" t="s">
        <v>2127</v>
      </c>
      <c r="M1220" s="6" t="s">
        <v>188</v>
      </c>
      <c r="N1220" s="6" t="s">
        <v>188</v>
      </c>
      <c r="O1220" s="6" t="s">
        <v>190</v>
      </c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</row>
    <row r="1221">
      <c r="A1221" s="12">
        <v>30.0</v>
      </c>
      <c r="B1221" s="7" t="s">
        <v>536</v>
      </c>
      <c r="C1221" s="7" t="s">
        <v>1268</v>
      </c>
      <c r="I1221" s="10" t="s">
        <v>1347</v>
      </c>
      <c r="J1221" s="13" t="s">
        <v>1308</v>
      </c>
      <c r="K1221" s="13" t="s">
        <v>303</v>
      </c>
      <c r="L1221" s="13" t="s">
        <v>2127</v>
      </c>
      <c r="M1221" s="6" t="s">
        <v>188</v>
      </c>
      <c r="N1221" s="6" t="s">
        <v>188</v>
      </c>
      <c r="O1221" s="6" t="s">
        <v>190</v>
      </c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</row>
    <row r="1222">
      <c r="A1222" s="12">
        <v>30.0</v>
      </c>
      <c r="B1222" s="7" t="s">
        <v>536</v>
      </c>
      <c r="C1222" s="7" t="s">
        <v>1268</v>
      </c>
      <c r="I1222" s="10" t="s">
        <v>2036</v>
      </c>
      <c r="J1222" s="13" t="s">
        <v>1306</v>
      </c>
      <c r="K1222" s="13" t="s">
        <v>303</v>
      </c>
      <c r="L1222" s="13" t="s">
        <v>2126</v>
      </c>
      <c r="M1222" s="6" t="s">
        <v>188</v>
      </c>
      <c r="N1222" s="6" t="s">
        <v>188</v>
      </c>
      <c r="O1222" s="6" t="s">
        <v>190</v>
      </c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</row>
    <row r="1223">
      <c r="A1223" s="12">
        <v>30.0</v>
      </c>
      <c r="B1223" s="7" t="s">
        <v>536</v>
      </c>
      <c r="C1223" s="7" t="s">
        <v>1268</v>
      </c>
      <c r="I1223" s="10" t="s">
        <v>2037</v>
      </c>
      <c r="J1223" s="13" t="s">
        <v>1308</v>
      </c>
      <c r="K1223" s="13" t="s">
        <v>303</v>
      </c>
      <c r="L1223" s="13" t="s">
        <v>2126</v>
      </c>
      <c r="M1223" s="6" t="s">
        <v>188</v>
      </c>
      <c r="N1223" s="6" t="s">
        <v>188</v>
      </c>
      <c r="O1223" s="6" t="s">
        <v>190</v>
      </c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</row>
    <row r="1224">
      <c r="A1224" s="12">
        <v>30.0</v>
      </c>
      <c r="B1224" s="7" t="s">
        <v>536</v>
      </c>
      <c r="C1224" s="7" t="s">
        <v>1268</v>
      </c>
      <c r="I1224" s="10" t="s">
        <v>2034</v>
      </c>
      <c r="J1224" s="13" t="s">
        <v>1306</v>
      </c>
      <c r="K1224" s="13" t="s">
        <v>303</v>
      </c>
      <c r="L1224" s="13" t="s">
        <v>2126</v>
      </c>
      <c r="M1224" s="6" t="s">
        <v>188</v>
      </c>
      <c r="N1224" s="6" t="s">
        <v>188</v>
      </c>
      <c r="O1224" s="6" t="s">
        <v>190</v>
      </c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</row>
    <row r="1225">
      <c r="A1225" s="12">
        <v>30.0</v>
      </c>
      <c r="B1225" s="7" t="s">
        <v>536</v>
      </c>
      <c r="C1225" s="7" t="s">
        <v>1268</v>
      </c>
      <c r="I1225" s="10" t="s">
        <v>1486</v>
      </c>
      <c r="J1225" s="13" t="s">
        <v>1308</v>
      </c>
      <c r="K1225" s="13" t="s">
        <v>303</v>
      </c>
      <c r="L1225" s="13" t="s">
        <v>1489</v>
      </c>
      <c r="M1225" s="6" t="s">
        <v>188</v>
      </c>
      <c r="N1225" s="6" t="s">
        <v>188</v>
      </c>
      <c r="O1225" s="6" t="s">
        <v>190</v>
      </c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</row>
    <row r="1226">
      <c r="A1226" s="12">
        <v>30.0</v>
      </c>
      <c r="B1226" s="7" t="s">
        <v>536</v>
      </c>
      <c r="C1226" s="7" t="s">
        <v>1268</v>
      </c>
      <c r="I1226" s="10" t="s">
        <v>1314</v>
      </c>
      <c r="J1226" s="13" t="s">
        <v>1306</v>
      </c>
      <c r="K1226" s="13" t="s">
        <v>303</v>
      </c>
      <c r="L1226" s="13" t="s">
        <v>2126</v>
      </c>
      <c r="M1226" s="6" t="s">
        <v>188</v>
      </c>
      <c r="N1226" s="6" t="s">
        <v>188</v>
      </c>
      <c r="O1226" s="6" t="s">
        <v>190</v>
      </c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</row>
    <row r="1227">
      <c r="A1227" s="12">
        <v>30.0</v>
      </c>
      <c r="B1227" s="7" t="s">
        <v>536</v>
      </c>
      <c r="C1227" s="7" t="s">
        <v>1268</v>
      </c>
      <c r="I1227" s="10" t="s">
        <v>1979</v>
      </c>
      <c r="J1227" s="13" t="s">
        <v>1308</v>
      </c>
      <c r="K1227" s="13" t="s">
        <v>303</v>
      </c>
      <c r="L1227" s="13" t="s">
        <v>2126</v>
      </c>
      <c r="M1227" s="6" t="s">
        <v>188</v>
      </c>
      <c r="N1227" s="6" t="s">
        <v>188</v>
      </c>
      <c r="O1227" s="6" t="s">
        <v>190</v>
      </c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</row>
    <row r="1228">
      <c r="A1228" s="12">
        <v>30.0</v>
      </c>
      <c r="B1228" s="7" t="s">
        <v>536</v>
      </c>
      <c r="C1228" s="7" t="s">
        <v>1268</v>
      </c>
      <c r="I1228" s="10" t="s">
        <v>501</v>
      </c>
      <c r="J1228" s="13" t="s">
        <v>1306</v>
      </c>
      <c r="K1228" s="13" t="s">
        <v>303</v>
      </c>
      <c r="L1228" s="13" t="s">
        <v>2128</v>
      </c>
      <c r="M1228" s="6" t="s">
        <v>188</v>
      </c>
      <c r="N1228" s="6" t="s">
        <v>188</v>
      </c>
      <c r="O1228" s="6" t="s">
        <v>190</v>
      </c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</row>
    <row r="1229">
      <c r="A1229" s="12">
        <v>30.0</v>
      </c>
      <c r="B1229" s="7" t="s">
        <v>536</v>
      </c>
      <c r="C1229" s="7" t="s">
        <v>1268</v>
      </c>
      <c r="I1229" s="10" t="s">
        <v>2035</v>
      </c>
      <c r="J1229" s="13" t="s">
        <v>1308</v>
      </c>
      <c r="K1229" s="13" t="s">
        <v>303</v>
      </c>
      <c r="L1229" s="13" t="s">
        <v>2127</v>
      </c>
      <c r="M1229" s="6" t="s">
        <v>188</v>
      </c>
      <c r="N1229" s="6" t="s">
        <v>188</v>
      </c>
      <c r="O1229" s="6" t="s">
        <v>190</v>
      </c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</row>
    <row r="1230">
      <c r="A1230" s="12">
        <v>30.0</v>
      </c>
      <c r="B1230" s="7" t="s">
        <v>536</v>
      </c>
      <c r="C1230" s="7" t="s">
        <v>1268</v>
      </c>
      <c r="I1230" s="10" t="s">
        <v>1146</v>
      </c>
      <c r="J1230" s="13" t="s">
        <v>1306</v>
      </c>
      <c r="K1230" s="13" t="s">
        <v>303</v>
      </c>
      <c r="L1230" s="13" t="s">
        <v>1489</v>
      </c>
      <c r="M1230" s="6" t="s">
        <v>188</v>
      </c>
      <c r="N1230" s="6" t="s">
        <v>188</v>
      </c>
      <c r="O1230" s="6" t="s">
        <v>190</v>
      </c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</row>
    <row r="1231">
      <c r="A1231" s="12">
        <v>30.0</v>
      </c>
      <c r="B1231" s="7" t="s">
        <v>536</v>
      </c>
      <c r="C1231" s="7" t="s">
        <v>1268</v>
      </c>
      <c r="I1231" s="10" t="s">
        <v>1856</v>
      </c>
      <c r="J1231" s="13" t="s">
        <v>1308</v>
      </c>
      <c r="K1231" s="13" t="s">
        <v>303</v>
      </c>
      <c r="L1231" s="13" t="s">
        <v>2126</v>
      </c>
      <c r="M1231" s="6" t="s">
        <v>188</v>
      </c>
      <c r="N1231" s="6" t="s">
        <v>188</v>
      </c>
      <c r="O1231" s="6" t="s">
        <v>190</v>
      </c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</row>
    <row r="1232">
      <c r="A1232" s="12">
        <v>30.0</v>
      </c>
      <c r="B1232" s="7" t="s">
        <v>536</v>
      </c>
      <c r="C1232" s="7" t="s">
        <v>1268</v>
      </c>
      <c r="I1232" s="10" t="s">
        <v>2019</v>
      </c>
      <c r="J1232" s="13" t="s">
        <v>1306</v>
      </c>
      <c r="K1232" s="13" t="s">
        <v>303</v>
      </c>
      <c r="L1232" s="13" t="s">
        <v>2126</v>
      </c>
      <c r="M1232" s="6" t="s">
        <v>188</v>
      </c>
      <c r="N1232" s="6" t="s">
        <v>188</v>
      </c>
      <c r="O1232" s="6" t="s">
        <v>190</v>
      </c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</row>
    <row r="1233">
      <c r="A1233" s="12">
        <v>30.0</v>
      </c>
      <c r="B1233" s="7" t="s">
        <v>536</v>
      </c>
      <c r="C1233" s="7" t="s">
        <v>1268</v>
      </c>
      <c r="I1233" s="10" t="s">
        <v>1626</v>
      </c>
      <c r="J1233" s="13" t="s">
        <v>1308</v>
      </c>
      <c r="K1233" s="13" t="s">
        <v>303</v>
      </c>
      <c r="L1233" s="13" t="s">
        <v>2126</v>
      </c>
      <c r="M1233" s="6" t="s">
        <v>188</v>
      </c>
      <c r="N1233" s="6" t="s">
        <v>188</v>
      </c>
      <c r="O1233" s="6" t="s">
        <v>190</v>
      </c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</row>
    <row r="1234">
      <c r="A1234" s="12">
        <v>30.0</v>
      </c>
      <c r="B1234" s="7" t="s">
        <v>536</v>
      </c>
      <c r="C1234" s="7" t="s">
        <v>1268</v>
      </c>
      <c r="I1234" s="10" t="s">
        <v>1493</v>
      </c>
      <c r="J1234" s="13" t="s">
        <v>1306</v>
      </c>
      <c r="K1234" s="13" t="s">
        <v>303</v>
      </c>
      <c r="L1234" s="13" t="s">
        <v>1489</v>
      </c>
      <c r="M1234" s="6" t="s">
        <v>188</v>
      </c>
      <c r="N1234" s="6" t="s">
        <v>188</v>
      </c>
      <c r="O1234" s="6" t="s">
        <v>190</v>
      </c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</row>
    <row r="1235">
      <c r="A1235" s="12">
        <v>30.0</v>
      </c>
      <c r="B1235" s="7" t="s">
        <v>536</v>
      </c>
      <c r="C1235" s="7" t="s">
        <v>1268</v>
      </c>
      <c r="I1235" s="10" t="s">
        <v>1980</v>
      </c>
      <c r="J1235" s="13" t="s">
        <v>1308</v>
      </c>
      <c r="K1235" s="13" t="s">
        <v>303</v>
      </c>
      <c r="L1235" s="13" t="s">
        <v>2126</v>
      </c>
      <c r="M1235" s="6" t="s">
        <v>188</v>
      </c>
      <c r="N1235" s="6" t="s">
        <v>188</v>
      </c>
      <c r="O1235" s="6" t="s">
        <v>190</v>
      </c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</row>
    <row r="1236">
      <c r="A1236" s="12">
        <v>30.0</v>
      </c>
      <c r="B1236" s="7" t="s">
        <v>536</v>
      </c>
      <c r="C1236" s="7" t="s">
        <v>1268</v>
      </c>
      <c r="I1236" s="10" t="s">
        <v>1369</v>
      </c>
      <c r="J1236" s="13" t="s">
        <v>1306</v>
      </c>
      <c r="K1236" s="13" t="s">
        <v>303</v>
      </c>
      <c r="L1236" s="13" t="s">
        <v>2126</v>
      </c>
      <c r="M1236" s="6" t="s">
        <v>188</v>
      </c>
      <c r="N1236" s="6" t="s">
        <v>188</v>
      </c>
      <c r="O1236" s="6" t="s">
        <v>190</v>
      </c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</row>
    <row r="1237">
      <c r="A1237" s="12">
        <v>30.0</v>
      </c>
      <c r="B1237" s="7" t="s">
        <v>536</v>
      </c>
      <c r="C1237" s="7" t="s">
        <v>1268</v>
      </c>
      <c r="I1237" s="10" t="s">
        <v>547</v>
      </c>
      <c r="J1237" s="13" t="s">
        <v>1308</v>
      </c>
      <c r="K1237" s="13" t="s">
        <v>303</v>
      </c>
      <c r="L1237" s="13" t="s">
        <v>2126</v>
      </c>
      <c r="M1237" s="6" t="s">
        <v>188</v>
      </c>
      <c r="N1237" s="6" t="s">
        <v>188</v>
      </c>
      <c r="O1237" s="6" t="s">
        <v>190</v>
      </c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</row>
    <row r="1238">
      <c r="A1238" s="12">
        <v>30.0</v>
      </c>
      <c r="B1238" s="7" t="s">
        <v>536</v>
      </c>
      <c r="C1238" s="7" t="s">
        <v>1268</v>
      </c>
      <c r="I1238" s="10" t="s">
        <v>1475</v>
      </c>
      <c r="J1238" s="13" t="s">
        <v>1306</v>
      </c>
      <c r="K1238" s="13" t="s">
        <v>303</v>
      </c>
      <c r="L1238" s="13" t="s">
        <v>2129</v>
      </c>
      <c r="M1238" s="6" t="s">
        <v>188</v>
      </c>
      <c r="N1238" s="6" t="s">
        <v>188</v>
      </c>
      <c r="O1238" s="6" t="s">
        <v>190</v>
      </c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</row>
    <row r="1239">
      <c r="A1239" s="12">
        <v>30.0</v>
      </c>
      <c r="B1239" s="7" t="s">
        <v>536</v>
      </c>
      <c r="C1239" s="7" t="s">
        <v>1268</v>
      </c>
      <c r="I1239" s="10" t="s">
        <v>2094</v>
      </c>
      <c r="J1239" s="13" t="s">
        <v>1308</v>
      </c>
      <c r="K1239" s="13" t="s">
        <v>303</v>
      </c>
      <c r="L1239" s="13" t="s">
        <v>2128</v>
      </c>
      <c r="M1239" s="6" t="s">
        <v>188</v>
      </c>
      <c r="N1239" s="6" t="s">
        <v>188</v>
      </c>
      <c r="O1239" s="6" t="s">
        <v>190</v>
      </c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</row>
    <row r="1240">
      <c r="A1240" s="12">
        <v>30.0</v>
      </c>
      <c r="B1240" s="7" t="s">
        <v>536</v>
      </c>
      <c r="C1240" s="7" t="s">
        <v>1268</v>
      </c>
      <c r="I1240" s="10" t="s">
        <v>2038</v>
      </c>
      <c r="J1240" s="13" t="s">
        <v>1306</v>
      </c>
      <c r="K1240" s="13" t="s">
        <v>303</v>
      </c>
      <c r="L1240" s="13" t="s">
        <v>2126</v>
      </c>
      <c r="M1240" s="6" t="s">
        <v>188</v>
      </c>
      <c r="N1240" s="6" t="s">
        <v>188</v>
      </c>
      <c r="O1240" s="6" t="s">
        <v>190</v>
      </c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</row>
    <row r="1241">
      <c r="A1241" s="12">
        <v>30.0</v>
      </c>
      <c r="B1241" s="7" t="s">
        <v>536</v>
      </c>
      <c r="C1241" s="7" t="s">
        <v>1268</v>
      </c>
      <c r="I1241" s="10" t="s">
        <v>2016</v>
      </c>
      <c r="J1241" s="13" t="s">
        <v>1308</v>
      </c>
      <c r="K1241" s="13" t="s">
        <v>303</v>
      </c>
      <c r="L1241" s="13" t="s">
        <v>2127</v>
      </c>
      <c r="M1241" s="6" t="s">
        <v>188</v>
      </c>
      <c r="N1241" s="6" t="s">
        <v>188</v>
      </c>
      <c r="O1241" s="6" t="s">
        <v>190</v>
      </c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</row>
    <row r="1242">
      <c r="A1242" s="12">
        <v>31.0</v>
      </c>
      <c r="B1242" s="7" t="s">
        <v>544</v>
      </c>
      <c r="C1242" s="7" t="s">
        <v>1268</v>
      </c>
      <c r="D1242" s="26">
        <f>IF(COUNTIF($B$2:$B1242,$B1242)&gt;1,"",COUNTIF($B$2:$B$3400,$B1242))</f>
        <v>30</v>
      </c>
      <c r="E1242" s="26">
        <f>IF(COUNTIF($B$2:$B1242,$B1242)&gt;1,"",COUNTIFS($B$2:$B$3400,$B1242,$K$2:$K$3400,"PHÙ HỢP CAO"))</f>
        <v>2</v>
      </c>
      <c r="F1242" s="26">
        <f>IF(COUNTIF($B$2:$B1242,$B1242)&gt;1,"",COUNTIFS($B$2:$B$3400,$B1242,$K$2:$K$3400,"CÓ THỂ ĐI"))</f>
        <v>3</v>
      </c>
      <c r="G1242" s="26">
        <f>IF(COUNTIF($B$2:$B1242,$B1242)&gt;1,"",COUNTIFS($B$2:$B$3400,$B1242,$K$2:$K$3400,"CẦN SOÁT"))</f>
        <v>25</v>
      </c>
      <c r="H1242" s="27" t="str">
        <f>IFERROR(__xludf.DUMMYFUNCTION("IF(COUNTIF($B$2:$B1242,$B1242)&gt;1,"""",IFERROR(TEXTJOIN(CHAR(10),TRUE,BYROW(QUERY({$B$2:$B$3400,$J$2:$J$3400},""select Col2, count(Col2) where Col1 = '""&amp;$B1242&amp;""' group by Col2 order by count(Col2) desc label count(Col2) ''"",0),LAMBDA(r,INDEX(r,1,1)&amp;"" "&amp;"– ""&amp;INDEX(r,1,2)&amp;"" link""))),""""))"),"Techcombank Everyday – 15 link
thẻ tín dụng Techcombank Everyday – 15 link")</f>
        <v>Techcombank Everyday – 15 link
thẻ tín dụng Techcombank Everyday – 15 link</v>
      </c>
      <c r="I1242" s="10" t="s">
        <v>1314</v>
      </c>
      <c r="J1242" s="13" t="s">
        <v>1316</v>
      </c>
      <c r="K1242" s="13" t="s">
        <v>184</v>
      </c>
      <c r="L1242" s="13" t="s">
        <v>2130</v>
      </c>
      <c r="M1242" s="6" t="s">
        <v>188</v>
      </c>
      <c r="N1242" s="6" t="s">
        <v>188</v>
      </c>
      <c r="O1242" s="6" t="s">
        <v>190</v>
      </c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</row>
    <row r="1243">
      <c r="A1243" s="12">
        <v>31.0</v>
      </c>
      <c r="B1243" s="7" t="s">
        <v>544</v>
      </c>
      <c r="C1243" s="7" t="s">
        <v>1268</v>
      </c>
      <c r="I1243" s="10" t="s">
        <v>1317</v>
      </c>
      <c r="J1243" s="13" t="s">
        <v>1319</v>
      </c>
      <c r="K1243" s="13" t="s">
        <v>184</v>
      </c>
      <c r="L1243" s="13" t="s">
        <v>2131</v>
      </c>
      <c r="M1243" s="6" t="s">
        <v>188</v>
      </c>
      <c r="N1243" s="6" t="s">
        <v>188</v>
      </c>
      <c r="O1243" s="6" t="s">
        <v>190</v>
      </c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</row>
    <row r="1244">
      <c r="A1244" s="12">
        <v>31.0</v>
      </c>
      <c r="B1244" s="7" t="s">
        <v>544</v>
      </c>
      <c r="C1244" s="7" t="s">
        <v>1268</v>
      </c>
      <c r="I1244" s="10" t="s">
        <v>1320</v>
      </c>
      <c r="J1244" s="13" t="s">
        <v>1316</v>
      </c>
      <c r="K1244" s="13" t="s">
        <v>283</v>
      </c>
      <c r="L1244" s="13" t="s">
        <v>2132</v>
      </c>
      <c r="M1244" s="6" t="s">
        <v>188</v>
      </c>
      <c r="N1244" s="6" t="s">
        <v>188</v>
      </c>
      <c r="O1244" s="6" t="s">
        <v>190</v>
      </c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</row>
    <row r="1245">
      <c r="A1245" s="12">
        <v>31.0</v>
      </c>
      <c r="B1245" s="7" t="s">
        <v>544</v>
      </c>
      <c r="C1245" s="7" t="s">
        <v>1268</v>
      </c>
      <c r="I1245" s="10" t="s">
        <v>1322</v>
      </c>
      <c r="J1245" s="13" t="s">
        <v>1319</v>
      </c>
      <c r="K1245" s="13" t="s">
        <v>283</v>
      </c>
      <c r="L1245" s="13" t="s">
        <v>2133</v>
      </c>
      <c r="M1245" s="6" t="s">
        <v>188</v>
      </c>
      <c r="N1245" s="6" t="s">
        <v>188</v>
      </c>
      <c r="O1245" s="6" t="s">
        <v>190</v>
      </c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</row>
    <row r="1246">
      <c r="A1246" s="12">
        <v>31.0</v>
      </c>
      <c r="B1246" s="7" t="s">
        <v>544</v>
      </c>
      <c r="C1246" s="7" t="s">
        <v>1268</v>
      </c>
      <c r="I1246" s="10" t="s">
        <v>1326</v>
      </c>
      <c r="J1246" s="13" t="s">
        <v>1316</v>
      </c>
      <c r="K1246" s="13" t="s">
        <v>283</v>
      </c>
      <c r="L1246" s="13" t="s">
        <v>2134</v>
      </c>
      <c r="M1246" s="6" t="s">
        <v>188</v>
      </c>
      <c r="N1246" s="6" t="s">
        <v>188</v>
      </c>
      <c r="O1246" s="6" t="s">
        <v>190</v>
      </c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</row>
    <row r="1247">
      <c r="A1247" s="12">
        <v>31.0</v>
      </c>
      <c r="B1247" s="7" t="s">
        <v>544</v>
      </c>
      <c r="C1247" s="7" t="s">
        <v>1268</v>
      </c>
      <c r="I1247" s="10" t="s">
        <v>886</v>
      </c>
      <c r="J1247" s="13" t="s">
        <v>1319</v>
      </c>
      <c r="K1247" s="13" t="s">
        <v>303</v>
      </c>
      <c r="L1247" s="13" t="s">
        <v>2126</v>
      </c>
      <c r="M1247" s="6" t="s">
        <v>188</v>
      </c>
      <c r="N1247" s="6" t="s">
        <v>188</v>
      </c>
      <c r="O1247" s="6" t="s">
        <v>190</v>
      </c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</row>
    <row r="1248">
      <c r="A1248" s="12">
        <v>31.0</v>
      </c>
      <c r="B1248" s="7" t="s">
        <v>544</v>
      </c>
      <c r="C1248" s="7" t="s">
        <v>1268</v>
      </c>
      <c r="I1248" s="10" t="s">
        <v>1615</v>
      </c>
      <c r="J1248" s="13" t="s">
        <v>1316</v>
      </c>
      <c r="K1248" s="13" t="s">
        <v>303</v>
      </c>
      <c r="L1248" s="13" t="s">
        <v>2126</v>
      </c>
      <c r="M1248" s="6" t="s">
        <v>188</v>
      </c>
      <c r="N1248" s="6" t="s">
        <v>188</v>
      </c>
      <c r="O1248" s="6" t="s">
        <v>190</v>
      </c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</row>
    <row r="1249">
      <c r="A1249" s="12">
        <v>31.0</v>
      </c>
      <c r="B1249" s="7" t="s">
        <v>544</v>
      </c>
      <c r="C1249" s="7" t="s">
        <v>1268</v>
      </c>
      <c r="I1249" s="10" t="s">
        <v>1706</v>
      </c>
      <c r="J1249" s="13" t="s">
        <v>1319</v>
      </c>
      <c r="K1249" s="13" t="s">
        <v>303</v>
      </c>
      <c r="L1249" s="13" t="s">
        <v>2126</v>
      </c>
      <c r="M1249" s="6" t="s">
        <v>188</v>
      </c>
      <c r="N1249" s="6" t="s">
        <v>188</v>
      </c>
      <c r="O1249" s="6" t="s">
        <v>190</v>
      </c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</row>
    <row r="1250">
      <c r="A1250" s="12">
        <v>31.0</v>
      </c>
      <c r="B1250" s="7" t="s">
        <v>544</v>
      </c>
      <c r="C1250" s="7" t="s">
        <v>1268</v>
      </c>
      <c r="I1250" s="10" t="s">
        <v>1347</v>
      </c>
      <c r="J1250" s="13" t="s">
        <v>1316</v>
      </c>
      <c r="K1250" s="13" t="s">
        <v>303</v>
      </c>
      <c r="L1250" s="13" t="s">
        <v>2135</v>
      </c>
      <c r="M1250" s="6" t="s">
        <v>188</v>
      </c>
      <c r="N1250" s="6" t="s">
        <v>188</v>
      </c>
      <c r="O1250" s="6" t="s">
        <v>190</v>
      </c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</row>
    <row r="1251">
      <c r="A1251" s="12">
        <v>31.0</v>
      </c>
      <c r="B1251" s="7" t="s">
        <v>544</v>
      </c>
      <c r="C1251" s="7" t="s">
        <v>1268</v>
      </c>
      <c r="I1251" s="10" t="s">
        <v>2036</v>
      </c>
      <c r="J1251" s="13" t="s">
        <v>1319</v>
      </c>
      <c r="K1251" s="13" t="s">
        <v>303</v>
      </c>
      <c r="L1251" s="13" t="s">
        <v>2126</v>
      </c>
      <c r="M1251" s="6" t="s">
        <v>188</v>
      </c>
      <c r="N1251" s="6" t="s">
        <v>188</v>
      </c>
      <c r="O1251" s="6" t="s">
        <v>190</v>
      </c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</row>
    <row r="1252">
      <c r="A1252" s="12">
        <v>31.0</v>
      </c>
      <c r="B1252" s="7" t="s">
        <v>544</v>
      </c>
      <c r="C1252" s="7" t="s">
        <v>1268</v>
      </c>
      <c r="I1252" s="10" t="s">
        <v>2037</v>
      </c>
      <c r="J1252" s="13" t="s">
        <v>1316</v>
      </c>
      <c r="K1252" s="13" t="s">
        <v>303</v>
      </c>
      <c r="L1252" s="13" t="s">
        <v>2126</v>
      </c>
      <c r="M1252" s="6" t="s">
        <v>188</v>
      </c>
      <c r="N1252" s="6" t="s">
        <v>188</v>
      </c>
      <c r="O1252" s="6" t="s">
        <v>190</v>
      </c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</row>
    <row r="1253">
      <c r="A1253" s="12">
        <v>31.0</v>
      </c>
      <c r="B1253" s="7" t="s">
        <v>544</v>
      </c>
      <c r="C1253" s="7" t="s">
        <v>1268</v>
      </c>
      <c r="I1253" s="10" t="s">
        <v>2034</v>
      </c>
      <c r="J1253" s="13" t="s">
        <v>1319</v>
      </c>
      <c r="K1253" s="13" t="s">
        <v>303</v>
      </c>
      <c r="L1253" s="13" t="s">
        <v>2126</v>
      </c>
      <c r="M1253" s="6" t="s">
        <v>188</v>
      </c>
      <c r="N1253" s="6" t="s">
        <v>188</v>
      </c>
      <c r="O1253" s="6" t="s">
        <v>190</v>
      </c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</row>
    <row r="1254">
      <c r="A1254" s="12">
        <v>31.0</v>
      </c>
      <c r="B1254" s="7" t="s">
        <v>544</v>
      </c>
      <c r="C1254" s="7" t="s">
        <v>1268</v>
      </c>
      <c r="I1254" s="10" t="s">
        <v>1979</v>
      </c>
      <c r="J1254" s="13" t="s">
        <v>1316</v>
      </c>
      <c r="K1254" s="13" t="s">
        <v>303</v>
      </c>
      <c r="L1254" s="13" t="s">
        <v>2126</v>
      </c>
      <c r="M1254" s="6" t="s">
        <v>188</v>
      </c>
      <c r="N1254" s="6" t="s">
        <v>188</v>
      </c>
      <c r="O1254" s="6" t="s">
        <v>190</v>
      </c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</row>
    <row r="1255">
      <c r="A1255" s="12">
        <v>31.0</v>
      </c>
      <c r="B1255" s="7" t="s">
        <v>544</v>
      </c>
      <c r="C1255" s="7" t="s">
        <v>1268</v>
      </c>
      <c r="I1255" s="10" t="s">
        <v>2035</v>
      </c>
      <c r="J1255" s="13" t="s">
        <v>1319</v>
      </c>
      <c r="K1255" s="13" t="s">
        <v>303</v>
      </c>
      <c r="L1255" s="13" t="s">
        <v>2126</v>
      </c>
      <c r="M1255" s="6" t="s">
        <v>188</v>
      </c>
      <c r="N1255" s="6" t="s">
        <v>188</v>
      </c>
      <c r="O1255" s="6" t="s">
        <v>190</v>
      </c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</row>
    <row r="1256">
      <c r="A1256" s="12">
        <v>31.0</v>
      </c>
      <c r="B1256" s="7" t="s">
        <v>544</v>
      </c>
      <c r="C1256" s="7" t="s">
        <v>1268</v>
      </c>
      <c r="I1256" s="10" t="s">
        <v>1856</v>
      </c>
      <c r="J1256" s="13" t="s">
        <v>1316</v>
      </c>
      <c r="K1256" s="13" t="s">
        <v>303</v>
      </c>
      <c r="L1256" s="13" t="s">
        <v>2126</v>
      </c>
      <c r="M1256" s="6" t="s">
        <v>188</v>
      </c>
      <c r="N1256" s="6" t="s">
        <v>188</v>
      </c>
      <c r="O1256" s="6" t="s">
        <v>190</v>
      </c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</row>
    <row r="1257">
      <c r="A1257" s="12">
        <v>31.0</v>
      </c>
      <c r="B1257" s="7" t="s">
        <v>544</v>
      </c>
      <c r="C1257" s="7" t="s">
        <v>1268</v>
      </c>
      <c r="I1257" s="10" t="s">
        <v>2019</v>
      </c>
      <c r="J1257" s="13" t="s">
        <v>1319</v>
      </c>
      <c r="K1257" s="13" t="s">
        <v>303</v>
      </c>
      <c r="L1257" s="13" t="s">
        <v>2126</v>
      </c>
      <c r="M1257" s="6" t="s">
        <v>188</v>
      </c>
      <c r="N1257" s="6" t="s">
        <v>188</v>
      </c>
      <c r="O1257" s="6" t="s">
        <v>190</v>
      </c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</row>
    <row r="1258">
      <c r="A1258" s="12">
        <v>31.0</v>
      </c>
      <c r="B1258" s="7" t="s">
        <v>544</v>
      </c>
      <c r="C1258" s="7" t="s">
        <v>1268</v>
      </c>
      <c r="I1258" s="10" t="s">
        <v>1626</v>
      </c>
      <c r="J1258" s="13" t="s">
        <v>1316</v>
      </c>
      <c r="K1258" s="13" t="s">
        <v>303</v>
      </c>
      <c r="L1258" s="13" t="s">
        <v>2126</v>
      </c>
      <c r="M1258" s="6" t="s">
        <v>188</v>
      </c>
      <c r="N1258" s="6" t="s">
        <v>188</v>
      </c>
      <c r="O1258" s="6" t="s">
        <v>190</v>
      </c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</row>
    <row r="1259">
      <c r="A1259" s="12">
        <v>31.0</v>
      </c>
      <c r="B1259" s="7" t="s">
        <v>544</v>
      </c>
      <c r="C1259" s="7" t="s">
        <v>1268</v>
      </c>
      <c r="I1259" s="10" t="s">
        <v>1980</v>
      </c>
      <c r="J1259" s="13" t="s">
        <v>1319</v>
      </c>
      <c r="K1259" s="13" t="s">
        <v>303</v>
      </c>
      <c r="L1259" s="13" t="s">
        <v>2126</v>
      </c>
      <c r="M1259" s="6" t="s">
        <v>188</v>
      </c>
      <c r="N1259" s="6" t="s">
        <v>188</v>
      </c>
      <c r="O1259" s="6" t="s">
        <v>190</v>
      </c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</row>
    <row r="1260">
      <c r="A1260" s="12">
        <v>31.0</v>
      </c>
      <c r="B1260" s="7" t="s">
        <v>544</v>
      </c>
      <c r="C1260" s="7" t="s">
        <v>1268</v>
      </c>
      <c r="I1260" s="10" t="s">
        <v>1369</v>
      </c>
      <c r="J1260" s="13" t="s">
        <v>1316</v>
      </c>
      <c r="K1260" s="13" t="s">
        <v>303</v>
      </c>
      <c r="L1260" s="13" t="s">
        <v>2126</v>
      </c>
      <c r="M1260" s="6" t="s">
        <v>188</v>
      </c>
      <c r="N1260" s="6" t="s">
        <v>188</v>
      </c>
      <c r="O1260" s="6" t="s">
        <v>190</v>
      </c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</row>
    <row r="1261">
      <c r="A1261" s="12">
        <v>31.0</v>
      </c>
      <c r="B1261" s="7" t="s">
        <v>544</v>
      </c>
      <c r="C1261" s="7" t="s">
        <v>1268</v>
      </c>
      <c r="I1261" s="10" t="s">
        <v>547</v>
      </c>
      <c r="J1261" s="13" t="s">
        <v>1319</v>
      </c>
      <c r="K1261" s="13" t="s">
        <v>303</v>
      </c>
      <c r="L1261" s="13" t="s">
        <v>2126</v>
      </c>
      <c r="M1261" s="6" t="s">
        <v>188</v>
      </c>
      <c r="N1261" s="6" t="s">
        <v>188</v>
      </c>
      <c r="O1261" s="6" t="s">
        <v>190</v>
      </c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</row>
    <row r="1262">
      <c r="A1262" s="12">
        <v>31.0</v>
      </c>
      <c r="B1262" s="7" t="s">
        <v>544</v>
      </c>
      <c r="C1262" s="7" t="s">
        <v>1268</v>
      </c>
      <c r="I1262" s="10" t="s">
        <v>1312</v>
      </c>
      <c r="J1262" s="13" t="s">
        <v>1316</v>
      </c>
      <c r="K1262" s="13" t="s">
        <v>303</v>
      </c>
      <c r="L1262" s="13" t="s">
        <v>2126</v>
      </c>
      <c r="M1262" s="6" t="s">
        <v>188</v>
      </c>
      <c r="N1262" s="6" t="s">
        <v>188</v>
      </c>
      <c r="O1262" s="6" t="s">
        <v>190</v>
      </c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</row>
    <row r="1263">
      <c r="A1263" s="12">
        <v>31.0</v>
      </c>
      <c r="B1263" s="7" t="s">
        <v>544</v>
      </c>
      <c r="C1263" s="7" t="s">
        <v>1268</v>
      </c>
      <c r="I1263" s="10" t="s">
        <v>2038</v>
      </c>
      <c r="J1263" s="13" t="s">
        <v>1319</v>
      </c>
      <c r="K1263" s="13" t="s">
        <v>303</v>
      </c>
      <c r="L1263" s="13" t="s">
        <v>2126</v>
      </c>
      <c r="M1263" s="6" t="s">
        <v>188</v>
      </c>
      <c r="N1263" s="6" t="s">
        <v>188</v>
      </c>
      <c r="O1263" s="6" t="s">
        <v>190</v>
      </c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</row>
    <row r="1264">
      <c r="A1264" s="12">
        <v>31.0</v>
      </c>
      <c r="B1264" s="7" t="s">
        <v>544</v>
      </c>
      <c r="C1264" s="7" t="s">
        <v>1268</v>
      </c>
      <c r="I1264" s="10" t="s">
        <v>2016</v>
      </c>
      <c r="J1264" s="13" t="s">
        <v>1316</v>
      </c>
      <c r="K1264" s="13" t="s">
        <v>303</v>
      </c>
      <c r="L1264" s="13" t="s">
        <v>2126</v>
      </c>
      <c r="M1264" s="6" t="s">
        <v>188</v>
      </c>
      <c r="N1264" s="6" t="s">
        <v>188</v>
      </c>
      <c r="O1264" s="6" t="s">
        <v>190</v>
      </c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</row>
    <row r="1265">
      <c r="A1265" s="12">
        <v>31.0</v>
      </c>
      <c r="B1265" s="7" t="s">
        <v>544</v>
      </c>
      <c r="C1265" s="7" t="s">
        <v>1268</v>
      </c>
      <c r="I1265" s="10" t="s">
        <v>1384</v>
      </c>
      <c r="J1265" s="13" t="s">
        <v>1319</v>
      </c>
      <c r="K1265" s="13" t="s">
        <v>303</v>
      </c>
      <c r="L1265" s="13" t="s">
        <v>2126</v>
      </c>
      <c r="M1265" s="6" t="s">
        <v>188</v>
      </c>
      <c r="N1265" s="6" t="s">
        <v>188</v>
      </c>
      <c r="O1265" s="6" t="s">
        <v>190</v>
      </c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</row>
    <row r="1266">
      <c r="A1266" s="12">
        <v>31.0</v>
      </c>
      <c r="B1266" s="7" t="s">
        <v>544</v>
      </c>
      <c r="C1266" s="7" t="s">
        <v>1268</v>
      </c>
      <c r="I1266" s="10" t="s">
        <v>1287</v>
      </c>
      <c r="J1266" s="13" t="s">
        <v>1316</v>
      </c>
      <c r="K1266" s="13" t="s">
        <v>303</v>
      </c>
      <c r="L1266" s="13" t="s">
        <v>2126</v>
      </c>
      <c r="M1266" s="6" t="s">
        <v>188</v>
      </c>
      <c r="N1266" s="6" t="s">
        <v>188</v>
      </c>
      <c r="O1266" s="6" t="s">
        <v>190</v>
      </c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</row>
    <row r="1267">
      <c r="A1267" s="12">
        <v>31.0</v>
      </c>
      <c r="B1267" s="7" t="s">
        <v>544</v>
      </c>
      <c r="C1267" s="7" t="s">
        <v>1268</v>
      </c>
      <c r="I1267" s="10" t="s">
        <v>1719</v>
      </c>
      <c r="J1267" s="13" t="s">
        <v>1319</v>
      </c>
      <c r="K1267" s="13" t="s">
        <v>303</v>
      </c>
      <c r="L1267" s="13" t="s">
        <v>2136</v>
      </c>
      <c r="M1267" s="6" t="s">
        <v>188</v>
      </c>
      <c r="N1267" s="6" t="s">
        <v>188</v>
      </c>
      <c r="O1267" s="6" t="s">
        <v>190</v>
      </c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</row>
    <row r="1268">
      <c r="A1268" s="12">
        <v>31.0</v>
      </c>
      <c r="B1268" s="7" t="s">
        <v>544</v>
      </c>
      <c r="C1268" s="7" t="s">
        <v>1268</v>
      </c>
      <c r="I1268" s="10" t="s">
        <v>579</v>
      </c>
      <c r="J1268" s="13" t="s">
        <v>1316</v>
      </c>
      <c r="K1268" s="13" t="s">
        <v>303</v>
      </c>
      <c r="L1268" s="13" t="s">
        <v>2135</v>
      </c>
      <c r="M1268" s="6" t="s">
        <v>188</v>
      </c>
      <c r="N1268" s="6" t="s">
        <v>188</v>
      </c>
      <c r="O1268" s="6" t="s">
        <v>190</v>
      </c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</row>
    <row r="1269">
      <c r="A1269" s="12">
        <v>31.0</v>
      </c>
      <c r="B1269" s="7" t="s">
        <v>544</v>
      </c>
      <c r="C1269" s="7" t="s">
        <v>1268</v>
      </c>
      <c r="I1269" s="10" t="s">
        <v>549</v>
      </c>
      <c r="J1269" s="13" t="s">
        <v>1319</v>
      </c>
      <c r="K1269" s="13" t="s">
        <v>303</v>
      </c>
      <c r="L1269" s="13" t="s">
        <v>2126</v>
      </c>
      <c r="M1269" s="6" t="s">
        <v>188</v>
      </c>
      <c r="N1269" s="6" t="s">
        <v>188</v>
      </c>
      <c r="O1269" s="6" t="s">
        <v>190</v>
      </c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</row>
    <row r="1270">
      <c r="A1270" s="12">
        <v>31.0</v>
      </c>
      <c r="B1270" s="7" t="s">
        <v>544</v>
      </c>
      <c r="C1270" s="7" t="s">
        <v>1268</v>
      </c>
      <c r="I1270" s="10" t="s">
        <v>2033</v>
      </c>
      <c r="J1270" s="13" t="s">
        <v>1316</v>
      </c>
      <c r="K1270" s="13" t="s">
        <v>303</v>
      </c>
      <c r="L1270" s="13" t="s">
        <v>2126</v>
      </c>
      <c r="M1270" s="6" t="s">
        <v>188</v>
      </c>
      <c r="N1270" s="6" t="s">
        <v>188</v>
      </c>
      <c r="O1270" s="6" t="s">
        <v>190</v>
      </c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</row>
    <row r="1271">
      <c r="A1271" s="12">
        <v>31.0</v>
      </c>
      <c r="B1271" s="7" t="s">
        <v>544</v>
      </c>
      <c r="C1271" s="7" t="s">
        <v>1268</v>
      </c>
      <c r="I1271" s="10" t="s">
        <v>2032</v>
      </c>
      <c r="J1271" s="13" t="s">
        <v>1319</v>
      </c>
      <c r="K1271" s="13" t="s">
        <v>303</v>
      </c>
      <c r="L1271" s="13" t="s">
        <v>2126</v>
      </c>
      <c r="M1271" s="6" t="s">
        <v>188</v>
      </c>
      <c r="N1271" s="6" t="s">
        <v>188</v>
      </c>
      <c r="O1271" s="6" t="s">
        <v>190</v>
      </c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</row>
    <row r="1272">
      <c r="A1272" s="12">
        <v>32.0</v>
      </c>
      <c r="B1272" s="7" t="s">
        <v>546</v>
      </c>
      <c r="C1272" s="7" t="s">
        <v>1268</v>
      </c>
      <c r="D1272" s="26">
        <f>IF(COUNTIF($B$2:$B1272,$B1272)&gt;1,"",COUNTIF($B$2:$B$3400,$B1272))</f>
        <v>30</v>
      </c>
      <c r="E1272" s="26">
        <f>IF(COUNTIF($B$2:$B1272,$B1272)&gt;1,"",COUNTIFS($B$2:$B$3400,$B1272,$K$2:$K$3400,"PHÙ HỢP CAO"))</f>
        <v>1</v>
      </c>
      <c r="F1272" s="26">
        <f>IF(COUNTIF($B$2:$B1272,$B1272)&gt;1,"",COUNTIFS($B$2:$B$3400,$B1272,$K$2:$K$3400,"CÓ THỂ ĐI"))</f>
        <v>4</v>
      </c>
      <c r="G1272" s="26">
        <f>IF(COUNTIF($B$2:$B1272,$B1272)&gt;1,"",COUNTIFS($B$2:$B$3400,$B1272,$K$2:$K$3400,"CẦN SOÁT"))</f>
        <v>25</v>
      </c>
      <c r="H1272" s="27" t="str">
        <f>IFERROR(__xludf.DUMMYFUNCTION("IF(COUNTIF($B$2:$B1272,$B1272)&gt;1,"""",IFERROR(TEXTJOIN(CHAR(10),TRUE,BYROW(QUERY({$B$2:$B$3400,$J$2:$J$3400},""select Col2, count(Col2) where Col1 = '""&amp;$B1272&amp;""' group by Col2 order by count(Col2) desc label count(Col2) ''"",0),LAMBDA(r,INDEX(r,1,1)&amp;"" "&amp;"– ""&amp;INDEX(r,1,2)&amp;"" link""))),""""))"),"thẻ cashback – 10 link
thẻ hoàn tiền – 10 link
thẻ tín dụng hoàn tiền – 10 link")</f>
        <v>thẻ cashback – 10 link
thẻ hoàn tiền – 10 link
thẻ tín dụng hoàn tiền – 10 link</v>
      </c>
      <c r="I1272" s="10" t="s">
        <v>1001</v>
      </c>
      <c r="J1272" s="13" t="s">
        <v>1335</v>
      </c>
      <c r="K1272" s="13" t="s">
        <v>184</v>
      </c>
      <c r="L1272" s="13" t="s">
        <v>2137</v>
      </c>
      <c r="M1272" s="6" t="s">
        <v>188</v>
      </c>
      <c r="N1272" s="6" t="s">
        <v>188</v>
      </c>
      <c r="O1272" s="6" t="s">
        <v>190</v>
      </c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</row>
    <row r="1273">
      <c r="A1273" s="12">
        <v>32.0</v>
      </c>
      <c r="B1273" s="7" t="s">
        <v>546</v>
      </c>
      <c r="C1273" s="7" t="s">
        <v>1268</v>
      </c>
      <c r="I1273" s="10" t="s">
        <v>1336</v>
      </c>
      <c r="J1273" s="13" t="s">
        <v>1339</v>
      </c>
      <c r="K1273" s="13" t="s">
        <v>283</v>
      </c>
      <c r="L1273" s="13" t="s">
        <v>2138</v>
      </c>
      <c r="M1273" s="6" t="s">
        <v>188</v>
      </c>
      <c r="N1273" s="6" t="s">
        <v>188</v>
      </c>
      <c r="O1273" s="6" t="s">
        <v>190</v>
      </c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</row>
    <row r="1274">
      <c r="A1274" s="12">
        <v>32.0</v>
      </c>
      <c r="B1274" s="7" t="s">
        <v>546</v>
      </c>
      <c r="C1274" s="7" t="s">
        <v>1268</v>
      </c>
      <c r="I1274" s="10" t="s">
        <v>1340</v>
      </c>
      <c r="J1274" s="13" t="s">
        <v>1344</v>
      </c>
      <c r="K1274" s="13" t="s">
        <v>283</v>
      </c>
      <c r="L1274" s="13" t="s">
        <v>2139</v>
      </c>
      <c r="M1274" s="6" t="s">
        <v>188</v>
      </c>
      <c r="N1274" s="6" t="s">
        <v>188</v>
      </c>
      <c r="O1274" s="6" t="s">
        <v>190</v>
      </c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</row>
    <row r="1275">
      <c r="A1275" s="12">
        <v>32.0</v>
      </c>
      <c r="B1275" s="7" t="s">
        <v>546</v>
      </c>
      <c r="C1275" s="7" t="s">
        <v>1268</v>
      </c>
      <c r="I1275" s="10" t="s">
        <v>1347</v>
      </c>
      <c r="J1275" s="13" t="s">
        <v>1335</v>
      </c>
      <c r="K1275" s="13" t="s">
        <v>283</v>
      </c>
      <c r="L1275" s="13" t="s">
        <v>2140</v>
      </c>
      <c r="M1275" s="6" t="s">
        <v>188</v>
      </c>
      <c r="N1275" s="6" t="s">
        <v>188</v>
      </c>
      <c r="O1275" s="6" t="s">
        <v>190</v>
      </c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</row>
    <row r="1276">
      <c r="A1276" s="12">
        <v>32.0</v>
      </c>
      <c r="B1276" s="7" t="s">
        <v>546</v>
      </c>
      <c r="C1276" s="7" t="s">
        <v>1268</v>
      </c>
      <c r="I1276" s="10" t="s">
        <v>1350</v>
      </c>
      <c r="J1276" s="13" t="s">
        <v>1339</v>
      </c>
      <c r="K1276" s="13" t="s">
        <v>283</v>
      </c>
      <c r="L1276" s="13" t="s">
        <v>2141</v>
      </c>
      <c r="M1276" s="6" t="s">
        <v>188</v>
      </c>
      <c r="N1276" s="6" t="s">
        <v>188</v>
      </c>
      <c r="O1276" s="6" t="s">
        <v>190</v>
      </c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</row>
    <row r="1277">
      <c r="A1277" s="12">
        <v>32.0</v>
      </c>
      <c r="B1277" s="7" t="s">
        <v>546</v>
      </c>
      <c r="C1277" s="7" t="s">
        <v>1268</v>
      </c>
      <c r="I1277" s="10" t="s">
        <v>886</v>
      </c>
      <c r="J1277" s="13" t="s">
        <v>1344</v>
      </c>
      <c r="K1277" s="13" t="s">
        <v>303</v>
      </c>
      <c r="L1277" s="13" t="s">
        <v>2126</v>
      </c>
      <c r="M1277" s="6" t="s">
        <v>188</v>
      </c>
      <c r="N1277" s="6" t="s">
        <v>188</v>
      </c>
      <c r="O1277" s="6" t="s">
        <v>190</v>
      </c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</row>
    <row r="1278">
      <c r="A1278" s="12">
        <v>32.0</v>
      </c>
      <c r="B1278" s="7" t="s">
        <v>546</v>
      </c>
      <c r="C1278" s="7" t="s">
        <v>1268</v>
      </c>
      <c r="I1278" s="10" t="s">
        <v>1615</v>
      </c>
      <c r="J1278" s="13" t="s">
        <v>1335</v>
      </c>
      <c r="K1278" s="13" t="s">
        <v>303</v>
      </c>
      <c r="L1278" s="13" t="s">
        <v>2126</v>
      </c>
      <c r="M1278" s="6" t="s">
        <v>188</v>
      </c>
      <c r="N1278" s="6" t="s">
        <v>188</v>
      </c>
      <c r="O1278" s="6" t="s">
        <v>190</v>
      </c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</row>
    <row r="1279">
      <c r="A1279" s="12">
        <v>32.0</v>
      </c>
      <c r="B1279" s="7" t="s">
        <v>546</v>
      </c>
      <c r="C1279" s="7" t="s">
        <v>1268</v>
      </c>
      <c r="I1279" s="10" t="s">
        <v>1706</v>
      </c>
      <c r="J1279" s="13" t="s">
        <v>1339</v>
      </c>
      <c r="K1279" s="13" t="s">
        <v>303</v>
      </c>
      <c r="L1279" s="13" t="s">
        <v>2142</v>
      </c>
      <c r="M1279" s="6" t="s">
        <v>188</v>
      </c>
      <c r="N1279" s="6" t="s">
        <v>188</v>
      </c>
      <c r="O1279" s="6" t="s">
        <v>190</v>
      </c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</row>
    <row r="1280">
      <c r="A1280" s="12">
        <v>32.0</v>
      </c>
      <c r="B1280" s="7" t="s">
        <v>546</v>
      </c>
      <c r="C1280" s="7" t="s">
        <v>1268</v>
      </c>
      <c r="I1280" s="10" t="s">
        <v>1322</v>
      </c>
      <c r="J1280" s="13" t="s">
        <v>1344</v>
      </c>
      <c r="K1280" s="13" t="s">
        <v>303</v>
      </c>
      <c r="L1280" s="13" t="s">
        <v>2126</v>
      </c>
      <c r="M1280" s="6" t="s">
        <v>188</v>
      </c>
      <c r="N1280" s="6" t="s">
        <v>188</v>
      </c>
      <c r="O1280" s="6" t="s">
        <v>190</v>
      </c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</row>
    <row r="1281">
      <c r="A1281" s="12">
        <v>32.0</v>
      </c>
      <c r="B1281" s="7" t="s">
        <v>546</v>
      </c>
      <c r="C1281" s="7" t="s">
        <v>1268</v>
      </c>
      <c r="I1281" s="10" t="s">
        <v>2036</v>
      </c>
      <c r="J1281" s="13" t="s">
        <v>1335</v>
      </c>
      <c r="K1281" s="13" t="s">
        <v>303</v>
      </c>
      <c r="L1281" s="13" t="s">
        <v>2126</v>
      </c>
      <c r="M1281" s="6" t="s">
        <v>188</v>
      </c>
      <c r="N1281" s="6" t="s">
        <v>188</v>
      </c>
      <c r="O1281" s="6" t="s">
        <v>190</v>
      </c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</row>
    <row r="1282">
      <c r="A1282" s="12">
        <v>32.0</v>
      </c>
      <c r="B1282" s="7" t="s">
        <v>546</v>
      </c>
      <c r="C1282" s="7" t="s">
        <v>1268</v>
      </c>
      <c r="I1282" s="10" t="s">
        <v>2037</v>
      </c>
      <c r="J1282" s="13" t="s">
        <v>1339</v>
      </c>
      <c r="K1282" s="13" t="s">
        <v>303</v>
      </c>
      <c r="L1282" s="13" t="s">
        <v>2126</v>
      </c>
      <c r="M1282" s="6" t="s">
        <v>188</v>
      </c>
      <c r="N1282" s="6" t="s">
        <v>188</v>
      </c>
      <c r="O1282" s="6" t="s">
        <v>190</v>
      </c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</row>
    <row r="1283">
      <c r="A1283" s="12">
        <v>32.0</v>
      </c>
      <c r="B1283" s="7" t="s">
        <v>546</v>
      </c>
      <c r="C1283" s="7" t="s">
        <v>1268</v>
      </c>
      <c r="I1283" s="10" t="s">
        <v>2034</v>
      </c>
      <c r="J1283" s="13" t="s">
        <v>1344</v>
      </c>
      <c r="K1283" s="13" t="s">
        <v>303</v>
      </c>
      <c r="L1283" s="13" t="s">
        <v>2126</v>
      </c>
      <c r="M1283" s="6" t="s">
        <v>188</v>
      </c>
      <c r="N1283" s="6" t="s">
        <v>188</v>
      </c>
      <c r="O1283" s="6" t="s">
        <v>190</v>
      </c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</row>
    <row r="1284">
      <c r="A1284" s="12">
        <v>32.0</v>
      </c>
      <c r="B1284" s="7" t="s">
        <v>546</v>
      </c>
      <c r="C1284" s="7" t="s">
        <v>1268</v>
      </c>
      <c r="I1284" s="10" t="s">
        <v>1314</v>
      </c>
      <c r="J1284" s="13" t="s">
        <v>1335</v>
      </c>
      <c r="K1284" s="13" t="s">
        <v>303</v>
      </c>
      <c r="L1284" s="13" t="s">
        <v>2126</v>
      </c>
      <c r="M1284" s="6" t="s">
        <v>188</v>
      </c>
      <c r="N1284" s="6" t="s">
        <v>188</v>
      </c>
      <c r="O1284" s="6" t="s">
        <v>190</v>
      </c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</row>
    <row r="1285">
      <c r="A1285" s="12">
        <v>32.0</v>
      </c>
      <c r="B1285" s="7" t="s">
        <v>546</v>
      </c>
      <c r="C1285" s="7" t="s">
        <v>1268</v>
      </c>
      <c r="I1285" s="10" t="s">
        <v>1979</v>
      </c>
      <c r="J1285" s="13" t="s">
        <v>1339</v>
      </c>
      <c r="K1285" s="13" t="s">
        <v>303</v>
      </c>
      <c r="L1285" s="13" t="s">
        <v>2126</v>
      </c>
      <c r="M1285" s="6" t="s">
        <v>188</v>
      </c>
      <c r="N1285" s="6" t="s">
        <v>188</v>
      </c>
      <c r="O1285" s="6" t="s">
        <v>190</v>
      </c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</row>
    <row r="1286">
      <c r="A1286" s="12">
        <v>32.0</v>
      </c>
      <c r="B1286" s="7" t="s">
        <v>546</v>
      </c>
      <c r="C1286" s="7" t="s">
        <v>1268</v>
      </c>
      <c r="I1286" s="10" t="s">
        <v>2035</v>
      </c>
      <c r="J1286" s="13" t="s">
        <v>1344</v>
      </c>
      <c r="K1286" s="13" t="s">
        <v>303</v>
      </c>
      <c r="L1286" s="13" t="s">
        <v>2126</v>
      </c>
      <c r="M1286" s="6" t="s">
        <v>188</v>
      </c>
      <c r="N1286" s="6" t="s">
        <v>188</v>
      </c>
      <c r="O1286" s="6" t="s">
        <v>190</v>
      </c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</row>
    <row r="1287">
      <c r="A1287" s="12">
        <v>32.0</v>
      </c>
      <c r="B1287" s="7" t="s">
        <v>546</v>
      </c>
      <c r="C1287" s="7" t="s">
        <v>1268</v>
      </c>
      <c r="I1287" s="10" t="s">
        <v>1856</v>
      </c>
      <c r="J1287" s="13" t="s">
        <v>1335</v>
      </c>
      <c r="K1287" s="13" t="s">
        <v>303</v>
      </c>
      <c r="L1287" s="13" t="s">
        <v>2126</v>
      </c>
      <c r="M1287" s="6" t="s">
        <v>188</v>
      </c>
      <c r="N1287" s="6" t="s">
        <v>188</v>
      </c>
      <c r="O1287" s="6" t="s">
        <v>190</v>
      </c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</row>
    <row r="1288">
      <c r="A1288" s="12">
        <v>32.0</v>
      </c>
      <c r="B1288" s="7" t="s">
        <v>546</v>
      </c>
      <c r="C1288" s="7" t="s">
        <v>1268</v>
      </c>
      <c r="I1288" s="10" t="s">
        <v>2019</v>
      </c>
      <c r="J1288" s="13" t="s">
        <v>1339</v>
      </c>
      <c r="K1288" s="13" t="s">
        <v>303</v>
      </c>
      <c r="L1288" s="13" t="s">
        <v>2126</v>
      </c>
      <c r="M1288" s="6" t="s">
        <v>188</v>
      </c>
      <c r="N1288" s="6" t="s">
        <v>188</v>
      </c>
      <c r="O1288" s="6" t="s">
        <v>190</v>
      </c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</row>
    <row r="1289">
      <c r="A1289" s="12">
        <v>32.0</v>
      </c>
      <c r="B1289" s="7" t="s">
        <v>546</v>
      </c>
      <c r="C1289" s="7" t="s">
        <v>1268</v>
      </c>
      <c r="I1289" s="10" t="s">
        <v>1626</v>
      </c>
      <c r="J1289" s="13" t="s">
        <v>1344</v>
      </c>
      <c r="K1289" s="13" t="s">
        <v>303</v>
      </c>
      <c r="L1289" s="13" t="s">
        <v>2126</v>
      </c>
      <c r="M1289" s="6" t="s">
        <v>188</v>
      </c>
      <c r="N1289" s="6" t="s">
        <v>188</v>
      </c>
      <c r="O1289" s="6" t="s">
        <v>190</v>
      </c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</row>
    <row r="1290">
      <c r="A1290" s="12">
        <v>32.0</v>
      </c>
      <c r="B1290" s="7" t="s">
        <v>546</v>
      </c>
      <c r="C1290" s="7" t="s">
        <v>1268</v>
      </c>
      <c r="I1290" s="10" t="s">
        <v>1980</v>
      </c>
      <c r="J1290" s="13" t="s">
        <v>1335</v>
      </c>
      <c r="K1290" s="13" t="s">
        <v>303</v>
      </c>
      <c r="L1290" s="13" t="s">
        <v>2126</v>
      </c>
      <c r="M1290" s="6" t="s">
        <v>188</v>
      </c>
      <c r="N1290" s="6" t="s">
        <v>188</v>
      </c>
      <c r="O1290" s="6" t="s">
        <v>190</v>
      </c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</row>
    <row r="1291">
      <c r="A1291" s="12">
        <v>32.0</v>
      </c>
      <c r="B1291" s="7" t="s">
        <v>546</v>
      </c>
      <c r="C1291" s="7" t="s">
        <v>1268</v>
      </c>
      <c r="I1291" s="10" t="s">
        <v>1369</v>
      </c>
      <c r="J1291" s="13" t="s">
        <v>1339</v>
      </c>
      <c r="K1291" s="13" t="s">
        <v>303</v>
      </c>
      <c r="L1291" s="13" t="s">
        <v>2126</v>
      </c>
      <c r="M1291" s="6" t="s">
        <v>188</v>
      </c>
      <c r="N1291" s="6" t="s">
        <v>188</v>
      </c>
      <c r="O1291" s="6" t="s">
        <v>190</v>
      </c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</row>
    <row r="1292">
      <c r="A1292" s="12">
        <v>32.0</v>
      </c>
      <c r="B1292" s="7" t="s">
        <v>546</v>
      </c>
      <c r="C1292" s="7" t="s">
        <v>1268</v>
      </c>
      <c r="I1292" s="10" t="s">
        <v>547</v>
      </c>
      <c r="J1292" s="13" t="s">
        <v>1344</v>
      </c>
      <c r="K1292" s="13" t="s">
        <v>303</v>
      </c>
      <c r="L1292" s="13" t="s">
        <v>2126</v>
      </c>
      <c r="M1292" s="6" t="s">
        <v>188</v>
      </c>
      <c r="N1292" s="6" t="s">
        <v>188</v>
      </c>
      <c r="O1292" s="6" t="s">
        <v>190</v>
      </c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</row>
    <row r="1293">
      <c r="A1293" s="12">
        <v>32.0</v>
      </c>
      <c r="B1293" s="7" t="s">
        <v>546</v>
      </c>
      <c r="C1293" s="7" t="s">
        <v>1268</v>
      </c>
      <c r="I1293" s="10" t="s">
        <v>1312</v>
      </c>
      <c r="J1293" s="13" t="s">
        <v>1335</v>
      </c>
      <c r="K1293" s="13" t="s">
        <v>303</v>
      </c>
      <c r="L1293" s="13" t="s">
        <v>2126</v>
      </c>
      <c r="M1293" s="6" t="s">
        <v>188</v>
      </c>
      <c r="N1293" s="6" t="s">
        <v>188</v>
      </c>
      <c r="O1293" s="6" t="s">
        <v>190</v>
      </c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</row>
    <row r="1294">
      <c r="A1294" s="12">
        <v>32.0</v>
      </c>
      <c r="B1294" s="7" t="s">
        <v>546</v>
      </c>
      <c r="C1294" s="7" t="s">
        <v>1268</v>
      </c>
      <c r="I1294" s="10" t="s">
        <v>2038</v>
      </c>
      <c r="J1294" s="13" t="s">
        <v>1339</v>
      </c>
      <c r="K1294" s="13" t="s">
        <v>303</v>
      </c>
      <c r="L1294" s="13" t="s">
        <v>2126</v>
      </c>
      <c r="M1294" s="6" t="s">
        <v>188</v>
      </c>
      <c r="N1294" s="6" t="s">
        <v>188</v>
      </c>
      <c r="O1294" s="6" t="s">
        <v>190</v>
      </c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</row>
    <row r="1295">
      <c r="A1295" s="12">
        <v>32.0</v>
      </c>
      <c r="B1295" s="7" t="s">
        <v>546</v>
      </c>
      <c r="C1295" s="7" t="s">
        <v>1268</v>
      </c>
      <c r="I1295" s="10" t="s">
        <v>2016</v>
      </c>
      <c r="J1295" s="13" t="s">
        <v>1344</v>
      </c>
      <c r="K1295" s="13" t="s">
        <v>303</v>
      </c>
      <c r="L1295" s="13" t="s">
        <v>2126</v>
      </c>
      <c r="M1295" s="6" t="s">
        <v>188</v>
      </c>
      <c r="N1295" s="6" t="s">
        <v>188</v>
      </c>
      <c r="O1295" s="6" t="s">
        <v>190</v>
      </c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</row>
    <row r="1296">
      <c r="A1296" s="12">
        <v>32.0</v>
      </c>
      <c r="B1296" s="7" t="s">
        <v>546</v>
      </c>
      <c r="C1296" s="7" t="s">
        <v>1268</v>
      </c>
      <c r="I1296" s="10" t="s">
        <v>1384</v>
      </c>
      <c r="J1296" s="13" t="s">
        <v>1335</v>
      </c>
      <c r="K1296" s="13" t="s">
        <v>303</v>
      </c>
      <c r="L1296" s="13" t="s">
        <v>2126</v>
      </c>
      <c r="M1296" s="6" t="s">
        <v>188</v>
      </c>
      <c r="N1296" s="6" t="s">
        <v>188</v>
      </c>
      <c r="O1296" s="6" t="s">
        <v>190</v>
      </c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</row>
    <row r="1297">
      <c r="A1297" s="12">
        <v>32.0</v>
      </c>
      <c r="B1297" s="7" t="s">
        <v>546</v>
      </c>
      <c r="C1297" s="7" t="s">
        <v>1268</v>
      </c>
      <c r="I1297" s="10" t="s">
        <v>1287</v>
      </c>
      <c r="J1297" s="13" t="s">
        <v>1339</v>
      </c>
      <c r="K1297" s="13" t="s">
        <v>303</v>
      </c>
      <c r="L1297" s="13" t="s">
        <v>2126</v>
      </c>
      <c r="M1297" s="6" t="s">
        <v>188</v>
      </c>
      <c r="N1297" s="6" t="s">
        <v>188</v>
      </c>
      <c r="O1297" s="6" t="s">
        <v>190</v>
      </c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</row>
    <row r="1298">
      <c r="A1298" s="12">
        <v>32.0</v>
      </c>
      <c r="B1298" s="7" t="s">
        <v>546</v>
      </c>
      <c r="C1298" s="7" t="s">
        <v>1268</v>
      </c>
      <c r="I1298" s="10" t="s">
        <v>1719</v>
      </c>
      <c r="J1298" s="13" t="s">
        <v>1344</v>
      </c>
      <c r="K1298" s="13" t="s">
        <v>303</v>
      </c>
      <c r="L1298" s="13" t="s">
        <v>2136</v>
      </c>
      <c r="M1298" s="6" t="s">
        <v>188</v>
      </c>
      <c r="N1298" s="6" t="s">
        <v>188</v>
      </c>
      <c r="O1298" s="6" t="s">
        <v>190</v>
      </c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</row>
    <row r="1299">
      <c r="A1299" s="12">
        <v>32.0</v>
      </c>
      <c r="B1299" s="7" t="s">
        <v>546</v>
      </c>
      <c r="C1299" s="7" t="s">
        <v>1268</v>
      </c>
      <c r="I1299" s="10" t="s">
        <v>579</v>
      </c>
      <c r="J1299" s="13" t="s">
        <v>1335</v>
      </c>
      <c r="K1299" s="13" t="s">
        <v>303</v>
      </c>
      <c r="L1299" s="13" t="s">
        <v>2143</v>
      </c>
      <c r="M1299" s="6" t="s">
        <v>188</v>
      </c>
      <c r="N1299" s="6" t="s">
        <v>188</v>
      </c>
      <c r="O1299" s="6" t="s">
        <v>190</v>
      </c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</row>
    <row r="1300">
      <c r="A1300" s="12">
        <v>32.0</v>
      </c>
      <c r="B1300" s="7" t="s">
        <v>546</v>
      </c>
      <c r="C1300" s="7" t="s">
        <v>1268</v>
      </c>
      <c r="I1300" s="10" t="s">
        <v>549</v>
      </c>
      <c r="J1300" s="13" t="s">
        <v>1339</v>
      </c>
      <c r="K1300" s="13" t="s">
        <v>303</v>
      </c>
      <c r="L1300" s="13" t="s">
        <v>2126</v>
      </c>
      <c r="M1300" s="6" t="s">
        <v>188</v>
      </c>
      <c r="N1300" s="6" t="s">
        <v>188</v>
      </c>
      <c r="O1300" s="6" t="s">
        <v>190</v>
      </c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</row>
    <row r="1301">
      <c r="A1301" s="12">
        <v>32.0</v>
      </c>
      <c r="B1301" s="7" t="s">
        <v>546</v>
      </c>
      <c r="C1301" s="7" t="s">
        <v>1268</v>
      </c>
      <c r="I1301" s="10" t="s">
        <v>2033</v>
      </c>
      <c r="J1301" s="13" t="s">
        <v>1344</v>
      </c>
      <c r="K1301" s="13" t="s">
        <v>303</v>
      </c>
      <c r="L1301" s="13" t="s">
        <v>2126</v>
      </c>
      <c r="M1301" s="6" t="s">
        <v>188</v>
      </c>
      <c r="N1301" s="6" t="s">
        <v>188</v>
      </c>
      <c r="O1301" s="6" t="s">
        <v>190</v>
      </c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</row>
    <row r="1302">
      <c r="A1302" s="12">
        <v>33.0</v>
      </c>
      <c r="B1302" s="7" t="s">
        <v>547</v>
      </c>
      <c r="C1302" s="7" t="s">
        <v>1268</v>
      </c>
      <c r="D1302" s="26">
        <f>IF(COUNTIF($B$2:$B1302,$B1302)&gt;1,"",COUNTIF($B$2:$B$3400,$B1302))</f>
        <v>50</v>
      </c>
      <c r="E1302" s="26">
        <f>IF(COUNTIF($B$2:$B1302,$B1302)&gt;1,"",COUNTIFS($B$2:$B$3400,$B1302,$K$2:$K$3400,"PHÙ HỢP CAO"))</f>
        <v>3</v>
      </c>
      <c r="F1302" s="26">
        <f>IF(COUNTIF($B$2:$B1302,$B1302)&gt;1,"",COUNTIFS($B$2:$B$3400,$B1302,$K$2:$K$3400,"CÓ THỂ ĐI"))</f>
        <v>2</v>
      </c>
      <c r="G1302" s="26">
        <f>IF(COUNTIF($B$2:$B1302,$B1302)&gt;1,"",COUNTIFS($B$2:$B$3400,$B1302,$K$2:$K$3400,"CẦN SOÁT"))</f>
        <v>45</v>
      </c>
      <c r="H1302" s="27" t="str">
        <f>IFERROR(__xludf.DUMMYFUNCTION("IF(COUNTIF($B$2:$B1302,$B1302)&gt;1,"""",IFERROR(TEXTJOIN(CHAR(10),TRUE,BYROW(QUERY({$B$2:$B$3400,$J$2:$J$3400},""select Col2, count(Col2) where Col1 = '""&amp;$B1302&amp;""' group by Col2 order by count(Col2) desc label count(Col2) ''"",0),LAMBDA(r,INDEX(r,1,1)&amp;"" "&amp;"– ""&amp;INDEX(r,1,2)&amp;"" link""))),""""))"),"cách hủy thẻ tín dụng – 25 link
hủy thẻ tín dụng – 25 link")</f>
        <v>cách hủy thẻ tín dụng – 25 link
hủy thẻ tín dụng – 25 link</v>
      </c>
      <c r="I1302" s="10" t="s">
        <v>1355</v>
      </c>
      <c r="J1302" s="13" t="s">
        <v>1358</v>
      </c>
      <c r="K1302" s="13" t="s">
        <v>184</v>
      </c>
      <c r="L1302" s="13" t="s">
        <v>2144</v>
      </c>
      <c r="M1302" s="6" t="s">
        <v>188</v>
      </c>
      <c r="N1302" s="6" t="s">
        <v>188</v>
      </c>
      <c r="O1302" s="6" t="s">
        <v>190</v>
      </c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</row>
    <row r="1303">
      <c r="A1303" s="12">
        <v>33.0</v>
      </c>
      <c r="B1303" s="7" t="s">
        <v>547</v>
      </c>
      <c r="C1303" s="7" t="s">
        <v>1268</v>
      </c>
      <c r="I1303" s="10" t="s">
        <v>1359</v>
      </c>
      <c r="J1303" s="13" t="s">
        <v>1363</v>
      </c>
      <c r="K1303" s="13" t="s">
        <v>184</v>
      </c>
      <c r="L1303" s="13" t="s">
        <v>2145</v>
      </c>
      <c r="M1303" s="6" t="s">
        <v>188</v>
      </c>
      <c r="N1303" s="6" t="s">
        <v>188</v>
      </c>
      <c r="O1303" s="6" t="s">
        <v>190</v>
      </c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</row>
    <row r="1304">
      <c r="A1304" s="12">
        <v>33.0</v>
      </c>
      <c r="B1304" s="7" t="s">
        <v>547</v>
      </c>
      <c r="C1304" s="7" t="s">
        <v>1268</v>
      </c>
      <c r="I1304" s="10" t="s">
        <v>1364</v>
      </c>
      <c r="J1304" s="13" t="s">
        <v>1358</v>
      </c>
      <c r="K1304" s="13" t="s">
        <v>184</v>
      </c>
      <c r="L1304" s="13" t="s">
        <v>2146</v>
      </c>
      <c r="M1304" s="6" t="s">
        <v>188</v>
      </c>
      <c r="N1304" s="6" t="s">
        <v>188</v>
      </c>
      <c r="O1304" s="6" t="s">
        <v>190</v>
      </c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</row>
    <row r="1305">
      <c r="A1305" s="12">
        <v>33.0</v>
      </c>
      <c r="B1305" s="7" t="s">
        <v>547</v>
      </c>
      <c r="C1305" s="7" t="s">
        <v>1268</v>
      </c>
      <c r="I1305" s="10" t="s">
        <v>1366</v>
      </c>
      <c r="J1305" s="13" t="s">
        <v>1363</v>
      </c>
      <c r="K1305" s="13" t="s">
        <v>283</v>
      </c>
      <c r="L1305" s="13" t="s">
        <v>2147</v>
      </c>
      <c r="M1305" s="6" t="s">
        <v>188</v>
      </c>
      <c r="N1305" s="6" t="s">
        <v>188</v>
      </c>
      <c r="O1305" s="6" t="s">
        <v>190</v>
      </c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</row>
    <row r="1306">
      <c r="A1306" s="12">
        <v>33.0</v>
      </c>
      <c r="B1306" s="7" t="s">
        <v>547</v>
      </c>
      <c r="C1306" s="7" t="s">
        <v>1268</v>
      </c>
      <c r="I1306" s="10" t="s">
        <v>1369</v>
      </c>
      <c r="J1306" s="13" t="s">
        <v>1358</v>
      </c>
      <c r="K1306" s="13" t="s">
        <v>283</v>
      </c>
      <c r="L1306" s="13" t="s">
        <v>2148</v>
      </c>
      <c r="M1306" s="6" t="s">
        <v>188</v>
      </c>
      <c r="N1306" s="6" t="s">
        <v>188</v>
      </c>
      <c r="O1306" s="6" t="s">
        <v>190</v>
      </c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</row>
    <row r="1307">
      <c r="A1307" s="12">
        <v>33.0</v>
      </c>
      <c r="B1307" s="7" t="s">
        <v>547</v>
      </c>
      <c r="C1307" s="7" t="s">
        <v>1268</v>
      </c>
      <c r="I1307" s="10" t="s">
        <v>886</v>
      </c>
      <c r="J1307" s="13" t="s">
        <v>1363</v>
      </c>
      <c r="K1307" s="13" t="s">
        <v>303</v>
      </c>
      <c r="L1307" s="13" t="s">
        <v>2126</v>
      </c>
      <c r="M1307" s="6" t="s">
        <v>188</v>
      </c>
      <c r="N1307" s="6" t="s">
        <v>188</v>
      </c>
      <c r="O1307" s="6" t="s">
        <v>190</v>
      </c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</row>
    <row r="1308">
      <c r="A1308" s="12">
        <v>33.0</v>
      </c>
      <c r="B1308" s="7" t="s">
        <v>547</v>
      </c>
      <c r="C1308" s="7" t="s">
        <v>1268</v>
      </c>
      <c r="I1308" s="10" t="s">
        <v>1615</v>
      </c>
      <c r="J1308" s="13" t="s">
        <v>1358</v>
      </c>
      <c r="K1308" s="13" t="s">
        <v>303</v>
      </c>
      <c r="L1308" s="13" t="s">
        <v>2126</v>
      </c>
      <c r="M1308" s="6" t="s">
        <v>188</v>
      </c>
      <c r="N1308" s="6" t="s">
        <v>188</v>
      </c>
      <c r="O1308" s="6" t="s">
        <v>190</v>
      </c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</row>
    <row r="1309">
      <c r="A1309" s="12">
        <v>33.0</v>
      </c>
      <c r="B1309" s="7" t="s">
        <v>547</v>
      </c>
      <c r="C1309" s="7" t="s">
        <v>1268</v>
      </c>
      <c r="I1309" s="10" t="s">
        <v>1706</v>
      </c>
      <c r="J1309" s="13" t="s">
        <v>1363</v>
      </c>
      <c r="K1309" s="13" t="s">
        <v>303</v>
      </c>
      <c r="L1309" s="13" t="s">
        <v>2126</v>
      </c>
      <c r="M1309" s="6" t="s">
        <v>188</v>
      </c>
      <c r="N1309" s="6" t="s">
        <v>188</v>
      </c>
      <c r="O1309" s="6" t="s">
        <v>190</v>
      </c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</row>
    <row r="1310">
      <c r="A1310" s="12">
        <v>33.0</v>
      </c>
      <c r="B1310" s="7" t="s">
        <v>547</v>
      </c>
      <c r="C1310" s="7" t="s">
        <v>1268</v>
      </c>
      <c r="I1310" s="10" t="s">
        <v>1322</v>
      </c>
      <c r="J1310" s="13" t="s">
        <v>1358</v>
      </c>
      <c r="K1310" s="13" t="s">
        <v>303</v>
      </c>
      <c r="L1310" s="13" t="s">
        <v>2126</v>
      </c>
      <c r="M1310" s="6" t="s">
        <v>188</v>
      </c>
      <c r="N1310" s="6" t="s">
        <v>188</v>
      </c>
      <c r="O1310" s="6" t="s">
        <v>190</v>
      </c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</row>
    <row r="1311">
      <c r="A1311" s="12">
        <v>33.0</v>
      </c>
      <c r="B1311" s="7" t="s">
        <v>547</v>
      </c>
      <c r="C1311" s="7" t="s">
        <v>1268</v>
      </c>
      <c r="I1311" s="10" t="s">
        <v>1347</v>
      </c>
      <c r="J1311" s="13" t="s">
        <v>1363</v>
      </c>
      <c r="K1311" s="13" t="s">
        <v>303</v>
      </c>
      <c r="L1311" s="13" t="s">
        <v>2149</v>
      </c>
      <c r="M1311" s="6" t="s">
        <v>188</v>
      </c>
      <c r="N1311" s="6" t="s">
        <v>188</v>
      </c>
      <c r="O1311" s="6" t="s">
        <v>190</v>
      </c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</row>
    <row r="1312">
      <c r="A1312" s="12">
        <v>33.0</v>
      </c>
      <c r="B1312" s="7" t="s">
        <v>547</v>
      </c>
      <c r="C1312" s="7" t="s">
        <v>1268</v>
      </c>
      <c r="I1312" s="10" t="s">
        <v>2036</v>
      </c>
      <c r="J1312" s="13" t="s">
        <v>1358</v>
      </c>
      <c r="K1312" s="13" t="s">
        <v>303</v>
      </c>
      <c r="L1312" s="13" t="s">
        <v>2126</v>
      </c>
      <c r="M1312" s="6" t="s">
        <v>188</v>
      </c>
      <c r="N1312" s="6" t="s">
        <v>188</v>
      </c>
      <c r="O1312" s="6" t="s">
        <v>190</v>
      </c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</row>
    <row r="1313">
      <c r="A1313" s="12">
        <v>33.0</v>
      </c>
      <c r="B1313" s="7" t="s">
        <v>547</v>
      </c>
      <c r="C1313" s="7" t="s">
        <v>1268</v>
      </c>
      <c r="I1313" s="10" t="s">
        <v>2037</v>
      </c>
      <c r="J1313" s="13" t="s">
        <v>1363</v>
      </c>
      <c r="K1313" s="13" t="s">
        <v>303</v>
      </c>
      <c r="L1313" s="13" t="s">
        <v>2126</v>
      </c>
      <c r="M1313" s="6" t="s">
        <v>188</v>
      </c>
      <c r="N1313" s="6" t="s">
        <v>188</v>
      </c>
      <c r="O1313" s="6" t="s">
        <v>190</v>
      </c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</row>
    <row r="1314">
      <c r="A1314" s="12">
        <v>33.0</v>
      </c>
      <c r="B1314" s="7" t="s">
        <v>547</v>
      </c>
      <c r="C1314" s="7" t="s">
        <v>1268</v>
      </c>
      <c r="I1314" s="10" t="s">
        <v>2034</v>
      </c>
      <c r="J1314" s="13" t="s">
        <v>1358</v>
      </c>
      <c r="K1314" s="13" t="s">
        <v>303</v>
      </c>
      <c r="L1314" s="13" t="s">
        <v>2126</v>
      </c>
      <c r="M1314" s="6" t="s">
        <v>188</v>
      </c>
      <c r="N1314" s="6" t="s">
        <v>188</v>
      </c>
      <c r="O1314" s="6" t="s">
        <v>190</v>
      </c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</row>
    <row r="1315">
      <c r="A1315" s="12">
        <v>33.0</v>
      </c>
      <c r="B1315" s="7" t="s">
        <v>547</v>
      </c>
      <c r="C1315" s="7" t="s">
        <v>1268</v>
      </c>
      <c r="I1315" s="10" t="s">
        <v>1314</v>
      </c>
      <c r="J1315" s="13" t="s">
        <v>1363</v>
      </c>
      <c r="K1315" s="13" t="s">
        <v>303</v>
      </c>
      <c r="L1315" s="13" t="s">
        <v>2126</v>
      </c>
      <c r="M1315" s="6" t="s">
        <v>188</v>
      </c>
      <c r="N1315" s="6" t="s">
        <v>188</v>
      </c>
      <c r="O1315" s="6" t="s">
        <v>190</v>
      </c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</row>
    <row r="1316">
      <c r="A1316" s="12">
        <v>33.0</v>
      </c>
      <c r="B1316" s="7" t="s">
        <v>547</v>
      </c>
      <c r="C1316" s="7" t="s">
        <v>1268</v>
      </c>
      <c r="I1316" s="10" t="s">
        <v>1979</v>
      </c>
      <c r="J1316" s="13" t="s">
        <v>1358</v>
      </c>
      <c r="K1316" s="13" t="s">
        <v>303</v>
      </c>
      <c r="L1316" s="13" t="s">
        <v>2126</v>
      </c>
      <c r="M1316" s="6" t="s">
        <v>188</v>
      </c>
      <c r="N1316" s="6" t="s">
        <v>188</v>
      </c>
      <c r="O1316" s="6" t="s">
        <v>190</v>
      </c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</row>
    <row r="1317">
      <c r="A1317" s="12">
        <v>33.0</v>
      </c>
      <c r="B1317" s="7" t="s">
        <v>547</v>
      </c>
      <c r="C1317" s="7" t="s">
        <v>1268</v>
      </c>
      <c r="I1317" s="10" t="s">
        <v>2035</v>
      </c>
      <c r="J1317" s="13" t="s">
        <v>1363</v>
      </c>
      <c r="K1317" s="13" t="s">
        <v>303</v>
      </c>
      <c r="L1317" s="13" t="s">
        <v>2126</v>
      </c>
      <c r="M1317" s="6" t="s">
        <v>188</v>
      </c>
      <c r="N1317" s="6" t="s">
        <v>188</v>
      </c>
      <c r="O1317" s="6" t="s">
        <v>190</v>
      </c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</row>
    <row r="1318">
      <c r="A1318" s="12">
        <v>33.0</v>
      </c>
      <c r="B1318" s="7" t="s">
        <v>547</v>
      </c>
      <c r="C1318" s="7" t="s">
        <v>1268</v>
      </c>
      <c r="I1318" s="10" t="s">
        <v>1856</v>
      </c>
      <c r="J1318" s="13" t="s">
        <v>1358</v>
      </c>
      <c r="K1318" s="13" t="s">
        <v>303</v>
      </c>
      <c r="L1318" s="13" t="s">
        <v>2126</v>
      </c>
      <c r="M1318" s="6" t="s">
        <v>188</v>
      </c>
      <c r="N1318" s="6" t="s">
        <v>188</v>
      </c>
      <c r="O1318" s="6" t="s">
        <v>190</v>
      </c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</row>
    <row r="1319">
      <c r="A1319" s="12">
        <v>33.0</v>
      </c>
      <c r="B1319" s="7" t="s">
        <v>547</v>
      </c>
      <c r="C1319" s="7" t="s">
        <v>1268</v>
      </c>
      <c r="I1319" s="10" t="s">
        <v>2019</v>
      </c>
      <c r="J1319" s="13" t="s">
        <v>1363</v>
      </c>
      <c r="K1319" s="13" t="s">
        <v>303</v>
      </c>
      <c r="L1319" s="13" t="s">
        <v>2126</v>
      </c>
      <c r="M1319" s="6" t="s">
        <v>188</v>
      </c>
      <c r="N1319" s="6" t="s">
        <v>188</v>
      </c>
      <c r="O1319" s="6" t="s">
        <v>190</v>
      </c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</row>
    <row r="1320">
      <c r="A1320" s="12">
        <v>33.0</v>
      </c>
      <c r="B1320" s="7" t="s">
        <v>547</v>
      </c>
      <c r="C1320" s="7" t="s">
        <v>1268</v>
      </c>
      <c r="I1320" s="10" t="s">
        <v>1626</v>
      </c>
      <c r="J1320" s="13" t="s">
        <v>1358</v>
      </c>
      <c r="K1320" s="13" t="s">
        <v>303</v>
      </c>
      <c r="L1320" s="13" t="s">
        <v>2126</v>
      </c>
      <c r="M1320" s="6" t="s">
        <v>188</v>
      </c>
      <c r="N1320" s="6" t="s">
        <v>188</v>
      </c>
      <c r="O1320" s="6" t="s">
        <v>190</v>
      </c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</row>
    <row r="1321">
      <c r="A1321" s="12">
        <v>33.0</v>
      </c>
      <c r="B1321" s="7" t="s">
        <v>547</v>
      </c>
      <c r="C1321" s="7" t="s">
        <v>1268</v>
      </c>
      <c r="I1321" s="10" t="s">
        <v>1980</v>
      </c>
      <c r="J1321" s="13" t="s">
        <v>1363</v>
      </c>
      <c r="K1321" s="13" t="s">
        <v>303</v>
      </c>
      <c r="L1321" s="13" t="s">
        <v>2126</v>
      </c>
      <c r="M1321" s="6" t="s">
        <v>188</v>
      </c>
      <c r="N1321" s="6" t="s">
        <v>188</v>
      </c>
      <c r="O1321" s="6" t="s">
        <v>190</v>
      </c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</row>
    <row r="1322">
      <c r="A1322" s="12">
        <v>33.0</v>
      </c>
      <c r="B1322" s="7" t="s">
        <v>547</v>
      </c>
      <c r="C1322" s="7" t="s">
        <v>1268</v>
      </c>
      <c r="I1322" s="10" t="s">
        <v>1312</v>
      </c>
      <c r="J1322" s="13" t="s">
        <v>1358</v>
      </c>
      <c r="K1322" s="13" t="s">
        <v>303</v>
      </c>
      <c r="L1322" s="13" t="s">
        <v>2126</v>
      </c>
      <c r="M1322" s="6" t="s">
        <v>188</v>
      </c>
      <c r="N1322" s="6" t="s">
        <v>188</v>
      </c>
      <c r="O1322" s="6" t="s">
        <v>190</v>
      </c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</row>
    <row r="1323">
      <c r="A1323" s="12">
        <v>33.0</v>
      </c>
      <c r="B1323" s="7" t="s">
        <v>547</v>
      </c>
      <c r="C1323" s="7" t="s">
        <v>1268</v>
      </c>
      <c r="I1323" s="10" t="s">
        <v>2038</v>
      </c>
      <c r="J1323" s="13" t="s">
        <v>1363</v>
      </c>
      <c r="K1323" s="13" t="s">
        <v>303</v>
      </c>
      <c r="L1323" s="13" t="s">
        <v>2126</v>
      </c>
      <c r="M1323" s="6" t="s">
        <v>188</v>
      </c>
      <c r="N1323" s="6" t="s">
        <v>188</v>
      </c>
      <c r="O1323" s="6" t="s">
        <v>190</v>
      </c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</row>
    <row r="1324">
      <c r="A1324" s="12">
        <v>33.0</v>
      </c>
      <c r="B1324" s="7" t="s">
        <v>547</v>
      </c>
      <c r="C1324" s="7" t="s">
        <v>1268</v>
      </c>
      <c r="I1324" s="10" t="s">
        <v>2016</v>
      </c>
      <c r="J1324" s="13" t="s">
        <v>1358</v>
      </c>
      <c r="K1324" s="13" t="s">
        <v>303</v>
      </c>
      <c r="L1324" s="13" t="s">
        <v>2126</v>
      </c>
      <c r="M1324" s="6" t="s">
        <v>188</v>
      </c>
      <c r="N1324" s="6" t="s">
        <v>188</v>
      </c>
      <c r="O1324" s="6" t="s">
        <v>190</v>
      </c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</row>
    <row r="1325">
      <c r="A1325" s="12">
        <v>33.0</v>
      </c>
      <c r="B1325" s="7" t="s">
        <v>547</v>
      </c>
      <c r="C1325" s="7" t="s">
        <v>1268</v>
      </c>
      <c r="I1325" s="10" t="s">
        <v>1384</v>
      </c>
      <c r="J1325" s="13" t="s">
        <v>1363</v>
      </c>
      <c r="K1325" s="13" t="s">
        <v>303</v>
      </c>
      <c r="L1325" s="13" t="s">
        <v>2126</v>
      </c>
      <c r="M1325" s="6" t="s">
        <v>188</v>
      </c>
      <c r="N1325" s="6" t="s">
        <v>188</v>
      </c>
      <c r="O1325" s="6" t="s">
        <v>190</v>
      </c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</row>
    <row r="1326">
      <c r="A1326" s="12">
        <v>33.0</v>
      </c>
      <c r="B1326" s="7" t="s">
        <v>547</v>
      </c>
      <c r="C1326" s="7" t="s">
        <v>1268</v>
      </c>
      <c r="I1326" s="10" t="s">
        <v>1287</v>
      </c>
      <c r="J1326" s="13" t="s">
        <v>1358</v>
      </c>
      <c r="K1326" s="13" t="s">
        <v>303</v>
      </c>
      <c r="L1326" s="13" t="s">
        <v>2126</v>
      </c>
      <c r="M1326" s="6" t="s">
        <v>188</v>
      </c>
      <c r="N1326" s="6" t="s">
        <v>188</v>
      </c>
      <c r="O1326" s="6" t="s">
        <v>190</v>
      </c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</row>
    <row r="1327">
      <c r="A1327" s="12">
        <v>33.0</v>
      </c>
      <c r="B1327" s="7" t="s">
        <v>547</v>
      </c>
      <c r="C1327" s="7" t="s">
        <v>1268</v>
      </c>
      <c r="I1327" s="10" t="s">
        <v>579</v>
      </c>
      <c r="J1327" s="13" t="s">
        <v>1363</v>
      </c>
      <c r="K1327" s="13" t="s">
        <v>303</v>
      </c>
      <c r="L1327" s="13" t="s">
        <v>2126</v>
      </c>
      <c r="M1327" s="6" t="s">
        <v>188</v>
      </c>
      <c r="N1327" s="6" t="s">
        <v>188</v>
      </c>
      <c r="O1327" s="6" t="s">
        <v>190</v>
      </c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</row>
    <row r="1328">
      <c r="A1328" s="12">
        <v>33.0</v>
      </c>
      <c r="B1328" s="7" t="s">
        <v>547</v>
      </c>
      <c r="C1328" s="7" t="s">
        <v>1268</v>
      </c>
      <c r="I1328" s="10" t="s">
        <v>549</v>
      </c>
      <c r="J1328" s="13" t="s">
        <v>1358</v>
      </c>
      <c r="K1328" s="13" t="s">
        <v>303</v>
      </c>
      <c r="L1328" s="13" t="s">
        <v>2126</v>
      </c>
      <c r="M1328" s="6" t="s">
        <v>188</v>
      </c>
      <c r="N1328" s="6" t="s">
        <v>188</v>
      </c>
      <c r="O1328" s="6" t="s">
        <v>190</v>
      </c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</row>
    <row r="1329">
      <c r="A1329" s="12">
        <v>33.0</v>
      </c>
      <c r="B1329" s="7" t="s">
        <v>547</v>
      </c>
      <c r="C1329" s="7" t="s">
        <v>1268</v>
      </c>
      <c r="I1329" s="10" t="s">
        <v>2033</v>
      </c>
      <c r="J1329" s="13" t="s">
        <v>1363</v>
      </c>
      <c r="K1329" s="13" t="s">
        <v>303</v>
      </c>
      <c r="L1329" s="13" t="s">
        <v>2126</v>
      </c>
      <c r="M1329" s="6" t="s">
        <v>188</v>
      </c>
      <c r="N1329" s="6" t="s">
        <v>188</v>
      </c>
      <c r="O1329" s="6" t="s">
        <v>190</v>
      </c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</row>
    <row r="1330">
      <c r="A1330" s="12">
        <v>33.0</v>
      </c>
      <c r="B1330" s="7" t="s">
        <v>547</v>
      </c>
      <c r="C1330" s="7" t="s">
        <v>1268</v>
      </c>
      <c r="I1330" s="10" t="s">
        <v>2032</v>
      </c>
      <c r="J1330" s="13" t="s">
        <v>1358</v>
      </c>
      <c r="K1330" s="13" t="s">
        <v>303</v>
      </c>
      <c r="L1330" s="13" t="s">
        <v>2126</v>
      </c>
      <c r="M1330" s="6" t="s">
        <v>188</v>
      </c>
      <c r="N1330" s="6" t="s">
        <v>188</v>
      </c>
      <c r="O1330" s="6" t="s">
        <v>190</v>
      </c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</row>
    <row r="1331">
      <c r="A1331" s="12">
        <v>33.0</v>
      </c>
      <c r="B1331" s="7" t="s">
        <v>547</v>
      </c>
      <c r="C1331" s="7" t="s">
        <v>1268</v>
      </c>
      <c r="I1331" s="10" t="s">
        <v>2026</v>
      </c>
      <c r="J1331" s="13" t="s">
        <v>1363</v>
      </c>
      <c r="K1331" s="13" t="s">
        <v>303</v>
      </c>
      <c r="L1331" s="13" t="s">
        <v>2126</v>
      </c>
      <c r="M1331" s="6" t="s">
        <v>188</v>
      </c>
      <c r="N1331" s="6" t="s">
        <v>188</v>
      </c>
      <c r="O1331" s="6" t="s">
        <v>190</v>
      </c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</row>
    <row r="1332">
      <c r="A1332" s="12">
        <v>33.0</v>
      </c>
      <c r="B1332" s="7" t="s">
        <v>547</v>
      </c>
      <c r="C1332" s="7" t="s">
        <v>1268</v>
      </c>
      <c r="I1332" s="10" t="s">
        <v>1340</v>
      </c>
      <c r="J1332" s="13" t="s">
        <v>1358</v>
      </c>
      <c r="K1332" s="13" t="s">
        <v>303</v>
      </c>
      <c r="L1332" s="13" t="s">
        <v>2126</v>
      </c>
      <c r="M1332" s="6" t="s">
        <v>188</v>
      </c>
      <c r="N1332" s="6" t="s">
        <v>188</v>
      </c>
      <c r="O1332" s="6" t="s">
        <v>190</v>
      </c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</row>
    <row r="1333">
      <c r="A1333" s="12">
        <v>33.0</v>
      </c>
      <c r="B1333" s="7" t="s">
        <v>547</v>
      </c>
      <c r="C1333" s="7" t="s">
        <v>1268</v>
      </c>
      <c r="I1333" s="10" t="s">
        <v>788</v>
      </c>
      <c r="J1333" s="13" t="s">
        <v>1363</v>
      </c>
      <c r="K1333" s="13" t="s">
        <v>303</v>
      </c>
      <c r="L1333" s="13" t="s">
        <v>2126</v>
      </c>
      <c r="M1333" s="6" t="s">
        <v>188</v>
      </c>
      <c r="N1333" s="6" t="s">
        <v>188</v>
      </c>
      <c r="O1333" s="6" t="s">
        <v>190</v>
      </c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</row>
    <row r="1334">
      <c r="A1334" s="12">
        <v>33.0</v>
      </c>
      <c r="B1334" s="7" t="s">
        <v>547</v>
      </c>
      <c r="C1334" s="7" t="s">
        <v>1268</v>
      </c>
      <c r="I1334" s="10" t="s">
        <v>1985</v>
      </c>
      <c r="J1334" s="13" t="s">
        <v>1358</v>
      </c>
      <c r="K1334" s="13" t="s">
        <v>303</v>
      </c>
      <c r="L1334" s="13" t="s">
        <v>2126</v>
      </c>
      <c r="M1334" s="6" t="s">
        <v>188</v>
      </c>
      <c r="N1334" s="6" t="s">
        <v>188</v>
      </c>
      <c r="O1334" s="6" t="s">
        <v>190</v>
      </c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</row>
    <row r="1335">
      <c r="A1335" s="12">
        <v>33.0</v>
      </c>
      <c r="B1335" s="7" t="s">
        <v>547</v>
      </c>
      <c r="C1335" s="7" t="s">
        <v>1268</v>
      </c>
      <c r="I1335" s="10" t="s">
        <v>1728</v>
      </c>
      <c r="J1335" s="13" t="s">
        <v>1363</v>
      </c>
      <c r="K1335" s="13" t="s">
        <v>303</v>
      </c>
      <c r="L1335" s="13" t="s">
        <v>2126</v>
      </c>
      <c r="M1335" s="6" t="s">
        <v>188</v>
      </c>
      <c r="N1335" s="6" t="s">
        <v>188</v>
      </c>
      <c r="O1335" s="6" t="s">
        <v>190</v>
      </c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</row>
    <row r="1336">
      <c r="A1336" s="12">
        <v>33.0</v>
      </c>
      <c r="B1336" s="7" t="s">
        <v>547</v>
      </c>
      <c r="C1336" s="7" t="s">
        <v>1268</v>
      </c>
      <c r="I1336" s="10" t="s">
        <v>1320</v>
      </c>
      <c r="J1336" s="13" t="s">
        <v>1358</v>
      </c>
      <c r="K1336" s="13" t="s">
        <v>303</v>
      </c>
      <c r="L1336" s="13" t="s">
        <v>2126</v>
      </c>
      <c r="M1336" s="6" t="s">
        <v>188</v>
      </c>
      <c r="N1336" s="6" t="s">
        <v>188</v>
      </c>
      <c r="O1336" s="6" t="s">
        <v>190</v>
      </c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</row>
    <row r="1337">
      <c r="A1337" s="12">
        <v>33.0</v>
      </c>
      <c r="B1337" s="7" t="s">
        <v>547</v>
      </c>
      <c r="C1337" s="7" t="s">
        <v>1268</v>
      </c>
      <c r="I1337" s="10" t="s">
        <v>2027</v>
      </c>
      <c r="J1337" s="13" t="s">
        <v>1363</v>
      </c>
      <c r="K1337" s="13" t="s">
        <v>303</v>
      </c>
      <c r="L1337" s="13" t="s">
        <v>2126</v>
      </c>
      <c r="M1337" s="6" t="s">
        <v>188</v>
      </c>
      <c r="N1337" s="6" t="s">
        <v>188</v>
      </c>
      <c r="O1337" s="6" t="s">
        <v>190</v>
      </c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</row>
    <row r="1338">
      <c r="A1338" s="12">
        <v>33.0</v>
      </c>
      <c r="B1338" s="7" t="s">
        <v>547</v>
      </c>
      <c r="C1338" s="7" t="s">
        <v>1268</v>
      </c>
      <c r="I1338" s="10" t="s">
        <v>1301</v>
      </c>
      <c r="J1338" s="13" t="s">
        <v>1358</v>
      </c>
      <c r="K1338" s="13" t="s">
        <v>303</v>
      </c>
      <c r="L1338" s="13" t="s">
        <v>2126</v>
      </c>
      <c r="M1338" s="6" t="s">
        <v>188</v>
      </c>
      <c r="N1338" s="6" t="s">
        <v>188</v>
      </c>
      <c r="O1338" s="6" t="s">
        <v>190</v>
      </c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</row>
    <row r="1339">
      <c r="A1339" s="12">
        <v>33.0</v>
      </c>
      <c r="B1339" s="7" t="s">
        <v>547</v>
      </c>
      <c r="C1339" s="7" t="s">
        <v>1268</v>
      </c>
      <c r="I1339" s="10" t="s">
        <v>1326</v>
      </c>
      <c r="J1339" s="13" t="s">
        <v>1363</v>
      </c>
      <c r="K1339" s="13" t="s">
        <v>303</v>
      </c>
      <c r="L1339" s="13" t="s">
        <v>2126</v>
      </c>
      <c r="M1339" s="6" t="s">
        <v>188</v>
      </c>
      <c r="N1339" s="6" t="s">
        <v>188</v>
      </c>
      <c r="O1339" s="6" t="s">
        <v>190</v>
      </c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</row>
    <row r="1340">
      <c r="A1340" s="12">
        <v>33.0</v>
      </c>
      <c r="B1340" s="7" t="s">
        <v>547</v>
      </c>
      <c r="C1340" s="7" t="s">
        <v>1268</v>
      </c>
      <c r="I1340" s="10" t="s">
        <v>2028</v>
      </c>
      <c r="J1340" s="13" t="s">
        <v>1358</v>
      </c>
      <c r="K1340" s="13" t="s">
        <v>303</v>
      </c>
      <c r="L1340" s="13" t="s">
        <v>2126</v>
      </c>
      <c r="M1340" s="6" t="s">
        <v>188</v>
      </c>
      <c r="N1340" s="6" t="s">
        <v>188</v>
      </c>
      <c r="O1340" s="6" t="s">
        <v>190</v>
      </c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</row>
    <row r="1341">
      <c r="A1341" s="12">
        <v>33.0</v>
      </c>
      <c r="B1341" s="7" t="s">
        <v>547</v>
      </c>
      <c r="C1341" s="7" t="s">
        <v>1268</v>
      </c>
      <c r="I1341" s="10" t="s">
        <v>1381</v>
      </c>
      <c r="J1341" s="13" t="s">
        <v>1363</v>
      </c>
      <c r="K1341" s="13" t="s">
        <v>303</v>
      </c>
      <c r="L1341" s="13" t="s">
        <v>2126</v>
      </c>
      <c r="M1341" s="6" t="s">
        <v>188</v>
      </c>
      <c r="N1341" s="6" t="s">
        <v>188</v>
      </c>
      <c r="O1341" s="6" t="s">
        <v>190</v>
      </c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</row>
    <row r="1342">
      <c r="A1342" s="12">
        <v>33.0</v>
      </c>
      <c r="B1342" s="7" t="s">
        <v>547</v>
      </c>
      <c r="C1342" s="7" t="s">
        <v>1268</v>
      </c>
      <c r="I1342" s="10" t="s">
        <v>2015</v>
      </c>
      <c r="J1342" s="13" t="s">
        <v>1358</v>
      </c>
      <c r="K1342" s="13" t="s">
        <v>303</v>
      </c>
      <c r="L1342" s="13" t="s">
        <v>2126</v>
      </c>
      <c r="M1342" s="6" t="s">
        <v>188</v>
      </c>
      <c r="N1342" s="6" t="s">
        <v>188</v>
      </c>
      <c r="O1342" s="6" t="s">
        <v>190</v>
      </c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</row>
    <row r="1343">
      <c r="A1343" s="12">
        <v>33.0</v>
      </c>
      <c r="B1343" s="7" t="s">
        <v>547</v>
      </c>
      <c r="C1343" s="7" t="s">
        <v>1268</v>
      </c>
      <c r="I1343" s="10" t="s">
        <v>1001</v>
      </c>
      <c r="J1343" s="13" t="s">
        <v>1363</v>
      </c>
      <c r="K1343" s="13" t="s">
        <v>303</v>
      </c>
      <c r="L1343" s="13" t="s">
        <v>2126</v>
      </c>
      <c r="M1343" s="6" t="s">
        <v>188</v>
      </c>
      <c r="N1343" s="6" t="s">
        <v>188</v>
      </c>
      <c r="O1343" s="6" t="s">
        <v>190</v>
      </c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</row>
    <row r="1344">
      <c r="A1344" s="12">
        <v>33.0</v>
      </c>
      <c r="B1344" s="7" t="s">
        <v>547</v>
      </c>
      <c r="C1344" s="7" t="s">
        <v>1268</v>
      </c>
      <c r="I1344" s="10" t="s">
        <v>1868</v>
      </c>
      <c r="J1344" s="13" t="s">
        <v>1358</v>
      </c>
      <c r="K1344" s="13" t="s">
        <v>303</v>
      </c>
      <c r="L1344" s="13" t="s">
        <v>2126</v>
      </c>
      <c r="M1344" s="6" t="s">
        <v>188</v>
      </c>
      <c r="N1344" s="6" t="s">
        <v>188</v>
      </c>
      <c r="O1344" s="6" t="s">
        <v>190</v>
      </c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</row>
    <row r="1345">
      <c r="A1345" s="12">
        <v>33.0</v>
      </c>
      <c r="B1345" s="7" t="s">
        <v>547</v>
      </c>
      <c r="C1345" s="7" t="s">
        <v>1268</v>
      </c>
      <c r="I1345" s="10" t="s">
        <v>2013</v>
      </c>
      <c r="J1345" s="13" t="s">
        <v>1363</v>
      </c>
      <c r="K1345" s="13" t="s">
        <v>303</v>
      </c>
      <c r="L1345" s="13" t="s">
        <v>2126</v>
      </c>
      <c r="M1345" s="6" t="s">
        <v>188</v>
      </c>
      <c r="N1345" s="6" t="s">
        <v>188</v>
      </c>
      <c r="O1345" s="6" t="s">
        <v>190</v>
      </c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</row>
    <row r="1346">
      <c r="A1346" s="12">
        <v>33.0</v>
      </c>
      <c r="B1346" s="7" t="s">
        <v>547</v>
      </c>
      <c r="C1346" s="7" t="s">
        <v>1268</v>
      </c>
      <c r="I1346" s="10" t="s">
        <v>536</v>
      </c>
      <c r="J1346" s="13" t="s">
        <v>1358</v>
      </c>
      <c r="K1346" s="13" t="s">
        <v>303</v>
      </c>
      <c r="L1346" s="13" t="s">
        <v>2126</v>
      </c>
      <c r="M1346" s="6" t="s">
        <v>188</v>
      </c>
      <c r="N1346" s="6" t="s">
        <v>188</v>
      </c>
      <c r="O1346" s="6" t="s">
        <v>190</v>
      </c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</row>
    <row r="1347">
      <c r="A1347" s="12">
        <v>33.0</v>
      </c>
      <c r="B1347" s="7" t="s">
        <v>547</v>
      </c>
      <c r="C1347" s="7" t="s">
        <v>1268</v>
      </c>
      <c r="I1347" s="10" t="s">
        <v>2029</v>
      </c>
      <c r="J1347" s="13" t="s">
        <v>1363</v>
      </c>
      <c r="K1347" s="13" t="s">
        <v>303</v>
      </c>
      <c r="L1347" s="13" t="s">
        <v>2126</v>
      </c>
      <c r="M1347" s="6" t="s">
        <v>188</v>
      </c>
      <c r="N1347" s="6" t="s">
        <v>188</v>
      </c>
      <c r="O1347" s="6" t="s">
        <v>190</v>
      </c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</row>
    <row r="1348">
      <c r="A1348" s="12">
        <v>33.0</v>
      </c>
      <c r="B1348" s="7" t="s">
        <v>547</v>
      </c>
      <c r="C1348" s="7" t="s">
        <v>1268</v>
      </c>
      <c r="I1348" s="10" t="s">
        <v>513</v>
      </c>
      <c r="J1348" s="13" t="s">
        <v>1358</v>
      </c>
      <c r="K1348" s="13" t="s">
        <v>303</v>
      </c>
      <c r="L1348" s="13" t="s">
        <v>2126</v>
      </c>
      <c r="M1348" s="6" t="s">
        <v>188</v>
      </c>
      <c r="N1348" s="6" t="s">
        <v>188</v>
      </c>
      <c r="O1348" s="6" t="s">
        <v>190</v>
      </c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</row>
    <row r="1349">
      <c r="A1349" s="12">
        <v>33.0</v>
      </c>
      <c r="B1349" s="7" t="s">
        <v>547</v>
      </c>
      <c r="C1349" s="7" t="s">
        <v>1268</v>
      </c>
      <c r="I1349" s="10" t="s">
        <v>1387</v>
      </c>
      <c r="J1349" s="13" t="s">
        <v>1363</v>
      </c>
      <c r="K1349" s="13" t="s">
        <v>303</v>
      </c>
      <c r="L1349" s="13" t="s">
        <v>2126</v>
      </c>
      <c r="M1349" s="6" t="s">
        <v>188</v>
      </c>
      <c r="N1349" s="6" t="s">
        <v>188</v>
      </c>
      <c r="O1349" s="6" t="s">
        <v>190</v>
      </c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</row>
    <row r="1350">
      <c r="A1350" s="12">
        <v>33.0</v>
      </c>
      <c r="B1350" s="7" t="s">
        <v>547</v>
      </c>
      <c r="C1350" s="7" t="s">
        <v>1268</v>
      </c>
      <c r="I1350" s="10" t="s">
        <v>2007</v>
      </c>
      <c r="J1350" s="13" t="s">
        <v>1358</v>
      </c>
      <c r="K1350" s="13" t="s">
        <v>303</v>
      </c>
      <c r="L1350" s="13" t="s">
        <v>2126</v>
      </c>
      <c r="M1350" s="6" t="s">
        <v>188</v>
      </c>
      <c r="N1350" s="6" t="s">
        <v>188</v>
      </c>
      <c r="O1350" s="6" t="s">
        <v>190</v>
      </c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</row>
    <row r="1351">
      <c r="A1351" s="12">
        <v>33.0</v>
      </c>
      <c r="B1351" s="7" t="s">
        <v>547</v>
      </c>
      <c r="C1351" s="7" t="s">
        <v>1268</v>
      </c>
      <c r="I1351" s="10" t="s">
        <v>2014</v>
      </c>
      <c r="J1351" s="13" t="s">
        <v>1363</v>
      </c>
      <c r="K1351" s="13" t="s">
        <v>303</v>
      </c>
      <c r="L1351" s="13" t="s">
        <v>2126</v>
      </c>
      <c r="M1351" s="6" t="s">
        <v>188</v>
      </c>
      <c r="N1351" s="6" t="s">
        <v>188</v>
      </c>
      <c r="O1351" s="6" t="s">
        <v>190</v>
      </c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</row>
    <row r="1352">
      <c r="A1352" s="12">
        <v>34.0</v>
      </c>
      <c r="B1352" s="7" t="s">
        <v>548</v>
      </c>
      <c r="C1352" s="7" t="s">
        <v>1268</v>
      </c>
      <c r="D1352" s="26">
        <f>IF(COUNTIF($B$2:$B1352,$B1352)&gt;1,"",COUNTIF($B$2:$B$3400,$B1352))</f>
        <v>30</v>
      </c>
      <c r="E1352" s="26">
        <f>IF(COUNTIF($B$2:$B1352,$B1352)&gt;1,"",COUNTIFS($B$2:$B$3400,$B1352,$K$2:$K$3400,"PHÙ HỢP CAO"))</f>
        <v>1</v>
      </c>
      <c r="F1352" s="26">
        <f>IF(COUNTIF($B$2:$B1352,$B1352)&gt;1,"",COUNTIFS($B$2:$B$3400,$B1352,$K$2:$K$3400,"CÓ THỂ ĐI"))</f>
        <v>4</v>
      </c>
      <c r="G1352" s="26">
        <f>IF(COUNTIF($B$2:$B1352,$B1352)&gt;1,"",COUNTIFS($B$2:$B$3400,$B1352,$K$2:$K$3400,"CẦN SOÁT"))</f>
        <v>25</v>
      </c>
      <c r="H1352" s="27" t="str">
        <f>IFERROR(__xludf.DUMMYFUNCTION("IF(COUNTIF($B$2:$B1352,$B1352)&gt;1,"""",IFERROR(TEXTJOIN(CHAR(10),TRUE,BYROW(QUERY({$B$2:$B$3400,$J$2:$J$3400},""select Col2, count(Col2) where Col1 = '""&amp;$B1352&amp;""' group by Col2 order by count(Col2) desc label count(Col2) ''"",0),LAMBDA(r,INDEX(r,1,1)&amp;"" "&amp;"– ""&amp;INDEX(r,1,2)&amp;"" link""))),""""))"),"xếp hạng tín dụng – 15 link
xếp hạng tín dụng cá nhân – 15 link")</f>
        <v>xếp hạng tín dụng – 15 link
xếp hạng tín dụng cá nhân – 15 link</v>
      </c>
      <c r="I1352" s="10" t="s">
        <v>1274</v>
      </c>
      <c r="J1352" s="13" t="s">
        <v>1372</v>
      </c>
      <c r="K1352" s="13" t="s">
        <v>184</v>
      </c>
      <c r="L1352" s="13" t="s">
        <v>2150</v>
      </c>
      <c r="M1352" s="6" t="s">
        <v>188</v>
      </c>
      <c r="N1352" s="6" t="s">
        <v>188</v>
      </c>
      <c r="O1352" s="6" t="s">
        <v>190</v>
      </c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</row>
    <row r="1353">
      <c r="A1353" s="12">
        <v>34.0</v>
      </c>
      <c r="B1353" s="7" t="s">
        <v>548</v>
      </c>
      <c r="C1353" s="7" t="s">
        <v>1268</v>
      </c>
      <c r="I1353" s="10" t="s">
        <v>687</v>
      </c>
      <c r="J1353" s="13" t="s">
        <v>1375</v>
      </c>
      <c r="K1353" s="13" t="s">
        <v>283</v>
      </c>
      <c r="L1353" s="13" t="s">
        <v>2151</v>
      </c>
      <c r="M1353" s="6" t="s">
        <v>188</v>
      </c>
      <c r="N1353" s="6" t="s">
        <v>188</v>
      </c>
      <c r="O1353" s="6" t="s">
        <v>190</v>
      </c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</row>
    <row r="1354">
      <c r="A1354" s="12">
        <v>34.0</v>
      </c>
      <c r="B1354" s="7" t="s">
        <v>548</v>
      </c>
      <c r="C1354" s="7" t="s">
        <v>1268</v>
      </c>
      <c r="I1354" s="10" t="s">
        <v>1377</v>
      </c>
      <c r="J1354" s="13" t="s">
        <v>1372</v>
      </c>
      <c r="K1354" s="13" t="s">
        <v>283</v>
      </c>
      <c r="L1354" s="13" t="s">
        <v>2152</v>
      </c>
      <c r="M1354" s="6" t="s">
        <v>188</v>
      </c>
      <c r="N1354" s="6" t="s">
        <v>188</v>
      </c>
      <c r="O1354" s="6" t="s">
        <v>190</v>
      </c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</row>
    <row r="1355">
      <c r="A1355" s="12">
        <v>34.0</v>
      </c>
      <c r="B1355" s="7" t="s">
        <v>548</v>
      </c>
      <c r="C1355" s="7" t="s">
        <v>1268</v>
      </c>
      <c r="I1355" s="10" t="s">
        <v>2048</v>
      </c>
      <c r="J1355" s="13" t="s">
        <v>1375</v>
      </c>
      <c r="K1355" s="13" t="s">
        <v>283</v>
      </c>
      <c r="L1355" s="13" t="s">
        <v>2153</v>
      </c>
      <c r="M1355" s="6" t="s">
        <v>188</v>
      </c>
      <c r="N1355" s="6" t="s">
        <v>188</v>
      </c>
      <c r="O1355" s="6" t="s">
        <v>190</v>
      </c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</row>
    <row r="1356">
      <c r="A1356" s="12">
        <v>34.0</v>
      </c>
      <c r="B1356" s="7" t="s">
        <v>548</v>
      </c>
      <c r="C1356" s="7" t="s">
        <v>1268</v>
      </c>
      <c r="I1356" s="10" t="s">
        <v>1918</v>
      </c>
      <c r="J1356" s="13" t="s">
        <v>1372</v>
      </c>
      <c r="K1356" s="13" t="s">
        <v>283</v>
      </c>
      <c r="L1356" s="13" t="s">
        <v>2154</v>
      </c>
      <c r="M1356" s="6" t="s">
        <v>188</v>
      </c>
      <c r="N1356" s="6" t="s">
        <v>188</v>
      </c>
      <c r="O1356" s="6" t="s">
        <v>190</v>
      </c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</row>
    <row r="1357">
      <c r="A1357" s="12">
        <v>34.0</v>
      </c>
      <c r="B1357" s="7" t="s">
        <v>548</v>
      </c>
      <c r="C1357" s="7" t="s">
        <v>1268</v>
      </c>
      <c r="I1357" s="10" t="s">
        <v>373</v>
      </c>
      <c r="J1357" s="13" t="s">
        <v>1375</v>
      </c>
      <c r="K1357" s="13" t="s">
        <v>303</v>
      </c>
      <c r="L1357" s="13" t="s">
        <v>2155</v>
      </c>
      <c r="M1357" s="6" t="s">
        <v>188</v>
      </c>
      <c r="N1357" s="6" t="s">
        <v>188</v>
      </c>
      <c r="O1357" s="6" t="s">
        <v>190</v>
      </c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</row>
    <row r="1358">
      <c r="A1358" s="12">
        <v>34.0</v>
      </c>
      <c r="B1358" s="7" t="s">
        <v>548</v>
      </c>
      <c r="C1358" s="7" t="s">
        <v>1268</v>
      </c>
      <c r="I1358" s="10" t="s">
        <v>1924</v>
      </c>
      <c r="J1358" s="13" t="s">
        <v>1372</v>
      </c>
      <c r="K1358" s="13" t="s">
        <v>303</v>
      </c>
      <c r="L1358" s="13" t="s">
        <v>1994</v>
      </c>
      <c r="M1358" s="6" t="s">
        <v>188</v>
      </c>
      <c r="N1358" s="6" t="s">
        <v>188</v>
      </c>
      <c r="O1358" s="6" t="s">
        <v>190</v>
      </c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</row>
    <row r="1359">
      <c r="A1359" s="12">
        <v>34.0</v>
      </c>
      <c r="B1359" s="7" t="s">
        <v>548</v>
      </c>
      <c r="C1359" s="7" t="s">
        <v>1268</v>
      </c>
      <c r="I1359" s="10" t="s">
        <v>1281</v>
      </c>
      <c r="J1359" s="13" t="s">
        <v>1375</v>
      </c>
      <c r="K1359" s="13" t="s">
        <v>303</v>
      </c>
      <c r="L1359" s="13" t="s">
        <v>2156</v>
      </c>
      <c r="M1359" s="6" t="s">
        <v>188</v>
      </c>
      <c r="N1359" s="6" t="s">
        <v>188</v>
      </c>
      <c r="O1359" s="6" t="s">
        <v>190</v>
      </c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</row>
    <row r="1360">
      <c r="A1360" s="12">
        <v>34.0</v>
      </c>
      <c r="B1360" s="7" t="s">
        <v>548</v>
      </c>
      <c r="C1360" s="7" t="s">
        <v>1268</v>
      </c>
      <c r="I1360" s="10" t="s">
        <v>1269</v>
      </c>
      <c r="J1360" s="13" t="s">
        <v>1372</v>
      </c>
      <c r="K1360" s="13" t="s">
        <v>303</v>
      </c>
      <c r="L1360" s="13" t="s">
        <v>2157</v>
      </c>
      <c r="M1360" s="6" t="s">
        <v>188</v>
      </c>
      <c r="N1360" s="6" t="s">
        <v>188</v>
      </c>
      <c r="O1360" s="6" t="s">
        <v>190</v>
      </c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</row>
    <row r="1361">
      <c r="A1361" s="12">
        <v>34.0</v>
      </c>
      <c r="B1361" s="7" t="s">
        <v>548</v>
      </c>
      <c r="C1361" s="7" t="s">
        <v>1268</v>
      </c>
      <c r="I1361" s="10" t="s">
        <v>627</v>
      </c>
      <c r="J1361" s="13" t="s">
        <v>1375</v>
      </c>
      <c r="K1361" s="13" t="s">
        <v>303</v>
      </c>
      <c r="L1361" s="13" t="s">
        <v>1995</v>
      </c>
      <c r="M1361" s="6" t="s">
        <v>188</v>
      </c>
      <c r="N1361" s="6" t="s">
        <v>188</v>
      </c>
      <c r="O1361" s="6" t="s">
        <v>190</v>
      </c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</row>
    <row r="1362">
      <c r="A1362" s="12">
        <v>34.0</v>
      </c>
      <c r="B1362" s="7" t="s">
        <v>548</v>
      </c>
      <c r="C1362" s="7" t="s">
        <v>1268</v>
      </c>
      <c r="I1362" s="10" t="s">
        <v>1996</v>
      </c>
      <c r="J1362" s="13" t="s">
        <v>1372</v>
      </c>
      <c r="K1362" s="13" t="s">
        <v>303</v>
      </c>
      <c r="L1362" s="13" t="s">
        <v>1997</v>
      </c>
      <c r="M1362" s="6" t="s">
        <v>188</v>
      </c>
      <c r="N1362" s="6" t="s">
        <v>188</v>
      </c>
      <c r="O1362" s="6" t="s">
        <v>190</v>
      </c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</row>
    <row r="1363">
      <c r="A1363" s="12">
        <v>34.0</v>
      </c>
      <c r="B1363" s="7" t="s">
        <v>548</v>
      </c>
      <c r="C1363" s="7" t="s">
        <v>1268</v>
      </c>
      <c r="I1363" s="10" t="s">
        <v>660</v>
      </c>
      <c r="J1363" s="13" t="s">
        <v>1375</v>
      </c>
      <c r="K1363" s="13" t="s">
        <v>303</v>
      </c>
      <c r="L1363" s="13" t="s">
        <v>1997</v>
      </c>
      <c r="M1363" s="6" t="s">
        <v>188</v>
      </c>
      <c r="N1363" s="6" t="s">
        <v>188</v>
      </c>
      <c r="O1363" s="6" t="s">
        <v>190</v>
      </c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</row>
    <row r="1364">
      <c r="A1364" s="12">
        <v>34.0</v>
      </c>
      <c r="B1364" s="7" t="s">
        <v>548</v>
      </c>
      <c r="C1364" s="7" t="s">
        <v>1268</v>
      </c>
      <c r="I1364" s="10" t="s">
        <v>1148</v>
      </c>
      <c r="J1364" s="13" t="s">
        <v>1372</v>
      </c>
      <c r="K1364" s="13" t="s">
        <v>303</v>
      </c>
      <c r="L1364" s="13" t="s">
        <v>1998</v>
      </c>
      <c r="M1364" s="6" t="s">
        <v>188</v>
      </c>
      <c r="N1364" s="6" t="s">
        <v>188</v>
      </c>
      <c r="O1364" s="6" t="s">
        <v>190</v>
      </c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</row>
    <row r="1365">
      <c r="A1365" s="12">
        <v>34.0</v>
      </c>
      <c r="B1365" s="7" t="s">
        <v>548</v>
      </c>
      <c r="C1365" s="7" t="s">
        <v>1268</v>
      </c>
      <c r="I1365" s="10" t="s">
        <v>1384</v>
      </c>
      <c r="J1365" s="13" t="s">
        <v>1375</v>
      </c>
      <c r="K1365" s="13" t="s">
        <v>303</v>
      </c>
      <c r="L1365" s="13" t="s">
        <v>1998</v>
      </c>
      <c r="M1365" s="6" t="s">
        <v>188</v>
      </c>
      <c r="N1365" s="6" t="s">
        <v>188</v>
      </c>
      <c r="O1365" s="6" t="s">
        <v>190</v>
      </c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</row>
    <row r="1366">
      <c r="A1366" s="12">
        <v>34.0</v>
      </c>
      <c r="B1366" s="7" t="s">
        <v>548</v>
      </c>
      <c r="C1366" s="7" t="s">
        <v>1268</v>
      </c>
      <c r="I1366" s="10" t="s">
        <v>1722</v>
      </c>
      <c r="J1366" s="13" t="s">
        <v>1372</v>
      </c>
      <c r="K1366" s="13" t="s">
        <v>303</v>
      </c>
      <c r="L1366" s="13" t="s">
        <v>2155</v>
      </c>
      <c r="M1366" s="6" t="s">
        <v>188</v>
      </c>
      <c r="N1366" s="6" t="s">
        <v>188</v>
      </c>
      <c r="O1366" s="6" t="s">
        <v>190</v>
      </c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</row>
    <row r="1367">
      <c r="A1367" s="12">
        <v>34.0</v>
      </c>
      <c r="B1367" s="7" t="s">
        <v>548</v>
      </c>
      <c r="C1367" s="7" t="s">
        <v>1268</v>
      </c>
      <c r="I1367" s="10" t="s">
        <v>1500</v>
      </c>
      <c r="J1367" s="13" t="s">
        <v>1375</v>
      </c>
      <c r="K1367" s="13" t="s">
        <v>303</v>
      </c>
      <c r="L1367" s="13" t="s">
        <v>1997</v>
      </c>
      <c r="M1367" s="6" t="s">
        <v>188</v>
      </c>
      <c r="N1367" s="6" t="s">
        <v>188</v>
      </c>
      <c r="O1367" s="6" t="s">
        <v>190</v>
      </c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</row>
    <row r="1368">
      <c r="A1368" s="12">
        <v>34.0</v>
      </c>
      <c r="B1368" s="7" t="s">
        <v>548</v>
      </c>
      <c r="C1368" s="7" t="s">
        <v>1268</v>
      </c>
      <c r="I1368" s="10" t="s">
        <v>1596</v>
      </c>
      <c r="J1368" s="13" t="s">
        <v>1372</v>
      </c>
      <c r="K1368" s="13" t="s">
        <v>303</v>
      </c>
      <c r="L1368" s="13" t="s">
        <v>2155</v>
      </c>
      <c r="M1368" s="6" t="s">
        <v>188</v>
      </c>
      <c r="N1368" s="6" t="s">
        <v>188</v>
      </c>
      <c r="O1368" s="6" t="s">
        <v>190</v>
      </c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</row>
    <row r="1369">
      <c r="A1369" s="12">
        <v>34.0</v>
      </c>
      <c r="B1369" s="7" t="s">
        <v>548</v>
      </c>
      <c r="C1369" s="7" t="s">
        <v>1268</v>
      </c>
      <c r="I1369" s="10" t="s">
        <v>1381</v>
      </c>
      <c r="J1369" s="13" t="s">
        <v>1375</v>
      </c>
      <c r="K1369" s="13" t="s">
        <v>303</v>
      </c>
      <c r="L1369" s="13" t="s">
        <v>1997</v>
      </c>
      <c r="M1369" s="6" t="s">
        <v>188</v>
      </c>
      <c r="N1369" s="6" t="s">
        <v>188</v>
      </c>
      <c r="O1369" s="6" t="s">
        <v>190</v>
      </c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</row>
    <row r="1370">
      <c r="A1370" s="12">
        <v>34.0</v>
      </c>
      <c r="B1370" s="7" t="s">
        <v>548</v>
      </c>
      <c r="C1370" s="7" t="s">
        <v>1268</v>
      </c>
      <c r="I1370" s="10" t="s">
        <v>1999</v>
      </c>
      <c r="J1370" s="13" t="s">
        <v>1372</v>
      </c>
      <c r="K1370" s="13" t="s">
        <v>303</v>
      </c>
      <c r="L1370" s="13" t="s">
        <v>2000</v>
      </c>
      <c r="M1370" s="6" t="s">
        <v>188</v>
      </c>
      <c r="N1370" s="6" t="s">
        <v>188</v>
      </c>
      <c r="O1370" s="6" t="s">
        <v>190</v>
      </c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</row>
    <row r="1371">
      <c r="A1371" s="12">
        <v>34.0</v>
      </c>
      <c r="B1371" s="7" t="s">
        <v>548</v>
      </c>
      <c r="C1371" s="7" t="s">
        <v>1268</v>
      </c>
      <c r="I1371" s="10" t="s">
        <v>404</v>
      </c>
      <c r="J1371" s="13" t="s">
        <v>1375</v>
      </c>
      <c r="K1371" s="13" t="s">
        <v>303</v>
      </c>
      <c r="L1371" s="13" t="s">
        <v>2155</v>
      </c>
      <c r="M1371" s="6" t="s">
        <v>188</v>
      </c>
      <c r="N1371" s="6" t="s">
        <v>188</v>
      </c>
      <c r="O1371" s="6" t="s">
        <v>190</v>
      </c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</row>
    <row r="1372">
      <c r="A1372" s="12">
        <v>34.0</v>
      </c>
      <c r="B1372" s="7" t="s">
        <v>548</v>
      </c>
      <c r="C1372" s="7" t="s">
        <v>1268</v>
      </c>
      <c r="I1372" s="10" t="s">
        <v>1277</v>
      </c>
      <c r="J1372" s="13" t="s">
        <v>1372</v>
      </c>
      <c r="K1372" s="13" t="s">
        <v>303</v>
      </c>
      <c r="L1372" s="13" t="s">
        <v>2158</v>
      </c>
      <c r="M1372" s="6" t="s">
        <v>188</v>
      </c>
      <c r="N1372" s="6" t="s">
        <v>188</v>
      </c>
      <c r="O1372" s="6" t="s">
        <v>190</v>
      </c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</row>
    <row r="1373">
      <c r="A1373" s="12">
        <v>34.0</v>
      </c>
      <c r="B1373" s="7" t="s">
        <v>548</v>
      </c>
      <c r="C1373" s="7" t="s">
        <v>1268</v>
      </c>
      <c r="I1373" s="10" t="s">
        <v>513</v>
      </c>
      <c r="J1373" s="13" t="s">
        <v>1375</v>
      </c>
      <c r="K1373" s="13" t="s">
        <v>303</v>
      </c>
      <c r="L1373" s="13" t="s">
        <v>2159</v>
      </c>
      <c r="M1373" s="6" t="s">
        <v>188</v>
      </c>
      <c r="N1373" s="6" t="s">
        <v>188</v>
      </c>
      <c r="O1373" s="6" t="s">
        <v>190</v>
      </c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</row>
    <row r="1374">
      <c r="A1374" s="12">
        <v>34.0</v>
      </c>
      <c r="B1374" s="7" t="s">
        <v>548</v>
      </c>
      <c r="C1374" s="7" t="s">
        <v>1268</v>
      </c>
      <c r="I1374" s="10" t="s">
        <v>1366</v>
      </c>
      <c r="J1374" s="13" t="s">
        <v>1372</v>
      </c>
      <c r="K1374" s="13" t="s">
        <v>303</v>
      </c>
      <c r="L1374" s="13" t="s">
        <v>1997</v>
      </c>
      <c r="M1374" s="6" t="s">
        <v>188</v>
      </c>
      <c r="N1374" s="6" t="s">
        <v>188</v>
      </c>
      <c r="O1374" s="6" t="s">
        <v>190</v>
      </c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</row>
    <row r="1375">
      <c r="A1375" s="12">
        <v>34.0</v>
      </c>
      <c r="B1375" s="7" t="s">
        <v>548</v>
      </c>
      <c r="C1375" s="7" t="s">
        <v>1268</v>
      </c>
      <c r="I1375" s="10" t="s">
        <v>1890</v>
      </c>
      <c r="J1375" s="13" t="s">
        <v>1375</v>
      </c>
      <c r="K1375" s="13" t="s">
        <v>303</v>
      </c>
      <c r="L1375" s="13" t="s">
        <v>1995</v>
      </c>
      <c r="M1375" s="6" t="s">
        <v>188</v>
      </c>
      <c r="N1375" s="6" t="s">
        <v>188</v>
      </c>
      <c r="O1375" s="6" t="s">
        <v>190</v>
      </c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</row>
    <row r="1376">
      <c r="A1376" s="12">
        <v>34.0</v>
      </c>
      <c r="B1376" s="7" t="s">
        <v>548</v>
      </c>
      <c r="C1376" s="7" t="s">
        <v>1268</v>
      </c>
      <c r="I1376" s="10" t="s">
        <v>1391</v>
      </c>
      <c r="J1376" s="13" t="s">
        <v>1372</v>
      </c>
      <c r="K1376" s="13" t="s">
        <v>303</v>
      </c>
      <c r="L1376" s="13" t="s">
        <v>1997</v>
      </c>
      <c r="M1376" s="6" t="s">
        <v>188</v>
      </c>
      <c r="N1376" s="6" t="s">
        <v>188</v>
      </c>
      <c r="O1376" s="6" t="s">
        <v>190</v>
      </c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</row>
    <row r="1377">
      <c r="A1377" s="12">
        <v>34.0</v>
      </c>
      <c r="B1377" s="7" t="s">
        <v>548</v>
      </c>
      <c r="C1377" s="7" t="s">
        <v>1268</v>
      </c>
      <c r="I1377" s="10" t="s">
        <v>2001</v>
      </c>
      <c r="J1377" s="13" t="s">
        <v>1375</v>
      </c>
      <c r="K1377" s="13" t="s">
        <v>303</v>
      </c>
      <c r="L1377" s="13" t="s">
        <v>1994</v>
      </c>
      <c r="M1377" s="6" t="s">
        <v>188</v>
      </c>
      <c r="N1377" s="6" t="s">
        <v>188</v>
      </c>
      <c r="O1377" s="6" t="s">
        <v>190</v>
      </c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</row>
    <row r="1378">
      <c r="A1378" s="12">
        <v>34.0</v>
      </c>
      <c r="B1378" s="7" t="s">
        <v>548</v>
      </c>
      <c r="C1378" s="7" t="s">
        <v>1268</v>
      </c>
      <c r="I1378" s="10" t="s">
        <v>604</v>
      </c>
      <c r="J1378" s="13" t="s">
        <v>1372</v>
      </c>
      <c r="K1378" s="13" t="s">
        <v>303</v>
      </c>
      <c r="L1378" s="13" t="s">
        <v>1994</v>
      </c>
      <c r="M1378" s="6" t="s">
        <v>188</v>
      </c>
      <c r="N1378" s="6" t="s">
        <v>188</v>
      </c>
      <c r="O1378" s="6" t="s">
        <v>190</v>
      </c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</row>
    <row r="1379">
      <c r="A1379" s="12">
        <v>34.0</v>
      </c>
      <c r="B1379" s="7" t="s">
        <v>548</v>
      </c>
      <c r="C1379" s="7" t="s">
        <v>1268</v>
      </c>
      <c r="I1379" s="10" t="s">
        <v>1894</v>
      </c>
      <c r="J1379" s="13" t="s">
        <v>1375</v>
      </c>
      <c r="K1379" s="13" t="s">
        <v>303</v>
      </c>
      <c r="L1379" s="13" t="s">
        <v>2160</v>
      </c>
      <c r="M1379" s="6" t="s">
        <v>188</v>
      </c>
      <c r="N1379" s="6" t="s">
        <v>188</v>
      </c>
      <c r="O1379" s="6" t="s">
        <v>190</v>
      </c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</row>
    <row r="1380">
      <c r="A1380" s="12">
        <v>34.0</v>
      </c>
      <c r="B1380" s="7" t="s">
        <v>548</v>
      </c>
      <c r="C1380" s="7" t="s">
        <v>1268</v>
      </c>
      <c r="I1380" s="10" t="s">
        <v>437</v>
      </c>
      <c r="J1380" s="13" t="s">
        <v>1372</v>
      </c>
      <c r="K1380" s="13" t="s">
        <v>303</v>
      </c>
      <c r="L1380" s="13" t="s">
        <v>2155</v>
      </c>
      <c r="M1380" s="6" t="s">
        <v>188</v>
      </c>
      <c r="N1380" s="6" t="s">
        <v>188</v>
      </c>
      <c r="O1380" s="6" t="s">
        <v>190</v>
      </c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</row>
    <row r="1381">
      <c r="A1381" s="12">
        <v>34.0</v>
      </c>
      <c r="B1381" s="7" t="s">
        <v>548</v>
      </c>
      <c r="C1381" s="7" t="s">
        <v>1268</v>
      </c>
      <c r="I1381" s="10" t="s">
        <v>1156</v>
      </c>
      <c r="J1381" s="13" t="s">
        <v>1375</v>
      </c>
      <c r="K1381" s="13" t="s">
        <v>303</v>
      </c>
      <c r="L1381" s="13" t="s">
        <v>2161</v>
      </c>
      <c r="M1381" s="6" t="s">
        <v>188</v>
      </c>
      <c r="N1381" s="6" t="s">
        <v>188</v>
      </c>
      <c r="O1381" s="6" t="s">
        <v>190</v>
      </c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</row>
    <row r="1382">
      <c r="A1382" s="12">
        <v>35.0</v>
      </c>
      <c r="B1382" s="7" t="s">
        <v>549</v>
      </c>
      <c r="C1382" s="7" t="s">
        <v>1268</v>
      </c>
      <c r="D1382" s="26">
        <f>IF(COUNTIF($B$2:$B1382,$B1382)&gt;1,"",COUNTIF($B$2:$B$3400,$B1382))</f>
        <v>30</v>
      </c>
      <c r="E1382" s="26">
        <f>IF(COUNTIF($B$2:$B1382,$B1382)&gt;1,"",COUNTIFS($B$2:$B$3400,$B1382,$K$2:$K$3400,"PHÙ HỢP CAO"))</f>
        <v>5</v>
      </c>
      <c r="F1382" s="26">
        <f>IF(COUNTIF($B$2:$B1382,$B1382)&gt;1,"",COUNTIFS($B$2:$B$3400,$B1382,$K$2:$K$3400,"CÓ THỂ ĐI"))</f>
        <v>0</v>
      </c>
      <c r="G1382" s="26">
        <f>IF(COUNTIF($B$2:$B1382,$B1382)&gt;1,"",COUNTIFS($B$2:$B$3400,$B1382,$K$2:$K$3400,"CẦN SOÁT"))</f>
        <v>25</v>
      </c>
      <c r="H1382" s="27" t="str">
        <f>IFERROR(__xludf.DUMMYFUNCTION("IF(COUNTIF($B$2:$B1382,$B1382)&gt;1,"""",IFERROR(TEXTJOIN(CHAR(10),TRUE,BYROW(QUERY({$B$2:$B$3400,$J$2:$J$3400},""select Col2, count(Col2) where Col1 = '""&amp;$B1382&amp;""' group by Col2 order by count(Col2) desc label count(Col2) ''"",0),LAMBDA(r,INDEX(r,1,1)&amp;"" "&amp;"– ""&amp;INDEX(r,1,2)&amp;"" link""))),""""))"),"cách thanh toán thẻ tín dụng – 10 link
thanh toán dư nợ thẻ tín dụng – 10 link
trả nợ thẻ tín dụng – 10 link")</f>
        <v>cách thanh toán thẻ tín dụng – 10 link
thanh toán dư nợ thẻ tín dụng – 10 link
trả nợ thẻ tín dụng – 10 link</v>
      </c>
      <c r="I1382" s="10" t="s">
        <v>1381</v>
      </c>
      <c r="J1382" s="13" t="s">
        <v>1383</v>
      </c>
      <c r="K1382" s="13" t="s">
        <v>184</v>
      </c>
      <c r="L1382" s="13" t="s">
        <v>2162</v>
      </c>
      <c r="M1382" s="6" t="s">
        <v>188</v>
      </c>
      <c r="N1382" s="6" t="s">
        <v>188</v>
      </c>
      <c r="O1382" s="6" t="s">
        <v>190</v>
      </c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</row>
    <row r="1383">
      <c r="A1383" s="12">
        <v>35.0</v>
      </c>
      <c r="B1383" s="7" t="s">
        <v>549</v>
      </c>
      <c r="C1383" s="7" t="s">
        <v>1268</v>
      </c>
      <c r="I1383" s="10" t="s">
        <v>1384</v>
      </c>
      <c r="J1383" s="13" t="s">
        <v>1386</v>
      </c>
      <c r="K1383" s="13" t="s">
        <v>184</v>
      </c>
      <c r="L1383" s="13" t="s">
        <v>2163</v>
      </c>
      <c r="M1383" s="6" t="s">
        <v>188</v>
      </c>
      <c r="N1383" s="6" t="s">
        <v>188</v>
      </c>
      <c r="O1383" s="6" t="s">
        <v>190</v>
      </c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</row>
    <row r="1384">
      <c r="A1384" s="12">
        <v>35.0</v>
      </c>
      <c r="B1384" s="7" t="s">
        <v>549</v>
      </c>
      <c r="C1384" s="7" t="s">
        <v>1268</v>
      </c>
      <c r="I1384" s="10" t="s">
        <v>1387</v>
      </c>
      <c r="J1384" s="13" t="s">
        <v>1389</v>
      </c>
      <c r="K1384" s="13" t="s">
        <v>184</v>
      </c>
      <c r="L1384" s="13" t="s">
        <v>2164</v>
      </c>
      <c r="M1384" s="6" t="s">
        <v>188</v>
      </c>
      <c r="N1384" s="6" t="s">
        <v>188</v>
      </c>
      <c r="O1384" s="6" t="s">
        <v>190</v>
      </c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</row>
    <row r="1385">
      <c r="A1385" s="12">
        <v>35.0</v>
      </c>
      <c r="B1385" s="7" t="s">
        <v>549</v>
      </c>
      <c r="C1385" s="7" t="s">
        <v>1268</v>
      </c>
      <c r="I1385" s="10" t="s">
        <v>1391</v>
      </c>
      <c r="J1385" s="13" t="s">
        <v>1383</v>
      </c>
      <c r="K1385" s="13" t="s">
        <v>184</v>
      </c>
      <c r="L1385" s="13" t="s">
        <v>2165</v>
      </c>
      <c r="M1385" s="6" t="s">
        <v>188</v>
      </c>
      <c r="N1385" s="6" t="s">
        <v>188</v>
      </c>
      <c r="O1385" s="6" t="s">
        <v>190</v>
      </c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</row>
    <row r="1386">
      <c r="A1386" s="12">
        <v>35.0</v>
      </c>
      <c r="B1386" s="7" t="s">
        <v>549</v>
      </c>
      <c r="C1386" s="7" t="s">
        <v>1268</v>
      </c>
      <c r="I1386" s="10" t="s">
        <v>1361</v>
      </c>
      <c r="J1386" s="13" t="s">
        <v>1386</v>
      </c>
      <c r="K1386" s="13" t="s">
        <v>184</v>
      </c>
      <c r="L1386" s="13" t="s">
        <v>2166</v>
      </c>
      <c r="M1386" s="6" t="s">
        <v>188</v>
      </c>
      <c r="N1386" s="6" t="s">
        <v>188</v>
      </c>
      <c r="O1386" s="6" t="s">
        <v>190</v>
      </c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</row>
    <row r="1387">
      <c r="A1387" s="12">
        <v>35.0</v>
      </c>
      <c r="B1387" s="7" t="s">
        <v>549</v>
      </c>
      <c r="C1387" s="7" t="s">
        <v>1268</v>
      </c>
      <c r="I1387" s="10" t="s">
        <v>1673</v>
      </c>
      <c r="J1387" s="13" t="s">
        <v>1389</v>
      </c>
      <c r="K1387" s="13" t="s">
        <v>303</v>
      </c>
      <c r="L1387" s="13" t="s">
        <v>2167</v>
      </c>
      <c r="M1387" s="6" t="s">
        <v>188</v>
      </c>
      <c r="N1387" s="6" t="s">
        <v>188</v>
      </c>
      <c r="O1387" s="6" t="s">
        <v>190</v>
      </c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</row>
    <row r="1388">
      <c r="A1388" s="12">
        <v>35.0</v>
      </c>
      <c r="B1388" s="7" t="s">
        <v>549</v>
      </c>
      <c r="C1388" s="7" t="s">
        <v>1268</v>
      </c>
      <c r="I1388" s="10" t="s">
        <v>886</v>
      </c>
      <c r="J1388" s="13" t="s">
        <v>1383</v>
      </c>
      <c r="K1388" s="13" t="s">
        <v>303</v>
      </c>
      <c r="L1388" s="13" t="s">
        <v>2126</v>
      </c>
      <c r="M1388" s="6" t="s">
        <v>188</v>
      </c>
      <c r="N1388" s="6" t="s">
        <v>188</v>
      </c>
      <c r="O1388" s="6" t="s">
        <v>190</v>
      </c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</row>
    <row r="1389">
      <c r="A1389" s="12">
        <v>35.0</v>
      </c>
      <c r="B1389" s="7" t="s">
        <v>549</v>
      </c>
      <c r="C1389" s="7" t="s">
        <v>1268</v>
      </c>
      <c r="I1389" s="10" t="s">
        <v>1615</v>
      </c>
      <c r="J1389" s="13" t="s">
        <v>1386</v>
      </c>
      <c r="K1389" s="13" t="s">
        <v>303</v>
      </c>
      <c r="L1389" s="13" t="s">
        <v>2126</v>
      </c>
      <c r="M1389" s="6" t="s">
        <v>188</v>
      </c>
      <c r="N1389" s="6" t="s">
        <v>188</v>
      </c>
      <c r="O1389" s="6" t="s">
        <v>190</v>
      </c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</row>
    <row r="1390">
      <c r="A1390" s="12">
        <v>35.0</v>
      </c>
      <c r="B1390" s="7" t="s">
        <v>549</v>
      </c>
      <c r="C1390" s="7" t="s">
        <v>1268</v>
      </c>
      <c r="I1390" s="10" t="s">
        <v>889</v>
      </c>
      <c r="J1390" s="13" t="s">
        <v>1389</v>
      </c>
      <c r="K1390" s="13" t="s">
        <v>303</v>
      </c>
      <c r="L1390" s="13" t="s">
        <v>1737</v>
      </c>
      <c r="M1390" s="6" t="s">
        <v>188</v>
      </c>
      <c r="N1390" s="6" t="s">
        <v>188</v>
      </c>
      <c r="O1390" s="6" t="s">
        <v>190</v>
      </c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</row>
    <row r="1391">
      <c r="A1391" s="12">
        <v>35.0</v>
      </c>
      <c r="B1391" s="7" t="s">
        <v>549</v>
      </c>
      <c r="C1391" s="7" t="s">
        <v>1268</v>
      </c>
      <c r="I1391" s="10" t="s">
        <v>1706</v>
      </c>
      <c r="J1391" s="13" t="s">
        <v>1383</v>
      </c>
      <c r="K1391" s="13" t="s">
        <v>303</v>
      </c>
      <c r="L1391" s="13" t="s">
        <v>2126</v>
      </c>
      <c r="M1391" s="6" t="s">
        <v>188</v>
      </c>
      <c r="N1391" s="6" t="s">
        <v>188</v>
      </c>
      <c r="O1391" s="6" t="s">
        <v>190</v>
      </c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</row>
    <row r="1392">
      <c r="A1392" s="12">
        <v>35.0</v>
      </c>
      <c r="B1392" s="7" t="s">
        <v>549</v>
      </c>
      <c r="C1392" s="7" t="s">
        <v>1268</v>
      </c>
      <c r="I1392" s="10" t="s">
        <v>1322</v>
      </c>
      <c r="J1392" s="13" t="s">
        <v>1386</v>
      </c>
      <c r="K1392" s="13" t="s">
        <v>303</v>
      </c>
      <c r="L1392" s="13" t="s">
        <v>2126</v>
      </c>
      <c r="M1392" s="6" t="s">
        <v>188</v>
      </c>
      <c r="N1392" s="6" t="s">
        <v>188</v>
      </c>
      <c r="O1392" s="6" t="s">
        <v>190</v>
      </c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</row>
    <row r="1393">
      <c r="A1393" s="12">
        <v>35.0</v>
      </c>
      <c r="B1393" s="7" t="s">
        <v>549</v>
      </c>
      <c r="C1393" s="7" t="s">
        <v>1268</v>
      </c>
      <c r="I1393" s="10" t="s">
        <v>1347</v>
      </c>
      <c r="J1393" s="13" t="s">
        <v>1389</v>
      </c>
      <c r="K1393" s="13" t="s">
        <v>303</v>
      </c>
      <c r="L1393" s="13" t="s">
        <v>2126</v>
      </c>
      <c r="M1393" s="6" t="s">
        <v>188</v>
      </c>
      <c r="N1393" s="6" t="s">
        <v>188</v>
      </c>
      <c r="O1393" s="6" t="s">
        <v>190</v>
      </c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</row>
    <row r="1394">
      <c r="A1394" s="12">
        <v>35.0</v>
      </c>
      <c r="B1394" s="7" t="s">
        <v>549</v>
      </c>
      <c r="C1394" s="7" t="s">
        <v>1268</v>
      </c>
      <c r="I1394" s="10" t="s">
        <v>2036</v>
      </c>
      <c r="J1394" s="13" t="s">
        <v>1383</v>
      </c>
      <c r="K1394" s="13" t="s">
        <v>303</v>
      </c>
      <c r="L1394" s="13" t="s">
        <v>2126</v>
      </c>
      <c r="M1394" s="6" t="s">
        <v>188</v>
      </c>
      <c r="N1394" s="6" t="s">
        <v>188</v>
      </c>
      <c r="O1394" s="6" t="s">
        <v>190</v>
      </c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</row>
    <row r="1395">
      <c r="A1395" s="12">
        <v>35.0</v>
      </c>
      <c r="B1395" s="7" t="s">
        <v>549</v>
      </c>
      <c r="C1395" s="7" t="s">
        <v>1268</v>
      </c>
      <c r="I1395" s="10" t="s">
        <v>2037</v>
      </c>
      <c r="J1395" s="13" t="s">
        <v>1386</v>
      </c>
      <c r="K1395" s="13" t="s">
        <v>303</v>
      </c>
      <c r="L1395" s="13" t="s">
        <v>2126</v>
      </c>
      <c r="M1395" s="6" t="s">
        <v>188</v>
      </c>
      <c r="N1395" s="6" t="s">
        <v>188</v>
      </c>
      <c r="O1395" s="6" t="s">
        <v>190</v>
      </c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</row>
    <row r="1396">
      <c r="A1396" s="12">
        <v>35.0</v>
      </c>
      <c r="B1396" s="7" t="s">
        <v>549</v>
      </c>
      <c r="C1396" s="7" t="s">
        <v>1268</v>
      </c>
      <c r="I1396" s="10" t="s">
        <v>2034</v>
      </c>
      <c r="J1396" s="13" t="s">
        <v>1389</v>
      </c>
      <c r="K1396" s="13" t="s">
        <v>303</v>
      </c>
      <c r="L1396" s="13" t="s">
        <v>2126</v>
      </c>
      <c r="M1396" s="6" t="s">
        <v>188</v>
      </c>
      <c r="N1396" s="6" t="s">
        <v>188</v>
      </c>
      <c r="O1396" s="6" t="s">
        <v>190</v>
      </c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</row>
    <row r="1397">
      <c r="A1397" s="12">
        <v>35.0</v>
      </c>
      <c r="B1397" s="7" t="s">
        <v>549</v>
      </c>
      <c r="C1397" s="7" t="s">
        <v>1268</v>
      </c>
      <c r="I1397" s="10" t="s">
        <v>1314</v>
      </c>
      <c r="J1397" s="13" t="s">
        <v>1383</v>
      </c>
      <c r="K1397" s="13" t="s">
        <v>303</v>
      </c>
      <c r="L1397" s="13" t="s">
        <v>2126</v>
      </c>
      <c r="M1397" s="6" t="s">
        <v>188</v>
      </c>
      <c r="N1397" s="6" t="s">
        <v>188</v>
      </c>
      <c r="O1397" s="6" t="s">
        <v>190</v>
      </c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</row>
    <row r="1398">
      <c r="A1398" s="12">
        <v>35.0</v>
      </c>
      <c r="B1398" s="7" t="s">
        <v>549</v>
      </c>
      <c r="C1398" s="7" t="s">
        <v>1268</v>
      </c>
      <c r="I1398" s="10" t="s">
        <v>1979</v>
      </c>
      <c r="J1398" s="13" t="s">
        <v>1386</v>
      </c>
      <c r="K1398" s="13" t="s">
        <v>303</v>
      </c>
      <c r="L1398" s="13" t="s">
        <v>2126</v>
      </c>
      <c r="M1398" s="6" t="s">
        <v>188</v>
      </c>
      <c r="N1398" s="6" t="s">
        <v>188</v>
      </c>
      <c r="O1398" s="6" t="s">
        <v>190</v>
      </c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</row>
    <row r="1399">
      <c r="A1399" s="12">
        <v>35.0</v>
      </c>
      <c r="B1399" s="7" t="s">
        <v>549</v>
      </c>
      <c r="C1399" s="7" t="s">
        <v>1268</v>
      </c>
      <c r="I1399" s="10" t="s">
        <v>2035</v>
      </c>
      <c r="J1399" s="13" t="s">
        <v>1389</v>
      </c>
      <c r="K1399" s="13" t="s">
        <v>303</v>
      </c>
      <c r="L1399" s="13" t="s">
        <v>2126</v>
      </c>
      <c r="M1399" s="6" t="s">
        <v>188</v>
      </c>
      <c r="N1399" s="6" t="s">
        <v>188</v>
      </c>
      <c r="O1399" s="6" t="s">
        <v>190</v>
      </c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</row>
    <row r="1400">
      <c r="A1400" s="12">
        <v>35.0</v>
      </c>
      <c r="B1400" s="7" t="s">
        <v>549</v>
      </c>
      <c r="C1400" s="7" t="s">
        <v>1268</v>
      </c>
      <c r="I1400" s="10" t="s">
        <v>1856</v>
      </c>
      <c r="J1400" s="13" t="s">
        <v>1383</v>
      </c>
      <c r="K1400" s="13" t="s">
        <v>303</v>
      </c>
      <c r="L1400" s="13" t="s">
        <v>2126</v>
      </c>
      <c r="M1400" s="6" t="s">
        <v>188</v>
      </c>
      <c r="N1400" s="6" t="s">
        <v>188</v>
      </c>
      <c r="O1400" s="6" t="s">
        <v>190</v>
      </c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</row>
    <row r="1401">
      <c r="A1401" s="12">
        <v>35.0</v>
      </c>
      <c r="B1401" s="7" t="s">
        <v>549</v>
      </c>
      <c r="C1401" s="7" t="s">
        <v>1268</v>
      </c>
      <c r="I1401" s="10" t="s">
        <v>2019</v>
      </c>
      <c r="J1401" s="13" t="s">
        <v>1386</v>
      </c>
      <c r="K1401" s="13" t="s">
        <v>303</v>
      </c>
      <c r="L1401" s="13" t="s">
        <v>2126</v>
      </c>
      <c r="M1401" s="6" t="s">
        <v>188</v>
      </c>
      <c r="N1401" s="6" t="s">
        <v>188</v>
      </c>
      <c r="O1401" s="6" t="s">
        <v>190</v>
      </c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</row>
    <row r="1402">
      <c r="A1402" s="12">
        <v>35.0</v>
      </c>
      <c r="B1402" s="7" t="s">
        <v>549</v>
      </c>
      <c r="C1402" s="7" t="s">
        <v>1268</v>
      </c>
      <c r="I1402" s="10" t="s">
        <v>1626</v>
      </c>
      <c r="J1402" s="13" t="s">
        <v>1389</v>
      </c>
      <c r="K1402" s="13" t="s">
        <v>303</v>
      </c>
      <c r="L1402" s="13" t="s">
        <v>2126</v>
      </c>
      <c r="M1402" s="6" t="s">
        <v>188</v>
      </c>
      <c r="N1402" s="6" t="s">
        <v>188</v>
      </c>
      <c r="O1402" s="6" t="s">
        <v>190</v>
      </c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</row>
    <row r="1403">
      <c r="A1403" s="12">
        <v>35.0</v>
      </c>
      <c r="B1403" s="7" t="s">
        <v>549</v>
      </c>
      <c r="C1403" s="7" t="s">
        <v>1268</v>
      </c>
      <c r="I1403" s="10" t="s">
        <v>1980</v>
      </c>
      <c r="J1403" s="13" t="s">
        <v>1383</v>
      </c>
      <c r="K1403" s="13" t="s">
        <v>303</v>
      </c>
      <c r="L1403" s="13" t="s">
        <v>2126</v>
      </c>
      <c r="M1403" s="6" t="s">
        <v>188</v>
      </c>
      <c r="N1403" s="6" t="s">
        <v>188</v>
      </c>
      <c r="O1403" s="6" t="s">
        <v>190</v>
      </c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</row>
    <row r="1404">
      <c r="A1404" s="12">
        <v>35.0</v>
      </c>
      <c r="B1404" s="7" t="s">
        <v>549</v>
      </c>
      <c r="C1404" s="7" t="s">
        <v>1268</v>
      </c>
      <c r="I1404" s="10" t="s">
        <v>1369</v>
      </c>
      <c r="J1404" s="13" t="s">
        <v>1386</v>
      </c>
      <c r="K1404" s="13" t="s">
        <v>303</v>
      </c>
      <c r="L1404" s="13" t="s">
        <v>2126</v>
      </c>
      <c r="M1404" s="6" t="s">
        <v>188</v>
      </c>
      <c r="N1404" s="6" t="s">
        <v>188</v>
      </c>
      <c r="O1404" s="6" t="s">
        <v>190</v>
      </c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</row>
    <row r="1405">
      <c r="A1405" s="12">
        <v>35.0</v>
      </c>
      <c r="B1405" s="7" t="s">
        <v>549</v>
      </c>
      <c r="C1405" s="7" t="s">
        <v>1268</v>
      </c>
      <c r="I1405" s="10" t="s">
        <v>547</v>
      </c>
      <c r="J1405" s="13" t="s">
        <v>1389</v>
      </c>
      <c r="K1405" s="13" t="s">
        <v>303</v>
      </c>
      <c r="L1405" s="13" t="s">
        <v>2126</v>
      </c>
      <c r="M1405" s="6" t="s">
        <v>188</v>
      </c>
      <c r="N1405" s="6" t="s">
        <v>188</v>
      </c>
      <c r="O1405" s="6" t="s">
        <v>190</v>
      </c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</row>
    <row r="1406">
      <c r="A1406" s="12">
        <v>35.0</v>
      </c>
      <c r="B1406" s="7" t="s">
        <v>549</v>
      </c>
      <c r="C1406" s="7" t="s">
        <v>1268</v>
      </c>
      <c r="I1406" s="10" t="s">
        <v>1312</v>
      </c>
      <c r="J1406" s="13" t="s">
        <v>1383</v>
      </c>
      <c r="K1406" s="13" t="s">
        <v>303</v>
      </c>
      <c r="L1406" s="13" t="s">
        <v>2126</v>
      </c>
      <c r="M1406" s="6" t="s">
        <v>188</v>
      </c>
      <c r="N1406" s="6" t="s">
        <v>188</v>
      </c>
      <c r="O1406" s="6" t="s">
        <v>190</v>
      </c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</row>
    <row r="1407">
      <c r="A1407" s="12">
        <v>35.0</v>
      </c>
      <c r="B1407" s="7" t="s">
        <v>549</v>
      </c>
      <c r="C1407" s="7" t="s">
        <v>1268</v>
      </c>
      <c r="I1407" s="10" t="s">
        <v>2038</v>
      </c>
      <c r="J1407" s="13" t="s">
        <v>1386</v>
      </c>
      <c r="K1407" s="13" t="s">
        <v>303</v>
      </c>
      <c r="L1407" s="13" t="s">
        <v>2126</v>
      </c>
      <c r="M1407" s="6" t="s">
        <v>188</v>
      </c>
      <c r="N1407" s="6" t="s">
        <v>188</v>
      </c>
      <c r="O1407" s="6" t="s">
        <v>190</v>
      </c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</row>
    <row r="1408">
      <c r="A1408" s="12">
        <v>35.0</v>
      </c>
      <c r="B1408" s="7" t="s">
        <v>549</v>
      </c>
      <c r="C1408" s="7" t="s">
        <v>1268</v>
      </c>
      <c r="I1408" s="10" t="s">
        <v>2016</v>
      </c>
      <c r="J1408" s="13" t="s">
        <v>1389</v>
      </c>
      <c r="K1408" s="13" t="s">
        <v>303</v>
      </c>
      <c r="L1408" s="13" t="s">
        <v>2126</v>
      </c>
      <c r="M1408" s="6" t="s">
        <v>188</v>
      </c>
      <c r="N1408" s="6" t="s">
        <v>188</v>
      </c>
      <c r="O1408" s="6" t="s">
        <v>190</v>
      </c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</row>
    <row r="1409">
      <c r="A1409" s="12">
        <v>35.0</v>
      </c>
      <c r="B1409" s="7" t="s">
        <v>549</v>
      </c>
      <c r="C1409" s="7" t="s">
        <v>1268</v>
      </c>
      <c r="I1409" s="10" t="s">
        <v>1287</v>
      </c>
      <c r="J1409" s="13" t="s">
        <v>1383</v>
      </c>
      <c r="K1409" s="13" t="s">
        <v>303</v>
      </c>
      <c r="L1409" s="13" t="s">
        <v>2126</v>
      </c>
      <c r="M1409" s="6" t="s">
        <v>188</v>
      </c>
      <c r="N1409" s="6" t="s">
        <v>188</v>
      </c>
      <c r="O1409" s="6" t="s">
        <v>190</v>
      </c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</row>
    <row r="1410">
      <c r="A1410" s="12">
        <v>35.0</v>
      </c>
      <c r="B1410" s="7" t="s">
        <v>549</v>
      </c>
      <c r="C1410" s="7" t="s">
        <v>1268</v>
      </c>
      <c r="I1410" s="10" t="s">
        <v>579</v>
      </c>
      <c r="J1410" s="13" t="s">
        <v>1386</v>
      </c>
      <c r="K1410" s="13" t="s">
        <v>303</v>
      </c>
      <c r="L1410" s="13" t="s">
        <v>2126</v>
      </c>
      <c r="M1410" s="6" t="s">
        <v>188</v>
      </c>
      <c r="N1410" s="6" t="s">
        <v>188</v>
      </c>
      <c r="O1410" s="6" t="s">
        <v>190</v>
      </c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</row>
    <row r="1411">
      <c r="A1411" s="12">
        <v>35.0</v>
      </c>
      <c r="B1411" s="7" t="s">
        <v>549</v>
      </c>
      <c r="C1411" s="7" t="s">
        <v>1268</v>
      </c>
      <c r="I1411" s="10" t="s">
        <v>2033</v>
      </c>
      <c r="J1411" s="13" t="s">
        <v>1389</v>
      </c>
      <c r="K1411" s="13" t="s">
        <v>303</v>
      </c>
      <c r="L1411" s="13" t="s">
        <v>2126</v>
      </c>
      <c r="M1411" s="6" t="s">
        <v>188</v>
      </c>
      <c r="N1411" s="6" t="s">
        <v>188</v>
      </c>
      <c r="O1411" s="6" t="s">
        <v>190</v>
      </c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</row>
    <row r="1412">
      <c r="A1412" s="12">
        <v>36.0</v>
      </c>
      <c r="B1412" s="7" t="s">
        <v>550</v>
      </c>
      <c r="C1412" s="7" t="s">
        <v>1397</v>
      </c>
      <c r="D1412" s="26">
        <f>IF(COUNTIF($B$2:$B1412,$B1412)&gt;1,"",COUNTIF($B$2:$B$3400,$B1412))</f>
        <v>30</v>
      </c>
      <c r="E1412" s="26">
        <f>IF(COUNTIF($B$2:$B1412,$B1412)&gt;1,"",COUNTIFS($B$2:$B$3400,$B1412,$K$2:$K$3400,"PHÙ HỢP CAO"))</f>
        <v>4</v>
      </c>
      <c r="F1412" s="26">
        <f>IF(COUNTIF($B$2:$B1412,$B1412)&gt;1,"",COUNTIFS($B$2:$B$3400,$B1412,$K$2:$K$3400,"CÓ THỂ ĐI"))</f>
        <v>1</v>
      </c>
      <c r="G1412" s="26">
        <f>IF(COUNTIF($B$2:$B1412,$B1412)&gt;1,"",COUNTIFS($B$2:$B$3400,$B1412,$K$2:$K$3400,"CẦN SOÁT"))</f>
        <v>25</v>
      </c>
      <c r="H1412" s="27" t="str">
        <f>IFERROR(__xludf.DUMMYFUNCTION("IF(COUNTIF($B$2:$B1412,$B1412)&gt;1,"""",IFERROR(TEXTJOIN(CHAR(10),TRUE,BYROW(QUERY({$B$2:$B$3400,$J$2:$J$3400},""select Col2, count(Col2) where Col1 = '""&amp;$B1412&amp;""' group by Col2 order by count(Col2) desc label count(Col2) ''"",0),LAMBDA(r,INDEX(r,1,1)&amp;"" "&amp;"– ""&amp;INDEX(r,1,2)&amp;"" link""))),""""))"),"chứng chỉ tiền gửi – 15 link
chứng chỉ tiền gửi là gì – 15 link")</f>
        <v>chứng chỉ tiền gửi – 15 link
chứng chỉ tiền gửi là gì – 15 link</v>
      </c>
      <c r="I1412" s="10" t="s">
        <v>1398</v>
      </c>
      <c r="J1412" s="13" t="s">
        <v>1402</v>
      </c>
      <c r="K1412" s="13" t="s">
        <v>184</v>
      </c>
      <c r="L1412" s="13" t="s">
        <v>2168</v>
      </c>
      <c r="M1412" s="6" t="s">
        <v>188</v>
      </c>
      <c r="N1412" s="6" t="s">
        <v>188</v>
      </c>
      <c r="O1412" s="6" t="s">
        <v>190</v>
      </c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</row>
    <row r="1413">
      <c r="A1413" s="12">
        <v>36.0</v>
      </c>
      <c r="B1413" s="7" t="s">
        <v>550</v>
      </c>
      <c r="C1413" s="7" t="s">
        <v>1397</v>
      </c>
      <c r="I1413" s="10" t="s">
        <v>1403</v>
      </c>
      <c r="J1413" s="13" t="s">
        <v>1406</v>
      </c>
      <c r="K1413" s="13" t="s">
        <v>184</v>
      </c>
      <c r="L1413" s="13" t="s">
        <v>2169</v>
      </c>
      <c r="M1413" s="6" t="s">
        <v>188</v>
      </c>
      <c r="N1413" s="6" t="s">
        <v>188</v>
      </c>
      <c r="O1413" s="6" t="s">
        <v>190</v>
      </c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</row>
    <row r="1414">
      <c r="A1414" s="12">
        <v>36.0</v>
      </c>
      <c r="B1414" s="7" t="s">
        <v>550</v>
      </c>
      <c r="C1414" s="7" t="s">
        <v>1397</v>
      </c>
      <c r="I1414" s="10" t="s">
        <v>1408</v>
      </c>
      <c r="J1414" s="13" t="s">
        <v>1402</v>
      </c>
      <c r="K1414" s="13" t="s">
        <v>184</v>
      </c>
      <c r="L1414" s="13" t="s">
        <v>2170</v>
      </c>
      <c r="M1414" s="6" t="s">
        <v>188</v>
      </c>
      <c r="N1414" s="6" t="s">
        <v>188</v>
      </c>
      <c r="O1414" s="6" t="s">
        <v>190</v>
      </c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</row>
    <row r="1415">
      <c r="A1415" s="12">
        <v>36.0</v>
      </c>
      <c r="B1415" s="7" t="s">
        <v>550</v>
      </c>
      <c r="C1415" s="7" t="s">
        <v>1397</v>
      </c>
      <c r="I1415" s="10" t="s">
        <v>1412</v>
      </c>
      <c r="J1415" s="13" t="s">
        <v>1406</v>
      </c>
      <c r="K1415" s="13" t="s">
        <v>184</v>
      </c>
      <c r="L1415" s="13" t="s">
        <v>2171</v>
      </c>
      <c r="M1415" s="6" t="s">
        <v>188</v>
      </c>
      <c r="N1415" s="6" t="s">
        <v>188</v>
      </c>
      <c r="O1415" s="6" t="s">
        <v>190</v>
      </c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</row>
    <row r="1416">
      <c r="A1416" s="12">
        <v>36.0</v>
      </c>
      <c r="B1416" s="7" t="s">
        <v>550</v>
      </c>
      <c r="C1416" s="7" t="s">
        <v>1397</v>
      </c>
      <c r="I1416" s="10" t="s">
        <v>1414</v>
      </c>
      <c r="J1416" s="13" t="s">
        <v>1402</v>
      </c>
      <c r="K1416" s="13" t="s">
        <v>283</v>
      </c>
      <c r="L1416" s="13" t="s">
        <v>2172</v>
      </c>
      <c r="M1416" s="6" t="s">
        <v>188</v>
      </c>
      <c r="N1416" s="6" t="s">
        <v>188</v>
      </c>
      <c r="O1416" s="6" t="s">
        <v>190</v>
      </c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</row>
    <row r="1417">
      <c r="A1417" s="12">
        <v>36.0</v>
      </c>
      <c r="B1417" s="7" t="s">
        <v>550</v>
      </c>
      <c r="C1417" s="7" t="s">
        <v>1397</v>
      </c>
      <c r="I1417" s="10" t="s">
        <v>2173</v>
      </c>
      <c r="J1417" s="13" t="s">
        <v>1406</v>
      </c>
      <c r="K1417" s="13" t="s">
        <v>303</v>
      </c>
      <c r="L1417" s="13" t="s">
        <v>2174</v>
      </c>
      <c r="M1417" s="6" t="s">
        <v>188</v>
      </c>
      <c r="N1417" s="6" t="s">
        <v>188</v>
      </c>
      <c r="O1417" s="6" t="s">
        <v>190</v>
      </c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</row>
    <row r="1418">
      <c r="A1418" s="12">
        <v>36.0</v>
      </c>
      <c r="B1418" s="7" t="s">
        <v>550</v>
      </c>
      <c r="C1418" s="7" t="s">
        <v>1397</v>
      </c>
      <c r="I1418" s="10" t="s">
        <v>1773</v>
      </c>
      <c r="J1418" s="13" t="s">
        <v>1402</v>
      </c>
      <c r="K1418" s="13" t="s">
        <v>303</v>
      </c>
      <c r="L1418" s="13" t="s">
        <v>2175</v>
      </c>
      <c r="M1418" s="6" t="s">
        <v>188</v>
      </c>
      <c r="N1418" s="6" t="s">
        <v>188</v>
      </c>
      <c r="O1418" s="6" t="s">
        <v>190</v>
      </c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</row>
    <row r="1419">
      <c r="A1419" s="12">
        <v>36.0</v>
      </c>
      <c r="B1419" s="7" t="s">
        <v>550</v>
      </c>
      <c r="C1419" s="7" t="s">
        <v>1397</v>
      </c>
      <c r="I1419" s="10" t="s">
        <v>2176</v>
      </c>
      <c r="J1419" s="13" t="s">
        <v>1406</v>
      </c>
      <c r="K1419" s="13" t="s">
        <v>303</v>
      </c>
      <c r="L1419" s="13" t="s">
        <v>2175</v>
      </c>
      <c r="M1419" s="6" t="s">
        <v>188</v>
      </c>
      <c r="N1419" s="6" t="s">
        <v>188</v>
      </c>
      <c r="O1419" s="6" t="s">
        <v>190</v>
      </c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</row>
    <row r="1420">
      <c r="A1420" s="12">
        <v>36.0</v>
      </c>
      <c r="B1420" s="7" t="s">
        <v>550</v>
      </c>
      <c r="C1420" s="7" t="s">
        <v>1397</v>
      </c>
      <c r="I1420" s="10" t="s">
        <v>2177</v>
      </c>
      <c r="J1420" s="13" t="s">
        <v>1402</v>
      </c>
      <c r="K1420" s="13" t="s">
        <v>303</v>
      </c>
      <c r="L1420" s="13" t="s">
        <v>2175</v>
      </c>
      <c r="M1420" s="6" t="s">
        <v>188</v>
      </c>
      <c r="N1420" s="6" t="s">
        <v>188</v>
      </c>
      <c r="O1420" s="6" t="s">
        <v>190</v>
      </c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</row>
    <row r="1421">
      <c r="A1421" s="12">
        <v>36.0</v>
      </c>
      <c r="B1421" s="7" t="s">
        <v>550</v>
      </c>
      <c r="C1421" s="7" t="s">
        <v>1397</v>
      </c>
      <c r="I1421" s="10" t="s">
        <v>2178</v>
      </c>
      <c r="J1421" s="13" t="s">
        <v>1406</v>
      </c>
      <c r="K1421" s="13" t="s">
        <v>303</v>
      </c>
      <c r="L1421" s="13" t="s">
        <v>2175</v>
      </c>
      <c r="M1421" s="6" t="s">
        <v>188</v>
      </c>
      <c r="N1421" s="6" t="s">
        <v>188</v>
      </c>
      <c r="O1421" s="6" t="s">
        <v>190</v>
      </c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</row>
    <row r="1422">
      <c r="A1422" s="12">
        <v>36.0</v>
      </c>
      <c r="B1422" s="7" t="s">
        <v>550</v>
      </c>
      <c r="C1422" s="7" t="s">
        <v>1397</v>
      </c>
      <c r="I1422" s="10" t="s">
        <v>1723</v>
      </c>
      <c r="J1422" s="13" t="s">
        <v>1402</v>
      </c>
      <c r="K1422" s="13" t="s">
        <v>303</v>
      </c>
      <c r="L1422" s="13" t="s">
        <v>2175</v>
      </c>
      <c r="M1422" s="6" t="s">
        <v>188</v>
      </c>
      <c r="N1422" s="6" t="s">
        <v>188</v>
      </c>
      <c r="O1422" s="6" t="s">
        <v>190</v>
      </c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</row>
    <row r="1423">
      <c r="A1423" s="12">
        <v>36.0</v>
      </c>
      <c r="B1423" s="7" t="s">
        <v>550</v>
      </c>
      <c r="C1423" s="7" t="s">
        <v>1397</v>
      </c>
      <c r="I1423" s="10" t="s">
        <v>2179</v>
      </c>
      <c r="J1423" s="13" t="s">
        <v>1406</v>
      </c>
      <c r="K1423" s="13" t="s">
        <v>303</v>
      </c>
      <c r="L1423" s="13" t="s">
        <v>2180</v>
      </c>
      <c r="M1423" s="6" t="s">
        <v>188</v>
      </c>
      <c r="N1423" s="6" t="s">
        <v>188</v>
      </c>
      <c r="O1423" s="6" t="s">
        <v>190</v>
      </c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</row>
    <row r="1424">
      <c r="A1424" s="12">
        <v>36.0</v>
      </c>
      <c r="B1424" s="7" t="s">
        <v>550</v>
      </c>
      <c r="C1424" s="7" t="s">
        <v>1397</v>
      </c>
      <c r="I1424" s="10" t="s">
        <v>1837</v>
      </c>
      <c r="J1424" s="13" t="s">
        <v>1402</v>
      </c>
      <c r="K1424" s="13" t="s">
        <v>303</v>
      </c>
      <c r="L1424" s="13" t="s">
        <v>2175</v>
      </c>
      <c r="M1424" s="6" t="s">
        <v>188</v>
      </c>
      <c r="N1424" s="6" t="s">
        <v>188</v>
      </c>
      <c r="O1424" s="6" t="s">
        <v>190</v>
      </c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</row>
    <row r="1425">
      <c r="A1425" s="12">
        <v>36.0</v>
      </c>
      <c r="B1425" s="7" t="s">
        <v>550</v>
      </c>
      <c r="C1425" s="7" t="s">
        <v>1397</v>
      </c>
      <c r="I1425" s="10" t="s">
        <v>2181</v>
      </c>
      <c r="J1425" s="13" t="s">
        <v>1406</v>
      </c>
      <c r="K1425" s="13" t="s">
        <v>303</v>
      </c>
      <c r="L1425" s="13" t="s">
        <v>2174</v>
      </c>
      <c r="M1425" s="6" t="s">
        <v>188</v>
      </c>
      <c r="N1425" s="6" t="s">
        <v>188</v>
      </c>
      <c r="O1425" s="6" t="s">
        <v>190</v>
      </c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</row>
    <row r="1426">
      <c r="A1426" s="12">
        <v>36.0</v>
      </c>
      <c r="B1426" s="7" t="s">
        <v>550</v>
      </c>
      <c r="C1426" s="7" t="s">
        <v>1397</v>
      </c>
      <c r="I1426" s="10" t="s">
        <v>1727</v>
      </c>
      <c r="J1426" s="13" t="s">
        <v>1402</v>
      </c>
      <c r="K1426" s="13" t="s">
        <v>303</v>
      </c>
      <c r="L1426" s="13" t="s">
        <v>2175</v>
      </c>
      <c r="M1426" s="6" t="s">
        <v>188</v>
      </c>
      <c r="N1426" s="6" t="s">
        <v>188</v>
      </c>
      <c r="O1426" s="6" t="s">
        <v>190</v>
      </c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</row>
    <row r="1427">
      <c r="A1427" s="12">
        <v>36.0</v>
      </c>
      <c r="B1427" s="7" t="s">
        <v>550</v>
      </c>
      <c r="C1427" s="7" t="s">
        <v>1397</v>
      </c>
      <c r="I1427" s="10" t="s">
        <v>594</v>
      </c>
      <c r="J1427" s="13" t="s">
        <v>1406</v>
      </c>
      <c r="K1427" s="13" t="s">
        <v>303</v>
      </c>
      <c r="L1427" s="13" t="s">
        <v>2175</v>
      </c>
      <c r="M1427" s="6" t="s">
        <v>188</v>
      </c>
      <c r="N1427" s="6" t="s">
        <v>188</v>
      </c>
      <c r="O1427" s="6" t="s">
        <v>190</v>
      </c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</row>
    <row r="1428">
      <c r="A1428" s="12">
        <v>36.0</v>
      </c>
      <c r="B1428" s="7" t="s">
        <v>550</v>
      </c>
      <c r="C1428" s="7" t="s">
        <v>1397</v>
      </c>
      <c r="I1428" s="10" t="s">
        <v>2182</v>
      </c>
      <c r="J1428" s="13" t="s">
        <v>1402</v>
      </c>
      <c r="K1428" s="13" t="s">
        <v>303</v>
      </c>
      <c r="L1428" s="13" t="s">
        <v>2183</v>
      </c>
      <c r="M1428" s="6" t="s">
        <v>188</v>
      </c>
      <c r="N1428" s="6" t="s">
        <v>188</v>
      </c>
      <c r="O1428" s="6" t="s">
        <v>190</v>
      </c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</row>
    <row r="1429">
      <c r="A1429" s="12">
        <v>36.0</v>
      </c>
      <c r="B1429" s="7" t="s">
        <v>550</v>
      </c>
      <c r="C1429" s="7" t="s">
        <v>1397</v>
      </c>
      <c r="I1429" s="10" t="s">
        <v>1797</v>
      </c>
      <c r="J1429" s="13" t="s">
        <v>1406</v>
      </c>
      <c r="K1429" s="13" t="s">
        <v>303</v>
      </c>
      <c r="L1429" s="13" t="s">
        <v>2175</v>
      </c>
      <c r="M1429" s="6" t="s">
        <v>188</v>
      </c>
      <c r="N1429" s="6" t="s">
        <v>188</v>
      </c>
      <c r="O1429" s="6" t="s">
        <v>190</v>
      </c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</row>
    <row r="1430">
      <c r="A1430" s="12">
        <v>36.0</v>
      </c>
      <c r="B1430" s="7" t="s">
        <v>550</v>
      </c>
      <c r="C1430" s="7" t="s">
        <v>1397</v>
      </c>
      <c r="I1430" s="10" t="s">
        <v>2184</v>
      </c>
      <c r="J1430" s="13" t="s">
        <v>1402</v>
      </c>
      <c r="K1430" s="13" t="s">
        <v>303</v>
      </c>
      <c r="L1430" s="13" t="s">
        <v>2185</v>
      </c>
      <c r="M1430" s="6" t="s">
        <v>188</v>
      </c>
      <c r="N1430" s="6" t="s">
        <v>188</v>
      </c>
      <c r="O1430" s="6" t="s">
        <v>190</v>
      </c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</row>
    <row r="1431">
      <c r="A1431" s="12">
        <v>36.0</v>
      </c>
      <c r="B1431" s="7" t="s">
        <v>550</v>
      </c>
      <c r="C1431" s="7" t="s">
        <v>1397</v>
      </c>
      <c r="I1431" s="10" t="s">
        <v>1806</v>
      </c>
      <c r="J1431" s="13" t="s">
        <v>1406</v>
      </c>
      <c r="K1431" s="13" t="s">
        <v>303</v>
      </c>
      <c r="L1431" s="13" t="s">
        <v>2175</v>
      </c>
      <c r="M1431" s="6" t="s">
        <v>188</v>
      </c>
      <c r="N1431" s="6" t="s">
        <v>188</v>
      </c>
      <c r="O1431" s="6" t="s">
        <v>190</v>
      </c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</row>
    <row r="1432">
      <c r="A1432" s="12">
        <v>36.0</v>
      </c>
      <c r="B1432" s="7" t="s">
        <v>550</v>
      </c>
      <c r="C1432" s="7" t="s">
        <v>1397</v>
      </c>
      <c r="I1432" s="10" t="s">
        <v>1115</v>
      </c>
      <c r="J1432" s="13" t="s">
        <v>1402</v>
      </c>
      <c r="K1432" s="13" t="s">
        <v>303</v>
      </c>
      <c r="L1432" s="13" t="s">
        <v>2175</v>
      </c>
      <c r="M1432" s="6" t="s">
        <v>188</v>
      </c>
      <c r="N1432" s="6" t="s">
        <v>188</v>
      </c>
      <c r="O1432" s="6" t="s">
        <v>190</v>
      </c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</row>
    <row r="1433">
      <c r="A1433" s="12">
        <v>36.0</v>
      </c>
      <c r="B1433" s="7" t="s">
        <v>550</v>
      </c>
      <c r="C1433" s="7" t="s">
        <v>1397</v>
      </c>
      <c r="I1433" s="10" t="s">
        <v>2186</v>
      </c>
      <c r="J1433" s="13" t="s">
        <v>1406</v>
      </c>
      <c r="K1433" s="13" t="s">
        <v>303</v>
      </c>
      <c r="L1433" s="13" t="s">
        <v>2183</v>
      </c>
      <c r="M1433" s="6" t="s">
        <v>188</v>
      </c>
      <c r="N1433" s="6" t="s">
        <v>188</v>
      </c>
      <c r="O1433" s="6" t="s">
        <v>190</v>
      </c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</row>
    <row r="1434">
      <c r="A1434" s="12">
        <v>36.0</v>
      </c>
      <c r="B1434" s="7" t="s">
        <v>550</v>
      </c>
      <c r="C1434" s="7" t="s">
        <v>1397</v>
      </c>
      <c r="I1434" s="10" t="s">
        <v>1718</v>
      </c>
      <c r="J1434" s="13" t="s">
        <v>1402</v>
      </c>
      <c r="K1434" s="13" t="s">
        <v>303</v>
      </c>
      <c r="L1434" s="13" t="s">
        <v>2175</v>
      </c>
      <c r="M1434" s="6" t="s">
        <v>188</v>
      </c>
      <c r="N1434" s="6" t="s">
        <v>188</v>
      </c>
      <c r="O1434" s="6" t="s">
        <v>190</v>
      </c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</row>
    <row r="1435">
      <c r="A1435" s="12">
        <v>36.0</v>
      </c>
      <c r="B1435" s="7" t="s">
        <v>550</v>
      </c>
      <c r="C1435" s="7" t="s">
        <v>1397</v>
      </c>
      <c r="I1435" s="10" t="s">
        <v>2187</v>
      </c>
      <c r="J1435" s="13" t="s">
        <v>1406</v>
      </c>
      <c r="K1435" s="13" t="s">
        <v>303</v>
      </c>
      <c r="L1435" s="13" t="s">
        <v>2174</v>
      </c>
      <c r="M1435" s="6" t="s">
        <v>188</v>
      </c>
      <c r="N1435" s="6" t="s">
        <v>188</v>
      </c>
      <c r="O1435" s="6" t="s">
        <v>190</v>
      </c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</row>
    <row r="1436">
      <c r="A1436" s="12">
        <v>36.0</v>
      </c>
      <c r="B1436" s="7" t="s">
        <v>550</v>
      </c>
      <c r="C1436" s="7" t="s">
        <v>1397</v>
      </c>
      <c r="I1436" s="10" t="s">
        <v>747</v>
      </c>
      <c r="J1436" s="13" t="s">
        <v>1402</v>
      </c>
      <c r="K1436" s="13" t="s">
        <v>303</v>
      </c>
      <c r="L1436" s="13" t="s">
        <v>2174</v>
      </c>
      <c r="M1436" s="6" t="s">
        <v>188</v>
      </c>
      <c r="N1436" s="6" t="s">
        <v>188</v>
      </c>
      <c r="O1436" s="6" t="s">
        <v>190</v>
      </c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</row>
    <row r="1437">
      <c r="A1437" s="12">
        <v>36.0</v>
      </c>
      <c r="B1437" s="7" t="s">
        <v>550</v>
      </c>
      <c r="C1437" s="7" t="s">
        <v>1397</v>
      </c>
      <c r="I1437" s="10" t="s">
        <v>1833</v>
      </c>
      <c r="J1437" s="13" t="s">
        <v>1406</v>
      </c>
      <c r="K1437" s="13" t="s">
        <v>303</v>
      </c>
      <c r="L1437" s="13" t="s">
        <v>2175</v>
      </c>
      <c r="M1437" s="6" t="s">
        <v>188</v>
      </c>
      <c r="N1437" s="6" t="s">
        <v>188</v>
      </c>
      <c r="O1437" s="6" t="s">
        <v>190</v>
      </c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</row>
    <row r="1438">
      <c r="A1438" s="12">
        <v>36.0</v>
      </c>
      <c r="B1438" s="7" t="s">
        <v>550</v>
      </c>
      <c r="C1438" s="7" t="s">
        <v>1397</v>
      </c>
      <c r="I1438" s="10" t="s">
        <v>1740</v>
      </c>
      <c r="J1438" s="13" t="s">
        <v>1402</v>
      </c>
      <c r="K1438" s="13" t="s">
        <v>303</v>
      </c>
      <c r="L1438" s="13" t="s">
        <v>2185</v>
      </c>
      <c r="M1438" s="6" t="s">
        <v>188</v>
      </c>
      <c r="N1438" s="6" t="s">
        <v>188</v>
      </c>
      <c r="O1438" s="6" t="s">
        <v>190</v>
      </c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</row>
    <row r="1439">
      <c r="A1439" s="12">
        <v>36.0</v>
      </c>
      <c r="B1439" s="7" t="s">
        <v>550</v>
      </c>
      <c r="C1439" s="7" t="s">
        <v>1397</v>
      </c>
      <c r="I1439" s="10" t="s">
        <v>601</v>
      </c>
      <c r="J1439" s="13" t="s">
        <v>1406</v>
      </c>
      <c r="K1439" s="13" t="s">
        <v>303</v>
      </c>
      <c r="L1439" s="13" t="s">
        <v>2175</v>
      </c>
      <c r="M1439" s="6" t="s">
        <v>188</v>
      </c>
      <c r="N1439" s="6" t="s">
        <v>188</v>
      </c>
      <c r="O1439" s="6" t="s">
        <v>190</v>
      </c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</row>
    <row r="1440">
      <c r="A1440" s="12">
        <v>36.0</v>
      </c>
      <c r="B1440" s="7" t="s">
        <v>550</v>
      </c>
      <c r="C1440" s="7" t="s">
        <v>1397</v>
      </c>
      <c r="I1440" s="10" t="s">
        <v>1423</v>
      </c>
      <c r="J1440" s="13" t="s">
        <v>1402</v>
      </c>
      <c r="K1440" s="13" t="s">
        <v>303</v>
      </c>
      <c r="L1440" s="13" t="s">
        <v>2180</v>
      </c>
      <c r="M1440" s="6" t="s">
        <v>188</v>
      </c>
      <c r="N1440" s="6" t="s">
        <v>188</v>
      </c>
      <c r="O1440" s="6" t="s">
        <v>190</v>
      </c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</row>
    <row r="1441">
      <c r="A1441" s="12">
        <v>36.0</v>
      </c>
      <c r="B1441" s="7" t="s">
        <v>550</v>
      </c>
      <c r="C1441" s="7" t="s">
        <v>1397</v>
      </c>
      <c r="I1441" s="10" t="s">
        <v>595</v>
      </c>
      <c r="J1441" s="13" t="s">
        <v>1406</v>
      </c>
      <c r="K1441" s="13" t="s">
        <v>303</v>
      </c>
      <c r="L1441" s="13" t="s">
        <v>2175</v>
      </c>
      <c r="M1441" s="6" t="s">
        <v>188</v>
      </c>
      <c r="N1441" s="6" t="s">
        <v>188</v>
      </c>
      <c r="O1441" s="6" t="s">
        <v>190</v>
      </c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</row>
    <row r="1442">
      <c r="A1442" s="12">
        <v>37.0</v>
      </c>
      <c r="B1442" s="7" t="s">
        <v>551</v>
      </c>
      <c r="C1442" s="7" t="s">
        <v>1397</v>
      </c>
      <c r="D1442" s="26">
        <f>IF(COUNTIF($B$2:$B1442,$B1442)&gt;1,"",COUNTIF($B$2:$B$3400,$B1442))</f>
        <v>30</v>
      </c>
      <c r="E1442" s="26">
        <f>IF(COUNTIF($B$2:$B1442,$B1442)&gt;1,"",COUNTIFS($B$2:$B$3400,$B1442,$K$2:$K$3400,"PHÙ HỢP CAO"))</f>
        <v>1</v>
      </c>
      <c r="F1442" s="26">
        <f>IF(COUNTIF($B$2:$B1442,$B1442)&gt;1,"",COUNTIFS($B$2:$B$3400,$B1442,$K$2:$K$3400,"CÓ THỂ ĐI"))</f>
        <v>4</v>
      </c>
      <c r="G1442" s="26">
        <f>IF(COUNTIF($B$2:$B1442,$B1442)&gt;1,"",COUNTIFS($B$2:$B$3400,$B1442,$K$2:$K$3400,"CẦN SOÁT"))</f>
        <v>25</v>
      </c>
      <c r="H1442" s="27" t="str">
        <f>IFERROR(__xludf.DUMMYFUNCTION("IF(COUNTIF($B$2:$B1442,$B1442)&gt;1,"""",IFERROR(TEXTJOIN(CHAR(10),TRUE,BYROW(QUERY({$B$2:$B$3400,$J$2:$J$3400},""select Col2, count(Col2) where Col1 = '""&amp;$B1442&amp;""' group by Col2 order by count(Col2) desc label count(Col2) ''"",0),LAMBDA(r,INDEX(r,1,1)&amp;"" "&amp;"– ""&amp;INDEX(r,1,2)&amp;"" link""))),""""))"),"lãi suất chứng chỉ tiền gửi – 10 link
lãi suất chứng chỉ tiền gửi các ngân hàng – 10 link
lợi suất chứng chỉ tiền gửi – 10 link")</f>
        <v>lãi suất chứng chỉ tiền gửi – 10 link
lãi suất chứng chỉ tiền gửi các ngân hàng – 10 link
lợi suất chứng chỉ tiền gửi – 10 link</v>
      </c>
      <c r="I1442" s="10" t="s">
        <v>750</v>
      </c>
      <c r="J1442" s="13" t="s">
        <v>1422</v>
      </c>
      <c r="K1442" s="13" t="s">
        <v>184</v>
      </c>
      <c r="L1442" s="13" t="s">
        <v>2188</v>
      </c>
      <c r="M1442" s="6" t="s">
        <v>188</v>
      </c>
      <c r="N1442" s="6" t="s">
        <v>188</v>
      </c>
      <c r="O1442" s="6" t="s">
        <v>190</v>
      </c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</row>
    <row r="1443">
      <c r="A1443" s="12">
        <v>37.0</v>
      </c>
      <c r="B1443" s="7" t="s">
        <v>551</v>
      </c>
      <c r="C1443" s="7" t="s">
        <v>1397</v>
      </c>
      <c r="I1443" s="10" t="s">
        <v>1423</v>
      </c>
      <c r="J1443" s="13" t="s">
        <v>1426</v>
      </c>
      <c r="K1443" s="13" t="s">
        <v>283</v>
      </c>
      <c r="L1443" s="13" t="s">
        <v>2189</v>
      </c>
      <c r="M1443" s="6" t="s">
        <v>188</v>
      </c>
      <c r="N1443" s="6" t="s">
        <v>188</v>
      </c>
      <c r="O1443" s="6" t="s">
        <v>190</v>
      </c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</row>
    <row r="1444">
      <c r="A1444" s="12">
        <v>37.0</v>
      </c>
      <c r="B1444" s="7" t="s">
        <v>551</v>
      </c>
      <c r="C1444" s="7" t="s">
        <v>1397</v>
      </c>
      <c r="I1444" s="10" t="s">
        <v>1427</v>
      </c>
      <c r="J1444" s="13" t="s">
        <v>1429</v>
      </c>
      <c r="K1444" s="13" t="s">
        <v>283</v>
      </c>
      <c r="L1444" s="13" t="s">
        <v>2190</v>
      </c>
      <c r="M1444" s="6" t="s">
        <v>188</v>
      </c>
      <c r="N1444" s="6" t="s">
        <v>188</v>
      </c>
      <c r="O1444" s="6" t="s">
        <v>190</v>
      </c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</row>
    <row r="1445">
      <c r="A1445" s="12">
        <v>37.0</v>
      </c>
      <c r="B1445" s="7" t="s">
        <v>551</v>
      </c>
      <c r="C1445" s="7" t="s">
        <v>1397</v>
      </c>
      <c r="I1445" s="10" t="s">
        <v>1431</v>
      </c>
      <c r="J1445" s="13" t="s">
        <v>1422</v>
      </c>
      <c r="K1445" s="13" t="s">
        <v>283</v>
      </c>
      <c r="L1445" s="13" t="s">
        <v>2191</v>
      </c>
      <c r="M1445" s="6" t="s">
        <v>188</v>
      </c>
      <c r="N1445" s="6" t="s">
        <v>188</v>
      </c>
      <c r="O1445" s="6" t="s">
        <v>190</v>
      </c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</row>
    <row r="1446">
      <c r="A1446" s="12">
        <v>37.0</v>
      </c>
      <c r="B1446" s="7" t="s">
        <v>551</v>
      </c>
      <c r="C1446" s="7" t="s">
        <v>1397</v>
      </c>
      <c r="I1446" s="10" t="s">
        <v>2179</v>
      </c>
      <c r="J1446" s="13" t="s">
        <v>1426</v>
      </c>
      <c r="K1446" s="13" t="s">
        <v>283</v>
      </c>
      <c r="L1446" s="13" t="s">
        <v>2192</v>
      </c>
      <c r="M1446" s="6" t="s">
        <v>188</v>
      </c>
      <c r="N1446" s="6" t="s">
        <v>188</v>
      </c>
      <c r="O1446" s="6" t="s">
        <v>190</v>
      </c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</row>
    <row r="1447">
      <c r="A1447" s="12">
        <v>37.0</v>
      </c>
      <c r="B1447" s="7" t="s">
        <v>551</v>
      </c>
      <c r="C1447" s="7" t="s">
        <v>1397</v>
      </c>
      <c r="I1447" s="10" t="s">
        <v>550</v>
      </c>
      <c r="J1447" s="13" t="s">
        <v>1429</v>
      </c>
      <c r="K1447" s="13" t="s">
        <v>303</v>
      </c>
      <c r="L1447" s="13" t="s">
        <v>2180</v>
      </c>
      <c r="M1447" s="6" t="s">
        <v>188</v>
      </c>
      <c r="N1447" s="6" t="s">
        <v>188</v>
      </c>
      <c r="O1447" s="6" t="s">
        <v>190</v>
      </c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</row>
    <row r="1448">
      <c r="A1448" s="12">
        <v>37.0</v>
      </c>
      <c r="B1448" s="7" t="s">
        <v>551</v>
      </c>
      <c r="C1448" s="7" t="s">
        <v>1397</v>
      </c>
      <c r="I1448" s="10" t="s">
        <v>594</v>
      </c>
      <c r="J1448" s="13" t="s">
        <v>1422</v>
      </c>
      <c r="K1448" s="13" t="s">
        <v>303</v>
      </c>
      <c r="L1448" s="13" t="s">
        <v>2193</v>
      </c>
      <c r="M1448" s="6" t="s">
        <v>188</v>
      </c>
      <c r="N1448" s="6" t="s">
        <v>188</v>
      </c>
      <c r="O1448" s="6" t="s">
        <v>190</v>
      </c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</row>
    <row r="1449">
      <c r="A1449" s="12">
        <v>37.0</v>
      </c>
      <c r="B1449" s="7" t="s">
        <v>551</v>
      </c>
      <c r="C1449" s="7" t="s">
        <v>1397</v>
      </c>
      <c r="I1449" s="10" t="s">
        <v>1408</v>
      </c>
      <c r="J1449" s="13" t="s">
        <v>1426</v>
      </c>
      <c r="K1449" s="13" t="s">
        <v>303</v>
      </c>
      <c r="L1449" s="13" t="s">
        <v>2180</v>
      </c>
      <c r="M1449" s="6" t="s">
        <v>188</v>
      </c>
      <c r="N1449" s="6" t="s">
        <v>188</v>
      </c>
      <c r="O1449" s="6" t="s">
        <v>190</v>
      </c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</row>
    <row r="1450">
      <c r="A1450" s="12">
        <v>37.0</v>
      </c>
      <c r="B1450" s="7" t="s">
        <v>551</v>
      </c>
      <c r="C1450" s="7" t="s">
        <v>1397</v>
      </c>
      <c r="I1450" s="10" t="s">
        <v>2186</v>
      </c>
      <c r="J1450" s="13" t="s">
        <v>1429</v>
      </c>
      <c r="K1450" s="13" t="s">
        <v>303</v>
      </c>
      <c r="L1450" s="13" t="s">
        <v>2193</v>
      </c>
      <c r="M1450" s="6" t="s">
        <v>188</v>
      </c>
      <c r="N1450" s="6" t="s">
        <v>188</v>
      </c>
      <c r="O1450" s="6" t="s">
        <v>190</v>
      </c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</row>
    <row r="1451">
      <c r="A1451" s="12">
        <v>37.0</v>
      </c>
      <c r="B1451" s="7" t="s">
        <v>551</v>
      </c>
      <c r="C1451" s="7" t="s">
        <v>1397</v>
      </c>
      <c r="I1451" s="10" t="s">
        <v>595</v>
      </c>
      <c r="J1451" s="13" t="s">
        <v>1422</v>
      </c>
      <c r="K1451" s="13" t="s">
        <v>303</v>
      </c>
      <c r="L1451" s="13" t="s">
        <v>2193</v>
      </c>
      <c r="M1451" s="6" t="s">
        <v>188</v>
      </c>
      <c r="N1451" s="6" t="s">
        <v>188</v>
      </c>
      <c r="O1451" s="6" t="s">
        <v>190</v>
      </c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</row>
    <row r="1452">
      <c r="A1452" s="12">
        <v>37.0</v>
      </c>
      <c r="B1452" s="7" t="s">
        <v>551</v>
      </c>
      <c r="C1452" s="7" t="s">
        <v>1397</v>
      </c>
      <c r="I1452" s="10" t="s">
        <v>2194</v>
      </c>
      <c r="J1452" s="13" t="s">
        <v>1426</v>
      </c>
      <c r="K1452" s="13" t="s">
        <v>303</v>
      </c>
      <c r="L1452" s="13" t="s">
        <v>2193</v>
      </c>
      <c r="M1452" s="6" t="s">
        <v>188</v>
      </c>
      <c r="N1452" s="6" t="s">
        <v>188</v>
      </c>
      <c r="O1452" s="6" t="s">
        <v>190</v>
      </c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</row>
    <row r="1453">
      <c r="A1453" s="12">
        <v>37.0</v>
      </c>
      <c r="B1453" s="7" t="s">
        <v>551</v>
      </c>
      <c r="C1453" s="7" t="s">
        <v>1397</v>
      </c>
      <c r="I1453" s="10" t="s">
        <v>1398</v>
      </c>
      <c r="J1453" s="13" t="s">
        <v>1429</v>
      </c>
      <c r="K1453" s="13" t="s">
        <v>303</v>
      </c>
      <c r="L1453" s="13" t="s">
        <v>2180</v>
      </c>
      <c r="M1453" s="6" t="s">
        <v>188</v>
      </c>
      <c r="N1453" s="6" t="s">
        <v>188</v>
      </c>
      <c r="O1453" s="6" t="s">
        <v>190</v>
      </c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</row>
    <row r="1454">
      <c r="A1454" s="12">
        <v>37.0</v>
      </c>
      <c r="B1454" s="7" t="s">
        <v>551</v>
      </c>
      <c r="C1454" s="7" t="s">
        <v>1397</v>
      </c>
      <c r="I1454" s="10" t="s">
        <v>1403</v>
      </c>
      <c r="J1454" s="13" t="s">
        <v>1422</v>
      </c>
      <c r="K1454" s="13" t="s">
        <v>303</v>
      </c>
      <c r="L1454" s="13" t="s">
        <v>2180</v>
      </c>
      <c r="M1454" s="6" t="s">
        <v>188</v>
      </c>
      <c r="N1454" s="6" t="s">
        <v>188</v>
      </c>
      <c r="O1454" s="6" t="s">
        <v>190</v>
      </c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</row>
    <row r="1455">
      <c r="A1455" s="12">
        <v>37.0</v>
      </c>
      <c r="B1455" s="7" t="s">
        <v>551</v>
      </c>
      <c r="C1455" s="7" t="s">
        <v>1397</v>
      </c>
      <c r="I1455" s="10" t="s">
        <v>1412</v>
      </c>
      <c r="J1455" s="13" t="s">
        <v>1426</v>
      </c>
      <c r="K1455" s="13" t="s">
        <v>303</v>
      </c>
      <c r="L1455" s="13" t="s">
        <v>2180</v>
      </c>
      <c r="M1455" s="6" t="s">
        <v>188</v>
      </c>
      <c r="N1455" s="6" t="s">
        <v>188</v>
      </c>
      <c r="O1455" s="6" t="s">
        <v>190</v>
      </c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</row>
    <row r="1456">
      <c r="A1456" s="12">
        <v>37.0</v>
      </c>
      <c r="B1456" s="7" t="s">
        <v>551</v>
      </c>
      <c r="C1456" s="7" t="s">
        <v>1397</v>
      </c>
      <c r="I1456" s="13" t="s">
        <v>598</v>
      </c>
      <c r="J1456" s="13" t="s">
        <v>1429</v>
      </c>
      <c r="K1456" s="13" t="s">
        <v>303</v>
      </c>
      <c r="L1456" s="13" t="s">
        <v>2195</v>
      </c>
      <c r="M1456" s="6" t="s">
        <v>188</v>
      </c>
      <c r="N1456" s="6" t="s">
        <v>188</v>
      </c>
      <c r="O1456" s="6" t="s">
        <v>190</v>
      </c>
      <c r="P1456" s="7" t="s">
        <v>333</v>
      </c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</row>
    <row r="1457">
      <c r="A1457" s="12">
        <v>37.0</v>
      </c>
      <c r="B1457" s="7" t="s">
        <v>551</v>
      </c>
      <c r="C1457" s="7" t="s">
        <v>1397</v>
      </c>
      <c r="I1457" s="13" t="s">
        <v>1746</v>
      </c>
      <c r="J1457" s="13" t="s">
        <v>1422</v>
      </c>
      <c r="K1457" s="13" t="s">
        <v>303</v>
      </c>
      <c r="L1457" s="13" t="s">
        <v>2196</v>
      </c>
      <c r="M1457" s="6" t="s">
        <v>188</v>
      </c>
      <c r="N1457" s="6" t="s">
        <v>188</v>
      </c>
      <c r="O1457" s="6" t="s">
        <v>190</v>
      </c>
      <c r="P1457" s="7" t="s">
        <v>333</v>
      </c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</row>
    <row r="1458">
      <c r="A1458" s="12">
        <v>37.0</v>
      </c>
      <c r="B1458" s="7" t="s">
        <v>551</v>
      </c>
      <c r="C1458" s="7" t="s">
        <v>1397</v>
      </c>
      <c r="I1458" s="13" t="s">
        <v>1731</v>
      </c>
      <c r="J1458" s="13" t="s">
        <v>1426</v>
      </c>
      <c r="K1458" s="13" t="s">
        <v>303</v>
      </c>
      <c r="L1458" s="13" t="s">
        <v>2196</v>
      </c>
      <c r="M1458" s="6" t="s">
        <v>188</v>
      </c>
      <c r="N1458" s="6" t="s">
        <v>188</v>
      </c>
      <c r="O1458" s="6" t="s">
        <v>190</v>
      </c>
      <c r="P1458" s="7" t="s">
        <v>333</v>
      </c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</row>
    <row r="1459">
      <c r="A1459" s="12">
        <v>37.0</v>
      </c>
      <c r="B1459" s="7" t="s">
        <v>551</v>
      </c>
      <c r="C1459" s="7" t="s">
        <v>1397</v>
      </c>
      <c r="I1459" s="13" t="s">
        <v>2176</v>
      </c>
      <c r="J1459" s="13" t="s">
        <v>1429</v>
      </c>
      <c r="K1459" s="13" t="s">
        <v>303</v>
      </c>
      <c r="L1459" s="13" t="s">
        <v>2197</v>
      </c>
      <c r="M1459" s="6" t="s">
        <v>188</v>
      </c>
      <c r="N1459" s="6" t="s">
        <v>188</v>
      </c>
      <c r="O1459" s="6" t="s">
        <v>190</v>
      </c>
      <c r="P1459" s="7" t="s">
        <v>333</v>
      </c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</row>
    <row r="1460">
      <c r="A1460" s="12">
        <v>37.0</v>
      </c>
      <c r="B1460" s="7" t="s">
        <v>551</v>
      </c>
      <c r="C1460" s="7" t="s">
        <v>1397</v>
      </c>
      <c r="I1460" s="13" t="s">
        <v>1718</v>
      </c>
      <c r="J1460" s="13" t="s">
        <v>1422</v>
      </c>
      <c r="K1460" s="13" t="s">
        <v>303</v>
      </c>
      <c r="L1460" s="13" t="s">
        <v>2198</v>
      </c>
      <c r="M1460" s="6" t="s">
        <v>188</v>
      </c>
      <c r="N1460" s="6" t="s">
        <v>188</v>
      </c>
      <c r="O1460" s="6" t="s">
        <v>190</v>
      </c>
      <c r="P1460" s="7" t="s">
        <v>333</v>
      </c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</row>
    <row r="1461">
      <c r="A1461" s="12">
        <v>37.0</v>
      </c>
      <c r="B1461" s="7" t="s">
        <v>551</v>
      </c>
      <c r="C1461" s="7" t="s">
        <v>1397</v>
      </c>
      <c r="I1461" s="13" t="s">
        <v>1733</v>
      </c>
      <c r="J1461" s="13" t="s">
        <v>1426</v>
      </c>
      <c r="K1461" s="13" t="s">
        <v>303</v>
      </c>
      <c r="L1461" s="13" t="s">
        <v>2198</v>
      </c>
      <c r="M1461" s="6" t="s">
        <v>188</v>
      </c>
      <c r="N1461" s="6" t="s">
        <v>188</v>
      </c>
      <c r="O1461" s="6" t="s">
        <v>190</v>
      </c>
      <c r="P1461" s="7" t="s">
        <v>333</v>
      </c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</row>
    <row r="1462">
      <c r="A1462" s="12">
        <v>37.0</v>
      </c>
      <c r="B1462" s="7" t="s">
        <v>551</v>
      </c>
      <c r="C1462" s="7" t="s">
        <v>1397</v>
      </c>
      <c r="I1462" s="13" t="s">
        <v>2199</v>
      </c>
      <c r="J1462" s="13" t="s">
        <v>1429</v>
      </c>
      <c r="K1462" s="13" t="s">
        <v>303</v>
      </c>
      <c r="L1462" s="13" t="s">
        <v>2200</v>
      </c>
      <c r="M1462" s="6" t="s">
        <v>188</v>
      </c>
      <c r="N1462" s="6" t="s">
        <v>188</v>
      </c>
      <c r="O1462" s="6" t="s">
        <v>190</v>
      </c>
      <c r="P1462" s="7" t="s">
        <v>333</v>
      </c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</row>
    <row r="1463">
      <c r="A1463" s="12">
        <v>37.0</v>
      </c>
      <c r="B1463" s="7" t="s">
        <v>551</v>
      </c>
      <c r="C1463" s="7" t="s">
        <v>1397</v>
      </c>
      <c r="I1463" s="13" t="s">
        <v>1744</v>
      </c>
      <c r="J1463" s="13" t="s">
        <v>1422</v>
      </c>
      <c r="K1463" s="13" t="s">
        <v>303</v>
      </c>
      <c r="L1463" s="13" t="s">
        <v>2201</v>
      </c>
      <c r="M1463" s="6" t="s">
        <v>188</v>
      </c>
      <c r="N1463" s="6" t="s">
        <v>188</v>
      </c>
      <c r="O1463" s="6" t="s">
        <v>190</v>
      </c>
      <c r="P1463" s="7" t="s">
        <v>333</v>
      </c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</row>
    <row r="1464">
      <c r="A1464" s="12">
        <v>37.0</v>
      </c>
      <c r="B1464" s="7" t="s">
        <v>551</v>
      </c>
      <c r="C1464" s="7" t="s">
        <v>1397</v>
      </c>
      <c r="I1464" s="13" t="s">
        <v>2202</v>
      </c>
      <c r="J1464" s="13" t="s">
        <v>1426</v>
      </c>
      <c r="K1464" s="13" t="s">
        <v>303</v>
      </c>
      <c r="L1464" s="13" t="s">
        <v>2203</v>
      </c>
      <c r="M1464" s="6" t="s">
        <v>188</v>
      </c>
      <c r="N1464" s="6" t="s">
        <v>188</v>
      </c>
      <c r="O1464" s="6" t="s">
        <v>190</v>
      </c>
      <c r="P1464" s="7" t="s">
        <v>333</v>
      </c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</row>
    <row r="1465">
      <c r="A1465" s="12">
        <v>37.0</v>
      </c>
      <c r="B1465" s="7" t="s">
        <v>551</v>
      </c>
      <c r="C1465" s="7" t="s">
        <v>1397</v>
      </c>
      <c r="I1465" s="13" t="s">
        <v>2204</v>
      </c>
      <c r="J1465" s="13" t="s">
        <v>1429</v>
      </c>
      <c r="K1465" s="13" t="s">
        <v>303</v>
      </c>
      <c r="L1465" s="13" t="s">
        <v>2203</v>
      </c>
      <c r="M1465" s="6" t="s">
        <v>188</v>
      </c>
      <c r="N1465" s="6" t="s">
        <v>188</v>
      </c>
      <c r="O1465" s="6" t="s">
        <v>190</v>
      </c>
      <c r="P1465" s="7" t="s">
        <v>333</v>
      </c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</row>
    <row r="1466">
      <c r="A1466" s="12">
        <v>37.0</v>
      </c>
      <c r="B1466" s="7" t="s">
        <v>551</v>
      </c>
      <c r="C1466" s="7" t="s">
        <v>1397</v>
      </c>
      <c r="I1466" s="13" t="s">
        <v>1293</v>
      </c>
      <c r="J1466" s="13" t="s">
        <v>1422</v>
      </c>
      <c r="K1466" s="13" t="s">
        <v>303</v>
      </c>
      <c r="L1466" s="13" t="s">
        <v>2205</v>
      </c>
      <c r="M1466" s="6" t="s">
        <v>188</v>
      </c>
      <c r="N1466" s="6" t="s">
        <v>188</v>
      </c>
      <c r="O1466" s="6" t="s">
        <v>190</v>
      </c>
      <c r="P1466" s="7" t="s">
        <v>333</v>
      </c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</row>
    <row r="1467">
      <c r="A1467" s="12">
        <v>37.0</v>
      </c>
      <c r="B1467" s="7" t="s">
        <v>551</v>
      </c>
      <c r="C1467" s="7" t="s">
        <v>1397</v>
      </c>
      <c r="I1467" s="13" t="s">
        <v>1736</v>
      </c>
      <c r="J1467" s="13" t="s">
        <v>1426</v>
      </c>
      <c r="K1467" s="13" t="s">
        <v>303</v>
      </c>
      <c r="L1467" s="13" t="s">
        <v>2206</v>
      </c>
      <c r="M1467" s="6" t="s">
        <v>188</v>
      </c>
      <c r="N1467" s="6" t="s">
        <v>188</v>
      </c>
      <c r="O1467" s="6" t="s">
        <v>190</v>
      </c>
      <c r="P1467" s="7" t="s">
        <v>333</v>
      </c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</row>
    <row r="1468">
      <c r="A1468" s="12">
        <v>37.0</v>
      </c>
      <c r="B1468" s="7" t="s">
        <v>551</v>
      </c>
      <c r="C1468" s="7" t="s">
        <v>1397</v>
      </c>
      <c r="I1468" s="13" t="s">
        <v>1136</v>
      </c>
      <c r="J1468" s="13" t="s">
        <v>1429</v>
      </c>
      <c r="K1468" s="13" t="s">
        <v>303</v>
      </c>
      <c r="L1468" s="13" t="s">
        <v>2200</v>
      </c>
      <c r="M1468" s="6" t="s">
        <v>188</v>
      </c>
      <c r="N1468" s="6" t="s">
        <v>188</v>
      </c>
      <c r="O1468" s="6" t="s">
        <v>190</v>
      </c>
      <c r="P1468" s="7" t="s">
        <v>333</v>
      </c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</row>
    <row r="1469">
      <c r="A1469" s="12">
        <v>37.0</v>
      </c>
      <c r="B1469" s="7" t="s">
        <v>551</v>
      </c>
      <c r="C1469" s="7" t="s">
        <v>1397</v>
      </c>
      <c r="I1469" s="13" t="s">
        <v>1751</v>
      </c>
      <c r="J1469" s="13" t="s">
        <v>1422</v>
      </c>
      <c r="K1469" s="13" t="s">
        <v>303</v>
      </c>
      <c r="L1469" s="13" t="s">
        <v>2200</v>
      </c>
      <c r="M1469" s="6" t="s">
        <v>188</v>
      </c>
      <c r="N1469" s="6" t="s">
        <v>188</v>
      </c>
      <c r="O1469" s="6" t="s">
        <v>190</v>
      </c>
      <c r="P1469" s="7" t="s">
        <v>333</v>
      </c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</row>
    <row r="1470">
      <c r="A1470" s="12">
        <v>37.0</v>
      </c>
      <c r="B1470" s="7" t="s">
        <v>551</v>
      </c>
      <c r="C1470" s="7" t="s">
        <v>1397</v>
      </c>
      <c r="I1470" s="13" t="s">
        <v>746</v>
      </c>
      <c r="J1470" s="13" t="s">
        <v>1426</v>
      </c>
      <c r="K1470" s="13" t="s">
        <v>303</v>
      </c>
      <c r="L1470" s="13" t="s">
        <v>2203</v>
      </c>
      <c r="M1470" s="6" t="s">
        <v>188</v>
      </c>
      <c r="N1470" s="6" t="s">
        <v>188</v>
      </c>
      <c r="O1470" s="6" t="s">
        <v>190</v>
      </c>
      <c r="P1470" s="7" t="s">
        <v>333</v>
      </c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</row>
    <row r="1471">
      <c r="A1471" s="12">
        <v>37.0</v>
      </c>
      <c r="B1471" s="7" t="s">
        <v>551</v>
      </c>
      <c r="C1471" s="7" t="s">
        <v>1397</v>
      </c>
      <c r="I1471" s="13" t="s">
        <v>2073</v>
      </c>
      <c r="J1471" s="13" t="s">
        <v>1429</v>
      </c>
      <c r="K1471" s="13" t="s">
        <v>303</v>
      </c>
      <c r="L1471" s="13" t="s">
        <v>2207</v>
      </c>
      <c r="M1471" s="6" t="s">
        <v>188</v>
      </c>
      <c r="N1471" s="6" t="s">
        <v>188</v>
      </c>
      <c r="O1471" s="6" t="s">
        <v>190</v>
      </c>
      <c r="P1471" s="7" t="s">
        <v>333</v>
      </c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</row>
    <row r="1472">
      <c r="A1472" s="12">
        <v>38.0</v>
      </c>
      <c r="B1472" s="7" t="s">
        <v>552</v>
      </c>
      <c r="C1472" s="7" t="s">
        <v>1435</v>
      </c>
      <c r="D1472" s="26">
        <f>IF(COUNTIF($B$2:$B1472,$B1472)&gt;1,"",COUNTIF($B$2:$B$3400,$B1472))</f>
        <v>30</v>
      </c>
      <c r="E1472" s="26">
        <f>IF(COUNTIF($B$2:$B1472,$B1472)&gt;1,"",COUNTIFS($B$2:$B$3400,$B1472,$K$2:$K$3400,"PHÙ HỢP CAO"))</f>
        <v>4</v>
      </c>
      <c r="F1472" s="26">
        <f>IF(COUNTIF($B$2:$B1472,$B1472)&gt;1,"",COUNTIFS($B$2:$B$3400,$B1472,$K$2:$K$3400,"CÓ THỂ ĐI"))</f>
        <v>0</v>
      </c>
      <c r="G1472" s="26">
        <f>IF(COUNTIF($B$2:$B1472,$B1472)&gt;1,"",COUNTIFS($B$2:$B$3400,$B1472,$K$2:$K$3400,"CẦN SOÁT"))</f>
        <v>26</v>
      </c>
      <c r="H1472" s="27" t="str">
        <f>IFERROR(__xludf.DUMMYFUNCTION("IF(COUNTIF($B$2:$B1472,$B1472)&gt;1,"""",IFERROR(TEXTJOIN(CHAR(10),TRUE,BYROW(QUERY({$B$2:$B$3400,$J$2:$J$3400},""select Col2, count(Col2) where Col1 = '""&amp;$B1472&amp;""' group by Col2 order by count(Col2) desc label count(Col2) ''"",0),LAMBDA(r,INDEX(r,1,1)&amp;"" "&amp;"– ""&amp;INDEX(r,1,2)&amp;"" link""))),""""))"),"1 Tệ bằng bao nhiêu tiền Việt – 15 link
tỷ giá Nhân dân tệ – 15 link")</f>
        <v>1 Tệ bằng bao nhiêu tiền Việt – 15 link
tỷ giá Nhân dân tệ – 15 link</v>
      </c>
      <c r="I1472" s="10" t="s">
        <v>1436</v>
      </c>
      <c r="J1472" s="13" t="s">
        <v>1439</v>
      </c>
      <c r="K1472" s="13" t="s">
        <v>184</v>
      </c>
      <c r="L1472" s="13" t="s">
        <v>2208</v>
      </c>
      <c r="M1472" s="6" t="s">
        <v>188</v>
      </c>
      <c r="N1472" s="6" t="s">
        <v>188</v>
      </c>
      <c r="O1472" s="6" t="s">
        <v>190</v>
      </c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</row>
    <row r="1473">
      <c r="A1473" s="12">
        <v>38.0</v>
      </c>
      <c r="B1473" s="7" t="s">
        <v>552</v>
      </c>
      <c r="C1473" s="7" t="s">
        <v>1435</v>
      </c>
      <c r="I1473" s="10" t="s">
        <v>1440</v>
      </c>
      <c r="J1473" s="13" t="s">
        <v>1442</v>
      </c>
      <c r="K1473" s="13" t="s">
        <v>184</v>
      </c>
      <c r="L1473" s="13" t="s">
        <v>2209</v>
      </c>
      <c r="M1473" s="6" t="s">
        <v>188</v>
      </c>
      <c r="N1473" s="6" t="s">
        <v>188</v>
      </c>
      <c r="O1473" s="6" t="s">
        <v>190</v>
      </c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</row>
    <row r="1474">
      <c r="A1474" s="12">
        <v>38.0</v>
      </c>
      <c r="B1474" s="7" t="s">
        <v>552</v>
      </c>
      <c r="C1474" s="7" t="s">
        <v>1435</v>
      </c>
      <c r="I1474" s="10" t="s">
        <v>1443</v>
      </c>
      <c r="J1474" s="13" t="s">
        <v>1439</v>
      </c>
      <c r="K1474" s="13" t="s">
        <v>184</v>
      </c>
      <c r="L1474" s="13" t="s">
        <v>2210</v>
      </c>
      <c r="M1474" s="6" t="s">
        <v>188</v>
      </c>
      <c r="N1474" s="6" t="s">
        <v>188</v>
      </c>
      <c r="O1474" s="6" t="s">
        <v>190</v>
      </c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</row>
    <row r="1475">
      <c r="A1475" s="12">
        <v>38.0</v>
      </c>
      <c r="B1475" s="7" t="s">
        <v>552</v>
      </c>
      <c r="C1475" s="7" t="s">
        <v>1435</v>
      </c>
      <c r="I1475" s="10" t="s">
        <v>1445</v>
      </c>
      <c r="J1475" s="13" t="s">
        <v>1442</v>
      </c>
      <c r="K1475" s="13" t="s">
        <v>184</v>
      </c>
      <c r="L1475" s="13" t="s">
        <v>2211</v>
      </c>
      <c r="M1475" s="6" t="s">
        <v>188</v>
      </c>
      <c r="N1475" s="6" t="s">
        <v>188</v>
      </c>
      <c r="O1475" s="6" t="s">
        <v>190</v>
      </c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</row>
    <row r="1476">
      <c r="A1476" s="12">
        <v>38.0</v>
      </c>
      <c r="B1476" s="7" t="s">
        <v>552</v>
      </c>
      <c r="C1476" s="7" t="s">
        <v>1435</v>
      </c>
      <c r="I1476" s="10" t="s">
        <v>1360</v>
      </c>
      <c r="J1476" s="13" t="s">
        <v>1439</v>
      </c>
      <c r="K1476" s="13" t="s">
        <v>303</v>
      </c>
      <c r="L1476" s="13" t="s">
        <v>2212</v>
      </c>
      <c r="M1476" s="6" t="s">
        <v>188</v>
      </c>
      <c r="N1476" s="6" t="s">
        <v>188</v>
      </c>
      <c r="O1476" s="6" t="s">
        <v>190</v>
      </c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</row>
    <row r="1477">
      <c r="A1477" s="12">
        <v>38.0</v>
      </c>
      <c r="B1477" s="7" t="s">
        <v>552</v>
      </c>
      <c r="C1477" s="7" t="s">
        <v>1435</v>
      </c>
      <c r="I1477" s="10" t="s">
        <v>1448</v>
      </c>
      <c r="J1477" s="13" t="s">
        <v>1442</v>
      </c>
      <c r="K1477" s="13" t="s">
        <v>303</v>
      </c>
      <c r="L1477" s="13" t="s">
        <v>2212</v>
      </c>
      <c r="M1477" s="6" t="s">
        <v>188</v>
      </c>
      <c r="N1477" s="6" t="s">
        <v>188</v>
      </c>
      <c r="O1477" s="6" t="s">
        <v>190</v>
      </c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</row>
    <row r="1478">
      <c r="A1478" s="12">
        <v>38.0</v>
      </c>
      <c r="B1478" s="7" t="s">
        <v>552</v>
      </c>
      <c r="C1478" s="7" t="s">
        <v>1435</v>
      </c>
      <c r="I1478" s="10" t="s">
        <v>1519</v>
      </c>
      <c r="J1478" s="13" t="s">
        <v>1439</v>
      </c>
      <c r="K1478" s="13" t="s">
        <v>303</v>
      </c>
      <c r="L1478" s="13" t="s">
        <v>2212</v>
      </c>
      <c r="M1478" s="6" t="s">
        <v>188</v>
      </c>
      <c r="N1478" s="6" t="s">
        <v>188</v>
      </c>
      <c r="O1478" s="6" t="s">
        <v>190</v>
      </c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</row>
    <row r="1479">
      <c r="A1479" s="12">
        <v>38.0</v>
      </c>
      <c r="B1479" s="7" t="s">
        <v>552</v>
      </c>
      <c r="C1479" s="7" t="s">
        <v>1435</v>
      </c>
      <c r="I1479" s="10" t="s">
        <v>1514</v>
      </c>
      <c r="J1479" s="13" t="s">
        <v>1442</v>
      </c>
      <c r="K1479" s="13" t="s">
        <v>303</v>
      </c>
      <c r="L1479" s="13" t="s">
        <v>2212</v>
      </c>
      <c r="M1479" s="6" t="s">
        <v>188</v>
      </c>
      <c r="N1479" s="6" t="s">
        <v>188</v>
      </c>
      <c r="O1479" s="6" t="s">
        <v>190</v>
      </c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</row>
    <row r="1480">
      <c r="A1480" s="12">
        <v>38.0</v>
      </c>
      <c r="B1480" s="7" t="s">
        <v>552</v>
      </c>
      <c r="C1480" s="7" t="s">
        <v>1435</v>
      </c>
      <c r="I1480" s="10" t="s">
        <v>1096</v>
      </c>
      <c r="J1480" s="13" t="s">
        <v>1439</v>
      </c>
      <c r="K1480" s="13" t="s">
        <v>303</v>
      </c>
      <c r="L1480" s="13" t="s">
        <v>2212</v>
      </c>
      <c r="M1480" s="6" t="s">
        <v>188</v>
      </c>
      <c r="N1480" s="6" t="s">
        <v>188</v>
      </c>
      <c r="O1480" s="6" t="s">
        <v>190</v>
      </c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</row>
    <row r="1481">
      <c r="A1481" s="12">
        <v>38.0</v>
      </c>
      <c r="B1481" s="7" t="s">
        <v>552</v>
      </c>
      <c r="C1481" s="7" t="s">
        <v>1435</v>
      </c>
      <c r="I1481" s="10" t="s">
        <v>1540</v>
      </c>
      <c r="J1481" s="13" t="s">
        <v>1442</v>
      </c>
      <c r="K1481" s="13" t="s">
        <v>303</v>
      </c>
      <c r="L1481" s="13" t="s">
        <v>2212</v>
      </c>
      <c r="M1481" s="6" t="s">
        <v>188</v>
      </c>
      <c r="N1481" s="6" t="s">
        <v>188</v>
      </c>
      <c r="O1481" s="6" t="s">
        <v>190</v>
      </c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</row>
    <row r="1482">
      <c r="A1482" s="12">
        <v>38.0</v>
      </c>
      <c r="B1482" s="7" t="s">
        <v>552</v>
      </c>
      <c r="C1482" s="7" t="s">
        <v>1435</v>
      </c>
      <c r="I1482" s="10" t="s">
        <v>2213</v>
      </c>
      <c r="J1482" s="13" t="s">
        <v>1439</v>
      </c>
      <c r="K1482" s="13" t="s">
        <v>303</v>
      </c>
      <c r="L1482" s="13" t="s">
        <v>2212</v>
      </c>
      <c r="M1482" s="6" t="s">
        <v>188</v>
      </c>
      <c r="N1482" s="6" t="s">
        <v>188</v>
      </c>
      <c r="O1482" s="6" t="s">
        <v>190</v>
      </c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</row>
    <row r="1483">
      <c r="A1483" s="12">
        <v>38.0</v>
      </c>
      <c r="B1483" s="7" t="s">
        <v>552</v>
      </c>
      <c r="C1483" s="7" t="s">
        <v>1435</v>
      </c>
      <c r="I1483" s="10" t="s">
        <v>2214</v>
      </c>
      <c r="J1483" s="13" t="s">
        <v>1442</v>
      </c>
      <c r="K1483" s="13" t="s">
        <v>303</v>
      </c>
      <c r="L1483" s="13" t="s">
        <v>2212</v>
      </c>
      <c r="M1483" s="6" t="s">
        <v>188</v>
      </c>
      <c r="N1483" s="6" t="s">
        <v>188</v>
      </c>
      <c r="O1483" s="6" t="s">
        <v>190</v>
      </c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</row>
    <row r="1484">
      <c r="A1484" s="12">
        <v>38.0</v>
      </c>
      <c r="B1484" s="7" t="s">
        <v>552</v>
      </c>
      <c r="C1484" s="7" t="s">
        <v>1435</v>
      </c>
      <c r="I1484" s="10" t="s">
        <v>569</v>
      </c>
      <c r="J1484" s="13" t="s">
        <v>1439</v>
      </c>
      <c r="K1484" s="13" t="s">
        <v>303</v>
      </c>
      <c r="L1484" s="13" t="s">
        <v>2215</v>
      </c>
      <c r="M1484" s="6" t="s">
        <v>188</v>
      </c>
      <c r="N1484" s="6" t="s">
        <v>188</v>
      </c>
      <c r="O1484" s="6" t="s">
        <v>190</v>
      </c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</row>
    <row r="1485">
      <c r="A1485" s="12">
        <v>38.0</v>
      </c>
      <c r="B1485" s="7" t="s">
        <v>552</v>
      </c>
      <c r="C1485" s="7" t="s">
        <v>1435</v>
      </c>
      <c r="I1485" s="10" t="s">
        <v>754</v>
      </c>
      <c r="J1485" s="13" t="s">
        <v>1442</v>
      </c>
      <c r="K1485" s="13" t="s">
        <v>303</v>
      </c>
      <c r="L1485" s="13" t="s">
        <v>2212</v>
      </c>
      <c r="M1485" s="6" t="s">
        <v>188</v>
      </c>
      <c r="N1485" s="6" t="s">
        <v>188</v>
      </c>
      <c r="O1485" s="6" t="s">
        <v>190</v>
      </c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</row>
    <row r="1486">
      <c r="A1486" s="12">
        <v>38.0</v>
      </c>
      <c r="B1486" s="7" t="s">
        <v>552</v>
      </c>
      <c r="C1486" s="7" t="s">
        <v>1435</v>
      </c>
      <c r="I1486" s="10" t="s">
        <v>2216</v>
      </c>
      <c r="J1486" s="13" t="s">
        <v>1439</v>
      </c>
      <c r="K1486" s="13" t="s">
        <v>303</v>
      </c>
      <c r="L1486" s="13" t="s">
        <v>2212</v>
      </c>
      <c r="M1486" s="6" t="s">
        <v>188</v>
      </c>
      <c r="N1486" s="6" t="s">
        <v>188</v>
      </c>
      <c r="O1486" s="6" t="s">
        <v>190</v>
      </c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</row>
    <row r="1487">
      <c r="A1487" s="12">
        <v>38.0</v>
      </c>
      <c r="B1487" s="7" t="s">
        <v>552</v>
      </c>
      <c r="C1487" s="7" t="s">
        <v>1435</v>
      </c>
      <c r="I1487" s="10" t="s">
        <v>1466</v>
      </c>
      <c r="J1487" s="13" t="s">
        <v>1442</v>
      </c>
      <c r="K1487" s="13" t="s">
        <v>303</v>
      </c>
      <c r="L1487" s="13" t="s">
        <v>2212</v>
      </c>
      <c r="M1487" s="6" t="s">
        <v>188</v>
      </c>
      <c r="N1487" s="6" t="s">
        <v>188</v>
      </c>
      <c r="O1487" s="6" t="s">
        <v>190</v>
      </c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</row>
    <row r="1488">
      <c r="A1488" s="12">
        <v>38.0</v>
      </c>
      <c r="B1488" s="7" t="s">
        <v>552</v>
      </c>
      <c r="C1488" s="7" t="s">
        <v>1435</v>
      </c>
      <c r="I1488" s="10" t="s">
        <v>568</v>
      </c>
      <c r="J1488" s="13" t="s">
        <v>1439</v>
      </c>
      <c r="K1488" s="13" t="s">
        <v>303</v>
      </c>
      <c r="L1488" s="13" t="s">
        <v>2212</v>
      </c>
      <c r="M1488" s="6" t="s">
        <v>188</v>
      </c>
      <c r="N1488" s="6" t="s">
        <v>188</v>
      </c>
      <c r="O1488" s="6" t="s">
        <v>190</v>
      </c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</row>
    <row r="1489">
      <c r="A1489" s="12">
        <v>38.0</v>
      </c>
      <c r="B1489" s="7" t="s">
        <v>552</v>
      </c>
      <c r="C1489" s="7" t="s">
        <v>1435</v>
      </c>
      <c r="I1489" s="10" t="s">
        <v>559</v>
      </c>
      <c r="J1489" s="13" t="s">
        <v>1442</v>
      </c>
      <c r="K1489" s="13" t="s">
        <v>303</v>
      </c>
      <c r="L1489" s="13" t="s">
        <v>2212</v>
      </c>
      <c r="M1489" s="6" t="s">
        <v>188</v>
      </c>
      <c r="N1489" s="6" t="s">
        <v>188</v>
      </c>
      <c r="O1489" s="6" t="s">
        <v>190</v>
      </c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</row>
    <row r="1490">
      <c r="A1490" s="12">
        <v>38.0</v>
      </c>
      <c r="B1490" s="7" t="s">
        <v>552</v>
      </c>
      <c r="C1490" s="7" t="s">
        <v>1435</v>
      </c>
      <c r="I1490" s="10" t="s">
        <v>1376</v>
      </c>
      <c r="J1490" s="13" t="s">
        <v>1439</v>
      </c>
      <c r="K1490" s="13" t="s">
        <v>303</v>
      </c>
      <c r="L1490" s="13" t="s">
        <v>2212</v>
      </c>
      <c r="M1490" s="6" t="s">
        <v>188</v>
      </c>
      <c r="N1490" s="6" t="s">
        <v>188</v>
      </c>
      <c r="O1490" s="6" t="s">
        <v>190</v>
      </c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</row>
    <row r="1491">
      <c r="A1491" s="12">
        <v>38.0</v>
      </c>
      <c r="B1491" s="7" t="s">
        <v>552</v>
      </c>
      <c r="C1491" s="7" t="s">
        <v>1435</v>
      </c>
      <c r="I1491" s="10" t="s">
        <v>1379</v>
      </c>
      <c r="J1491" s="13" t="s">
        <v>1442</v>
      </c>
      <c r="K1491" s="13" t="s">
        <v>303</v>
      </c>
      <c r="L1491" s="13" t="s">
        <v>2212</v>
      </c>
      <c r="M1491" s="6" t="s">
        <v>188</v>
      </c>
      <c r="N1491" s="6" t="s">
        <v>188</v>
      </c>
      <c r="O1491" s="6" t="s">
        <v>190</v>
      </c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</row>
    <row r="1492">
      <c r="A1492" s="12">
        <v>38.0</v>
      </c>
      <c r="B1492" s="7" t="s">
        <v>552</v>
      </c>
      <c r="C1492" s="7" t="s">
        <v>1435</v>
      </c>
      <c r="I1492" s="13" t="s">
        <v>553</v>
      </c>
      <c r="J1492" s="13" t="s">
        <v>1439</v>
      </c>
      <c r="K1492" s="13" t="s">
        <v>303</v>
      </c>
      <c r="L1492" s="13" t="s">
        <v>2217</v>
      </c>
      <c r="M1492" s="6" t="s">
        <v>188</v>
      </c>
      <c r="N1492" s="6" t="s">
        <v>188</v>
      </c>
      <c r="O1492" s="6" t="s">
        <v>190</v>
      </c>
      <c r="P1492" s="7" t="s">
        <v>333</v>
      </c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</row>
    <row r="1493">
      <c r="A1493" s="12">
        <v>38.0</v>
      </c>
      <c r="B1493" s="7" t="s">
        <v>552</v>
      </c>
      <c r="C1493" s="7" t="s">
        <v>1435</v>
      </c>
      <c r="I1493" s="13" t="s">
        <v>576</v>
      </c>
      <c r="J1493" s="13" t="s">
        <v>1442</v>
      </c>
      <c r="K1493" s="13" t="s">
        <v>303</v>
      </c>
      <c r="L1493" s="13" t="s">
        <v>2218</v>
      </c>
      <c r="M1493" s="6" t="s">
        <v>188</v>
      </c>
      <c r="N1493" s="6" t="s">
        <v>188</v>
      </c>
      <c r="O1493" s="6" t="s">
        <v>190</v>
      </c>
      <c r="P1493" s="7" t="s">
        <v>333</v>
      </c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</row>
    <row r="1494">
      <c r="A1494" s="12">
        <v>38.0</v>
      </c>
      <c r="B1494" s="7" t="s">
        <v>552</v>
      </c>
      <c r="C1494" s="7" t="s">
        <v>1435</v>
      </c>
      <c r="I1494" s="13" t="s">
        <v>2219</v>
      </c>
      <c r="J1494" s="13" t="s">
        <v>1439</v>
      </c>
      <c r="K1494" s="13" t="s">
        <v>303</v>
      </c>
      <c r="L1494" s="13" t="s">
        <v>2220</v>
      </c>
      <c r="M1494" s="6" t="s">
        <v>188</v>
      </c>
      <c r="N1494" s="6" t="s">
        <v>188</v>
      </c>
      <c r="O1494" s="6" t="s">
        <v>190</v>
      </c>
      <c r="P1494" s="7" t="s">
        <v>333</v>
      </c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</row>
    <row r="1495">
      <c r="A1495" s="12">
        <v>38.0</v>
      </c>
      <c r="B1495" s="7" t="s">
        <v>552</v>
      </c>
      <c r="C1495" s="7" t="s">
        <v>1435</v>
      </c>
      <c r="I1495" s="13" t="s">
        <v>1479</v>
      </c>
      <c r="J1495" s="13" t="s">
        <v>1442</v>
      </c>
      <c r="K1495" s="13" t="s">
        <v>303</v>
      </c>
      <c r="L1495" s="13" t="s">
        <v>2221</v>
      </c>
      <c r="M1495" s="6" t="s">
        <v>188</v>
      </c>
      <c r="N1495" s="6" t="s">
        <v>188</v>
      </c>
      <c r="O1495" s="6" t="s">
        <v>190</v>
      </c>
      <c r="P1495" s="7" t="s">
        <v>333</v>
      </c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</row>
    <row r="1496">
      <c r="A1496" s="12">
        <v>38.0</v>
      </c>
      <c r="B1496" s="7" t="s">
        <v>552</v>
      </c>
      <c r="C1496" s="7" t="s">
        <v>1435</v>
      </c>
      <c r="I1496" s="13" t="s">
        <v>2222</v>
      </c>
      <c r="J1496" s="13" t="s">
        <v>1439</v>
      </c>
      <c r="K1496" s="13" t="s">
        <v>303</v>
      </c>
      <c r="L1496" s="13" t="s">
        <v>2223</v>
      </c>
      <c r="M1496" s="6" t="s">
        <v>188</v>
      </c>
      <c r="N1496" s="6" t="s">
        <v>188</v>
      </c>
      <c r="O1496" s="6" t="s">
        <v>190</v>
      </c>
      <c r="P1496" s="7" t="s">
        <v>333</v>
      </c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</row>
    <row r="1497">
      <c r="A1497" s="12">
        <v>38.0</v>
      </c>
      <c r="B1497" s="7" t="s">
        <v>552</v>
      </c>
      <c r="C1497" s="7" t="s">
        <v>1435</v>
      </c>
      <c r="I1497" s="13" t="s">
        <v>2224</v>
      </c>
      <c r="J1497" s="13" t="s">
        <v>1442</v>
      </c>
      <c r="K1497" s="13" t="s">
        <v>303</v>
      </c>
      <c r="L1497" s="13" t="s">
        <v>2223</v>
      </c>
      <c r="M1497" s="6" t="s">
        <v>188</v>
      </c>
      <c r="N1497" s="6" t="s">
        <v>188</v>
      </c>
      <c r="O1497" s="6" t="s">
        <v>190</v>
      </c>
      <c r="P1497" s="7" t="s">
        <v>333</v>
      </c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</row>
    <row r="1498">
      <c r="A1498" s="12">
        <v>38.0</v>
      </c>
      <c r="B1498" s="7" t="s">
        <v>552</v>
      </c>
      <c r="C1498" s="7" t="s">
        <v>1435</v>
      </c>
      <c r="I1498" s="13" t="s">
        <v>558</v>
      </c>
      <c r="J1498" s="13" t="s">
        <v>1439</v>
      </c>
      <c r="K1498" s="13" t="s">
        <v>303</v>
      </c>
      <c r="L1498" s="13" t="s">
        <v>2225</v>
      </c>
      <c r="M1498" s="6" t="s">
        <v>188</v>
      </c>
      <c r="N1498" s="6" t="s">
        <v>188</v>
      </c>
      <c r="O1498" s="6" t="s">
        <v>190</v>
      </c>
      <c r="P1498" s="7" t="s">
        <v>333</v>
      </c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</row>
    <row r="1499">
      <c r="A1499" s="12">
        <v>38.0</v>
      </c>
      <c r="B1499" s="7" t="s">
        <v>552</v>
      </c>
      <c r="C1499" s="7" t="s">
        <v>1435</v>
      </c>
      <c r="I1499" s="13" t="s">
        <v>2226</v>
      </c>
      <c r="J1499" s="13" t="s">
        <v>1442</v>
      </c>
      <c r="K1499" s="13" t="s">
        <v>303</v>
      </c>
      <c r="L1499" s="13" t="s">
        <v>2220</v>
      </c>
      <c r="M1499" s="6" t="s">
        <v>188</v>
      </c>
      <c r="N1499" s="6" t="s">
        <v>188</v>
      </c>
      <c r="O1499" s="6" t="s">
        <v>190</v>
      </c>
      <c r="P1499" s="7" t="s">
        <v>333</v>
      </c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</row>
    <row r="1500">
      <c r="A1500" s="12">
        <v>38.0</v>
      </c>
      <c r="B1500" s="7" t="s">
        <v>552</v>
      </c>
      <c r="C1500" s="7" t="s">
        <v>1435</v>
      </c>
      <c r="I1500" s="13" t="s">
        <v>2227</v>
      </c>
      <c r="J1500" s="13" t="s">
        <v>1439</v>
      </c>
      <c r="K1500" s="13" t="s">
        <v>303</v>
      </c>
      <c r="L1500" s="13" t="s">
        <v>2228</v>
      </c>
      <c r="M1500" s="6" t="s">
        <v>188</v>
      </c>
      <c r="N1500" s="6" t="s">
        <v>188</v>
      </c>
      <c r="O1500" s="6" t="s">
        <v>190</v>
      </c>
      <c r="P1500" s="7" t="s">
        <v>333</v>
      </c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</row>
    <row r="1501">
      <c r="A1501" s="12">
        <v>38.0</v>
      </c>
      <c r="B1501" s="7" t="s">
        <v>552</v>
      </c>
      <c r="C1501" s="7" t="s">
        <v>1435</v>
      </c>
      <c r="I1501" s="13" t="s">
        <v>1456</v>
      </c>
      <c r="J1501" s="13" t="s">
        <v>1442</v>
      </c>
      <c r="K1501" s="13" t="s">
        <v>303</v>
      </c>
      <c r="L1501" s="13" t="s">
        <v>2217</v>
      </c>
      <c r="M1501" s="6" t="s">
        <v>188</v>
      </c>
      <c r="N1501" s="6" t="s">
        <v>188</v>
      </c>
      <c r="O1501" s="6" t="s">
        <v>190</v>
      </c>
      <c r="P1501" s="7" t="s">
        <v>333</v>
      </c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</row>
    <row r="1502">
      <c r="A1502" s="12">
        <v>39.0</v>
      </c>
      <c r="B1502" s="7" t="s">
        <v>553</v>
      </c>
      <c r="C1502" s="7" t="s">
        <v>1435</v>
      </c>
      <c r="D1502" s="26">
        <f>IF(COUNTIF($B$2:$B1502,$B1502)&gt;1,"",COUNTIF($B$2:$B$3400,$B1502))</f>
        <v>30</v>
      </c>
      <c r="E1502" s="26">
        <f>IF(COUNTIF($B$2:$B1502,$B1502)&gt;1,"",COUNTIFS($B$2:$B$3400,$B1502,$K$2:$K$3400,"PHÙ HỢP CAO"))</f>
        <v>3</v>
      </c>
      <c r="F1502" s="26">
        <f>IF(COUNTIF($B$2:$B1502,$B1502)&gt;1,"",COUNTIFS($B$2:$B$3400,$B1502,$K$2:$K$3400,"CÓ THỂ ĐI"))</f>
        <v>2</v>
      </c>
      <c r="G1502" s="26">
        <f>IF(COUNTIF($B$2:$B1502,$B1502)&gt;1,"",COUNTIFS($B$2:$B$3400,$B1502,$K$2:$K$3400,"CẦN SOÁT"))</f>
        <v>25</v>
      </c>
      <c r="H1502" s="27" t="str">
        <f>IFERROR(__xludf.DUMMYFUNCTION("IF(COUNTIF($B$2:$B1502,$B1502)&gt;1,"""",IFERROR(TEXTJOIN(CHAR(10),TRUE,BYROW(QUERY({$B$2:$B$3400,$J$2:$J$3400},""select Col2, count(Col2) where Col1 = '""&amp;$B1502&amp;""' group by Col2 order by count(Col2) desc label count(Col2) ''"",0),LAMBDA(r,INDEX(r,1,1)&amp;"" "&amp;"– ""&amp;INDEX(r,1,2)&amp;"" link""))),""""))"),"1 đô bằng bao nhiêu tiền Việt – 10 link
1 đô la Mỹ bằng bao nhiêu tiền Việt – 10 link
tỷ giá USD/VND – 10 link")</f>
        <v>1 đô bằng bao nhiêu tiền Việt – 10 link
1 đô la Mỹ bằng bao nhiêu tiền Việt – 10 link
tỷ giá USD/VND – 10 link</v>
      </c>
      <c r="I1502" s="10" t="s">
        <v>1447</v>
      </c>
      <c r="J1502" s="13" t="s">
        <v>1450</v>
      </c>
      <c r="K1502" s="13" t="s">
        <v>184</v>
      </c>
      <c r="L1502" s="13" t="s">
        <v>2229</v>
      </c>
      <c r="M1502" s="6" t="s">
        <v>188</v>
      </c>
      <c r="N1502" s="6" t="s">
        <v>188</v>
      </c>
      <c r="O1502" s="6" t="s">
        <v>190</v>
      </c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</row>
    <row r="1503">
      <c r="A1503" s="12">
        <v>39.0</v>
      </c>
      <c r="B1503" s="7" t="s">
        <v>553</v>
      </c>
      <c r="C1503" s="7" t="s">
        <v>1435</v>
      </c>
      <c r="I1503" s="10" t="s">
        <v>1451</v>
      </c>
      <c r="J1503" s="13" t="s">
        <v>1455</v>
      </c>
      <c r="K1503" s="13" t="s">
        <v>184</v>
      </c>
      <c r="L1503" s="13" t="s">
        <v>2230</v>
      </c>
      <c r="M1503" s="6" t="s">
        <v>188</v>
      </c>
      <c r="N1503" s="6" t="s">
        <v>188</v>
      </c>
      <c r="O1503" s="6" t="s">
        <v>190</v>
      </c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</row>
    <row r="1504">
      <c r="A1504" s="12">
        <v>39.0</v>
      </c>
      <c r="B1504" s="7" t="s">
        <v>553</v>
      </c>
      <c r="C1504" s="7" t="s">
        <v>1435</v>
      </c>
      <c r="I1504" s="10" t="s">
        <v>1456</v>
      </c>
      <c r="J1504" s="13" t="s">
        <v>1458</v>
      </c>
      <c r="K1504" s="13" t="s">
        <v>184</v>
      </c>
      <c r="L1504" s="13" t="s">
        <v>2231</v>
      </c>
      <c r="M1504" s="6" t="s">
        <v>188</v>
      </c>
      <c r="N1504" s="6" t="s">
        <v>188</v>
      </c>
      <c r="O1504" s="6" t="s">
        <v>190</v>
      </c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</row>
    <row r="1505">
      <c r="A1505" s="12">
        <v>39.0</v>
      </c>
      <c r="B1505" s="7" t="s">
        <v>553</v>
      </c>
      <c r="C1505" s="7" t="s">
        <v>1435</v>
      </c>
      <c r="I1505" s="10" t="s">
        <v>1459</v>
      </c>
      <c r="J1505" s="13" t="s">
        <v>1450</v>
      </c>
      <c r="K1505" s="13" t="s">
        <v>283</v>
      </c>
      <c r="L1505" s="13" t="s">
        <v>2232</v>
      </c>
      <c r="M1505" s="6" t="s">
        <v>188</v>
      </c>
      <c r="N1505" s="6" t="s">
        <v>188</v>
      </c>
      <c r="O1505" s="6" t="s">
        <v>190</v>
      </c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</row>
    <row r="1506">
      <c r="A1506" s="12">
        <v>39.0</v>
      </c>
      <c r="B1506" s="7" t="s">
        <v>553</v>
      </c>
      <c r="C1506" s="7" t="s">
        <v>1435</v>
      </c>
      <c r="I1506" s="10" t="s">
        <v>1461</v>
      </c>
      <c r="J1506" s="13" t="s">
        <v>1455</v>
      </c>
      <c r="K1506" s="13" t="s">
        <v>283</v>
      </c>
      <c r="L1506" s="13" t="s">
        <v>2233</v>
      </c>
      <c r="M1506" s="6" t="s">
        <v>188</v>
      </c>
      <c r="N1506" s="6" t="s">
        <v>188</v>
      </c>
      <c r="O1506" s="6" t="s">
        <v>190</v>
      </c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</row>
    <row r="1507">
      <c r="A1507" s="12">
        <v>39.0</v>
      </c>
      <c r="B1507" s="7" t="s">
        <v>553</v>
      </c>
      <c r="C1507" s="7" t="s">
        <v>1435</v>
      </c>
      <c r="I1507" s="10" t="s">
        <v>2234</v>
      </c>
      <c r="J1507" s="13" t="s">
        <v>1458</v>
      </c>
      <c r="K1507" s="13" t="s">
        <v>303</v>
      </c>
      <c r="L1507" s="13" t="s">
        <v>2235</v>
      </c>
      <c r="M1507" s="6" t="s">
        <v>188</v>
      </c>
      <c r="N1507" s="6" t="s">
        <v>188</v>
      </c>
      <c r="O1507" s="6" t="s">
        <v>190</v>
      </c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</row>
    <row r="1508">
      <c r="A1508" s="12">
        <v>39.0</v>
      </c>
      <c r="B1508" s="7" t="s">
        <v>553</v>
      </c>
      <c r="C1508" s="7" t="s">
        <v>1435</v>
      </c>
      <c r="I1508" s="10" t="s">
        <v>1519</v>
      </c>
      <c r="J1508" s="13" t="s">
        <v>1450</v>
      </c>
      <c r="K1508" s="13" t="s">
        <v>303</v>
      </c>
      <c r="L1508" s="13" t="s">
        <v>2235</v>
      </c>
      <c r="M1508" s="6" t="s">
        <v>188</v>
      </c>
      <c r="N1508" s="6" t="s">
        <v>188</v>
      </c>
      <c r="O1508" s="6" t="s">
        <v>190</v>
      </c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</row>
    <row r="1509">
      <c r="A1509" s="12">
        <v>39.0</v>
      </c>
      <c r="B1509" s="7" t="s">
        <v>553</v>
      </c>
      <c r="C1509" s="7" t="s">
        <v>1435</v>
      </c>
      <c r="I1509" s="10" t="s">
        <v>1453</v>
      </c>
      <c r="J1509" s="13" t="s">
        <v>1455</v>
      </c>
      <c r="K1509" s="13" t="s">
        <v>303</v>
      </c>
      <c r="L1509" s="13" t="s">
        <v>2235</v>
      </c>
      <c r="M1509" s="6" t="s">
        <v>188</v>
      </c>
      <c r="N1509" s="6" t="s">
        <v>188</v>
      </c>
      <c r="O1509" s="6" t="s">
        <v>190</v>
      </c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</row>
    <row r="1510">
      <c r="A1510" s="12">
        <v>39.0</v>
      </c>
      <c r="B1510" s="7" t="s">
        <v>553</v>
      </c>
      <c r="C1510" s="7" t="s">
        <v>1435</v>
      </c>
      <c r="I1510" s="10" t="s">
        <v>2236</v>
      </c>
      <c r="J1510" s="13" t="s">
        <v>1458</v>
      </c>
      <c r="K1510" s="13" t="s">
        <v>303</v>
      </c>
      <c r="L1510" s="13" t="s">
        <v>2237</v>
      </c>
      <c r="M1510" s="6" t="s">
        <v>188</v>
      </c>
      <c r="N1510" s="6" t="s">
        <v>188</v>
      </c>
      <c r="O1510" s="6" t="s">
        <v>190</v>
      </c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</row>
    <row r="1511">
      <c r="A1511" s="12">
        <v>39.0</v>
      </c>
      <c r="B1511" s="7" t="s">
        <v>553</v>
      </c>
      <c r="C1511" s="7" t="s">
        <v>1435</v>
      </c>
      <c r="I1511" s="10" t="s">
        <v>576</v>
      </c>
      <c r="J1511" s="13" t="s">
        <v>1450</v>
      </c>
      <c r="K1511" s="13" t="s">
        <v>303</v>
      </c>
      <c r="L1511" s="13" t="s">
        <v>2238</v>
      </c>
      <c r="M1511" s="6" t="s">
        <v>188</v>
      </c>
      <c r="N1511" s="6" t="s">
        <v>188</v>
      </c>
      <c r="O1511" s="6" t="s">
        <v>190</v>
      </c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</row>
    <row r="1512">
      <c r="A1512" s="12">
        <v>39.0</v>
      </c>
      <c r="B1512" s="7" t="s">
        <v>553</v>
      </c>
      <c r="C1512" s="7" t="s">
        <v>1435</v>
      </c>
      <c r="I1512" s="10" t="s">
        <v>2239</v>
      </c>
      <c r="J1512" s="13" t="s">
        <v>1455</v>
      </c>
      <c r="K1512" s="13" t="s">
        <v>303</v>
      </c>
      <c r="L1512" s="13" t="s">
        <v>2240</v>
      </c>
      <c r="M1512" s="6" t="s">
        <v>188</v>
      </c>
      <c r="N1512" s="6" t="s">
        <v>188</v>
      </c>
      <c r="O1512" s="6" t="s">
        <v>190</v>
      </c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</row>
    <row r="1513">
      <c r="A1513" s="12">
        <v>39.0</v>
      </c>
      <c r="B1513" s="7" t="s">
        <v>553</v>
      </c>
      <c r="C1513" s="7" t="s">
        <v>1435</v>
      </c>
      <c r="I1513" s="10" t="s">
        <v>565</v>
      </c>
      <c r="J1513" s="13" t="s">
        <v>1458</v>
      </c>
      <c r="K1513" s="13" t="s">
        <v>303</v>
      </c>
      <c r="L1513" s="13" t="s">
        <v>2241</v>
      </c>
      <c r="M1513" s="6" t="s">
        <v>188</v>
      </c>
      <c r="N1513" s="6" t="s">
        <v>188</v>
      </c>
      <c r="O1513" s="6" t="s">
        <v>190</v>
      </c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</row>
    <row r="1514">
      <c r="A1514" s="12">
        <v>39.0</v>
      </c>
      <c r="B1514" s="7" t="s">
        <v>553</v>
      </c>
      <c r="C1514" s="7" t="s">
        <v>1435</v>
      </c>
      <c r="I1514" s="13" t="s">
        <v>2219</v>
      </c>
      <c r="J1514" s="13" t="s">
        <v>1450</v>
      </c>
      <c r="K1514" s="13" t="s">
        <v>303</v>
      </c>
      <c r="L1514" s="13" t="s">
        <v>2242</v>
      </c>
      <c r="M1514" s="6" t="s">
        <v>188</v>
      </c>
      <c r="N1514" s="6" t="s">
        <v>188</v>
      </c>
      <c r="O1514" s="6" t="s">
        <v>190</v>
      </c>
      <c r="P1514" s="7" t="s">
        <v>333</v>
      </c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</row>
    <row r="1515">
      <c r="A1515" s="12">
        <v>39.0</v>
      </c>
      <c r="B1515" s="7" t="s">
        <v>553</v>
      </c>
      <c r="C1515" s="7" t="s">
        <v>1435</v>
      </c>
      <c r="I1515" s="13" t="s">
        <v>2226</v>
      </c>
      <c r="J1515" s="13" t="s">
        <v>1455</v>
      </c>
      <c r="K1515" s="13" t="s">
        <v>303</v>
      </c>
      <c r="L1515" s="13" t="s">
        <v>2242</v>
      </c>
      <c r="M1515" s="6" t="s">
        <v>188</v>
      </c>
      <c r="N1515" s="6" t="s">
        <v>188</v>
      </c>
      <c r="O1515" s="6" t="s">
        <v>190</v>
      </c>
      <c r="P1515" s="7" t="s">
        <v>333</v>
      </c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</row>
    <row r="1516">
      <c r="A1516" s="12">
        <v>39.0</v>
      </c>
      <c r="B1516" s="7" t="s">
        <v>553</v>
      </c>
      <c r="C1516" s="7" t="s">
        <v>1435</v>
      </c>
      <c r="I1516" s="13" t="s">
        <v>552</v>
      </c>
      <c r="J1516" s="13" t="s">
        <v>1458</v>
      </c>
      <c r="K1516" s="13" t="s">
        <v>303</v>
      </c>
      <c r="L1516" s="13" t="s">
        <v>2243</v>
      </c>
      <c r="M1516" s="6" t="s">
        <v>188</v>
      </c>
      <c r="N1516" s="6" t="s">
        <v>188</v>
      </c>
      <c r="O1516" s="6" t="s">
        <v>190</v>
      </c>
      <c r="P1516" s="7" t="s">
        <v>333</v>
      </c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</row>
    <row r="1517">
      <c r="A1517" s="12">
        <v>39.0</v>
      </c>
      <c r="B1517" s="7" t="s">
        <v>553</v>
      </c>
      <c r="C1517" s="7" t="s">
        <v>1435</v>
      </c>
      <c r="I1517" s="13" t="s">
        <v>1436</v>
      </c>
      <c r="J1517" s="13" t="s">
        <v>1450</v>
      </c>
      <c r="K1517" s="13" t="s">
        <v>303</v>
      </c>
      <c r="L1517" s="13" t="s">
        <v>2243</v>
      </c>
      <c r="M1517" s="6" t="s">
        <v>188</v>
      </c>
      <c r="N1517" s="6" t="s">
        <v>188</v>
      </c>
      <c r="O1517" s="6" t="s">
        <v>190</v>
      </c>
      <c r="P1517" s="7" t="s">
        <v>333</v>
      </c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</row>
    <row r="1518">
      <c r="A1518" s="12">
        <v>39.0</v>
      </c>
      <c r="B1518" s="7" t="s">
        <v>553</v>
      </c>
      <c r="C1518" s="7" t="s">
        <v>1435</v>
      </c>
      <c r="I1518" s="13" t="s">
        <v>568</v>
      </c>
      <c r="J1518" s="13" t="s">
        <v>1455</v>
      </c>
      <c r="K1518" s="13" t="s">
        <v>303</v>
      </c>
      <c r="L1518" s="13" t="s">
        <v>2244</v>
      </c>
      <c r="M1518" s="6" t="s">
        <v>188</v>
      </c>
      <c r="N1518" s="6" t="s">
        <v>188</v>
      </c>
      <c r="O1518" s="6" t="s">
        <v>190</v>
      </c>
      <c r="P1518" s="7" t="s">
        <v>333</v>
      </c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</row>
    <row r="1519">
      <c r="A1519" s="12">
        <v>39.0</v>
      </c>
      <c r="B1519" s="7" t="s">
        <v>553</v>
      </c>
      <c r="C1519" s="7" t="s">
        <v>1435</v>
      </c>
      <c r="I1519" s="13" t="s">
        <v>1540</v>
      </c>
      <c r="J1519" s="13" t="s">
        <v>1458</v>
      </c>
      <c r="K1519" s="13" t="s">
        <v>303</v>
      </c>
      <c r="L1519" s="13" t="s">
        <v>2245</v>
      </c>
      <c r="M1519" s="6" t="s">
        <v>188</v>
      </c>
      <c r="N1519" s="6" t="s">
        <v>188</v>
      </c>
      <c r="O1519" s="6" t="s">
        <v>190</v>
      </c>
      <c r="P1519" s="7" t="s">
        <v>333</v>
      </c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</row>
    <row r="1520">
      <c r="A1520" s="12">
        <v>39.0</v>
      </c>
      <c r="B1520" s="7" t="s">
        <v>553</v>
      </c>
      <c r="C1520" s="7" t="s">
        <v>1435</v>
      </c>
      <c r="I1520" s="13" t="s">
        <v>1479</v>
      </c>
      <c r="J1520" s="13" t="s">
        <v>1450</v>
      </c>
      <c r="K1520" s="13" t="s">
        <v>303</v>
      </c>
      <c r="L1520" s="13" t="s">
        <v>2221</v>
      </c>
      <c r="M1520" s="6" t="s">
        <v>188</v>
      </c>
      <c r="N1520" s="6" t="s">
        <v>188</v>
      </c>
      <c r="O1520" s="6" t="s">
        <v>190</v>
      </c>
      <c r="P1520" s="7" t="s">
        <v>333</v>
      </c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</row>
    <row r="1521">
      <c r="A1521" s="12">
        <v>39.0</v>
      </c>
      <c r="B1521" s="7" t="s">
        <v>553</v>
      </c>
      <c r="C1521" s="7" t="s">
        <v>1435</v>
      </c>
      <c r="I1521" s="13" t="s">
        <v>1466</v>
      </c>
      <c r="J1521" s="13" t="s">
        <v>1455</v>
      </c>
      <c r="K1521" s="13" t="s">
        <v>303</v>
      </c>
      <c r="L1521" s="13" t="s">
        <v>2246</v>
      </c>
      <c r="M1521" s="6" t="s">
        <v>188</v>
      </c>
      <c r="N1521" s="6" t="s">
        <v>188</v>
      </c>
      <c r="O1521" s="6" t="s">
        <v>190</v>
      </c>
      <c r="P1521" s="7" t="s">
        <v>333</v>
      </c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</row>
    <row r="1522">
      <c r="A1522" s="12">
        <v>39.0</v>
      </c>
      <c r="B1522" s="7" t="s">
        <v>553</v>
      </c>
      <c r="C1522" s="7" t="s">
        <v>1435</v>
      </c>
      <c r="I1522" s="13" t="s">
        <v>1440</v>
      </c>
      <c r="J1522" s="13" t="s">
        <v>1458</v>
      </c>
      <c r="K1522" s="13" t="s">
        <v>303</v>
      </c>
      <c r="L1522" s="13" t="s">
        <v>2247</v>
      </c>
      <c r="M1522" s="6" t="s">
        <v>188</v>
      </c>
      <c r="N1522" s="6" t="s">
        <v>188</v>
      </c>
      <c r="O1522" s="6" t="s">
        <v>190</v>
      </c>
      <c r="P1522" s="7" t="s">
        <v>333</v>
      </c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</row>
    <row r="1523">
      <c r="A1523" s="12">
        <v>39.0</v>
      </c>
      <c r="B1523" s="7" t="s">
        <v>553</v>
      </c>
      <c r="C1523" s="7" t="s">
        <v>1435</v>
      </c>
      <c r="I1523" s="13" t="s">
        <v>1443</v>
      </c>
      <c r="J1523" s="13" t="s">
        <v>1450</v>
      </c>
      <c r="K1523" s="13" t="s">
        <v>303</v>
      </c>
      <c r="L1523" s="13" t="s">
        <v>2248</v>
      </c>
      <c r="M1523" s="6" t="s">
        <v>188</v>
      </c>
      <c r="N1523" s="6" t="s">
        <v>188</v>
      </c>
      <c r="O1523" s="6" t="s">
        <v>190</v>
      </c>
      <c r="P1523" s="7" t="s">
        <v>333</v>
      </c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</row>
    <row r="1524">
      <c r="A1524" s="12">
        <v>39.0</v>
      </c>
      <c r="B1524" s="7" t="s">
        <v>553</v>
      </c>
      <c r="C1524" s="7" t="s">
        <v>1435</v>
      </c>
      <c r="I1524" s="13" t="s">
        <v>2222</v>
      </c>
      <c r="J1524" s="13" t="s">
        <v>1455</v>
      </c>
      <c r="K1524" s="13" t="s">
        <v>303</v>
      </c>
      <c r="L1524" s="13" t="s">
        <v>2223</v>
      </c>
      <c r="M1524" s="6" t="s">
        <v>188</v>
      </c>
      <c r="N1524" s="6" t="s">
        <v>188</v>
      </c>
      <c r="O1524" s="6" t="s">
        <v>190</v>
      </c>
      <c r="P1524" s="7" t="s">
        <v>333</v>
      </c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</row>
    <row r="1525">
      <c r="A1525" s="12">
        <v>39.0</v>
      </c>
      <c r="B1525" s="7" t="s">
        <v>553</v>
      </c>
      <c r="C1525" s="7" t="s">
        <v>1435</v>
      </c>
      <c r="I1525" s="13" t="s">
        <v>2224</v>
      </c>
      <c r="J1525" s="13" t="s">
        <v>1458</v>
      </c>
      <c r="K1525" s="13" t="s">
        <v>303</v>
      </c>
      <c r="L1525" s="13" t="s">
        <v>2223</v>
      </c>
      <c r="M1525" s="6" t="s">
        <v>188</v>
      </c>
      <c r="N1525" s="6" t="s">
        <v>188</v>
      </c>
      <c r="O1525" s="6" t="s">
        <v>190</v>
      </c>
      <c r="P1525" s="7" t="s">
        <v>333</v>
      </c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</row>
    <row r="1526">
      <c r="A1526" s="12">
        <v>39.0</v>
      </c>
      <c r="B1526" s="7" t="s">
        <v>553</v>
      </c>
      <c r="C1526" s="7" t="s">
        <v>1435</v>
      </c>
      <c r="I1526" s="13" t="s">
        <v>559</v>
      </c>
      <c r="J1526" s="13" t="s">
        <v>1450</v>
      </c>
      <c r="K1526" s="13" t="s">
        <v>303</v>
      </c>
      <c r="L1526" s="13" t="s">
        <v>2247</v>
      </c>
      <c r="M1526" s="6" t="s">
        <v>188</v>
      </c>
      <c r="N1526" s="6" t="s">
        <v>188</v>
      </c>
      <c r="O1526" s="6" t="s">
        <v>190</v>
      </c>
      <c r="P1526" s="7" t="s">
        <v>333</v>
      </c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</row>
    <row r="1527">
      <c r="A1527" s="12">
        <v>39.0</v>
      </c>
      <c r="B1527" s="7" t="s">
        <v>553</v>
      </c>
      <c r="C1527" s="7" t="s">
        <v>1435</v>
      </c>
      <c r="I1527" s="13" t="s">
        <v>558</v>
      </c>
      <c r="J1527" s="13" t="s">
        <v>1455</v>
      </c>
      <c r="K1527" s="13" t="s">
        <v>303</v>
      </c>
      <c r="L1527" s="13" t="s">
        <v>2225</v>
      </c>
      <c r="M1527" s="6" t="s">
        <v>188</v>
      </c>
      <c r="N1527" s="6" t="s">
        <v>188</v>
      </c>
      <c r="O1527" s="6" t="s">
        <v>190</v>
      </c>
      <c r="P1527" s="7" t="s">
        <v>333</v>
      </c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</row>
    <row r="1528">
      <c r="A1528" s="12">
        <v>39.0</v>
      </c>
      <c r="B1528" s="7" t="s">
        <v>553</v>
      </c>
      <c r="C1528" s="7" t="s">
        <v>1435</v>
      </c>
      <c r="I1528" s="13" t="s">
        <v>2227</v>
      </c>
      <c r="J1528" s="13" t="s">
        <v>1458</v>
      </c>
      <c r="K1528" s="13" t="s">
        <v>303</v>
      </c>
      <c r="L1528" s="13" t="s">
        <v>2228</v>
      </c>
      <c r="M1528" s="6" t="s">
        <v>188</v>
      </c>
      <c r="N1528" s="6" t="s">
        <v>188</v>
      </c>
      <c r="O1528" s="6" t="s">
        <v>190</v>
      </c>
      <c r="P1528" s="7" t="s">
        <v>333</v>
      </c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</row>
    <row r="1529">
      <c r="A1529" s="12">
        <v>39.0</v>
      </c>
      <c r="B1529" s="7" t="s">
        <v>553</v>
      </c>
      <c r="C1529" s="7" t="s">
        <v>1435</v>
      </c>
      <c r="I1529" s="13" t="s">
        <v>554</v>
      </c>
      <c r="J1529" s="13" t="s">
        <v>1450</v>
      </c>
      <c r="K1529" s="13" t="s">
        <v>303</v>
      </c>
      <c r="L1529" s="13" t="s">
        <v>2221</v>
      </c>
      <c r="M1529" s="6" t="s">
        <v>188</v>
      </c>
      <c r="N1529" s="6" t="s">
        <v>188</v>
      </c>
      <c r="O1529" s="6" t="s">
        <v>190</v>
      </c>
      <c r="P1529" s="7" t="s">
        <v>333</v>
      </c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</row>
    <row r="1530">
      <c r="A1530" s="12">
        <v>39.0</v>
      </c>
      <c r="B1530" s="7" t="s">
        <v>553</v>
      </c>
      <c r="C1530" s="7" t="s">
        <v>1435</v>
      </c>
      <c r="I1530" s="13" t="s">
        <v>1448</v>
      </c>
      <c r="J1530" s="13" t="s">
        <v>1455</v>
      </c>
      <c r="K1530" s="13" t="s">
        <v>303</v>
      </c>
      <c r="L1530" s="13" t="s">
        <v>2249</v>
      </c>
      <c r="M1530" s="6" t="s">
        <v>188</v>
      </c>
      <c r="N1530" s="6" t="s">
        <v>188</v>
      </c>
      <c r="O1530" s="6" t="s">
        <v>190</v>
      </c>
      <c r="P1530" s="7" t="s">
        <v>333</v>
      </c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</row>
    <row r="1531">
      <c r="A1531" s="12">
        <v>39.0</v>
      </c>
      <c r="B1531" s="7" t="s">
        <v>553</v>
      </c>
      <c r="C1531" s="7" t="s">
        <v>1435</v>
      </c>
      <c r="I1531" s="13" t="s">
        <v>2250</v>
      </c>
      <c r="J1531" s="13" t="s">
        <v>1458</v>
      </c>
      <c r="K1531" s="13" t="s">
        <v>303</v>
      </c>
      <c r="L1531" s="13" t="s">
        <v>2251</v>
      </c>
      <c r="M1531" s="6" t="s">
        <v>188</v>
      </c>
      <c r="N1531" s="6" t="s">
        <v>188</v>
      </c>
      <c r="O1531" s="6" t="s">
        <v>190</v>
      </c>
      <c r="P1531" s="7" t="s">
        <v>333</v>
      </c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</row>
    <row r="1532">
      <c r="A1532" s="12">
        <v>40.0</v>
      </c>
      <c r="B1532" s="7" t="s">
        <v>554</v>
      </c>
      <c r="C1532" s="7" t="s">
        <v>1435</v>
      </c>
      <c r="D1532" s="26">
        <f>IF(COUNTIF($B$2:$B1532,$B1532)&gt;1,"",COUNTIF($B$2:$B$3400,$B1532))</f>
        <v>30</v>
      </c>
      <c r="E1532" s="26">
        <f>IF(COUNTIF($B$2:$B1532,$B1532)&gt;1,"",COUNTIFS($B$2:$B$3400,$B1532,$K$2:$K$3400,"PHÙ HỢP CAO"))</f>
        <v>4</v>
      </c>
      <c r="F1532" s="26">
        <f>IF(COUNTIF($B$2:$B1532,$B1532)&gt;1,"",COUNTIFS($B$2:$B$3400,$B1532,$K$2:$K$3400,"CÓ THỂ ĐI"))</f>
        <v>1</v>
      </c>
      <c r="G1532" s="26">
        <f>IF(COUNTIF($B$2:$B1532,$B1532)&gt;1,"",COUNTIFS($B$2:$B$3400,$B1532,$K$2:$K$3400,"CẦN SOÁT"))</f>
        <v>25</v>
      </c>
      <c r="H1532" s="27" t="str">
        <f>IFERROR(__xludf.DUMMYFUNCTION("IF(COUNTIF($B$2:$B1532,$B1532)&gt;1,"""",IFERROR(TEXTJOIN(CHAR(10),TRUE,BYROW(QUERY({$B$2:$B$3400,$J$2:$J$3400},""select Col2, count(Col2) where Col1 = '""&amp;$B1532&amp;""' group by Col2 order by count(Col2) desc label count(Col2) ''"",0),LAMBDA(r,INDEX(r,1,1)&amp;"" "&amp;"– ""&amp;INDEX(r,1,2)&amp;"" link""))),""""))"),"tiền Nhật – 15 link
tiền Yên Nhật – 15 link")</f>
        <v>tiền Nhật – 15 link
tiền Yên Nhật – 15 link</v>
      </c>
      <c r="I1532" s="10" t="s">
        <v>1463</v>
      </c>
      <c r="J1532" s="13" t="s">
        <v>1465</v>
      </c>
      <c r="K1532" s="13" t="s">
        <v>184</v>
      </c>
      <c r="L1532" s="13" t="s">
        <v>2252</v>
      </c>
      <c r="M1532" s="6" t="s">
        <v>188</v>
      </c>
      <c r="N1532" s="6" t="s">
        <v>188</v>
      </c>
      <c r="O1532" s="6" t="s">
        <v>190</v>
      </c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</row>
    <row r="1533">
      <c r="A1533" s="12">
        <v>40.0</v>
      </c>
      <c r="B1533" s="7" t="s">
        <v>554</v>
      </c>
      <c r="C1533" s="7" t="s">
        <v>1435</v>
      </c>
      <c r="I1533" s="10" t="s">
        <v>1466</v>
      </c>
      <c r="J1533" s="13" t="s">
        <v>1471</v>
      </c>
      <c r="K1533" s="13" t="s">
        <v>184</v>
      </c>
      <c r="L1533" s="13" t="s">
        <v>2253</v>
      </c>
      <c r="M1533" s="6" t="s">
        <v>188</v>
      </c>
      <c r="N1533" s="6" t="s">
        <v>188</v>
      </c>
      <c r="O1533" s="6" t="s">
        <v>190</v>
      </c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</row>
    <row r="1534">
      <c r="A1534" s="12">
        <v>40.0</v>
      </c>
      <c r="B1534" s="7" t="s">
        <v>554</v>
      </c>
      <c r="C1534" s="7" t="s">
        <v>1435</v>
      </c>
      <c r="I1534" s="10" t="s">
        <v>556</v>
      </c>
      <c r="J1534" s="13" t="s">
        <v>1465</v>
      </c>
      <c r="K1534" s="13" t="s">
        <v>184</v>
      </c>
      <c r="L1534" s="13" t="s">
        <v>2254</v>
      </c>
      <c r="M1534" s="6" t="s">
        <v>188</v>
      </c>
      <c r="N1534" s="6" t="s">
        <v>188</v>
      </c>
      <c r="O1534" s="6" t="s">
        <v>190</v>
      </c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</row>
    <row r="1535">
      <c r="A1535" s="12">
        <v>40.0</v>
      </c>
      <c r="B1535" s="7" t="s">
        <v>554</v>
      </c>
      <c r="C1535" s="7" t="s">
        <v>1435</v>
      </c>
      <c r="I1535" s="10" t="s">
        <v>562</v>
      </c>
      <c r="J1535" s="13" t="s">
        <v>1471</v>
      </c>
      <c r="K1535" s="13" t="s">
        <v>184</v>
      </c>
      <c r="L1535" s="13" t="s">
        <v>2255</v>
      </c>
      <c r="M1535" s="6" t="s">
        <v>188</v>
      </c>
      <c r="N1535" s="6" t="s">
        <v>188</v>
      </c>
      <c r="O1535" s="6" t="s">
        <v>190</v>
      </c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</row>
    <row r="1536">
      <c r="A1536" s="12">
        <v>40.0</v>
      </c>
      <c r="B1536" s="7" t="s">
        <v>554</v>
      </c>
      <c r="C1536" s="7" t="s">
        <v>1435</v>
      </c>
      <c r="I1536" s="10" t="s">
        <v>2256</v>
      </c>
      <c r="J1536" s="13" t="s">
        <v>1465</v>
      </c>
      <c r="K1536" s="13" t="s">
        <v>283</v>
      </c>
      <c r="L1536" s="13" t="s">
        <v>2257</v>
      </c>
      <c r="M1536" s="6" t="s">
        <v>188</v>
      </c>
      <c r="N1536" s="6" t="s">
        <v>188</v>
      </c>
      <c r="O1536" s="6" t="s">
        <v>190</v>
      </c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</row>
    <row r="1537">
      <c r="A1537" s="12">
        <v>40.0</v>
      </c>
      <c r="B1537" s="7" t="s">
        <v>554</v>
      </c>
      <c r="C1537" s="7" t="s">
        <v>1435</v>
      </c>
      <c r="I1537" s="10" t="s">
        <v>2258</v>
      </c>
      <c r="J1537" s="13" t="s">
        <v>1471</v>
      </c>
      <c r="K1537" s="13" t="s">
        <v>303</v>
      </c>
      <c r="L1537" s="13" t="s">
        <v>2259</v>
      </c>
      <c r="M1537" s="6" t="s">
        <v>188</v>
      </c>
      <c r="N1537" s="6" t="s">
        <v>188</v>
      </c>
      <c r="O1537" s="6" t="s">
        <v>190</v>
      </c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</row>
    <row r="1538">
      <c r="A1538" s="12">
        <v>40.0</v>
      </c>
      <c r="B1538" s="7" t="s">
        <v>554</v>
      </c>
      <c r="C1538" s="7" t="s">
        <v>1435</v>
      </c>
      <c r="I1538" s="10" t="s">
        <v>1519</v>
      </c>
      <c r="J1538" s="13" t="s">
        <v>1465</v>
      </c>
      <c r="K1538" s="13" t="s">
        <v>303</v>
      </c>
      <c r="L1538" s="13" t="s">
        <v>2259</v>
      </c>
      <c r="M1538" s="6" t="s">
        <v>188</v>
      </c>
      <c r="N1538" s="6" t="s">
        <v>188</v>
      </c>
      <c r="O1538" s="6" t="s">
        <v>190</v>
      </c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</row>
    <row r="1539">
      <c r="A1539" s="12">
        <v>40.0</v>
      </c>
      <c r="B1539" s="7" t="s">
        <v>554</v>
      </c>
      <c r="C1539" s="7" t="s">
        <v>1435</v>
      </c>
      <c r="I1539" s="10" t="s">
        <v>1479</v>
      </c>
      <c r="J1539" s="13" t="s">
        <v>1471</v>
      </c>
      <c r="K1539" s="13" t="s">
        <v>303</v>
      </c>
      <c r="L1539" s="13" t="s">
        <v>2260</v>
      </c>
      <c r="M1539" s="6" t="s">
        <v>188</v>
      </c>
      <c r="N1539" s="6" t="s">
        <v>188</v>
      </c>
      <c r="O1539" s="6" t="s">
        <v>190</v>
      </c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</row>
    <row r="1540">
      <c r="A1540" s="12">
        <v>40.0</v>
      </c>
      <c r="B1540" s="7" t="s">
        <v>554</v>
      </c>
      <c r="C1540" s="7" t="s">
        <v>1435</v>
      </c>
      <c r="I1540" s="13" t="s">
        <v>553</v>
      </c>
      <c r="J1540" s="13" t="s">
        <v>1465</v>
      </c>
      <c r="K1540" s="13" t="s">
        <v>303</v>
      </c>
      <c r="L1540" s="13" t="s">
        <v>2217</v>
      </c>
      <c r="M1540" s="6" t="s">
        <v>188</v>
      </c>
      <c r="N1540" s="6" t="s">
        <v>188</v>
      </c>
      <c r="O1540" s="6" t="s">
        <v>190</v>
      </c>
      <c r="P1540" s="7" t="s">
        <v>333</v>
      </c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</row>
    <row r="1541">
      <c r="A1541" s="12">
        <v>40.0</v>
      </c>
      <c r="B1541" s="7" t="s">
        <v>554</v>
      </c>
      <c r="C1541" s="7" t="s">
        <v>1435</v>
      </c>
      <c r="I1541" s="13" t="s">
        <v>552</v>
      </c>
      <c r="J1541" s="13" t="s">
        <v>1471</v>
      </c>
      <c r="K1541" s="13" t="s">
        <v>303</v>
      </c>
      <c r="L1541" s="13" t="s">
        <v>2243</v>
      </c>
      <c r="M1541" s="6" t="s">
        <v>188</v>
      </c>
      <c r="N1541" s="6" t="s">
        <v>188</v>
      </c>
      <c r="O1541" s="6" t="s">
        <v>190</v>
      </c>
      <c r="P1541" s="7" t="s">
        <v>333</v>
      </c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</row>
    <row r="1542">
      <c r="A1542" s="12">
        <v>40.0</v>
      </c>
      <c r="B1542" s="7" t="s">
        <v>554</v>
      </c>
      <c r="C1542" s="7" t="s">
        <v>1435</v>
      </c>
      <c r="I1542" s="13" t="s">
        <v>1436</v>
      </c>
      <c r="J1542" s="13" t="s">
        <v>1465</v>
      </c>
      <c r="K1542" s="13" t="s">
        <v>303</v>
      </c>
      <c r="L1542" s="13" t="s">
        <v>2243</v>
      </c>
      <c r="M1542" s="6" t="s">
        <v>188</v>
      </c>
      <c r="N1542" s="6" t="s">
        <v>188</v>
      </c>
      <c r="O1542" s="6" t="s">
        <v>190</v>
      </c>
      <c r="P1542" s="7" t="s">
        <v>333</v>
      </c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</row>
    <row r="1543">
      <c r="A1543" s="12">
        <v>40.0</v>
      </c>
      <c r="B1543" s="7" t="s">
        <v>554</v>
      </c>
      <c r="C1543" s="7" t="s">
        <v>1435</v>
      </c>
      <c r="I1543" s="13" t="s">
        <v>576</v>
      </c>
      <c r="J1543" s="13" t="s">
        <v>1471</v>
      </c>
      <c r="K1543" s="13" t="s">
        <v>303</v>
      </c>
      <c r="L1543" s="13" t="s">
        <v>2218</v>
      </c>
      <c r="M1543" s="6" t="s">
        <v>188</v>
      </c>
      <c r="N1543" s="6" t="s">
        <v>188</v>
      </c>
      <c r="O1543" s="6" t="s">
        <v>190</v>
      </c>
      <c r="P1543" s="7" t="s">
        <v>333</v>
      </c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</row>
    <row r="1544">
      <c r="A1544" s="12">
        <v>40.0</v>
      </c>
      <c r="B1544" s="7" t="s">
        <v>554</v>
      </c>
      <c r="C1544" s="7" t="s">
        <v>1435</v>
      </c>
      <c r="I1544" s="13" t="s">
        <v>2219</v>
      </c>
      <c r="J1544" s="13" t="s">
        <v>1465</v>
      </c>
      <c r="K1544" s="13" t="s">
        <v>303</v>
      </c>
      <c r="L1544" s="13" t="s">
        <v>2220</v>
      </c>
      <c r="M1544" s="6" t="s">
        <v>188</v>
      </c>
      <c r="N1544" s="6" t="s">
        <v>188</v>
      </c>
      <c r="O1544" s="6" t="s">
        <v>190</v>
      </c>
      <c r="P1544" s="7" t="s">
        <v>333</v>
      </c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</row>
    <row r="1545">
      <c r="A1545" s="12">
        <v>40.0</v>
      </c>
      <c r="B1545" s="7" t="s">
        <v>554</v>
      </c>
      <c r="C1545" s="7" t="s">
        <v>1435</v>
      </c>
      <c r="I1545" s="13" t="s">
        <v>568</v>
      </c>
      <c r="J1545" s="13" t="s">
        <v>1471</v>
      </c>
      <c r="K1545" s="13" t="s">
        <v>303</v>
      </c>
      <c r="L1545" s="13" t="s">
        <v>2244</v>
      </c>
      <c r="M1545" s="6" t="s">
        <v>188</v>
      </c>
      <c r="N1545" s="6" t="s">
        <v>188</v>
      </c>
      <c r="O1545" s="6" t="s">
        <v>190</v>
      </c>
      <c r="P1545" s="7" t="s">
        <v>333</v>
      </c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</row>
    <row r="1546">
      <c r="A1546" s="12">
        <v>40.0</v>
      </c>
      <c r="B1546" s="7" t="s">
        <v>554</v>
      </c>
      <c r="C1546" s="7" t="s">
        <v>1435</v>
      </c>
      <c r="I1546" s="13" t="s">
        <v>1540</v>
      </c>
      <c r="J1546" s="13" t="s">
        <v>1465</v>
      </c>
      <c r="K1546" s="13" t="s">
        <v>303</v>
      </c>
      <c r="L1546" s="13" t="s">
        <v>2245</v>
      </c>
      <c r="M1546" s="6" t="s">
        <v>188</v>
      </c>
      <c r="N1546" s="6" t="s">
        <v>188</v>
      </c>
      <c r="O1546" s="6" t="s">
        <v>190</v>
      </c>
      <c r="P1546" s="7" t="s">
        <v>333</v>
      </c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</row>
    <row r="1547">
      <c r="A1547" s="12">
        <v>40.0</v>
      </c>
      <c r="B1547" s="7" t="s">
        <v>554</v>
      </c>
      <c r="C1547" s="7" t="s">
        <v>1435</v>
      </c>
      <c r="I1547" s="13" t="s">
        <v>1440</v>
      </c>
      <c r="J1547" s="13" t="s">
        <v>1471</v>
      </c>
      <c r="K1547" s="13" t="s">
        <v>303</v>
      </c>
      <c r="L1547" s="13" t="s">
        <v>2247</v>
      </c>
      <c r="M1547" s="6" t="s">
        <v>188</v>
      </c>
      <c r="N1547" s="6" t="s">
        <v>188</v>
      </c>
      <c r="O1547" s="6" t="s">
        <v>190</v>
      </c>
      <c r="P1547" s="7" t="s">
        <v>333</v>
      </c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</row>
    <row r="1548">
      <c r="A1548" s="12">
        <v>40.0</v>
      </c>
      <c r="B1548" s="7" t="s">
        <v>554</v>
      </c>
      <c r="C1548" s="7" t="s">
        <v>1435</v>
      </c>
      <c r="I1548" s="13" t="s">
        <v>1443</v>
      </c>
      <c r="J1548" s="13" t="s">
        <v>1465</v>
      </c>
      <c r="K1548" s="13" t="s">
        <v>303</v>
      </c>
      <c r="L1548" s="13" t="s">
        <v>2248</v>
      </c>
      <c r="M1548" s="6" t="s">
        <v>188</v>
      </c>
      <c r="N1548" s="6" t="s">
        <v>188</v>
      </c>
      <c r="O1548" s="6" t="s">
        <v>190</v>
      </c>
      <c r="P1548" s="7" t="s">
        <v>333</v>
      </c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</row>
    <row r="1549">
      <c r="A1549" s="12">
        <v>40.0</v>
      </c>
      <c r="B1549" s="7" t="s">
        <v>554</v>
      </c>
      <c r="C1549" s="7" t="s">
        <v>1435</v>
      </c>
      <c r="I1549" s="13" t="s">
        <v>2222</v>
      </c>
      <c r="J1549" s="13" t="s">
        <v>1471</v>
      </c>
      <c r="K1549" s="13" t="s">
        <v>303</v>
      </c>
      <c r="L1549" s="13" t="s">
        <v>2223</v>
      </c>
      <c r="M1549" s="6" t="s">
        <v>188</v>
      </c>
      <c r="N1549" s="6" t="s">
        <v>188</v>
      </c>
      <c r="O1549" s="6" t="s">
        <v>190</v>
      </c>
      <c r="P1549" s="7" t="s">
        <v>333</v>
      </c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</row>
    <row r="1550">
      <c r="A1550" s="12">
        <v>40.0</v>
      </c>
      <c r="B1550" s="7" t="s">
        <v>554</v>
      </c>
      <c r="C1550" s="7" t="s">
        <v>1435</v>
      </c>
      <c r="I1550" s="13" t="s">
        <v>2224</v>
      </c>
      <c r="J1550" s="13" t="s">
        <v>1465</v>
      </c>
      <c r="K1550" s="13" t="s">
        <v>303</v>
      </c>
      <c r="L1550" s="13" t="s">
        <v>2223</v>
      </c>
      <c r="M1550" s="6" t="s">
        <v>188</v>
      </c>
      <c r="N1550" s="6" t="s">
        <v>188</v>
      </c>
      <c r="O1550" s="6" t="s">
        <v>190</v>
      </c>
      <c r="P1550" s="7" t="s">
        <v>333</v>
      </c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</row>
    <row r="1551">
      <c r="A1551" s="12">
        <v>40.0</v>
      </c>
      <c r="B1551" s="7" t="s">
        <v>554</v>
      </c>
      <c r="C1551" s="7" t="s">
        <v>1435</v>
      </c>
      <c r="I1551" s="13" t="s">
        <v>1451</v>
      </c>
      <c r="J1551" s="13" t="s">
        <v>1471</v>
      </c>
      <c r="K1551" s="13" t="s">
        <v>303</v>
      </c>
      <c r="L1551" s="13" t="s">
        <v>2261</v>
      </c>
      <c r="M1551" s="6" t="s">
        <v>188</v>
      </c>
      <c r="N1551" s="6" t="s">
        <v>188</v>
      </c>
      <c r="O1551" s="6" t="s">
        <v>190</v>
      </c>
      <c r="P1551" s="7" t="s">
        <v>333</v>
      </c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</row>
    <row r="1552">
      <c r="A1552" s="12">
        <v>40.0</v>
      </c>
      <c r="B1552" s="7" t="s">
        <v>554</v>
      </c>
      <c r="C1552" s="7" t="s">
        <v>1435</v>
      </c>
      <c r="I1552" s="13" t="s">
        <v>2239</v>
      </c>
      <c r="J1552" s="13" t="s">
        <v>1465</v>
      </c>
      <c r="K1552" s="13" t="s">
        <v>303</v>
      </c>
      <c r="L1552" s="13" t="s">
        <v>2262</v>
      </c>
      <c r="M1552" s="6" t="s">
        <v>188</v>
      </c>
      <c r="N1552" s="6" t="s">
        <v>188</v>
      </c>
      <c r="O1552" s="6" t="s">
        <v>190</v>
      </c>
      <c r="P1552" s="7" t="s">
        <v>333</v>
      </c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</row>
    <row r="1553">
      <c r="A1553" s="12">
        <v>40.0</v>
      </c>
      <c r="B1553" s="7" t="s">
        <v>554</v>
      </c>
      <c r="C1553" s="7" t="s">
        <v>1435</v>
      </c>
      <c r="I1553" s="13" t="s">
        <v>559</v>
      </c>
      <c r="J1553" s="13" t="s">
        <v>1471</v>
      </c>
      <c r="K1553" s="13" t="s">
        <v>303</v>
      </c>
      <c r="L1553" s="13" t="s">
        <v>2247</v>
      </c>
      <c r="M1553" s="6" t="s">
        <v>188</v>
      </c>
      <c r="N1553" s="6" t="s">
        <v>188</v>
      </c>
      <c r="O1553" s="6" t="s">
        <v>190</v>
      </c>
      <c r="P1553" s="7" t="s">
        <v>333</v>
      </c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</row>
    <row r="1554">
      <c r="A1554" s="12">
        <v>40.0</v>
      </c>
      <c r="B1554" s="7" t="s">
        <v>554</v>
      </c>
      <c r="C1554" s="7" t="s">
        <v>1435</v>
      </c>
      <c r="I1554" s="13" t="s">
        <v>1456</v>
      </c>
      <c r="J1554" s="13" t="s">
        <v>1465</v>
      </c>
      <c r="K1554" s="13" t="s">
        <v>303</v>
      </c>
      <c r="L1554" s="13" t="s">
        <v>2217</v>
      </c>
      <c r="M1554" s="6" t="s">
        <v>188</v>
      </c>
      <c r="N1554" s="6" t="s">
        <v>188</v>
      </c>
      <c r="O1554" s="6" t="s">
        <v>190</v>
      </c>
      <c r="P1554" s="7" t="s">
        <v>333</v>
      </c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</row>
    <row r="1555">
      <c r="A1555" s="12">
        <v>40.0</v>
      </c>
      <c r="B1555" s="7" t="s">
        <v>554</v>
      </c>
      <c r="C1555" s="7" t="s">
        <v>1435</v>
      </c>
      <c r="I1555" s="13" t="s">
        <v>558</v>
      </c>
      <c r="J1555" s="13" t="s">
        <v>1471</v>
      </c>
      <c r="K1555" s="13" t="s">
        <v>303</v>
      </c>
      <c r="L1555" s="13" t="s">
        <v>2225</v>
      </c>
      <c r="M1555" s="6" t="s">
        <v>188</v>
      </c>
      <c r="N1555" s="6" t="s">
        <v>188</v>
      </c>
      <c r="O1555" s="6" t="s">
        <v>190</v>
      </c>
      <c r="P1555" s="7" t="s">
        <v>333</v>
      </c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</row>
    <row r="1556">
      <c r="A1556" s="12">
        <v>40.0</v>
      </c>
      <c r="B1556" s="7" t="s">
        <v>554</v>
      </c>
      <c r="C1556" s="7" t="s">
        <v>1435</v>
      </c>
      <c r="I1556" s="13" t="s">
        <v>2226</v>
      </c>
      <c r="J1556" s="13" t="s">
        <v>1465</v>
      </c>
      <c r="K1556" s="13" t="s">
        <v>303</v>
      </c>
      <c r="L1556" s="13" t="s">
        <v>2220</v>
      </c>
      <c r="M1556" s="6" t="s">
        <v>188</v>
      </c>
      <c r="N1556" s="6" t="s">
        <v>188</v>
      </c>
      <c r="O1556" s="6" t="s">
        <v>190</v>
      </c>
      <c r="P1556" s="7" t="s">
        <v>333</v>
      </c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</row>
    <row r="1557">
      <c r="A1557" s="12">
        <v>40.0</v>
      </c>
      <c r="B1557" s="7" t="s">
        <v>554</v>
      </c>
      <c r="C1557" s="7" t="s">
        <v>1435</v>
      </c>
      <c r="I1557" s="13" t="s">
        <v>2227</v>
      </c>
      <c r="J1557" s="13" t="s">
        <v>1471</v>
      </c>
      <c r="K1557" s="13" t="s">
        <v>303</v>
      </c>
      <c r="L1557" s="13" t="s">
        <v>2228</v>
      </c>
      <c r="M1557" s="6" t="s">
        <v>188</v>
      </c>
      <c r="N1557" s="6" t="s">
        <v>188</v>
      </c>
      <c r="O1557" s="6" t="s">
        <v>190</v>
      </c>
      <c r="P1557" s="7" t="s">
        <v>333</v>
      </c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</row>
    <row r="1558">
      <c r="A1558" s="12">
        <v>40.0</v>
      </c>
      <c r="B1558" s="7" t="s">
        <v>554</v>
      </c>
      <c r="C1558" s="7" t="s">
        <v>1435</v>
      </c>
      <c r="I1558" s="13" t="s">
        <v>1448</v>
      </c>
      <c r="J1558" s="13" t="s">
        <v>1465</v>
      </c>
      <c r="K1558" s="13" t="s">
        <v>303</v>
      </c>
      <c r="L1558" s="13" t="s">
        <v>2249</v>
      </c>
      <c r="M1558" s="6" t="s">
        <v>188</v>
      </c>
      <c r="N1558" s="6" t="s">
        <v>188</v>
      </c>
      <c r="O1558" s="6" t="s">
        <v>190</v>
      </c>
      <c r="P1558" s="7" t="s">
        <v>333</v>
      </c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</row>
    <row r="1559">
      <c r="A1559" s="12">
        <v>40.0</v>
      </c>
      <c r="B1559" s="7" t="s">
        <v>554</v>
      </c>
      <c r="C1559" s="7" t="s">
        <v>1435</v>
      </c>
      <c r="I1559" s="13" t="s">
        <v>2263</v>
      </c>
      <c r="J1559" s="13" t="s">
        <v>1471</v>
      </c>
      <c r="K1559" s="13" t="s">
        <v>303</v>
      </c>
      <c r="L1559" s="13" t="s">
        <v>2251</v>
      </c>
      <c r="M1559" s="6" t="s">
        <v>188</v>
      </c>
      <c r="N1559" s="6" t="s">
        <v>188</v>
      </c>
      <c r="O1559" s="6" t="s">
        <v>190</v>
      </c>
      <c r="P1559" s="7" t="s">
        <v>333</v>
      </c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</row>
    <row r="1560">
      <c r="A1560" s="12">
        <v>40.0</v>
      </c>
      <c r="B1560" s="7" t="s">
        <v>554</v>
      </c>
      <c r="C1560" s="7" t="s">
        <v>1435</v>
      </c>
      <c r="I1560" s="13" t="s">
        <v>2264</v>
      </c>
      <c r="J1560" s="13" t="s">
        <v>1465</v>
      </c>
      <c r="K1560" s="13" t="s">
        <v>303</v>
      </c>
      <c r="L1560" s="13" t="s">
        <v>2265</v>
      </c>
      <c r="M1560" s="6" t="s">
        <v>188</v>
      </c>
      <c r="N1560" s="6" t="s">
        <v>188</v>
      </c>
      <c r="O1560" s="6" t="s">
        <v>190</v>
      </c>
      <c r="P1560" s="7" t="s">
        <v>333</v>
      </c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</row>
    <row r="1561">
      <c r="A1561" s="12">
        <v>40.0</v>
      </c>
      <c r="B1561" s="7" t="s">
        <v>554</v>
      </c>
      <c r="C1561" s="7" t="s">
        <v>1435</v>
      </c>
      <c r="I1561" s="13" t="s">
        <v>569</v>
      </c>
      <c r="J1561" s="13" t="s">
        <v>1471</v>
      </c>
      <c r="K1561" s="13" t="s">
        <v>303</v>
      </c>
      <c r="L1561" s="13" t="s">
        <v>2265</v>
      </c>
      <c r="M1561" s="6" t="s">
        <v>188</v>
      </c>
      <c r="N1561" s="6" t="s">
        <v>188</v>
      </c>
      <c r="O1561" s="6" t="s">
        <v>190</v>
      </c>
      <c r="P1561" s="7" t="s">
        <v>333</v>
      </c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</row>
    <row r="1562">
      <c r="A1562" s="12">
        <v>41.0</v>
      </c>
      <c r="B1562" s="7" t="s">
        <v>556</v>
      </c>
      <c r="C1562" s="7" t="s">
        <v>1435</v>
      </c>
      <c r="D1562" s="26">
        <f>IF(COUNTIF($B$2:$B1562,$B1562)&gt;1,"",COUNTIF($B$2:$B$3400,$B1562))</f>
        <v>30</v>
      </c>
      <c r="E1562" s="26">
        <f>IF(COUNTIF($B$2:$B1562,$B1562)&gt;1,"",COUNTIFS($B$2:$B$3400,$B1562,$K$2:$K$3400,"PHÙ HỢP CAO"))</f>
        <v>3</v>
      </c>
      <c r="F1562" s="26">
        <f>IF(COUNTIF($B$2:$B1562,$B1562)&gt;1,"",COUNTIFS($B$2:$B$3400,$B1562,$K$2:$K$3400,"CÓ THỂ ĐI"))</f>
        <v>1</v>
      </c>
      <c r="G1562" s="26">
        <f>IF(COUNTIF($B$2:$B1562,$B1562)&gt;1,"",COUNTIFS($B$2:$B$3400,$B1562,$K$2:$K$3400,"CẦN SOÁT"))</f>
        <v>26</v>
      </c>
      <c r="H1562" s="27" t="str">
        <f>IFERROR(__xludf.DUMMYFUNCTION("IF(COUNTIF($B$2:$B1562,$B1562)&gt;1,"""",IFERROR(TEXTJOIN(CHAR(10),TRUE,BYROW(QUERY({$B$2:$B$3400,$J$2:$J$3400},""select Col2, count(Col2) where Col1 = '""&amp;$B1562&amp;""' group by Col2 order by count(Col2) desc label count(Col2) ''"",0),LAMBDA(r,INDEX(r,1,1)&amp;"" "&amp;"– ""&amp;INDEX(r,1,2)&amp;"" link""))),""""))"),"1 Yên bằng bao nhiêu tiền Việt – 15 link
tỷ giá Yên Nhật – 15 link")</f>
        <v>1 Yên bằng bao nhiêu tiền Việt – 15 link
tỷ giá Yên Nhật – 15 link</v>
      </c>
      <c r="I1562" s="10" t="s">
        <v>1479</v>
      </c>
      <c r="J1562" s="13" t="s">
        <v>1485</v>
      </c>
      <c r="K1562" s="13" t="s">
        <v>184</v>
      </c>
      <c r="L1562" s="13" t="s">
        <v>2266</v>
      </c>
      <c r="M1562" s="6" t="s">
        <v>188</v>
      </c>
      <c r="N1562" s="6" t="s">
        <v>188</v>
      </c>
      <c r="O1562" s="6" t="s">
        <v>190</v>
      </c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</row>
    <row r="1563">
      <c r="A1563" s="12">
        <v>41.0</v>
      </c>
      <c r="B1563" s="7" t="s">
        <v>556</v>
      </c>
      <c r="C1563" s="7" t="s">
        <v>1435</v>
      </c>
      <c r="I1563" s="10" t="s">
        <v>554</v>
      </c>
      <c r="J1563" s="13" t="s">
        <v>1488</v>
      </c>
      <c r="K1563" s="13" t="s">
        <v>184</v>
      </c>
      <c r="L1563" s="13" t="s">
        <v>2267</v>
      </c>
      <c r="M1563" s="6" t="s">
        <v>188</v>
      </c>
      <c r="N1563" s="6" t="s">
        <v>188</v>
      </c>
      <c r="O1563" s="6" t="s">
        <v>190</v>
      </c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</row>
    <row r="1564">
      <c r="A1564" s="12">
        <v>41.0</v>
      </c>
      <c r="B1564" s="7" t="s">
        <v>556</v>
      </c>
      <c r="C1564" s="7" t="s">
        <v>1435</v>
      </c>
      <c r="I1564" s="10" t="s">
        <v>562</v>
      </c>
      <c r="J1564" s="13" t="s">
        <v>1485</v>
      </c>
      <c r="K1564" s="13" t="s">
        <v>184</v>
      </c>
      <c r="L1564" s="13" t="s">
        <v>2268</v>
      </c>
      <c r="M1564" s="6" t="s">
        <v>188</v>
      </c>
      <c r="N1564" s="6" t="s">
        <v>188</v>
      </c>
      <c r="O1564" s="6" t="s">
        <v>190</v>
      </c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</row>
    <row r="1565">
      <c r="A1565" s="12">
        <v>41.0</v>
      </c>
      <c r="B1565" s="7" t="s">
        <v>556</v>
      </c>
      <c r="C1565" s="7" t="s">
        <v>1435</v>
      </c>
      <c r="I1565" s="10" t="s">
        <v>1466</v>
      </c>
      <c r="J1565" s="13" t="s">
        <v>1488</v>
      </c>
      <c r="K1565" s="13" t="s">
        <v>283</v>
      </c>
      <c r="L1565" s="13" t="s">
        <v>2269</v>
      </c>
      <c r="M1565" s="6" t="s">
        <v>188</v>
      </c>
      <c r="N1565" s="6" t="s">
        <v>188</v>
      </c>
      <c r="O1565" s="6" t="s">
        <v>190</v>
      </c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</row>
    <row r="1566">
      <c r="A1566" s="12">
        <v>41.0</v>
      </c>
      <c r="B1566" s="7" t="s">
        <v>556</v>
      </c>
      <c r="C1566" s="7" t="s">
        <v>1435</v>
      </c>
      <c r="I1566" s="10" t="s">
        <v>2258</v>
      </c>
      <c r="J1566" s="13" t="s">
        <v>1485</v>
      </c>
      <c r="K1566" s="13" t="s">
        <v>303</v>
      </c>
      <c r="L1566" s="13" t="s">
        <v>2259</v>
      </c>
      <c r="M1566" s="6" t="s">
        <v>188</v>
      </c>
      <c r="N1566" s="6" t="s">
        <v>188</v>
      </c>
      <c r="O1566" s="6" t="s">
        <v>190</v>
      </c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</row>
    <row r="1567">
      <c r="A1567" s="12">
        <v>41.0</v>
      </c>
      <c r="B1567" s="7" t="s">
        <v>556</v>
      </c>
      <c r="C1567" s="7" t="s">
        <v>1435</v>
      </c>
      <c r="I1567" s="10" t="s">
        <v>1519</v>
      </c>
      <c r="J1567" s="13" t="s">
        <v>1488</v>
      </c>
      <c r="K1567" s="13" t="s">
        <v>303</v>
      </c>
      <c r="L1567" s="13" t="s">
        <v>2259</v>
      </c>
      <c r="M1567" s="6" t="s">
        <v>188</v>
      </c>
      <c r="N1567" s="6" t="s">
        <v>188</v>
      </c>
      <c r="O1567" s="6" t="s">
        <v>190</v>
      </c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</row>
    <row r="1568">
      <c r="A1568" s="12">
        <v>41.0</v>
      </c>
      <c r="B1568" s="7" t="s">
        <v>556</v>
      </c>
      <c r="C1568" s="7" t="s">
        <v>1435</v>
      </c>
      <c r="I1568" s="10" t="s">
        <v>1463</v>
      </c>
      <c r="J1568" s="13" t="s">
        <v>1485</v>
      </c>
      <c r="K1568" s="13" t="s">
        <v>303</v>
      </c>
      <c r="L1568" s="13" t="s">
        <v>2259</v>
      </c>
      <c r="M1568" s="6" t="s">
        <v>188</v>
      </c>
      <c r="N1568" s="6" t="s">
        <v>188</v>
      </c>
      <c r="O1568" s="6" t="s">
        <v>190</v>
      </c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</row>
    <row r="1569">
      <c r="A1569" s="12">
        <v>41.0</v>
      </c>
      <c r="B1569" s="7" t="s">
        <v>556</v>
      </c>
      <c r="C1569" s="7" t="s">
        <v>1435</v>
      </c>
      <c r="I1569" s="13" t="s">
        <v>553</v>
      </c>
      <c r="J1569" s="13" t="s">
        <v>1488</v>
      </c>
      <c r="K1569" s="13" t="s">
        <v>303</v>
      </c>
      <c r="L1569" s="13" t="s">
        <v>2217</v>
      </c>
      <c r="M1569" s="6" t="s">
        <v>188</v>
      </c>
      <c r="N1569" s="6" t="s">
        <v>188</v>
      </c>
      <c r="O1569" s="6" t="s">
        <v>190</v>
      </c>
      <c r="P1569" s="7" t="s">
        <v>333</v>
      </c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</row>
    <row r="1570">
      <c r="A1570" s="12">
        <v>41.0</v>
      </c>
      <c r="B1570" s="7" t="s">
        <v>556</v>
      </c>
      <c r="C1570" s="7" t="s">
        <v>1435</v>
      </c>
      <c r="I1570" s="13" t="s">
        <v>552</v>
      </c>
      <c r="J1570" s="13" t="s">
        <v>1485</v>
      </c>
      <c r="K1570" s="13" t="s">
        <v>303</v>
      </c>
      <c r="L1570" s="13" t="s">
        <v>2243</v>
      </c>
      <c r="M1570" s="6" t="s">
        <v>188</v>
      </c>
      <c r="N1570" s="6" t="s">
        <v>188</v>
      </c>
      <c r="O1570" s="6" t="s">
        <v>190</v>
      </c>
      <c r="P1570" s="7" t="s">
        <v>333</v>
      </c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</row>
    <row r="1571">
      <c r="A1571" s="12">
        <v>41.0</v>
      </c>
      <c r="B1571" s="7" t="s">
        <v>556</v>
      </c>
      <c r="C1571" s="7" t="s">
        <v>1435</v>
      </c>
      <c r="I1571" s="13" t="s">
        <v>1436</v>
      </c>
      <c r="J1571" s="13" t="s">
        <v>1488</v>
      </c>
      <c r="K1571" s="13" t="s">
        <v>303</v>
      </c>
      <c r="L1571" s="13" t="s">
        <v>2243</v>
      </c>
      <c r="M1571" s="6" t="s">
        <v>188</v>
      </c>
      <c r="N1571" s="6" t="s">
        <v>188</v>
      </c>
      <c r="O1571" s="6" t="s">
        <v>190</v>
      </c>
      <c r="P1571" s="7" t="s">
        <v>333</v>
      </c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</row>
    <row r="1572">
      <c r="A1572" s="12">
        <v>41.0</v>
      </c>
      <c r="B1572" s="7" t="s">
        <v>556</v>
      </c>
      <c r="C1572" s="7" t="s">
        <v>1435</v>
      </c>
      <c r="I1572" s="13" t="s">
        <v>576</v>
      </c>
      <c r="J1572" s="13" t="s">
        <v>1485</v>
      </c>
      <c r="K1572" s="13" t="s">
        <v>303</v>
      </c>
      <c r="L1572" s="13" t="s">
        <v>2218</v>
      </c>
      <c r="M1572" s="6" t="s">
        <v>188</v>
      </c>
      <c r="N1572" s="6" t="s">
        <v>188</v>
      </c>
      <c r="O1572" s="6" t="s">
        <v>190</v>
      </c>
      <c r="P1572" s="7" t="s">
        <v>333</v>
      </c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</row>
    <row r="1573">
      <c r="A1573" s="12">
        <v>41.0</v>
      </c>
      <c r="B1573" s="7" t="s">
        <v>556</v>
      </c>
      <c r="C1573" s="7" t="s">
        <v>1435</v>
      </c>
      <c r="I1573" s="13" t="s">
        <v>2219</v>
      </c>
      <c r="J1573" s="13" t="s">
        <v>1488</v>
      </c>
      <c r="K1573" s="13" t="s">
        <v>303</v>
      </c>
      <c r="L1573" s="13" t="s">
        <v>2220</v>
      </c>
      <c r="M1573" s="6" t="s">
        <v>188</v>
      </c>
      <c r="N1573" s="6" t="s">
        <v>188</v>
      </c>
      <c r="O1573" s="6" t="s">
        <v>190</v>
      </c>
      <c r="P1573" s="7" t="s">
        <v>333</v>
      </c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</row>
    <row r="1574">
      <c r="A1574" s="12">
        <v>41.0</v>
      </c>
      <c r="B1574" s="7" t="s">
        <v>556</v>
      </c>
      <c r="C1574" s="7" t="s">
        <v>1435</v>
      </c>
      <c r="I1574" s="13" t="s">
        <v>568</v>
      </c>
      <c r="J1574" s="13" t="s">
        <v>1485</v>
      </c>
      <c r="K1574" s="13" t="s">
        <v>303</v>
      </c>
      <c r="L1574" s="13" t="s">
        <v>2244</v>
      </c>
      <c r="M1574" s="6" t="s">
        <v>188</v>
      </c>
      <c r="N1574" s="6" t="s">
        <v>188</v>
      </c>
      <c r="O1574" s="6" t="s">
        <v>190</v>
      </c>
      <c r="P1574" s="7" t="s">
        <v>333</v>
      </c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</row>
    <row r="1575">
      <c r="A1575" s="12">
        <v>41.0</v>
      </c>
      <c r="B1575" s="7" t="s">
        <v>556</v>
      </c>
      <c r="C1575" s="7" t="s">
        <v>1435</v>
      </c>
      <c r="I1575" s="13" t="s">
        <v>1540</v>
      </c>
      <c r="J1575" s="13" t="s">
        <v>1488</v>
      </c>
      <c r="K1575" s="13" t="s">
        <v>303</v>
      </c>
      <c r="L1575" s="13" t="s">
        <v>2245</v>
      </c>
      <c r="M1575" s="6" t="s">
        <v>188</v>
      </c>
      <c r="N1575" s="6" t="s">
        <v>188</v>
      </c>
      <c r="O1575" s="6" t="s">
        <v>190</v>
      </c>
      <c r="P1575" s="7" t="s">
        <v>333</v>
      </c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</row>
    <row r="1576">
      <c r="A1576" s="12">
        <v>41.0</v>
      </c>
      <c r="B1576" s="7" t="s">
        <v>556</v>
      </c>
      <c r="C1576" s="7" t="s">
        <v>1435</v>
      </c>
      <c r="I1576" s="13" t="s">
        <v>1440</v>
      </c>
      <c r="J1576" s="13" t="s">
        <v>1485</v>
      </c>
      <c r="K1576" s="13" t="s">
        <v>303</v>
      </c>
      <c r="L1576" s="13" t="s">
        <v>2247</v>
      </c>
      <c r="M1576" s="6" t="s">
        <v>188</v>
      </c>
      <c r="N1576" s="6" t="s">
        <v>188</v>
      </c>
      <c r="O1576" s="6" t="s">
        <v>190</v>
      </c>
      <c r="P1576" s="7" t="s">
        <v>333</v>
      </c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</row>
    <row r="1577">
      <c r="A1577" s="12">
        <v>41.0</v>
      </c>
      <c r="B1577" s="7" t="s">
        <v>556</v>
      </c>
      <c r="C1577" s="7" t="s">
        <v>1435</v>
      </c>
      <c r="I1577" s="13" t="s">
        <v>1443</v>
      </c>
      <c r="J1577" s="13" t="s">
        <v>1488</v>
      </c>
      <c r="K1577" s="13" t="s">
        <v>303</v>
      </c>
      <c r="L1577" s="13" t="s">
        <v>2248</v>
      </c>
      <c r="M1577" s="6" t="s">
        <v>188</v>
      </c>
      <c r="N1577" s="6" t="s">
        <v>188</v>
      </c>
      <c r="O1577" s="6" t="s">
        <v>190</v>
      </c>
      <c r="P1577" s="7" t="s">
        <v>333</v>
      </c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</row>
    <row r="1578">
      <c r="A1578" s="12">
        <v>41.0</v>
      </c>
      <c r="B1578" s="7" t="s">
        <v>556</v>
      </c>
      <c r="C1578" s="7" t="s">
        <v>1435</v>
      </c>
      <c r="I1578" s="13" t="s">
        <v>2222</v>
      </c>
      <c r="J1578" s="13" t="s">
        <v>1485</v>
      </c>
      <c r="K1578" s="13" t="s">
        <v>303</v>
      </c>
      <c r="L1578" s="13" t="s">
        <v>2223</v>
      </c>
      <c r="M1578" s="6" t="s">
        <v>188</v>
      </c>
      <c r="N1578" s="6" t="s">
        <v>188</v>
      </c>
      <c r="O1578" s="6" t="s">
        <v>190</v>
      </c>
      <c r="P1578" s="7" t="s">
        <v>333</v>
      </c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</row>
    <row r="1579">
      <c r="A1579" s="12">
        <v>41.0</v>
      </c>
      <c r="B1579" s="7" t="s">
        <v>556</v>
      </c>
      <c r="C1579" s="7" t="s">
        <v>1435</v>
      </c>
      <c r="I1579" s="13" t="s">
        <v>2224</v>
      </c>
      <c r="J1579" s="13" t="s">
        <v>1488</v>
      </c>
      <c r="K1579" s="13" t="s">
        <v>303</v>
      </c>
      <c r="L1579" s="13" t="s">
        <v>2223</v>
      </c>
      <c r="M1579" s="6" t="s">
        <v>188</v>
      </c>
      <c r="N1579" s="6" t="s">
        <v>188</v>
      </c>
      <c r="O1579" s="6" t="s">
        <v>190</v>
      </c>
      <c r="P1579" s="7" t="s">
        <v>333</v>
      </c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</row>
    <row r="1580">
      <c r="A1580" s="12">
        <v>41.0</v>
      </c>
      <c r="B1580" s="7" t="s">
        <v>556</v>
      </c>
      <c r="C1580" s="7" t="s">
        <v>1435</v>
      </c>
      <c r="I1580" s="13" t="s">
        <v>1451</v>
      </c>
      <c r="J1580" s="13" t="s">
        <v>1485</v>
      </c>
      <c r="K1580" s="13" t="s">
        <v>303</v>
      </c>
      <c r="L1580" s="13" t="s">
        <v>2261</v>
      </c>
      <c r="M1580" s="6" t="s">
        <v>188</v>
      </c>
      <c r="N1580" s="6" t="s">
        <v>188</v>
      </c>
      <c r="O1580" s="6" t="s">
        <v>190</v>
      </c>
      <c r="P1580" s="7" t="s">
        <v>333</v>
      </c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</row>
    <row r="1581">
      <c r="A1581" s="12">
        <v>41.0</v>
      </c>
      <c r="B1581" s="7" t="s">
        <v>556</v>
      </c>
      <c r="C1581" s="7" t="s">
        <v>1435</v>
      </c>
      <c r="I1581" s="13" t="s">
        <v>2239</v>
      </c>
      <c r="J1581" s="13" t="s">
        <v>1488</v>
      </c>
      <c r="K1581" s="13" t="s">
        <v>303</v>
      </c>
      <c r="L1581" s="13" t="s">
        <v>2262</v>
      </c>
      <c r="M1581" s="6" t="s">
        <v>188</v>
      </c>
      <c r="N1581" s="6" t="s">
        <v>188</v>
      </c>
      <c r="O1581" s="6" t="s">
        <v>190</v>
      </c>
      <c r="P1581" s="7" t="s">
        <v>333</v>
      </c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</row>
    <row r="1582">
      <c r="A1582" s="12">
        <v>41.0</v>
      </c>
      <c r="B1582" s="7" t="s">
        <v>556</v>
      </c>
      <c r="C1582" s="7" t="s">
        <v>1435</v>
      </c>
      <c r="I1582" s="13" t="s">
        <v>559</v>
      </c>
      <c r="J1582" s="13" t="s">
        <v>1485</v>
      </c>
      <c r="K1582" s="13" t="s">
        <v>303</v>
      </c>
      <c r="L1582" s="13" t="s">
        <v>2247</v>
      </c>
      <c r="M1582" s="6" t="s">
        <v>188</v>
      </c>
      <c r="N1582" s="6" t="s">
        <v>188</v>
      </c>
      <c r="O1582" s="6" t="s">
        <v>190</v>
      </c>
      <c r="P1582" s="7" t="s">
        <v>333</v>
      </c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</row>
    <row r="1583">
      <c r="A1583" s="12">
        <v>41.0</v>
      </c>
      <c r="B1583" s="7" t="s">
        <v>556</v>
      </c>
      <c r="C1583" s="7" t="s">
        <v>1435</v>
      </c>
      <c r="I1583" s="13" t="s">
        <v>1456</v>
      </c>
      <c r="J1583" s="13" t="s">
        <v>1488</v>
      </c>
      <c r="K1583" s="13" t="s">
        <v>303</v>
      </c>
      <c r="L1583" s="13" t="s">
        <v>2217</v>
      </c>
      <c r="M1583" s="6" t="s">
        <v>188</v>
      </c>
      <c r="N1583" s="6" t="s">
        <v>188</v>
      </c>
      <c r="O1583" s="6" t="s">
        <v>190</v>
      </c>
      <c r="P1583" s="7" t="s">
        <v>333</v>
      </c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</row>
    <row r="1584">
      <c r="A1584" s="12">
        <v>41.0</v>
      </c>
      <c r="B1584" s="7" t="s">
        <v>556</v>
      </c>
      <c r="C1584" s="7" t="s">
        <v>1435</v>
      </c>
      <c r="I1584" s="13" t="s">
        <v>558</v>
      </c>
      <c r="J1584" s="13" t="s">
        <v>1485</v>
      </c>
      <c r="K1584" s="13" t="s">
        <v>303</v>
      </c>
      <c r="L1584" s="13" t="s">
        <v>2225</v>
      </c>
      <c r="M1584" s="6" t="s">
        <v>188</v>
      </c>
      <c r="N1584" s="6" t="s">
        <v>188</v>
      </c>
      <c r="O1584" s="6" t="s">
        <v>190</v>
      </c>
      <c r="P1584" s="7" t="s">
        <v>333</v>
      </c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</row>
    <row r="1585">
      <c r="A1585" s="12">
        <v>41.0</v>
      </c>
      <c r="B1585" s="7" t="s">
        <v>556</v>
      </c>
      <c r="C1585" s="7" t="s">
        <v>1435</v>
      </c>
      <c r="I1585" s="13" t="s">
        <v>2226</v>
      </c>
      <c r="J1585" s="13" t="s">
        <v>1488</v>
      </c>
      <c r="K1585" s="13" t="s">
        <v>303</v>
      </c>
      <c r="L1585" s="13" t="s">
        <v>2220</v>
      </c>
      <c r="M1585" s="6" t="s">
        <v>188</v>
      </c>
      <c r="N1585" s="6" t="s">
        <v>188</v>
      </c>
      <c r="O1585" s="6" t="s">
        <v>190</v>
      </c>
      <c r="P1585" s="7" t="s">
        <v>333</v>
      </c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</row>
    <row r="1586">
      <c r="A1586" s="12">
        <v>41.0</v>
      </c>
      <c r="B1586" s="7" t="s">
        <v>556</v>
      </c>
      <c r="C1586" s="7" t="s">
        <v>1435</v>
      </c>
      <c r="I1586" s="13" t="s">
        <v>2227</v>
      </c>
      <c r="J1586" s="13" t="s">
        <v>1485</v>
      </c>
      <c r="K1586" s="13" t="s">
        <v>303</v>
      </c>
      <c r="L1586" s="13" t="s">
        <v>2228</v>
      </c>
      <c r="M1586" s="6" t="s">
        <v>188</v>
      </c>
      <c r="N1586" s="6" t="s">
        <v>188</v>
      </c>
      <c r="O1586" s="6" t="s">
        <v>190</v>
      </c>
      <c r="P1586" s="7" t="s">
        <v>333</v>
      </c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</row>
    <row r="1587">
      <c r="A1587" s="12">
        <v>41.0</v>
      </c>
      <c r="B1587" s="7" t="s">
        <v>556</v>
      </c>
      <c r="C1587" s="7" t="s">
        <v>1435</v>
      </c>
      <c r="I1587" s="13" t="s">
        <v>1448</v>
      </c>
      <c r="J1587" s="13" t="s">
        <v>1488</v>
      </c>
      <c r="K1587" s="13" t="s">
        <v>303</v>
      </c>
      <c r="L1587" s="13" t="s">
        <v>2249</v>
      </c>
      <c r="M1587" s="6" t="s">
        <v>188</v>
      </c>
      <c r="N1587" s="6" t="s">
        <v>188</v>
      </c>
      <c r="O1587" s="6" t="s">
        <v>190</v>
      </c>
      <c r="P1587" s="7" t="s">
        <v>333</v>
      </c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</row>
    <row r="1588">
      <c r="A1588" s="12">
        <v>41.0</v>
      </c>
      <c r="B1588" s="7" t="s">
        <v>556</v>
      </c>
      <c r="C1588" s="7" t="s">
        <v>1435</v>
      </c>
      <c r="I1588" s="13" t="s">
        <v>563</v>
      </c>
      <c r="J1588" s="13" t="s">
        <v>1485</v>
      </c>
      <c r="K1588" s="13" t="s">
        <v>303</v>
      </c>
      <c r="L1588" s="13" t="s">
        <v>2251</v>
      </c>
      <c r="M1588" s="6" t="s">
        <v>188</v>
      </c>
      <c r="N1588" s="6" t="s">
        <v>188</v>
      </c>
      <c r="O1588" s="6" t="s">
        <v>190</v>
      </c>
      <c r="P1588" s="7" t="s">
        <v>333</v>
      </c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</row>
    <row r="1589">
      <c r="A1589" s="12">
        <v>41.0</v>
      </c>
      <c r="B1589" s="7" t="s">
        <v>556</v>
      </c>
      <c r="C1589" s="7" t="s">
        <v>1435</v>
      </c>
      <c r="I1589" s="13" t="s">
        <v>2270</v>
      </c>
      <c r="J1589" s="13" t="s">
        <v>1488</v>
      </c>
      <c r="K1589" s="13" t="s">
        <v>303</v>
      </c>
      <c r="L1589" s="13" t="s">
        <v>2251</v>
      </c>
      <c r="M1589" s="6" t="s">
        <v>188</v>
      </c>
      <c r="N1589" s="6" t="s">
        <v>188</v>
      </c>
      <c r="O1589" s="6" t="s">
        <v>190</v>
      </c>
      <c r="P1589" s="7" t="s">
        <v>333</v>
      </c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</row>
    <row r="1590">
      <c r="A1590" s="12">
        <v>41.0</v>
      </c>
      <c r="B1590" s="7" t="s">
        <v>556</v>
      </c>
      <c r="C1590" s="7" t="s">
        <v>1435</v>
      </c>
      <c r="I1590" s="13" t="s">
        <v>2250</v>
      </c>
      <c r="J1590" s="13" t="s">
        <v>1485</v>
      </c>
      <c r="K1590" s="13" t="s">
        <v>303</v>
      </c>
      <c r="L1590" s="13" t="s">
        <v>2251</v>
      </c>
      <c r="M1590" s="6" t="s">
        <v>188</v>
      </c>
      <c r="N1590" s="6" t="s">
        <v>188</v>
      </c>
      <c r="O1590" s="6" t="s">
        <v>190</v>
      </c>
      <c r="P1590" s="7" t="s">
        <v>333</v>
      </c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</row>
    <row r="1591">
      <c r="A1591" s="12">
        <v>41.0</v>
      </c>
      <c r="B1591" s="7" t="s">
        <v>556</v>
      </c>
      <c r="C1591" s="7" t="s">
        <v>1435</v>
      </c>
      <c r="I1591" s="13" t="s">
        <v>2263</v>
      </c>
      <c r="J1591" s="13" t="s">
        <v>1488</v>
      </c>
      <c r="K1591" s="13" t="s">
        <v>303</v>
      </c>
      <c r="L1591" s="13" t="s">
        <v>2251</v>
      </c>
      <c r="M1591" s="6" t="s">
        <v>188</v>
      </c>
      <c r="N1591" s="6" t="s">
        <v>188</v>
      </c>
      <c r="O1591" s="6" t="s">
        <v>190</v>
      </c>
      <c r="P1591" s="7" t="s">
        <v>333</v>
      </c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</row>
    <row r="1592">
      <c r="A1592" s="12">
        <v>42.0</v>
      </c>
      <c r="B1592" s="7" t="s">
        <v>558</v>
      </c>
      <c r="C1592" s="7" t="s">
        <v>1435</v>
      </c>
      <c r="D1592" s="26">
        <f>IF(COUNTIF($B$2:$B1592,$B1592)&gt;1,"",COUNTIF($B$2:$B$3400,$B1592))</f>
        <v>30</v>
      </c>
      <c r="E1592" s="26">
        <f>IF(COUNTIF($B$2:$B1592,$B1592)&gt;1,"",COUNTIFS($B$2:$B$3400,$B1592,$K$2:$K$3400,"PHÙ HỢP CAO"))</f>
        <v>4</v>
      </c>
      <c r="F1592" s="26">
        <f>IF(COUNTIF($B$2:$B1592,$B1592)&gt;1,"",COUNTIFS($B$2:$B$3400,$B1592,$K$2:$K$3400,"CÓ THỂ ĐI"))</f>
        <v>1</v>
      </c>
      <c r="G1592" s="26">
        <f>IF(COUNTIF($B$2:$B1592,$B1592)&gt;1,"",COUNTIFS($B$2:$B$3400,$B1592,$K$2:$K$3400,"CẦN SOÁT"))</f>
        <v>25</v>
      </c>
      <c r="H1592" s="27" t="str">
        <f>IFERROR(__xludf.DUMMYFUNCTION("IF(COUNTIF($B$2:$B1592,$B1592)&gt;1,"""",IFERROR(TEXTJOIN(CHAR(10),TRUE,BYROW(QUERY({$B$2:$B$3400,$J$2:$J$3400},""select Col2, count(Col2) where Col1 = '""&amp;$B1592&amp;""' group by Col2 order by count(Col2) desc label count(Col2) ''"",0),LAMBDA(r,INDEX(r,1,1)&amp;"" "&amp;"– ""&amp;INDEX(r,1,2)&amp;"" link""))),""""))"),"1 Won bằng bao nhiêu tiền Việt – 15 link
tỷ giá Won – 15 link")</f>
        <v>1 Won bằng bao nhiêu tiền Việt – 15 link
tỷ giá Won – 15 link</v>
      </c>
      <c r="I1592" s="10" t="s">
        <v>1494</v>
      </c>
      <c r="J1592" s="13" t="s">
        <v>1496</v>
      </c>
      <c r="K1592" s="13" t="s">
        <v>184</v>
      </c>
      <c r="L1592" s="13" t="s">
        <v>2271</v>
      </c>
      <c r="M1592" s="6" t="s">
        <v>188</v>
      </c>
      <c r="N1592" s="6" t="s">
        <v>188</v>
      </c>
      <c r="O1592" s="6" t="s">
        <v>190</v>
      </c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</row>
    <row r="1593">
      <c r="A1593" s="12">
        <v>42.0</v>
      </c>
      <c r="B1593" s="7" t="s">
        <v>558</v>
      </c>
      <c r="C1593" s="7" t="s">
        <v>1435</v>
      </c>
      <c r="I1593" s="10" t="s">
        <v>568</v>
      </c>
      <c r="J1593" s="13" t="s">
        <v>1499</v>
      </c>
      <c r="K1593" s="13" t="s">
        <v>184</v>
      </c>
      <c r="L1593" s="13" t="s">
        <v>2272</v>
      </c>
      <c r="M1593" s="6" t="s">
        <v>188</v>
      </c>
      <c r="N1593" s="6" t="s">
        <v>188</v>
      </c>
      <c r="O1593" s="6" t="s">
        <v>190</v>
      </c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</row>
    <row r="1594">
      <c r="A1594" s="12">
        <v>42.0</v>
      </c>
      <c r="B1594" s="7" t="s">
        <v>558</v>
      </c>
      <c r="C1594" s="7" t="s">
        <v>1435</v>
      </c>
      <c r="I1594" s="10" t="s">
        <v>1501</v>
      </c>
      <c r="J1594" s="13" t="s">
        <v>1496</v>
      </c>
      <c r="K1594" s="13" t="s">
        <v>184</v>
      </c>
      <c r="L1594" s="13" t="s">
        <v>2273</v>
      </c>
      <c r="M1594" s="6" t="s">
        <v>188</v>
      </c>
      <c r="N1594" s="6" t="s">
        <v>188</v>
      </c>
      <c r="O1594" s="6" t="s">
        <v>190</v>
      </c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</row>
    <row r="1595">
      <c r="A1595" s="12">
        <v>42.0</v>
      </c>
      <c r="B1595" s="7" t="s">
        <v>558</v>
      </c>
      <c r="C1595" s="7" t="s">
        <v>1435</v>
      </c>
      <c r="I1595" s="10" t="s">
        <v>1503</v>
      </c>
      <c r="J1595" s="13" t="s">
        <v>1499</v>
      </c>
      <c r="K1595" s="13" t="s">
        <v>184</v>
      </c>
      <c r="L1595" s="13" t="s">
        <v>2274</v>
      </c>
      <c r="M1595" s="6" t="s">
        <v>188</v>
      </c>
      <c r="N1595" s="6" t="s">
        <v>188</v>
      </c>
      <c r="O1595" s="6" t="s">
        <v>190</v>
      </c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</row>
    <row r="1596">
      <c r="A1596" s="12">
        <v>42.0</v>
      </c>
      <c r="B1596" s="7" t="s">
        <v>558</v>
      </c>
      <c r="C1596" s="7" t="s">
        <v>1435</v>
      </c>
      <c r="I1596" s="10" t="s">
        <v>1376</v>
      </c>
      <c r="J1596" s="13" t="s">
        <v>1496</v>
      </c>
      <c r="K1596" s="13" t="s">
        <v>283</v>
      </c>
      <c r="L1596" s="13" t="s">
        <v>2275</v>
      </c>
      <c r="M1596" s="6" t="s">
        <v>188</v>
      </c>
      <c r="N1596" s="6" t="s">
        <v>188</v>
      </c>
      <c r="O1596" s="6" t="s">
        <v>190</v>
      </c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</row>
    <row r="1597">
      <c r="A1597" s="12">
        <v>42.0</v>
      </c>
      <c r="B1597" s="7" t="s">
        <v>558</v>
      </c>
      <c r="C1597" s="7" t="s">
        <v>1435</v>
      </c>
      <c r="I1597" s="13" t="s">
        <v>553</v>
      </c>
      <c r="J1597" s="13" t="s">
        <v>1499</v>
      </c>
      <c r="K1597" s="13" t="s">
        <v>303</v>
      </c>
      <c r="L1597" s="13" t="s">
        <v>2217</v>
      </c>
      <c r="M1597" s="6" t="s">
        <v>188</v>
      </c>
      <c r="N1597" s="6" t="s">
        <v>188</v>
      </c>
      <c r="O1597" s="6" t="s">
        <v>190</v>
      </c>
      <c r="P1597" s="7" t="s">
        <v>333</v>
      </c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</row>
    <row r="1598">
      <c r="A1598" s="12">
        <v>42.0</v>
      </c>
      <c r="B1598" s="7" t="s">
        <v>558</v>
      </c>
      <c r="C1598" s="7" t="s">
        <v>1435</v>
      </c>
      <c r="I1598" s="13" t="s">
        <v>552</v>
      </c>
      <c r="J1598" s="13" t="s">
        <v>1496</v>
      </c>
      <c r="K1598" s="13" t="s">
        <v>303</v>
      </c>
      <c r="L1598" s="13" t="s">
        <v>2243</v>
      </c>
      <c r="M1598" s="6" t="s">
        <v>188</v>
      </c>
      <c r="N1598" s="6" t="s">
        <v>188</v>
      </c>
      <c r="O1598" s="6" t="s">
        <v>190</v>
      </c>
      <c r="P1598" s="7" t="s">
        <v>333</v>
      </c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</row>
    <row r="1599">
      <c r="A1599" s="12">
        <v>42.0</v>
      </c>
      <c r="B1599" s="7" t="s">
        <v>558</v>
      </c>
      <c r="C1599" s="7" t="s">
        <v>1435</v>
      </c>
      <c r="I1599" s="13" t="s">
        <v>1436</v>
      </c>
      <c r="J1599" s="13" t="s">
        <v>1499</v>
      </c>
      <c r="K1599" s="13" t="s">
        <v>303</v>
      </c>
      <c r="L1599" s="13" t="s">
        <v>2243</v>
      </c>
      <c r="M1599" s="6" t="s">
        <v>188</v>
      </c>
      <c r="N1599" s="6" t="s">
        <v>188</v>
      </c>
      <c r="O1599" s="6" t="s">
        <v>190</v>
      </c>
      <c r="P1599" s="7" t="s">
        <v>333</v>
      </c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</row>
    <row r="1600">
      <c r="A1600" s="12">
        <v>42.0</v>
      </c>
      <c r="B1600" s="7" t="s">
        <v>558</v>
      </c>
      <c r="C1600" s="7" t="s">
        <v>1435</v>
      </c>
      <c r="I1600" s="13" t="s">
        <v>576</v>
      </c>
      <c r="J1600" s="13" t="s">
        <v>1496</v>
      </c>
      <c r="K1600" s="13" t="s">
        <v>303</v>
      </c>
      <c r="L1600" s="13" t="s">
        <v>2218</v>
      </c>
      <c r="M1600" s="6" t="s">
        <v>188</v>
      </c>
      <c r="N1600" s="6" t="s">
        <v>188</v>
      </c>
      <c r="O1600" s="6" t="s">
        <v>190</v>
      </c>
      <c r="P1600" s="7" t="s">
        <v>333</v>
      </c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</row>
    <row r="1601">
      <c r="A1601" s="12">
        <v>42.0</v>
      </c>
      <c r="B1601" s="7" t="s">
        <v>558</v>
      </c>
      <c r="C1601" s="7" t="s">
        <v>1435</v>
      </c>
      <c r="I1601" s="13" t="s">
        <v>1479</v>
      </c>
      <c r="J1601" s="13" t="s">
        <v>1499</v>
      </c>
      <c r="K1601" s="13" t="s">
        <v>303</v>
      </c>
      <c r="L1601" s="13" t="s">
        <v>2221</v>
      </c>
      <c r="M1601" s="6" t="s">
        <v>188</v>
      </c>
      <c r="N1601" s="6" t="s">
        <v>188</v>
      </c>
      <c r="O1601" s="6" t="s">
        <v>190</v>
      </c>
      <c r="P1601" s="7" t="s">
        <v>333</v>
      </c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</row>
    <row r="1602">
      <c r="A1602" s="12">
        <v>42.0</v>
      </c>
      <c r="B1602" s="7" t="s">
        <v>558</v>
      </c>
      <c r="C1602" s="7" t="s">
        <v>1435</v>
      </c>
      <c r="I1602" s="13" t="s">
        <v>1466</v>
      </c>
      <c r="J1602" s="13" t="s">
        <v>1496</v>
      </c>
      <c r="K1602" s="13" t="s">
        <v>303</v>
      </c>
      <c r="L1602" s="13" t="s">
        <v>2246</v>
      </c>
      <c r="M1602" s="6" t="s">
        <v>188</v>
      </c>
      <c r="N1602" s="6" t="s">
        <v>188</v>
      </c>
      <c r="O1602" s="6" t="s">
        <v>190</v>
      </c>
      <c r="P1602" s="7" t="s">
        <v>333</v>
      </c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</row>
    <row r="1603">
      <c r="A1603" s="12">
        <v>42.0</v>
      </c>
      <c r="B1603" s="7" t="s">
        <v>558</v>
      </c>
      <c r="C1603" s="7" t="s">
        <v>1435</v>
      </c>
      <c r="I1603" s="13" t="s">
        <v>2219</v>
      </c>
      <c r="J1603" s="13" t="s">
        <v>1499</v>
      </c>
      <c r="K1603" s="13" t="s">
        <v>303</v>
      </c>
      <c r="L1603" s="13" t="s">
        <v>2220</v>
      </c>
      <c r="M1603" s="6" t="s">
        <v>188</v>
      </c>
      <c r="N1603" s="6" t="s">
        <v>188</v>
      </c>
      <c r="O1603" s="6" t="s">
        <v>190</v>
      </c>
      <c r="P1603" s="7" t="s">
        <v>333</v>
      </c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</row>
    <row r="1604">
      <c r="A1604" s="12">
        <v>42.0</v>
      </c>
      <c r="B1604" s="7" t="s">
        <v>558</v>
      </c>
      <c r="C1604" s="7" t="s">
        <v>1435</v>
      </c>
      <c r="I1604" s="13" t="s">
        <v>1540</v>
      </c>
      <c r="J1604" s="13" t="s">
        <v>1496</v>
      </c>
      <c r="K1604" s="13" t="s">
        <v>303</v>
      </c>
      <c r="L1604" s="13" t="s">
        <v>2245</v>
      </c>
      <c r="M1604" s="6" t="s">
        <v>188</v>
      </c>
      <c r="N1604" s="6" t="s">
        <v>188</v>
      </c>
      <c r="O1604" s="6" t="s">
        <v>190</v>
      </c>
      <c r="P1604" s="7" t="s">
        <v>333</v>
      </c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</row>
    <row r="1605">
      <c r="A1605" s="12">
        <v>42.0</v>
      </c>
      <c r="B1605" s="7" t="s">
        <v>558</v>
      </c>
      <c r="C1605" s="7" t="s">
        <v>1435</v>
      </c>
      <c r="I1605" s="13" t="s">
        <v>554</v>
      </c>
      <c r="J1605" s="13" t="s">
        <v>1499</v>
      </c>
      <c r="K1605" s="13" t="s">
        <v>303</v>
      </c>
      <c r="L1605" s="13" t="s">
        <v>2221</v>
      </c>
      <c r="M1605" s="6" t="s">
        <v>188</v>
      </c>
      <c r="N1605" s="6" t="s">
        <v>188</v>
      </c>
      <c r="O1605" s="6" t="s">
        <v>190</v>
      </c>
      <c r="P1605" s="7" t="s">
        <v>333</v>
      </c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</row>
    <row r="1606">
      <c r="A1606" s="12">
        <v>42.0</v>
      </c>
      <c r="B1606" s="7" t="s">
        <v>558</v>
      </c>
      <c r="C1606" s="7" t="s">
        <v>1435</v>
      </c>
      <c r="I1606" s="13" t="s">
        <v>1440</v>
      </c>
      <c r="J1606" s="13" t="s">
        <v>1496</v>
      </c>
      <c r="K1606" s="13" t="s">
        <v>303</v>
      </c>
      <c r="L1606" s="13" t="s">
        <v>2247</v>
      </c>
      <c r="M1606" s="6" t="s">
        <v>188</v>
      </c>
      <c r="N1606" s="6" t="s">
        <v>188</v>
      </c>
      <c r="O1606" s="6" t="s">
        <v>190</v>
      </c>
      <c r="P1606" s="7" t="s">
        <v>333</v>
      </c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</row>
    <row r="1607">
      <c r="A1607" s="12">
        <v>42.0</v>
      </c>
      <c r="B1607" s="7" t="s">
        <v>558</v>
      </c>
      <c r="C1607" s="7" t="s">
        <v>1435</v>
      </c>
      <c r="I1607" s="13" t="s">
        <v>1443</v>
      </c>
      <c r="J1607" s="13" t="s">
        <v>1499</v>
      </c>
      <c r="K1607" s="13" t="s">
        <v>303</v>
      </c>
      <c r="L1607" s="13" t="s">
        <v>2248</v>
      </c>
      <c r="M1607" s="6" t="s">
        <v>188</v>
      </c>
      <c r="N1607" s="6" t="s">
        <v>188</v>
      </c>
      <c r="O1607" s="6" t="s">
        <v>190</v>
      </c>
      <c r="P1607" s="7" t="s">
        <v>333</v>
      </c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</row>
    <row r="1608">
      <c r="A1608" s="12">
        <v>42.0</v>
      </c>
      <c r="B1608" s="7" t="s">
        <v>558</v>
      </c>
      <c r="C1608" s="7" t="s">
        <v>1435</v>
      </c>
      <c r="I1608" s="13" t="s">
        <v>2222</v>
      </c>
      <c r="J1608" s="13" t="s">
        <v>1496</v>
      </c>
      <c r="K1608" s="13" t="s">
        <v>303</v>
      </c>
      <c r="L1608" s="13" t="s">
        <v>2223</v>
      </c>
      <c r="M1608" s="6" t="s">
        <v>188</v>
      </c>
      <c r="N1608" s="6" t="s">
        <v>188</v>
      </c>
      <c r="O1608" s="6" t="s">
        <v>190</v>
      </c>
      <c r="P1608" s="7" t="s">
        <v>333</v>
      </c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</row>
    <row r="1609">
      <c r="A1609" s="12">
        <v>42.0</v>
      </c>
      <c r="B1609" s="7" t="s">
        <v>558</v>
      </c>
      <c r="C1609" s="7" t="s">
        <v>1435</v>
      </c>
      <c r="I1609" s="13" t="s">
        <v>2224</v>
      </c>
      <c r="J1609" s="13" t="s">
        <v>1499</v>
      </c>
      <c r="K1609" s="13" t="s">
        <v>303</v>
      </c>
      <c r="L1609" s="13" t="s">
        <v>2223</v>
      </c>
      <c r="M1609" s="6" t="s">
        <v>188</v>
      </c>
      <c r="N1609" s="6" t="s">
        <v>188</v>
      </c>
      <c r="O1609" s="6" t="s">
        <v>190</v>
      </c>
      <c r="P1609" s="7" t="s">
        <v>333</v>
      </c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</row>
    <row r="1610">
      <c r="A1610" s="12">
        <v>42.0</v>
      </c>
      <c r="B1610" s="7" t="s">
        <v>558</v>
      </c>
      <c r="C1610" s="7" t="s">
        <v>1435</v>
      </c>
      <c r="I1610" s="13" t="s">
        <v>1451</v>
      </c>
      <c r="J1610" s="13" t="s">
        <v>1496</v>
      </c>
      <c r="K1610" s="13" t="s">
        <v>303</v>
      </c>
      <c r="L1610" s="13" t="s">
        <v>2261</v>
      </c>
      <c r="M1610" s="6" t="s">
        <v>188</v>
      </c>
      <c r="N1610" s="6" t="s">
        <v>188</v>
      </c>
      <c r="O1610" s="6" t="s">
        <v>190</v>
      </c>
      <c r="P1610" s="7" t="s">
        <v>333</v>
      </c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</row>
    <row r="1611">
      <c r="A1611" s="12">
        <v>42.0</v>
      </c>
      <c r="B1611" s="7" t="s">
        <v>558</v>
      </c>
      <c r="C1611" s="7" t="s">
        <v>1435</v>
      </c>
      <c r="I1611" s="13" t="s">
        <v>2239</v>
      </c>
      <c r="J1611" s="13" t="s">
        <v>1499</v>
      </c>
      <c r="K1611" s="13" t="s">
        <v>303</v>
      </c>
      <c r="L1611" s="13" t="s">
        <v>2262</v>
      </c>
      <c r="M1611" s="6" t="s">
        <v>188</v>
      </c>
      <c r="N1611" s="6" t="s">
        <v>188</v>
      </c>
      <c r="O1611" s="6" t="s">
        <v>190</v>
      </c>
      <c r="P1611" s="7" t="s">
        <v>333</v>
      </c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</row>
    <row r="1612">
      <c r="A1612" s="12">
        <v>42.0</v>
      </c>
      <c r="B1612" s="7" t="s">
        <v>558</v>
      </c>
      <c r="C1612" s="7" t="s">
        <v>1435</v>
      </c>
      <c r="I1612" s="13" t="s">
        <v>559</v>
      </c>
      <c r="J1612" s="13" t="s">
        <v>1496</v>
      </c>
      <c r="K1612" s="13" t="s">
        <v>303</v>
      </c>
      <c r="L1612" s="13" t="s">
        <v>2247</v>
      </c>
      <c r="M1612" s="6" t="s">
        <v>188</v>
      </c>
      <c r="N1612" s="6" t="s">
        <v>188</v>
      </c>
      <c r="O1612" s="6" t="s">
        <v>190</v>
      </c>
      <c r="P1612" s="7" t="s">
        <v>333</v>
      </c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</row>
    <row r="1613">
      <c r="A1613" s="12">
        <v>42.0</v>
      </c>
      <c r="B1613" s="7" t="s">
        <v>558</v>
      </c>
      <c r="C1613" s="7" t="s">
        <v>1435</v>
      </c>
      <c r="I1613" s="13" t="s">
        <v>1456</v>
      </c>
      <c r="J1613" s="13" t="s">
        <v>1499</v>
      </c>
      <c r="K1613" s="13" t="s">
        <v>303</v>
      </c>
      <c r="L1613" s="13" t="s">
        <v>2217</v>
      </c>
      <c r="M1613" s="6" t="s">
        <v>188</v>
      </c>
      <c r="N1613" s="6" t="s">
        <v>188</v>
      </c>
      <c r="O1613" s="6" t="s">
        <v>190</v>
      </c>
      <c r="P1613" s="7" t="s">
        <v>333</v>
      </c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</row>
    <row r="1614">
      <c r="A1614" s="12">
        <v>42.0</v>
      </c>
      <c r="B1614" s="7" t="s">
        <v>558</v>
      </c>
      <c r="C1614" s="7" t="s">
        <v>1435</v>
      </c>
      <c r="I1614" s="13" t="s">
        <v>2226</v>
      </c>
      <c r="J1614" s="13" t="s">
        <v>1496</v>
      </c>
      <c r="K1614" s="13" t="s">
        <v>303</v>
      </c>
      <c r="L1614" s="13" t="s">
        <v>2220</v>
      </c>
      <c r="M1614" s="6" t="s">
        <v>188</v>
      </c>
      <c r="N1614" s="6" t="s">
        <v>188</v>
      </c>
      <c r="O1614" s="6" t="s">
        <v>190</v>
      </c>
      <c r="P1614" s="7" t="s">
        <v>333</v>
      </c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</row>
    <row r="1615">
      <c r="A1615" s="12">
        <v>42.0</v>
      </c>
      <c r="B1615" s="7" t="s">
        <v>558</v>
      </c>
      <c r="C1615" s="7" t="s">
        <v>1435</v>
      </c>
      <c r="I1615" s="13" t="s">
        <v>2227</v>
      </c>
      <c r="J1615" s="13" t="s">
        <v>1499</v>
      </c>
      <c r="K1615" s="13" t="s">
        <v>303</v>
      </c>
      <c r="L1615" s="13" t="s">
        <v>2228</v>
      </c>
      <c r="M1615" s="6" t="s">
        <v>188</v>
      </c>
      <c r="N1615" s="6" t="s">
        <v>188</v>
      </c>
      <c r="O1615" s="6" t="s">
        <v>190</v>
      </c>
      <c r="P1615" s="7" t="s">
        <v>333</v>
      </c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</row>
    <row r="1616">
      <c r="A1616" s="12">
        <v>42.0</v>
      </c>
      <c r="B1616" s="7" t="s">
        <v>558</v>
      </c>
      <c r="C1616" s="7" t="s">
        <v>1435</v>
      </c>
      <c r="I1616" s="13" t="s">
        <v>1448</v>
      </c>
      <c r="J1616" s="13" t="s">
        <v>1496</v>
      </c>
      <c r="K1616" s="13" t="s">
        <v>303</v>
      </c>
      <c r="L1616" s="13" t="s">
        <v>2249</v>
      </c>
      <c r="M1616" s="6" t="s">
        <v>188</v>
      </c>
      <c r="N1616" s="6" t="s">
        <v>188</v>
      </c>
      <c r="O1616" s="6" t="s">
        <v>190</v>
      </c>
      <c r="P1616" s="7" t="s">
        <v>333</v>
      </c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</row>
    <row r="1617">
      <c r="A1617" s="12">
        <v>42.0</v>
      </c>
      <c r="B1617" s="7" t="s">
        <v>558</v>
      </c>
      <c r="C1617" s="7" t="s">
        <v>1435</v>
      </c>
      <c r="I1617" s="13" t="s">
        <v>1519</v>
      </c>
      <c r="J1617" s="13" t="s">
        <v>1499</v>
      </c>
      <c r="K1617" s="13" t="s">
        <v>303</v>
      </c>
      <c r="L1617" s="13" t="s">
        <v>2245</v>
      </c>
      <c r="M1617" s="6" t="s">
        <v>188</v>
      </c>
      <c r="N1617" s="6" t="s">
        <v>188</v>
      </c>
      <c r="O1617" s="6" t="s">
        <v>190</v>
      </c>
      <c r="P1617" s="7" t="s">
        <v>333</v>
      </c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</row>
    <row r="1618">
      <c r="A1618" s="12">
        <v>42.0</v>
      </c>
      <c r="B1618" s="7" t="s">
        <v>558</v>
      </c>
      <c r="C1618" s="7" t="s">
        <v>1435</v>
      </c>
      <c r="I1618" s="13" t="s">
        <v>1508</v>
      </c>
      <c r="J1618" s="13" t="s">
        <v>1496</v>
      </c>
      <c r="K1618" s="13" t="s">
        <v>303</v>
      </c>
      <c r="L1618" s="13" t="s">
        <v>2251</v>
      </c>
      <c r="M1618" s="6" t="s">
        <v>188</v>
      </c>
      <c r="N1618" s="6" t="s">
        <v>188</v>
      </c>
      <c r="O1618" s="6" t="s">
        <v>190</v>
      </c>
      <c r="P1618" s="7" t="s">
        <v>333</v>
      </c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</row>
    <row r="1619">
      <c r="A1619" s="12">
        <v>42.0</v>
      </c>
      <c r="B1619" s="7" t="s">
        <v>558</v>
      </c>
      <c r="C1619" s="7" t="s">
        <v>1435</v>
      </c>
      <c r="I1619" s="13" t="s">
        <v>2063</v>
      </c>
      <c r="J1619" s="13" t="s">
        <v>1499</v>
      </c>
      <c r="K1619" s="13" t="s">
        <v>303</v>
      </c>
      <c r="L1619" s="13" t="s">
        <v>2276</v>
      </c>
      <c r="M1619" s="6" t="s">
        <v>188</v>
      </c>
      <c r="N1619" s="6" t="s">
        <v>188</v>
      </c>
      <c r="O1619" s="6" t="s">
        <v>190</v>
      </c>
      <c r="P1619" s="7" t="s">
        <v>333</v>
      </c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</row>
    <row r="1620">
      <c r="A1620" s="12">
        <v>42.0</v>
      </c>
      <c r="B1620" s="7" t="s">
        <v>558</v>
      </c>
      <c r="C1620" s="7" t="s">
        <v>1435</v>
      </c>
      <c r="I1620" s="13" t="s">
        <v>1544</v>
      </c>
      <c r="J1620" s="13" t="s">
        <v>1496</v>
      </c>
      <c r="K1620" s="13" t="s">
        <v>303</v>
      </c>
      <c r="L1620" s="13" t="s">
        <v>2277</v>
      </c>
      <c r="M1620" s="6" t="s">
        <v>188</v>
      </c>
      <c r="N1620" s="6" t="s">
        <v>188</v>
      </c>
      <c r="O1620" s="6" t="s">
        <v>190</v>
      </c>
      <c r="P1620" s="7" t="s">
        <v>333</v>
      </c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</row>
    <row r="1621">
      <c r="A1621" s="12">
        <v>42.0</v>
      </c>
      <c r="B1621" s="7" t="s">
        <v>558</v>
      </c>
      <c r="C1621" s="7" t="s">
        <v>1435</v>
      </c>
      <c r="I1621" s="13" t="s">
        <v>2278</v>
      </c>
      <c r="J1621" s="13" t="s">
        <v>1499</v>
      </c>
      <c r="K1621" s="13" t="s">
        <v>303</v>
      </c>
      <c r="L1621" s="13" t="s">
        <v>2279</v>
      </c>
      <c r="M1621" s="6" t="s">
        <v>188</v>
      </c>
      <c r="N1621" s="6" t="s">
        <v>188</v>
      </c>
      <c r="O1621" s="6" t="s">
        <v>190</v>
      </c>
      <c r="P1621" s="7" t="s">
        <v>333</v>
      </c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</row>
    <row r="1622">
      <c r="A1622" s="12">
        <v>43.0</v>
      </c>
      <c r="B1622" s="7" t="s">
        <v>559</v>
      </c>
      <c r="C1622" s="7" t="s">
        <v>1435</v>
      </c>
      <c r="D1622" s="26">
        <f>IF(COUNTIF($B$2:$B1622,$B1622)&gt;1,"",COUNTIF($B$2:$B$3400,$B1622))</f>
        <v>30</v>
      </c>
      <c r="E1622" s="26">
        <f>IF(COUNTIF($B$2:$B1622,$B1622)&gt;1,"",COUNTIFS($B$2:$B$3400,$B1622,$K$2:$K$3400,"PHÙ HỢP CAO"))</f>
        <v>1</v>
      </c>
      <c r="F1622" s="26">
        <f>IF(COUNTIF($B$2:$B1622,$B1622)&gt;1,"",COUNTIFS($B$2:$B$3400,$B1622,$K$2:$K$3400,"CÓ THỂ ĐI"))</f>
        <v>3</v>
      </c>
      <c r="G1622" s="26">
        <f>IF(COUNTIF($B$2:$B1622,$B1622)&gt;1,"",COUNTIFS($B$2:$B$3400,$B1622,$K$2:$K$3400,"CẦN SOÁT"))</f>
        <v>26</v>
      </c>
      <c r="H1622" s="27" t="str">
        <f>IFERROR(__xludf.DUMMYFUNCTION("IF(COUNTIF($B$2:$B1622,$B1622)&gt;1,"""",IFERROR(TEXTJOIN(CHAR(10),TRUE,BYROW(QUERY({$B$2:$B$3400,$J$2:$J$3400},""select Col2, count(Col2) where Col1 = '""&amp;$B1622&amp;""' group by Col2 order by count(Col2) desc label count(Col2) ''"",0),LAMBDA(r,INDEX(r,1,1)&amp;"" "&amp;"– ""&amp;INDEX(r,1,2)&amp;"" link""))),""""))"),"Tân Đài tệ – 10 link
tiền Đài Loan – 10 link
tỷ giá Đài tệ – 10 link")</f>
        <v>Tân Đài tệ – 10 link
tiền Đài Loan – 10 link
tỷ giá Đài tệ – 10 link</v>
      </c>
      <c r="I1622" s="10" t="s">
        <v>1508</v>
      </c>
      <c r="J1622" s="13" t="s">
        <v>1512</v>
      </c>
      <c r="K1622" s="13" t="s">
        <v>184</v>
      </c>
      <c r="L1622" s="13" t="s">
        <v>2280</v>
      </c>
      <c r="M1622" s="6" t="s">
        <v>188</v>
      </c>
      <c r="N1622" s="6" t="s">
        <v>188</v>
      </c>
      <c r="O1622" s="6" t="s">
        <v>190</v>
      </c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</row>
    <row r="1623">
      <c r="A1623" s="12">
        <v>43.0</v>
      </c>
      <c r="B1623" s="7" t="s">
        <v>559</v>
      </c>
      <c r="C1623" s="7" t="s">
        <v>1435</v>
      </c>
      <c r="I1623" s="10" t="s">
        <v>1514</v>
      </c>
      <c r="J1623" s="13" t="s">
        <v>1516</v>
      </c>
      <c r="K1623" s="13" t="s">
        <v>283</v>
      </c>
      <c r="L1623" s="13" t="s">
        <v>2281</v>
      </c>
      <c r="M1623" s="6" t="s">
        <v>188</v>
      </c>
      <c r="N1623" s="6" t="s">
        <v>188</v>
      </c>
      <c r="O1623" s="6" t="s">
        <v>190</v>
      </c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</row>
    <row r="1624">
      <c r="A1624" s="12">
        <v>43.0</v>
      </c>
      <c r="B1624" s="7" t="s">
        <v>559</v>
      </c>
      <c r="C1624" s="7" t="s">
        <v>1435</v>
      </c>
      <c r="I1624" s="10" t="s">
        <v>1376</v>
      </c>
      <c r="J1624" s="13" t="s">
        <v>1518</v>
      </c>
      <c r="K1624" s="13" t="s">
        <v>283</v>
      </c>
      <c r="L1624" s="13" t="s">
        <v>2282</v>
      </c>
      <c r="M1624" s="6" t="s">
        <v>188</v>
      </c>
      <c r="N1624" s="6" t="s">
        <v>188</v>
      </c>
      <c r="O1624" s="6" t="s">
        <v>190</v>
      </c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</row>
    <row r="1625">
      <c r="A1625" s="12">
        <v>43.0</v>
      </c>
      <c r="B1625" s="7" t="s">
        <v>559</v>
      </c>
      <c r="C1625" s="7" t="s">
        <v>1435</v>
      </c>
      <c r="I1625" s="10" t="s">
        <v>1519</v>
      </c>
      <c r="J1625" s="13" t="s">
        <v>1512</v>
      </c>
      <c r="K1625" s="13" t="s">
        <v>283</v>
      </c>
      <c r="L1625" s="13" t="s">
        <v>2283</v>
      </c>
      <c r="M1625" s="6" t="s">
        <v>188</v>
      </c>
      <c r="N1625" s="6" t="s">
        <v>188</v>
      </c>
      <c r="O1625" s="6" t="s">
        <v>190</v>
      </c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</row>
    <row r="1626">
      <c r="A1626" s="12">
        <v>43.0</v>
      </c>
      <c r="B1626" s="7" t="s">
        <v>559</v>
      </c>
      <c r="C1626" s="7" t="s">
        <v>1435</v>
      </c>
      <c r="I1626" s="10" t="s">
        <v>2284</v>
      </c>
      <c r="J1626" s="13" t="s">
        <v>1516</v>
      </c>
      <c r="K1626" s="13" t="s">
        <v>303</v>
      </c>
      <c r="L1626" s="13" t="s">
        <v>2285</v>
      </c>
      <c r="M1626" s="6" t="s">
        <v>188</v>
      </c>
      <c r="N1626" s="6" t="s">
        <v>188</v>
      </c>
      <c r="O1626" s="6" t="s">
        <v>190</v>
      </c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</row>
    <row r="1627">
      <c r="A1627" s="12">
        <v>43.0</v>
      </c>
      <c r="B1627" s="7" t="s">
        <v>559</v>
      </c>
      <c r="C1627" s="7" t="s">
        <v>1435</v>
      </c>
      <c r="I1627" s="13" t="s">
        <v>553</v>
      </c>
      <c r="J1627" s="13" t="s">
        <v>1518</v>
      </c>
      <c r="K1627" s="13" t="s">
        <v>303</v>
      </c>
      <c r="L1627" s="13" t="s">
        <v>2217</v>
      </c>
      <c r="M1627" s="6" t="s">
        <v>188</v>
      </c>
      <c r="N1627" s="6" t="s">
        <v>188</v>
      </c>
      <c r="O1627" s="6" t="s">
        <v>190</v>
      </c>
      <c r="P1627" s="7" t="s">
        <v>333</v>
      </c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</row>
    <row r="1628">
      <c r="A1628" s="12">
        <v>43.0</v>
      </c>
      <c r="B1628" s="7" t="s">
        <v>559</v>
      </c>
      <c r="C1628" s="7" t="s">
        <v>1435</v>
      </c>
      <c r="I1628" s="13" t="s">
        <v>552</v>
      </c>
      <c r="J1628" s="13" t="s">
        <v>1512</v>
      </c>
      <c r="K1628" s="13" t="s">
        <v>303</v>
      </c>
      <c r="L1628" s="13" t="s">
        <v>2243</v>
      </c>
      <c r="M1628" s="6" t="s">
        <v>188</v>
      </c>
      <c r="N1628" s="6" t="s">
        <v>188</v>
      </c>
      <c r="O1628" s="6" t="s">
        <v>190</v>
      </c>
      <c r="P1628" s="7" t="s">
        <v>333</v>
      </c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</row>
    <row r="1629">
      <c r="A1629" s="12">
        <v>43.0</v>
      </c>
      <c r="B1629" s="7" t="s">
        <v>559</v>
      </c>
      <c r="C1629" s="7" t="s">
        <v>1435</v>
      </c>
      <c r="I1629" s="13" t="s">
        <v>1436</v>
      </c>
      <c r="J1629" s="13" t="s">
        <v>1516</v>
      </c>
      <c r="K1629" s="13" t="s">
        <v>303</v>
      </c>
      <c r="L1629" s="13" t="s">
        <v>2243</v>
      </c>
      <c r="M1629" s="6" t="s">
        <v>188</v>
      </c>
      <c r="N1629" s="6" t="s">
        <v>188</v>
      </c>
      <c r="O1629" s="6" t="s">
        <v>190</v>
      </c>
      <c r="P1629" s="7" t="s">
        <v>333</v>
      </c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</row>
    <row r="1630">
      <c r="A1630" s="12">
        <v>43.0</v>
      </c>
      <c r="B1630" s="7" t="s">
        <v>559</v>
      </c>
      <c r="C1630" s="7" t="s">
        <v>1435</v>
      </c>
      <c r="I1630" s="13" t="s">
        <v>576</v>
      </c>
      <c r="J1630" s="13" t="s">
        <v>1518</v>
      </c>
      <c r="K1630" s="13" t="s">
        <v>303</v>
      </c>
      <c r="L1630" s="13" t="s">
        <v>2218</v>
      </c>
      <c r="M1630" s="6" t="s">
        <v>188</v>
      </c>
      <c r="N1630" s="6" t="s">
        <v>188</v>
      </c>
      <c r="O1630" s="6" t="s">
        <v>190</v>
      </c>
      <c r="P1630" s="7" t="s">
        <v>333</v>
      </c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</row>
    <row r="1631">
      <c r="A1631" s="12">
        <v>43.0</v>
      </c>
      <c r="B1631" s="7" t="s">
        <v>559</v>
      </c>
      <c r="C1631" s="7" t="s">
        <v>1435</v>
      </c>
      <c r="I1631" s="13" t="s">
        <v>568</v>
      </c>
      <c r="J1631" s="13" t="s">
        <v>1512</v>
      </c>
      <c r="K1631" s="13" t="s">
        <v>303</v>
      </c>
      <c r="L1631" s="13" t="s">
        <v>2244</v>
      </c>
      <c r="M1631" s="6" t="s">
        <v>188</v>
      </c>
      <c r="N1631" s="6" t="s">
        <v>188</v>
      </c>
      <c r="O1631" s="6" t="s">
        <v>190</v>
      </c>
      <c r="P1631" s="7" t="s">
        <v>333</v>
      </c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</row>
    <row r="1632">
      <c r="A1632" s="12">
        <v>43.0</v>
      </c>
      <c r="B1632" s="7" t="s">
        <v>559</v>
      </c>
      <c r="C1632" s="7" t="s">
        <v>1435</v>
      </c>
      <c r="I1632" s="13" t="s">
        <v>1479</v>
      </c>
      <c r="J1632" s="13" t="s">
        <v>1516</v>
      </c>
      <c r="K1632" s="13" t="s">
        <v>303</v>
      </c>
      <c r="L1632" s="13" t="s">
        <v>2221</v>
      </c>
      <c r="M1632" s="6" t="s">
        <v>188</v>
      </c>
      <c r="N1632" s="6" t="s">
        <v>188</v>
      </c>
      <c r="O1632" s="6" t="s">
        <v>190</v>
      </c>
      <c r="P1632" s="7" t="s">
        <v>333</v>
      </c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</row>
    <row r="1633">
      <c r="A1633" s="12">
        <v>43.0</v>
      </c>
      <c r="B1633" s="7" t="s">
        <v>559</v>
      </c>
      <c r="C1633" s="7" t="s">
        <v>1435</v>
      </c>
      <c r="I1633" s="13" t="s">
        <v>1466</v>
      </c>
      <c r="J1633" s="13" t="s">
        <v>1518</v>
      </c>
      <c r="K1633" s="13" t="s">
        <v>303</v>
      </c>
      <c r="L1633" s="13" t="s">
        <v>2246</v>
      </c>
      <c r="M1633" s="6" t="s">
        <v>188</v>
      </c>
      <c r="N1633" s="6" t="s">
        <v>188</v>
      </c>
      <c r="O1633" s="6" t="s">
        <v>190</v>
      </c>
      <c r="P1633" s="7" t="s">
        <v>333</v>
      </c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</row>
    <row r="1634">
      <c r="A1634" s="12">
        <v>43.0</v>
      </c>
      <c r="B1634" s="7" t="s">
        <v>559</v>
      </c>
      <c r="C1634" s="7" t="s">
        <v>1435</v>
      </c>
      <c r="I1634" s="13" t="s">
        <v>2219</v>
      </c>
      <c r="J1634" s="13" t="s">
        <v>1512</v>
      </c>
      <c r="K1634" s="13" t="s">
        <v>303</v>
      </c>
      <c r="L1634" s="13" t="s">
        <v>2220</v>
      </c>
      <c r="M1634" s="6" t="s">
        <v>188</v>
      </c>
      <c r="N1634" s="6" t="s">
        <v>188</v>
      </c>
      <c r="O1634" s="6" t="s">
        <v>190</v>
      </c>
      <c r="P1634" s="7" t="s">
        <v>333</v>
      </c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</row>
    <row r="1635">
      <c r="A1635" s="12">
        <v>43.0</v>
      </c>
      <c r="B1635" s="7" t="s">
        <v>559</v>
      </c>
      <c r="C1635" s="7" t="s">
        <v>1435</v>
      </c>
      <c r="I1635" s="13" t="s">
        <v>1540</v>
      </c>
      <c r="J1635" s="13" t="s">
        <v>1516</v>
      </c>
      <c r="K1635" s="13" t="s">
        <v>303</v>
      </c>
      <c r="L1635" s="13" t="s">
        <v>2245</v>
      </c>
      <c r="M1635" s="6" t="s">
        <v>188</v>
      </c>
      <c r="N1635" s="6" t="s">
        <v>188</v>
      </c>
      <c r="O1635" s="6" t="s">
        <v>190</v>
      </c>
      <c r="P1635" s="7" t="s">
        <v>333</v>
      </c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</row>
    <row r="1636">
      <c r="A1636" s="12">
        <v>43.0</v>
      </c>
      <c r="B1636" s="7" t="s">
        <v>559</v>
      </c>
      <c r="C1636" s="7" t="s">
        <v>1435</v>
      </c>
      <c r="I1636" s="13" t="s">
        <v>554</v>
      </c>
      <c r="J1636" s="13" t="s">
        <v>1518</v>
      </c>
      <c r="K1636" s="13" t="s">
        <v>303</v>
      </c>
      <c r="L1636" s="13" t="s">
        <v>2221</v>
      </c>
      <c r="M1636" s="6" t="s">
        <v>188</v>
      </c>
      <c r="N1636" s="6" t="s">
        <v>188</v>
      </c>
      <c r="O1636" s="6" t="s">
        <v>190</v>
      </c>
      <c r="P1636" s="7" t="s">
        <v>333</v>
      </c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</row>
    <row r="1637">
      <c r="A1637" s="12">
        <v>43.0</v>
      </c>
      <c r="B1637" s="7" t="s">
        <v>559</v>
      </c>
      <c r="C1637" s="7" t="s">
        <v>1435</v>
      </c>
      <c r="I1637" s="13" t="s">
        <v>1440</v>
      </c>
      <c r="J1637" s="13" t="s">
        <v>1512</v>
      </c>
      <c r="K1637" s="13" t="s">
        <v>303</v>
      </c>
      <c r="L1637" s="13" t="s">
        <v>2247</v>
      </c>
      <c r="M1637" s="6" t="s">
        <v>188</v>
      </c>
      <c r="N1637" s="6" t="s">
        <v>188</v>
      </c>
      <c r="O1637" s="6" t="s">
        <v>190</v>
      </c>
      <c r="P1637" s="7" t="s">
        <v>333</v>
      </c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</row>
    <row r="1638">
      <c r="A1638" s="12">
        <v>43.0</v>
      </c>
      <c r="B1638" s="7" t="s">
        <v>559</v>
      </c>
      <c r="C1638" s="7" t="s">
        <v>1435</v>
      </c>
      <c r="I1638" s="13" t="s">
        <v>1443</v>
      </c>
      <c r="J1638" s="13" t="s">
        <v>1516</v>
      </c>
      <c r="K1638" s="13" t="s">
        <v>303</v>
      </c>
      <c r="L1638" s="13" t="s">
        <v>2248</v>
      </c>
      <c r="M1638" s="6" t="s">
        <v>188</v>
      </c>
      <c r="N1638" s="6" t="s">
        <v>188</v>
      </c>
      <c r="O1638" s="6" t="s">
        <v>190</v>
      </c>
      <c r="P1638" s="7" t="s">
        <v>333</v>
      </c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</row>
    <row r="1639">
      <c r="A1639" s="12">
        <v>43.0</v>
      </c>
      <c r="B1639" s="7" t="s">
        <v>559</v>
      </c>
      <c r="C1639" s="7" t="s">
        <v>1435</v>
      </c>
      <c r="I1639" s="13" t="s">
        <v>2222</v>
      </c>
      <c r="J1639" s="13" t="s">
        <v>1518</v>
      </c>
      <c r="K1639" s="13" t="s">
        <v>303</v>
      </c>
      <c r="L1639" s="13" t="s">
        <v>2223</v>
      </c>
      <c r="M1639" s="6" t="s">
        <v>188</v>
      </c>
      <c r="N1639" s="6" t="s">
        <v>188</v>
      </c>
      <c r="O1639" s="6" t="s">
        <v>190</v>
      </c>
      <c r="P1639" s="7" t="s">
        <v>333</v>
      </c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</row>
    <row r="1640">
      <c r="A1640" s="12">
        <v>43.0</v>
      </c>
      <c r="B1640" s="7" t="s">
        <v>559</v>
      </c>
      <c r="C1640" s="7" t="s">
        <v>1435</v>
      </c>
      <c r="I1640" s="13" t="s">
        <v>2224</v>
      </c>
      <c r="J1640" s="13" t="s">
        <v>1512</v>
      </c>
      <c r="K1640" s="13" t="s">
        <v>303</v>
      </c>
      <c r="L1640" s="13" t="s">
        <v>2223</v>
      </c>
      <c r="M1640" s="6" t="s">
        <v>188</v>
      </c>
      <c r="N1640" s="6" t="s">
        <v>188</v>
      </c>
      <c r="O1640" s="6" t="s">
        <v>190</v>
      </c>
      <c r="P1640" s="7" t="s">
        <v>333</v>
      </c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</row>
    <row r="1641">
      <c r="A1641" s="12">
        <v>43.0</v>
      </c>
      <c r="B1641" s="7" t="s">
        <v>559</v>
      </c>
      <c r="C1641" s="7" t="s">
        <v>1435</v>
      </c>
      <c r="I1641" s="13" t="s">
        <v>558</v>
      </c>
      <c r="J1641" s="13" t="s">
        <v>1516</v>
      </c>
      <c r="K1641" s="13" t="s">
        <v>303</v>
      </c>
      <c r="L1641" s="13" t="s">
        <v>2225</v>
      </c>
      <c r="M1641" s="6" t="s">
        <v>188</v>
      </c>
      <c r="N1641" s="6" t="s">
        <v>188</v>
      </c>
      <c r="O1641" s="6" t="s">
        <v>190</v>
      </c>
      <c r="P1641" s="7" t="s">
        <v>333</v>
      </c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</row>
    <row r="1642">
      <c r="A1642" s="12">
        <v>43.0</v>
      </c>
      <c r="B1642" s="7" t="s">
        <v>559</v>
      </c>
      <c r="C1642" s="7" t="s">
        <v>1435</v>
      </c>
      <c r="I1642" s="13" t="s">
        <v>1451</v>
      </c>
      <c r="J1642" s="13" t="s">
        <v>1518</v>
      </c>
      <c r="K1642" s="13" t="s">
        <v>303</v>
      </c>
      <c r="L1642" s="13" t="s">
        <v>2261</v>
      </c>
      <c r="M1642" s="6" t="s">
        <v>188</v>
      </c>
      <c r="N1642" s="6" t="s">
        <v>188</v>
      </c>
      <c r="O1642" s="6" t="s">
        <v>190</v>
      </c>
      <c r="P1642" s="7" t="s">
        <v>333</v>
      </c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</row>
    <row r="1643">
      <c r="A1643" s="12">
        <v>43.0</v>
      </c>
      <c r="B1643" s="7" t="s">
        <v>559</v>
      </c>
      <c r="C1643" s="7" t="s">
        <v>1435</v>
      </c>
      <c r="I1643" s="13" t="s">
        <v>2239</v>
      </c>
      <c r="J1643" s="13" t="s">
        <v>1512</v>
      </c>
      <c r="K1643" s="13" t="s">
        <v>303</v>
      </c>
      <c r="L1643" s="13" t="s">
        <v>2262</v>
      </c>
      <c r="M1643" s="6" t="s">
        <v>188</v>
      </c>
      <c r="N1643" s="6" t="s">
        <v>188</v>
      </c>
      <c r="O1643" s="6" t="s">
        <v>190</v>
      </c>
      <c r="P1643" s="7" t="s">
        <v>333</v>
      </c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</row>
    <row r="1644">
      <c r="A1644" s="12">
        <v>43.0</v>
      </c>
      <c r="B1644" s="7" t="s">
        <v>559</v>
      </c>
      <c r="C1644" s="7" t="s">
        <v>1435</v>
      </c>
      <c r="I1644" s="13" t="s">
        <v>1456</v>
      </c>
      <c r="J1644" s="13" t="s">
        <v>1516</v>
      </c>
      <c r="K1644" s="13" t="s">
        <v>303</v>
      </c>
      <c r="L1644" s="13" t="s">
        <v>2217</v>
      </c>
      <c r="M1644" s="6" t="s">
        <v>188</v>
      </c>
      <c r="N1644" s="6" t="s">
        <v>188</v>
      </c>
      <c r="O1644" s="6" t="s">
        <v>190</v>
      </c>
      <c r="P1644" s="7" t="s">
        <v>333</v>
      </c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</row>
    <row r="1645">
      <c r="A1645" s="12">
        <v>43.0</v>
      </c>
      <c r="B1645" s="7" t="s">
        <v>559</v>
      </c>
      <c r="C1645" s="7" t="s">
        <v>1435</v>
      </c>
      <c r="I1645" s="13" t="s">
        <v>2226</v>
      </c>
      <c r="J1645" s="13" t="s">
        <v>1518</v>
      </c>
      <c r="K1645" s="13" t="s">
        <v>303</v>
      </c>
      <c r="L1645" s="13" t="s">
        <v>2220</v>
      </c>
      <c r="M1645" s="6" t="s">
        <v>188</v>
      </c>
      <c r="N1645" s="6" t="s">
        <v>188</v>
      </c>
      <c r="O1645" s="6" t="s">
        <v>190</v>
      </c>
      <c r="P1645" s="7" t="s">
        <v>333</v>
      </c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</row>
    <row r="1646">
      <c r="A1646" s="12">
        <v>43.0</v>
      </c>
      <c r="B1646" s="7" t="s">
        <v>559</v>
      </c>
      <c r="C1646" s="7" t="s">
        <v>1435</v>
      </c>
      <c r="I1646" s="13" t="s">
        <v>2227</v>
      </c>
      <c r="J1646" s="13" t="s">
        <v>1512</v>
      </c>
      <c r="K1646" s="13" t="s">
        <v>303</v>
      </c>
      <c r="L1646" s="13" t="s">
        <v>2228</v>
      </c>
      <c r="M1646" s="6" t="s">
        <v>188</v>
      </c>
      <c r="N1646" s="6" t="s">
        <v>188</v>
      </c>
      <c r="O1646" s="6" t="s">
        <v>190</v>
      </c>
      <c r="P1646" s="7" t="s">
        <v>333</v>
      </c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</row>
    <row r="1647">
      <c r="A1647" s="12">
        <v>43.0</v>
      </c>
      <c r="B1647" s="7" t="s">
        <v>559</v>
      </c>
      <c r="C1647" s="7" t="s">
        <v>1435</v>
      </c>
      <c r="I1647" s="13" t="s">
        <v>1448</v>
      </c>
      <c r="J1647" s="13" t="s">
        <v>1516</v>
      </c>
      <c r="K1647" s="13" t="s">
        <v>303</v>
      </c>
      <c r="L1647" s="13" t="s">
        <v>2249</v>
      </c>
      <c r="M1647" s="6" t="s">
        <v>188</v>
      </c>
      <c r="N1647" s="6" t="s">
        <v>188</v>
      </c>
      <c r="O1647" s="6" t="s">
        <v>190</v>
      </c>
      <c r="P1647" s="7" t="s">
        <v>333</v>
      </c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</row>
    <row r="1648">
      <c r="A1648" s="12">
        <v>43.0</v>
      </c>
      <c r="B1648" s="7" t="s">
        <v>559</v>
      </c>
      <c r="C1648" s="7" t="s">
        <v>1435</v>
      </c>
      <c r="I1648" s="13" t="s">
        <v>2264</v>
      </c>
      <c r="J1648" s="13" t="s">
        <v>1518</v>
      </c>
      <c r="K1648" s="13" t="s">
        <v>303</v>
      </c>
      <c r="L1648" s="13" t="s">
        <v>2265</v>
      </c>
      <c r="M1648" s="6" t="s">
        <v>188</v>
      </c>
      <c r="N1648" s="6" t="s">
        <v>188</v>
      </c>
      <c r="O1648" s="6" t="s">
        <v>190</v>
      </c>
      <c r="P1648" s="7" t="s">
        <v>333</v>
      </c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</row>
    <row r="1649">
      <c r="A1649" s="12">
        <v>43.0</v>
      </c>
      <c r="B1649" s="7" t="s">
        <v>559</v>
      </c>
      <c r="C1649" s="7" t="s">
        <v>1435</v>
      </c>
      <c r="I1649" s="13" t="s">
        <v>2286</v>
      </c>
      <c r="J1649" s="13" t="s">
        <v>1512</v>
      </c>
      <c r="K1649" s="13" t="s">
        <v>303</v>
      </c>
      <c r="L1649" s="13" t="s">
        <v>2287</v>
      </c>
      <c r="M1649" s="6" t="s">
        <v>188</v>
      </c>
      <c r="N1649" s="6" t="s">
        <v>188</v>
      </c>
      <c r="O1649" s="6" t="s">
        <v>190</v>
      </c>
      <c r="P1649" s="7" t="s">
        <v>333</v>
      </c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</row>
    <row r="1650">
      <c r="A1650" s="12">
        <v>43.0</v>
      </c>
      <c r="B1650" s="7" t="s">
        <v>559</v>
      </c>
      <c r="C1650" s="7" t="s">
        <v>1435</v>
      </c>
      <c r="I1650" s="13" t="s">
        <v>2214</v>
      </c>
      <c r="J1650" s="13" t="s">
        <v>1516</v>
      </c>
      <c r="K1650" s="13" t="s">
        <v>303</v>
      </c>
      <c r="L1650" s="13" t="s">
        <v>2288</v>
      </c>
      <c r="M1650" s="6" t="s">
        <v>188</v>
      </c>
      <c r="N1650" s="6" t="s">
        <v>188</v>
      </c>
      <c r="O1650" s="6" t="s">
        <v>190</v>
      </c>
      <c r="P1650" s="7" t="s">
        <v>333</v>
      </c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</row>
    <row r="1651">
      <c r="A1651" s="12">
        <v>43.0</v>
      </c>
      <c r="B1651" s="7" t="s">
        <v>559</v>
      </c>
      <c r="C1651" s="7" t="s">
        <v>1435</v>
      </c>
      <c r="I1651" s="13" t="s">
        <v>569</v>
      </c>
      <c r="J1651" s="13" t="s">
        <v>1518</v>
      </c>
      <c r="K1651" s="13" t="s">
        <v>303</v>
      </c>
      <c r="L1651" s="13" t="s">
        <v>2265</v>
      </c>
      <c r="M1651" s="6" t="s">
        <v>188</v>
      </c>
      <c r="N1651" s="6" t="s">
        <v>188</v>
      </c>
      <c r="O1651" s="6" t="s">
        <v>190</v>
      </c>
      <c r="P1651" s="7" t="s">
        <v>333</v>
      </c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</row>
    <row r="1652">
      <c r="A1652" s="12">
        <v>44.0</v>
      </c>
      <c r="B1652" s="7" t="s">
        <v>562</v>
      </c>
      <c r="C1652" s="7" t="s">
        <v>1435</v>
      </c>
      <c r="D1652" s="26">
        <f>IF(COUNTIF($B$2:$B1652,$B1652)&gt;1,"",COUNTIF($B$2:$B$3400,$B1652))</f>
        <v>30</v>
      </c>
      <c r="E1652" s="26">
        <f>IF(COUNTIF($B$2:$B1652,$B1652)&gt;1,"",COUNTIFS($B$2:$B$3400,$B1652,$K$2:$K$3400,"PHÙ HỢP CAO"))</f>
        <v>4</v>
      </c>
      <c r="F1652" s="26">
        <f>IF(COUNTIF($B$2:$B1652,$B1652)&gt;1,"",COUNTIFS($B$2:$B$3400,$B1652,$K$2:$K$3400,"CÓ THỂ ĐI"))</f>
        <v>1</v>
      </c>
      <c r="G1652" s="26">
        <f>IF(COUNTIF($B$2:$B1652,$B1652)&gt;1,"",COUNTIFS($B$2:$B$3400,$B1652,$K$2:$K$3400,"CẦN SOÁT"))</f>
        <v>25</v>
      </c>
      <c r="H1652" s="27" t="str">
        <f>IFERROR(__xludf.DUMMYFUNCTION("IF(COUNTIF($B$2:$B1652,$B1652)&gt;1,"""",IFERROR(TEXTJOIN(CHAR(10),TRUE,BYROW(QUERY({$B$2:$B$3400,$J$2:$J$3400},""select Col2, count(Col2) where Col1 = '""&amp;$B1652&amp;""' group by Col2 order by count(Col2) desc label count(Col2) ''"",0),LAMBDA(r,INDEX(r,1,1)&amp;"" "&amp;"– ""&amp;INDEX(r,1,2)&amp;"" link""))),""""))"),"1 Man Nhật – 15 link
1 Man bằng bao nhiêu tiền Việt – 15 link")</f>
        <v>1 Man Nhật – 15 link
1 Man bằng bao nhiêu tiền Việt – 15 link</v>
      </c>
      <c r="I1652" s="10" t="s">
        <v>554</v>
      </c>
      <c r="J1652" s="13" t="s">
        <v>1523</v>
      </c>
      <c r="K1652" s="13" t="s">
        <v>184</v>
      </c>
      <c r="L1652" s="13" t="s">
        <v>2289</v>
      </c>
      <c r="M1652" s="6" t="s">
        <v>188</v>
      </c>
      <c r="N1652" s="6" t="s">
        <v>188</v>
      </c>
      <c r="O1652" s="6" t="s">
        <v>190</v>
      </c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</row>
    <row r="1653">
      <c r="A1653" s="12">
        <v>44.0</v>
      </c>
      <c r="B1653" s="7" t="s">
        <v>562</v>
      </c>
      <c r="C1653" s="7" t="s">
        <v>1435</v>
      </c>
      <c r="I1653" s="10" t="s">
        <v>556</v>
      </c>
      <c r="J1653" s="13" t="s">
        <v>1525</v>
      </c>
      <c r="K1653" s="13" t="s">
        <v>184</v>
      </c>
      <c r="L1653" s="13" t="s">
        <v>2290</v>
      </c>
      <c r="M1653" s="6" t="s">
        <v>188</v>
      </c>
      <c r="N1653" s="6" t="s">
        <v>188</v>
      </c>
      <c r="O1653" s="6" t="s">
        <v>190</v>
      </c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</row>
    <row r="1654">
      <c r="A1654" s="12">
        <v>44.0</v>
      </c>
      <c r="B1654" s="7" t="s">
        <v>562</v>
      </c>
      <c r="C1654" s="7" t="s">
        <v>1435</v>
      </c>
      <c r="I1654" s="10" t="s">
        <v>1479</v>
      </c>
      <c r="J1654" s="13" t="s">
        <v>1523</v>
      </c>
      <c r="K1654" s="13" t="s">
        <v>184</v>
      </c>
      <c r="L1654" s="13" t="s">
        <v>2291</v>
      </c>
      <c r="M1654" s="6" t="s">
        <v>188</v>
      </c>
      <c r="N1654" s="6" t="s">
        <v>188</v>
      </c>
      <c r="O1654" s="6" t="s">
        <v>190</v>
      </c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</row>
    <row r="1655">
      <c r="A1655" s="12">
        <v>44.0</v>
      </c>
      <c r="B1655" s="7" t="s">
        <v>562</v>
      </c>
      <c r="C1655" s="7" t="s">
        <v>1435</v>
      </c>
      <c r="I1655" s="10" t="s">
        <v>1466</v>
      </c>
      <c r="J1655" s="13" t="s">
        <v>1525</v>
      </c>
      <c r="K1655" s="13" t="s">
        <v>184</v>
      </c>
      <c r="L1655" s="13" t="s">
        <v>2292</v>
      </c>
      <c r="M1655" s="6" t="s">
        <v>188</v>
      </c>
      <c r="N1655" s="6" t="s">
        <v>188</v>
      </c>
      <c r="O1655" s="6" t="s">
        <v>190</v>
      </c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</row>
    <row r="1656">
      <c r="A1656" s="12">
        <v>44.0</v>
      </c>
      <c r="B1656" s="7" t="s">
        <v>562</v>
      </c>
      <c r="C1656" s="7" t="s">
        <v>1435</v>
      </c>
      <c r="I1656" s="10" t="s">
        <v>1463</v>
      </c>
      <c r="J1656" s="13" t="s">
        <v>1523</v>
      </c>
      <c r="K1656" s="13" t="s">
        <v>283</v>
      </c>
      <c r="L1656" s="13" t="s">
        <v>2293</v>
      </c>
      <c r="M1656" s="6" t="s">
        <v>188</v>
      </c>
      <c r="N1656" s="6" t="s">
        <v>188</v>
      </c>
      <c r="O1656" s="6" t="s">
        <v>190</v>
      </c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</row>
    <row r="1657">
      <c r="A1657" s="12">
        <v>44.0</v>
      </c>
      <c r="B1657" s="7" t="s">
        <v>562</v>
      </c>
      <c r="C1657" s="7" t="s">
        <v>1435</v>
      </c>
      <c r="I1657" s="10" t="s">
        <v>2258</v>
      </c>
      <c r="J1657" s="13" t="s">
        <v>1525</v>
      </c>
      <c r="K1657" s="13" t="s">
        <v>303</v>
      </c>
      <c r="L1657" s="13" t="s">
        <v>2259</v>
      </c>
      <c r="M1657" s="6" t="s">
        <v>188</v>
      </c>
      <c r="N1657" s="6" t="s">
        <v>188</v>
      </c>
      <c r="O1657" s="6" t="s">
        <v>190</v>
      </c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</row>
    <row r="1658">
      <c r="A1658" s="12">
        <v>44.0</v>
      </c>
      <c r="B1658" s="7" t="s">
        <v>562</v>
      </c>
      <c r="C1658" s="7" t="s">
        <v>1435</v>
      </c>
      <c r="I1658" s="10" t="s">
        <v>1519</v>
      </c>
      <c r="J1658" s="13" t="s">
        <v>1523</v>
      </c>
      <c r="K1658" s="13" t="s">
        <v>303</v>
      </c>
      <c r="L1658" s="13" t="s">
        <v>2259</v>
      </c>
      <c r="M1658" s="6" t="s">
        <v>188</v>
      </c>
      <c r="N1658" s="6" t="s">
        <v>188</v>
      </c>
      <c r="O1658" s="6" t="s">
        <v>190</v>
      </c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</row>
    <row r="1659">
      <c r="A1659" s="12">
        <v>44.0</v>
      </c>
      <c r="B1659" s="7" t="s">
        <v>562</v>
      </c>
      <c r="C1659" s="7" t="s">
        <v>1435</v>
      </c>
      <c r="I1659" s="13" t="s">
        <v>553</v>
      </c>
      <c r="J1659" s="13" t="s">
        <v>1525</v>
      </c>
      <c r="K1659" s="13" t="s">
        <v>303</v>
      </c>
      <c r="L1659" s="13" t="s">
        <v>2217</v>
      </c>
      <c r="M1659" s="6" t="s">
        <v>188</v>
      </c>
      <c r="N1659" s="6" t="s">
        <v>188</v>
      </c>
      <c r="O1659" s="6" t="s">
        <v>190</v>
      </c>
      <c r="P1659" s="7" t="s">
        <v>333</v>
      </c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</row>
    <row r="1660">
      <c r="A1660" s="12">
        <v>44.0</v>
      </c>
      <c r="B1660" s="7" t="s">
        <v>562</v>
      </c>
      <c r="C1660" s="7" t="s">
        <v>1435</v>
      </c>
      <c r="I1660" s="13" t="s">
        <v>552</v>
      </c>
      <c r="J1660" s="13" t="s">
        <v>1523</v>
      </c>
      <c r="K1660" s="13" t="s">
        <v>303</v>
      </c>
      <c r="L1660" s="13" t="s">
        <v>2243</v>
      </c>
      <c r="M1660" s="6" t="s">
        <v>188</v>
      </c>
      <c r="N1660" s="6" t="s">
        <v>188</v>
      </c>
      <c r="O1660" s="6" t="s">
        <v>190</v>
      </c>
      <c r="P1660" s="7" t="s">
        <v>333</v>
      </c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</row>
    <row r="1661">
      <c r="A1661" s="12">
        <v>44.0</v>
      </c>
      <c r="B1661" s="7" t="s">
        <v>562</v>
      </c>
      <c r="C1661" s="7" t="s">
        <v>1435</v>
      </c>
      <c r="I1661" s="13" t="s">
        <v>1436</v>
      </c>
      <c r="J1661" s="13" t="s">
        <v>1525</v>
      </c>
      <c r="K1661" s="13" t="s">
        <v>303</v>
      </c>
      <c r="L1661" s="13" t="s">
        <v>2243</v>
      </c>
      <c r="M1661" s="6" t="s">
        <v>188</v>
      </c>
      <c r="N1661" s="6" t="s">
        <v>188</v>
      </c>
      <c r="O1661" s="6" t="s">
        <v>190</v>
      </c>
      <c r="P1661" s="7" t="s">
        <v>333</v>
      </c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</row>
    <row r="1662">
      <c r="A1662" s="12">
        <v>44.0</v>
      </c>
      <c r="B1662" s="7" t="s">
        <v>562</v>
      </c>
      <c r="C1662" s="7" t="s">
        <v>1435</v>
      </c>
      <c r="I1662" s="13" t="s">
        <v>576</v>
      </c>
      <c r="J1662" s="13" t="s">
        <v>1523</v>
      </c>
      <c r="K1662" s="13" t="s">
        <v>303</v>
      </c>
      <c r="L1662" s="13" t="s">
        <v>2218</v>
      </c>
      <c r="M1662" s="6" t="s">
        <v>188</v>
      </c>
      <c r="N1662" s="6" t="s">
        <v>188</v>
      </c>
      <c r="O1662" s="6" t="s">
        <v>190</v>
      </c>
      <c r="P1662" s="7" t="s">
        <v>333</v>
      </c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</row>
    <row r="1663">
      <c r="A1663" s="12">
        <v>44.0</v>
      </c>
      <c r="B1663" s="7" t="s">
        <v>562</v>
      </c>
      <c r="C1663" s="7" t="s">
        <v>1435</v>
      </c>
      <c r="I1663" s="13" t="s">
        <v>568</v>
      </c>
      <c r="J1663" s="13" t="s">
        <v>1525</v>
      </c>
      <c r="K1663" s="13" t="s">
        <v>303</v>
      </c>
      <c r="L1663" s="13" t="s">
        <v>2244</v>
      </c>
      <c r="M1663" s="6" t="s">
        <v>188</v>
      </c>
      <c r="N1663" s="6" t="s">
        <v>188</v>
      </c>
      <c r="O1663" s="6" t="s">
        <v>190</v>
      </c>
      <c r="P1663" s="7" t="s">
        <v>333</v>
      </c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</row>
    <row r="1664">
      <c r="A1664" s="12">
        <v>44.0</v>
      </c>
      <c r="B1664" s="7" t="s">
        <v>562</v>
      </c>
      <c r="C1664" s="7" t="s">
        <v>1435</v>
      </c>
      <c r="I1664" s="13" t="s">
        <v>2219</v>
      </c>
      <c r="J1664" s="13" t="s">
        <v>1523</v>
      </c>
      <c r="K1664" s="13" t="s">
        <v>303</v>
      </c>
      <c r="L1664" s="13" t="s">
        <v>2220</v>
      </c>
      <c r="M1664" s="6" t="s">
        <v>188</v>
      </c>
      <c r="N1664" s="6" t="s">
        <v>188</v>
      </c>
      <c r="O1664" s="6" t="s">
        <v>190</v>
      </c>
      <c r="P1664" s="7" t="s">
        <v>333</v>
      </c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</row>
    <row r="1665">
      <c r="A1665" s="12">
        <v>44.0</v>
      </c>
      <c r="B1665" s="7" t="s">
        <v>562</v>
      </c>
      <c r="C1665" s="7" t="s">
        <v>1435</v>
      </c>
      <c r="I1665" s="13" t="s">
        <v>1540</v>
      </c>
      <c r="J1665" s="13" t="s">
        <v>1525</v>
      </c>
      <c r="K1665" s="13" t="s">
        <v>303</v>
      </c>
      <c r="L1665" s="13" t="s">
        <v>2245</v>
      </c>
      <c r="M1665" s="6" t="s">
        <v>188</v>
      </c>
      <c r="N1665" s="6" t="s">
        <v>188</v>
      </c>
      <c r="O1665" s="6" t="s">
        <v>190</v>
      </c>
      <c r="P1665" s="7" t="s">
        <v>333</v>
      </c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</row>
    <row r="1666">
      <c r="A1666" s="12">
        <v>44.0</v>
      </c>
      <c r="B1666" s="7" t="s">
        <v>562</v>
      </c>
      <c r="C1666" s="7" t="s">
        <v>1435</v>
      </c>
      <c r="I1666" s="13" t="s">
        <v>559</v>
      </c>
      <c r="J1666" s="13" t="s">
        <v>1523</v>
      </c>
      <c r="K1666" s="13" t="s">
        <v>303</v>
      </c>
      <c r="L1666" s="13" t="s">
        <v>2247</v>
      </c>
      <c r="M1666" s="6" t="s">
        <v>188</v>
      </c>
      <c r="N1666" s="6" t="s">
        <v>188</v>
      </c>
      <c r="O1666" s="6" t="s">
        <v>190</v>
      </c>
      <c r="P1666" s="7" t="s">
        <v>333</v>
      </c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</row>
    <row r="1667">
      <c r="A1667" s="12">
        <v>44.0</v>
      </c>
      <c r="B1667" s="7" t="s">
        <v>562</v>
      </c>
      <c r="C1667" s="7" t="s">
        <v>1435</v>
      </c>
      <c r="I1667" s="13" t="s">
        <v>1440</v>
      </c>
      <c r="J1667" s="13" t="s">
        <v>1525</v>
      </c>
      <c r="K1667" s="13" t="s">
        <v>303</v>
      </c>
      <c r="L1667" s="13" t="s">
        <v>2247</v>
      </c>
      <c r="M1667" s="6" t="s">
        <v>188</v>
      </c>
      <c r="N1667" s="6" t="s">
        <v>188</v>
      </c>
      <c r="O1667" s="6" t="s">
        <v>190</v>
      </c>
      <c r="P1667" s="7" t="s">
        <v>333</v>
      </c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</row>
    <row r="1668">
      <c r="A1668" s="12">
        <v>44.0</v>
      </c>
      <c r="B1668" s="7" t="s">
        <v>562</v>
      </c>
      <c r="C1668" s="7" t="s">
        <v>1435</v>
      </c>
      <c r="I1668" s="13" t="s">
        <v>1443</v>
      </c>
      <c r="J1668" s="13" t="s">
        <v>1523</v>
      </c>
      <c r="K1668" s="13" t="s">
        <v>303</v>
      </c>
      <c r="L1668" s="13" t="s">
        <v>2248</v>
      </c>
      <c r="M1668" s="6" t="s">
        <v>188</v>
      </c>
      <c r="N1668" s="6" t="s">
        <v>188</v>
      </c>
      <c r="O1668" s="6" t="s">
        <v>190</v>
      </c>
      <c r="P1668" s="7" t="s">
        <v>333</v>
      </c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</row>
    <row r="1669">
      <c r="A1669" s="12">
        <v>44.0</v>
      </c>
      <c r="B1669" s="7" t="s">
        <v>562</v>
      </c>
      <c r="C1669" s="7" t="s">
        <v>1435</v>
      </c>
      <c r="I1669" s="13" t="s">
        <v>2222</v>
      </c>
      <c r="J1669" s="13" t="s">
        <v>1525</v>
      </c>
      <c r="K1669" s="13" t="s">
        <v>303</v>
      </c>
      <c r="L1669" s="13" t="s">
        <v>2223</v>
      </c>
      <c r="M1669" s="6" t="s">
        <v>188</v>
      </c>
      <c r="N1669" s="6" t="s">
        <v>188</v>
      </c>
      <c r="O1669" s="6" t="s">
        <v>190</v>
      </c>
      <c r="P1669" s="7" t="s">
        <v>333</v>
      </c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</row>
    <row r="1670">
      <c r="A1670" s="12">
        <v>44.0</v>
      </c>
      <c r="B1670" s="7" t="s">
        <v>562</v>
      </c>
      <c r="C1670" s="7" t="s">
        <v>1435</v>
      </c>
      <c r="I1670" s="13" t="s">
        <v>2224</v>
      </c>
      <c r="J1670" s="13" t="s">
        <v>1523</v>
      </c>
      <c r="K1670" s="13" t="s">
        <v>303</v>
      </c>
      <c r="L1670" s="13" t="s">
        <v>2223</v>
      </c>
      <c r="M1670" s="6" t="s">
        <v>188</v>
      </c>
      <c r="N1670" s="6" t="s">
        <v>188</v>
      </c>
      <c r="O1670" s="6" t="s">
        <v>190</v>
      </c>
      <c r="P1670" s="7" t="s">
        <v>333</v>
      </c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</row>
    <row r="1671">
      <c r="A1671" s="12">
        <v>44.0</v>
      </c>
      <c r="B1671" s="7" t="s">
        <v>562</v>
      </c>
      <c r="C1671" s="7" t="s">
        <v>1435</v>
      </c>
      <c r="I1671" s="13" t="s">
        <v>558</v>
      </c>
      <c r="J1671" s="13" t="s">
        <v>1525</v>
      </c>
      <c r="K1671" s="13" t="s">
        <v>303</v>
      </c>
      <c r="L1671" s="13" t="s">
        <v>2225</v>
      </c>
      <c r="M1671" s="6" t="s">
        <v>188</v>
      </c>
      <c r="N1671" s="6" t="s">
        <v>188</v>
      </c>
      <c r="O1671" s="6" t="s">
        <v>190</v>
      </c>
      <c r="P1671" s="7" t="s">
        <v>333</v>
      </c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</row>
    <row r="1672">
      <c r="A1672" s="12">
        <v>44.0</v>
      </c>
      <c r="B1672" s="7" t="s">
        <v>562</v>
      </c>
      <c r="C1672" s="7" t="s">
        <v>1435</v>
      </c>
      <c r="I1672" s="13" t="s">
        <v>1451</v>
      </c>
      <c r="J1672" s="13" t="s">
        <v>1523</v>
      </c>
      <c r="K1672" s="13" t="s">
        <v>303</v>
      </c>
      <c r="L1672" s="13" t="s">
        <v>2261</v>
      </c>
      <c r="M1672" s="6" t="s">
        <v>188</v>
      </c>
      <c r="N1672" s="6" t="s">
        <v>188</v>
      </c>
      <c r="O1672" s="6" t="s">
        <v>190</v>
      </c>
      <c r="P1672" s="7" t="s">
        <v>333</v>
      </c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</row>
    <row r="1673">
      <c r="A1673" s="12">
        <v>44.0</v>
      </c>
      <c r="B1673" s="7" t="s">
        <v>562</v>
      </c>
      <c r="C1673" s="7" t="s">
        <v>1435</v>
      </c>
      <c r="I1673" s="13" t="s">
        <v>2239</v>
      </c>
      <c r="J1673" s="13" t="s">
        <v>1525</v>
      </c>
      <c r="K1673" s="13" t="s">
        <v>303</v>
      </c>
      <c r="L1673" s="13" t="s">
        <v>2262</v>
      </c>
      <c r="M1673" s="6" t="s">
        <v>188</v>
      </c>
      <c r="N1673" s="6" t="s">
        <v>188</v>
      </c>
      <c r="O1673" s="6" t="s">
        <v>190</v>
      </c>
      <c r="P1673" s="7" t="s">
        <v>333</v>
      </c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</row>
    <row r="1674">
      <c r="A1674" s="12">
        <v>44.0</v>
      </c>
      <c r="B1674" s="7" t="s">
        <v>562</v>
      </c>
      <c r="C1674" s="7" t="s">
        <v>1435</v>
      </c>
      <c r="I1674" s="13" t="s">
        <v>1456</v>
      </c>
      <c r="J1674" s="13" t="s">
        <v>1523</v>
      </c>
      <c r="K1674" s="13" t="s">
        <v>303</v>
      </c>
      <c r="L1674" s="13" t="s">
        <v>2217</v>
      </c>
      <c r="M1674" s="6" t="s">
        <v>188</v>
      </c>
      <c r="N1674" s="6" t="s">
        <v>188</v>
      </c>
      <c r="O1674" s="6" t="s">
        <v>190</v>
      </c>
      <c r="P1674" s="7" t="s">
        <v>333</v>
      </c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</row>
    <row r="1675">
      <c r="A1675" s="12">
        <v>44.0</v>
      </c>
      <c r="B1675" s="7" t="s">
        <v>562</v>
      </c>
      <c r="C1675" s="7" t="s">
        <v>1435</v>
      </c>
      <c r="I1675" s="13" t="s">
        <v>2226</v>
      </c>
      <c r="J1675" s="13" t="s">
        <v>1525</v>
      </c>
      <c r="K1675" s="13" t="s">
        <v>303</v>
      </c>
      <c r="L1675" s="13" t="s">
        <v>2220</v>
      </c>
      <c r="M1675" s="6" t="s">
        <v>188</v>
      </c>
      <c r="N1675" s="6" t="s">
        <v>188</v>
      </c>
      <c r="O1675" s="6" t="s">
        <v>190</v>
      </c>
      <c r="P1675" s="7" t="s">
        <v>333</v>
      </c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</row>
    <row r="1676">
      <c r="A1676" s="12">
        <v>44.0</v>
      </c>
      <c r="B1676" s="7" t="s">
        <v>562</v>
      </c>
      <c r="C1676" s="7" t="s">
        <v>1435</v>
      </c>
      <c r="I1676" s="13" t="s">
        <v>2227</v>
      </c>
      <c r="J1676" s="13" t="s">
        <v>1523</v>
      </c>
      <c r="K1676" s="13" t="s">
        <v>303</v>
      </c>
      <c r="L1676" s="13" t="s">
        <v>2228</v>
      </c>
      <c r="M1676" s="6" t="s">
        <v>188</v>
      </c>
      <c r="N1676" s="6" t="s">
        <v>188</v>
      </c>
      <c r="O1676" s="6" t="s">
        <v>190</v>
      </c>
      <c r="P1676" s="7" t="s">
        <v>333</v>
      </c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</row>
    <row r="1677">
      <c r="A1677" s="12">
        <v>44.0</v>
      </c>
      <c r="B1677" s="7" t="s">
        <v>562</v>
      </c>
      <c r="C1677" s="7" t="s">
        <v>1435</v>
      </c>
      <c r="I1677" s="13" t="s">
        <v>1448</v>
      </c>
      <c r="J1677" s="13" t="s">
        <v>1525</v>
      </c>
      <c r="K1677" s="13" t="s">
        <v>303</v>
      </c>
      <c r="L1677" s="13" t="s">
        <v>2249</v>
      </c>
      <c r="M1677" s="6" t="s">
        <v>188</v>
      </c>
      <c r="N1677" s="6" t="s">
        <v>188</v>
      </c>
      <c r="O1677" s="6" t="s">
        <v>190</v>
      </c>
      <c r="P1677" s="7" t="s">
        <v>333</v>
      </c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</row>
    <row r="1678">
      <c r="A1678" s="12">
        <v>44.0</v>
      </c>
      <c r="B1678" s="7" t="s">
        <v>562</v>
      </c>
      <c r="C1678" s="7" t="s">
        <v>1435</v>
      </c>
      <c r="I1678" s="13" t="s">
        <v>563</v>
      </c>
      <c r="J1678" s="13" t="s">
        <v>1523</v>
      </c>
      <c r="K1678" s="13" t="s">
        <v>303</v>
      </c>
      <c r="L1678" s="13" t="s">
        <v>2251</v>
      </c>
      <c r="M1678" s="6" t="s">
        <v>188</v>
      </c>
      <c r="N1678" s="6" t="s">
        <v>188</v>
      </c>
      <c r="O1678" s="6" t="s">
        <v>190</v>
      </c>
      <c r="P1678" s="7" t="s">
        <v>333</v>
      </c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</row>
    <row r="1679">
      <c r="A1679" s="12">
        <v>44.0</v>
      </c>
      <c r="B1679" s="7" t="s">
        <v>562</v>
      </c>
      <c r="C1679" s="7" t="s">
        <v>1435</v>
      </c>
      <c r="I1679" s="13" t="s">
        <v>2270</v>
      </c>
      <c r="J1679" s="13" t="s">
        <v>1525</v>
      </c>
      <c r="K1679" s="13" t="s">
        <v>303</v>
      </c>
      <c r="L1679" s="13" t="s">
        <v>2251</v>
      </c>
      <c r="M1679" s="6" t="s">
        <v>188</v>
      </c>
      <c r="N1679" s="6" t="s">
        <v>188</v>
      </c>
      <c r="O1679" s="6" t="s">
        <v>190</v>
      </c>
      <c r="P1679" s="7" t="s">
        <v>333</v>
      </c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</row>
    <row r="1680">
      <c r="A1680" s="12">
        <v>44.0</v>
      </c>
      <c r="B1680" s="7" t="s">
        <v>562</v>
      </c>
      <c r="C1680" s="7" t="s">
        <v>1435</v>
      </c>
      <c r="I1680" s="13" t="s">
        <v>2250</v>
      </c>
      <c r="J1680" s="13" t="s">
        <v>1523</v>
      </c>
      <c r="K1680" s="13" t="s">
        <v>303</v>
      </c>
      <c r="L1680" s="13" t="s">
        <v>2251</v>
      </c>
      <c r="M1680" s="6" t="s">
        <v>188</v>
      </c>
      <c r="N1680" s="6" t="s">
        <v>188</v>
      </c>
      <c r="O1680" s="6" t="s">
        <v>190</v>
      </c>
      <c r="P1680" s="7" t="s">
        <v>333</v>
      </c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</row>
    <row r="1681">
      <c r="A1681" s="12">
        <v>44.0</v>
      </c>
      <c r="B1681" s="7" t="s">
        <v>562</v>
      </c>
      <c r="C1681" s="7" t="s">
        <v>1435</v>
      </c>
      <c r="I1681" s="13" t="s">
        <v>1447</v>
      </c>
      <c r="J1681" s="13" t="s">
        <v>1525</v>
      </c>
      <c r="K1681" s="13" t="s">
        <v>303</v>
      </c>
      <c r="L1681" s="13" t="s">
        <v>2294</v>
      </c>
      <c r="M1681" s="6" t="s">
        <v>188</v>
      </c>
      <c r="N1681" s="6" t="s">
        <v>188</v>
      </c>
      <c r="O1681" s="6" t="s">
        <v>190</v>
      </c>
      <c r="P1681" s="7" t="s">
        <v>333</v>
      </c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</row>
    <row r="1682">
      <c r="A1682" s="12">
        <v>45.0</v>
      </c>
      <c r="B1682" s="7" t="s">
        <v>563</v>
      </c>
      <c r="C1682" s="7" t="s">
        <v>1435</v>
      </c>
      <c r="D1682" s="26">
        <f>IF(COUNTIF($B$2:$B1682,$B1682)&gt;1,"",COUNTIF($B$2:$B$3400,$B1682))</f>
        <v>30</v>
      </c>
      <c r="E1682" s="26">
        <f>IF(COUNTIF($B$2:$B1682,$B1682)&gt;1,"",COUNTIFS($B$2:$B$3400,$B1682,$K$2:$K$3400,"PHÙ HỢP CAO"))</f>
        <v>2</v>
      </c>
      <c r="F1682" s="26">
        <f>IF(COUNTIF($B$2:$B1682,$B1682)&gt;1,"",COUNTIFS($B$2:$B$3400,$B1682,$K$2:$K$3400,"CÓ THỂ ĐI"))</f>
        <v>3</v>
      </c>
      <c r="G1682" s="26">
        <f>IF(COUNTIF($B$2:$B1682,$B1682)&gt;1,"",COUNTIFS($B$2:$B$3400,$B1682,$K$2:$K$3400,"CẦN SOÁT"))</f>
        <v>25</v>
      </c>
      <c r="H1682" s="27" t="str">
        <f>IFERROR(__xludf.DUMMYFUNCTION("IF(COUNTIF($B$2:$B1682,$B1682)&gt;1,"""",IFERROR(TEXTJOIN(CHAR(10),TRUE,BYROW(QUERY({$B$2:$B$3400,$J$2:$J$3400},""select Col2, count(Col2) where Col1 = '""&amp;$B1682&amp;""' group by Col2 order by count(Col2) desc label count(Col2) ''"",0),LAMBDA(r,INDEX(r,1,1)&amp;"" "&amp;"– ""&amp;INDEX(r,1,2)&amp;"" link""))),""""))"),"tiền Baht – 10 link
tiền Baht Thái – 10 link
tiền Thái Lan – 10 link")</f>
        <v>tiền Baht – 10 link
tiền Baht Thái – 10 link
tiền Thái Lan – 10 link</v>
      </c>
      <c r="I1682" s="10" t="s">
        <v>1532</v>
      </c>
      <c r="J1682" s="13" t="s">
        <v>1534</v>
      </c>
      <c r="K1682" s="13" t="s">
        <v>184</v>
      </c>
      <c r="L1682" s="13" t="s">
        <v>2295</v>
      </c>
      <c r="M1682" s="6" t="s">
        <v>188</v>
      </c>
      <c r="N1682" s="6" t="s">
        <v>188</v>
      </c>
      <c r="O1682" s="6" t="s">
        <v>190</v>
      </c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</row>
    <row r="1683">
      <c r="A1683" s="12">
        <v>45.0</v>
      </c>
      <c r="B1683" s="7" t="s">
        <v>563</v>
      </c>
      <c r="C1683" s="7" t="s">
        <v>1435</v>
      </c>
      <c r="I1683" s="10" t="s">
        <v>1535</v>
      </c>
      <c r="J1683" s="13" t="s">
        <v>1537</v>
      </c>
      <c r="K1683" s="13" t="s">
        <v>184</v>
      </c>
      <c r="L1683" s="13" t="s">
        <v>2296</v>
      </c>
      <c r="M1683" s="6" t="s">
        <v>188</v>
      </c>
      <c r="N1683" s="6" t="s">
        <v>188</v>
      </c>
      <c r="O1683" s="6" t="s">
        <v>190</v>
      </c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</row>
    <row r="1684">
      <c r="A1684" s="12">
        <v>45.0</v>
      </c>
      <c r="B1684" s="7" t="s">
        <v>563</v>
      </c>
      <c r="C1684" s="7" t="s">
        <v>1435</v>
      </c>
      <c r="I1684" s="10" t="s">
        <v>1519</v>
      </c>
      <c r="J1684" s="13" t="s">
        <v>1539</v>
      </c>
      <c r="K1684" s="13" t="s">
        <v>283</v>
      </c>
      <c r="L1684" s="13" t="s">
        <v>2297</v>
      </c>
      <c r="M1684" s="6" t="s">
        <v>188</v>
      </c>
      <c r="N1684" s="6" t="s">
        <v>188</v>
      </c>
      <c r="O1684" s="6" t="s">
        <v>190</v>
      </c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</row>
    <row r="1685">
      <c r="A1685" s="12">
        <v>45.0</v>
      </c>
      <c r="B1685" s="7" t="s">
        <v>563</v>
      </c>
      <c r="C1685" s="7" t="s">
        <v>1435</v>
      </c>
      <c r="I1685" s="10" t="s">
        <v>1540</v>
      </c>
      <c r="J1685" s="13" t="s">
        <v>1534</v>
      </c>
      <c r="K1685" s="13" t="s">
        <v>283</v>
      </c>
      <c r="L1685" s="13" t="s">
        <v>2298</v>
      </c>
      <c r="M1685" s="6" t="s">
        <v>188</v>
      </c>
      <c r="N1685" s="6" t="s">
        <v>188</v>
      </c>
      <c r="O1685" s="6" t="s">
        <v>190</v>
      </c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</row>
    <row r="1686">
      <c r="A1686" s="12">
        <v>45.0</v>
      </c>
      <c r="B1686" s="7" t="s">
        <v>563</v>
      </c>
      <c r="C1686" s="7" t="s">
        <v>1435</v>
      </c>
      <c r="I1686" s="10" t="s">
        <v>1544</v>
      </c>
      <c r="J1686" s="13" t="s">
        <v>1537</v>
      </c>
      <c r="K1686" s="13" t="s">
        <v>283</v>
      </c>
      <c r="L1686" s="13" t="s">
        <v>2299</v>
      </c>
      <c r="M1686" s="6" t="s">
        <v>188</v>
      </c>
      <c r="N1686" s="6" t="s">
        <v>188</v>
      </c>
      <c r="O1686" s="6" t="s">
        <v>190</v>
      </c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</row>
    <row r="1687">
      <c r="A1687" s="12">
        <v>45.0</v>
      </c>
      <c r="B1687" s="7" t="s">
        <v>563</v>
      </c>
      <c r="C1687" s="7" t="s">
        <v>1435</v>
      </c>
      <c r="I1687" s="13" t="s">
        <v>553</v>
      </c>
      <c r="J1687" s="13" t="s">
        <v>1539</v>
      </c>
      <c r="K1687" s="13" t="s">
        <v>303</v>
      </c>
      <c r="L1687" s="13" t="s">
        <v>2217</v>
      </c>
      <c r="M1687" s="6" t="s">
        <v>188</v>
      </c>
      <c r="N1687" s="6" t="s">
        <v>188</v>
      </c>
      <c r="O1687" s="6" t="s">
        <v>190</v>
      </c>
      <c r="P1687" s="7" t="s">
        <v>333</v>
      </c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</row>
    <row r="1688">
      <c r="A1688" s="12">
        <v>45.0</v>
      </c>
      <c r="B1688" s="7" t="s">
        <v>563</v>
      </c>
      <c r="C1688" s="7" t="s">
        <v>1435</v>
      </c>
      <c r="I1688" s="13" t="s">
        <v>552</v>
      </c>
      <c r="J1688" s="13" t="s">
        <v>1534</v>
      </c>
      <c r="K1688" s="13" t="s">
        <v>303</v>
      </c>
      <c r="L1688" s="13" t="s">
        <v>2243</v>
      </c>
      <c r="M1688" s="6" t="s">
        <v>188</v>
      </c>
      <c r="N1688" s="6" t="s">
        <v>188</v>
      </c>
      <c r="O1688" s="6" t="s">
        <v>190</v>
      </c>
      <c r="P1688" s="7" t="s">
        <v>333</v>
      </c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</row>
    <row r="1689">
      <c r="A1689" s="12">
        <v>45.0</v>
      </c>
      <c r="B1689" s="7" t="s">
        <v>563</v>
      </c>
      <c r="C1689" s="7" t="s">
        <v>1435</v>
      </c>
      <c r="I1689" s="13" t="s">
        <v>1436</v>
      </c>
      <c r="J1689" s="13" t="s">
        <v>1537</v>
      </c>
      <c r="K1689" s="13" t="s">
        <v>303</v>
      </c>
      <c r="L1689" s="13" t="s">
        <v>2243</v>
      </c>
      <c r="M1689" s="6" t="s">
        <v>188</v>
      </c>
      <c r="N1689" s="6" t="s">
        <v>188</v>
      </c>
      <c r="O1689" s="6" t="s">
        <v>190</v>
      </c>
      <c r="P1689" s="7" t="s">
        <v>333</v>
      </c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</row>
    <row r="1690">
      <c r="A1690" s="12">
        <v>45.0</v>
      </c>
      <c r="B1690" s="7" t="s">
        <v>563</v>
      </c>
      <c r="C1690" s="7" t="s">
        <v>1435</v>
      </c>
      <c r="I1690" s="13" t="s">
        <v>1479</v>
      </c>
      <c r="J1690" s="13" t="s">
        <v>1539</v>
      </c>
      <c r="K1690" s="13" t="s">
        <v>303</v>
      </c>
      <c r="L1690" s="13" t="s">
        <v>2221</v>
      </c>
      <c r="M1690" s="6" t="s">
        <v>188</v>
      </c>
      <c r="N1690" s="6" t="s">
        <v>188</v>
      </c>
      <c r="O1690" s="6" t="s">
        <v>190</v>
      </c>
      <c r="P1690" s="7" t="s">
        <v>333</v>
      </c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</row>
    <row r="1691">
      <c r="A1691" s="12">
        <v>45.0</v>
      </c>
      <c r="B1691" s="7" t="s">
        <v>563</v>
      </c>
      <c r="C1691" s="7" t="s">
        <v>1435</v>
      </c>
      <c r="I1691" s="13" t="s">
        <v>576</v>
      </c>
      <c r="J1691" s="13" t="s">
        <v>1534</v>
      </c>
      <c r="K1691" s="13" t="s">
        <v>303</v>
      </c>
      <c r="L1691" s="13" t="s">
        <v>2218</v>
      </c>
      <c r="M1691" s="6" t="s">
        <v>188</v>
      </c>
      <c r="N1691" s="6" t="s">
        <v>188</v>
      </c>
      <c r="O1691" s="6" t="s">
        <v>190</v>
      </c>
      <c r="P1691" s="7" t="s">
        <v>333</v>
      </c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</row>
    <row r="1692">
      <c r="A1692" s="12">
        <v>45.0</v>
      </c>
      <c r="B1692" s="7" t="s">
        <v>563</v>
      </c>
      <c r="C1692" s="7" t="s">
        <v>1435</v>
      </c>
      <c r="I1692" s="13" t="s">
        <v>1466</v>
      </c>
      <c r="J1692" s="13" t="s">
        <v>1537</v>
      </c>
      <c r="K1692" s="13" t="s">
        <v>303</v>
      </c>
      <c r="L1692" s="13" t="s">
        <v>2246</v>
      </c>
      <c r="M1692" s="6" t="s">
        <v>188</v>
      </c>
      <c r="N1692" s="6" t="s">
        <v>188</v>
      </c>
      <c r="O1692" s="6" t="s">
        <v>190</v>
      </c>
      <c r="P1692" s="7" t="s">
        <v>333</v>
      </c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</row>
    <row r="1693">
      <c r="A1693" s="12">
        <v>45.0</v>
      </c>
      <c r="B1693" s="7" t="s">
        <v>563</v>
      </c>
      <c r="C1693" s="7" t="s">
        <v>1435</v>
      </c>
      <c r="I1693" s="13" t="s">
        <v>568</v>
      </c>
      <c r="J1693" s="13" t="s">
        <v>1539</v>
      </c>
      <c r="K1693" s="13" t="s">
        <v>303</v>
      </c>
      <c r="L1693" s="13" t="s">
        <v>2244</v>
      </c>
      <c r="M1693" s="6" t="s">
        <v>188</v>
      </c>
      <c r="N1693" s="6" t="s">
        <v>188</v>
      </c>
      <c r="O1693" s="6" t="s">
        <v>190</v>
      </c>
      <c r="P1693" s="7" t="s">
        <v>333</v>
      </c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</row>
    <row r="1694">
      <c r="A1694" s="12">
        <v>45.0</v>
      </c>
      <c r="B1694" s="7" t="s">
        <v>563</v>
      </c>
      <c r="C1694" s="7" t="s">
        <v>1435</v>
      </c>
      <c r="I1694" s="13" t="s">
        <v>2219</v>
      </c>
      <c r="J1694" s="13" t="s">
        <v>1534</v>
      </c>
      <c r="K1694" s="13" t="s">
        <v>303</v>
      </c>
      <c r="L1694" s="13" t="s">
        <v>2220</v>
      </c>
      <c r="M1694" s="6" t="s">
        <v>188</v>
      </c>
      <c r="N1694" s="6" t="s">
        <v>188</v>
      </c>
      <c r="O1694" s="6" t="s">
        <v>190</v>
      </c>
      <c r="P1694" s="7" t="s">
        <v>333</v>
      </c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</row>
    <row r="1695">
      <c r="A1695" s="12">
        <v>45.0</v>
      </c>
      <c r="B1695" s="7" t="s">
        <v>563</v>
      </c>
      <c r="C1695" s="7" t="s">
        <v>1435</v>
      </c>
      <c r="I1695" s="13" t="s">
        <v>554</v>
      </c>
      <c r="J1695" s="13" t="s">
        <v>1537</v>
      </c>
      <c r="K1695" s="13" t="s">
        <v>303</v>
      </c>
      <c r="L1695" s="13" t="s">
        <v>2221</v>
      </c>
      <c r="M1695" s="6" t="s">
        <v>188</v>
      </c>
      <c r="N1695" s="6" t="s">
        <v>188</v>
      </c>
      <c r="O1695" s="6" t="s">
        <v>190</v>
      </c>
      <c r="P1695" s="7" t="s">
        <v>333</v>
      </c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</row>
    <row r="1696">
      <c r="A1696" s="12">
        <v>45.0</v>
      </c>
      <c r="B1696" s="7" t="s">
        <v>563</v>
      </c>
      <c r="C1696" s="7" t="s">
        <v>1435</v>
      </c>
      <c r="I1696" s="13" t="s">
        <v>559</v>
      </c>
      <c r="J1696" s="13" t="s">
        <v>1539</v>
      </c>
      <c r="K1696" s="13" t="s">
        <v>303</v>
      </c>
      <c r="L1696" s="13" t="s">
        <v>2247</v>
      </c>
      <c r="M1696" s="6" t="s">
        <v>188</v>
      </c>
      <c r="N1696" s="6" t="s">
        <v>188</v>
      </c>
      <c r="O1696" s="6" t="s">
        <v>190</v>
      </c>
      <c r="P1696" s="7" t="s">
        <v>333</v>
      </c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</row>
    <row r="1697">
      <c r="A1697" s="12">
        <v>45.0</v>
      </c>
      <c r="B1697" s="7" t="s">
        <v>563</v>
      </c>
      <c r="C1697" s="7" t="s">
        <v>1435</v>
      </c>
      <c r="I1697" s="13" t="s">
        <v>1440</v>
      </c>
      <c r="J1697" s="13" t="s">
        <v>1534</v>
      </c>
      <c r="K1697" s="13" t="s">
        <v>303</v>
      </c>
      <c r="L1697" s="13" t="s">
        <v>2247</v>
      </c>
      <c r="M1697" s="6" t="s">
        <v>188</v>
      </c>
      <c r="N1697" s="6" t="s">
        <v>188</v>
      </c>
      <c r="O1697" s="6" t="s">
        <v>190</v>
      </c>
      <c r="P1697" s="7" t="s">
        <v>333</v>
      </c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</row>
    <row r="1698">
      <c r="A1698" s="12">
        <v>45.0</v>
      </c>
      <c r="B1698" s="7" t="s">
        <v>563</v>
      </c>
      <c r="C1698" s="7" t="s">
        <v>1435</v>
      </c>
      <c r="I1698" s="13" t="s">
        <v>1443</v>
      </c>
      <c r="J1698" s="13" t="s">
        <v>1537</v>
      </c>
      <c r="K1698" s="13" t="s">
        <v>303</v>
      </c>
      <c r="L1698" s="13" t="s">
        <v>2248</v>
      </c>
      <c r="M1698" s="6" t="s">
        <v>188</v>
      </c>
      <c r="N1698" s="6" t="s">
        <v>188</v>
      </c>
      <c r="O1698" s="6" t="s">
        <v>190</v>
      </c>
      <c r="P1698" s="7" t="s">
        <v>333</v>
      </c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</row>
    <row r="1699">
      <c r="A1699" s="12">
        <v>45.0</v>
      </c>
      <c r="B1699" s="7" t="s">
        <v>563</v>
      </c>
      <c r="C1699" s="7" t="s">
        <v>1435</v>
      </c>
      <c r="I1699" s="13" t="s">
        <v>2222</v>
      </c>
      <c r="J1699" s="13" t="s">
        <v>1539</v>
      </c>
      <c r="K1699" s="13" t="s">
        <v>303</v>
      </c>
      <c r="L1699" s="13" t="s">
        <v>2223</v>
      </c>
      <c r="M1699" s="6" t="s">
        <v>188</v>
      </c>
      <c r="N1699" s="6" t="s">
        <v>188</v>
      </c>
      <c r="O1699" s="6" t="s">
        <v>190</v>
      </c>
      <c r="P1699" s="7" t="s">
        <v>333</v>
      </c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</row>
    <row r="1700">
      <c r="A1700" s="12">
        <v>45.0</v>
      </c>
      <c r="B1700" s="7" t="s">
        <v>563</v>
      </c>
      <c r="C1700" s="7" t="s">
        <v>1435</v>
      </c>
      <c r="I1700" s="13" t="s">
        <v>2224</v>
      </c>
      <c r="J1700" s="13" t="s">
        <v>1534</v>
      </c>
      <c r="K1700" s="13" t="s">
        <v>303</v>
      </c>
      <c r="L1700" s="13" t="s">
        <v>2223</v>
      </c>
      <c r="M1700" s="6" t="s">
        <v>188</v>
      </c>
      <c r="N1700" s="6" t="s">
        <v>188</v>
      </c>
      <c r="O1700" s="6" t="s">
        <v>190</v>
      </c>
      <c r="P1700" s="7" t="s">
        <v>333</v>
      </c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</row>
    <row r="1701">
      <c r="A1701" s="12">
        <v>45.0</v>
      </c>
      <c r="B1701" s="7" t="s">
        <v>563</v>
      </c>
      <c r="C1701" s="7" t="s">
        <v>1435</v>
      </c>
      <c r="I1701" s="13" t="s">
        <v>558</v>
      </c>
      <c r="J1701" s="13" t="s">
        <v>1537</v>
      </c>
      <c r="K1701" s="13" t="s">
        <v>303</v>
      </c>
      <c r="L1701" s="13" t="s">
        <v>2225</v>
      </c>
      <c r="M1701" s="6" t="s">
        <v>188</v>
      </c>
      <c r="N1701" s="6" t="s">
        <v>188</v>
      </c>
      <c r="O1701" s="6" t="s">
        <v>190</v>
      </c>
      <c r="P1701" s="7" t="s">
        <v>333</v>
      </c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</row>
    <row r="1702">
      <c r="A1702" s="12">
        <v>45.0</v>
      </c>
      <c r="B1702" s="7" t="s">
        <v>563</v>
      </c>
      <c r="C1702" s="7" t="s">
        <v>1435</v>
      </c>
      <c r="I1702" s="13" t="s">
        <v>1451</v>
      </c>
      <c r="J1702" s="13" t="s">
        <v>1539</v>
      </c>
      <c r="K1702" s="13" t="s">
        <v>303</v>
      </c>
      <c r="L1702" s="13" t="s">
        <v>2261</v>
      </c>
      <c r="M1702" s="6" t="s">
        <v>188</v>
      </c>
      <c r="N1702" s="6" t="s">
        <v>188</v>
      </c>
      <c r="O1702" s="6" t="s">
        <v>190</v>
      </c>
      <c r="P1702" s="7" t="s">
        <v>333</v>
      </c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</row>
    <row r="1703">
      <c r="A1703" s="12">
        <v>45.0</v>
      </c>
      <c r="B1703" s="7" t="s">
        <v>563</v>
      </c>
      <c r="C1703" s="7" t="s">
        <v>1435</v>
      </c>
      <c r="I1703" s="13" t="s">
        <v>2239</v>
      </c>
      <c r="J1703" s="13" t="s">
        <v>1534</v>
      </c>
      <c r="K1703" s="13" t="s">
        <v>303</v>
      </c>
      <c r="L1703" s="13" t="s">
        <v>2262</v>
      </c>
      <c r="M1703" s="6" t="s">
        <v>188</v>
      </c>
      <c r="N1703" s="6" t="s">
        <v>188</v>
      </c>
      <c r="O1703" s="6" t="s">
        <v>190</v>
      </c>
      <c r="P1703" s="7" t="s">
        <v>333</v>
      </c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</row>
    <row r="1704">
      <c r="A1704" s="12">
        <v>45.0</v>
      </c>
      <c r="B1704" s="7" t="s">
        <v>563</v>
      </c>
      <c r="C1704" s="7" t="s">
        <v>1435</v>
      </c>
      <c r="I1704" s="13" t="s">
        <v>1456</v>
      </c>
      <c r="J1704" s="13" t="s">
        <v>1537</v>
      </c>
      <c r="K1704" s="13" t="s">
        <v>303</v>
      </c>
      <c r="L1704" s="13" t="s">
        <v>2217</v>
      </c>
      <c r="M1704" s="6" t="s">
        <v>188</v>
      </c>
      <c r="N1704" s="6" t="s">
        <v>188</v>
      </c>
      <c r="O1704" s="6" t="s">
        <v>190</v>
      </c>
      <c r="P1704" s="7" t="s">
        <v>333</v>
      </c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</row>
    <row r="1705">
      <c r="A1705" s="12">
        <v>45.0</v>
      </c>
      <c r="B1705" s="7" t="s">
        <v>563</v>
      </c>
      <c r="C1705" s="7" t="s">
        <v>1435</v>
      </c>
      <c r="I1705" s="13" t="s">
        <v>2226</v>
      </c>
      <c r="J1705" s="13" t="s">
        <v>1539</v>
      </c>
      <c r="K1705" s="13" t="s">
        <v>303</v>
      </c>
      <c r="L1705" s="13" t="s">
        <v>2220</v>
      </c>
      <c r="M1705" s="6" t="s">
        <v>188</v>
      </c>
      <c r="N1705" s="6" t="s">
        <v>188</v>
      </c>
      <c r="O1705" s="6" t="s">
        <v>190</v>
      </c>
      <c r="P1705" s="7" t="s">
        <v>333</v>
      </c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</row>
    <row r="1706">
      <c r="A1706" s="12">
        <v>45.0</v>
      </c>
      <c r="B1706" s="7" t="s">
        <v>563</v>
      </c>
      <c r="C1706" s="7" t="s">
        <v>1435</v>
      </c>
      <c r="I1706" s="13" t="s">
        <v>2227</v>
      </c>
      <c r="J1706" s="13" t="s">
        <v>1534</v>
      </c>
      <c r="K1706" s="13" t="s">
        <v>303</v>
      </c>
      <c r="L1706" s="13" t="s">
        <v>2228</v>
      </c>
      <c r="M1706" s="6" t="s">
        <v>188</v>
      </c>
      <c r="N1706" s="6" t="s">
        <v>188</v>
      </c>
      <c r="O1706" s="6" t="s">
        <v>190</v>
      </c>
      <c r="P1706" s="7" t="s">
        <v>333</v>
      </c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</row>
    <row r="1707">
      <c r="A1707" s="12">
        <v>45.0</v>
      </c>
      <c r="B1707" s="7" t="s">
        <v>563</v>
      </c>
      <c r="C1707" s="7" t="s">
        <v>1435</v>
      </c>
      <c r="I1707" s="13" t="s">
        <v>1448</v>
      </c>
      <c r="J1707" s="13" t="s">
        <v>1537</v>
      </c>
      <c r="K1707" s="13" t="s">
        <v>303</v>
      </c>
      <c r="L1707" s="13" t="s">
        <v>2249</v>
      </c>
      <c r="M1707" s="6" t="s">
        <v>188</v>
      </c>
      <c r="N1707" s="6" t="s">
        <v>188</v>
      </c>
      <c r="O1707" s="6" t="s">
        <v>190</v>
      </c>
      <c r="P1707" s="7" t="s">
        <v>333</v>
      </c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</row>
    <row r="1708">
      <c r="A1708" s="12">
        <v>45.0</v>
      </c>
      <c r="B1708" s="7" t="s">
        <v>563</v>
      </c>
      <c r="C1708" s="7" t="s">
        <v>1435</v>
      </c>
      <c r="I1708" s="13" t="s">
        <v>2263</v>
      </c>
      <c r="J1708" s="13" t="s">
        <v>1539</v>
      </c>
      <c r="K1708" s="13" t="s">
        <v>303</v>
      </c>
      <c r="L1708" s="13" t="s">
        <v>2251</v>
      </c>
      <c r="M1708" s="6" t="s">
        <v>188</v>
      </c>
      <c r="N1708" s="6" t="s">
        <v>188</v>
      </c>
      <c r="O1708" s="6" t="s">
        <v>190</v>
      </c>
      <c r="P1708" s="7" t="s">
        <v>333</v>
      </c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</row>
    <row r="1709">
      <c r="A1709" s="12">
        <v>45.0</v>
      </c>
      <c r="B1709" s="7" t="s">
        <v>563</v>
      </c>
      <c r="C1709" s="7" t="s">
        <v>1435</v>
      </c>
      <c r="I1709" s="13" t="s">
        <v>1508</v>
      </c>
      <c r="J1709" s="13" t="s">
        <v>1534</v>
      </c>
      <c r="K1709" s="13" t="s">
        <v>303</v>
      </c>
      <c r="L1709" s="13" t="s">
        <v>2251</v>
      </c>
      <c r="M1709" s="6" t="s">
        <v>188</v>
      </c>
      <c r="N1709" s="6" t="s">
        <v>188</v>
      </c>
      <c r="O1709" s="6" t="s">
        <v>190</v>
      </c>
      <c r="P1709" s="7" t="s">
        <v>333</v>
      </c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</row>
    <row r="1710">
      <c r="A1710" s="12">
        <v>45.0</v>
      </c>
      <c r="B1710" s="7" t="s">
        <v>563</v>
      </c>
      <c r="C1710" s="7" t="s">
        <v>1435</v>
      </c>
      <c r="I1710" s="13" t="s">
        <v>1494</v>
      </c>
      <c r="J1710" s="13" t="s">
        <v>1537</v>
      </c>
      <c r="K1710" s="13" t="s">
        <v>303</v>
      </c>
      <c r="L1710" s="13" t="s">
        <v>2300</v>
      </c>
      <c r="M1710" s="6" t="s">
        <v>188</v>
      </c>
      <c r="N1710" s="6" t="s">
        <v>188</v>
      </c>
      <c r="O1710" s="6" t="s">
        <v>190</v>
      </c>
      <c r="P1710" s="7" t="s">
        <v>333</v>
      </c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</row>
    <row r="1711">
      <c r="A1711" s="12">
        <v>45.0</v>
      </c>
      <c r="B1711" s="7" t="s">
        <v>563</v>
      </c>
      <c r="C1711" s="7" t="s">
        <v>1435</v>
      </c>
      <c r="I1711" s="13" t="s">
        <v>556</v>
      </c>
      <c r="J1711" s="13" t="s">
        <v>1539</v>
      </c>
      <c r="K1711" s="13" t="s">
        <v>303</v>
      </c>
      <c r="L1711" s="13" t="s">
        <v>2251</v>
      </c>
      <c r="M1711" s="6" t="s">
        <v>188</v>
      </c>
      <c r="N1711" s="6" t="s">
        <v>188</v>
      </c>
      <c r="O1711" s="6" t="s">
        <v>190</v>
      </c>
      <c r="P1711" s="7" t="s">
        <v>333</v>
      </c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</row>
    <row r="1712">
      <c r="A1712" s="12">
        <v>46.0</v>
      </c>
      <c r="B1712" s="7" t="s">
        <v>565</v>
      </c>
      <c r="C1712" s="7" t="s">
        <v>1435</v>
      </c>
      <c r="D1712" s="26">
        <f>IF(COUNTIF($B$2:$B1712,$B1712)&gt;1,"",COUNTIF($B$2:$B$3400,$B1712))</f>
        <v>30</v>
      </c>
      <c r="E1712" s="26">
        <f>IF(COUNTIF($B$2:$B1712,$B1712)&gt;1,"",COUNTIFS($B$2:$B$3400,$B1712,$K$2:$K$3400,"PHÙ HỢP CAO"))</f>
        <v>1</v>
      </c>
      <c r="F1712" s="26">
        <f>IF(COUNTIF($B$2:$B1712,$B1712)&gt;1,"",COUNTIFS($B$2:$B$3400,$B1712,$K$2:$K$3400,"CÓ THỂ ĐI"))</f>
        <v>3</v>
      </c>
      <c r="G1712" s="26">
        <f>IF(COUNTIF($B$2:$B1712,$B1712)&gt;1,"",COUNTIFS($B$2:$B$3400,$B1712,$K$2:$K$3400,"CẦN SOÁT"))</f>
        <v>26</v>
      </c>
      <c r="H1712" s="27" t="str">
        <f>IFERROR(__xludf.DUMMYFUNCTION("IF(COUNTIF($B$2:$B1712,$B1712)&gt;1,"""",IFERROR(TEXTJOIN(CHAR(10),TRUE,BYROW(QUERY({$B$2:$B$3400,$J$2:$J$3400},""select Col2, count(Col2) where Col1 = '""&amp;$B1712&amp;""' group by Col2 order by count(Col2) desc label count(Col2) ''"",0),LAMBDA(r,INDEX(r,1,1)&amp;"" "&amp;"– ""&amp;INDEX(r,1,2)&amp;"" link""))),""""))"),"1 triệu đô bằng bao nhiêu tiền Việt – 30 link")</f>
        <v>1 triệu đô bằng bao nhiêu tiền Việt – 30 link</v>
      </c>
      <c r="I1712" s="10" t="s">
        <v>553</v>
      </c>
      <c r="J1712" s="13" t="s">
        <v>1552</v>
      </c>
      <c r="K1712" s="13" t="s">
        <v>184</v>
      </c>
      <c r="L1712" s="13" t="s">
        <v>2301</v>
      </c>
      <c r="M1712" s="6" t="s">
        <v>188</v>
      </c>
      <c r="N1712" s="6" t="s">
        <v>188</v>
      </c>
      <c r="O1712" s="6" t="s">
        <v>190</v>
      </c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</row>
    <row r="1713">
      <c r="A1713" s="12">
        <v>46.0</v>
      </c>
      <c r="B1713" s="7" t="s">
        <v>565</v>
      </c>
      <c r="C1713" s="7" t="s">
        <v>1435</v>
      </c>
      <c r="I1713" s="10" t="s">
        <v>1554</v>
      </c>
      <c r="J1713" s="13" t="s">
        <v>1552</v>
      </c>
      <c r="K1713" s="13" t="s">
        <v>283</v>
      </c>
      <c r="L1713" s="13" t="s">
        <v>2302</v>
      </c>
      <c r="M1713" s="6" t="s">
        <v>188</v>
      </c>
      <c r="N1713" s="6" t="s">
        <v>188</v>
      </c>
      <c r="O1713" s="6" t="s">
        <v>190</v>
      </c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</row>
    <row r="1714">
      <c r="A1714" s="12">
        <v>46.0</v>
      </c>
      <c r="B1714" s="7" t="s">
        <v>565</v>
      </c>
      <c r="C1714" s="7" t="s">
        <v>1435</v>
      </c>
      <c r="I1714" s="10" t="s">
        <v>1447</v>
      </c>
      <c r="J1714" s="13" t="s">
        <v>1552</v>
      </c>
      <c r="K1714" s="13" t="s">
        <v>283</v>
      </c>
      <c r="L1714" s="13" t="s">
        <v>2303</v>
      </c>
      <c r="M1714" s="6" t="s">
        <v>188</v>
      </c>
      <c r="N1714" s="6" t="s">
        <v>188</v>
      </c>
      <c r="O1714" s="6" t="s">
        <v>190</v>
      </c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</row>
    <row r="1715">
      <c r="A1715" s="12">
        <v>46.0</v>
      </c>
      <c r="B1715" s="7" t="s">
        <v>565</v>
      </c>
      <c r="C1715" s="7" t="s">
        <v>1435</v>
      </c>
      <c r="I1715" s="10" t="s">
        <v>1982</v>
      </c>
      <c r="J1715" s="13" t="s">
        <v>1552</v>
      </c>
      <c r="K1715" s="13" t="s">
        <v>283</v>
      </c>
      <c r="L1715" s="13" t="s">
        <v>2304</v>
      </c>
      <c r="M1715" s="6" t="s">
        <v>188</v>
      </c>
      <c r="N1715" s="6" t="s">
        <v>188</v>
      </c>
      <c r="O1715" s="6" t="s">
        <v>190</v>
      </c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</row>
    <row r="1716">
      <c r="A1716" s="12">
        <v>46.0</v>
      </c>
      <c r="B1716" s="7" t="s">
        <v>565</v>
      </c>
      <c r="C1716" s="7" t="s">
        <v>1435</v>
      </c>
      <c r="I1716" s="10" t="s">
        <v>1459</v>
      </c>
      <c r="J1716" s="13" t="s">
        <v>1552</v>
      </c>
      <c r="K1716" s="13" t="s">
        <v>303</v>
      </c>
      <c r="L1716" s="13" t="s">
        <v>2305</v>
      </c>
      <c r="M1716" s="6" t="s">
        <v>188</v>
      </c>
      <c r="N1716" s="6" t="s">
        <v>188</v>
      </c>
      <c r="O1716" s="6" t="s">
        <v>190</v>
      </c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</row>
    <row r="1717">
      <c r="A1717" s="12">
        <v>46.0</v>
      </c>
      <c r="B1717" s="7" t="s">
        <v>565</v>
      </c>
      <c r="C1717" s="7" t="s">
        <v>1435</v>
      </c>
      <c r="I1717" s="10" t="s">
        <v>2236</v>
      </c>
      <c r="J1717" s="13" t="s">
        <v>1552</v>
      </c>
      <c r="K1717" s="13" t="s">
        <v>303</v>
      </c>
      <c r="L1717" s="13" t="s">
        <v>2237</v>
      </c>
      <c r="M1717" s="6" t="s">
        <v>188</v>
      </c>
      <c r="N1717" s="6" t="s">
        <v>188</v>
      </c>
      <c r="O1717" s="6" t="s">
        <v>190</v>
      </c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</row>
    <row r="1718">
      <c r="A1718" s="12">
        <v>46.0</v>
      </c>
      <c r="B1718" s="7" t="s">
        <v>565</v>
      </c>
      <c r="C1718" s="7" t="s">
        <v>1435</v>
      </c>
      <c r="I1718" s="10" t="s">
        <v>576</v>
      </c>
      <c r="J1718" s="13" t="s">
        <v>1552</v>
      </c>
      <c r="K1718" s="13" t="s">
        <v>303</v>
      </c>
      <c r="L1718" s="13" t="s">
        <v>2306</v>
      </c>
      <c r="M1718" s="6" t="s">
        <v>188</v>
      </c>
      <c r="N1718" s="6" t="s">
        <v>188</v>
      </c>
      <c r="O1718" s="6" t="s">
        <v>190</v>
      </c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</row>
    <row r="1719">
      <c r="A1719" s="12">
        <v>46.0</v>
      </c>
      <c r="B1719" s="7" t="s">
        <v>565</v>
      </c>
      <c r="C1719" s="7" t="s">
        <v>1435</v>
      </c>
      <c r="I1719" s="10" t="s">
        <v>1451</v>
      </c>
      <c r="J1719" s="13" t="s">
        <v>1552</v>
      </c>
      <c r="K1719" s="13" t="s">
        <v>303</v>
      </c>
      <c r="L1719" s="13" t="s">
        <v>2305</v>
      </c>
      <c r="M1719" s="6" t="s">
        <v>188</v>
      </c>
      <c r="N1719" s="6" t="s">
        <v>188</v>
      </c>
      <c r="O1719" s="6" t="s">
        <v>190</v>
      </c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</row>
    <row r="1720">
      <c r="A1720" s="12">
        <v>46.0</v>
      </c>
      <c r="B1720" s="7" t="s">
        <v>565</v>
      </c>
      <c r="C1720" s="7" t="s">
        <v>1435</v>
      </c>
      <c r="I1720" s="10" t="s">
        <v>2219</v>
      </c>
      <c r="J1720" s="13" t="s">
        <v>1552</v>
      </c>
      <c r="K1720" s="13" t="s">
        <v>303</v>
      </c>
      <c r="L1720" s="13" t="s">
        <v>2306</v>
      </c>
      <c r="M1720" s="6" t="s">
        <v>188</v>
      </c>
      <c r="N1720" s="6" t="s">
        <v>188</v>
      </c>
      <c r="O1720" s="6" t="s">
        <v>190</v>
      </c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</row>
    <row r="1721">
      <c r="A1721" s="12">
        <v>46.0</v>
      </c>
      <c r="B1721" s="7" t="s">
        <v>565</v>
      </c>
      <c r="C1721" s="7" t="s">
        <v>1435</v>
      </c>
      <c r="I1721" s="10" t="s">
        <v>2239</v>
      </c>
      <c r="J1721" s="13" t="s">
        <v>1552</v>
      </c>
      <c r="K1721" s="13" t="s">
        <v>303</v>
      </c>
      <c r="L1721" s="13" t="s">
        <v>2306</v>
      </c>
      <c r="M1721" s="6" t="s">
        <v>188</v>
      </c>
      <c r="N1721" s="6" t="s">
        <v>188</v>
      </c>
      <c r="O1721" s="6" t="s">
        <v>190</v>
      </c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</row>
    <row r="1722">
      <c r="A1722" s="12">
        <v>46.0</v>
      </c>
      <c r="B1722" s="7" t="s">
        <v>565</v>
      </c>
      <c r="C1722" s="7" t="s">
        <v>1435</v>
      </c>
      <c r="I1722" s="10" t="s">
        <v>1461</v>
      </c>
      <c r="J1722" s="13" t="s">
        <v>1552</v>
      </c>
      <c r="K1722" s="13" t="s">
        <v>303</v>
      </c>
      <c r="L1722" s="13" t="s">
        <v>2237</v>
      </c>
      <c r="M1722" s="6" t="s">
        <v>188</v>
      </c>
      <c r="N1722" s="6" t="s">
        <v>188</v>
      </c>
      <c r="O1722" s="6" t="s">
        <v>190</v>
      </c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</row>
    <row r="1723">
      <c r="A1723" s="12">
        <v>46.0</v>
      </c>
      <c r="B1723" s="7" t="s">
        <v>565</v>
      </c>
      <c r="C1723" s="7" t="s">
        <v>1435</v>
      </c>
      <c r="I1723" s="10" t="s">
        <v>1456</v>
      </c>
      <c r="J1723" s="13" t="s">
        <v>1552</v>
      </c>
      <c r="K1723" s="13" t="s">
        <v>303</v>
      </c>
      <c r="L1723" s="13" t="s">
        <v>2237</v>
      </c>
      <c r="M1723" s="6" t="s">
        <v>188</v>
      </c>
      <c r="N1723" s="6" t="s">
        <v>188</v>
      </c>
      <c r="O1723" s="6" t="s">
        <v>190</v>
      </c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</row>
    <row r="1724">
      <c r="A1724" s="12">
        <v>46.0</v>
      </c>
      <c r="B1724" s="7" t="s">
        <v>565</v>
      </c>
      <c r="C1724" s="7" t="s">
        <v>1435</v>
      </c>
      <c r="I1724" s="10" t="s">
        <v>2226</v>
      </c>
      <c r="J1724" s="13" t="s">
        <v>1552</v>
      </c>
      <c r="K1724" s="13" t="s">
        <v>303</v>
      </c>
      <c r="L1724" s="13" t="s">
        <v>2306</v>
      </c>
      <c r="M1724" s="6" t="s">
        <v>188</v>
      </c>
      <c r="N1724" s="6" t="s">
        <v>188</v>
      </c>
      <c r="O1724" s="6" t="s">
        <v>190</v>
      </c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</row>
    <row r="1725">
      <c r="A1725" s="12">
        <v>46.0</v>
      </c>
      <c r="B1725" s="7" t="s">
        <v>565</v>
      </c>
      <c r="C1725" s="7" t="s">
        <v>1435</v>
      </c>
      <c r="I1725" s="13" t="s">
        <v>552</v>
      </c>
      <c r="J1725" s="13" t="s">
        <v>1552</v>
      </c>
      <c r="K1725" s="13" t="s">
        <v>303</v>
      </c>
      <c r="L1725" s="13" t="s">
        <v>2243</v>
      </c>
      <c r="M1725" s="6" t="s">
        <v>188</v>
      </c>
      <c r="N1725" s="6" t="s">
        <v>188</v>
      </c>
      <c r="O1725" s="6" t="s">
        <v>190</v>
      </c>
      <c r="P1725" s="7" t="s">
        <v>333</v>
      </c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</row>
    <row r="1726">
      <c r="A1726" s="12">
        <v>46.0</v>
      </c>
      <c r="B1726" s="7" t="s">
        <v>565</v>
      </c>
      <c r="C1726" s="7" t="s">
        <v>1435</v>
      </c>
      <c r="I1726" s="13" t="s">
        <v>1436</v>
      </c>
      <c r="J1726" s="13" t="s">
        <v>1552</v>
      </c>
      <c r="K1726" s="13" t="s">
        <v>303</v>
      </c>
      <c r="L1726" s="13" t="s">
        <v>2243</v>
      </c>
      <c r="M1726" s="6" t="s">
        <v>188</v>
      </c>
      <c r="N1726" s="6" t="s">
        <v>188</v>
      </c>
      <c r="O1726" s="6" t="s">
        <v>190</v>
      </c>
      <c r="P1726" s="7" t="s">
        <v>333</v>
      </c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</row>
    <row r="1727">
      <c r="A1727" s="12">
        <v>46.0</v>
      </c>
      <c r="B1727" s="7" t="s">
        <v>565</v>
      </c>
      <c r="C1727" s="7" t="s">
        <v>1435</v>
      </c>
      <c r="I1727" s="13" t="s">
        <v>1479</v>
      </c>
      <c r="J1727" s="13" t="s">
        <v>1552</v>
      </c>
      <c r="K1727" s="13" t="s">
        <v>303</v>
      </c>
      <c r="L1727" s="13" t="s">
        <v>2221</v>
      </c>
      <c r="M1727" s="6" t="s">
        <v>188</v>
      </c>
      <c r="N1727" s="6" t="s">
        <v>188</v>
      </c>
      <c r="O1727" s="6" t="s">
        <v>190</v>
      </c>
      <c r="P1727" s="7" t="s">
        <v>333</v>
      </c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</row>
    <row r="1728">
      <c r="A1728" s="12">
        <v>46.0</v>
      </c>
      <c r="B1728" s="7" t="s">
        <v>565</v>
      </c>
      <c r="C1728" s="7" t="s">
        <v>1435</v>
      </c>
      <c r="I1728" s="13" t="s">
        <v>1466</v>
      </c>
      <c r="J1728" s="13" t="s">
        <v>1552</v>
      </c>
      <c r="K1728" s="13" t="s">
        <v>303</v>
      </c>
      <c r="L1728" s="13" t="s">
        <v>2246</v>
      </c>
      <c r="M1728" s="6" t="s">
        <v>188</v>
      </c>
      <c r="N1728" s="6" t="s">
        <v>188</v>
      </c>
      <c r="O1728" s="6" t="s">
        <v>190</v>
      </c>
      <c r="P1728" s="7" t="s">
        <v>333</v>
      </c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</row>
    <row r="1729">
      <c r="A1729" s="12">
        <v>46.0</v>
      </c>
      <c r="B1729" s="7" t="s">
        <v>565</v>
      </c>
      <c r="C1729" s="7" t="s">
        <v>1435</v>
      </c>
      <c r="I1729" s="13" t="s">
        <v>568</v>
      </c>
      <c r="J1729" s="13" t="s">
        <v>1552</v>
      </c>
      <c r="K1729" s="13" t="s">
        <v>303</v>
      </c>
      <c r="L1729" s="13" t="s">
        <v>2244</v>
      </c>
      <c r="M1729" s="6" t="s">
        <v>188</v>
      </c>
      <c r="N1729" s="6" t="s">
        <v>188</v>
      </c>
      <c r="O1729" s="6" t="s">
        <v>190</v>
      </c>
      <c r="P1729" s="7" t="s">
        <v>333</v>
      </c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</row>
    <row r="1730">
      <c r="A1730" s="12">
        <v>46.0</v>
      </c>
      <c r="B1730" s="7" t="s">
        <v>565</v>
      </c>
      <c r="C1730" s="7" t="s">
        <v>1435</v>
      </c>
      <c r="I1730" s="13" t="s">
        <v>1540</v>
      </c>
      <c r="J1730" s="13" t="s">
        <v>1552</v>
      </c>
      <c r="K1730" s="13" t="s">
        <v>303</v>
      </c>
      <c r="L1730" s="13" t="s">
        <v>2245</v>
      </c>
      <c r="M1730" s="6" t="s">
        <v>188</v>
      </c>
      <c r="N1730" s="6" t="s">
        <v>188</v>
      </c>
      <c r="O1730" s="6" t="s">
        <v>190</v>
      </c>
      <c r="P1730" s="7" t="s">
        <v>333</v>
      </c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</row>
    <row r="1731">
      <c r="A1731" s="12">
        <v>46.0</v>
      </c>
      <c r="B1731" s="7" t="s">
        <v>565</v>
      </c>
      <c r="C1731" s="7" t="s">
        <v>1435</v>
      </c>
      <c r="I1731" s="13" t="s">
        <v>554</v>
      </c>
      <c r="J1731" s="13" t="s">
        <v>1552</v>
      </c>
      <c r="K1731" s="13" t="s">
        <v>303</v>
      </c>
      <c r="L1731" s="13" t="s">
        <v>2221</v>
      </c>
      <c r="M1731" s="6" t="s">
        <v>188</v>
      </c>
      <c r="N1731" s="6" t="s">
        <v>188</v>
      </c>
      <c r="O1731" s="6" t="s">
        <v>190</v>
      </c>
      <c r="P1731" s="7" t="s">
        <v>333</v>
      </c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</row>
    <row r="1732">
      <c r="A1732" s="12">
        <v>46.0</v>
      </c>
      <c r="B1732" s="7" t="s">
        <v>565</v>
      </c>
      <c r="C1732" s="7" t="s">
        <v>1435</v>
      </c>
      <c r="I1732" s="13" t="s">
        <v>559</v>
      </c>
      <c r="J1732" s="13" t="s">
        <v>1552</v>
      </c>
      <c r="K1732" s="13" t="s">
        <v>303</v>
      </c>
      <c r="L1732" s="13" t="s">
        <v>2247</v>
      </c>
      <c r="M1732" s="6" t="s">
        <v>188</v>
      </c>
      <c r="N1732" s="6" t="s">
        <v>188</v>
      </c>
      <c r="O1732" s="6" t="s">
        <v>190</v>
      </c>
      <c r="P1732" s="7" t="s">
        <v>333</v>
      </c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</row>
    <row r="1733">
      <c r="A1733" s="12">
        <v>46.0</v>
      </c>
      <c r="B1733" s="7" t="s">
        <v>565</v>
      </c>
      <c r="C1733" s="7" t="s">
        <v>1435</v>
      </c>
      <c r="I1733" s="13" t="s">
        <v>1440</v>
      </c>
      <c r="J1733" s="13" t="s">
        <v>1552</v>
      </c>
      <c r="K1733" s="13" t="s">
        <v>303</v>
      </c>
      <c r="L1733" s="13" t="s">
        <v>2247</v>
      </c>
      <c r="M1733" s="6" t="s">
        <v>188</v>
      </c>
      <c r="N1733" s="6" t="s">
        <v>188</v>
      </c>
      <c r="O1733" s="6" t="s">
        <v>190</v>
      </c>
      <c r="P1733" s="7" t="s">
        <v>333</v>
      </c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</row>
    <row r="1734">
      <c r="A1734" s="12">
        <v>46.0</v>
      </c>
      <c r="B1734" s="7" t="s">
        <v>565</v>
      </c>
      <c r="C1734" s="7" t="s">
        <v>1435</v>
      </c>
      <c r="I1734" s="13" t="s">
        <v>1443</v>
      </c>
      <c r="J1734" s="13" t="s">
        <v>1552</v>
      </c>
      <c r="K1734" s="13" t="s">
        <v>303</v>
      </c>
      <c r="L1734" s="13" t="s">
        <v>2248</v>
      </c>
      <c r="M1734" s="6" t="s">
        <v>188</v>
      </c>
      <c r="N1734" s="6" t="s">
        <v>188</v>
      </c>
      <c r="O1734" s="6" t="s">
        <v>190</v>
      </c>
      <c r="P1734" s="7" t="s">
        <v>333</v>
      </c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</row>
    <row r="1735">
      <c r="A1735" s="12">
        <v>46.0</v>
      </c>
      <c r="B1735" s="7" t="s">
        <v>565</v>
      </c>
      <c r="C1735" s="7" t="s">
        <v>1435</v>
      </c>
      <c r="I1735" s="13" t="s">
        <v>2222</v>
      </c>
      <c r="J1735" s="13" t="s">
        <v>1552</v>
      </c>
      <c r="K1735" s="13" t="s">
        <v>303</v>
      </c>
      <c r="L1735" s="13" t="s">
        <v>2223</v>
      </c>
      <c r="M1735" s="6" t="s">
        <v>188</v>
      </c>
      <c r="N1735" s="6" t="s">
        <v>188</v>
      </c>
      <c r="O1735" s="6" t="s">
        <v>190</v>
      </c>
      <c r="P1735" s="7" t="s">
        <v>333</v>
      </c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</row>
    <row r="1736">
      <c r="A1736" s="12">
        <v>46.0</v>
      </c>
      <c r="B1736" s="7" t="s">
        <v>565</v>
      </c>
      <c r="C1736" s="7" t="s">
        <v>1435</v>
      </c>
      <c r="I1736" s="13" t="s">
        <v>2224</v>
      </c>
      <c r="J1736" s="13" t="s">
        <v>1552</v>
      </c>
      <c r="K1736" s="13" t="s">
        <v>303</v>
      </c>
      <c r="L1736" s="13" t="s">
        <v>2223</v>
      </c>
      <c r="M1736" s="6" t="s">
        <v>188</v>
      </c>
      <c r="N1736" s="6" t="s">
        <v>188</v>
      </c>
      <c r="O1736" s="6" t="s">
        <v>190</v>
      </c>
      <c r="P1736" s="7" t="s">
        <v>333</v>
      </c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</row>
    <row r="1737">
      <c r="A1737" s="12">
        <v>46.0</v>
      </c>
      <c r="B1737" s="7" t="s">
        <v>565</v>
      </c>
      <c r="C1737" s="7" t="s">
        <v>1435</v>
      </c>
      <c r="I1737" s="13" t="s">
        <v>558</v>
      </c>
      <c r="J1737" s="13" t="s">
        <v>1552</v>
      </c>
      <c r="K1737" s="13" t="s">
        <v>303</v>
      </c>
      <c r="L1737" s="13" t="s">
        <v>2225</v>
      </c>
      <c r="M1737" s="6" t="s">
        <v>188</v>
      </c>
      <c r="N1737" s="6" t="s">
        <v>188</v>
      </c>
      <c r="O1737" s="6" t="s">
        <v>190</v>
      </c>
      <c r="P1737" s="7" t="s">
        <v>333</v>
      </c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</row>
    <row r="1738">
      <c r="A1738" s="12">
        <v>46.0</v>
      </c>
      <c r="B1738" s="7" t="s">
        <v>565</v>
      </c>
      <c r="C1738" s="7" t="s">
        <v>1435</v>
      </c>
      <c r="I1738" s="13" t="s">
        <v>1519</v>
      </c>
      <c r="J1738" s="13" t="s">
        <v>1552</v>
      </c>
      <c r="K1738" s="13" t="s">
        <v>303</v>
      </c>
      <c r="L1738" s="13" t="s">
        <v>2245</v>
      </c>
      <c r="M1738" s="6" t="s">
        <v>188</v>
      </c>
      <c r="N1738" s="6" t="s">
        <v>188</v>
      </c>
      <c r="O1738" s="6" t="s">
        <v>190</v>
      </c>
      <c r="P1738" s="7" t="s">
        <v>333</v>
      </c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</row>
    <row r="1739">
      <c r="A1739" s="12">
        <v>46.0</v>
      </c>
      <c r="B1739" s="7" t="s">
        <v>565</v>
      </c>
      <c r="C1739" s="7" t="s">
        <v>1435</v>
      </c>
      <c r="I1739" s="13" t="s">
        <v>2227</v>
      </c>
      <c r="J1739" s="13" t="s">
        <v>1552</v>
      </c>
      <c r="K1739" s="13" t="s">
        <v>303</v>
      </c>
      <c r="L1739" s="13" t="s">
        <v>2228</v>
      </c>
      <c r="M1739" s="6" t="s">
        <v>188</v>
      </c>
      <c r="N1739" s="6" t="s">
        <v>188</v>
      </c>
      <c r="O1739" s="6" t="s">
        <v>190</v>
      </c>
      <c r="P1739" s="7" t="s">
        <v>333</v>
      </c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</row>
    <row r="1740">
      <c r="A1740" s="12">
        <v>46.0</v>
      </c>
      <c r="B1740" s="7" t="s">
        <v>565</v>
      </c>
      <c r="C1740" s="7" t="s">
        <v>1435</v>
      </c>
      <c r="I1740" s="13" t="s">
        <v>1448</v>
      </c>
      <c r="J1740" s="13" t="s">
        <v>1552</v>
      </c>
      <c r="K1740" s="13" t="s">
        <v>303</v>
      </c>
      <c r="L1740" s="13" t="s">
        <v>2249</v>
      </c>
      <c r="M1740" s="6" t="s">
        <v>188</v>
      </c>
      <c r="N1740" s="6" t="s">
        <v>188</v>
      </c>
      <c r="O1740" s="6" t="s">
        <v>190</v>
      </c>
      <c r="P1740" s="7" t="s">
        <v>333</v>
      </c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</row>
    <row r="1741">
      <c r="A1741" s="12">
        <v>46.0</v>
      </c>
      <c r="B1741" s="7" t="s">
        <v>565</v>
      </c>
      <c r="C1741" s="7" t="s">
        <v>1435</v>
      </c>
      <c r="I1741" s="13" t="s">
        <v>1379</v>
      </c>
      <c r="J1741" s="13" t="s">
        <v>1552</v>
      </c>
      <c r="K1741" s="13" t="s">
        <v>303</v>
      </c>
      <c r="L1741" s="13" t="s">
        <v>2307</v>
      </c>
      <c r="M1741" s="6" t="s">
        <v>188</v>
      </c>
      <c r="N1741" s="6" t="s">
        <v>188</v>
      </c>
      <c r="O1741" s="6" t="s">
        <v>190</v>
      </c>
      <c r="P1741" s="7" t="s">
        <v>333</v>
      </c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</row>
    <row r="1742">
      <c r="A1742" s="12">
        <v>47.0</v>
      </c>
      <c r="B1742" s="7" t="s">
        <v>568</v>
      </c>
      <c r="C1742" s="7" t="s">
        <v>1435</v>
      </c>
      <c r="D1742" s="26">
        <f>IF(COUNTIF($B$2:$B1742,$B1742)&gt;1,"",COUNTIF($B$2:$B$3400,$B1742))</f>
        <v>30</v>
      </c>
      <c r="E1742" s="26">
        <f>IF(COUNTIF($B$2:$B1742,$B1742)&gt;1,"",COUNTIFS($B$2:$B$3400,$B1742,$K$2:$K$3400,"PHÙ HỢP CAO"))</f>
        <v>3</v>
      </c>
      <c r="F1742" s="26">
        <f>IF(COUNTIF($B$2:$B1742,$B1742)&gt;1,"",COUNTIFS($B$2:$B$3400,$B1742,$K$2:$K$3400,"CÓ THỂ ĐI"))</f>
        <v>1</v>
      </c>
      <c r="G1742" s="26">
        <f>IF(COUNTIF($B$2:$B1742,$B1742)&gt;1,"",COUNTIFS($B$2:$B$3400,$B1742,$K$2:$K$3400,"CẦN SOÁT"))</f>
        <v>26</v>
      </c>
      <c r="H1742" s="27" t="str">
        <f>IFERROR(__xludf.DUMMYFUNCTION("IF(COUNTIF($B$2:$B1742,$B1742)&gt;1,"""",IFERROR(TEXTJOIN(CHAR(10),TRUE,BYROW(QUERY({$B$2:$B$3400,$J$2:$J$3400},""select Col2, count(Col2) where Col1 = '""&amp;$B1742&amp;""' group by Col2 order by count(Col2) desc label count(Col2) ''"",0),LAMBDA(r,INDEX(r,1,1)&amp;"" "&amp;"– ""&amp;INDEX(r,1,2)&amp;"" link""))),""""))"),"1,000 won – 15 link
1000 Won bằng bao nhiêu tiền Việt – 15 link")</f>
        <v>1,000 won – 15 link
1000 Won bằng bao nhiêu tiền Việt – 15 link</v>
      </c>
      <c r="I1742" s="10" t="s">
        <v>558</v>
      </c>
      <c r="J1742" s="13" t="s">
        <v>1562</v>
      </c>
      <c r="K1742" s="13" t="s">
        <v>184</v>
      </c>
      <c r="L1742" s="13" t="s">
        <v>2308</v>
      </c>
      <c r="M1742" s="6" t="s">
        <v>188</v>
      </c>
      <c r="N1742" s="6" t="s">
        <v>188</v>
      </c>
      <c r="O1742" s="6" t="s">
        <v>190</v>
      </c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</row>
    <row r="1743">
      <c r="A1743" s="12">
        <v>47.0</v>
      </c>
      <c r="B1743" s="7" t="s">
        <v>568</v>
      </c>
      <c r="C1743" s="7" t="s">
        <v>1435</v>
      </c>
      <c r="I1743" s="10" t="s">
        <v>1494</v>
      </c>
      <c r="J1743" s="13" t="s">
        <v>1565</v>
      </c>
      <c r="K1743" s="13" t="s">
        <v>184</v>
      </c>
      <c r="L1743" s="13" t="s">
        <v>2309</v>
      </c>
      <c r="M1743" s="6" t="s">
        <v>188</v>
      </c>
      <c r="N1743" s="6" t="s">
        <v>188</v>
      </c>
      <c r="O1743" s="6" t="s">
        <v>190</v>
      </c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</row>
    <row r="1744">
      <c r="A1744" s="12">
        <v>47.0</v>
      </c>
      <c r="B1744" s="7" t="s">
        <v>568</v>
      </c>
      <c r="C1744" s="7" t="s">
        <v>1435</v>
      </c>
      <c r="I1744" s="10" t="s">
        <v>1501</v>
      </c>
      <c r="J1744" s="13" t="s">
        <v>1562</v>
      </c>
      <c r="K1744" s="13" t="s">
        <v>184</v>
      </c>
      <c r="L1744" s="13" t="s">
        <v>2310</v>
      </c>
      <c r="M1744" s="6" t="s">
        <v>188</v>
      </c>
      <c r="N1744" s="6" t="s">
        <v>188</v>
      </c>
      <c r="O1744" s="6" t="s">
        <v>190</v>
      </c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</row>
    <row r="1745">
      <c r="A1745" s="12">
        <v>47.0</v>
      </c>
      <c r="B1745" s="7" t="s">
        <v>568</v>
      </c>
      <c r="C1745" s="7" t="s">
        <v>1435</v>
      </c>
      <c r="I1745" s="10" t="s">
        <v>1503</v>
      </c>
      <c r="J1745" s="13" t="s">
        <v>1565</v>
      </c>
      <c r="K1745" s="13" t="s">
        <v>283</v>
      </c>
      <c r="L1745" s="13" t="s">
        <v>2311</v>
      </c>
      <c r="M1745" s="6" t="s">
        <v>188</v>
      </c>
      <c r="N1745" s="6" t="s">
        <v>188</v>
      </c>
      <c r="O1745" s="6" t="s">
        <v>190</v>
      </c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</row>
    <row r="1746">
      <c r="A1746" s="12">
        <v>47.0</v>
      </c>
      <c r="B1746" s="7" t="s">
        <v>568</v>
      </c>
      <c r="C1746" s="7" t="s">
        <v>1435</v>
      </c>
      <c r="I1746" s="13" t="s">
        <v>553</v>
      </c>
      <c r="J1746" s="13" t="s">
        <v>1562</v>
      </c>
      <c r="K1746" s="13" t="s">
        <v>303</v>
      </c>
      <c r="L1746" s="13" t="s">
        <v>2217</v>
      </c>
      <c r="M1746" s="6" t="s">
        <v>188</v>
      </c>
      <c r="N1746" s="6" t="s">
        <v>188</v>
      </c>
      <c r="O1746" s="6" t="s">
        <v>190</v>
      </c>
      <c r="P1746" s="7" t="s">
        <v>333</v>
      </c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</row>
    <row r="1747">
      <c r="A1747" s="12">
        <v>47.0</v>
      </c>
      <c r="B1747" s="7" t="s">
        <v>568</v>
      </c>
      <c r="C1747" s="7" t="s">
        <v>1435</v>
      </c>
      <c r="I1747" s="13" t="s">
        <v>552</v>
      </c>
      <c r="J1747" s="13" t="s">
        <v>1565</v>
      </c>
      <c r="K1747" s="13" t="s">
        <v>303</v>
      </c>
      <c r="L1747" s="13" t="s">
        <v>2243</v>
      </c>
      <c r="M1747" s="6" t="s">
        <v>188</v>
      </c>
      <c r="N1747" s="6" t="s">
        <v>188</v>
      </c>
      <c r="O1747" s="6" t="s">
        <v>190</v>
      </c>
      <c r="P1747" s="7" t="s">
        <v>333</v>
      </c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</row>
    <row r="1748">
      <c r="A1748" s="12">
        <v>47.0</v>
      </c>
      <c r="B1748" s="7" t="s">
        <v>568</v>
      </c>
      <c r="C1748" s="7" t="s">
        <v>1435</v>
      </c>
      <c r="I1748" s="13" t="s">
        <v>576</v>
      </c>
      <c r="J1748" s="13" t="s">
        <v>1562</v>
      </c>
      <c r="K1748" s="13" t="s">
        <v>303</v>
      </c>
      <c r="L1748" s="13" t="s">
        <v>2218</v>
      </c>
      <c r="M1748" s="6" t="s">
        <v>188</v>
      </c>
      <c r="N1748" s="6" t="s">
        <v>188</v>
      </c>
      <c r="O1748" s="6" t="s">
        <v>190</v>
      </c>
      <c r="P1748" s="7" t="s">
        <v>333</v>
      </c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</row>
    <row r="1749">
      <c r="A1749" s="12">
        <v>47.0</v>
      </c>
      <c r="B1749" s="7" t="s">
        <v>568</v>
      </c>
      <c r="C1749" s="7" t="s">
        <v>1435</v>
      </c>
      <c r="I1749" s="13" t="s">
        <v>1436</v>
      </c>
      <c r="J1749" s="13" t="s">
        <v>1565</v>
      </c>
      <c r="K1749" s="13" t="s">
        <v>303</v>
      </c>
      <c r="L1749" s="13" t="s">
        <v>2243</v>
      </c>
      <c r="M1749" s="6" t="s">
        <v>188</v>
      </c>
      <c r="N1749" s="6" t="s">
        <v>188</v>
      </c>
      <c r="O1749" s="6" t="s">
        <v>190</v>
      </c>
      <c r="P1749" s="7" t="s">
        <v>333</v>
      </c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</row>
    <row r="1750">
      <c r="A1750" s="12">
        <v>47.0</v>
      </c>
      <c r="B1750" s="7" t="s">
        <v>568</v>
      </c>
      <c r="C1750" s="7" t="s">
        <v>1435</v>
      </c>
      <c r="I1750" s="13" t="s">
        <v>1479</v>
      </c>
      <c r="J1750" s="13" t="s">
        <v>1562</v>
      </c>
      <c r="K1750" s="13" t="s">
        <v>303</v>
      </c>
      <c r="L1750" s="13" t="s">
        <v>2221</v>
      </c>
      <c r="M1750" s="6" t="s">
        <v>188</v>
      </c>
      <c r="N1750" s="6" t="s">
        <v>188</v>
      </c>
      <c r="O1750" s="6" t="s">
        <v>190</v>
      </c>
      <c r="P1750" s="7" t="s">
        <v>333</v>
      </c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</row>
    <row r="1751">
      <c r="A1751" s="12">
        <v>47.0</v>
      </c>
      <c r="B1751" s="7" t="s">
        <v>568</v>
      </c>
      <c r="C1751" s="7" t="s">
        <v>1435</v>
      </c>
      <c r="I1751" s="13" t="s">
        <v>1466</v>
      </c>
      <c r="J1751" s="13" t="s">
        <v>1565</v>
      </c>
      <c r="K1751" s="13" t="s">
        <v>303</v>
      </c>
      <c r="L1751" s="13" t="s">
        <v>2246</v>
      </c>
      <c r="M1751" s="6" t="s">
        <v>188</v>
      </c>
      <c r="N1751" s="6" t="s">
        <v>188</v>
      </c>
      <c r="O1751" s="6" t="s">
        <v>190</v>
      </c>
      <c r="P1751" s="7" t="s">
        <v>333</v>
      </c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</row>
    <row r="1752">
      <c r="A1752" s="12">
        <v>47.0</v>
      </c>
      <c r="B1752" s="7" t="s">
        <v>568</v>
      </c>
      <c r="C1752" s="7" t="s">
        <v>1435</v>
      </c>
      <c r="I1752" s="13" t="s">
        <v>2219</v>
      </c>
      <c r="J1752" s="13" t="s">
        <v>1562</v>
      </c>
      <c r="K1752" s="13" t="s">
        <v>303</v>
      </c>
      <c r="L1752" s="13" t="s">
        <v>2220</v>
      </c>
      <c r="M1752" s="6" t="s">
        <v>188</v>
      </c>
      <c r="N1752" s="6" t="s">
        <v>188</v>
      </c>
      <c r="O1752" s="6" t="s">
        <v>190</v>
      </c>
      <c r="P1752" s="7" t="s">
        <v>333</v>
      </c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</row>
    <row r="1753">
      <c r="A1753" s="12">
        <v>47.0</v>
      </c>
      <c r="B1753" s="7" t="s">
        <v>568</v>
      </c>
      <c r="C1753" s="7" t="s">
        <v>1435</v>
      </c>
      <c r="I1753" s="13" t="s">
        <v>1540</v>
      </c>
      <c r="J1753" s="13" t="s">
        <v>1565</v>
      </c>
      <c r="K1753" s="13" t="s">
        <v>303</v>
      </c>
      <c r="L1753" s="13" t="s">
        <v>2245</v>
      </c>
      <c r="M1753" s="6" t="s">
        <v>188</v>
      </c>
      <c r="N1753" s="6" t="s">
        <v>188</v>
      </c>
      <c r="O1753" s="6" t="s">
        <v>190</v>
      </c>
      <c r="P1753" s="7" t="s">
        <v>333</v>
      </c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</row>
    <row r="1754">
      <c r="A1754" s="12">
        <v>47.0</v>
      </c>
      <c r="B1754" s="7" t="s">
        <v>568</v>
      </c>
      <c r="C1754" s="7" t="s">
        <v>1435</v>
      </c>
      <c r="I1754" s="13" t="s">
        <v>554</v>
      </c>
      <c r="J1754" s="13" t="s">
        <v>1562</v>
      </c>
      <c r="K1754" s="13" t="s">
        <v>303</v>
      </c>
      <c r="L1754" s="13" t="s">
        <v>2221</v>
      </c>
      <c r="M1754" s="6" t="s">
        <v>188</v>
      </c>
      <c r="N1754" s="6" t="s">
        <v>188</v>
      </c>
      <c r="O1754" s="6" t="s">
        <v>190</v>
      </c>
      <c r="P1754" s="7" t="s">
        <v>333</v>
      </c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</row>
    <row r="1755">
      <c r="A1755" s="12">
        <v>47.0</v>
      </c>
      <c r="B1755" s="7" t="s">
        <v>568</v>
      </c>
      <c r="C1755" s="7" t="s">
        <v>1435</v>
      </c>
      <c r="I1755" s="13" t="s">
        <v>1451</v>
      </c>
      <c r="J1755" s="13" t="s">
        <v>1565</v>
      </c>
      <c r="K1755" s="13" t="s">
        <v>303</v>
      </c>
      <c r="L1755" s="13" t="s">
        <v>2261</v>
      </c>
      <c r="M1755" s="6" t="s">
        <v>188</v>
      </c>
      <c r="N1755" s="6" t="s">
        <v>188</v>
      </c>
      <c r="O1755" s="6" t="s">
        <v>190</v>
      </c>
      <c r="P1755" s="7" t="s">
        <v>333</v>
      </c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</row>
    <row r="1756">
      <c r="A1756" s="12">
        <v>47.0</v>
      </c>
      <c r="B1756" s="7" t="s">
        <v>568</v>
      </c>
      <c r="C1756" s="7" t="s">
        <v>1435</v>
      </c>
      <c r="I1756" s="13" t="s">
        <v>2239</v>
      </c>
      <c r="J1756" s="13" t="s">
        <v>1562</v>
      </c>
      <c r="K1756" s="13" t="s">
        <v>303</v>
      </c>
      <c r="L1756" s="13" t="s">
        <v>2262</v>
      </c>
      <c r="M1756" s="6" t="s">
        <v>188</v>
      </c>
      <c r="N1756" s="6" t="s">
        <v>188</v>
      </c>
      <c r="O1756" s="6" t="s">
        <v>190</v>
      </c>
      <c r="P1756" s="7" t="s">
        <v>333</v>
      </c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</row>
    <row r="1757">
      <c r="A1757" s="12">
        <v>47.0</v>
      </c>
      <c r="B1757" s="7" t="s">
        <v>568</v>
      </c>
      <c r="C1757" s="7" t="s">
        <v>1435</v>
      </c>
      <c r="I1757" s="13" t="s">
        <v>559</v>
      </c>
      <c r="J1757" s="13" t="s">
        <v>1565</v>
      </c>
      <c r="K1757" s="13" t="s">
        <v>303</v>
      </c>
      <c r="L1757" s="13" t="s">
        <v>2247</v>
      </c>
      <c r="M1757" s="6" t="s">
        <v>188</v>
      </c>
      <c r="N1757" s="6" t="s">
        <v>188</v>
      </c>
      <c r="O1757" s="6" t="s">
        <v>190</v>
      </c>
      <c r="P1757" s="7" t="s">
        <v>333</v>
      </c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</row>
    <row r="1758">
      <c r="A1758" s="12">
        <v>47.0</v>
      </c>
      <c r="B1758" s="7" t="s">
        <v>568</v>
      </c>
      <c r="C1758" s="7" t="s">
        <v>1435</v>
      </c>
      <c r="I1758" s="13" t="s">
        <v>1440</v>
      </c>
      <c r="J1758" s="13" t="s">
        <v>1562</v>
      </c>
      <c r="K1758" s="13" t="s">
        <v>303</v>
      </c>
      <c r="L1758" s="13" t="s">
        <v>2247</v>
      </c>
      <c r="M1758" s="6" t="s">
        <v>188</v>
      </c>
      <c r="N1758" s="6" t="s">
        <v>188</v>
      </c>
      <c r="O1758" s="6" t="s">
        <v>190</v>
      </c>
      <c r="P1758" s="7" t="s">
        <v>333</v>
      </c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</row>
    <row r="1759">
      <c r="A1759" s="12">
        <v>47.0</v>
      </c>
      <c r="B1759" s="7" t="s">
        <v>568</v>
      </c>
      <c r="C1759" s="7" t="s">
        <v>1435</v>
      </c>
      <c r="I1759" s="13" t="s">
        <v>1456</v>
      </c>
      <c r="J1759" s="13" t="s">
        <v>1565</v>
      </c>
      <c r="K1759" s="13" t="s">
        <v>303</v>
      </c>
      <c r="L1759" s="13" t="s">
        <v>2217</v>
      </c>
      <c r="M1759" s="6" t="s">
        <v>188</v>
      </c>
      <c r="N1759" s="6" t="s">
        <v>188</v>
      </c>
      <c r="O1759" s="6" t="s">
        <v>190</v>
      </c>
      <c r="P1759" s="7" t="s">
        <v>333</v>
      </c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</row>
    <row r="1760">
      <c r="A1760" s="12">
        <v>47.0</v>
      </c>
      <c r="B1760" s="7" t="s">
        <v>568</v>
      </c>
      <c r="C1760" s="7" t="s">
        <v>1435</v>
      </c>
      <c r="I1760" s="13" t="s">
        <v>1443</v>
      </c>
      <c r="J1760" s="13" t="s">
        <v>1562</v>
      </c>
      <c r="K1760" s="13" t="s">
        <v>303</v>
      </c>
      <c r="L1760" s="13" t="s">
        <v>2248</v>
      </c>
      <c r="M1760" s="6" t="s">
        <v>188</v>
      </c>
      <c r="N1760" s="6" t="s">
        <v>188</v>
      </c>
      <c r="O1760" s="6" t="s">
        <v>190</v>
      </c>
      <c r="P1760" s="7" t="s">
        <v>333</v>
      </c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</row>
    <row r="1761">
      <c r="A1761" s="12">
        <v>47.0</v>
      </c>
      <c r="B1761" s="7" t="s">
        <v>568</v>
      </c>
      <c r="C1761" s="7" t="s">
        <v>1435</v>
      </c>
      <c r="I1761" s="13" t="s">
        <v>2222</v>
      </c>
      <c r="J1761" s="13" t="s">
        <v>1565</v>
      </c>
      <c r="K1761" s="13" t="s">
        <v>303</v>
      </c>
      <c r="L1761" s="13" t="s">
        <v>2223</v>
      </c>
      <c r="M1761" s="6" t="s">
        <v>188</v>
      </c>
      <c r="N1761" s="6" t="s">
        <v>188</v>
      </c>
      <c r="O1761" s="6" t="s">
        <v>190</v>
      </c>
      <c r="P1761" s="7" t="s">
        <v>333</v>
      </c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</row>
    <row r="1762">
      <c r="A1762" s="12">
        <v>47.0</v>
      </c>
      <c r="B1762" s="7" t="s">
        <v>568</v>
      </c>
      <c r="C1762" s="7" t="s">
        <v>1435</v>
      </c>
      <c r="I1762" s="13" t="s">
        <v>2224</v>
      </c>
      <c r="J1762" s="13" t="s">
        <v>1562</v>
      </c>
      <c r="K1762" s="13" t="s">
        <v>303</v>
      </c>
      <c r="L1762" s="13" t="s">
        <v>2223</v>
      </c>
      <c r="M1762" s="6" t="s">
        <v>188</v>
      </c>
      <c r="N1762" s="6" t="s">
        <v>188</v>
      </c>
      <c r="O1762" s="6" t="s">
        <v>190</v>
      </c>
      <c r="P1762" s="7" t="s">
        <v>333</v>
      </c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</row>
    <row r="1763">
      <c r="A1763" s="12">
        <v>47.0</v>
      </c>
      <c r="B1763" s="7" t="s">
        <v>568</v>
      </c>
      <c r="C1763" s="7" t="s">
        <v>1435</v>
      </c>
      <c r="I1763" s="13" t="s">
        <v>2226</v>
      </c>
      <c r="J1763" s="13" t="s">
        <v>1565</v>
      </c>
      <c r="K1763" s="13" t="s">
        <v>303</v>
      </c>
      <c r="L1763" s="13" t="s">
        <v>2220</v>
      </c>
      <c r="M1763" s="6" t="s">
        <v>188</v>
      </c>
      <c r="N1763" s="6" t="s">
        <v>188</v>
      </c>
      <c r="O1763" s="6" t="s">
        <v>190</v>
      </c>
      <c r="P1763" s="7" t="s">
        <v>333</v>
      </c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</row>
    <row r="1764">
      <c r="A1764" s="12">
        <v>47.0</v>
      </c>
      <c r="B1764" s="7" t="s">
        <v>568</v>
      </c>
      <c r="C1764" s="7" t="s">
        <v>1435</v>
      </c>
      <c r="I1764" s="13" t="s">
        <v>1519</v>
      </c>
      <c r="J1764" s="13" t="s">
        <v>1562</v>
      </c>
      <c r="K1764" s="13" t="s">
        <v>303</v>
      </c>
      <c r="L1764" s="13" t="s">
        <v>2245</v>
      </c>
      <c r="M1764" s="6" t="s">
        <v>188</v>
      </c>
      <c r="N1764" s="6" t="s">
        <v>188</v>
      </c>
      <c r="O1764" s="6" t="s">
        <v>190</v>
      </c>
      <c r="P1764" s="7" t="s">
        <v>333</v>
      </c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</row>
    <row r="1765">
      <c r="A1765" s="12">
        <v>47.0</v>
      </c>
      <c r="B1765" s="7" t="s">
        <v>568</v>
      </c>
      <c r="C1765" s="7" t="s">
        <v>1435</v>
      </c>
      <c r="I1765" s="13" t="s">
        <v>2227</v>
      </c>
      <c r="J1765" s="13" t="s">
        <v>1565</v>
      </c>
      <c r="K1765" s="13" t="s">
        <v>303</v>
      </c>
      <c r="L1765" s="13" t="s">
        <v>2228</v>
      </c>
      <c r="M1765" s="6" t="s">
        <v>188</v>
      </c>
      <c r="N1765" s="6" t="s">
        <v>188</v>
      </c>
      <c r="O1765" s="6" t="s">
        <v>190</v>
      </c>
      <c r="P1765" s="7" t="s">
        <v>333</v>
      </c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</row>
    <row r="1766">
      <c r="A1766" s="12">
        <v>47.0</v>
      </c>
      <c r="B1766" s="7" t="s">
        <v>568</v>
      </c>
      <c r="C1766" s="7" t="s">
        <v>1435</v>
      </c>
      <c r="I1766" s="13" t="s">
        <v>1448</v>
      </c>
      <c r="J1766" s="13" t="s">
        <v>1562</v>
      </c>
      <c r="K1766" s="13" t="s">
        <v>303</v>
      </c>
      <c r="L1766" s="13" t="s">
        <v>2249</v>
      </c>
      <c r="M1766" s="6" t="s">
        <v>188</v>
      </c>
      <c r="N1766" s="6" t="s">
        <v>188</v>
      </c>
      <c r="O1766" s="6" t="s">
        <v>190</v>
      </c>
      <c r="P1766" s="7" t="s">
        <v>333</v>
      </c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</row>
    <row r="1767">
      <c r="A1767" s="12">
        <v>47.0</v>
      </c>
      <c r="B1767" s="7" t="s">
        <v>568</v>
      </c>
      <c r="C1767" s="7" t="s">
        <v>1435</v>
      </c>
      <c r="I1767" s="13" t="s">
        <v>565</v>
      </c>
      <c r="J1767" s="13" t="s">
        <v>1565</v>
      </c>
      <c r="K1767" s="13" t="s">
        <v>303</v>
      </c>
      <c r="L1767" s="13" t="s">
        <v>2312</v>
      </c>
      <c r="M1767" s="6" t="s">
        <v>188</v>
      </c>
      <c r="N1767" s="6" t="s">
        <v>188</v>
      </c>
      <c r="O1767" s="6" t="s">
        <v>190</v>
      </c>
      <c r="P1767" s="7" t="s">
        <v>333</v>
      </c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</row>
    <row r="1768">
      <c r="A1768" s="12">
        <v>47.0</v>
      </c>
      <c r="B1768" s="7" t="s">
        <v>568</v>
      </c>
      <c r="C1768" s="7" t="s">
        <v>1435</v>
      </c>
      <c r="I1768" s="13" t="s">
        <v>2063</v>
      </c>
      <c r="J1768" s="13" t="s">
        <v>1562</v>
      </c>
      <c r="K1768" s="13" t="s">
        <v>303</v>
      </c>
      <c r="L1768" s="13" t="s">
        <v>2276</v>
      </c>
      <c r="M1768" s="6" t="s">
        <v>188</v>
      </c>
      <c r="N1768" s="6" t="s">
        <v>188</v>
      </c>
      <c r="O1768" s="6" t="s">
        <v>190</v>
      </c>
      <c r="P1768" s="7" t="s">
        <v>333</v>
      </c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</row>
    <row r="1769">
      <c r="A1769" s="12">
        <v>47.0</v>
      </c>
      <c r="B1769" s="7" t="s">
        <v>568</v>
      </c>
      <c r="C1769" s="7" t="s">
        <v>1435</v>
      </c>
      <c r="I1769" s="13" t="s">
        <v>1544</v>
      </c>
      <c r="J1769" s="13" t="s">
        <v>1565</v>
      </c>
      <c r="K1769" s="13" t="s">
        <v>303</v>
      </c>
      <c r="L1769" s="13" t="s">
        <v>2277</v>
      </c>
      <c r="M1769" s="6" t="s">
        <v>188</v>
      </c>
      <c r="N1769" s="6" t="s">
        <v>188</v>
      </c>
      <c r="O1769" s="6" t="s">
        <v>190</v>
      </c>
      <c r="P1769" s="7" t="s">
        <v>333</v>
      </c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</row>
    <row r="1770">
      <c r="A1770" s="12">
        <v>47.0</v>
      </c>
      <c r="B1770" s="7" t="s">
        <v>568</v>
      </c>
      <c r="C1770" s="7" t="s">
        <v>1435</v>
      </c>
      <c r="I1770" s="13" t="s">
        <v>2278</v>
      </c>
      <c r="J1770" s="13" t="s">
        <v>1562</v>
      </c>
      <c r="K1770" s="13" t="s">
        <v>303</v>
      </c>
      <c r="L1770" s="13" t="s">
        <v>2279</v>
      </c>
      <c r="M1770" s="6" t="s">
        <v>188</v>
      </c>
      <c r="N1770" s="6" t="s">
        <v>188</v>
      </c>
      <c r="O1770" s="6" t="s">
        <v>190</v>
      </c>
      <c r="P1770" s="7" t="s">
        <v>333</v>
      </c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</row>
    <row r="1771">
      <c r="A1771" s="12">
        <v>47.0</v>
      </c>
      <c r="B1771" s="7" t="s">
        <v>568</v>
      </c>
      <c r="C1771" s="7" t="s">
        <v>1435</v>
      </c>
      <c r="I1771" s="13" t="s">
        <v>2264</v>
      </c>
      <c r="J1771" s="13" t="s">
        <v>1565</v>
      </c>
      <c r="K1771" s="13" t="s">
        <v>303</v>
      </c>
      <c r="L1771" s="13" t="s">
        <v>2265</v>
      </c>
      <c r="M1771" s="6" t="s">
        <v>188</v>
      </c>
      <c r="N1771" s="6" t="s">
        <v>188</v>
      </c>
      <c r="O1771" s="6" t="s">
        <v>190</v>
      </c>
      <c r="P1771" s="7" t="s">
        <v>333</v>
      </c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</row>
    <row r="1772">
      <c r="A1772" s="12">
        <v>48.0</v>
      </c>
      <c r="B1772" s="7" t="s">
        <v>569</v>
      </c>
      <c r="C1772" s="7" t="s">
        <v>1435</v>
      </c>
      <c r="D1772" s="26">
        <f>IF(COUNTIF($B$2:$B1772,$B1772)&gt;1,"",COUNTIF($B$2:$B$3400,$B1772))</f>
        <v>30</v>
      </c>
      <c r="E1772" s="26">
        <f>IF(COUNTIF($B$2:$B1772,$B1772)&gt;1,"",COUNTIFS($B$2:$B$3400,$B1772,$K$2:$K$3400,"PHÙ HỢP CAO"))</f>
        <v>5</v>
      </c>
      <c r="F1772" s="26">
        <f>IF(COUNTIF($B$2:$B1772,$B1772)&gt;1,"",COUNTIFS($B$2:$B$3400,$B1772,$K$2:$K$3400,"CÓ THỂ ĐI"))</f>
        <v>0</v>
      </c>
      <c r="G1772" s="26">
        <f>IF(COUNTIF($B$2:$B1772,$B1772)&gt;1,"",COUNTIFS($B$2:$B$3400,$B1772,$K$2:$K$3400,"CẦN SOÁT"))</f>
        <v>25</v>
      </c>
      <c r="H1772" s="27" t="str">
        <f>IFERROR(__xludf.DUMMYFUNCTION("IF(COUNTIF($B$2:$B1772,$B1772)&gt;1,"""",IFERROR(TEXTJOIN(CHAR(10),TRUE,BYROW(QUERY({$B$2:$B$3400,$J$2:$J$3400},""select Col2, count(Col2) where Col1 = '""&amp;$B1772&amp;""' group by Col2 order by count(Col2) desc label count(Col2) ''"",0),LAMBDA(r,INDEX(r,1,1)&amp;"" "&amp;"– ""&amp;INDEX(r,1,2)&amp;"" link""))),""""))"),"cách nhận tiền từ nước ngoài về Việt Nam – 10 link
nhận kiều hối – 10 link
nhận tiền từ nước ngoài – 10 link")</f>
        <v>cách nhận tiền từ nước ngoài về Việt Nam – 10 link
nhận kiều hối – 10 link
nhận tiền từ nước ngoài – 10 link</v>
      </c>
      <c r="I1772" s="10" t="s">
        <v>1569</v>
      </c>
      <c r="J1772" s="13" t="s">
        <v>1573</v>
      </c>
      <c r="K1772" s="13" t="s">
        <v>184</v>
      </c>
      <c r="L1772" s="13" t="s">
        <v>2313</v>
      </c>
      <c r="M1772" s="6" t="s">
        <v>188</v>
      </c>
      <c r="N1772" s="6" t="s">
        <v>188</v>
      </c>
      <c r="O1772" s="6" t="s">
        <v>190</v>
      </c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</row>
    <row r="1773">
      <c r="A1773" s="12">
        <v>48.0</v>
      </c>
      <c r="B1773" s="7" t="s">
        <v>569</v>
      </c>
      <c r="C1773" s="7" t="s">
        <v>1435</v>
      </c>
      <c r="I1773" s="10" t="s">
        <v>1575</v>
      </c>
      <c r="J1773" s="13" t="s">
        <v>1578</v>
      </c>
      <c r="K1773" s="13" t="s">
        <v>184</v>
      </c>
      <c r="L1773" s="13" t="s">
        <v>2314</v>
      </c>
      <c r="M1773" s="6" t="s">
        <v>188</v>
      </c>
      <c r="N1773" s="6" t="s">
        <v>188</v>
      </c>
      <c r="O1773" s="6" t="s">
        <v>190</v>
      </c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</row>
    <row r="1774">
      <c r="A1774" s="12">
        <v>48.0</v>
      </c>
      <c r="B1774" s="7" t="s">
        <v>569</v>
      </c>
      <c r="C1774" s="7" t="s">
        <v>1435</v>
      </c>
      <c r="I1774" s="10" t="s">
        <v>1434</v>
      </c>
      <c r="J1774" s="13" t="s">
        <v>1581</v>
      </c>
      <c r="K1774" s="13" t="s">
        <v>184</v>
      </c>
      <c r="L1774" s="13" t="s">
        <v>2315</v>
      </c>
      <c r="M1774" s="6" t="s">
        <v>188</v>
      </c>
      <c r="N1774" s="6" t="s">
        <v>188</v>
      </c>
      <c r="O1774" s="6" t="s">
        <v>190</v>
      </c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</row>
    <row r="1775">
      <c r="A1775" s="12">
        <v>48.0</v>
      </c>
      <c r="B1775" s="7" t="s">
        <v>569</v>
      </c>
      <c r="C1775" s="7" t="s">
        <v>1435</v>
      </c>
      <c r="I1775" s="10" t="s">
        <v>1461</v>
      </c>
      <c r="J1775" s="13" t="s">
        <v>1573</v>
      </c>
      <c r="K1775" s="13" t="s">
        <v>184</v>
      </c>
      <c r="L1775" s="13" t="s">
        <v>2316</v>
      </c>
      <c r="M1775" s="6" t="s">
        <v>188</v>
      </c>
      <c r="N1775" s="6" t="s">
        <v>188</v>
      </c>
      <c r="O1775" s="6" t="s">
        <v>190</v>
      </c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</row>
    <row r="1776">
      <c r="A1776" s="12">
        <v>48.0</v>
      </c>
      <c r="B1776" s="7" t="s">
        <v>569</v>
      </c>
      <c r="C1776" s="7" t="s">
        <v>1435</v>
      </c>
      <c r="I1776" s="10" t="s">
        <v>1410</v>
      </c>
      <c r="J1776" s="13" t="s">
        <v>1578</v>
      </c>
      <c r="K1776" s="13" t="s">
        <v>184</v>
      </c>
      <c r="L1776" s="13" t="s">
        <v>2317</v>
      </c>
      <c r="M1776" s="6" t="s">
        <v>188</v>
      </c>
      <c r="N1776" s="6" t="s">
        <v>188</v>
      </c>
      <c r="O1776" s="6" t="s">
        <v>190</v>
      </c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</row>
    <row r="1777">
      <c r="A1777" s="12">
        <v>48.0</v>
      </c>
      <c r="B1777" s="7" t="s">
        <v>569</v>
      </c>
      <c r="C1777" s="7" t="s">
        <v>1435</v>
      </c>
      <c r="I1777" s="10" t="s">
        <v>2047</v>
      </c>
      <c r="J1777" s="13" t="s">
        <v>1581</v>
      </c>
      <c r="K1777" s="13" t="s">
        <v>303</v>
      </c>
      <c r="L1777" s="13" t="s">
        <v>2318</v>
      </c>
      <c r="M1777" s="6" t="s">
        <v>188</v>
      </c>
      <c r="N1777" s="6" t="s">
        <v>188</v>
      </c>
      <c r="O1777" s="6" t="s">
        <v>190</v>
      </c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</row>
    <row r="1778">
      <c r="A1778" s="12">
        <v>48.0</v>
      </c>
      <c r="B1778" s="7" t="s">
        <v>569</v>
      </c>
      <c r="C1778" s="7" t="s">
        <v>1435</v>
      </c>
      <c r="I1778" s="10" t="s">
        <v>2319</v>
      </c>
      <c r="J1778" s="13" t="s">
        <v>1573</v>
      </c>
      <c r="K1778" s="13" t="s">
        <v>303</v>
      </c>
      <c r="L1778" s="13" t="s">
        <v>2318</v>
      </c>
      <c r="M1778" s="6" t="s">
        <v>188</v>
      </c>
      <c r="N1778" s="6" t="s">
        <v>188</v>
      </c>
      <c r="O1778" s="6" t="s">
        <v>190</v>
      </c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</row>
    <row r="1779">
      <c r="A1779" s="12">
        <v>48.0</v>
      </c>
      <c r="B1779" s="7" t="s">
        <v>569</v>
      </c>
      <c r="C1779" s="7" t="s">
        <v>1435</v>
      </c>
      <c r="I1779" s="10" t="s">
        <v>2038</v>
      </c>
      <c r="J1779" s="13" t="s">
        <v>1578</v>
      </c>
      <c r="K1779" s="13" t="s">
        <v>303</v>
      </c>
      <c r="L1779" s="13" t="s">
        <v>2318</v>
      </c>
      <c r="M1779" s="6" t="s">
        <v>188</v>
      </c>
      <c r="N1779" s="6" t="s">
        <v>188</v>
      </c>
      <c r="O1779" s="6" t="s">
        <v>190</v>
      </c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</row>
    <row r="1780">
      <c r="A1780" s="12">
        <v>48.0</v>
      </c>
      <c r="B1780" s="7" t="s">
        <v>569</v>
      </c>
      <c r="C1780" s="7" t="s">
        <v>1435</v>
      </c>
      <c r="I1780" s="10" t="s">
        <v>2016</v>
      </c>
      <c r="J1780" s="13" t="s">
        <v>1581</v>
      </c>
      <c r="K1780" s="13" t="s">
        <v>303</v>
      </c>
      <c r="L1780" s="13" t="s">
        <v>2318</v>
      </c>
      <c r="M1780" s="6" t="s">
        <v>188</v>
      </c>
      <c r="N1780" s="6" t="s">
        <v>188</v>
      </c>
      <c r="O1780" s="6" t="s">
        <v>190</v>
      </c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</row>
    <row r="1781">
      <c r="A1781" s="12">
        <v>48.0</v>
      </c>
      <c r="B1781" s="7" t="s">
        <v>569</v>
      </c>
      <c r="C1781" s="7" t="s">
        <v>1435</v>
      </c>
      <c r="I1781" s="10" t="s">
        <v>2320</v>
      </c>
      <c r="J1781" s="13" t="s">
        <v>1573</v>
      </c>
      <c r="K1781" s="13" t="s">
        <v>303</v>
      </c>
      <c r="L1781" s="13" t="s">
        <v>2318</v>
      </c>
      <c r="M1781" s="6" t="s">
        <v>188</v>
      </c>
      <c r="N1781" s="6" t="s">
        <v>188</v>
      </c>
      <c r="O1781" s="6" t="s">
        <v>190</v>
      </c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</row>
    <row r="1782">
      <c r="A1782" s="12">
        <v>48.0</v>
      </c>
      <c r="B1782" s="7" t="s">
        <v>569</v>
      </c>
      <c r="C1782" s="7" t="s">
        <v>1435</v>
      </c>
      <c r="I1782" s="10" t="s">
        <v>1987</v>
      </c>
      <c r="J1782" s="13" t="s">
        <v>1578</v>
      </c>
      <c r="K1782" s="13" t="s">
        <v>303</v>
      </c>
      <c r="L1782" s="13" t="s">
        <v>2318</v>
      </c>
      <c r="M1782" s="6" t="s">
        <v>188</v>
      </c>
      <c r="N1782" s="6" t="s">
        <v>188</v>
      </c>
      <c r="O1782" s="6" t="s">
        <v>190</v>
      </c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</row>
    <row r="1783">
      <c r="A1783" s="12">
        <v>48.0</v>
      </c>
      <c r="B1783" s="7" t="s">
        <v>569</v>
      </c>
      <c r="C1783" s="7" t="s">
        <v>1435</v>
      </c>
      <c r="I1783" s="10" t="s">
        <v>1419</v>
      </c>
      <c r="J1783" s="13" t="s">
        <v>1581</v>
      </c>
      <c r="K1783" s="13" t="s">
        <v>303</v>
      </c>
      <c r="L1783" s="13" t="s">
        <v>2321</v>
      </c>
      <c r="M1783" s="6" t="s">
        <v>188</v>
      </c>
      <c r="N1783" s="6" t="s">
        <v>188</v>
      </c>
      <c r="O1783" s="6" t="s">
        <v>190</v>
      </c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</row>
    <row r="1784">
      <c r="A1784" s="12">
        <v>48.0</v>
      </c>
      <c r="B1784" s="7" t="s">
        <v>569</v>
      </c>
      <c r="C1784" s="7" t="s">
        <v>1435</v>
      </c>
      <c r="I1784" s="10" t="s">
        <v>2007</v>
      </c>
      <c r="J1784" s="13" t="s">
        <v>1573</v>
      </c>
      <c r="K1784" s="13" t="s">
        <v>303</v>
      </c>
      <c r="L1784" s="13" t="s">
        <v>2318</v>
      </c>
      <c r="M1784" s="6" t="s">
        <v>188</v>
      </c>
      <c r="N1784" s="6" t="s">
        <v>188</v>
      </c>
      <c r="O1784" s="6" t="s">
        <v>190</v>
      </c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</row>
    <row r="1785">
      <c r="A1785" s="12">
        <v>48.0</v>
      </c>
      <c r="B1785" s="7" t="s">
        <v>569</v>
      </c>
      <c r="C1785" s="7" t="s">
        <v>1435</v>
      </c>
      <c r="I1785" s="10" t="s">
        <v>2322</v>
      </c>
      <c r="J1785" s="13" t="s">
        <v>1578</v>
      </c>
      <c r="K1785" s="13" t="s">
        <v>303</v>
      </c>
      <c r="L1785" s="13" t="s">
        <v>2323</v>
      </c>
      <c r="M1785" s="6" t="s">
        <v>188</v>
      </c>
      <c r="N1785" s="6" t="s">
        <v>188</v>
      </c>
      <c r="O1785" s="6" t="s">
        <v>190</v>
      </c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</row>
    <row r="1786">
      <c r="A1786" s="12">
        <v>48.0</v>
      </c>
      <c r="B1786" s="7" t="s">
        <v>569</v>
      </c>
      <c r="C1786" s="7" t="s">
        <v>1435</v>
      </c>
      <c r="I1786" s="10" t="s">
        <v>1336</v>
      </c>
      <c r="J1786" s="13" t="s">
        <v>1581</v>
      </c>
      <c r="K1786" s="13" t="s">
        <v>303</v>
      </c>
      <c r="L1786" s="13" t="s">
        <v>2318</v>
      </c>
      <c r="M1786" s="6" t="s">
        <v>188</v>
      </c>
      <c r="N1786" s="6" t="s">
        <v>188</v>
      </c>
      <c r="O1786" s="6" t="s">
        <v>190</v>
      </c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</row>
    <row r="1787">
      <c r="A1787" s="12">
        <v>48.0</v>
      </c>
      <c r="B1787" s="7" t="s">
        <v>569</v>
      </c>
      <c r="C1787" s="7" t="s">
        <v>1435</v>
      </c>
      <c r="I1787" s="10" t="s">
        <v>1521</v>
      </c>
      <c r="J1787" s="13" t="s">
        <v>1573</v>
      </c>
      <c r="K1787" s="13" t="s">
        <v>303</v>
      </c>
      <c r="L1787" s="13" t="s">
        <v>2318</v>
      </c>
      <c r="M1787" s="6" t="s">
        <v>188</v>
      </c>
      <c r="N1787" s="6" t="s">
        <v>188</v>
      </c>
      <c r="O1787" s="6" t="s">
        <v>190</v>
      </c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</row>
    <row r="1788">
      <c r="A1788" s="12">
        <v>48.0</v>
      </c>
      <c r="B1788" s="7" t="s">
        <v>569</v>
      </c>
      <c r="C1788" s="7" t="s">
        <v>1435</v>
      </c>
      <c r="I1788" s="10" t="s">
        <v>1264</v>
      </c>
      <c r="J1788" s="13" t="s">
        <v>1578</v>
      </c>
      <c r="K1788" s="13" t="s">
        <v>303</v>
      </c>
      <c r="L1788" s="13" t="s">
        <v>2318</v>
      </c>
      <c r="M1788" s="6" t="s">
        <v>188</v>
      </c>
      <c r="N1788" s="6" t="s">
        <v>188</v>
      </c>
      <c r="O1788" s="6" t="s">
        <v>190</v>
      </c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</row>
    <row r="1789">
      <c r="A1789" s="12">
        <v>48.0</v>
      </c>
      <c r="B1789" s="7" t="s">
        <v>569</v>
      </c>
      <c r="C1789" s="7" t="s">
        <v>1435</v>
      </c>
      <c r="I1789" s="10" t="s">
        <v>2063</v>
      </c>
      <c r="J1789" s="13" t="s">
        <v>1581</v>
      </c>
      <c r="K1789" s="13" t="s">
        <v>303</v>
      </c>
      <c r="L1789" s="13" t="s">
        <v>2324</v>
      </c>
      <c r="M1789" s="6" t="s">
        <v>188</v>
      </c>
      <c r="N1789" s="6" t="s">
        <v>188</v>
      </c>
      <c r="O1789" s="6" t="s">
        <v>190</v>
      </c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</row>
    <row r="1790">
      <c r="A1790" s="12">
        <v>48.0</v>
      </c>
      <c r="B1790" s="7" t="s">
        <v>569</v>
      </c>
      <c r="C1790" s="7" t="s">
        <v>1435</v>
      </c>
      <c r="I1790" s="10" t="s">
        <v>1448</v>
      </c>
      <c r="J1790" s="13" t="s">
        <v>1573</v>
      </c>
      <c r="K1790" s="13" t="s">
        <v>303</v>
      </c>
      <c r="L1790" s="13" t="s">
        <v>2323</v>
      </c>
      <c r="M1790" s="6" t="s">
        <v>188</v>
      </c>
      <c r="N1790" s="6" t="s">
        <v>188</v>
      </c>
      <c r="O1790" s="6" t="s">
        <v>190</v>
      </c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</row>
    <row r="1791">
      <c r="A1791" s="12">
        <v>48.0</v>
      </c>
      <c r="B1791" s="7" t="s">
        <v>569</v>
      </c>
      <c r="C1791" s="7" t="s">
        <v>1435</v>
      </c>
      <c r="I1791" s="10" t="s">
        <v>1544</v>
      </c>
      <c r="J1791" s="13" t="s">
        <v>1578</v>
      </c>
      <c r="K1791" s="13" t="s">
        <v>303</v>
      </c>
      <c r="L1791" s="13" t="s">
        <v>2324</v>
      </c>
      <c r="M1791" s="6" t="s">
        <v>188</v>
      </c>
      <c r="N1791" s="6" t="s">
        <v>188</v>
      </c>
      <c r="O1791" s="6" t="s">
        <v>190</v>
      </c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</row>
    <row r="1792">
      <c r="A1792" s="12">
        <v>48.0</v>
      </c>
      <c r="B1792" s="7" t="s">
        <v>569</v>
      </c>
      <c r="C1792" s="7" t="s">
        <v>1435</v>
      </c>
      <c r="I1792" s="10" t="s">
        <v>1519</v>
      </c>
      <c r="J1792" s="13" t="s">
        <v>1581</v>
      </c>
      <c r="K1792" s="13" t="s">
        <v>303</v>
      </c>
      <c r="L1792" s="13" t="s">
        <v>2323</v>
      </c>
      <c r="M1792" s="6" t="s">
        <v>188</v>
      </c>
      <c r="N1792" s="6" t="s">
        <v>188</v>
      </c>
      <c r="O1792" s="6" t="s">
        <v>190</v>
      </c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</row>
    <row r="1793">
      <c r="A1793" s="12">
        <v>48.0</v>
      </c>
      <c r="B1793" s="7" t="s">
        <v>569</v>
      </c>
      <c r="C1793" s="7" t="s">
        <v>1435</v>
      </c>
      <c r="I1793" s="10" t="s">
        <v>1514</v>
      </c>
      <c r="J1793" s="13" t="s">
        <v>1573</v>
      </c>
      <c r="K1793" s="13" t="s">
        <v>303</v>
      </c>
      <c r="L1793" s="13" t="s">
        <v>2318</v>
      </c>
      <c r="M1793" s="6" t="s">
        <v>188</v>
      </c>
      <c r="N1793" s="6" t="s">
        <v>188</v>
      </c>
      <c r="O1793" s="6" t="s">
        <v>190</v>
      </c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</row>
    <row r="1794">
      <c r="A1794" s="12">
        <v>48.0</v>
      </c>
      <c r="B1794" s="7" t="s">
        <v>569</v>
      </c>
      <c r="C1794" s="7" t="s">
        <v>1435</v>
      </c>
      <c r="I1794" s="10" t="s">
        <v>2066</v>
      </c>
      <c r="J1794" s="13" t="s">
        <v>1578</v>
      </c>
      <c r="K1794" s="13" t="s">
        <v>303</v>
      </c>
      <c r="L1794" s="13" t="s">
        <v>2318</v>
      </c>
      <c r="M1794" s="6" t="s">
        <v>188</v>
      </c>
      <c r="N1794" s="6" t="s">
        <v>188</v>
      </c>
      <c r="O1794" s="6" t="s">
        <v>190</v>
      </c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</row>
    <row r="1795">
      <c r="A1795" s="12">
        <v>48.0</v>
      </c>
      <c r="B1795" s="7" t="s">
        <v>569</v>
      </c>
      <c r="C1795" s="7" t="s">
        <v>1435</v>
      </c>
      <c r="I1795" s="10" t="s">
        <v>1452</v>
      </c>
      <c r="J1795" s="13" t="s">
        <v>1581</v>
      </c>
      <c r="K1795" s="13" t="s">
        <v>303</v>
      </c>
      <c r="L1795" s="13" t="s">
        <v>2318</v>
      </c>
      <c r="M1795" s="6" t="s">
        <v>188</v>
      </c>
      <c r="N1795" s="6" t="s">
        <v>188</v>
      </c>
      <c r="O1795" s="6" t="s">
        <v>190</v>
      </c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</row>
    <row r="1796">
      <c r="A1796" s="12">
        <v>48.0</v>
      </c>
      <c r="B1796" s="7" t="s">
        <v>569</v>
      </c>
      <c r="C1796" s="7" t="s">
        <v>1435</v>
      </c>
      <c r="I1796" s="10" t="s">
        <v>2278</v>
      </c>
      <c r="J1796" s="13" t="s">
        <v>1573</v>
      </c>
      <c r="K1796" s="13" t="s">
        <v>303</v>
      </c>
      <c r="L1796" s="13" t="s">
        <v>2323</v>
      </c>
      <c r="M1796" s="6" t="s">
        <v>188</v>
      </c>
      <c r="N1796" s="6" t="s">
        <v>188</v>
      </c>
      <c r="O1796" s="6" t="s">
        <v>190</v>
      </c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</row>
    <row r="1797">
      <c r="A1797" s="12">
        <v>48.0</v>
      </c>
      <c r="B1797" s="7" t="s">
        <v>569</v>
      </c>
      <c r="C1797" s="7" t="s">
        <v>1435</v>
      </c>
      <c r="I1797" s="10" t="s">
        <v>1540</v>
      </c>
      <c r="J1797" s="13" t="s">
        <v>1578</v>
      </c>
      <c r="K1797" s="13" t="s">
        <v>303</v>
      </c>
      <c r="L1797" s="13" t="s">
        <v>2324</v>
      </c>
      <c r="M1797" s="6" t="s">
        <v>188</v>
      </c>
      <c r="N1797" s="6" t="s">
        <v>188</v>
      </c>
      <c r="O1797" s="6" t="s">
        <v>190</v>
      </c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</row>
    <row r="1798">
      <c r="A1798" s="12">
        <v>48.0</v>
      </c>
      <c r="B1798" s="7" t="s">
        <v>569</v>
      </c>
      <c r="C1798" s="7" t="s">
        <v>1435</v>
      </c>
      <c r="I1798" s="10" t="s">
        <v>2264</v>
      </c>
      <c r="J1798" s="13" t="s">
        <v>1581</v>
      </c>
      <c r="K1798" s="13" t="s">
        <v>303</v>
      </c>
      <c r="L1798" s="13" t="s">
        <v>2324</v>
      </c>
      <c r="M1798" s="6" t="s">
        <v>188</v>
      </c>
      <c r="N1798" s="6" t="s">
        <v>188</v>
      </c>
      <c r="O1798" s="6" t="s">
        <v>190</v>
      </c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</row>
    <row r="1799">
      <c r="A1799" s="12">
        <v>48.0</v>
      </c>
      <c r="B1799" s="7" t="s">
        <v>569</v>
      </c>
      <c r="C1799" s="7" t="s">
        <v>1435</v>
      </c>
      <c r="I1799" s="10" t="s">
        <v>2286</v>
      </c>
      <c r="J1799" s="13" t="s">
        <v>1573</v>
      </c>
      <c r="K1799" s="13" t="s">
        <v>303</v>
      </c>
      <c r="L1799" s="13" t="s">
        <v>2323</v>
      </c>
      <c r="M1799" s="6" t="s">
        <v>188</v>
      </c>
      <c r="N1799" s="6" t="s">
        <v>188</v>
      </c>
      <c r="O1799" s="6" t="s">
        <v>190</v>
      </c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</row>
    <row r="1800">
      <c r="A1800" s="12">
        <v>48.0</v>
      </c>
      <c r="B1800" s="7" t="s">
        <v>569</v>
      </c>
      <c r="C1800" s="7" t="s">
        <v>1435</v>
      </c>
      <c r="I1800" s="10" t="s">
        <v>2325</v>
      </c>
      <c r="J1800" s="13" t="s">
        <v>1578</v>
      </c>
      <c r="K1800" s="13" t="s">
        <v>303</v>
      </c>
      <c r="L1800" s="13" t="s">
        <v>2318</v>
      </c>
      <c r="M1800" s="6" t="s">
        <v>188</v>
      </c>
      <c r="N1800" s="6" t="s">
        <v>188</v>
      </c>
      <c r="O1800" s="6" t="s">
        <v>190</v>
      </c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</row>
    <row r="1801">
      <c r="A1801" s="12">
        <v>48.0</v>
      </c>
      <c r="B1801" s="7" t="s">
        <v>569</v>
      </c>
      <c r="C1801" s="7" t="s">
        <v>1435</v>
      </c>
      <c r="I1801" s="10" t="s">
        <v>2227</v>
      </c>
      <c r="J1801" s="13" t="s">
        <v>1581</v>
      </c>
      <c r="K1801" s="13" t="s">
        <v>303</v>
      </c>
      <c r="L1801" s="13" t="s">
        <v>2318</v>
      </c>
      <c r="M1801" s="6" t="s">
        <v>188</v>
      </c>
      <c r="N1801" s="6" t="s">
        <v>188</v>
      </c>
      <c r="O1801" s="6" t="s">
        <v>190</v>
      </c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</row>
    <row r="1802">
      <c r="A1802" s="12">
        <v>49.0</v>
      </c>
      <c r="B1802" s="7" t="s">
        <v>576</v>
      </c>
      <c r="C1802" s="7" t="s">
        <v>1435</v>
      </c>
      <c r="D1802" s="26">
        <f>IF(COUNTIF($B$2:$B1802,$B1802)&gt;1,"",COUNTIF($B$2:$B$3400,$B1802))</f>
        <v>30</v>
      </c>
      <c r="E1802" s="26">
        <f>IF(COUNTIF($B$2:$B1802,$B1802)&gt;1,"",COUNTIFS($B$2:$B$3400,$B1802,$K$2:$K$3400,"PHÙ HỢP CAO"))</f>
        <v>2</v>
      </c>
      <c r="F1802" s="26">
        <f>IF(COUNTIF($B$2:$B1802,$B1802)&gt;1,"",COUNTIFS($B$2:$B$3400,$B1802,$K$2:$K$3400,"CÓ THỂ ĐI"))</f>
        <v>3</v>
      </c>
      <c r="G1802" s="26">
        <f>IF(COUNTIF($B$2:$B1802,$B1802)&gt;1,"",COUNTIFS($B$2:$B$3400,$B1802,$K$2:$K$3400,"CẦN SOÁT"))</f>
        <v>25</v>
      </c>
      <c r="H1802" s="27" t="str">
        <f>IFERROR(__xludf.DUMMYFUNCTION("IF(COUNTIF($B$2:$B1802,$B1802)&gt;1,"""",IFERROR(TEXTJOIN(CHAR(10),TRUE,BYROW(QUERY({$B$2:$B$3400,$J$2:$J$3400},""select Col2, count(Col2) where Col1 = '""&amp;$B1802&amp;""' group by Col2 order by count(Col2) desc label count(Col2) ''"",0),LAMBDA(r,INDEX(r,1,1)&amp;"" "&amp;"– ""&amp;INDEX(r,1,2)&amp;"" link""))),""""))"),"đổi USD ở đâu – 15 link
đổi tiền đô ở đâu – 15 link")</f>
        <v>đổi USD ở đâu – 15 link
đổi tiền đô ở đâu – 15 link</v>
      </c>
      <c r="I1802" s="10" t="s">
        <v>1451</v>
      </c>
      <c r="J1802" s="13" t="s">
        <v>1586</v>
      </c>
      <c r="K1802" s="13" t="s">
        <v>184</v>
      </c>
      <c r="L1802" s="13" t="s">
        <v>2326</v>
      </c>
      <c r="M1802" s="6" t="s">
        <v>188</v>
      </c>
      <c r="N1802" s="6" t="s">
        <v>188</v>
      </c>
      <c r="O1802" s="6" t="s">
        <v>190</v>
      </c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</row>
    <row r="1803">
      <c r="A1803" s="12">
        <v>49.0</v>
      </c>
      <c r="B1803" s="7" t="s">
        <v>576</v>
      </c>
      <c r="C1803" s="7" t="s">
        <v>1435</v>
      </c>
      <c r="I1803" s="10" t="s">
        <v>1519</v>
      </c>
      <c r="J1803" s="13" t="s">
        <v>1588</v>
      </c>
      <c r="K1803" s="13" t="s">
        <v>184</v>
      </c>
      <c r="L1803" s="13" t="s">
        <v>2327</v>
      </c>
      <c r="M1803" s="6" t="s">
        <v>188</v>
      </c>
      <c r="N1803" s="6" t="s">
        <v>188</v>
      </c>
      <c r="O1803" s="6" t="s">
        <v>190</v>
      </c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</row>
    <row r="1804">
      <c r="A1804" s="12">
        <v>49.0</v>
      </c>
      <c r="B1804" s="7" t="s">
        <v>576</v>
      </c>
      <c r="C1804" s="7" t="s">
        <v>1435</v>
      </c>
      <c r="I1804" s="10" t="s">
        <v>1376</v>
      </c>
      <c r="J1804" s="13" t="s">
        <v>1586</v>
      </c>
      <c r="K1804" s="13" t="s">
        <v>283</v>
      </c>
      <c r="L1804" s="13" t="s">
        <v>2328</v>
      </c>
      <c r="M1804" s="6" t="s">
        <v>188</v>
      </c>
      <c r="N1804" s="6" t="s">
        <v>188</v>
      </c>
      <c r="O1804" s="6" t="s">
        <v>190</v>
      </c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</row>
    <row r="1805">
      <c r="A1805" s="12">
        <v>49.0</v>
      </c>
      <c r="B1805" s="7" t="s">
        <v>576</v>
      </c>
      <c r="C1805" s="7" t="s">
        <v>1435</v>
      </c>
      <c r="I1805" s="10" t="s">
        <v>1540</v>
      </c>
      <c r="J1805" s="13" t="s">
        <v>1588</v>
      </c>
      <c r="K1805" s="13" t="s">
        <v>283</v>
      </c>
      <c r="L1805" s="13" t="s">
        <v>2329</v>
      </c>
      <c r="M1805" s="6" t="s">
        <v>188</v>
      </c>
      <c r="N1805" s="6" t="s">
        <v>188</v>
      </c>
      <c r="O1805" s="6" t="s">
        <v>190</v>
      </c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</row>
    <row r="1806">
      <c r="A1806" s="12">
        <v>49.0</v>
      </c>
      <c r="B1806" s="7" t="s">
        <v>576</v>
      </c>
      <c r="C1806" s="7" t="s">
        <v>1435</v>
      </c>
      <c r="I1806" s="10" t="s">
        <v>565</v>
      </c>
      <c r="J1806" s="13" t="s">
        <v>1586</v>
      </c>
      <c r="K1806" s="13" t="s">
        <v>283</v>
      </c>
      <c r="L1806" s="13" t="s">
        <v>2330</v>
      </c>
      <c r="M1806" s="6" t="s">
        <v>188</v>
      </c>
      <c r="N1806" s="6" t="s">
        <v>188</v>
      </c>
      <c r="O1806" s="6" t="s">
        <v>190</v>
      </c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</row>
    <row r="1807">
      <c r="A1807" s="12">
        <v>49.0</v>
      </c>
      <c r="B1807" s="7" t="s">
        <v>576</v>
      </c>
      <c r="C1807" s="7" t="s">
        <v>1435</v>
      </c>
      <c r="I1807" s="10" t="s">
        <v>1360</v>
      </c>
      <c r="J1807" s="13" t="s">
        <v>1588</v>
      </c>
      <c r="K1807" s="13" t="s">
        <v>303</v>
      </c>
      <c r="L1807" s="13" t="s">
        <v>2331</v>
      </c>
      <c r="M1807" s="6" t="s">
        <v>188</v>
      </c>
      <c r="N1807" s="6" t="s">
        <v>188</v>
      </c>
      <c r="O1807" s="6" t="s">
        <v>190</v>
      </c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</row>
    <row r="1808">
      <c r="A1808" s="12">
        <v>49.0</v>
      </c>
      <c r="B1808" s="7" t="s">
        <v>576</v>
      </c>
      <c r="C1808" s="7" t="s">
        <v>1435</v>
      </c>
      <c r="I1808" s="10" t="s">
        <v>1448</v>
      </c>
      <c r="J1808" s="13" t="s">
        <v>1586</v>
      </c>
      <c r="K1808" s="13" t="s">
        <v>303</v>
      </c>
      <c r="L1808" s="13" t="s">
        <v>2331</v>
      </c>
      <c r="M1808" s="6" t="s">
        <v>188</v>
      </c>
      <c r="N1808" s="6" t="s">
        <v>188</v>
      </c>
      <c r="O1808" s="6" t="s">
        <v>190</v>
      </c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</row>
    <row r="1809">
      <c r="A1809" s="12">
        <v>49.0</v>
      </c>
      <c r="B1809" s="7" t="s">
        <v>576</v>
      </c>
      <c r="C1809" s="7" t="s">
        <v>1435</v>
      </c>
      <c r="I1809" s="10" t="s">
        <v>1514</v>
      </c>
      <c r="J1809" s="13" t="s">
        <v>1588</v>
      </c>
      <c r="K1809" s="13" t="s">
        <v>303</v>
      </c>
      <c r="L1809" s="13" t="s">
        <v>2331</v>
      </c>
      <c r="M1809" s="6" t="s">
        <v>188</v>
      </c>
      <c r="N1809" s="6" t="s">
        <v>188</v>
      </c>
      <c r="O1809" s="6" t="s">
        <v>190</v>
      </c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</row>
    <row r="1810">
      <c r="A1810" s="12">
        <v>49.0</v>
      </c>
      <c r="B1810" s="7" t="s">
        <v>576</v>
      </c>
      <c r="C1810" s="7" t="s">
        <v>1435</v>
      </c>
      <c r="I1810" s="10" t="s">
        <v>1096</v>
      </c>
      <c r="J1810" s="13" t="s">
        <v>1586</v>
      </c>
      <c r="K1810" s="13" t="s">
        <v>303</v>
      </c>
      <c r="L1810" s="13" t="s">
        <v>2331</v>
      </c>
      <c r="M1810" s="6" t="s">
        <v>188</v>
      </c>
      <c r="N1810" s="6" t="s">
        <v>188</v>
      </c>
      <c r="O1810" s="6" t="s">
        <v>190</v>
      </c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</row>
    <row r="1811">
      <c r="A1811" s="12">
        <v>49.0</v>
      </c>
      <c r="B1811" s="7" t="s">
        <v>576</v>
      </c>
      <c r="C1811" s="7" t="s">
        <v>1435</v>
      </c>
      <c r="I1811" s="10" t="s">
        <v>1459</v>
      </c>
      <c r="J1811" s="13" t="s">
        <v>1588</v>
      </c>
      <c r="K1811" s="13" t="s">
        <v>303</v>
      </c>
      <c r="L1811" s="13" t="s">
        <v>2305</v>
      </c>
      <c r="M1811" s="6" t="s">
        <v>188</v>
      </c>
      <c r="N1811" s="6" t="s">
        <v>188</v>
      </c>
      <c r="O1811" s="6" t="s">
        <v>190</v>
      </c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</row>
    <row r="1812">
      <c r="A1812" s="12">
        <v>49.0</v>
      </c>
      <c r="B1812" s="7" t="s">
        <v>576</v>
      </c>
      <c r="C1812" s="7" t="s">
        <v>1435</v>
      </c>
      <c r="I1812" s="10" t="s">
        <v>2236</v>
      </c>
      <c r="J1812" s="13" t="s">
        <v>1586</v>
      </c>
      <c r="K1812" s="13" t="s">
        <v>303</v>
      </c>
      <c r="L1812" s="13" t="s">
        <v>2237</v>
      </c>
      <c r="M1812" s="6" t="s">
        <v>188</v>
      </c>
      <c r="N1812" s="6" t="s">
        <v>188</v>
      </c>
      <c r="O1812" s="6" t="s">
        <v>190</v>
      </c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</row>
    <row r="1813">
      <c r="A1813" s="12">
        <v>49.0</v>
      </c>
      <c r="B1813" s="7" t="s">
        <v>576</v>
      </c>
      <c r="C1813" s="7" t="s">
        <v>1435</v>
      </c>
      <c r="I1813" s="10" t="s">
        <v>2286</v>
      </c>
      <c r="J1813" s="13" t="s">
        <v>1588</v>
      </c>
      <c r="K1813" s="13" t="s">
        <v>303</v>
      </c>
      <c r="L1813" s="13" t="s">
        <v>2332</v>
      </c>
      <c r="M1813" s="6" t="s">
        <v>188</v>
      </c>
      <c r="N1813" s="6" t="s">
        <v>188</v>
      </c>
      <c r="O1813" s="6" t="s">
        <v>190</v>
      </c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</row>
    <row r="1814">
      <c r="A1814" s="12">
        <v>49.0</v>
      </c>
      <c r="B1814" s="7" t="s">
        <v>576</v>
      </c>
      <c r="C1814" s="7" t="s">
        <v>1435</v>
      </c>
      <c r="I1814" s="10" t="s">
        <v>2213</v>
      </c>
      <c r="J1814" s="13" t="s">
        <v>1586</v>
      </c>
      <c r="K1814" s="13" t="s">
        <v>303</v>
      </c>
      <c r="L1814" s="13" t="s">
        <v>2331</v>
      </c>
      <c r="M1814" s="6" t="s">
        <v>188</v>
      </c>
      <c r="N1814" s="6" t="s">
        <v>188</v>
      </c>
      <c r="O1814" s="6" t="s">
        <v>190</v>
      </c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</row>
    <row r="1815">
      <c r="A1815" s="12">
        <v>49.0</v>
      </c>
      <c r="B1815" s="7" t="s">
        <v>576</v>
      </c>
      <c r="C1815" s="7" t="s">
        <v>1435</v>
      </c>
      <c r="I1815" s="10" t="s">
        <v>2325</v>
      </c>
      <c r="J1815" s="13" t="s">
        <v>1588</v>
      </c>
      <c r="K1815" s="13" t="s">
        <v>303</v>
      </c>
      <c r="L1815" s="13" t="s">
        <v>2332</v>
      </c>
      <c r="M1815" s="6" t="s">
        <v>188</v>
      </c>
      <c r="N1815" s="6" t="s">
        <v>188</v>
      </c>
      <c r="O1815" s="6" t="s">
        <v>190</v>
      </c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</row>
    <row r="1816">
      <c r="A1816" s="12">
        <v>49.0</v>
      </c>
      <c r="B1816" s="7" t="s">
        <v>576</v>
      </c>
      <c r="C1816" s="7" t="s">
        <v>1435</v>
      </c>
      <c r="I1816" s="10" t="s">
        <v>2214</v>
      </c>
      <c r="J1816" s="13" t="s">
        <v>1586</v>
      </c>
      <c r="K1816" s="13" t="s">
        <v>303</v>
      </c>
      <c r="L1816" s="13" t="s">
        <v>2333</v>
      </c>
      <c r="M1816" s="6" t="s">
        <v>188</v>
      </c>
      <c r="N1816" s="6" t="s">
        <v>188</v>
      </c>
      <c r="O1816" s="6" t="s">
        <v>190</v>
      </c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</row>
    <row r="1817">
      <c r="A1817" s="12">
        <v>49.0</v>
      </c>
      <c r="B1817" s="7" t="s">
        <v>576</v>
      </c>
      <c r="C1817" s="7" t="s">
        <v>1435</v>
      </c>
      <c r="I1817" s="10" t="s">
        <v>2227</v>
      </c>
      <c r="J1817" s="13" t="s">
        <v>1588</v>
      </c>
      <c r="K1817" s="13" t="s">
        <v>303</v>
      </c>
      <c r="L1817" s="13" t="s">
        <v>2332</v>
      </c>
      <c r="M1817" s="6" t="s">
        <v>188</v>
      </c>
      <c r="N1817" s="6" t="s">
        <v>188</v>
      </c>
      <c r="O1817" s="6" t="s">
        <v>190</v>
      </c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</row>
    <row r="1818">
      <c r="A1818" s="12">
        <v>49.0</v>
      </c>
      <c r="B1818" s="7" t="s">
        <v>576</v>
      </c>
      <c r="C1818" s="7" t="s">
        <v>1435</v>
      </c>
      <c r="I1818" s="10" t="s">
        <v>754</v>
      </c>
      <c r="J1818" s="13" t="s">
        <v>1586</v>
      </c>
      <c r="K1818" s="13" t="s">
        <v>303</v>
      </c>
      <c r="L1818" s="13" t="s">
        <v>2331</v>
      </c>
      <c r="M1818" s="6" t="s">
        <v>188</v>
      </c>
      <c r="N1818" s="6" t="s">
        <v>188</v>
      </c>
      <c r="O1818" s="6" t="s">
        <v>190</v>
      </c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</row>
    <row r="1819">
      <c r="A1819" s="12">
        <v>49.0</v>
      </c>
      <c r="B1819" s="7" t="s">
        <v>576</v>
      </c>
      <c r="C1819" s="7" t="s">
        <v>1435</v>
      </c>
      <c r="I1819" s="10" t="s">
        <v>2334</v>
      </c>
      <c r="J1819" s="13" t="s">
        <v>1588</v>
      </c>
      <c r="K1819" s="13" t="s">
        <v>303</v>
      </c>
      <c r="L1819" s="13" t="s">
        <v>2332</v>
      </c>
      <c r="M1819" s="6" t="s">
        <v>188</v>
      </c>
      <c r="N1819" s="6" t="s">
        <v>188</v>
      </c>
      <c r="O1819" s="6" t="s">
        <v>190</v>
      </c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</row>
    <row r="1820">
      <c r="A1820" s="12">
        <v>49.0</v>
      </c>
      <c r="B1820" s="7" t="s">
        <v>576</v>
      </c>
      <c r="C1820" s="7" t="s">
        <v>1435</v>
      </c>
      <c r="I1820" s="10" t="s">
        <v>2216</v>
      </c>
      <c r="J1820" s="13" t="s">
        <v>1586</v>
      </c>
      <c r="K1820" s="13" t="s">
        <v>303</v>
      </c>
      <c r="L1820" s="13" t="s">
        <v>2331</v>
      </c>
      <c r="M1820" s="6" t="s">
        <v>188</v>
      </c>
      <c r="N1820" s="6" t="s">
        <v>188</v>
      </c>
      <c r="O1820" s="6" t="s">
        <v>190</v>
      </c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</row>
    <row r="1821">
      <c r="A1821" s="12">
        <v>49.0</v>
      </c>
      <c r="B1821" s="7" t="s">
        <v>576</v>
      </c>
      <c r="C1821" s="7" t="s">
        <v>1435</v>
      </c>
      <c r="I1821" s="10" t="s">
        <v>1503</v>
      </c>
      <c r="J1821" s="13" t="s">
        <v>1588</v>
      </c>
      <c r="K1821" s="13" t="s">
        <v>303</v>
      </c>
      <c r="L1821" s="13" t="s">
        <v>2332</v>
      </c>
      <c r="M1821" s="6" t="s">
        <v>188</v>
      </c>
      <c r="N1821" s="6" t="s">
        <v>188</v>
      </c>
      <c r="O1821" s="6" t="s">
        <v>190</v>
      </c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</row>
    <row r="1822">
      <c r="A1822" s="12">
        <v>49.0</v>
      </c>
      <c r="B1822" s="7" t="s">
        <v>576</v>
      </c>
      <c r="C1822" s="7" t="s">
        <v>1435</v>
      </c>
      <c r="I1822" s="10" t="s">
        <v>1466</v>
      </c>
      <c r="J1822" s="13" t="s">
        <v>1586</v>
      </c>
      <c r="K1822" s="13" t="s">
        <v>303</v>
      </c>
      <c r="L1822" s="13" t="s">
        <v>2335</v>
      </c>
      <c r="M1822" s="6" t="s">
        <v>188</v>
      </c>
      <c r="N1822" s="6" t="s">
        <v>188</v>
      </c>
      <c r="O1822" s="6" t="s">
        <v>190</v>
      </c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</row>
    <row r="1823">
      <c r="A1823" s="12">
        <v>49.0</v>
      </c>
      <c r="B1823" s="7" t="s">
        <v>576</v>
      </c>
      <c r="C1823" s="7" t="s">
        <v>1435</v>
      </c>
      <c r="I1823" s="10" t="s">
        <v>2219</v>
      </c>
      <c r="J1823" s="13" t="s">
        <v>1588</v>
      </c>
      <c r="K1823" s="13" t="s">
        <v>303</v>
      </c>
      <c r="L1823" s="13" t="s">
        <v>2336</v>
      </c>
      <c r="M1823" s="6" t="s">
        <v>188</v>
      </c>
      <c r="N1823" s="6" t="s">
        <v>188</v>
      </c>
      <c r="O1823" s="6" t="s">
        <v>190</v>
      </c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</row>
    <row r="1824">
      <c r="A1824" s="12">
        <v>49.0</v>
      </c>
      <c r="B1824" s="7" t="s">
        <v>576</v>
      </c>
      <c r="C1824" s="7" t="s">
        <v>1435</v>
      </c>
      <c r="I1824" s="10" t="s">
        <v>563</v>
      </c>
      <c r="J1824" s="13" t="s">
        <v>1586</v>
      </c>
      <c r="K1824" s="13" t="s">
        <v>303</v>
      </c>
      <c r="L1824" s="13" t="s">
        <v>2337</v>
      </c>
      <c r="M1824" s="6" t="s">
        <v>188</v>
      </c>
      <c r="N1824" s="6" t="s">
        <v>188</v>
      </c>
      <c r="O1824" s="6" t="s">
        <v>190</v>
      </c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</row>
    <row r="1825">
      <c r="A1825" s="12">
        <v>49.0</v>
      </c>
      <c r="B1825" s="7" t="s">
        <v>576</v>
      </c>
      <c r="C1825" s="7" t="s">
        <v>1435</v>
      </c>
      <c r="I1825" s="10" t="s">
        <v>554</v>
      </c>
      <c r="J1825" s="13" t="s">
        <v>1588</v>
      </c>
      <c r="K1825" s="13" t="s">
        <v>303</v>
      </c>
      <c r="L1825" s="13" t="s">
        <v>2337</v>
      </c>
      <c r="M1825" s="6" t="s">
        <v>188</v>
      </c>
      <c r="N1825" s="6" t="s">
        <v>188</v>
      </c>
      <c r="O1825" s="6" t="s">
        <v>190</v>
      </c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</row>
    <row r="1826">
      <c r="A1826" s="12">
        <v>49.0</v>
      </c>
      <c r="B1826" s="7" t="s">
        <v>576</v>
      </c>
      <c r="C1826" s="7" t="s">
        <v>1435</v>
      </c>
      <c r="I1826" s="10" t="s">
        <v>562</v>
      </c>
      <c r="J1826" s="13" t="s">
        <v>1586</v>
      </c>
      <c r="K1826" s="13" t="s">
        <v>303</v>
      </c>
      <c r="L1826" s="13" t="s">
        <v>2332</v>
      </c>
      <c r="M1826" s="6" t="s">
        <v>188</v>
      </c>
      <c r="N1826" s="6" t="s">
        <v>188</v>
      </c>
      <c r="O1826" s="6" t="s">
        <v>190</v>
      </c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</row>
    <row r="1827">
      <c r="A1827" s="12">
        <v>49.0</v>
      </c>
      <c r="B1827" s="7" t="s">
        <v>576</v>
      </c>
      <c r="C1827" s="7" t="s">
        <v>1435</v>
      </c>
      <c r="I1827" s="10" t="s">
        <v>2239</v>
      </c>
      <c r="J1827" s="13" t="s">
        <v>1588</v>
      </c>
      <c r="K1827" s="13" t="s">
        <v>303</v>
      </c>
      <c r="L1827" s="13" t="s">
        <v>2306</v>
      </c>
      <c r="M1827" s="6" t="s">
        <v>188</v>
      </c>
      <c r="N1827" s="6" t="s">
        <v>188</v>
      </c>
      <c r="O1827" s="6" t="s">
        <v>190</v>
      </c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</row>
    <row r="1828">
      <c r="A1828" s="12">
        <v>49.0</v>
      </c>
      <c r="B1828" s="7" t="s">
        <v>576</v>
      </c>
      <c r="C1828" s="7" t="s">
        <v>1435</v>
      </c>
      <c r="I1828" s="10" t="s">
        <v>2270</v>
      </c>
      <c r="J1828" s="13" t="s">
        <v>1586</v>
      </c>
      <c r="K1828" s="13" t="s">
        <v>303</v>
      </c>
      <c r="L1828" s="13" t="s">
        <v>2337</v>
      </c>
      <c r="M1828" s="6" t="s">
        <v>188</v>
      </c>
      <c r="N1828" s="6" t="s">
        <v>188</v>
      </c>
      <c r="O1828" s="6" t="s">
        <v>190</v>
      </c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</row>
    <row r="1829">
      <c r="A1829" s="12">
        <v>49.0</v>
      </c>
      <c r="B1829" s="7" t="s">
        <v>576</v>
      </c>
      <c r="C1829" s="7" t="s">
        <v>1435</v>
      </c>
      <c r="I1829" s="10" t="s">
        <v>1461</v>
      </c>
      <c r="J1829" s="13" t="s">
        <v>1588</v>
      </c>
      <c r="K1829" s="13" t="s">
        <v>303</v>
      </c>
      <c r="L1829" s="13" t="s">
        <v>2338</v>
      </c>
      <c r="M1829" s="6" t="s">
        <v>188</v>
      </c>
      <c r="N1829" s="6" t="s">
        <v>188</v>
      </c>
      <c r="O1829" s="6" t="s">
        <v>190</v>
      </c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</row>
    <row r="1830">
      <c r="A1830" s="12">
        <v>49.0</v>
      </c>
      <c r="B1830" s="7" t="s">
        <v>576</v>
      </c>
      <c r="C1830" s="7" t="s">
        <v>1435</v>
      </c>
      <c r="I1830" s="10" t="s">
        <v>568</v>
      </c>
      <c r="J1830" s="13" t="s">
        <v>1586</v>
      </c>
      <c r="K1830" s="13" t="s">
        <v>303</v>
      </c>
      <c r="L1830" s="13" t="s">
        <v>2335</v>
      </c>
      <c r="M1830" s="6" t="s">
        <v>188</v>
      </c>
      <c r="N1830" s="6" t="s">
        <v>188</v>
      </c>
      <c r="O1830" s="6" t="s">
        <v>190</v>
      </c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</row>
    <row r="1831">
      <c r="A1831" s="12">
        <v>49.0</v>
      </c>
      <c r="B1831" s="7" t="s">
        <v>576</v>
      </c>
      <c r="C1831" s="7" t="s">
        <v>1435</v>
      </c>
      <c r="I1831" s="10" t="s">
        <v>559</v>
      </c>
      <c r="J1831" s="13" t="s">
        <v>1588</v>
      </c>
      <c r="K1831" s="13" t="s">
        <v>303</v>
      </c>
      <c r="L1831" s="13" t="s">
        <v>2337</v>
      </c>
      <c r="M1831" s="6" t="s">
        <v>188</v>
      </c>
      <c r="N1831" s="6" t="s">
        <v>188</v>
      </c>
      <c r="O1831" s="6" t="s">
        <v>190</v>
      </c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</row>
    <row r="1832">
      <c r="A1832" s="12">
        <v>50.0</v>
      </c>
      <c r="B1832" s="7" t="s">
        <v>579</v>
      </c>
      <c r="C1832" s="7" t="s">
        <v>1592</v>
      </c>
      <c r="D1832" s="26">
        <f>IF(COUNTIF($B$2:$B1832,$B1832)&gt;1,"",COUNTIF($B$2:$B$3400,$B1832))</f>
        <v>30</v>
      </c>
      <c r="E1832" s="26">
        <f>IF(COUNTIF($B$2:$B1832,$B1832)&gt;1,"",COUNTIFS($B$2:$B$3400,$B1832,$K$2:$K$3400,"PHÙ HỢP CAO"))</f>
        <v>4</v>
      </c>
      <c r="F1832" s="26">
        <f>IF(COUNTIF($B$2:$B1832,$B1832)&gt;1,"",COUNTIFS($B$2:$B$3400,$B1832,$K$2:$K$3400,"CÓ THỂ ĐI"))</f>
        <v>1</v>
      </c>
      <c r="G1832" s="26">
        <f>IF(COUNTIF($B$2:$B1832,$B1832)&gt;1,"",COUNTIFS($B$2:$B$3400,$B1832,$K$2:$K$3400,"CẦN SOÁT"))</f>
        <v>25</v>
      </c>
      <c r="H1832" s="27" t="str">
        <f>IFERROR(__xludf.DUMMYFUNCTION("IF(COUNTIF($B$2:$B1832,$B1832)&gt;1,"""",IFERROR(TEXTJOIN(CHAR(10),TRUE,BYROW(QUERY({$B$2:$B$3400,$J$2:$J$3400},""select Col2, count(Col2) where Col1 = '""&amp;$B1832&amp;""' group by Col2 order by count(Col2) desc label count(Col2) ''"",0),LAMBDA(r,INDEX(r,1,1)&amp;"" "&amp;"– ""&amp;INDEX(r,1,2)&amp;"" link""))),""""))"),"vay 1 tỷ mỗi tháng trả bao nhiêu – 10 link
vay 1 tỷ trong 20 năm mỗi tháng trả bao nhiêu – 10 link
vay ngân hàng 1 tỷ mỗi tháng trả bao nhiêu – 10 link")</f>
        <v>vay 1 tỷ mỗi tháng trả bao nhiêu – 10 link
vay 1 tỷ trong 20 năm mỗi tháng trả bao nhiêu – 10 link
vay ngân hàng 1 tỷ mỗi tháng trả bao nhiêu – 10 link</v>
      </c>
      <c r="I1832" s="10" t="s">
        <v>1593</v>
      </c>
      <c r="J1832" s="13" t="s">
        <v>1595</v>
      </c>
      <c r="K1832" s="13" t="s">
        <v>184</v>
      </c>
      <c r="L1832" s="13" t="s">
        <v>2339</v>
      </c>
      <c r="M1832" s="6" t="s">
        <v>188</v>
      </c>
      <c r="N1832" s="6" t="s">
        <v>188</v>
      </c>
      <c r="O1832" s="6" t="s">
        <v>190</v>
      </c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</row>
    <row r="1833">
      <c r="A1833" s="12">
        <v>50.0</v>
      </c>
      <c r="B1833" s="7" t="s">
        <v>579</v>
      </c>
      <c r="C1833" s="7" t="s">
        <v>1592</v>
      </c>
      <c r="I1833" s="10" t="s">
        <v>1596</v>
      </c>
      <c r="J1833" s="13" t="s">
        <v>1598</v>
      </c>
      <c r="K1833" s="13" t="s">
        <v>184</v>
      </c>
      <c r="L1833" s="13" t="s">
        <v>2340</v>
      </c>
      <c r="M1833" s="6" t="s">
        <v>188</v>
      </c>
      <c r="N1833" s="6" t="s">
        <v>188</v>
      </c>
      <c r="O1833" s="6" t="s">
        <v>190</v>
      </c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</row>
    <row r="1834">
      <c r="A1834" s="12">
        <v>50.0</v>
      </c>
      <c r="B1834" s="7" t="s">
        <v>579</v>
      </c>
      <c r="C1834" s="7" t="s">
        <v>1592</v>
      </c>
      <c r="I1834" s="10" t="s">
        <v>1599</v>
      </c>
      <c r="J1834" s="13" t="s">
        <v>1601</v>
      </c>
      <c r="K1834" s="13" t="s">
        <v>184</v>
      </c>
      <c r="L1834" s="13" t="s">
        <v>2341</v>
      </c>
      <c r="M1834" s="6" t="s">
        <v>188</v>
      </c>
      <c r="N1834" s="6" t="s">
        <v>188</v>
      </c>
      <c r="O1834" s="6" t="s">
        <v>190</v>
      </c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</row>
    <row r="1835">
      <c r="A1835" s="12">
        <v>50.0</v>
      </c>
      <c r="B1835" s="7" t="s">
        <v>579</v>
      </c>
      <c r="C1835" s="7" t="s">
        <v>1592</v>
      </c>
      <c r="I1835" s="10" t="s">
        <v>1602</v>
      </c>
      <c r="J1835" s="13" t="s">
        <v>1595</v>
      </c>
      <c r="K1835" s="13" t="s">
        <v>184</v>
      </c>
      <c r="L1835" s="13" t="s">
        <v>2342</v>
      </c>
      <c r="M1835" s="6" t="s">
        <v>188</v>
      </c>
      <c r="N1835" s="6" t="s">
        <v>188</v>
      </c>
      <c r="O1835" s="6" t="s">
        <v>190</v>
      </c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</row>
    <row r="1836">
      <c r="A1836" s="12">
        <v>50.0</v>
      </c>
      <c r="B1836" s="7" t="s">
        <v>579</v>
      </c>
      <c r="C1836" s="7" t="s">
        <v>1592</v>
      </c>
      <c r="I1836" s="10" t="s">
        <v>525</v>
      </c>
      <c r="J1836" s="13" t="s">
        <v>1598</v>
      </c>
      <c r="K1836" s="13" t="s">
        <v>283</v>
      </c>
      <c r="L1836" s="13" t="s">
        <v>2343</v>
      </c>
      <c r="M1836" s="6" t="s">
        <v>188</v>
      </c>
      <c r="N1836" s="6" t="s">
        <v>188</v>
      </c>
      <c r="O1836" s="6" t="s">
        <v>190</v>
      </c>
      <c r="P1836" s="13" t="s">
        <v>2344</v>
      </c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</row>
    <row r="1837">
      <c r="A1837" s="12">
        <v>50.0</v>
      </c>
      <c r="B1837" s="7" t="s">
        <v>579</v>
      </c>
      <c r="C1837" s="7" t="s">
        <v>1592</v>
      </c>
      <c r="I1837" s="10" t="s">
        <v>2345</v>
      </c>
      <c r="J1837" s="13" t="s">
        <v>1601</v>
      </c>
      <c r="K1837" s="13" t="s">
        <v>303</v>
      </c>
      <c r="L1837" s="13" t="s">
        <v>2346</v>
      </c>
      <c r="M1837" s="6" t="s">
        <v>188</v>
      </c>
      <c r="N1837" s="6" t="s">
        <v>188</v>
      </c>
      <c r="O1837" s="6" t="s">
        <v>190</v>
      </c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</row>
    <row r="1838">
      <c r="A1838" s="12">
        <v>50.0</v>
      </c>
      <c r="B1838" s="7" t="s">
        <v>579</v>
      </c>
      <c r="C1838" s="7" t="s">
        <v>1592</v>
      </c>
      <c r="I1838" s="10" t="s">
        <v>387</v>
      </c>
      <c r="J1838" s="13" t="s">
        <v>1595</v>
      </c>
      <c r="K1838" s="13" t="s">
        <v>303</v>
      </c>
      <c r="L1838" s="13" t="s">
        <v>2346</v>
      </c>
      <c r="M1838" s="6" t="s">
        <v>188</v>
      </c>
      <c r="N1838" s="6" t="s">
        <v>188</v>
      </c>
      <c r="O1838" s="6" t="s">
        <v>190</v>
      </c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</row>
    <row r="1839">
      <c r="A1839" s="12">
        <v>50.0</v>
      </c>
      <c r="B1839" s="7" t="s">
        <v>579</v>
      </c>
      <c r="C1839" s="7" t="s">
        <v>1592</v>
      </c>
      <c r="I1839" s="10" t="s">
        <v>481</v>
      </c>
      <c r="J1839" s="13" t="s">
        <v>1598</v>
      </c>
      <c r="K1839" s="13" t="s">
        <v>303</v>
      </c>
      <c r="L1839" s="13" t="s">
        <v>2346</v>
      </c>
      <c r="M1839" s="6" t="s">
        <v>188</v>
      </c>
      <c r="N1839" s="6" t="s">
        <v>188</v>
      </c>
      <c r="O1839" s="6" t="s">
        <v>190</v>
      </c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</row>
    <row r="1840">
      <c r="A1840" s="12">
        <v>50.0</v>
      </c>
      <c r="B1840" s="7" t="s">
        <v>579</v>
      </c>
      <c r="C1840" s="7" t="s">
        <v>1592</v>
      </c>
      <c r="I1840" s="10" t="s">
        <v>197</v>
      </c>
      <c r="J1840" s="13" t="s">
        <v>1601</v>
      </c>
      <c r="K1840" s="13" t="s">
        <v>303</v>
      </c>
      <c r="L1840" s="13" t="s">
        <v>2347</v>
      </c>
      <c r="M1840" s="6" t="s">
        <v>188</v>
      </c>
      <c r="N1840" s="6" t="s">
        <v>188</v>
      </c>
      <c r="O1840" s="6" t="s">
        <v>190</v>
      </c>
      <c r="P1840" s="7"/>
      <c r="Q1840" s="13"/>
      <c r="R1840" s="13"/>
      <c r="S1840" s="13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</row>
    <row r="1841">
      <c r="A1841" s="12">
        <v>50.0</v>
      </c>
      <c r="B1841" s="7" t="s">
        <v>579</v>
      </c>
      <c r="C1841" s="7" t="s">
        <v>1592</v>
      </c>
      <c r="I1841" s="10" t="s">
        <v>1924</v>
      </c>
      <c r="J1841" s="13" t="s">
        <v>1595</v>
      </c>
      <c r="K1841" s="13" t="s">
        <v>303</v>
      </c>
      <c r="L1841" s="13" t="s">
        <v>2346</v>
      </c>
      <c r="M1841" s="6" t="s">
        <v>188</v>
      </c>
      <c r="N1841" s="6" t="s">
        <v>188</v>
      </c>
      <c r="O1841" s="6" t="s">
        <v>190</v>
      </c>
      <c r="P1841" s="7"/>
      <c r="Q1841" s="13"/>
      <c r="R1841" s="13"/>
      <c r="S1841" s="13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</row>
    <row r="1842">
      <c r="A1842" s="12">
        <v>50.0</v>
      </c>
      <c r="B1842" s="7" t="s">
        <v>579</v>
      </c>
      <c r="C1842" s="7" t="s">
        <v>1592</v>
      </c>
      <c r="I1842" s="10" t="s">
        <v>2348</v>
      </c>
      <c r="J1842" s="13" t="s">
        <v>1598</v>
      </c>
      <c r="K1842" s="13" t="s">
        <v>303</v>
      </c>
      <c r="L1842" s="13" t="s">
        <v>2346</v>
      </c>
      <c r="M1842" s="6" t="s">
        <v>188</v>
      </c>
      <c r="N1842" s="6" t="s">
        <v>188</v>
      </c>
      <c r="O1842" s="6" t="s">
        <v>190</v>
      </c>
      <c r="P1842" s="7"/>
      <c r="Q1842" s="13"/>
      <c r="R1842" s="13"/>
      <c r="S1842" s="13"/>
      <c r="T1842" s="6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</row>
    <row r="1843">
      <c r="A1843" s="12">
        <v>50.0</v>
      </c>
      <c r="B1843" s="7" t="s">
        <v>579</v>
      </c>
      <c r="C1843" s="7" t="s">
        <v>1592</v>
      </c>
      <c r="I1843" s="10" t="s">
        <v>445</v>
      </c>
      <c r="J1843" s="13" t="s">
        <v>1601</v>
      </c>
      <c r="K1843" s="13" t="s">
        <v>303</v>
      </c>
      <c r="L1843" s="13" t="s">
        <v>2347</v>
      </c>
      <c r="M1843" s="6" t="s">
        <v>188</v>
      </c>
      <c r="N1843" s="6" t="s">
        <v>188</v>
      </c>
      <c r="O1843" s="6" t="s">
        <v>190</v>
      </c>
      <c r="P1843" s="7"/>
      <c r="Q1843" s="13"/>
      <c r="R1843" s="13"/>
      <c r="S1843" s="13"/>
      <c r="T1843" s="6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</row>
    <row r="1844">
      <c r="A1844" s="12">
        <v>50.0</v>
      </c>
      <c r="B1844" s="7" t="s">
        <v>579</v>
      </c>
      <c r="C1844" s="7" t="s">
        <v>1592</v>
      </c>
      <c r="I1844" s="10" t="s">
        <v>2349</v>
      </c>
      <c r="J1844" s="13" t="s">
        <v>1595</v>
      </c>
      <c r="K1844" s="13" t="s">
        <v>303</v>
      </c>
      <c r="L1844" s="13" t="s">
        <v>2350</v>
      </c>
      <c r="M1844" s="6" t="s">
        <v>188</v>
      </c>
      <c r="N1844" s="6" t="s">
        <v>188</v>
      </c>
      <c r="O1844" s="6" t="s">
        <v>190</v>
      </c>
      <c r="P1844" s="7"/>
      <c r="Q1844" s="13"/>
      <c r="R1844" s="13"/>
      <c r="S1844" s="13"/>
      <c r="T1844" s="6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</row>
    <row r="1845">
      <c r="A1845" s="12">
        <v>50.0</v>
      </c>
      <c r="B1845" s="7" t="s">
        <v>579</v>
      </c>
      <c r="C1845" s="7" t="s">
        <v>1592</v>
      </c>
      <c r="I1845" s="10" t="s">
        <v>1338</v>
      </c>
      <c r="J1845" s="13" t="s">
        <v>1598</v>
      </c>
      <c r="K1845" s="13" t="s">
        <v>303</v>
      </c>
      <c r="L1845" s="13" t="s">
        <v>2346</v>
      </c>
      <c r="M1845" s="6" t="s">
        <v>188</v>
      </c>
      <c r="N1845" s="6" t="s">
        <v>188</v>
      </c>
      <c r="O1845" s="6" t="s">
        <v>190</v>
      </c>
      <c r="P1845" s="7"/>
      <c r="Q1845" s="13"/>
      <c r="R1845" s="13"/>
      <c r="S1845" s="13"/>
      <c r="T1845" s="6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</row>
    <row r="1846">
      <c r="A1846" s="12">
        <v>50.0</v>
      </c>
      <c r="B1846" s="7" t="s">
        <v>579</v>
      </c>
      <c r="C1846" s="7" t="s">
        <v>1592</v>
      </c>
      <c r="I1846" s="10" t="s">
        <v>2019</v>
      </c>
      <c r="J1846" s="13" t="s">
        <v>1601</v>
      </c>
      <c r="K1846" s="13" t="s">
        <v>303</v>
      </c>
      <c r="L1846" s="13" t="s">
        <v>2347</v>
      </c>
      <c r="M1846" s="6" t="s">
        <v>188</v>
      </c>
      <c r="N1846" s="6" t="s">
        <v>188</v>
      </c>
      <c r="O1846" s="6" t="s">
        <v>190</v>
      </c>
      <c r="P1846" s="7"/>
      <c r="Q1846" s="13"/>
      <c r="R1846" s="13"/>
      <c r="S1846" s="13"/>
      <c r="T1846" s="6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</row>
    <row r="1847">
      <c r="A1847" s="12">
        <v>50.0</v>
      </c>
      <c r="B1847" s="7" t="s">
        <v>579</v>
      </c>
      <c r="C1847" s="7" t="s">
        <v>1592</v>
      </c>
      <c r="I1847" s="10" t="s">
        <v>1699</v>
      </c>
      <c r="J1847" s="13" t="s">
        <v>1595</v>
      </c>
      <c r="K1847" s="13" t="s">
        <v>303</v>
      </c>
      <c r="L1847" s="13" t="s">
        <v>2346</v>
      </c>
      <c r="M1847" s="6" t="s">
        <v>188</v>
      </c>
      <c r="N1847" s="6" t="s">
        <v>188</v>
      </c>
      <c r="O1847" s="6" t="s">
        <v>190</v>
      </c>
      <c r="P1847" s="7"/>
      <c r="Q1847" s="13"/>
      <c r="R1847" s="13"/>
      <c r="S1847" s="13"/>
      <c r="T1847" s="6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</row>
    <row r="1848">
      <c r="A1848" s="12">
        <v>50.0</v>
      </c>
      <c r="B1848" s="7" t="s">
        <v>579</v>
      </c>
      <c r="C1848" s="7" t="s">
        <v>1592</v>
      </c>
      <c r="I1848" s="10" t="s">
        <v>1493</v>
      </c>
      <c r="J1848" s="13" t="s">
        <v>1598</v>
      </c>
      <c r="K1848" s="13" t="s">
        <v>303</v>
      </c>
      <c r="L1848" s="13" t="s">
        <v>2347</v>
      </c>
      <c r="M1848" s="6" t="s">
        <v>188</v>
      </c>
      <c r="N1848" s="6" t="s">
        <v>188</v>
      </c>
      <c r="O1848" s="6" t="s">
        <v>190</v>
      </c>
      <c r="P1848" s="7"/>
      <c r="Q1848" s="13"/>
      <c r="R1848" s="13"/>
      <c r="S1848" s="13"/>
      <c r="T1848" s="6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</row>
    <row r="1849">
      <c r="A1849" s="12">
        <v>50.0</v>
      </c>
      <c r="B1849" s="7" t="s">
        <v>579</v>
      </c>
      <c r="C1849" s="7" t="s">
        <v>1592</v>
      </c>
      <c r="I1849" s="10" t="s">
        <v>2079</v>
      </c>
      <c r="J1849" s="13" t="s">
        <v>1601</v>
      </c>
      <c r="K1849" s="13" t="s">
        <v>303</v>
      </c>
      <c r="L1849" s="13" t="s">
        <v>2346</v>
      </c>
      <c r="M1849" s="6" t="s">
        <v>188</v>
      </c>
      <c r="N1849" s="6" t="s">
        <v>188</v>
      </c>
      <c r="O1849" s="6" t="s">
        <v>190</v>
      </c>
      <c r="P1849" s="7"/>
      <c r="Q1849" s="13"/>
      <c r="R1849" s="13"/>
      <c r="S1849" s="13"/>
      <c r="T1849" s="6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</row>
    <row r="1850">
      <c r="A1850" s="12">
        <v>50.0</v>
      </c>
      <c r="B1850" s="7" t="s">
        <v>579</v>
      </c>
      <c r="C1850" s="7" t="s">
        <v>1592</v>
      </c>
      <c r="I1850" s="10" t="s">
        <v>395</v>
      </c>
      <c r="J1850" s="13" t="s">
        <v>1595</v>
      </c>
      <c r="K1850" s="13" t="s">
        <v>303</v>
      </c>
      <c r="L1850" s="13" t="s">
        <v>2346</v>
      </c>
      <c r="M1850" s="6" t="s">
        <v>188</v>
      </c>
      <c r="N1850" s="6" t="s">
        <v>188</v>
      </c>
      <c r="O1850" s="6" t="s">
        <v>190</v>
      </c>
      <c r="P1850" s="7"/>
      <c r="Q1850" s="13"/>
      <c r="R1850" s="13"/>
      <c r="S1850" s="13"/>
      <c r="T1850" s="6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</row>
    <row r="1851">
      <c r="A1851" s="12">
        <v>50.0</v>
      </c>
      <c r="B1851" s="7" t="s">
        <v>579</v>
      </c>
      <c r="C1851" s="7" t="s">
        <v>1592</v>
      </c>
      <c r="I1851" s="10" t="s">
        <v>1690</v>
      </c>
      <c r="J1851" s="13" t="s">
        <v>1598</v>
      </c>
      <c r="K1851" s="13" t="s">
        <v>303</v>
      </c>
      <c r="L1851" s="13" t="s">
        <v>2346</v>
      </c>
      <c r="M1851" s="6" t="s">
        <v>188</v>
      </c>
      <c r="N1851" s="6" t="s">
        <v>188</v>
      </c>
      <c r="O1851" s="6" t="s">
        <v>190</v>
      </c>
      <c r="P1851" s="7"/>
      <c r="Q1851" s="13"/>
      <c r="R1851" s="13"/>
      <c r="S1851" s="13"/>
      <c r="T1851" s="6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</row>
    <row r="1852">
      <c r="A1852" s="12">
        <v>50.0</v>
      </c>
      <c r="B1852" s="7" t="s">
        <v>579</v>
      </c>
      <c r="C1852" s="7" t="s">
        <v>1592</v>
      </c>
      <c r="I1852" s="10" t="s">
        <v>167</v>
      </c>
      <c r="J1852" s="13" t="s">
        <v>1601</v>
      </c>
      <c r="K1852" s="13" t="s">
        <v>303</v>
      </c>
      <c r="L1852" s="13" t="s">
        <v>2347</v>
      </c>
      <c r="M1852" s="6" t="s">
        <v>188</v>
      </c>
      <c r="N1852" s="6" t="s">
        <v>188</v>
      </c>
      <c r="O1852" s="6" t="s">
        <v>190</v>
      </c>
      <c r="P1852" s="7"/>
      <c r="Q1852" s="13"/>
      <c r="R1852" s="13"/>
      <c r="S1852" s="13"/>
      <c r="T1852" s="6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</row>
    <row r="1853">
      <c r="A1853" s="12">
        <v>50.0</v>
      </c>
      <c r="B1853" s="7" t="s">
        <v>579</v>
      </c>
      <c r="C1853" s="7" t="s">
        <v>1592</v>
      </c>
      <c r="I1853" s="10" t="s">
        <v>623</v>
      </c>
      <c r="J1853" s="13" t="s">
        <v>1595</v>
      </c>
      <c r="K1853" s="13" t="s">
        <v>303</v>
      </c>
      <c r="L1853" s="13" t="s">
        <v>2351</v>
      </c>
      <c r="M1853" s="6" t="s">
        <v>188</v>
      </c>
      <c r="N1853" s="6" t="s">
        <v>188</v>
      </c>
      <c r="O1853" s="6" t="s">
        <v>190</v>
      </c>
      <c r="P1853" s="13" t="s">
        <v>574</v>
      </c>
      <c r="Q1853" s="13"/>
      <c r="R1853" s="13"/>
      <c r="S1853" s="13"/>
      <c r="T1853" s="6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</row>
    <row r="1854">
      <c r="A1854" s="12">
        <v>50.0</v>
      </c>
      <c r="B1854" s="7" t="s">
        <v>579</v>
      </c>
      <c r="C1854" s="7" t="s">
        <v>1592</v>
      </c>
      <c r="I1854" s="10" t="s">
        <v>2074</v>
      </c>
      <c r="J1854" s="13" t="s">
        <v>1598</v>
      </c>
      <c r="K1854" s="13" t="s">
        <v>303</v>
      </c>
      <c r="L1854" s="13" t="s">
        <v>2352</v>
      </c>
      <c r="M1854" s="6" t="s">
        <v>188</v>
      </c>
      <c r="N1854" s="6" t="s">
        <v>188</v>
      </c>
      <c r="O1854" s="6" t="s">
        <v>190</v>
      </c>
      <c r="P1854" s="7"/>
      <c r="Q1854" s="13"/>
      <c r="R1854" s="13"/>
      <c r="S1854" s="13"/>
      <c r="T1854" s="6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</row>
    <row r="1855">
      <c r="A1855" s="12">
        <v>50.0</v>
      </c>
      <c r="B1855" s="7" t="s">
        <v>579</v>
      </c>
      <c r="C1855" s="7" t="s">
        <v>1592</v>
      </c>
      <c r="I1855" s="10" t="s">
        <v>1704</v>
      </c>
      <c r="J1855" s="13" t="s">
        <v>1601</v>
      </c>
      <c r="K1855" s="13" t="s">
        <v>303</v>
      </c>
      <c r="L1855" s="13" t="s">
        <v>2346</v>
      </c>
      <c r="M1855" s="6" t="s">
        <v>188</v>
      </c>
      <c r="N1855" s="6" t="s">
        <v>188</v>
      </c>
      <c r="O1855" s="6" t="s">
        <v>190</v>
      </c>
      <c r="P1855" s="7"/>
      <c r="Q1855" s="13"/>
      <c r="R1855" s="13"/>
      <c r="S1855" s="13"/>
      <c r="T1855" s="6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</row>
    <row r="1856">
      <c r="A1856" s="12">
        <v>50.0</v>
      </c>
      <c r="B1856" s="7" t="s">
        <v>579</v>
      </c>
      <c r="C1856" s="7" t="s">
        <v>1592</v>
      </c>
      <c r="I1856" s="10" t="s">
        <v>270</v>
      </c>
      <c r="J1856" s="13" t="s">
        <v>1595</v>
      </c>
      <c r="K1856" s="13" t="s">
        <v>303</v>
      </c>
      <c r="L1856" s="13" t="s">
        <v>2346</v>
      </c>
      <c r="M1856" s="6" t="s">
        <v>188</v>
      </c>
      <c r="N1856" s="6" t="s">
        <v>188</v>
      </c>
      <c r="O1856" s="6" t="s">
        <v>190</v>
      </c>
      <c r="P1856" s="7"/>
      <c r="Q1856" s="13"/>
      <c r="R1856" s="13"/>
      <c r="S1856" s="13"/>
      <c r="T1856" s="6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</row>
    <row r="1857">
      <c r="A1857" s="12">
        <v>50.0</v>
      </c>
      <c r="B1857" s="7" t="s">
        <v>579</v>
      </c>
      <c r="C1857" s="7" t="s">
        <v>1592</v>
      </c>
      <c r="I1857" s="10" t="s">
        <v>2071</v>
      </c>
      <c r="J1857" s="13" t="s">
        <v>1598</v>
      </c>
      <c r="K1857" s="13" t="s">
        <v>303</v>
      </c>
      <c r="L1857" s="13" t="s">
        <v>2347</v>
      </c>
      <c r="M1857" s="6" t="s">
        <v>188</v>
      </c>
      <c r="N1857" s="6" t="s">
        <v>188</v>
      </c>
      <c r="O1857" s="6" t="s">
        <v>190</v>
      </c>
      <c r="P1857" s="7"/>
      <c r="Q1857" s="13"/>
      <c r="R1857" s="13"/>
      <c r="S1857" s="13"/>
      <c r="T1857" s="6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</row>
    <row r="1858">
      <c r="A1858" s="12">
        <v>50.0</v>
      </c>
      <c r="B1858" s="7" t="s">
        <v>579</v>
      </c>
      <c r="C1858" s="7" t="s">
        <v>1592</v>
      </c>
      <c r="I1858" s="10" t="s">
        <v>1116</v>
      </c>
      <c r="J1858" s="13" t="s">
        <v>1601</v>
      </c>
      <c r="K1858" s="13" t="s">
        <v>303</v>
      </c>
      <c r="L1858" s="13" t="s">
        <v>2346</v>
      </c>
      <c r="M1858" s="6" t="s">
        <v>188</v>
      </c>
      <c r="N1858" s="6" t="s">
        <v>188</v>
      </c>
      <c r="O1858" s="6" t="s">
        <v>190</v>
      </c>
      <c r="P1858" s="7"/>
      <c r="Q1858" s="13"/>
      <c r="R1858" s="13"/>
      <c r="S1858" s="13"/>
      <c r="T1858" s="6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</row>
    <row r="1859">
      <c r="A1859" s="12">
        <v>50.0</v>
      </c>
      <c r="B1859" s="7" t="s">
        <v>579</v>
      </c>
      <c r="C1859" s="7" t="s">
        <v>1592</v>
      </c>
      <c r="I1859" s="10" t="s">
        <v>225</v>
      </c>
      <c r="J1859" s="13" t="s">
        <v>1595</v>
      </c>
      <c r="K1859" s="13" t="s">
        <v>303</v>
      </c>
      <c r="L1859" s="13" t="s">
        <v>2347</v>
      </c>
      <c r="M1859" s="6" t="s">
        <v>188</v>
      </c>
      <c r="N1859" s="6" t="s">
        <v>188</v>
      </c>
      <c r="O1859" s="6" t="s">
        <v>190</v>
      </c>
      <c r="P1859" s="7"/>
      <c r="Q1859" s="13"/>
      <c r="R1859" s="13"/>
      <c r="S1859" s="13"/>
      <c r="T1859" s="6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</row>
    <row r="1860">
      <c r="A1860" s="12">
        <v>50.0</v>
      </c>
      <c r="B1860" s="7" t="s">
        <v>579</v>
      </c>
      <c r="C1860" s="7" t="s">
        <v>1592</v>
      </c>
      <c r="I1860" s="10" t="s">
        <v>460</v>
      </c>
      <c r="J1860" s="13" t="s">
        <v>1598</v>
      </c>
      <c r="K1860" s="13" t="s">
        <v>303</v>
      </c>
      <c r="L1860" s="13" t="s">
        <v>2347</v>
      </c>
      <c r="M1860" s="6" t="s">
        <v>188</v>
      </c>
      <c r="N1860" s="6" t="s">
        <v>188</v>
      </c>
      <c r="O1860" s="6" t="s">
        <v>190</v>
      </c>
      <c r="P1860" s="7"/>
      <c r="Q1860" s="13"/>
      <c r="R1860" s="13"/>
      <c r="S1860" s="13"/>
      <c r="T1860" s="6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</row>
    <row r="1861">
      <c r="A1861" s="12">
        <v>50.0</v>
      </c>
      <c r="B1861" s="7" t="s">
        <v>579</v>
      </c>
      <c r="C1861" s="7" t="s">
        <v>1592</v>
      </c>
      <c r="I1861" s="10" t="s">
        <v>2015</v>
      </c>
      <c r="J1861" s="13" t="s">
        <v>1601</v>
      </c>
      <c r="K1861" s="13" t="s">
        <v>303</v>
      </c>
      <c r="L1861" s="13" t="s">
        <v>2347</v>
      </c>
      <c r="M1861" s="6" t="s">
        <v>188</v>
      </c>
      <c r="N1861" s="6" t="s">
        <v>188</v>
      </c>
      <c r="O1861" s="6" t="s">
        <v>190</v>
      </c>
      <c r="P1861" s="7"/>
      <c r="Q1861" s="13"/>
      <c r="R1861" s="13"/>
      <c r="S1861" s="13"/>
      <c r="T1861" s="6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</row>
    <row r="1862">
      <c r="A1862" s="12">
        <v>51.0</v>
      </c>
      <c r="B1862" s="7" t="s">
        <v>582</v>
      </c>
      <c r="C1862" s="7" t="s">
        <v>1609</v>
      </c>
      <c r="D1862" s="26">
        <f>IF(COUNTIF($B$2:$B1862,$B1862)&gt;1,"",COUNTIF($B$2:$B$3400,$B1862))</f>
        <v>30</v>
      </c>
      <c r="E1862" s="26">
        <f>IF(COUNTIF($B$2:$B1862,$B1862)&gt;1,"",COUNTIFS($B$2:$B$3400,$B1862,$K$2:$K$3400,"PHÙ HỢP CAO"))</f>
        <v>3</v>
      </c>
      <c r="F1862" s="26">
        <f>IF(COUNTIF($B$2:$B1862,$B1862)&gt;1,"",COUNTIFS($B$2:$B$3400,$B1862,$K$2:$K$3400,"CÓ THỂ ĐI"))</f>
        <v>2</v>
      </c>
      <c r="G1862" s="26">
        <f>IF(COUNTIF($B$2:$B1862,$B1862)&gt;1,"",COUNTIFS($B$2:$B$3400,$B1862,$K$2:$K$3400,"CẦN SOÁT"))</f>
        <v>25</v>
      </c>
      <c r="H1862" s="27" t="str">
        <f>IFERROR(__xludf.DUMMYFUNCTION("IF(COUNTIF($B$2:$B1862,$B1862)&gt;1,"""",IFERROR(TEXTJOIN(CHAR(10),TRUE,BYROW(QUERY({$B$2:$B$3400,$J$2:$J$3400},""select Col2, count(Col2) where Col1 = '""&amp;$B1862&amp;""' group by Col2 order by count(Col2) desc label count(Col2) ''"",0),LAMBDA(r,INDEX(r,1,1)&amp;"" "&amp;"– ""&amp;INDEX(r,1,2)&amp;"" link""))),""""))"),"cách lấy voucher Traveloka – 15 link
voucher Traveloka – 15 link")</f>
        <v>cách lấy voucher Traveloka – 15 link
voucher Traveloka – 15 link</v>
      </c>
      <c r="I1862" s="10" t="s">
        <v>1610</v>
      </c>
      <c r="J1862" s="13" t="s">
        <v>1612</v>
      </c>
      <c r="K1862" s="13" t="s">
        <v>184</v>
      </c>
      <c r="L1862" s="13" t="s">
        <v>2353</v>
      </c>
      <c r="M1862" s="6" t="s">
        <v>188</v>
      </c>
      <c r="N1862" s="6" t="s">
        <v>188</v>
      </c>
      <c r="O1862" s="6" t="s">
        <v>190</v>
      </c>
      <c r="P1862" s="7"/>
      <c r="Q1862" s="13"/>
      <c r="R1862" s="13"/>
      <c r="S1862" s="13"/>
      <c r="T1862" s="6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</row>
    <row r="1863">
      <c r="A1863" s="12">
        <v>51.0</v>
      </c>
      <c r="B1863" s="7" t="s">
        <v>582</v>
      </c>
      <c r="C1863" s="7" t="s">
        <v>1609</v>
      </c>
      <c r="I1863" s="10" t="s">
        <v>1613</v>
      </c>
      <c r="J1863" s="13" t="s">
        <v>1617</v>
      </c>
      <c r="K1863" s="13" t="s">
        <v>184</v>
      </c>
      <c r="L1863" s="13" t="s">
        <v>2354</v>
      </c>
      <c r="M1863" s="6" t="s">
        <v>188</v>
      </c>
      <c r="N1863" s="6" t="s">
        <v>188</v>
      </c>
      <c r="O1863" s="6" t="s">
        <v>190</v>
      </c>
      <c r="P1863" s="7"/>
      <c r="Q1863" s="13"/>
      <c r="R1863" s="13"/>
      <c r="S1863" s="13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</row>
    <row r="1864">
      <c r="A1864" s="12">
        <v>51.0</v>
      </c>
      <c r="B1864" s="7" t="s">
        <v>582</v>
      </c>
      <c r="C1864" s="7" t="s">
        <v>1609</v>
      </c>
      <c r="I1864" s="10" t="s">
        <v>1618</v>
      </c>
      <c r="J1864" s="13" t="s">
        <v>1612</v>
      </c>
      <c r="K1864" s="13" t="s">
        <v>184</v>
      </c>
      <c r="L1864" s="13" t="s">
        <v>2355</v>
      </c>
      <c r="M1864" s="6" t="s">
        <v>188</v>
      </c>
      <c r="N1864" s="6" t="s">
        <v>188</v>
      </c>
      <c r="O1864" s="6" t="s">
        <v>190</v>
      </c>
      <c r="P1864" s="7"/>
      <c r="Q1864" s="13"/>
      <c r="R1864" s="13"/>
      <c r="S1864" s="13"/>
      <c r="T1864" s="6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</row>
    <row r="1865">
      <c r="A1865" s="12">
        <v>51.0</v>
      </c>
      <c r="B1865" s="7" t="s">
        <v>582</v>
      </c>
      <c r="C1865" s="7" t="s">
        <v>1609</v>
      </c>
      <c r="I1865" s="10" t="s">
        <v>1621</v>
      </c>
      <c r="J1865" s="13" t="s">
        <v>1617</v>
      </c>
      <c r="K1865" s="13" t="s">
        <v>283</v>
      </c>
      <c r="L1865" s="13" t="s">
        <v>2356</v>
      </c>
      <c r="M1865" s="6" t="s">
        <v>188</v>
      </c>
      <c r="N1865" s="6" t="s">
        <v>188</v>
      </c>
      <c r="O1865" s="6" t="s">
        <v>190</v>
      </c>
      <c r="P1865" s="7"/>
      <c r="Q1865" s="13"/>
      <c r="R1865" s="13"/>
      <c r="S1865" s="13"/>
      <c r="T1865" s="6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</row>
    <row r="1866">
      <c r="A1866" s="12">
        <v>51.0</v>
      </c>
      <c r="B1866" s="7" t="s">
        <v>582</v>
      </c>
      <c r="C1866" s="7" t="s">
        <v>1609</v>
      </c>
      <c r="I1866" s="10" t="s">
        <v>1719</v>
      </c>
      <c r="J1866" s="13" t="s">
        <v>1612</v>
      </c>
      <c r="K1866" s="13" t="s">
        <v>283</v>
      </c>
      <c r="L1866" s="13" t="s">
        <v>2357</v>
      </c>
      <c r="M1866" s="6" t="s">
        <v>188</v>
      </c>
      <c r="N1866" s="6" t="s">
        <v>188</v>
      </c>
      <c r="O1866" s="6" t="s">
        <v>190</v>
      </c>
      <c r="P1866" s="7"/>
      <c r="Q1866" s="13"/>
      <c r="R1866" s="13"/>
      <c r="S1866" s="13"/>
      <c r="T1866" s="6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</row>
    <row r="1867">
      <c r="A1867" s="12">
        <v>51.0</v>
      </c>
      <c r="B1867" s="7" t="s">
        <v>582</v>
      </c>
      <c r="C1867" s="7" t="s">
        <v>1609</v>
      </c>
      <c r="I1867" s="10" t="s">
        <v>2358</v>
      </c>
      <c r="J1867" s="13" t="s">
        <v>1617</v>
      </c>
      <c r="K1867" s="13" t="s">
        <v>303</v>
      </c>
      <c r="L1867" s="13" t="s">
        <v>2359</v>
      </c>
      <c r="M1867" s="6" t="s">
        <v>188</v>
      </c>
      <c r="N1867" s="6" t="s">
        <v>188</v>
      </c>
      <c r="O1867" s="6" t="s">
        <v>190</v>
      </c>
      <c r="P1867" s="7"/>
      <c r="Q1867" s="13"/>
      <c r="R1867" s="13"/>
      <c r="S1867" s="13"/>
      <c r="T1867" s="6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</row>
    <row r="1868">
      <c r="A1868" s="12">
        <v>51.0</v>
      </c>
      <c r="B1868" s="7" t="s">
        <v>582</v>
      </c>
      <c r="C1868" s="7" t="s">
        <v>1609</v>
      </c>
      <c r="I1868" s="10" t="s">
        <v>2360</v>
      </c>
      <c r="J1868" s="13" t="s">
        <v>1612</v>
      </c>
      <c r="K1868" s="13" t="s">
        <v>303</v>
      </c>
      <c r="L1868" s="13" t="s">
        <v>2361</v>
      </c>
      <c r="M1868" s="6" t="s">
        <v>188</v>
      </c>
      <c r="N1868" s="6" t="s">
        <v>188</v>
      </c>
      <c r="O1868" s="6" t="s">
        <v>190</v>
      </c>
      <c r="P1868" s="7"/>
      <c r="Q1868" s="13"/>
      <c r="R1868" s="13"/>
      <c r="S1868" s="13"/>
      <c r="T1868" s="6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</row>
    <row r="1869">
      <c r="A1869" s="12">
        <v>51.0</v>
      </c>
      <c r="B1869" s="7" t="s">
        <v>582</v>
      </c>
      <c r="C1869" s="7" t="s">
        <v>1609</v>
      </c>
      <c r="I1869" s="10" t="s">
        <v>2362</v>
      </c>
      <c r="J1869" s="13" t="s">
        <v>1617</v>
      </c>
      <c r="K1869" s="13" t="s">
        <v>303</v>
      </c>
      <c r="L1869" s="13" t="s">
        <v>2363</v>
      </c>
      <c r="M1869" s="6" t="s">
        <v>188</v>
      </c>
      <c r="N1869" s="6" t="s">
        <v>188</v>
      </c>
      <c r="O1869" s="6" t="s">
        <v>190</v>
      </c>
      <c r="P1869" s="7"/>
      <c r="Q1869" s="13"/>
      <c r="R1869" s="13"/>
      <c r="S1869" s="13"/>
      <c r="T1869" s="6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</row>
    <row r="1870">
      <c r="A1870" s="12">
        <v>51.0</v>
      </c>
      <c r="B1870" s="7" t="s">
        <v>582</v>
      </c>
      <c r="C1870" s="7" t="s">
        <v>1609</v>
      </c>
      <c r="I1870" s="10" t="s">
        <v>2364</v>
      </c>
      <c r="J1870" s="13" t="s">
        <v>1612</v>
      </c>
      <c r="K1870" s="13" t="s">
        <v>303</v>
      </c>
      <c r="L1870" s="13" t="s">
        <v>2365</v>
      </c>
      <c r="M1870" s="6" t="s">
        <v>188</v>
      </c>
      <c r="N1870" s="6" t="s">
        <v>188</v>
      </c>
      <c r="O1870" s="6" t="s">
        <v>190</v>
      </c>
      <c r="P1870" s="7"/>
      <c r="Q1870" s="13"/>
      <c r="R1870" s="13"/>
      <c r="S1870" s="13"/>
      <c r="T1870" s="6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</row>
    <row r="1871">
      <c r="A1871" s="12">
        <v>51.0</v>
      </c>
      <c r="B1871" s="7" t="s">
        <v>582</v>
      </c>
      <c r="C1871" s="7" t="s">
        <v>1609</v>
      </c>
      <c r="I1871" s="10" t="s">
        <v>2366</v>
      </c>
      <c r="J1871" s="13" t="s">
        <v>1617</v>
      </c>
      <c r="K1871" s="13" t="s">
        <v>303</v>
      </c>
      <c r="L1871" s="13" t="s">
        <v>2365</v>
      </c>
      <c r="M1871" s="6" t="s">
        <v>188</v>
      </c>
      <c r="N1871" s="6" t="s">
        <v>188</v>
      </c>
      <c r="O1871" s="6" t="s">
        <v>190</v>
      </c>
      <c r="P1871" s="7"/>
      <c r="Q1871" s="13"/>
      <c r="R1871" s="13"/>
      <c r="S1871" s="13"/>
      <c r="T1871" s="6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</row>
    <row r="1872">
      <c r="A1872" s="12">
        <v>51.0</v>
      </c>
      <c r="B1872" s="7" t="s">
        <v>582</v>
      </c>
      <c r="C1872" s="7" t="s">
        <v>1609</v>
      </c>
      <c r="I1872" s="10" t="s">
        <v>2258</v>
      </c>
      <c r="J1872" s="13" t="s">
        <v>1612</v>
      </c>
      <c r="K1872" s="13" t="s">
        <v>303</v>
      </c>
      <c r="L1872" s="13" t="s">
        <v>2359</v>
      </c>
      <c r="M1872" s="6" t="s">
        <v>188</v>
      </c>
      <c r="N1872" s="6" t="s">
        <v>188</v>
      </c>
      <c r="O1872" s="6" t="s">
        <v>190</v>
      </c>
      <c r="P1872" s="7"/>
      <c r="Q1872" s="13"/>
      <c r="R1872" s="13"/>
      <c r="S1872" s="13"/>
      <c r="T1872" s="6"/>
      <c r="U1872" s="6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</row>
    <row r="1873">
      <c r="A1873" s="12">
        <v>51.0</v>
      </c>
      <c r="B1873" s="7" t="s">
        <v>582</v>
      </c>
      <c r="C1873" s="7" t="s">
        <v>1609</v>
      </c>
      <c r="I1873" s="10" t="s">
        <v>2367</v>
      </c>
      <c r="J1873" s="13" t="s">
        <v>1617</v>
      </c>
      <c r="K1873" s="13" t="s">
        <v>303</v>
      </c>
      <c r="L1873" s="13" t="s">
        <v>2359</v>
      </c>
      <c r="M1873" s="6" t="s">
        <v>188</v>
      </c>
      <c r="N1873" s="6" t="s">
        <v>188</v>
      </c>
      <c r="O1873" s="6" t="s">
        <v>190</v>
      </c>
      <c r="P1873" s="7"/>
      <c r="Q1873" s="13"/>
      <c r="R1873" s="13"/>
      <c r="S1873" s="13"/>
      <c r="T1873" s="6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</row>
    <row r="1874">
      <c r="A1874" s="12">
        <v>51.0</v>
      </c>
      <c r="B1874" s="7" t="s">
        <v>582</v>
      </c>
      <c r="C1874" s="7" t="s">
        <v>1609</v>
      </c>
      <c r="I1874" s="10" t="s">
        <v>2368</v>
      </c>
      <c r="J1874" s="13" t="s">
        <v>1612</v>
      </c>
      <c r="K1874" s="13" t="s">
        <v>303</v>
      </c>
      <c r="L1874" s="13" t="s">
        <v>2365</v>
      </c>
      <c r="M1874" s="6" t="s">
        <v>188</v>
      </c>
      <c r="N1874" s="6" t="s">
        <v>188</v>
      </c>
      <c r="O1874" s="6" t="s">
        <v>190</v>
      </c>
      <c r="P1874" s="7"/>
      <c r="Q1874" s="13"/>
      <c r="R1874" s="13"/>
      <c r="S1874" s="13"/>
      <c r="T1874" s="6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</row>
    <row r="1875">
      <c r="A1875" s="12">
        <v>51.0</v>
      </c>
      <c r="B1875" s="7" t="s">
        <v>582</v>
      </c>
      <c r="C1875" s="7" t="s">
        <v>1609</v>
      </c>
      <c r="I1875" s="10" t="s">
        <v>2369</v>
      </c>
      <c r="J1875" s="13" t="s">
        <v>1617</v>
      </c>
      <c r="K1875" s="13" t="s">
        <v>303</v>
      </c>
      <c r="L1875" s="13" t="s">
        <v>2365</v>
      </c>
      <c r="M1875" s="6" t="s">
        <v>188</v>
      </c>
      <c r="N1875" s="6" t="s">
        <v>188</v>
      </c>
      <c r="O1875" s="6" t="s">
        <v>190</v>
      </c>
      <c r="P1875" s="7"/>
      <c r="Q1875" s="13"/>
      <c r="R1875" s="13"/>
      <c r="S1875" s="13"/>
      <c r="T1875" s="6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</row>
    <row r="1876">
      <c r="A1876" s="12">
        <v>51.0</v>
      </c>
      <c r="B1876" s="7" t="s">
        <v>582</v>
      </c>
      <c r="C1876" s="7" t="s">
        <v>1609</v>
      </c>
      <c r="I1876" s="10" t="s">
        <v>2370</v>
      </c>
      <c r="J1876" s="13" t="s">
        <v>1612</v>
      </c>
      <c r="K1876" s="13" t="s">
        <v>303</v>
      </c>
      <c r="L1876" s="13" t="s">
        <v>2359</v>
      </c>
      <c r="M1876" s="6" t="s">
        <v>188</v>
      </c>
      <c r="N1876" s="6" t="s">
        <v>188</v>
      </c>
      <c r="O1876" s="6" t="s">
        <v>190</v>
      </c>
      <c r="P1876" s="7"/>
      <c r="Q1876" s="13"/>
      <c r="R1876" s="13"/>
      <c r="S1876" s="13"/>
      <c r="T1876" s="6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</row>
    <row r="1877">
      <c r="A1877" s="12">
        <v>51.0</v>
      </c>
      <c r="B1877" s="7" t="s">
        <v>582</v>
      </c>
      <c r="C1877" s="7" t="s">
        <v>1609</v>
      </c>
      <c r="I1877" s="10" t="s">
        <v>2371</v>
      </c>
      <c r="J1877" s="13" t="s">
        <v>1617</v>
      </c>
      <c r="K1877" s="13" t="s">
        <v>303</v>
      </c>
      <c r="L1877" s="13" t="s">
        <v>2365</v>
      </c>
      <c r="M1877" s="6" t="s">
        <v>188</v>
      </c>
      <c r="N1877" s="6" t="s">
        <v>188</v>
      </c>
      <c r="O1877" s="6" t="s">
        <v>190</v>
      </c>
      <c r="P1877" s="7"/>
      <c r="Q1877" s="13"/>
      <c r="R1877" s="13"/>
      <c r="S1877" s="13"/>
      <c r="T1877" s="6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</row>
    <row r="1878">
      <c r="A1878" s="12">
        <v>51.0</v>
      </c>
      <c r="B1878" s="7" t="s">
        <v>582</v>
      </c>
      <c r="C1878" s="7" t="s">
        <v>1609</v>
      </c>
      <c r="I1878" s="10" t="s">
        <v>2372</v>
      </c>
      <c r="J1878" s="13" t="s">
        <v>1612</v>
      </c>
      <c r="K1878" s="13" t="s">
        <v>303</v>
      </c>
      <c r="L1878" s="13" t="s">
        <v>2359</v>
      </c>
      <c r="M1878" s="6" t="s">
        <v>188</v>
      </c>
      <c r="N1878" s="6" t="s">
        <v>188</v>
      </c>
      <c r="O1878" s="6" t="s">
        <v>190</v>
      </c>
      <c r="P1878" s="7"/>
      <c r="Q1878" s="13"/>
      <c r="R1878" s="13"/>
      <c r="S1878" s="13"/>
      <c r="T1878" s="6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</row>
    <row r="1879">
      <c r="A1879" s="12">
        <v>51.0</v>
      </c>
      <c r="B1879" s="7" t="s">
        <v>582</v>
      </c>
      <c r="C1879" s="7" t="s">
        <v>1609</v>
      </c>
      <c r="I1879" s="10" t="s">
        <v>2373</v>
      </c>
      <c r="J1879" s="13" t="s">
        <v>1617</v>
      </c>
      <c r="K1879" s="13" t="s">
        <v>303</v>
      </c>
      <c r="L1879" s="13" t="s">
        <v>2359</v>
      </c>
      <c r="M1879" s="6" t="s">
        <v>188</v>
      </c>
      <c r="N1879" s="6" t="s">
        <v>188</v>
      </c>
      <c r="O1879" s="6" t="s">
        <v>190</v>
      </c>
      <c r="P1879" s="7"/>
      <c r="Q1879" s="13"/>
      <c r="R1879" s="13"/>
      <c r="S1879" s="13"/>
      <c r="T1879" s="6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</row>
    <row r="1880">
      <c r="A1880" s="12">
        <v>51.0</v>
      </c>
      <c r="B1880" s="7" t="s">
        <v>582</v>
      </c>
      <c r="C1880" s="7" t="s">
        <v>1609</v>
      </c>
      <c r="I1880" s="10" t="s">
        <v>2374</v>
      </c>
      <c r="J1880" s="13" t="s">
        <v>1612</v>
      </c>
      <c r="K1880" s="13" t="s">
        <v>303</v>
      </c>
      <c r="L1880" s="13" t="s">
        <v>2359</v>
      </c>
      <c r="M1880" s="6" t="s">
        <v>188</v>
      </c>
      <c r="N1880" s="6" t="s">
        <v>188</v>
      </c>
      <c r="O1880" s="6" t="s">
        <v>190</v>
      </c>
      <c r="P1880" s="7"/>
      <c r="Q1880" s="13"/>
      <c r="R1880" s="13"/>
      <c r="S1880" s="13"/>
      <c r="T1880" s="6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</row>
    <row r="1881">
      <c r="A1881" s="12">
        <v>51.0</v>
      </c>
      <c r="B1881" s="7" t="s">
        <v>582</v>
      </c>
      <c r="C1881" s="7" t="s">
        <v>1609</v>
      </c>
      <c r="I1881" s="10" t="s">
        <v>1969</v>
      </c>
      <c r="J1881" s="13" t="s">
        <v>1617</v>
      </c>
      <c r="K1881" s="13" t="s">
        <v>303</v>
      </c>
      <c r="L1881" s="13" t="s">
        <v>2361</v>
      </c>
      <c r="M1881" s="6" t="s">
        <v>188</v>
      </c>
      <c r="N1881" s="6" t="s">
        <v>188</v>
      </c>
      <c r="O1881" s="6" t="s">
        <v>190</v>
      </c>
      <c r="P1881" s="7"/>
      <c r="Q1881" s="13"/>
      <c r="R1881" s="13"/>
      <c r="S1881" s="13"/>
      <c r="T1881" s="6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</row>
    <row r="1882">
      <c r="A1882" s="12">
        <v>51.0</v>
      </c>
      <c r="B1882" s="7" t="s">
        <v>582</v>
      </c>
      <c r="C1882" s="7" t="s">
        <v>1609</v>
      </c>
      <c r="I1882" s="10" t="s">
        <v>785</v>
      </c>
      <c r="J1882" s="13" t="s">
        <v>1612</v>
      </c>
      <c r="K1882" s="13" t="s">
        <v>303</v>
      </c>
      <c r="L1882" s="13" t="s">
        <v>2365</v>
      </c>
      <c r="M1882" s="6" t="s">
        <v>188</v>
      </c>
      <c r="N1882" s="6" t="s">
        <v>188</v>
      </c>
      <c r="O1882" s="6" t="s">
        <v>190</v>
      </c>
      <c r="P1882" s="7"/>
      <c r="Q1882" s="13"/>
      <c r="R1882" s="13"/>
      <c r="S1882" s="13"/>
      <c r="T1882" s="6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</row>
    <row r="1883">
      <c r="A1883" s="12">
        <v>51.0</v>
      </c>
      <c r="B1883" s="7" t="s">
        <v>582</v>
      </c>
      <c r="C1883" s="7" t="s">
        <v>1609</v>
      </c>
      <c r="I1883" s="10" t="s">
        <v>2375</v>
      </c>
      <c r="J1883" s="13" t="s">
        <v>1617</v>
      </c>
      <c r="K1883" s="13" t="s">
        <v>303</v>
      </c>
      <c r="L1883" s="13" t="s">
        <v>2365</v>
      </c>
      <c r="M1883" s="6" t="s">
        <v>188</v>
      </c>
      <c r="N1883" s="6" t="s">
        <v>188</v>
      </c>
      <c r="O1883" s="6" t="s">
        <v>190</v>
      </c>
      <c r="P1883" s="7"/>
      <c r="Q1883" s="13"/>
      <c r="R1883" s="13"/>
      <c r="S1883" s="13"/>
      <c r="T1883" s="6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</row>
    <row r="1884">
      <c r="A1884" s="12">
        <v>51.0</v>
      </c>
      <c r="B1884" s="7" t="s">
        <v>582</v>
      </c>
      <c r="C1884" s="7" t="s">
        <v>1609</v>
      </c>
      <c r="I1884" s="10" t="s">
        <v>1971</v>
      </c>
      <c r="J1884" s="13" t="s">
        <v>1612</v>
      </c>
      <c r="K1884" s="13" t="s">
        <v>303</v>
      </c>
      <c r="L1884" s="13" t="s">
        <v>2359</v>
      </c>
      <c r="M1884" s="6" t="s">
        <v>188</v>
      </c>
      <c r="N1884" s="6" t="s">
        <v>188</v>
      </c>
      <c r="O1884" s="6" t="s">
        <v>190</v>
      </c>
      <c r="P1884" s="7"/>
      <c r="Q1884" s="13"/>
      <c r="R1884" s="13"/>
      <c r="S1884" s="13"/>
      <c r="T1884" s="6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</row>
    <row r="1885">
      <c r="A1885" s="12">
        <v>51.0</v>
      </c>
      <c r="B1885" s="7" t="s">
        <v>582</v>
      </c>
      <c r="C1885" s="7" t="s">
        <v>1609</v>
      </c>
      <c r="I1885" s="10" t="s">
        <v>2284</v>
      </c>
      <c r="J1885" s="13" t="s">
        <v>1617</v>
      </c>
      <c r="K1885" s="13" t="s">
        <v>303</v>
      </c>
      <c r="L1885" s="13" t="s">
        <v>2359</v>
      </c>
      <c r="M1885" s="6" t="s">
        <v>188</v>
      </c>
      <c r="N1885" s="6" t="s">
        <v>188</v>
      </c>
      <c r="O1885" s="6" t="s">
        <v>190</v>
      </c>
      <c r="P1885" s="7"/>
      <c r="Q1885" s="13"/>
      <c r="R1885" s="13"/>
      <c r="S1885" s="13"/>
      <c r="T1885" s="6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</row>
    <row r="1886">
      <c r="A1886" s="12">
        <v>51.0</v>
      </c>
      <c r="B1886" s="7" t="s">
        <v>582</v>
      </c>
      <c r="C1886" s="7" t="s">
        <v>1609</v>
      </c>
      <c r="I1886" s="10" t="s">
        <v>2376</v>
      </c>
      <c r="J1886" s="13" t="s">
        <v>1612</v>
      </c>
      <c r="K1886" s="13" t="s">
        <v>303</v>
      </c>
      <c r="L1886" s="13" t="s">
        <v>2359</v>
      </c>
      <c r="M1886" s="6" t="s">
        <v>188</v>
      </c>
      <c r="N1886" s="6" t="s">
        <v>188</v>
      </c>
      <c r="O1886" s="6" t="s">
        <v>190</v>
      </c>
      <c r="P1886" s="7"/>
      <c r="Q1886" s="13"/>
      <c r="R1886" s="13"/>
      <c r="S1886" s="13"/>
      <c r="T1886" s="6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</row>
    <row r="1887">
      <c r="A1887" s="12">
        <v>51.0</v>
      </c>
      <c r="B1887" s="7" t="s">
        <v>582</v>
      </c>
      <c r="C1887" s="7" t="s">
        <v>1609</v>
      </c>
      <c r="I1887" s="10" t="s">
        <v>2377</v>
      </c>
      <c r="J1887" s="13" t="s">
        <v>1617</v>
      </c>
      <c r="K1887" s="13" t="s">
        <v>303</v>
      </c>
      <c r="L1887" s="13" t="s">
        <v>2361</v>
      </c>
      <c r="M1887" s="6" t="s">
        <v>188</v>
      </c>
      <c r="N1887" s="6" t="s">
        <v>188</v>
      </c>
      <c r="O1887" s="6" t="s">
        <v>190</v>
      </c>
      <c r="P1887" s="7"/>
      <c r="Q1887" s="13"/>
      <c r="R1887" s="13"/>
      <c r="S1887" s="13"/>
      <c r="T1887" s="6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</row>
    <row r="1888">
      <c r="A1888" s="12">
        <v>51.0</v>
      </c>
      <c r="B1888" s="7" t="s">
        <v>582</v>
      </c>
      <c r="C1888" s="7" t="s">
        <v>1609</v>
      </c>
      <c r="I1888" s="10" t="s">
        <v>1975</v>
      </c>
      <c r="J1888" s="13" t="s">
        <v>1612</v>
      </c>
      <c r="K1888" s="13" t="s">
        <v>303</v>
      </c>
      <c r="L1888" s="13" t="s">
        <v>2359</v>
      </c>
      <c r="M1888" s="6" t="s">
        <v>188</v>
      </c>
      <c r="N1888" s="6" t="s">
        <v>188</v>
      </c>
      <c r="O1888" s="6" t="s">
        <v>190</v>
      </c>
      <c r="P1888" s="7"/>
      <c r="Q1888" s="13"/>
      <c r="R1888" s="13"/>
      <c r="S1888" s="13"/>
      <c r="T1888" s="6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</row>
    <row r="1889">
      <c r="A1889" s="12">
        <v>51.0</v>
      </c>
      <c r="B1889" s="7" t="s">
        <v>582</v>
      </c>
      <c r="C1889" s="7" t="s">
        <v>1609</v>
      </c>
      <c r="I1889" s="10" t="s">
        <v>2378</v>
      </c>
      <c r="J1889" s="13" t="s">
        <v>1617</v>
      </c>
      <c r="K1889" s="13" t="s">
        <v>303</v>
      </c>
      <c r="L1889" s="13" t="s">
        <v>2359</v>
      </c>
      <c r="M1889" s="6" t="s">
        <v>188</v>
      </c>
      <c r="N1889" s="6" t="s">
        <v>188</v>
      </c>
      <c r="O1889" s="6" t="s">
        <v>190</v>
      </c>
      <c r="P1889" s="7"/>
      <c r="Q1889" s="13"/>
      <c r="R1889" s="13"/>
      <c r="S1889" s="13"/>
      <c r="T1889" s="6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</row>
    <row r="1890">
      <c r="A1890" s="12">
        <v>51.0</v>
      </c>
      <c r="B1890" s="7" t="s">
        <v>582</v>
      </c>
      <c r="C1890" s="7" t="s">
        <v>1609</v>
      </c>
      <c r="I1890" s="10" t="s">
        <v>1851</v>
      </c>
      <c r="J1890" s="13" t="s">
        <v>1612</v>
      </c>
      <c r="K1890" s="13" t="s">
        <v>303</v>
      </c>
      <c r="L1890" s="13" t="s">
        <v>2379</v>
      </c>
      <c r="M1890" s="6" t="s">
        <v>188</v>
      </c>
      <c r="N1890" s="6" t="s">
        <v>188</v>
      </c>
      <c r="O1890" s="6" t="s">
        <v>190</v>
      </c>
      <c r="P1890" s="7"/>
      <c r="Q1890" s="13"/>
      <c r="R1890" s="13"/>
      <c r="S1890" s="13"/>
      <c r="T1890" s="6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</row>
    <row r="1891">
      <c r="A1891" s="12">
        <v>51.0</v>
      </c>
      <c r="B1891" s="7" t="s">
        <v>582</v>
      </c>
      <c r="C1891" s="7" t="s">
        <v>1609</v>
      </c>
      <c r="I1891" s="10" t="s">
        <v>2036</v>
      </c>
      <c r="J1891" s="13" t="s">
        <v>1617</v>
      </c>
      <c r="K1891" s="13" t="s">
        <v>303</v>
      </c>
      <c r="L1891" s="13" t="s">
        <v>2379</v>
      </c>
      <c r="M1891" s="6" t="s">
        <v>188</v>
      </c>
      <c r="N1891" s="6" t="s">
        <v>188</v>
      </c>
      <c r="O1891" s="6" t="s">
        <v>190</v>
      </c>
      <c r="P1891" s="7"/>
      <c r="Q1891" s="13"/>
      <c r="R1891" s="13"/>
      <c r="S1891" s="13"/>
      <c r="T1891" s="6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</row>
    <row r="1892">
      <c r="A1892" s="12">
        <v>52.0</v>
      </c>
      <c r="B1892" s="7" t="s">
        <v>584</v>
      </c>
      <c r="C1892" s="7" t="s">
        <v>1624</v>
      </c>
      <c r="D1892" s="26">
        <f>IF(COUNTIF($B$2:$B1892,$B1892)&gt;1,"",COUNTIF($B$2:$B$3400,$B1892))</f>
        <v>50</v>
      </c>
      <c r="E1892" s="26">
        <f>IF(COUNTIF($B$2:$B1892,$B1892)&gt;1,"",COUNTIFS($B$2:$B$3400,$B1892,$K$2:$K$3400,"PHÙ HỢP CAO"))</f>
        <v>4</v>
      </c>
      <c r="F1892" s="26">
        <f>IF(COUNTIF($B$2:$B1892,$B1892)&gt;1,"",COUNTIFS($B$2:$B$3400,$B1892,$K$2:$K$3400,"CÓ THỂ ĐI"))</f>
        <v>1</v>
      </c>
      <c r="G1892" s="26">
        <f>IF(COUNTIF($B$2:$B1892,$B1892)&gt;1,"",COUNTIFS($B$2:$B$3400,$B1892,$K$2:$K$3400,"CẦN SOÁT"))</f>
        <v>45</v>
      </c>
      <c r="H1892" s="27" t="str">
        <f>IFERROR(__xludf.DUMMYFUNCTION("IF(COUNTIF($B$2:$B1892,$B1892)&gt;1,"""",IFERROR(TEXTJOIN(CHAR(10),TRUE,BYROW(QUERY({$B$2:$B$3400,$J$2:$J$3400},""select Col2, count(Col2) where Col1 = '""&amp;$B1892&amp;""' group by Col2 order by count(Col2) desc label count(Col2) ''"",0),LAMBDA(r,INDEX(r,1,1)&amp;"" "&amp;"– ""&amp;INDEX(r,1,2)&amp;"" link""))),""""))"),"hộ kinh doanh đóng thuế như thế nào – 25 link
thuế hộ kinh doanh – 25 link")</f>
        <v>hộ kinh doanh đóng thuế như thế nào – 25 link
thuế hộ kinh doanh – 25 link</v>
      </c>
      <c r="I1892" s="10" t="s">
        <v>671</v>
      </c>
      <c r="J1892" s="13" t="s">
        <v>840</v>
      </c>
      <c r="K1892" s="13" t="s">
        <v>184</v>
      </c>
      <c r="L1892" s="13" t="s">
        <v>2380</v>
      </c>
      <c r="M1892" s="6" t="s">
        <v>188</v>
      </c>
      <c r="N1892" s="6" t="s">
        <v>188</v>
      </c>
      <c r="O1892" s="6" t="s">
        <v>190</v>
      </c>
      <c r="P1892" s="7"/>
      <c r="Q1892" s="13"/>
      <c r="R1892" s="13"/>
      <c r="S1892" s="13"/>
      <c r="T1892" s="6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</row>
    <row r="1893">
      <c r="A1893" s="12">
        <v>52.0</v>
      </c>
      <c r="B1893" s="7" t="s">
        <v>584</v>
      </c>
      <c r="C1893" s="7" t="s">
        <v>1624</v>
      </c>
      <c r="I1893" s="10" t="s">
        <v>651</v>
      </c>
      <c r="J1893" s="13" t="s">
        <v>841</v>
      </c>
      <c r="K1893" s="13" t="s">
        <v>184</v>
      </c>
      <c r="L1893" s="13" t="s">
        <v>2381</v>
      </c>
      <c r="M1893" s="6" t="s">
        <v>188</v>
      </c>
      <c r="N1893" s="6" t="s">
        <v>188</v>
      </c>
      <c r="O1893" s="6" t="s">
        <v>190</v>
      </c>
      <c r="P1893" s="7"/>
      <c r="Q1893" s="13"/>
      <c r="R1893" s="13"/>
      <c r="S1893" s="13"/>
      <c r="T1893" s="6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</row>
    <row r="1894">
      <c r="A1894" s="12">
        <v>52.0</v>
      </c>
      <c r="B1894" s="7" t="s">
        <v>584</v>
      </c>
      <c r="C1894" s="7" t="s">
        <v>1624</v>
      </c>
      <c r="I1894" s="10" t="s">
        <v>698</v>
      </c>
      <c r="J1894" s="13" t="s">
        <v>840</v>
      </c>
      <c r="K1894" s="13" t="s">
        <v>184</v>
      </c>
      <c r="L1894" s="13" t="s">
        <v>2382</v>
      </c>
      <c r="M1894" s="6" t="s">
        <v>188</v>
      </c>
      <c r="N1894" s="6" t="s">
        <v>188</v>
      </c>
      <c r="O1894" s="6" t="s">
        <v>190</v>
      </c>
      <c r="P1894" s="7"/>
      <c r="Q1894" s="13"/>
      <c r="R1894" s="13"/>
      <c r="S1894" s="13"/>
      <c r="T1894" s="6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</row>
    <row r="1895">
      <c r="A1895" s="12">
        <v>52.0</v>
      </c>
      <c r="B1895" s="7" t="s">
        <v>584</v>
      </c>
      <c r="C1895" s="7" t="s">
        <v>1624</v>
      </c>
      <c r="I1895" s="10" t="s">
        <v>581</v>
      </c>
      <c r="J1895" s="13" t="s">
        <v>841</v>
      </c>
      <c r="K1895" s="13" t="s">
        <v>184</v>
      </c>
      <c r="L1895" s="13" t="s">
        <v>2383</v>
      </c>
      <c r="M1895" s="6" t="s">
        <v>188</v>
      </c>
      <c r="N1895" s="6" t="s">
        <v>188</v>
      </c>
      <c r="O1895" s="6" t="s">
        <v>190</v>
      </c>
      <c r="P1895" s="7"/>
      <c r="Q1895" s="13"/>
      <c r="R1895" s="13"/>
      <c r="S1895" s="13"/>
      <c r="T1895" s="6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</row>
    <row r="1896">
      <c r="A1896" s="12">
        <v>52.0</v>
      </c>
      <c r="B1896" s="7" t="s">
        <v>584</v>
      </c>
      <c r="C1896" s="7" t="s">
        <v>1624</v>
      </c>
      <c r="I1896" s="10" t="s">
        <v>673</v>
      </c>
      <c r="J1896" s="13" t="s">
        <v>840</v>
      </c>
      <c r="K1896" s="13" t="s">
        <v>283</v>
      </c>
      <c r="L1896" s="13" t="s">
        <v>2384</v>
      </c>
      <c r="M1896" s="6" t="s">
        <v>188</v>
      </c>
      <c r="N1896" s="6" t="s">
        <v>188</v>
      </c>
      <c r="O1896" s="6" t="s">
        <v>190</v>
      </c>
      <c r="P1896" s="13" t="s">
        <v>715</v>
      </c>
      <c r="Q1896" s="13"/>
      <c r="R1896" s="13"/>
      <c r="S1896" s="13"/>
      <c r="T1896" s="6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</row>
    <row r="1897">
      <c r="A1897" s="12">
        <v>52.0</v>
      </c>
      <c r="B1897" s="7" t="s">
        <v>584</v>
      </c>
      <c r="C1897" s="7" t="s">
        <v>1624</v>
      </c>
      <c r="I1897" s="10" t="s">
        <v>641</v>
      </c>
      <c r="J1897" s="13" t="s">
        <v>841</v>
      </c>
      <c r="K1897" s="13" t="s">
        <v>303</v>
      </c>
      <c r="L1897" s="13" t="s">
        <v>2385</v>
      </c>
      <c r="M1897" s="6" t="s">
        <v>188</v>
      </c>
      <c r="N1897" s="6" t="s">
        <v>188</v>
      </c>
      <c r="O1897" s="6" t="s">
        <v>190</v>
      </c>
      <c r="P1897" s="7"/>
      <c r="Q1897" s="13"/>
      <c r="R1897" s="13"/>
      <c r="S1897" s="13"/>
      <c r="T1897" s="6"/>
      <c r="U1897" s="6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</row>
    <row r="1898">
      <c r="A1898" s="12">
        <v>52.0</v>
      </c>
      <c r="B1898" s="7" t="s">
        <v>584</v>
      </c>
      <c r="C1898" s="7" t="s">
        <v>1624</v>
      </c>
      <c r="I1898" s="10" t="s">
        <v>672</v>
      </c>
      <c r="J1898" s="13" t="s">
        <v>840</v>
      </c>
      <c r="K1898" s="13" t="s">
        <v>303</v>
      </c>
      <c r="L1898" s="13" t="s">
        <v>2386</v>
      </c>
      <c r="M1898" s="6" t="s">
        <v>188</v>
      </c>
      <c r="N1898" s="6" t="s">
        <v>188</v>
      </c>
      <c r="O1898" s="6" t="s">
        <v>190</v>
      </c>
      <c r="P1898" s="7"/>
      <c r="Q1898" s="13"/>
      <c r="R1898" s="13"/>
      <c r="S1898" s="13"/>
      <c r="T1898" s="6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</row>
    <row r="1899">
      <c r="A1899" s="12">
        <v>52.0</v>
      </c>
      <c r="B1899" s="7" t="s">
        <v>584</v>
      </c>
      <c r="C1899" s="7" t="s">
        <v>1624</v>
      </c>
      <c r="I1899" s="10" t="s">
        <v>657</v>
      </c>
      <c r="J1899" s="13" t="s">
        <v>841</v>
      </c>
      <c r="K1899" s="13" t="s">
        <v>303</v>
      </c>
      <c r="L1899" s="13" t="s">
        <v>2385</v>
      </c>
      <c r="M1899" s="6" t="s">
        <v>188</v>
      </c>
      <c r="N1899" s="6" t="s">
        <v>188</v>
      </c>
      <c r="O1899" s="6" t="s">
        <v>190</v>
      </c>
      <c r="P1899" s="13" t="s">
        <v>574</v>
      </c>
      <c r="Q1899" s="13"/>
      <c r="R1899" s="13"/>
      <c r="S1899" s="13"/>
      <c r="T1899" s="6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</row>
    <row r="1900">
      <c r="A1900" s="12">
        <v>52.0</v>
      </c>
      <c r="B1900" s="7" t="s">
        <v>584</v>
      </c>
      <c r="C1900" s="7" t="s">
        <v>1624</v>
      </c>
      <c r="I1900" s="10" t="s">
        <v>693</v>
      </c>
      <c r="J1900" s="13" t="s">
        <v>840</v>
      </c>
      <c r="K1900" s="13" t="s">
        <v>303</v>
      </c>
      <c r="L1900" s="13" t="s">
        <v>2387</v>
      </c>
      <c r="M1900" s="6" t="s">
        <v>188</v>
      </c>
      <c r="N1900" s="6" t="s">
        <v>188</v>
      </c>
      <c r="O1900" s="6" t="s">
        <v>190</v>
      </c>
      <c r="P1900" s="7"/>
      <c r="Q1900" s="13"/>
      <c r="R1900" s="13"/>
      <c r="S1900" s="13"/>
      <c r="T1900" s="6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</row>
    <row r="1901">
      <c r="A1901" s="12">
        <v>52.0</v>
      </c>
      <c r="B1901" s="7" t="s">
        <v>584</v>
      </c>
      <c r="C1901" s="7" t="s">
        <v>1624</v>
      </c>
      <c r="I1901" s="10" t="s">
        <v>591</v>
      </c>
      <c r="J1901" s="13" t="s">
        <v>841</v>
      </c>
      <c r="K1901" s="13" t="s">
        <v>303</v>
      </c>
      <c r="L1901" s="13" t="s">
        <v>2386</v>
      </c>
      <c r="M1901" s="6" t="s">
        <v>188</v>
      </c>
      <c r="N1901" s="6" t="s">
        <v>188</v>
      </c>
      <c r="O1901" s="6" t="s">
        <v>190</v>
      </c>
      <c r="P1901" s="7"/>
      <c r="Q1901" s="13"/>
      <c r="R1901" s="13"/>
      <c r="S1901" s="13"/>
      <c r="T1901" s="6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</row>
    <row r="1902">
      <c r="A1902" s="12">
        <v>52.0</v>
      </c>
      <c r="B1902" s="7" t="s">
        <v>584</v>
      </c>
      <c r="C1902" s="7" t="s">
        <v>1624</v>
      </c>
      <c r="I1902" s="10" t="s">
        <v>676</v>
      </c>
      <c r="J1902" s="13" t="s">
        <v>840</v>
      </c>
      <c r="K1902" s="13" t="s">
        <v>303</v>
      </c>
      <c r="L1902" s="13" t="s">
        <v>2387</v>
      </c>
      <c r="M1902" s="6" t="s">
        <v>188</v>
      </c>
      <c r="N1902" s="6" t="s">
        <v>188</v>
      </c>
      <c r="O1902" s="6" t="s">
        <v>190</v>
      </c>
      <c r="P1902" s="7"/>
      <c r="Q1902" s="13"/>
      <c r="R1902" s="13"/>
      <c r="S1902" s="13"/>
      <c r="T1902" s="6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</row>
    <row r="1903">
      <c r="A1903" s="12">
        <v>52.0</v>
      </c>
      <c r="B1903" s="7" t="s">
        <v>584</v>
      </c>
      <c r="C1903" s="7" t="s">
        <v>1624</v>
      </c>
      <c r="I1903" s="10" t="s">
        <v>679</v>
      </c>
      <c r="J1903" s="13" t="s">
        <v>841</v>
      </c>
      <c r="K1903" s="13" t="s">
        <v>303</v>
      </c>
      <c r="L1903" s="13" t="s">
        <v>2387</v>
      </c>
      <c r="M1903" s="6" t="s">
        <v>188</v>
      </c>
      <c r="N1903" s="6" t="s">
        <v>188</v>
      </c>
      <c r="O1903" s="6" t="s">
        <v>190</v>
      </c>
      <c r="P1903" s="7"/>
      <c r="Q1903" s="13"/>
      <c r="R1903" s="13"/>
      <c r="S1903" s="13"/>
      <c r="T1903" s="6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</row>
    <row r="1904">
      <c r="A1904" s="12">
        <v>52.0</v>
      </c>
      <c r="B1904" s="7" t="s">
        <v>584</v>
      </c>
      <c r="C1904" s="7" t="s">
        <v>1624</v>
      </c>
      <c r="I1904" s="10" t="s">
        <v>572</v>
      </c>
      <c r="J1904" s="13" t="s">
        <v>840</v>
      </c>
      <c r="K1904" s="13" t="s">
        <v>303</v>
      </c>
      <c r="L1904" s="13" t="s">
        <v>2385</v>
      </c>
      <c r="M1904" s="6" t="s">
        <v>188</v>
      </c>
      <c r="N1904" s="6" t="s">
        <v>188</v>
      </c>
      <c r="O1904" s="6" t="s">
        <v>190</v>
      </c>
      <c r="P1904" s="13" t="s">
        <v>574</v>
      </c>
      <c r="Q1904" s="13"/>
      <c r="R1904" s="13"/>
      <c r="S1904" s="13"/>
      <c r="T1904" s="6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</row>
    <row r="1905">
      <c r="A1905" s="12">
        <v>52.0</v>
      </c>
      <c r="B1905" s="7" t="s">
        <v>584</v>
      </c>
      <c r="C1905" s="7" t="s">
        <v>1624</v>
      </c>
      <c r="I1905" s="10" t="s">
        <v>296</v>
      </c>
      <c r="J1905" s="13" t="s">
        <v>841</v>
      </c>
      <c r="K1905" s="13" t="s">
        <v>303</v>
      </c>
      <c r="L1905" s="13" t="s">
        <v>2385</v>
      </c>
      <c r="M1905" s="6" t="s">
        <v>188</v>
      </c>
      <c r="N1905" s="6" t="s">
        <v>188</v>
      </c>
      <c r="O1905" s="6" t="s">
        <v>190</v>
      </c>
      <c r="P1905" s="7"/>
      <c r="Q1905" s="13"/>
      <c r="R1905" s="13"/>
      <c r="S1905" s="13"/>
      <c r="T1905" s="6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</row>
    <row r="1906">
      <c r="A1906" s="12">
        <v>52.0</v>
      </c>
      <c r="B1906" s="7" t="s">
        <v>584</v>
      </c>
      <c r="C1906" s="7" t="s">
        <v>1624</v>
      </c>
      <c r="I1906" s="10" t="s">
        <v>699</v>
      </c>
      <c r="J1906" s="13" t="s">
        <v>840</v>
      </c>
      <c r="K1906" s="13" t="s">
        <v>303</v>
      </c>
      <c r="L1906" s="13" t="s">
        <v>2387</v>
      </c>
      <c r="M1906" s="6" t="s">
        <v>188</v>
      </c>
      <c r="N1906" s="6" t="s">
        <v>188</v>
      </c>
      <c r="O1906" s="6" t="s">
        <v>190</v>
      </c>
      <c r="P1906" s="7"/>
      <c r="Q1906" s="13"/>
      <c r="R1906" s="13"/>
      <c r="S1906" s="13"/>
      <c r="T1906" s="6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</row>
    <row r="1907">
      <c r="A1907" s="12">
        <v>52.0</v>
      </c>
      <c r="B1907" s="7" t="s">
        <v>584</v>
      </c>
      <c r="C1907" s="7" t="s">
        <v>1624</v>
      </c>
      <c r="I1907" s="10" t="s">
        <v>658</v>
      </c>
      <c r="J1907" s="13" t="s">
        <v>841</v>
      </c>
      <c r="K1907" s="13" t="s">
        <v>303</v>
      </c>
      <c r="L1907" s="13" t="s">
        <v>2385</v>
      </c>
      <c r="M1907" s="6" t="s">
        <v>188</v>
      </c>
      <c r="N1907" s="6" t="s">
        <v>188</v>
      </c>
      <c r="O1907" s="6" t="s">
        <v>190</v>
      </c>
      <c r="P1907" s="7"/>
      <c r="Q1907" s="13"/>
      <c r="R1907" s="13"/>
      <c r="S1907" s="13"/>
      <c r="T1907" s="6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</row>
    <row r="1908">
      <c r="A1908" s="12">
        <v>52.0</v>
      </c>
      <c r="B1908" s="7" t="s">
        <v>584</v>
      </c>
      <c r="C1908" s="7" t="s">
        <v>1624</v>
      </c>
      <c r="I1908" s="10" t="s">
        <v>680</v>
      </c>
      <c r="J1908" s="13" t="s">
        <v>840</v>
      </c>
      <c r="K1908" s="13" t="s">
        <v>303</v>
      </c>
      <c r="L1908" s="13" t="s">
        <v>2385</v>
      </c>
      <c r="M1908" s="6" t="s">
        <v>188</v>
      </c>
      <c r="N1908" s="6" t="s">
        <v>188</v>
      </c>
      <c r="O1908" s="6" t="s">
        <v>190</v>
      </c>
      <c r="P1908" s="7"/>
      <c r="Q1908" s="13"/>
      <c r="R1908" s="13"/>
      <c r="S1908" s="13"/>
      <c r="T1908" s="6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</row>
    <row r="1909">
      <c r="A1909" s="12">
        <v>52.0</v>
      </c>
      <c r="B1909" s="7" t="s">
        <v>584</v>
      </c>
      <c r="C1909" s="7" t="s">
        <v>1624</v>
      </c>
      <c r="I1909" s="10" t="s">
        <v>575</v>
      </c>
      <c r="J1909" s="13" t="s">
        <v>841</v>
      </c>
      <c r="K1909" s="13" t="s">
        <v>303</v>
      </c>
      <c r="L1909" s="13" t="s">
        <v>2385</v>
      </c>
      <c r="M1909" s="6" t="s">
        <v>188</v>
      </c>
      <c r="N1909" s="6" t="s">
        <v>188</v>
      </c>
      <c r="O1909" s="6" t="s">
        <v>190</v>
      </c>
      <c r="P1909" s="13" t="s">
        <v>574</v>
      </c>
      <c r="Q1909" s="13"/>
      <c r="R1909" s="13"/>
      <c r="S1909" s="13"/>
      <c r="T1909" s="6"/>
      <c r="U1909" s="6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</row>
    <row r="1910">
      <c r="A1910" s="12">
        <v>52.0</v>
      </c>
      <c r="B1910" s="7" t="s">
        <v>584</v>
      </c>
      <c r="C1910" s="7" t="s">
        <v>1624</v>
      </c>
      <c r="I1910" s="10" t="s">
        <v>610</v>
      </c>
      <c r="J1910" s="13" t="s">
        <v>840</v>
      </c>
      <c r="K1910" s="13" t="s">
        <v>303</v>
      </c>
      <c r="L1910" s="13" t="s">
        <v>2386</v>
      </c>
      <c r="M1910" s="6" t="s">
        <v>188</v>
      </c>
      <c r="N1910" s="6" t="s">
        <v>188</v>
      </c>
      <c r="O1910" s="6" t="s">
        <v>190</v>
      </c>
      <c r="P1910" s="7"/>
      <c r="Q1910" s="13"/>
      <c r="R1910" s="13"/>
      <c r="S1910" s="13"/>
      <c r="T1910" s="6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</row>
    <row r="1911">
      <c r="A1911" s="12">
        <v>52.0</v>
      </c>
      <c r="B1911" s="7" t="s">
        <v>584</v>
      </c>
      <c r="C1911" s="7" t="s">
        <v>1624</v>
      </c>
      <c r="I1911" s="10" t="s">
        <v>2102</v>
      </c>
      <c r="J1911" s="13" t="s">
        <v>841</v>
      </c>
      <c r="K1911" s="13" t="s">
        <v>303</v>
      </c>
      <c r="L1911" s="13" t="s">
        <v>2387</v>
      </c>
      <c r="M1911" s="6" t="s">
        <v>188</v>
      </c>
      <c r="N1911" s="6" t="s">
        <v>188</v>
      </c>
      <c r="O1911" s="6" t="s">
        <v>190</v>
      </c>
      <c r="P1911" s="7"/>
      <c r="Q1911" s="13"/>
      <c r="R1911" s="13"/>
      <c r="S1911" s="13"/>
      <c r="T1911" s="6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</row>
    <row r="1912">
      <c r="A1912" s="12">
        <v>52.0</v>
      </c>
      <c r="B1912" s="7" t="s">
        <v>584</v>
      </c>
      <c r="C1912" s="7" t="s">
        <v>1624</v>
      </c>
      <c r="I1912" s="10" t="s">
        <v>589</v>
      </c>
      <c r="J1912" s="13" t="s">
        <v>840</v>
      </c>
      <c r="K1912" s="13" t="s">
        <v>303</v>
      </c>
      <c r="L1912" s="13" t="s">
        <v>2387</v>
      </c>
      <c r="M1912" s="6" t="s">
        <v>188</v>
      </c>
      <c r="N1912" s="6" t="s">
        <v>188</v>
      </c>
      <c r="O1912" s="6" t="s">
        <v>190</v>
      </c>
      <c r="P1912" s="7"/>
      <c r="Q1912" s="13"/>
      <c r="R1912" s="13"/>
      <c r="S1912" s="13"/>
      <c r="T1912" s="6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</row>
    <row r="1913">
      <c r="A1913" s="12">
        <v>52.0</v>
      </c>
      <c r="B1913" s="7" t="s">
        <v>584</v>
      </c>
      <c r="C1913" s="7" t="s">
        <v>1624</v>
      </c>
      <c r="I1913" s="10" t="s">
        <v>629</v>
      </c>
      <c r="J1913" s="13" t="s">
        <v>841</v>
      </c>
      <c r="K1913" s="13" t="s">
        <v>303</v>
      </c>
      <c r="L1913" s="13" t="s">
        <v>2385</v>
      </c>
      <c r="M1913" s="6" t="s">
        <v>188</v>
      </c>
      <c r="N1913" s="6" t="s">
        <v>188</v>
      </c>
      <c r="O1913" s="6" t="s">
        <v>190</v>
      </c>
      <c r="P1913" s="7"/>
      <c r="Q1913" s="13"/>
      <c r="R1913" s="13"/>
      <c r="S1913" s="13"/>
      <c r="T1913" s="6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</row>
    <row r="1914">
      <c r="A1914" s="12">
        <v>52.0</v>
      </c>
      <c r="B1914" s="7" t="s">
        <v>584</v>
      </c>
      <c r="C1914" s="7" t="s">
        <v>1624</v>
      </c>
      <c r="I1914" s="10" t="s">
        <v>615</v>
      </c>
      <c r="J1914" s="13" t="s">
        <v>840</v>
      </c>
      <c r="K1914" s="13" t="s">
        <v>303</v>
      </c>
      <c r="L1914" s="13" t="s">
        <v>2385</v>
      </c>
      <c r="M1914" s="6" t="s">
        <v>188</v>
      </c>
      <c r="N1914" s="6" t="s">
        <v>188</v>
      </c>
      <c r="O1914" s="6" t="s">
        <v>190</v>
      </c>
      <c r="P1914" s="7"/>
      <c r="Q1914" s="13"/>
      <c r="R1914" s="13"/>
      <c r="S1914" s="13"/>
      <c r="T1914" s="6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</row>
    <row r="1915">
      <c r="A1915" s="12">
        <v>52.0</v>
      </c>
      <c r="B1915" s="7" t="s">
        <v>584</v>
      </c>
      <c r="C1915" s="7" t="s">
        <v>1624</v>
      </c>
      <c r="I1915" s="10" t="s">
        <v>612</v>
      </c>
      <c r="J1915" s="13" t="s">
        <v>841</v>
      </c>
      <c r="K1915" s="13" t="s">
        <v>303</v>
      </c>
      <c r="L1915" s="13" t="s">
        <v>2386</v>
      </c>
      <c r="M1915" s="6" t="s">
        <v>188</v>
      </c>
      <c r="N1915" s="6" t="s">
        <v>188</v>
      </c>
      <c r="O1915" s="6" t="s">
        <v>190</v>
      </c>
      <c r="P1915" s="7"/>
      <c r="Q1915" s="13"/>
      <c r="R1915" s="13"/>
      <c r="S1915" s="13"/>
      <c r="T1915" s="6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</row>
    <row r="1916">
      <c r="A1916" s="12">
        <v>52.0</v>
      </c>
      <c r="B1916" s="7" t="s">
        <v>584</v>
      </c>
      <c r="C1916" s="7" t="s">
        <v>1624</v>
      </c>
      <c r="I1916" s="10" t="s">
        <v>682</v>
      </c>
      <c r="J1916" s="13" t="s">
        <v>840</v>
      </c>
      <c r="K1916" s="13" t="s">
        <v>303</v>
      </c>
      <c r="L1916" s="13" t="s">
        <v>2385</v>
      </c>
      <c r="M1916" s="6" t="s">
        <v>188</v>
      </c>
      <c r="N1916" s="6" t="s">
        <v>188</v>
      </c>
      <c r="O1916" s="6" t="s">
        <v>190</v>
      </c>
      <c r="P1916" s="7"/>
      <c r="Q1916" s="13"/>
      <c r="R1916" s="13"/>
      <c r="S1916" s="13"/>
      <c r="T1916" s="6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</row>
    <row r="1917">
      <c r="A1917" s="12">
        <v>52.0</v>
      </c>
      <c r="B1917" s="7" t="s">
        <v>584</v>
      </c>
      <c r="C1917" s="7" t="s">
        <v>1624</v>
      </c>
      <c r="I1917" s="10" t="s">
        <v>2388</v>
      </c>
      <c r="J1917" s="13" t="s">
        <v>841</v>
      </c>
      <c r="K1917" s="13" t="s">
        <v>303</v>
      </c>
      <c r="L1917" s="13" t="s">
        <v>2387</v>
      </c>
      <c r="M1917" s="6" t="s">
        <v>188</v>
      </c>
      <c r="N1917" s="6" t="s">
        <v>188</v>
      </c>
      <c r="O1917" s="6" t="s">
        <v>190</v>
      </c>
      <c r="P1917" s="7"/>
      <c r="Q1917" s="13"/>
      <c r="R1917" s="13"/>
      <c r="S1917" s="13"/>
      <c r="T1917" s="6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</row>
    <row r="1918">
      <c r="A1918" s="12">
        <v>52.0</v>
      </c>
      <c r="B1918" s="7" t="s">
        <v>584</v>
      </c>
      <c r="C1918" s="7" t="s">
        <v>1624</v>
      </c>
      <c r="I1918" s="10" t="s">
        <v>578</v>
      </c>
      <c r="J1918" s="13" t="s">
        <v>840</v>
      </c>
      <c r="K1918" s="13" t="s">
        <v>303</v>
      </c>
      <c r="L1918" s="13" t="s">
        <v>2386</v>
      </c>
      <c r="M1918" s="6" t="s">
        <v>188</v>
      </c>
      <c r="N1918" s="6" t="s">
        <v>188</v>
      </c>
      <c r="O1918" s="6" t="s">
        <v>190</v>
      </c>
      <c r="P1918" s="7"/>
      <c r="Q1918" s="13"/>
      <c r="R1918" s="13"/>
      <c r="S1918" s="13"/>
      <c r="T1918" s="6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</row>
    <row r="1919">
      <c r="A1919" s="12">
        <v>52.0</v>
      </c>
      <c r="B1919" s="7" t="s">
        <v>584</v>
      </c>
      <c r="C1919" s="7" t="s">
        <v>1624</v>
      </c>
      <c r="I1919" s="10" t="s">
        <v>557</v>
      </c>
      <c r="J1919" s="13" t="s">
        <v>841</v>
      </c>
      <c r="K1919" s="13" t="s">
        <v>303</v>
      </c>
      <c r="L1919" s="13" t="s">
        <v>2386</v>
      </c>
      <c r="M1919" s="6" t="s">
        <v>188</v>
      </c>
      <c r="N1919" s="6" t="s">
        <v>188</v>
      </c>
      <c r="O1919" s="6" t="s">
        <v>190</v>
      </c>
      <c r="P1919" s="7"/>
      <c r="Q1919" s="13"/>
      <c r="R1919" s="13"/>
      <c r="S1919" s="13"/>
      <c r="T1919" s="6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</row>
    <row r="1920">
      <c r="A1920" s="12">
        <v>52.0</v>
      </c>
      <c r="B1920" s="7" t="s">
        <v>584</v>
      </c>
      <c r="C1920" s="7" t="s">
        <v>1624</v>
      </c>
      <c r="I1920" s="10" t="s">
        <v>2345</v>
      </c>
      <c r="J1920" s="13" t="s">
        <v>840</v>
      </c>
      <c r="K1920" s="13" t="s">
        <v>303</v>
      </c>
      <c r="L1920" s="13" t="s">
        <v>2387</v>
      </c>
      <c r="M1920" s="6" t="s">
        <v>188</v>
      </c>
      <c r="N1920" s="6" t="s">
        <v>188</v>
      </c>
      <c r="O1920" s="6" t="s">
        <v>190</v>
      </c>
      <c r="P1920" s="7"/>
      <c r="Q1920" s="13"/>
      <c r="R1920" s="13"/>
      <c r="S1920" s="13"/>
      <c r="T1920" s="6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</row>
    <row r="1921">
      <c r="A1921" s="12">
        <v>52.0</v>
      </c>
      <c r="B1921" s="7" t="s">
        <v>584</v>
      </c>
      <c r="C1921" s="7" t="s">
        <v>1624</v>
      </c>
      <c r="I1921" s="10" t="s">
        <v>583</v>
      </c>
      <c r="J1921" s="13" t="s">
        <v>841</v>
      </c>
      <c r="K1921" s="13" t="s">
        <v>303</v>
      </c>
      <c r="L1921" s="13" t="s">
        <v>2386</v>
      </c>
      <c r="M1921" s="6" t="s">
        <v>188</v>
      </c>
      <c r="N1921" s="6" t="s">
        <v>188</v>
      </c>
      <c r="O1921" s="6" t="s">
        <v>190</v>
      </c>
      <c r="P1921" s="7"/>
      <c r="Q1921" s="13"/>
      <c r="R1921" s="13"/>
      <c r="S1921" s="13"/>
      <c r="T1921" s="6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</row>
    <row r="1922">
      <c r="A1922" s="12">
        <v>52.0</v>
      </c>
      <c r="B1922" s="7" t="s">
        <v>584</v>
      </c>
      <c r="C1922" s="7" t="s">
        <v>1624</v>
      </c>
      <c r="I1922" s="10" t="s">
        <v>633</v>
      </c>
      <c r="J1922" s="13" t="s">
        <v>840</v>
      </c>
      <c r="K1922" s="13" t="s">
        <v>303</v>
      </c>
      <c r="L1922" s="13" t="s">
        <v>2386</v>
      </c>
      <c r="M1922" s="6" t="s">
        <v>188</v>
      </c>
      <c r="N1922" s="6" t="s">
        <v>188</v>
      </c>
      <c r="O1922" s="6" t="s">
        <v>190</v>
      </c>
      <c r="P1922" s="7"/>
      <c r="Q1922" s="13"/>
      <c r="R1922" s="13"/>
      <c r="S1922" s="13"/>
      <c r="T1922" s="6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</row>
    <row r="1923">
      <c r="A1923" s="12">
        <v>52.0</v>
      </c>
      <c r="B1923" s="7" t="s">
        <v>584</v>
      </c>
      <c r="C1923" s="7" t="s">
        <v>1624</v>
      </c>
      <c r="I1923" s="10" t="s">
        <v>683</v>
      </c>
      <c r="J1923" s="13" t="s">
        <v>841</v>
      </c>
      <c r="K1923" s="13" t="s">
        <v>303</v>
      </c>
      <c r="L1923" s="13" t="s">
        <v>2387</v>
      </c>
      <c r="M1923" s="6" t="s">
        <v>188</v>
      </c>
      <c r="N1923" s="6" t="s">
        <v>188</v>
      </c>
      <c r="O1923" s="6" t="s">
        <v>190</v>
      </c>
      <c r="P1923" s="7"/>
      <c r="Q1923" s="13"/>
      <c r="R1923" s="13"/>
      <c r="S1923" s="13"/>
      <c r="T1923" s="6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</row>
    <row r="1924">
      <c r="A1924" s="12">
        <v>52.0</v>
      </c>
      <c r="B1924" s="7" t="s">
        <v>584</v>
      </c>
      <c r="C1924" s="7" t="s">
        <v>1624</v>
      </c>
      <c r="I1924" s="10" t="s">
        <v>585</v>
      </c>
      <c r="J1924" s="13" t="s">
        <v>840</v>
      </c>
      <c r="K1924" s="13" t="s">
        <v>303</v>
      </c>
      <c r="L1924" s="13" t="s">
        <v>2385</v>
      </c>
      <c r="M1924" s="6" t="s">
        <v>188</v>
      </c>
      <c r="N1924" s="6" t="s">
        <v>188</v>
      </c>
      <c r="O1924" s="6" t="s">
        <v>190</v>
      </c>
      <c r="P1924" s="7"/>
      <c r="Q1924" s="13"/>
      <c r="R1924" s="13"/>
      <c r="S1924" s="13"/>
      <c r="T1924" s="6"/>
      <c r="U1924" s="6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</row>
    <row r="1925">
      <c r="A1925" s="12">
        <v>52.0</v>
      </c>
      <c r="B1925" s="7" t="s">
        <v>584</v>
      </c>
      <c r="C1925" s="7" t="s">
        <v>1624</v>
      </c>
      <c r="I1925" s="10" t="s">
        <v>694</v>
      </c>
      <c r="J1925" s="13" t="s">
        <v>841</v>
      </c>
      <c r="K1925" s="13" t="s">
        <v>303</v>
      </c>
      <c r="L1925" s="13" t="s">
        <v>2387</v>
      </c>
      <c r="M1925" s="6" t="s">
        <v>188</v>
      </c>
      <c r="N1925" s="6" t="s">
        <v>188</v>
      </c>
      <c r="O1925" s="6" t="s">
        <v>190</v>
      </c>
      <c r="P1925" s="7"/>
      <c r="Q1925" s="13"/>
      <c r="R1925" s="13"/>
      <c r="S1925" s="13"/>
      <c r="T1925" s="6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</row>
    <row r="1926">
      <c r="A1926" s="12">
        <v>52.0</v>
      </c>
      <c r="B1926" s="7" t="s">
        <v>584</v>
      </c>
      <c r="C1926" s="7" t="s">
        <v>1624</v>
      </c>
      <c r="I1926" s="10" t="s">
        <v>587</v>
      </c>
      <c r="J1926" s="13" t="s">
        <v>840</v>
      </c>
      <c r="K1926" s="13" t="s">
        <v>303</v>
      </c>
      <c r="L1926" s="13" t="s">
        <v>2385</v>
      </c>
      <c r="M1926" s="6" t="s">
        <v>188</v>
      </c>
      <c r="N1926" s="6" t="s">
        <v>188</v>
      </c>
      <c r="O1926" s="6" t="s">
        <v>190</v>
      </c>
      <c r="P1926" s="13" t="s">
        <v>574</v>
      </c>
      <c r="Q1926" s="13"/>
      <c r="R1926" s="13"/>
      <c r="S1926" s="13"/>
      <c r="T1926" s="6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</row>
    <row r="1927">
      <c r="A1927" s="12">
        <v>52.0</v>
      </c>
      <c r="B1927" s="7" t="s">
        <v>584</v>
      </c>
      <c r="C1927" s="7" t="s">
        <v>1624</v>
      </c>
      <c r="I1927" s="10" t="s">
        <v>684</v>
      </c>
      <c r="J1927" s="13" t="s">
        <v>841</v>
      </c>
      <c r="K1927" s="13" t="s">
        <v>303</v>
      </c>
      <c r="L1927" s="13" t="s">
        <v>2387</v>
      </c>
      <c r="M1927" s="6" t="s">
        <v>188</v>
      </c>
      <c r="N1927" s="6" t="s">
        <v>188</v>
      </c>
      <c r="O1927" s="6" t="s">
        <v>190</v>
      </c>
      <c r="P1927" s="7"/>
      <c r="Q1927" s="13"/>
      <c r="R1927" s="13"/>
      <c r="S1927" s="13"/>
      <c r="T1927" s="6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</row>
    <row r="1928">
      <c r="A1928" s="12">
        <v>52.0</v>
      </c>
      <c r="B1928" s="7" t="s">
        <v>584</v>
      </c>
      <c r="C1928" s="7" t="s">
        <v>1624</v>
      </c>
      <c r="I1928" s="10" t="s">
        <v>685</v>
      </c>
      <c r="J1928" s="13" t="s">
        <v>840</v>
      </c>
      <c r="K1928" s="13" t="s">
        <v>303</v>
      </c>
      <c r="L1928" s="13" t="s">
        <v>2386</v>
      </c>
      <c r="M1928" s="6" t="s">
        <v>188</v>
      </c>
      <c r="N1928" s="6" t="s">
        <v>188</v>
      </c>
      <c r="O1928" s="6" t="s">
        <v>190</v>
      </c>
      <c r="P1928" s="7"/>
      <c r="Q1928" s="13"/>
      <c r="R1928" s="13"/>
      <c r="S1928" s="13"/>
      <c r="T1928" s="6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</row>
    <row r="1929">
      <c r="A1929" s="12">
        <v>52.0</v>
      </c>
      <c r="B1929" s="7" t="s">
        <v>584</v>
      </c>
      <c r="C1929" s="7" t="s">
        <v>1624</v>
      </c>
      <c r="I1929" s="10" t="s">
        <v>634</v>
      </c>
      <c r="J1929" s="13" t="s">
        <v>841</v>
      </c>
      <c r="K1929" s="13" t="s">
        <v>303</v>
      </c>
      <c r="L1929" s="13" t="s">
        <v>2386</v>
      </c>
      <c r="M1929" s="6" t="s">
        <v>188</v>
      </c>
      <c r="N1929" s="6" t="s">
        <v>188</v>
      </c>
      <c r="O1929" s="6" t="s">
        <v>190</v>
      </c>
      <c r="P1929" s="7"/>
      <c r="Q1929" s="13"/>
      <c r="R1929" s="13"/>
      <c r="S1929" s="13"/>
      <c r="T1929" s="6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</row>
    <row r="1930">
      <c r="A1930" s="12">
        <v>52.0</v>
      </c>
      <c r="B1930" s="7" t="s">
        <v>584</v>
      </c>
      <c r="C1930" s="7" t="s">
        <v>1624</v>
      </c>
      <c r="I1930" s="10" t="s">
        <v>688</v>
      </c>
      <c r="J1930" s="13" t="s">
        <v>840</v>
      </c>
      <c r="K1930" s="13" t="s">
        <v>303</v>
      </c>
      <c r="L1930" s="13" t="s">
        <v>2387</v>
      </c>
      <c r="M1930" s="6" t="s">
        <v>188</v>
      </c>
      <c r="N1930" s="6" t="s">
        <v>188</v>
      </c>
      <c r="O1930" s="6" t="s">
        <v>190</v>
      </c>
      <c r="P1930" s="7"/>
      <c r="Q1930" s="13"/>
      <c r="R1930" s="13"/>
      <c r="S1930" s="13"/>
      <c r="T1930" s="6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</row>
    <row r="1931">
      <c r="A1931" s="12">
        <v>52.0</v>
      </c>
      <c r="B1931" s="7" t="s">
        <v>584</v>
      </c>
      <c r="C1931" s="7" t="s">
        <v>1624</v>
      </c>
      <c r="I1931" s="10" t="s">
        <v>689</v>
      </c>
      <c r="J1931" s="13" t="s">
        <v>841</v>
      </c>
      <c r="K1931" s="13" t="s">
        <v>303</v>
      </c>
      <c r="L1931" s="13" t="s">
        <v>2385</v>
      </c>
      <c r="M1931" s="6" t="s">
        <v>188</v>
      </c>
      <c r="N1931" s="6" t="s">
        <v>188</v>
      </c>
      <c r="O1931" s="6" t="s">
        <v>190</v>
      </c>
      <c r="P1931" s="7"/>
      <c r="Q1931" s="13"/>
      <c r="R1931" s="13"/>
      <c r="S1931" s="13"/>
      <c r="T1931" s="6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</row>
    <row r="1932">
      <c r="A1932" s="12">
        <v>52.0</v>
      </c>
      <c r="B1932" s="7" t="s">
        <v>584</v>
      </c>
      <c r="C1932" s="7" t="s">
        <v>1624</v>
      </c>
      <c r="I1932" s="10" t="s">
        <v>635</v>
      </c>
      <c r="J1932" s="13" t="s">
        <v>840</v>
      </c>
      <c r="K1932" s="13" t="s">
        <v>303</v>
      </c>
      <c r="L1932" s="13" t="s">
        <v>2385</v>
      </c>
      <c r="M1932" s="6" t="s">
        <v>188</v>
      </c>
      <c r="N1932" s="6" t="s">
        <v>188</v>
      </c>
      <c r="O1932" s="6" t="s">
        <v>190</v>
      </c>
      <c r="P1932" s="7"/>
      <c r="Q1932" s="13"/>
      <c r="R1932" s="13"/>
      <c r="S1932" s="13"/>
      <c r="T1932" s="6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</row>
    <row r="1933">
      <c r="A1933" s="12">
        <v>52.0</v>
      </c>
      <c r="B1933" s="7" t="s">
        <v>584</v>
      </c>
      <c r="C1933" s="7" t="s">
        <v>1624</v>
      </c>
      <c r="I1933" s="10" t="s">
        <v>2389</v>
      </c>
      <c r="J1933" s="13" t="s">
        <v>841</v>
      </c>
      <c r="K1933" s="13" t="s">
        <v>303</v>
      </c>
      <c r="L1933" s="13" t="s">
        <v>2387</v>
      </c>
      <c r="M1933" s="6" t="s">
        <v>188</v>
      </c>
      <c r="N1933" s="6" t="s">
        <v>188</v>
      </c>
      <c r="O1933" s="6" t="s">
        <v>190</v>
      </c>
      <c r="P1933" s="7"/>
      <c r="Q1933" s="13"/>
      <c r="R1933" s="13"/>
      <c r="S1933" s="13"/>
      <c r="T1933" s="6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</row>
    <row r="1934">
      <c r="A1934" s="12">
        <v>52.0</v>
      </c>
      <c r="B1934" s="7" t="s">
        <v>584</v>
      </c>
      <c r="C1934" s="7" t="s">
        <v>1624</v>
      </c>
      <c r="I1934" s="10" t="s">
        <v>637</v>
      </c>
      <c r="J1934" s="13" t="s">
        <v>840</v>
      </c>
      <c r="K1934" s="13" t="s">
        <v>303</v>
      </c>
      <c r="L1934" s="13" t="s">
        <v>2386</v>
      </c>
      <c r="M1934" s="6" t="s">
        <v>188</v>
      </c>
      <c r="N1934" s="6" t="s">
        <v>188</v>
      </c>
      <c r="O1934" s="6" t="s">
        <v>190</v>
      </c>
      <c r="P1934" s="7"/>
      <c r="Q1934" s="13"/>
      <c r="R1934" s="13"/>
      <c r="S1934" s="13"/>
      <c r="T1934" s="6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</row>
    <row r="1935">
      <c r="A1935" s="12">
        <v>52.0</v>
      </c>
      <c r="B1935" s="7" t="s">
        <v>584</v>
      </c>
      <c r="C1935" s="7" t="s">
        <v>1624</v>
      </c>
      <c r="I1935" s="10" t="s">
        <v>647</v>
      </c>
      <c r="J1935" s="13" t="s">
        <v>841</v>
      </c>
      <c r="K1935" s="13" t="s">
        <v>303</v>
      </c>
      <c r="L1935" s="13" t="s">
        <v>2390</v>
      </c>
      <c r="M1935" s="6" t="s">
        <v>188</v>
      </c>
      <c r="N1935" s="6" t="s">
        <v>188</v>
      </c>
      <c r="O1935" s="6" t="s">
        <v>190</v>
      </c>
      <c r="P1935" s="7"/>
      <c r="Q1935" s="13"/>
      <c r="R1935" s="13"/>
      <c r="S1935" s="13"/>
      <c r="T1935" s="6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</row>
    <row r="1936">
      <c r="A1936" s="12">
        <v>52.0</v>
      </c>
      <c r="B1936" s="7" t="s">
        <v>584</v>
      </c>
      <c r="C1936" s="7" t="s">
        <v>1624</v>
      </c>
      <c r="I1936" s="10" t="s">
        <v>2173</v>
      </c>
      <c r="J1936" s="13" t="s">
        <v>840</v>
      </c>
      <c r="K1936" s="13" t="s">
        <v>303</v>
      </c>
      <c r="L1936" s="13" t="s">
        <v>2387</v>
      </c>
      <c r="M1936" s="6" t="s">
        <v>188</v>
      </c>
      <c r="N1936" s="6" t="s">
        <v>188</v>
      </c>
      <c r="O1936" s="6" t="s">
        <v>190</v>
      </c>
      <c r="P1936" s="7"/>
      <c r="Q1936" s="13"/>
      <c r="R1936" s="13"/>
      <c r="S1936" s="13"/>
      <c r="T1936" s="6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</row>
    <row r="1937">
      <c r="A1937" s="12">
        <v>52.0</v>
      </c>
      <c r="B1937" s="7" t="s">
        <v>584</v>
      </c>
      <c r="C1937" s="7" t="s">
        <v>1624</v>
      </c>
      <c r="I1937" s="10" t="s">
        <v>695</v>
      </c>
      <c r="J1937" s="13" t="s">
        <v>841</v>
      </c>
      <c r="K1937" s="13" t="s">
        <v>303</v>
      </c>
      <c r="L1937" s="13" t="s">
        <v>2386</v>
      </c>
      <c r="M1937" s="6" t="s">
        <v>188</v>
      </c>
      <c r="N1937" s="6" t="s">
        <v>188</v>
      </c>
      <c r="O1937" s="6" t="s">
        <v>190</v>
      </c>
      <c r="P1937" s="7"/>
      <c r="Q1937" s="13"/>
      <c r="R1937" s="13"/>
      <c r="S1937" s="13"/>
      <c r="T1937" s="6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</row>
    <row r="1938">
      <c r="A1938" s="12">
        <v>52.0</v>
      </c>
      <c r="B1938" s="7" t="s">
        <v>584</v>
      </c>
      <c r="C1938" s="7" t="s">
        <v>1624</v>
      </c>
      <c r="I1938" s="10" t="s">
        <v>630</v>
      </c>
      <c r="J1938" s="13" t="s">
        <v>840</v>
      </c>
      <c r="K1938" s="13" t="s">
        <v>303</v>
      </c>
      <c r="L1938" s="13" t="s">
        <v>2386</v>
      </c>
      <c r="M1938" s="6" t="s">
        <v>188</v>
      </c>
      <c r="N1938" s="6" t="s">
        <v>188</v>
      </c>
      <c r="O1938" s="6" t="s">
        <v>190</v>
      </c>
      <c r="P1938" s="7"/>
      <c r="Q1938" s="13"/>
      <c r="R1938" s="13"/>
      <c r="S1938" s="13"/>
      <c r="T1938" s="6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</row>
    <row r="1939">
      <c r="A1939" s="12">
        <v>52.0</v>
      </c>
      <c r="B1939" s="7" t="s">
        <v>584</v>
      </c>
      <c r="C1939" s="7" t="s">
        <v>1624</v>
      </c>
      <c r="I1939" s="10" t="s">
        <v>649</v>
      </c>
      <c r="J1939" s="13" t="s">
        <v>841</v>
      </c>
      <c r="K1939" s="13" t="s">
        <v>303</v>
      </c>
      <c r="L1939" s="13" t="s">
        <v>2387</v>
      </c>
      <c r="M1939" s="6" t="s">
        <v>188</v>
      </c>
      <c r="N1939" s="6" t="s">
        <v>188</v>
      </c>
      <c r="O1939" s="6" t="s">
        <v>190</v>
      </c>
      <c r="P1939" s="7"/>
      <c r="Q1939" s="13"/>
      <c r="R1939" s="13"/>
      <c r="S1939" s="13"/>
      <c r="T1939" s="6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</row>
    <row r="1940">
      <c r="A1940" s="12">
        <v>52.0</v>
      </c>
      <c r="B1940" s="7" t="s">
        <v>584</v>
      </c>
      <c r="C1940" s="7" t="s">
        <v>1624</v>
      </c>
      <c r="I1940" s="10" t="s">
        <v>590</v>
      </c>
      <c r="J1940" s="13" t="s">
        <v>840</v>
      </c>
      <c r="K1940" s="13" t="s">
        <v>303</v>
      </c>
      <c r="L1940" s="13" t="s">
        <v>2386</v>
      </c>
      <c r="M1940" s="6" t="s">
        <v>188</v>
      </c>
      <c r="N1940" s="6" t="s">
        <v>188</v>
      </c>
      <c r="O1940" s="6" t="s">
        <v>190</v>
      </c>
      <c r="P1940" s="7"/>
      <c r="Q1940" s="13"/>
      <c r="R1940" s="13"/>
      <c r="S1940" s="13"/>
      <c r="T1940" s="6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</row>
    <row r="1941">
      <c r="A1941" s="12">
        <v>52.0</v>
      </c>
      <c r="B1941" s="7" t="s">
        <v>584</v>
      </c>
      <c r="C1941" s="7" t="s">
        <v>1624</v>
      </c>
      <c r="I1941" s="10" t="s">
        <v>481</v>
      </c>
      <c r="J1941" s="13" t="s">
        <v>841</v>
      </c>
      <c r="K1941" s="13" t="s">
        <v>303</v>
      </c>
      <c r="L1941" s="13" t="s">
        <v>2387</v>
      </c>
      <c r="M1941" s="6" t="s">
        <v>188</v>
      </c>
      <c r="N1941" s="6" t="s">
        <v>188</v>
      </c>
      <c r="O1941" s="6" t="s">
        <v>190</v>
      </c>
      <c r="P1941" s="7"/>
      <c r="Q1941" s="13"/>
      <c r="R1941" s="13"/>
      <c r="S1941" s="13"/>
      <c r="T1941" s="6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</row>
    <row r="1942">
      <c r="A1942" s="12">
        <v>53.0</v>
      </c>
      <c r="B1942" s="7" t="s">
        <v>586</v>
      </c>
      <c r="C1942" s="7" t="s">
        <v>1624</v>
      </c>
      <c r="D1942" s="26">
        <f>IF(COUNTIF($B$2:$B1942,$B1942)&gt;1,"",COUNTIF($B$2:$B$3400,$B1942))</f>
        <v>30</v>
      </c>
      <c r="E1942" s="26">
        <f>IF(COUNTIF($B$2:$B1942,$B1942)&gt;1,"",COUNTIFS($B$2:$B$3400,$B1942,$K$2:$K$3400,"PHÙ HỢP CAO"))</f>
        <v>2</v>
      </c>
      <c r="F1942" s="26">
        <f>IF(COUNTIF($B$2:$B1942,$B1942)&gt;1,"",COUNTIFS($B$2:$B$3400,$B1942,$K$2:$K$3400,"CÓ THỂ ĐI"))</f>
        <v>3</v>
      </c>
      <c r="G1942" s="26">
        <f>IF(COUNTIF($B$2:$B1942,$B1942)&gt;1,"",COUNTIFS($B$2:$B$3400,$B1942,$K$2:$K$3400,"CẦN SOÁT"))</f>
        <v>25</v>
      </c>
      <c r="H1942" s="27" t="str">
        <f>IFERROR(__xludf.DUMMYFUNCTION("IF(COUNTIF($B$2:$B1942,$B1942)&gt;1,"""",IFERROR(TEXTJOIN(CHAR(10),TRUE,BYROW(QUERY({$B$2:$B$3400,$J$2:$J$3400},""select Col2, count(Col2) where Col1 = '""&amp;$B1942&amp;""' group by Col2 order by count(Col2) desc label count(Col2) ''"",0),LAMBDA(r,INDEX(r,1,1)&amp;"" "&amp;"– ""&amp;INDEX(r,1,2)&amp;"" link""))),""""))"),"mô hình kinh doanh – 15 link
mô hình kinh doanh là gì – 15 link")</f>
        <v>mô hình kinh doanh – 15 link
mô hình kinh doanh là gì – 15 link</v>
      </c>
      <c r="I1942" s="10" t="s">
        <v>1634</v>
      </c>
      <c r="J1942" s="13" t="s">
        <v>1636</v>
      </c>
      <c r="K1942" s="13" t="s">
        <v>184</v>
      </c>
      <c r="L1942" s="13" t="s">
        <v>2391</v>
      </c>
      <c r="M1942" s="6" t="s">
        <v>188</v>
      </c>
      <c r="N1942" s="6" t="s">
        <v>188</v>
      </c>
      <c r="O1942" s="6" t="s">
        <v>190</v>
      </c>
      <c r="P1942" s="7"/>
      <c r="Q1942" s="13"/>
      <c r="R1942" s="13"/>
      <c r="S1942" s="13"/>
      <c r="T1942" s="6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</row>
    <row r="1943">
      <c r="A1943" s="12">
        <v>53.0</v>
      </c>
      <c r="B1943" s="7" t="s">
        <v>586</v>
      </c>
      <c r="C1943" s="7" t="s">
        <v>1624</v>
      </c>
      <c r="I1943" s="10" t="s">
        <v>1637</v>
      </c>
      <c r="J1943" s="13" t="s">
        <v>1639</v>
      </c>
      <c r="K1943" s="13" t="s">
        <v>184</v>
      </c>
      <c r="L1943" s="13" t="s">
        <v>2392</v>
      </c>
      <c r="M1943" s="6" t="s">
        <v>188</v>
      </c>
      <c r="N1943" s="6" t="s">
        <v>188</v>
      </c>
      <c r="O1943" s="6" t="s">
        <v>190</v>
      </c>
      <c r="P1943" s="13" t="s">
        <v>715</v>
      </c>
      <c r="Q1943" s="13"/>
      <c r="R1943" s="13"/>
      <c r="S1943" s="13"/>
      <c r="T1943" s="6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</row>
    <row r="1944">
      <c r="A1944" s="12">
        <v>53.0</v>
      </c>
      <c r="B1944" s="7" t="s">
        <v>586</v>
      </c>
      <c r="C1944" s="7" t="s">
        <v>1624</v>
      </c>
      <c r="I1944" s="10" t="s">
        <v>632</v>
      </c>
      <c r="J1944" s="13" t="s">
        <v>1636</v>
      </c>
      <c r="K1944" s="13" t="s">
        <v>283</v>
      </c>
      <c r="L1944" s="13" t="s">
        <v>2393</v>
      </c>
      <c r="M1944" s="6" t="s">
        <v>188</v>
      </c>
      <c r="N1944" s="6" t="s">
        <v>188</v>
      </c>
      <c r="O1944" s="6" t="s">
        <v>190</v>
      </c>
      <c r="P1944" s="7"/>
      <c r="Q1944" s="13"/>
      <c r="R1944" s="13"/>
      <c r="S1944" s="13"/>
      <c r="T1944" s="6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</row>
    <row r="1945">
      <c r="A1945" s="12">
        <v>53.0</v>
      </c>
      <c r="B1945" s="7" t="s">
        <v>586</v>
      </c>
      <c r="C1945" s="7" t="s">
        <v>1624</v>
      </c>
      <c r="I1945" s="10" t="s">
        <v>2394</v>
      </c>
      <c r="J1945" s="13" t="s">
        <v>1639</v>
      </c>
      <c r="K1945" s="13" t="s">
        <v>283</v>
      </c>
      <c r="L1945" s="13" t="s">
        <v>2395</v>
      </c>
      <c r="M1945" s="6" t="s">
        <v>188</v>
      </c>
      <c r="N1945" s="6" t="s">
        <v>188</v>
      </c>
      <c r="O1945" s="6" t="s">
        <v>190</v>
      </c>
      <c r="P1945" s="7"/>
      <c r="Q1945" s="13"/>
      <c r="R1945" s="13"/>
      <c r="S1945" s="13"/>
      <c r="T1945" s="6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</row>
    <row r="1946">
      <c r="A1946" s="12">
        <v>53.0</v>
      </c>
      <c r="B1946" s="7" t="s">
        <v>586</v>
      </c>
      <c r="C1946" s="7" t="s">
        <v>1624</v>
      </c>
      <c r="I1946" s="10" t="s">
        <v>2396</v>
      </c>
      <c r="J1946" s="13" t="s">
        <v>1636</v>
      </c>
      <c r="K1946" s="13" t="s">
        <v>283</v>
      </c>
      <c r="L1946" s="13" t="s">
        <v>2397</v>
      </c>
      <c r="M1946" s="6" t="s">
        <v>188</v>
      </c>
      <c r="N1946" s="6" t="s">
        <v>188</v>
      </c>
      <c r="O1946" s="6" t="s">
        <v>190</v>
      </c>
      <c r="P1946" s="7"/>
      <c r="Q1946" s="13"/>
      <c r="R1946" s="13"/>
      <c r="S1946" s="13"/>
      <c r="T1946" s="6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</row>
    <row r="1947">
      <c r="A1947" s="12">
        <v>53.0</v>
      </c>
      <c r="B1947" s="7" t="s">
        <v>586</v>
      </c>
      <c r="C1947" s="7" t="s">
        <v>1624</v>
      </c>
      <c r="I1947" s="10" t="s">
        <v>866</v>
      </c>
      <c r="J1947" s="13" t="s">
        <v>1639</v>
      </c>
      <c r="K1947" s="13" t="s">
        <v>303</v>
      </c>
      <c r="L1947" s="13" t="s">
        <v>2398</v>
      </c>
      <c r="M1947" s="6" t="s">
        <v>188</v>
      </c>
      <c r="N1947" s="6" t="s">
        <v>188</v>
      </c>
      <c r="O1947" s="6" t="s">
        <v>190</v>
      </c>
      <c r="P1947" s="7"/>
      <c r="Q1947" s="13"/>
      <c r="R1947" s="13"/>
      <c r="S1947" s="13"/>
      <c r="T1947" s="6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</row>
    <row r="1948">
      <c r="A1948" s="12">
        <v>53.0</v>
      </c>
      <c r="B1948" s="7" t="s">
        <v>586</v>
      </c>
      <c r="C1948" s="7" t="s">
        <v>1624</v>
      </c>
      <c r="I1948" s="10" t="s">
        <v>658</v>
      </c>
      <c r="J1948" s="13" t="s">
        <v>1636</v>
      </c>
      <c r="K1948" s="13" t="s">
        <v>303</v>
      </c>
      <c r="L1948" s="13" t="s">
        <v>2398</v>
      </c>
      <c r="M1948" s="6" t="s">
        <v>188</v>
      </c>
      <c r="N1948" s="6" t="s">
        <v>188</v>
      </c>
      <c r="O1948" s="6" t="s">
        <v>190</v>
      </c>
      <c r="P1948" s="7"/>
      <c r="Q1948" s="13"/>
      <c r="R1948" s="13"/>
      <c r="S1948" s="13"/>
      <c r="T1948" s="6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</row>
    <row r="1949">
      <c r="A1949" s="12">
        <v>53.0</v>
      </c>
      <c r="B1949" s="7" t="s">
        <v>586</v>
      </c>
      <c r="C1949" s="7" t="s">
        <v>1624</v>
      </c>
      <c r="I1949" s="10" t="s">
        <v>589</v>
      </c>
      <c r="J1949" s="13" t="s">
        <v>1639</v>
      </c>
      <c r="K1949" s="13" t="s">
        <v>303</v>
      </c>
      <c r="L1949" s="13" t="s">
        <v>2399</v>
      </c>
      <c r="M1949" s="6" t="s">
        <v>188</v>
      </c>
      <c r="N1949" s="6" t="s">
        <v>188</v>
      </c>
      <c r="O1949" s="6" t="s">
        <v>190</v>
      </c>
      <c r="P1949" s="7"/>
      <c r="Q1949" s="13"/>
      <c r="R1949" s="13"/>
      <c r="S1949" s="13"/>
      <c r="T1949" s="6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</row>
    <row r="1950">
      <c r="A1950" s="12">
        <v>53.0</v>
      </c>
      <c r="B1950" s="7" t="s">
        <v>586</v>
      </c>
      <c r="C1950" s="7" t="s">
        <v>1624</v>
      </c>
      <c r="I1950" s="10" t="s">
        <v>2400</v>
      </c>
      <c r="J1950" s="13" t="s">
        <v>1636</v>
      </c>
      <c r="K1950" s="13" t="s">
        <v>303</v>
      </c>
      <c r="L1950" s="13" t="s">
        <v>2401</v>
      </c>
      <c r="M1950" s="6" t="s">
        <v>188</v>
      </c>
      <c r="N1950" s="6" t="s">
        <v>188</v>
      </c>
      <c r="O1950" s="6" t="s">
        <v>190</v>
      </c>
      <c r="P1950" s="7"/>
      <c r="Q1950" s="13"/>
      <c r="R1950" s="13"/>
      <c r="S1950" s="13"/>
      <c r="T1950" s="6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</row>
    <row r="1951">
      <c r="A1951" s="12">
        <v>53.0</v>
      </c>
      <c r="B1951" s="7" t="s">
        <v>586</v>
      </c>
      <c r="C1951" s="7" t="s">
        <v>1624</v>
      </c>
      <c r="I1951" s="10" t="s">
        <v>583</v>
      </c>
      <c r="J1951" s="13" t="s">
        <v>1639</v>
      </c>
      <c r="K1951" s="13" t="s">
        <v>303</v>
      </c>
      <c r="L1951" s="13" t="s">
        <v>2399</v>
      </c>
      <c r="M1951" s="6" t="s">
        <v>188</v>
      </c>
      <c r="N1951" s="6" t="s">
        <v>188</v>
      </c>
      <c r="O1951" s="6" t="s">
        <v>190</v>
      </c>
      <c r="P1951" s="7"/>
      <c r="Q1951" s="13"/>
      <c r="R1951" s="13"/>
      <c r="S1951" s="13"/>
      <c r="T1951" s="6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</row>
    <row r="1952">
      <c r="A1952" s="12">
        <v>53.0</v>
      </c>
      <c r="B1952" s="7" t="s">
        <v>586</v>
      </c>
      <c r="C1952" s="7" t="s">
        <v>1624</v>
      </c>
      <c r="I1952" s="10" t="s">
        <v>2402</v>
      </c>
      <c r="J1952" s="13" t="s">
        <v>1636</v>
      </c>
      <c r="K1952" s="13" t="s">
        <v>303</v>
      </c>
      <c r="L1952" s="13" t="s">
        <v>2401</v>
      </c>
      <c r="M1952" s="6" t="s">
        <v>188</v>
      </c>
      <c r="N1952" s="6" t="s">
        <v>188</v>
      </c>
      <c r="O1952" s="6" t="s">
        <v>190</v>
      </c>
      <c r="P1952" s="7"/>
      <c r="Q1952" s="13"/>
      <c r="R1952" s="13"/>
      <c r="S1952" s="13"/>
      <c r="T1952" s="6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</row>
    <row r="1953">
      <c r="A1953" s="12">
        <v>53.0</v>
      </c>
      <c r="B1953" s="7" t="s">
        <v>586</v>
      </c>
      <c r="C1953" s="7" t="s">
        <v>1624</v>
      </c>
      <c r="I1953" s="10" t="s">
        <v>634</v>
      </c>
      <c r="J1953" s="13" t="s">
        <v>1639</v>
      </c>
      <c r="K1953" s="13" t="s">
        <v>303</v>
      </c>
      <c r="L1953" s="13" t="s">
        <v>2399</v>
      </c>
      <c r="M1953" s="6" t="s">
        <v>188</v>
      </c>
      <c r="N1953" s="6" t="s">
        <v>188</v>
      </c>
      <c r="O1953" s="6" t="s">
        <v>190</v>
      </c>
      <c r="P1953" s="7"/>
      <c r="Q1953" s="13"/>
      <c r="R1953" s="13"/>
      <c r="S1953" s="13"/>
      <c r="T1953" s="6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</row>
    <row r="1954">
      <c r="A1954" s="12">
        <v>53.0</v>
      </c>
      <c r="B1954" s="7" t="s">
        <v>586</v>
      </c>
      <c r="C1954" s="7" t="s">
        <v>1624</v>
      </c>
      <c r="I1954" s="10" t="s">
        <v>637</v>
      </c>
      <c r="J1954" s="13" t="s">
        <v>1636</v>
      </c>
      <c r="K1954" s="13" t="s">
        <v>303</v>
      </c>
      <c r="L1954" s="13" t="s">
        <v>2399</v>
      </c>
      <c r="M1954" s="6" t="s">
        <v>188</v>
      </c>
      <c r="N1954" s="6" t="s">
        <v>188</v>
      </c>
      <c r="O1954" s="6" t="s">
        <v>190</v>
      </c>
      <c r="P1954" s="7"/>
      <c r="Q1954" s="13"/>
      <c r="R1954" s="13"/>
      <c r="S1954" s="13"/>
      <c r="T1954" s="6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</row>
    <row r="1955">
      <c r="A1955" s="12">
        <v>53.0</v>
      </c>
      <c r="B1955" s="7" t="s">
        <v>586</v>
      </c>
      <c r="C1955" s="7" t="s">
        <v>1624</v>
      </c>
      <c r="I1955" s="10" t="s">
        <v>2371</v>
      </c>
      <c r="J1955" s="13" t="s">
        <v>1639</v>
      </c>
      <c r="K1955" s="13" t="s">
        <v>303</v>
      </c>
      <c r="L1955" s="13" t="s">
        <v>2401</v>
      </c>
      <c r="M1955" s="6" t="s">
        <v>188</v>
      </c>
      <c r="N1955" s="6" t="s">
        <v>188</v>
      </c>
      <c r="O1955" s="6" t="s">
        <v>190</v>
      </c>
      <c r="P1955" s="7"/>
      <c r="Q1955" s="13"/>
      <c r="R1955" s="13"/>
      <c r="S1955" s="13"/>
      <c r="T1955" s="6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</row>
    <row r="1956">
      <c r="A1956" s="12">
        <v>53.0</v>
      </c>
      <c r="B1956" s="7" t="s">
        <v>586</v>
      </c>
      <c r="C1956" s="7" t="s">
        <v>1624</v>
      </c>
      <c r="I1956" s="10" t="s">
        <v>662</v>
      </c>
      <c r="J1956" s="13" t="s">
        <v>1636</v>
      </c>
      <c r="K1956" s="13" t="s">
        <v>303</v>
      </c>
      <c r="L1956" s="13" t="s">
        <v>2398</v>
      </c>
      <c r="M1956" s="6" t="s">
        <v>188</v>
      </c>
      <c r="N1956" s="6" t="s">
        <v>188</v>
      </c>
      <c r="O1956" s="6" t="s">
        <v>190</v>
      </c>
      <c r="P1956" s="7"/>
      <c r="Q1956" s="13"/>
      <c r="R1956" s="13"/>
      <c r="S1956" s="13"/>
      <c r="T1956" s="6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</row>
    <row r="1957">
      <c r="A1957" s="12">
        <v>53.0</v>
      </c>
      <c r="B1957" s="7" t="s">
        <v>586</v>
      </c>
      <c r="C1957" s="7" t="s">
        <v>1624</v>
      </c>
      <c r="I1957" s="10" t="s">
        <v>2403</v>
      </c>
      <c r="J1957" s="13" t="s">
        <v>1639</v>
      </c>
      <c r="K1957" s="13" t="s">
        <v>303</v>
      </c>
      <c r="L1957" s="13" t="s">
        <v>2399</v>
      </c>
      <c r="M1957" s="6" t="s">
        <v>188</v>
      </c>
      <c r="N1957" s="6" t="s">
        <v>188</v>
      </c>
      <c r="O1957" s="6" t="s">
        <v>190</v>
      </c>
      <c r="P1957" s="7"/>
      <c r="Q1957" s="13"/>
      <c r="R1957" s="13"/>
      <c r="S1957" s="13"/>
      <c r="T1957" s="6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</row>
    <row r="1958">
      <c r="A1958" s="12">
        <v>53.0</v>
      </c>
      <c r="B1958" s="7" t="s">
        <v>586</v>
      </c>
      <c r="C1958" s="7" t="s">
        <v>1624</v>
      </c>
      <c r="I1958" s="10" t="s">
        <v>686</v>
      </c>
      <c r="J1958" s="13" t="s">
        <v>1636</v>
      </c>
      <c r="K1958" s="13" t="s">
        <v>303</v>
      </c>
      <c r="L1958" s="13" t="s">
        <v>2398</v>
      </c>
      <c r="M1958" s="6" t="s">
        <v>188</v>
      </c>
      <c r="N1958" s="6" t="s">
        <v>188</v>
      </c>
      <c r="O1958" s="6" t="s">
        <v>190</v>
      </c>
      <c r="P1958" s="7"/>
      <c r="Q1958" s="13"/>
      <c r="R1958" s="13"/>
      <c r="S1958" s="13"/>
      <c r="T1958" s="6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</row>
    <row r="1959">
      <c r="A1959" s="12">
        <v>53.0</v>
      </c>
      <c r="B1959" s="7" t="s">
        <v>586</v>
      </c>
      <c r="C1959" s="7" t="s">
        <v>1624</v>
      </c>
      <c r="I1959" s="10" t="s">
        <v>2404</v>
      </c>
      <c r="J1959" s="13" t="s">
        <v>1639</v>
      </c>
      <c r="K1959" s="13" t="s">
        <v>303</v>
      </c>
      <c r="L1959" s="13" t="s">
        <v>2398</v>
      </c>
      <c r="M1959" s="6" t="s">
        <v>188</v>
      </c>
      <c r="N1959" s="6" t="s">
        <v>188</v>
      </c>
      <c r="O1959" s="6" t="s">
        <v>190</v>
      </c>
      <c r="P1959" s="7"/>
      <c r="Q1959" s="13"/>
      <c r="R1959" s="13"/>
      <c r="S1959" s="13"/>
      <c r="T1959" s="6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</row>
    <row r="1960">
      <c r="A1960" s="12">
        <v>53.0</v>
      </c>
      <c r="B1960" s="7" t="s">
        <v>586</v>
      </c>
      <c r="C1960" s="7" t="s">
        <v>1624</v>
      </c>
      <c r="I1960" s="10" t="s">
        <v>2405</v>
      </c>
      <c r="J1960" s="13" t="s">
        <v>1636</v>
      </c>
      <c r="K1960" s="13" t="s">
        <v>303</v>
      </c>
      <c r="L1960" s="13" t="s">
        <v>2406</v>
      </c>
      <c r="M1960" s="6" t="s">
        <v>188</v>
      </c>
      <c r="N1960" s="6" t="s">
        <v>188</v>
      </c>
      <c r="O1960" s="6" t="s">
        <v>190</v>
      </c>
      <c r="P1960" s="7"/>
      <c r="Q1960" s="13"/>
      <c r="R1960" s="13"/>
      <c r="S1960" s="13"/>
      <c r="T1960" s="6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</row>
    <row r="1961">
      <c r="A1961" s="12">
        <v>53.0</v>
      </c>
      <c r="B1961" s="7" t="s">
        <v>586</v>
      </c>
      <c r="C1961" s="7" t="s">
        <v>1624</v>
      </c>
      <c r="I1961" s="13" t="s">
        <v>645</v>
      </c>
      <c r="J1961" s="13" t="s">
        <v>1639</v>
      </c>
      <c r="K1961" s="13" t="s">
        <v>303</v>
      </c>
      <c r="L1961" s="13" t="s">
        <v>2407</v>
      </c>
      <c r="M1961" s="6" t="s">
        <v>188</v>
      </c>
      <c r="N1961" s="6" t="s">
        <v>188</v>
      </c>
      <c r="O1961" s="6" t="s">
        <v>190</v>
      </c>
      <c r="P1961" s="7" t="s">
        <v>333</v>
      </c>
      <c r="Q1961" s="13"/>
      <c r="R1961" s="13"/>
      <c r="S1961" s="13"/>
      <c r="T1961" s="6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</row>
    <row r="1962">
      <c r="A1962" s="12">
        <v>53.0</v>
      </c>
      <c r="B1962" s="7" t="s">
        <v>586</v>
      </c>
      <c r="C1962" s="7" t="s">
        <v>1624</v>
      </c>
      <c r="I1962" s="13" t="s">
        <v>693</v>
      </c>
      <c r="J1962" s="13" t="s">
        <v>1636</v>
      </c>
      <c r="K1962" s="13" t="s">
        <v>303</v>
      </c>
      <c r="L1962" s="13" t="s">
        <v>2407</v>
      </c>
      <c r="M1962" s="6" t="s">
        <v>188</v>
      </c>
      <c r="N1962" s="6" t="s">
        <v>188</v>
      </c>
      <c r="O1962" s="6" t="s">
        <v>190</v>
      </c>
      <c r="P1962" s="7" t="s">
        <v>333</v>
      </c>
      <c r="Q1962" s="13"/>
      <c r="R1962" s="13"/>
      <c r="S1962" s="13"/>
      <c r="T1962" s="6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</row>
    <row r="1963">
      <c r="A1963" s="12">
        <v>53.0</v>
      </c>
      <c r="B1963" s="7" t="s">
        <v>586</v>
      </c>
      <c r="C1963" s="7" t="s">
        <v>1624</v>
      </c>
      <c r="I1963" s="13" t="s">
        <v>625</v>
      </c>
      <c r="J1963" s="13" t="s">
        <v>1639</v>
      </c>
      <c r="K1963" s="13" t="s">
        <v>303</v>
      </c>
      <c r="L1963" s="13" t="s">
        <v>2407</v>
      </c>
      <c r="M1963" s="6" t="s">
        <v>188</v>
      </c>
      <c r="N1963" s="6" t="s">
        <v>188</v>
      </c>
      <c r="O1963" s="6" t="s">
        <v>190</v>
      </c>
      <c r="P1963" s="7" t="s">
        <v>333</v>
      </c>
      <c r="Q1963" s="13"/>
      <c r="R1963" s="13"/>
      <c r="S1963" s="13"/>
      <c r="T1963" s="6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</row>
    <row r="1964">
      <c r="A1964" s="12">
        <v>53.0</v>
      </c>
      <c r="B1964" s="7" t="s">
        <v>586</v>
      </c>
      <c r="C1964" s="7" t="s">
        <v>1624</v>
      </c>
      <c r="I1964" s="13" t="s">
        <v>628</v>
      </c>
      <c r="J1964" s="13" t="s">
        <v>1636</v>
      </c>
      <c r="K1964" s="13" t="s">
        <v>303</v>
      </c>
      <c r="L1964" s="13" t="s">
        <v>2407</v>
      </c>
      <c r="M1964" s="6" t="s">
        <v>188</v>
      </c>
      <c r="N1964" s="6" t="s">
        <v>188</v>
      </c>
      <c r="O1964" s="6" t="s">
        <v>190</v>
      </c>
      <c r="P1964" s="7" t="s">
        <v>333</v>
      </c>
      <c r="Q1964" s="13"/>
      <c r="R1964" s="13"/>
      <c r="S1964" s="13"/>
      <c r="T1964" s="6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</row>
    <row r="1965">
      <c r="A1965" s="12">
        <v>53.0</v>
      </c>
      <c r="B1965" s="7" t="s">
        <v>586</v>
      </c>
      <c r="C1965" s="7" t="s">
        <v>1624</v>
      </c>
      <c r="I1965" s="13" t="s">
        <v>633</v>
      </c>
      <c r="J1965" s="13" t="s">
        <v>1639</v>
      </c>
      <c r="K1965" s="13" t="s">
        <v>303</v>
      </c>
      <c r="L1965" s="13" t="s">
        <v>2407</v>
      </c>
      <c r="M1965" s="6" t="s">
        <v>188</v>
      </c>
      <c r="N1965" s="6" t="s">
        <v>188</v>
      </c>
      <c r="O1965" s="6" t="s">
        <v>190</v>
      </c>
      <c r="P1965" s="7" t="s">
        <v>333</v>
      </c>
      <c r="Q1965" s="13"/>
      <c r="R1965" s="13"/>
      <c r="S1965" s="13"/>
      <c r="T1965" s="6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</row>
    <row r="1966">
      <c r="A1966" s="12">
        <v>53.0</v>
      </c>
      <c r="B1966" s="7" t="s">
        <v>586</v>
      </c>
      <c r="C1966" s="7" t="s">
        <v>1624</v>
      </c>
      <c r="I1966" s="13" t="s">
        <v>608</v>
      </c>
      <c r="J1966" s="13" t="s">
        <v>1636</v>
      </c>
      <c r="K1966" s="13" t="s">
        <v>303</v>
      </c>
      <c r="L1966" s="13" t="s">
        <v>2407</v>
      </c>
      <c r="M1966" s="6" t="s">
        <v>188</v>
      </c>
      <c r="N1966" s="6" t="s">
        <v>188</v>
      </c>
      <c r="O1966" s="6" t="s">
        <v>190</v>
      </c>
      <c r="P1966" s="7" t="s">
        <v>333</v>
      </c>
      <c r="Q1966" s="13"/>
      <c r="R1966" s="13"/>
      <c r="S1966" s="13"/>
      <c r="T1966" s="6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</row>
    <row r="1967">
      <c r="A1967" s="12">
        <v>53.0</v>
      </c>
      <c r="B1967" s="7" t="s">
        <v>586</v>
      </c>
      <c r="C1967" s="7" t="s">
        <v>1624</v>
      </c>
      <c r="I1967" s="13" t="s">
        <v>610</v>
      </c>
      <c r="J1967" s="13" t="s">
        <v>1639</v>
      </c>
      <c r="K1967" s="13" t="s">
        <v>303</v>
      </c>
      <c r="L1967" s="13" t="s">
        <v>2407</v>
      </c>
      <c r="M1967" s="6" t="s">
        <v>188</v>
      </c>
      <c r="N1967" s="6" t="s">
        <v>188</v>
      </c>
      <c r="O1967" s="6" t="s">
        <v>190</v>
      </c>
      <c r="P1967" s="7" t="s">
        <v>333</v>
      </c>
      <c r="Q1967" s="13"/>
      <c r="R1967" s="13"/>
      <c r="S1967" s="13"/>
      <c r="T1967" s="6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</row>
    <row r="1968">
      <c r="A1968" s="12">
        <v>53.0</v>
      </c>
      <c r="B1968" s="7" t="s">
        <v>586</v>
      </c>
      <c r="C1968" s="7" t="s">
        <v>1624</v>
      </c>
      <c r="I1968" s="13" t="s">
        <v>612</v>
      </c>
      <c r="J1968" s="13" t="s">
        <v>1636</v>
      </c>
      <c r="K1968" s="13" t="s">
        <v>303</v>
      </c>
      <c r="L1968" s="13" t="s">
        <v>2407</v>
      </c>
      <c r="M1968" s="6" t="s">
        <v>188</v>
      </c>
      <c r="N1968" s="6" t="s">
        <v>188</v>
      </c>
      <c r="O1968" s="6" t="s">
        <v>190</v>
      </c>
      <c r="P1968" s="7" t="s">
        <v>333</v>
      </c>
      <c r="Q1968" s="13"/>
      <c r="R1968" s="13"/>
      <c r="S1968" s="13"/>
      <c r="T1968" s="6"/>
      <c r="U1968" s="6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</row>
    <row r="1969">
      <c r="A1969" s="12">
        <v>53.0</v>
      </c>
      <c r="B1969" s="7" t="s">
        <v>586</v>
      </c>
      <c r="C1969" s="7" t="s">
        <v>1624</v>
      </c>
      <c r="I1969" s="13" t="s">
        <v>679</v>
      </c>
      <c r="J1969" s="13" t="s">
        <v>1639</v>
      </c>
      <c r="K1969" s="13" t="s">
        <v>303</v>
      </c>
      <c r="L1969" s="13" t="s">
        <v>2407</v>
      </c>
      <c r="M1969" s="6" t="s">
        <v>188</v>
      </c>
      <c r="N1969" s="6" t="s">
        <v>188</v>
      </c>
      <c r="O1969" s="6" t="s">
        <v>190</v>
      </c>
      <c r="P1969" s="7" t="s">
        <v>333</v>
      </c>
      <c r="Q1969" s="13"/>
      <c r="R1969" s="13"/>
      <c r="S1969" s="13"/>
      <c r="T1969" s="6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</row>
    <row r="1970">
      <c r="A1970" s="12">
        <v>53.0</v>
      </c>
      <c r="B1970" s="7" t="s">
        <v>586</v>
      </c>
      <c r="C1970" s="7" t="s">
        <v>1624</v>
      </c>
      <c r="I1970" s="13" t="s">
        <v>683</v>
      </c>
      <c r="J1970" s="13" t="s">
        <v>1636</v>
      </c>
      <c r="K1970" s="13" t="s">
        <v>303</v>
      </c>
      <c r="L1970" s="13" t="s">
        <v>2407</v>
      </c>
      <c r="M1970" s="6" t="s">
        <v>188</v>
      </c>
      <c r="N1970" s="6" t="s">
        <v>188</v>
      </c>
      <c r="O1970" s="6" t="s">
        <v>190</v>
      </c>
      <c r="P1970" s="7" t="s">
        <v>333</v>
      </c>
      <c r="Q1970" s="13"/>
      <c r="R1970" s="13"/>
      <c r="S1970" s="13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</row>
    <row r="1971">
      <c r="A1971" s="12">
        <v>53.0</v>
      </c>
      <c r="B1971" s="7" t="s">
        <v>586</v>
      </c>
      <c r="C1971" s="7" t="s">
        <v>1624</v>
      </c>
      <c r="I1971" s="13" t="s">
        <v>684</v>
      </c>
      <c r="J1971" s="13" t="s">
        <v>1639</v>
      </c>
      <c r="K1971" s="13" t="s">
        <v>303</v>
      </c>
      <c r="L1971" s="13" t="s">
        <v>2407</v>
      </c>
      <c r="M1971" s="6" t="s">
        <v>188</v>
      </c>
      <c r="N1971" s="6" t="s">
        <v>188</v>
      </c>
      <c r="O1971" s="6" t="s">
        <v>190</v>
      </c>
      <c r="P1971" s="7" t="s">
        <v>333</v>
      </c>
      <c r="Q1971" s="13"/>
      <c r="R1971" s="13"/>
      <c r="S1971" s="13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</row>
    <row r="1972">
      <c r="A1972" s="12">
        <v>54.0</v>
      </c>
      <c r="B1972" s="7" t="s">
        <v>588</v>
      </c>
      <c r="C1972" s="7" t="s">
        <v>1624</v>
      </c>
      <c r="D1972" s="26">
        <f>IF(COUNTIF($B$2:$B1972,$B1972)&gt;1,"",COUNTIF($B$2:$B$3400,$B1972))</f>
        <v>30</v>
      </c>
      <c r="E1972" s="26">
        <f>IF(COUNTIF($B$2:$B1972,$B1972)&gt;1,"",COUNTIFS($B$2:$B$3400,$B1972,$K$2:$K$3400,"PHÙ HỢP CAO"))</f>
        <v>4</v>
      </c>
      <c r="F1972" s="26">
        <f>IF(COUNTIF($B$2:$B1972,$B1972)&gt;1,"",COUNTIFS($B$2:$B$3400,$B1972,$K$2:$K$3400,"CÓ THỂ ĐI"))</f>
        <v>1</v>
      </c>
      <c r="G1972" s="26">
        <f>IF(COUNTIF($B$2:$B1972,$B1972)&gt;1,"",COUNTIFS($B$2:$B$3400,$B1972,$K$2:$K$3400,"CẦN SOÁT"))</f>
        <v>25</v>
      </c>
      <c r="H1972" s="27" t="str">
        <f>IFERROR(__xludf.DUMMYFUNCTION("IF(COUNTIF($B$2:$B1972,$B1972)&gt;1,"""",IFERROR(TEXTJOIN(CHAR(10),TRUE,BYROW(QUERY({$B$2:$B$3400,$J$2:$J$3400},""select Col2, count(Col2) where Col1 = '""&amp;$B1972&amp;""' group by Col2 order by count(Col2) desc label count(Col2) ''"",0),LAMBDA(r,INDEX(r,1,1)&amp;"" "&amp;"– ""&amp;INDEX(r,1,2)&amp;"" link""))),""""))"),"cách gửi mã QR ngân hàng – 15 link
gửi mã QR ngân hàng – 15 link")</f>
        <v>cách gửi mã QR ngân hàng – 15 link
gửi mã QR ngân hàng – 15 link</v>
      </c>
      <c r="I1972" s="10" t="s">
        <v>693</v>
      </c>
      <c r="J1972" s="13" t="s">
        <v>1643</v>
      </c>
      <c r="K1972" s="13" t="s">
        <v>184</v>
      </c>
      <c r="L1972" s="13" t="s">
        <v>2408</v>
      </c>
      <c r="M1972" s="6" t="s">
        <v>188</v>
      </c>
      <c r="N1972" s="6" t="s">
        <v>188</v>
      </c>
      <c r="O1972" s="6" t="s">
        <v>190</v>
      </c>
      <c r="P1972" s="7"/>
      <c r="Q1972" s="13"/>
      <c r="R1972" s="13"/>
      <c r="S1972" s="13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</row>
    <row r="1973">
      <c r="A1973" s="12">
        <v>54.0</v>
      </c>
      <c r="B1973" s="7" t="s">
        <v>588</v>
      </c>
      <c r="C1973" s="7" t="s">
        <v>1624</v>
      </c>
      <c r="I1973" s="10" t="s">
        <v>1644</v>
      </c>
      <c r="J1973" s="13" t="s">
        <v>1646</v>
      </c>
      <c r="K1973" s="13" t="s">
        <v>184</v>
      </c>
      <c r="L1973" s="13" t="s">
        <v>2409</v>
      </c>
      <c r="M1973" s="6" t="s">
        <v>188</v>
      </c>
      <c r="N1973" s="6" t="s">
        <v>188</v>
      </c>
      <c r="O1973" s="6" t="s">
        <v>190</v>
      </c>
      <c r="P1973" s="7"/>
      <c r="Q1973" s="13"/>
      <c r="R1973" s="13"/>
      <c r="S1973" s="13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</row>
    <row r="1974">
      <c r="A1974" s="12">
        <v>54.0</v>
      </c>
      <c r="B1974" s="7" t="s">
        <v>588</v>
      </c>
      <c r="C1974" s="7" t="s">
        <v>1624</v>
      </c>
      <c r="I1974" s="10" t="s">
        <v>1034</v>
      </c>
      <c r="J1974" s="13" t="s">
        <v>1643</v>
      </c>
      <c r="K1974" s="13" t="s">
        <v>184</v>
      </c>
      <c r="L1974" s="13" t="s">
        <v>2410</v>
      </c>
      <c r="M1974" s="6" t="s">
        <v>188</v>
      </c>
      <c r="N1974" s="6" t="s">
        <v>188</v>
      </c>
      <c r="O1974" s="6" t="s">
        <v>190</v>
      </c>
      <c r="P1974" s="7"/>
      <c r="Q1974" s="13"/>
      <c r="R1974" s="13"/>
      <c r="S1974" s="13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</row>
    <row r="1975">
      <c r="A1975" s="12">
        <v>54.0</v>
      </c>
      <c r="B1975" s="7" t="s">
        <v>588</v>
      </c>
      <c r="C1975" s="7" t="s">
        <v>1624</v>
      </c>
      <c r="I1975" s="10" t="s">
        <v>1648</v>
      </c>
      <c r="J1975" s="13" t="s">
        <v>1646</v>
      </c>
      <c r="K1975" s="13" t="s">
        <v>184</v>
      </c>
      <c r="L1975" s="13" t="s">
        <v>2411</v>
      </c>
      <c r="M1975" s="6" t="s">
        <v>188</v>
      </c>
      <c r="N1975" s="6" t="s">
        <v>188</v>
      </c>
      <c r="O1975" s="6" t="s">
        <v>190</v>
      </c>
      <c r="P1975" s="7"/>
      <c r="Q1975" s="13"/>
      <c r="R1975" s="13"/>
      <c r="S1975" s="13"/>
      <c r="T1975" s="7"/>
      <c r="U1975" s="6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</row>
    <row r="1976">
      <c r="A1976" s="12">
        <v>54.0</v>
      </c>
      <c r="B1976" s="7" t="s">
        <v>588</v>
      </c>
      <c r="C1976" s="7" t="s">
        <v>1624</v>
      </c>
      <c r="I1976" s="10" t="s">
        <v>1042</v>
      </c>
      <c r="J1976" s="13" t="s">
        <v>1643</v>
      </c>
      <c r="K1976" s="13" t="s">
        <v>283</v>
      </c>
      <c r="L1976" s="13" t="s">
        <v>2412</v>
      </c>
      <c r="M1976" s="6" t="s">
        <v>188</v>
      </c>
      <c r="N1976" s="6" t="s">
        <v>188</v>
      </c>
      <c r="O1976" s="6" t="s">
        <v>190</v>
      </c>
      <c r="P1976" s="7"/>
      <c r="Q1976" s="13"/>
      <c r="R1976" s="13"/>
      <c r="S1976" s="13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</row>
    <row r="1977">
      <c r="A1977" s="12">
        <v>54.0</v>
      </c>
      <c r="B1977" s="7" t="s">
        <v>588</v>
      </c>
      <c r="C1977" s="7" t="s">
        <v>1624</v>
      </c>
      <c r="I1977" s="10" t="s">
        <v>1909</v>
      </c>
      <c r="J1977" s="13" t="s">
        <v>1646</v>
      </c>
      <c r="K1977" s="13" t="s">
        <v>303</v>
      </c>
      <c r="L1977" s="13" t="s">
        <v>2413</v>
      </c>
      <c r="M1977" s="6" t="s">
        <v>188</v>
      </c>
      <c r="N1977" s="6" t="s">
        <v>188</v>
      </c>
      <c r="O1977" s="6" t="s">
        <v>190</v>
      </c>
      <c r="P1977" s="7"/>
      <c r="Q1977" s="13"/>
      <c r="R1977" s="13"/>
      <c r="S1977" s="13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</row>
    <row r="1978">
      <c r="A1978" s="12">
        <v>54.0</v>
      </c>
      <c r="B1978" s="7" t="s">
        <v>588</v>
      </c>
      <c r="C1978" s="7" t="s">
        <v>1624</v>
      </c>
      <c r="I1978" s="10" t="s">
        <v>1029</v>
      </c>
      <c r="J1978" s="13" t="s">
        <v>1643</v>
      </c>
      <c r="K1978" s="13" t="s">
        <v>303</v>
      </c>
      <c r="L1978" s="13" t="s">
        <v>2413</v>
      </c>
      <c r="M1978" s="6" t="s">
        <v>188</v>
      </c>
      <c r="N1978" s="6" t="s">
        <v>188</v>
      </c>
      <c r="O1978" s="6" t="s">
        <v>190</v>
      </c>
      <c r="P1978" s="7"/>
      <c r="Q1978" s="13"/>
      <c r="R1978" s="13"/>
      <c r="S1978" s="13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</row>
    <row r="1979">
      <c r="A1979" s="12">
        <v>54.0</v>
      </c>
      <c r="B1979" s="7" t="s">
        <v>588</v>
      </c>
      <c r="C1979" s="7" t="s">
        <v>1624</v>
      </c>
      <c r="I1979" s="10" t="s">
        <v>1919</v>
      </c>
      <c r="J1979" s="13" t="s">
        <v>1646</v>
      </c>
      <c r="K1979" s="13" t="s">
        <v>303</v>
      </c>
      <c r="L1979" s="13" t="s">
        <v>2413</v>
      </c>
      <c r="M1979" s="6" t="s">
        <v>188</v>
      </c>
      <c r="N1979" s="6" t="s">
        <v>188</v>
      </c>
      <c r="O1979" s="6" t="s">
        <v>190</v>
      </c>
      <c r="P1979" s="7"/>
      <c r="Q1979" s="13"/>
      <c r="R1979" s="13"/>
      <c r="S1979" s="13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</row>
    <row r="1980">
      <c r="A1980" s="12">
        <v>54.0</v>
      </c>
      <c r="B1980" s="7" t="s">
        <v>588</v>
      </c>
      <c r="C1980" s="7" t="s">
        <v>1624</v>
      </c>
      <c r="I1980" s="10" t="s">
        <v>974</v>
      </c>
      <c r="J1980" s="13" t="s">
        <v>1643</v>
      </c>
      <c r="K1980" s="13" t="s">
        <v>303</v>
      </c>
      <c r="L1980" s="13" t="s">
        <v>2413</v>
      </c>
      <c r="M1980" s="6" t="s">
        <v>188</v>
      </c>
      <c r="N1980" s="6" t="s">
        <v>188</v>
      </c>
      <c r="O1980" s="6" t="s">
        <v>190</v>
      </c>
      <c r="P1980" s="7"/>
      <c r="Q1980" s="13"/>
      <c r="R1980" s="13"/>
      <c r="S1980" s="13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</row>
    <row r="1981">
      <c r="A1981" s="12">
        <v>54.0</v>
      </c>
      <c r="B1981" s="7" t="s">
        <v>588</v>
      </c>
      <c r="C1981" s="7" t="s">
        <v>1624</v>
      </c>
      <c r="I1981" s="10" t="s">
        <v>2396</v>
      </c>
      <c r="J1981" s="13" t="s">
        <v>1646</v>
      </c>
      <c r="K1981" s="13" t="s">
        <v>303</v>
      </c>
      <c r="L1981" s="13" t="s">
        <v>2414</v>
      </c>
      <c r="M1981" s="6" t="s">
        <v>188</v>
      </c>
      <c r="N1981" s="6" t="s">
        <v>188</v>
      </c>
      <c r="O1981" s="6" t="s">
        <v>190</v>
      </c>
      <c r="P1981" s="7"/>
      <c r="Q1981" s="13"/>
      <c r="R1981" s="13"/>
      <c r="S1981" s="13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</row>
    <row r="1982">
      <c r="A1982" s="12">
        <v>54.0</v>
      </c>
      <c r="B1982" s="7" t="s">
        <v>588</v>
      </c>
      <c r="C1982" s="7" t="s">
        <v>1624</v>
      </c>
      <c r="I1982" s="10" t="s">
        <v>1925</v>
      </c>
      <c r="J1982" s="13" t="s">
        <v>1643</v>
      </c>
      <c r="K1982" s="13" t="s">
        <v>303</v>
      </c>
      <c r="L1982" s="13" t="s">
        <v>2413</v>
      </c>
      <c r="M1982" s="6" t="s">
        <v>188</v>
      </c>
      <c r="N1982" s="6" t="s">
        <v>188</v>
      </c>
      <c r="O1982" s="6" t="s">
        <v>190</v>
      </c>
      <c r="P1982" s="7"/>
      <c r="Q1982" s="13"/>
      <c r="R1982" s="13"/>
      <c r="S1982" s="13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</row>
    <row r="1983">
      <c r="A1983" s="12">
        <v>54.0</v>
      </c>
      <c r="B1983" s="7" t="s">
        <v>588</v>
      </c>
      <c r="C1983" s="7" t="s">
        <v>1624</v>
      </c>
      <c r="I1983" s="10" t="s">
        <v>1929</v>
      </c>
      <c r="J1983" s="13" t="s">
        <v>1646</v>
      </c>
      <c r="K1983" s="13" t="s">
        <v>303</v>
      </c>
      <c r="L1983" s="13" t="s">
        <v>2413</v>
      </c>
      <c r="M1983" s="6" t="s">
        <v>188</v>
      </c>
      <c r="N1983" s="6" t="s">
        <v>188</v>
      </c>
      <c r="O1983" s="6" t="s">
        <v>190</v>
      </c>
      <c r="P1983" s="7"/>
      <c r="Q1983" s="13"/>
      <c r="R1983" s="13"/>
      <c r="S1983" s="13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</row>
    <row r="1984">
      <c r="A1984" s="12">
        <v>54.0</v>
      </c>
      <c r="B1984" s="7" t="s">
        <v>588</v>
      </c>
      <c r="C1984" s="7" t="s">
        <v>1624</v>
      </c>
      <c r="I1984" s="10" t="s">
        <v>1931</v>
      </c>
      <c r="J1984" s="13" t="s">
        <v>1643</v>
      </c>
      <c r="K1984" s="13" t="s">
        <v>303</v>
      </c>
      <c r="L1984" s="13" t="s">
        <v>2413</v>
      </c>
      <c r="M1984" s="6" t="s">
        <v>188</v>
      </c>
      <c r="N1984" s="6" t="s">
        <v>188</v>
      </c>
      <c r="O1984" s="6" t="s">
        <v>190</v>
      </c>
      <c r="P1984" s="7"/>
      <c r="Q1984" s="13"/>
      <c r="R1984" s="13"/>
      <c r="S1984" s="13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</row>
    <row r="1985">
      <c r="A1985" s="12">
        <v>54.0</v>
      </c>
      <c r="B1985" s="7" t="s">
        <v>588</v>
      </c>
      <c r="C1985" s="7" t="s">
        <v>1624</v>
      </c>
      <c r="I1985" s="10" t="s">
        <v>1934</v>
      </c>
      <c r="J1985" s="13" t="s">
        <v>1646</v>
      </c>
      <c r="K1985" s="13" t="s">
        <v>303</v>
      </c>
      <c r="L1985" s="13" t="s">
        <v>2413</v>
      </c>
      <c r="M1985" s="6" t="s">
        <v>188</v>
      </c>
      <c r="N1985" s="6" t="s">
        <v>188</v>
      </c>
      <c r="O1985" s="6" t="s">
        <v>190</v>
      </c>
      <c r="P1985" s="7"/>
      <c r="Q1985" s="13"/>
      <c r="R1985" s="13"/>
      <c r="S1985" s="13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</row>
    <row r="1986">
      <c r="A1986" s="12">
        <v>54.0</v>
      </c>
      <c r="B1986" s="7" t="s">
        <v>588</v>
      </c>
      <c r="C1986" s="7" t="s">
        <v>1624</v>
      </c>
      <c r="I1986" s="10" t="s">
        <v>1937</v>
      </c>
      <c r="J1986" s="13" t="s">
        <v>1643</v>
      </c>
      <c r="K1986" s="13" t="s">
        <v>303</v>
      </c>
      <c r="L1986" s="13" t="s">
        <v>2413</v>
      </c>
      <c r="M1986" s="6" t="s">
        <v>188</v>
      </c>
      <c r="N1986" s="6" t="s">
        <v>188</v>
      </c>
      <c r="O1986" s="6" t="s">
        <v>190</v>
      </c>
      <c r="P1986" s="7"/>
      <c r="Q1986" s="13"/>
      <c r="R1986" s="13"/>
      <c r="S1986" s="13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</row>
    <row r="1987">
      <c r="A1987" s="12">
        <v>54.0</v>
      </c>
      <c r="B1987" s="7" t="s">
        <v>588</v>
      </c>
      <c r="C1987" s="7" t="s">
        <v>1624</v>
      </c>
      <c r="I1987" s="10" t="s">
        <v>1046</v>
      </c>
      <c r="J1987" s="13" t="s">
        <v>1646</v>
      </c>
      <c r="K1987" s="13" t="s">
        <v>303</v>
      </c>
      <c r="L1987" s="13" t="s">
        <v>2413</v>
      </c>
      <c r="M1987" s="6" t="s">
        <v>188</v>
      </c>
      <c r="N1987" s="6" t="s">
        <v>188</v>
      </c>
      <c r="O1987" s="6" t="s">
        <v>190</v>
      </c>
      <c r="P1987" s="7"/>
      <c r="Q1987" s="13"/>
      <c r="R1987" s="13"/>
      <c r="S1987" s="13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</row>
    <row r="1988">
      <c r="A1988" s="12">
        <v>54.0</v>
      </c>
      <c r="B1988" s="7" t="s">
        <v>588</v>
      </c>
      <c r="C1988" s="7" t="s">
        <v>1624</v>
      </c>
      <c r="I1988" s="10" t="s">
        <v>1948</v>
      </c>
      <c r="J1988" s="13" t="s">
        <v>1643</v>
      </c>
      <c r="K1988" s="13" t="s">
        <v>303</v>
      </c>
      <c r="L1988" s="13" t="s">
        <v>2413</v>
      </c>
      <c r="M1988" s="6" t="s">
        <v>188</v>
      </c>
      <c r="N1988" s="6" t="s">
        <v>188</v>
      </c>
      <c r="O1988" s="6" t="s">
        <v>190</v>
      </c>
      <c r="P1988" s="7"/>
      <c r="Q1988" s="13"/>
      <c r="R1988" s="13"/>
      <c r="S1988" s="13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</row>
    <row r="1989">
      <c r="A1989" s="12">
        <v>54.0</v>
      </c>
      <c r="B1989" s="7" t="s">
        <v>588</v>
      </c>
      <c r="C1989" s="7" t="s">
        <v>1624</v>
      </c>
      <c r="I1989" s="10" t="s">
        <v>1047</v>
      </c>
      <c r="J1989" s="13" t="s">
        <v>1646</v>
      </c>
      <c r="K1989" s="13" t="s">
        <v>303</v>
      </c>
      <c r="L1989" s="13" t="s">
        <v>2413</v>
      </c>
      <c r="M1989" s="6" t="s">
        <v>188</v>
      </c>
      <c r="N1989" s="6" t="s">
        <v>188</v>
      </c>
      <c r="O1989" s="6" t="s">
        <v>190</v>
      </c>
      <c r="P1989" s="7"/>
      <c r="Q1989" s="13"/>
      <c r="R1989" s="13"/>
      <c r="S1989" s="13"/>
      <c r="T1989" s="7"/>
      <c r="U1989" s="6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</row>
    <row r="1990">
      <c r="A1990" s="12">
        <v>54.0</v>
      </c>
      <c r="B1990" s="7" t="s">
        <v>588</v>
      </c>
      <c r="C1990" s="7" t="s">
        <v>1624</v>
      </c>
      <c r="I1990" s="10" t="s">
        <v>1949</v>
      </c>
      <c r="J1990" s="13" t="s">
        <v>1643</v>
      </c>
      <c r="K1990" s="13" t="s">
        <v>303</v>
      </c>
      <c r="L1990" s="13" t="s">
        <v>2413</v>
      </c>
      <c r="M1990" s="6" t="s">
        <v>188</v>
      </c>
      <c r="N1990" s="6" t="s">
        <v>188</v>
      </c>
      <c r="O1990" s="6" t="s">
        <v>190</v>
      </c>
      <c r="P1990" s="7"/>
      <c r="Q1990" s="13"/>
      <c r="R1990" s="13"/>
      <c r="S1990" s="13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</row>
    <row r="1991">
      <c r="A1991" s="12">
        <v>54.0</v>
      </c>
      <c r="B1991" s="7" t="s">
        <v>588</v>
      </c>
      <c r="C1991" s="7" t="s">
        <v>1624</v>
      </c>
      <c r="I1991" s="10" t="s">
        <v>2415</v>
      </c>
      <c r="J1991" s="13" t="s">
        <v>1646</v>
      </c>
      <c r="K1991" s="13" t="s">
        <v>303</v>
      </c>
      <c r="L1991" s="13" t="s">
        <v>2413</v>
      </c>
      <c r="M1991" s="6" t="s">
        <v>188</v>
      </c>
      <c r="N1991" s="6" t="s">
        <v>188</v>
      </c>
      <c r="O1991" s="6" t="s">
        <v>190</v>
      </c>
      <c r="P1991" s="7"/>
      <c r="Q1991" s="13"/>
      <c r="R1991" s="13"/>
      <c r="S1991" s="13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</row>
    <row r="1992">
      <c r="A1992" s="12">
        <v>54.0</v>
      </c>
      <c r="B1992" s="7" t="s">
        <v>588</v>
      </c>
      <c r="C1992" s="7" t="s">
        <v>1624</v>
      </c>
      <c r="I1992" s="10" t="s">
        <v>484</v>
      </c>
      <c r="J1992" s="13" t="s">
        <v>1643</v>
      </c>
      <c r="K1992" s="13" t="s">
        <v>303</v>
      </c>
      <c r="L1992" s="13" t="s">
        <v>2413</v>
      </c>
      <c r="M1992" s="6" t="s">
        <v>188</v>
      </c>
      <c r="N1992" s="6" t="s">
        <v>188</v>
      </c>
      <c r="O1992" s="6" t="s">
        <v>190</v>
      </c>
      <c r="P1992" s="7"/>
      <c r="Q1992" s="13"/>
      <c r="R1992" s="13"/>
      <c r="S1992" s="13"/>
      <c r="T1992" s="6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</row>
    <row r="1993">
      <c r="A1993" s="12">
        <v>54.0</v>
      </c>
      <c r="B1993" s="7" t="s">
        <v>588</v>
      </c>
      <c r="C1993" s="7" t="s">
        <v>1624</v>
      </c>
      <c r="I1993" s="10" t="s">
        <v>945</v>
      </c>
      <c r="J1993" s="13" t="s">
        <v>1646</v>
      </c>
      <c r="K1993" s="13" t="s">
        <v>303</v>
      </c>
      <c r="L1993" s="13" t="s">
        <v>2413</v>
      </c>
      <c r="M1993" s="6" t="s">
        <v>188</v>
      </c>
      <c r="N1993" s="6" t="s">
        <v>188</v>
      </c>
      <c r="O1993" s="6" t="s">
        <v>190</v>
      </c>
      <c r="P1993" s="7"/>
      <c r="Q1993" s="13"/>
      <c r="R1993" s="13"/>
      <c r="S1993" s="13"/>
      <c r="T1993" s="6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</row>
    <row r="1994">
      <c r="A1994" s="12">
        <v>54.0</v>
      </c>
      <c r="B1994" s="7" t="s">
        <v>588</v>
      </c>
      <c r="C1994" s="7" t="s">
        <v>1624</v>
      </c>
      <c r="I1994" s="10" t="s">
        <v>1225</v>
      </c>
      <c r="J1994" s="13" t="s">
        <v>1643</v>
      </c>
      <c r="K1994" s="13" t="s">
        <v>303</v>
      </c>
      <c r="L1994" s="13" t="s">
        <v>2413</v>
      </c>
      <c r="M1994" s="6" t="s">
        <v>188</v>
      </c>
      <c r="N1994" s="6" t="s">
        <v>188</v>
      </c>
      <c r="O1994" s="6" t="s">
        <v>190</v>
      </c>
      <c r="P1994" s="7"/>
      <c r="Q1994" s="13"/>
      <c r="R1994" s="13"/>
      <c r="S1994" s="13"/>
      <c r="T1994" s="6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</row>
    <row r="1995">
      <c r="A1995" s="12">
        <v>54.0</v>
      </c>
      <c r="B1995" s="7" t="s">
        <v>588</v>
      </c>
      <c r="C1995" s="7" t="s">
        <v>1624</v>
      </c>
      <c r="I1995" s="10" t="s">
        <v>943</v>
      </c>
      <c r="J1995" s="13" t="s">
        <v>1646</v>
      </c>
      <c r="K1995" s="13" t="s">
        <v>303</v>
      </c>
      <c r="L1995" s="13" t="s">
        <v>2413</v>
      </c>
      <c r="M1995" s="6" t="s">
        <v>188</v>
      </c>
      <c r="N1995" s="6" t="s">
        <v>188</v>
      </c>
      <c r="O1995" s="6" t="s">
        <v>190</v>
      </c>
      <c r="P1995" s="7"/>
      <c r="Q1995" s="13"/>
      <c r="R1995" s="13"/>
      <c r="S1995" s="13"/>
      <c r="T1995" s="6"/>
      <c r="U1995" s="6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</row>
    <row r="1996">
      <c r="A1996" s="12">
        <v>54.0</v>
      </c>
      <c r="B1996" s="7" t="s">
        <v>588</v>
      </c>
      <c r="C1996" s="7" t="s">
        <v>1624</v>
      </c>
      <c r="I1996" s="10" t="s">
        <v>972</v>
      </c>
      <c r="J1996" s="13" t="s">
        <v>1643</v>
      </c>
      <c r="K1996" s="13" t="s">
        <v>303</v>
      </c>
      <c r="L1996" s="13" t="s">
        <v>2413</v>
      </c>
      <c r="M1996" s="6" t="s">
        <v>188</v>
      </c>
      <c r="N1996" s="6" t="s">
        <v>188</v>
      </c>
      <c r="O1996" s="6" t="s">
        <v>190</v>
      </c>
      <c r="P1996" s="7"/>
      <c r="Q1996" s="13"/>
      <c r="R1996" s="13"/>
      <c r="S1996" s="13"/>
      <c r="T1996" s="6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</row>
    <row r="1997">
      <c r="A1997" s="12">
        <v>54.0</v>
      </c>
      <c r="B1997" s="7" t="s">
        <v>588</v>
      </c>
      <c r="C1997" s="7" t="s">
        <v>1624</v>
      </c>
      <c r="I1997" s="10" t="s">
        <v>1535</v>
      </c>
      <c r="J1997" s="13" t="s">
        <v>1646</v>
      </c>
      <c r="K1997" s="13" t="s">
        <v>303</v>
      </c>
      <c r="L1997" s="13" t="s">
        <v>2414</v>
      </c>
      <c r="M1997" s="6" t="s">
        <v>188</v>
      </c>
      <c r="N1997" s="6" t="s">
        <v>188</v>
      </c>
      <c r="O1997" s="6" t="s">
        <v>190</v>
      </c>
      <c r="P1997" s="7"/>
      <c r="Q1997" s="13"/>
      <c r="R1997" s="13"/>
      <c r="S1997" s="13"/>
      <c r="T1997" s="6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</row>
    <row r="1998">
      <c r="A1998" s="12">
        <v>54.0</v>
      </c>
      <c r="B1998" s="7" t="s">
        <v>588</v>
      </c>
      <c r="C1998" s="7" t="s">
        <v>1624</v>
      </c>
      <c r="I1998" s="13" t="s">
        <v>632</v>
      </c>
      <c r="J1998" s="13" t="s">
        <v>1643</v>
      </c>
      <c r="K1998" s="13" t="s">
        <v>303</v>
      </c>
      <c r="L1998" s="13" t="s">
        <v>2416</v>
      </c>
      <c r="M1998" s="6" t="s">
        <v>188</v>
      </c>
      <c r="N1998" s="6" t="s">
        <v>188</v>
      </c>
      <c r="O1998" s="6" t="s">
        <v>190</v>
      </c>
      <c r="P1998" s="7" t="s">
        <v>333</v>
      </c>
      <c r="Q1998" s="13"/>
      <c r="R1998" s="13"/>
      <c r="S1998" s="13"/>
      <c r="T1998" s="6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</row>
    <row r="1999">
      <c r="A1999" s="12">
        <v>54.0</v>
      </c>
      <c r="B1999" s="7" t="s">
        <v>588</v>
      </c>
      <c r="C1999" s="7" t="s">
        <v>1624</v>
      </c>
      <c r="I1999" s="13" t="s">
        <v>1400</v>
      </c>
      <c r="J1999" s="13" t="s">
        <v>1646</v>
      </c>
      <c r="K1999" s="13" t="s">
        <v>303</v>
      </c>
      <c r="L1999" s="13" t="s">
        <v>2417</v>
      </c>
      <c r="M1999" s="6" t="s">
        <v>188</v>
      </c>
      <c r="N1999" s="6" t="s">
        <v>188</v>
      </c>
      <c r="O1999" s="6" t="s">
        <v>190</v>
      </c>
      <c r="P1999" s="7" t="s">
        <v>333</v>
      </c>
      <c r="Q1999" s="13"/>
      <c r="R1999" s="13"/>
      <c r="S1999" s="13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</row>
    <row r="2000">
      <c r="A2000" s="12">
        <v>54.0</v>
      </c>
      <c r="B2000" s="7" t="s">
        <v>588</v>
      </c>
      <c r="C2000" s="7" t="s">
        <v>1624</v>
      </c>
      <c r="I2000" s="13" t="s">
        <v>645</v>
      </c>
      <c r="J2000" s="13" t="s">
        <v>1643</v>
      </c>
      <c r="K2000" s="13" t="s">
        <v>303</v>
      </c>
      <c r="L2000" s="13" t="s">
        <v>2416</v>
      </c>
      <c r="M2000" s="6" t="s">
        <v>188</v>
      </c>
      <c r="N2000" s="6" t="s">
        <v>188</v>
      </c>
      <c r="O2000" s="6" t="s">
        <v>190</v>
      </c>
      <c r="P2000" s="7" t="s">
        <v>333</v>
      </c>
      <c r="Q2000" s="13"/>
      <c r="R2000" s="13"/>
      <c r="S2000" s="13"/>
      <c r="T2000" s="7"/>
      <c r="U2000" s="6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</row>
    <row r="2001">
      <c r="A2001" s="12">
        <v>54.0</v>
      </c>
      <c r="B2001" s="7" t="s">
        <v>588</v>
      </c>
      <c r="C2001" s="7" t="s">
        <v>1624</v>
      </c>
      <c r="I2001" s="13" t="s">
        <v>1416</v>
      </c>
      <c r="J2001" s="13" t="s">
        <v>1646</v>
      </c>
      <c r="K2001" s="13" t="s">
        <v>303</v>
      </c>
      <c r="L2001" s="13" t="s">
        <v>2418</v>
      </c>
      <c r="M2001" s="6" t="s">
        <v>188</v>
      </c>
      <c r="N2001" s="6" t="s">
        <v>188</v>
      </c>
      <c r="O2001" s="6" t="s">
        <v>190</v>
      </c>
      <c r="P2001" s="7" t="s">
        <v>333</v>
      </c>
      <c r="Q2001" s="13"/>
      <c r="R2001" s="13"/>
      <c r="S2001" s="13"/>
      <c r="T2001" s="7"/>
      <c r="U2001" s="6"/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</row>
    <row r="2002">
      <c r="A2002" s="12">
        <v>55.0</v>
      </c>
      <c r="B2002" s="7" t="s">
        <v>589</v>
      </c>
      <c r="C2002" s="7" t="s">
        <v>1624</v>
      </c>
      <c r="D2002" s="26">
        <f>IF(COUNTIF($B$2:$B2002,$B2002)&gt;1,"",COUNTIF($B$2:$B$3400,$B2002))</f>
        <v>30</v>
      </c>
      <c r="E2002" s="26">
        <f>IF(COUNTIF($B$2:$B2002,$B2002)&gt;1,"",COUNTIFS($B$2:$B$3400,$B2002,$K$2:$K$3400,"PHÙ HỢP CAO"))</f>
        <v>3</v>
      </c>
      <c r="F2002" s="26">
        <f>IF(COUNTIF($B$2:$B2002,$B2002)&gt;1,"",COUNTIFS($B$2:$B$3400,$B2002,$K$2:$K$3400,"CÓ THỂ ĐI"))</f>
        <v>2</v>
      </c>
      <c r="G2002" s="26">
        <f>IF(COUNTIF($B$2:$B2002,$B2002)&gt;1,"",COUNTIFS($B$2:$B$3400,$B2002,$K$2:$K$3400,"CẦN SOÁT"))</f>
        <v>25</v>
      </c>
      <c r="H2002" s="27" t="str">
        <f>IFERROR(__xludf.DUMMYFUNCTION("IF(COUNTIF($B$2:$B2002,$B2002)&gt;1,"""",IFERROR(TEXTJOIN(CHAR(10),TRUE,BYROW(QUERY({$B$2:$B$3400,$J$2:$J$3400},""select Col2, count(Col2) where Col1 = '""&amp;$B2002&amp;""' group by Col2 order by count(Col2) desc label count(Col2) ''"",0),LAMBDA(r,INDEX(r,1,1)&amp;"" "&amp;"– ""&amp;INDEX(r,1,2)&amp;"" link""))),""""))"),"cách mở tài khoản hộ kinh doanh – 10 link
mở tài khoản hộ kinh doanh – 10 link
tài khoản hộ kinh doanh – 10 link")</f>
        <v>cách mở tài khoản hộ kinh doanh – 10 link
mở tài khoản hộ kinh doanh – 10 link
tài khoản hộ kinh doanh – 10 link</v>
      </c>
      <c r="I2002" s="10" t="s">
        <v>747</v>
      </c>
      <c r="J2002" s="13" t="s">
        <v>1653</v>
      </c>
      <c r="K2002" s="13" t="s">
        <v>184</v>
      </c>
      <c r="L2002" s="13" t="s">
        <v>2419</v>
      </c>
      <c r="M2002" s="6" t="s">
        <v>188</v>
      </c>
      <c r="N2002" s="6" t="s">
        <v>188</v>
      </c>
      <c r="O2002" s="6" t="s">
        <v>190</v>
      </c>
      <c r="P2002" s="7"/>
      <c r="Q2002" s="13"/>
      <c r="R2002" s="13"/>
      <c r="S2002" s="13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</row>
    <row r="2003">
      <c r="A2003" s="12">
        <v>55.0</v>
      </c>
      <c r="B2003" s="7" t="s">
        <v>589</v>
      </c>
      <c r="C2003" s="7" t="s">
        <v>1624</v>
      </c>
      <c r="I2003" s="10" t="s">
        <v>672</v>
      </c>
      <c r="J2003" s="13" t="s">
        <v>1656</v>
      </c>
      <c r="K2003" s="13" t="s">
        <v>184</v>
      </c>
      <c r="L2003" s="13" t="s">
        <v>2420</v>
      </c>
      <c r="M2003" s="6" t="s">
        <v>188</v>
      </c>
      <c r="N2003" s="6" t="s">
        <v>188</v>
      </c>
      <c r="O2003" s="6" t="s">
        <v>190</v>
      </c>
      <c r="P2003" s="7"/>
      <c r="Q2003" s="13"/>
      <c r="R2003" s="13"/>
      <c r="S2003" s="13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</row>
    <row r="2004">
      <c r="A2004" s="12">
        <v>55.0</v>
      </c>
      <c r="B2004" s="7" t="s">
        <v>589</v>
      </c>
      <c r="C2004" s="7" t="s">
        <v>1624</v>
      </c>
      <c r="I2004" s="10" t="s">
        <v>664</v>
      </c>
      <c r="J2004" s="13" t="s">
        <v>1659</v>
      </c>
      <c r="K2004" s="13" t="s">
        <v>184</v>
      </c>
      <c r="L2004" s="13" t="s">
        <v>2421</v>
      </c>
      <c r="M2004" s="6" t="s">
        <v>188</v>
      </c>
      <c r="N2004" s="6" t="s">
        <v>188</v>
      </c>
      <c r="O2004" s="6" t="s">
        <v>190</v>
      </c>
      <c r="P2004" s="7"/>
      <c r="Q2004" s="13"/>
      <c r="R2004" s="13"/>
      <c r="S2004" s="13"/>
      <c r="T2004" s="7"/>
      <c r="U2004" s="6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</row>
    <row r="2005">
      <c r="A2005" s="12">
        <v>55.0</v>
      </c>
      <c r="B2005" s="7" t="s">
        <v>589</v>
      </c>
      <c r="C2005" s="7" t="s">
        <v>1624</v>
      </c>
      <c r="I2005" s="10" t="s">
        <v>628</v>
      </c>
      <c r="J2005" s="13" t="s">
        <v>1653</v>
      </c>
      <c r="K2005" s="13" t="s">
        <v>283</v>
      </c>
      <c r="L2005" s="13" t="s">
        <v>2422</v>
      </c>
      <c r="M2005" s="6" t="s">
        <v>188</v>
      </c>
      <c r="N2005" s="6" t="s">
        <v>188</v>
      </c>
      <c r="O2005" s="6" t="s">
        <v>190</v>
      </c>
      <c r="P2005" s="7"/>
      <c r="Q2005" s="13"/>
      <c r="R2005" s="13"/>
      <c r="S2005" s="13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</row>
    <row r="2006">
      <c r="A2006" s="12">
        <v>55.0</v>
      </c>
      <c r="B2006" s="7" t="s">
        <v>589</v>
      </c>
      <c r="C2006" s="7" t="s">
        <v>1624</v>
      </c>
      <c r="I2006" s="10" t="s">
        <v>634</v>
      </c>
      <c r="J2006" s="13" t="s">
        <v>1656</v>
      </c>
      <c r="K2006" s="13" t="s">
        <v>283</v>
      </c>
      <c r="L2006" s="13" t="s">
        <v>2423</v>
      </c>
      <c r="M2006" s="6" t="s">
        <v>188</v>
      </c>
      <c r="N2006" s="6" t="s">
        <v>188</v>
      </c>
      <c r="O2006" s="6" t="s">
        <v>190</v>
      </c>
      <c r="P2006" s="7"/>
      <c r="Q2006" s="13"/>
      <c r="R2006" s="13"/>
      <c r="S2006" s="13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</row>
    <row r="2007">
      <c r="A2007" s="12">
        <v>55.0</v>
      </c>
      <c r="B2007" s="7" t="s">
        <v>589</v>
      </c>
      <c r="C2007" s="7" t="s">
        <v>1624</v>
      </c>
      <c r="I2007" s="10" t="s">
        <v>671</v>
      </c>
      <c r="J2007" s="13" t="s">
        <v>1659</v>
      </c>
      <c r="K2007" s="13" t="s">
        <v>303</v>
      </c>
      <c r="L2007" s="13" t="s">
        <v>2387</v>
      </c>
      <c r="M2007" s="6" t="s">
        <v>188</v>
      </c>
      <c r="N2007" s="6" t="s">
        <v>188</v>
      </c>
      <c r="O2007" s="6" t="s">
        <v>190</v>
      </c>
      <c r="P2007" s="7"/>
      <c r="Q2007" s="13"/>
      <c r="R2007" s="13"/>
      <c r="S2007" s="13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</row>
    <row r="2008">
      <c r="A2008" s="12">
        <v>55.0</v>
      </c>
      <c r="B2008" s="7" t="s">
        <v>589</v>
      </c>
      <c r="C2008" s="7" t="s">
        <v>1624</v>
      </c>
      <c r="I2008" s="10" t="s">
        <v>673</v>
      </c>
      <c r="J2008" s="13" t="s">
        <v>1653</v>
      </c>
      <c r="K2008" s="13" t="s">
        <v>303</v>
      </c>
      <c r="L2008" s="13" t="s">
        <v>2387</v>
      </c>
      <c r="M2008" s="6" t="s">
        <v>188</v>
      </c>
      <c r="N2008" s="6" t="s">
        <v>188</v>
      </c>
      <c r="O2008" s="6" t="s">
        <v>190</v>
      </c>
      <c r="P2008" s="13" t="s">
        <v>574</v>
      </c>
      <c r="Q2008" s="13"/>
      <c r="R2008" s="13"/>
      <c r="S2008" s="13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</row>
    <row r="2009">
      <c r="A2009" s="12">
        <v>55.0</v>
      </c>
      <c r="B2009" s="7" t="s">
        <v>589</v>
      </c>
      <c r="C2009" s="7" t="s">
        <v>1624</v>
      </c>
      <c r="I2009" s="10" t="s">
        <v>693</v>
      </c>
      <c r="J2009" s="13" t="s">
        <v>1656</v>
      </c>
      <c r="K2009" s="13" t="s">
        <v>303</v>
      </c>
      <c r="L2009" s="13" t="s">
        <v>2387</v>
      </c>
      <c r="M2009" s="6" t="s">
        <v>188</v>
      </c>
      <c r="N2009" s="6" t="s">
        <v>188</v>
      </c>
      <c r="O2009" s="6" t="s">
        <v>190</v>
      </c>
      <c r="P2009" s="7"/>
      <c r="Q2009" s="13"/>
      <c r="R2009" s="13"/>
      <c r="S2009" s="13"/>
      <c r="T2009" s="6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</row>
    <row r="2010">
      <c r="A2010" s="12">
        <v>55.0</v>
      </c>
      <c r="B2010" s="7" t="s">
        <v>589</v>
      </c>
      <c r="C2010" s="7" t="s">
        <v>1624</v>
      </c>
      <c r="I2010" s="10" t="s">
        <v>591</v>
      </c>
      <c r="J2010" s="13" t="s">
        <v>1659</v>
      </c>
      <c r="K2010" s="13" t="s">
        <v>303</v>
      </c>
      <c r="L2010" s="13" t="s">
        <v>2387</v>
      </c>
      <c r="M2010" s="6" t="s">
        <v>188</v>
      </c>
      <c r="N2010" s="6" t="s">
        <v>188</v>
      </c>
      <c r="O2010" s="6" t="s">
        <v>190</v>
      </c>
      <c r="P2010" s="7"/>
      <c r="Q2010" s="13"/>
      <c r="R2010" s="13"/>
      <c r="S2010" s="13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</row>
    <row r="2011">
      <c r="A2011" s="12">
        <v>55.0</v>
      </c>
      <c r="B2011" s="7" t="s">
        <v>589</v>
      </c>
      <c r="C2011" s="7" t="s">
        <v>1624</v>
      </c>
      <c r="I2011" s="10" t="s">
        <v>676</v>
      </c>
      <c r="J2011" s="13" t="s">
        <v>1653</v>
      </c>
      <c r="K2011" s="13" t="s">
        <v>303</v>
      </c>
      <c r="L2011" s="13" t="s">
        <v>2387</v>
      </c>
      <c r="M2011" s="6" t="s">
        <v>188</v>
      </c>
      <c r="N2011" s="6" t="s">
        <v>188</v>
      </c>
      <c r="O2011" s="6" t="s">
        <v>190</v>
      </c>
      <c r="P2011" s="7"/>
      <c r="Q2011" s="13"/>
      <c r="R2011" s="13"/>
      <c r="S2011" s="13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</row>
    <row r="2012">
      <c r="A2012" s="12">
        <v>55.0</v>
      </c>
      <c r="B2012" s="7" t="s">
        <v>589</v>
      </c>
      <c r="C2012" s="7" t="s">
        <v>1624</v>
      </c>
      <c r="I2012" s="10" t="s">
        <v>679</v>
      </c>
      <c r="J2012" s="13" t="s">
        <v>1656</v>
      </c>
      <c r="K2012" s="13" t="s">
        <v>303</v>
      </c>
      <c r="L2012" s="13" t="s">
        <v>2387</v>
      </c>
      <c r="M2012" s="6" t="s">
        <v>188</v>
      </c>
      <c r="N2012" s="6" t="s">
        <v>188</v>
      </c>
      <c r="O2012" s="6" t="s">
        <v>190</v>
      </c>
      <c r="P2012" s="7"/>
      <c r="Q2012" s="13"/>
      <c r="R2012" s="13"/>
      <c r="S2012" s="13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</row>
    <row r="2013">
      <c r="A2013" s="12">
        <v>55.0</v>
      </c>
      <c r="B2013" s="7" t="s">
        <v>589</v>
      </c>
      <c r="C2013" s="7" t="s">
        <v>1624</v>
      </c>
      <c r="I2013" s="10" t="s">
        <v>699</v>
      </c>
      <c r="J2013" s="13" t="s">
        <v>1659</v>
      </c>
      <c r="K2013" s="13" t="s">
        <v>303</v>
      </c>
      <c r="L2013" s="13" t="s">
        <v>2387</v>
      </c>
      <c r="M2013" s="6" t="s">
        <v>188</v>
      </c>
      <c r="N2013" s="6" t="s">
        <v>188</v>
      </c>
      <c r="O2013" s="6" t="s">
        <v>190</v>
      </c>
      <c r="P2013" s="7"/>
      <c r="Q2013" s="13"/>
      <c r="R2013" s="13"/>
      <c r="S2013" s="13"/>
      <c r="T2013" s="6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</row>
    <row r="2014">
      <c r="A2014" s="12">
        <v>55.0</v>
      </c>
      <c r="B2014" s="7" t="s">
        <v>589</v>
      </c>
      <c r="C2014" s="7" t="s">
        <v>1624</v>
      </c>
      <c r="I2014" s="10" t="s">
        <v>610</v>
      </c>
      <c r="J2014" s="13" t="s">
        <v>1653</v>
      </c>
      <c r="K2014" s="13" t="s">
        <v>303</v>
      </c>
      <c r="L2014" s="13" t="s">
        <v>2387</v>
      </c>
      <c r="M2014" s="6" t="s">
        <v>188</v>
      </c>
      <c r="N2014" s="6" t="s">
        <v>188</v>
      </c>
      <c r="O2014" s="6" t="s">
        <v>190</v>
      </c>
      <c r="P2014" s="7"/>
      <c r="Q2014" s="13"/>
      <c r="R2014" s="13"/>
      <c r="S2014" s="13"/>
      <c r="T2014" s="6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</row>
    <row r="2015">
      <c r="A2015" s="12">
        <v>55.0</v>
      </c>
      <c r="B2015" s="7" t="s">
        <v>589</v>
      </c>
      <c r="C2015" s="7" t="s">
        <v>1624</v>
      </c>
      <c r="I2015" s="10" t="s">
        <v>2102</v>
      </c>
      <c r="J2015" s="13" t="s">
        <v>1656</v>
      </c>
      <c r="K2015" s="13" t="s">
        <v>303</v>
      </c>
      <c r="L2015" s="13" t="s">
        <v>2387</v>
      </c>
      <c r="M2015" s="6" t="s">
        <v>188</v>
      </c>
      <c r="N2015" s="6" t="s">
        <v>188</v>
      </c>
      <c r="O2015" s="6" t="s">
        <v>190</v>
      </c>
      <c r="P2015" s="7"/>
      <c r="Q2015" s="13"/>
      <c r="R2015" s="13"/>
      <c r="S2015" s="13"/>
      <c r="T2015" s="6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</row>
    <row r="2016">
      <c r="A2016" s="12">
        <v>55.0</v>
      </c>
      <c r="B2016" s="7" t="s">
        <v>589</v>
      </c>
      <c r="C2016" s="7" t="s">
        <v>1624</v>
      </c>
      <c r="I2016" s="10" t="s">
        <v>612</v>
      </c>
      <c r="J2016" s="13" t="s">
        <v>1659</v>
      </c>
      <c r="K2016" s="13" t="s">
        <v>303</v>
      </c>
      <c r="L2016" s="13" t="s">
        <v>2387</v>
      </c>
      <c r="M2016" s="6" t="s">
        <v>188</v>
      </c>
      <c r="N2016" s="6" t="s">
        <v>188</v>
      </c>
      <c r="O2016" s="6" t="s">
        <v>190</v>
      </c>
      <c r="P2016" s="7"/>
      <c r="Q2016" s="13"/>
      <c r="R2016" s="13"/>
      <c r="S2016" s="13"/>
      <c r="T2016" s="6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</row>
    <row r="2017">
      <c r="A2017" s="12">
        <v>55.0</v>
      </c>
      <c r="B2017" s="7" t="s">
        <v>589</v>
      </c>
      <c r="C2017" s="7" t="s">
        <v>1624</v>
      </c>
      <c r="I2017" s="10" t="s">
        <v>2388</v>
      </c>
      <c r="J2017" s="13" t="s">
        <v>1653</v>
      </c>
      <c r="K2017" s="13" t="s">
        <v>303</v>
      </c>
      <c r="L2017" s="13" t="s">
        <v>2387</v>
      </c>
      <c r="M2017" s="6" t="s">
        <v>188</v>
      </c>
      <c r="N2017" s="6" t="s">
        <v>188</v>
      </c>
      <c r="O2017" s="6" t="s">
        <v>190</v>
      </c>
      <c r="P2017" s="7"/>
      <c r="Q2017" s="13"/>
      <c r="R2017" s="13"/>
      <c r="S2017" s="13"/>
      <c r="T2017" s="6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</row>
    <row r="2018">
      <c r="A2018" s="12">
        <v>55.0</v>
      </c>
      <c r="B2018" s="7" t="s">
        <v>589</v>
      </c>
      <c r="C2018" s="7" t="s">
        <v>1624</v>
      </c>
      <c r="I2018" s="10" t="s">
        <v>578</v>
      </c>
      <c r="J2018" s="13" t="s">
        <v>1656</v>
      </c>
      <c r="K2018" s="13" t="s">
        <v>303</v>
      </c>
      <c r="L2018" s="13" t="s">
        <v>2387</v>
      </c>
      <c r="M2018" s="6" t="s">
        <v>188</v>
      </c>
      <c r="N2018" s="6" t="s">
        <v>188</v>
      </c>
      <c r="O2018" s="6" t="s">
        <v>190</v>
      </c>
      <c r="P2018" s="7"/>
      <c r="Q2018" s="13"/>
      <c r="R2018" s="13"/>
      <c r="S2018" s="13"/>
      <c r="T2018" s="6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</row>
    <row r="2019">
      <c r="A2019" s="12">
        <v>55.0</v>
      </c>
      <c r="B2019" s="7" t="s">
        <v>589</v>
      </c>
      <c r="C2019" s="7" t="s">
        <v>1624</v>
      </c>
      <c r="I2019" s="10" t="s">
        <v>557</v>
      </c>
      <c r="J2019" s="13" t="s">
        <v>1659</v>
      </c>
      <c r="K2019" s="13" t="s">
        <v>303</v>
      </c>
      <c r="L2019" s="13" t="s">
        <v>2387</v>
      </c>
      <c r="M2019" s="6" t="s">
        <v>188</v>
      </c>
      <c r="N2019" s="6" t="s">
        <v>188</v>
      </c>
      <c r="O2019" s="6" t="s">
        <v>190</v>
      </c>
      <c r="P2019" s="7"/>
      <c r="Q2019" s="13"/>
      <c r="R2019" s="13"/>
      <c r="S2019" s="13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</row>
    <row r="2020">
      <c r="A2020" s="12">
        <v>55.0</v>
      </c>
      <c r="B2020" s="7" t="s">
        <v>589</v>
      </c>
      <c r="C2020" s="7" t="s">
        <v>1624</v>
      </c>
      <c r="I2020" s="10" t="s">
        <v>2345</v>
      </c>
      <c r="J2020" s="13" t="s">
        <v>1653</v>
      </c>
      <c r="K2020" s="13" t="s">
        <v>303</v>
      </c>
      <c r="L2020" s="13" t="s">
        <v>2387</v>
      </c>
      <c r="M2020" s="6" t="s">
        <v>188</v>
      </c>
      <c r="N2020" s="6" t="s">
        <v>188</v>
      </c>
      <c r="O2020" s="6" t="s">
        <v>190</v>
      </c>
      <c r="P2020" s="7"/>
      <c r="Q2020" s="13"/>
      <c r="R2020" s="13"/>
      <c r="S2020" s="13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</row>
    <row r="2021">
      <c r="A2021" s="12">
        <v>55.0</v>
      </c>
      <c r="B2021" s="7" t="s">
        <v>589</v>
      </c>
      <c r="C2021" s="7" t="s">
        <v>1624</v>
      </c>
      <c r="I2021" s="10" t="s">
        <v>581</v>
      </c>
      <c r="J2021" s="13" t="s">
        <v>1656</v>
      </c>
      <c r="K2021" s="13" t="s">
        <v>303</v>
      </c>
      <c r="L2021" s="13" t="s">
        <v>2387</v>
      </c>
      <c r="M2021" s="6" t="s">
        <v>188</v>
      </c>
      <c r="N2021" s="6" t="s">
        <v>188</v>
      </c>
      <c r="O2021" s="6" t="s">
        <v>190</v>
      </c>
      <c r="P2021" s="7"/>
      <c r="Q2021" s="13"/>
      <c r="R2021" s="13"/>
      <c r="S2021" s="13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</row>
    <row r="2022">
      <c r="A2022" s="12">
        <v>55.0</v>
      </c>
      <c r="B2022" s="7" t="s">
        <v>589</v>
      </c>
      <c r="C2022" s="7" t="s">
        <v>1624</v>
      </c>
      <c r="I2022" s="10" t="s">
        <v>583</v>
      </c>
      <c r="J2022" s="13" t="s">
        <v>1659</v>
      </c>
      <c r="K2022" s="13" t="s">
        <v>303</v>
      </c>
      <c r="L2022" s="13" t="s">
        <v>2387</v>
      </c>
      <c r="M2022" s="6" t="s">
        <v>188</v>
      </c>
      <c r="N2022" s="6" t="s">
        <v>188</v>
      </c>
      <c r="O2022" s="6" t="s">
        <v>190</v>
      </c>
      <c r="P2022" s="7"/>
      <c r="Q2022" s="13"/>
      <c r="R2022" s="13"/>
      <c r="S2022" s="13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</row>
    <row r="2023">
      <c r="A2023" s="12">
        <v>55.0</v>
      </c>
      <c r="B2023" s="7" t="s">
        <v>589</v>
      </c>
      <c r="C2023" s="7" t="s">
        <v>1624</v>
      </c>
      <c r="I2023" s="10" t="s">
        <v>633</v>
      </c>
      <c r="J2023" s="13" t="s">
        <v>1653</v>
      </c>
      <c r="K2023" s="13" t="s">
        <v>303</v>
      </c>
      <c r="L2023" s="13" t="s">
        <v>2387</v>
      </c>
      <c r="M2023" s="6" t="s">
        <v>188</v>
      </c>
      <c r="N2023" s="6" t="s">
        <v>188</v>
      </c>
      <c r="O2023" s="6" t="s">
        <v>190</v>
      </c>
      <c r="P2023" s="7"/>
      <c r="Q2023" s="13"/>
      <c r="R2023" s="13"/>
      <c r="S2023" s="13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</row>
    <row r="2024">
      <c r="A2024" s="12">
        <v>55.0</v>
      </c>
      <c r="B2024" s="7" t="s">
        <v>589</v>
      </c>
      <c r="C2024" s="7" t="s">
        <v>1624</v>
      </c>
      <c r="I2024" s="10" t="s">
        <v>683</v>
      </c>
      <c r="J2024" s="13" t="s">
        <v>1656</v>
      </c>
      <c r="K2024" s="13" t="s">
        <v>303</v>
      </c>
      <c r="L2024" s="13" t="s">
        <v>2387</v>
      </c>
      <c r="M2024" s="6" t="s">
        <v>188</v>
      </c>
      <c r="N2024" s="6" t="s">
        <v>188</v>
      </c>
      <c r="O2024" s="6" t="s">
        <v>190</v>
      </c>
      <c r="P2024" s="7"/>
      <c r="Q2024" s="13"/>
      <c r="R2024" s="13"/>
      <c r="S2024" s="13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</row>
    <row r="2025">
      <c r="A2025" s="12">
        <v>55.0</v>
      </c>
      <c r="B2025" s="7" t="s">
        <v>589</v>
      </c>
      <c r="C2025" s="7" t="s">
        <v>1624</v>
      </c>
      <c r="I2025" s="10" t="s">
        <v>694</v>
      </c>
      <c r="J2025" s="13" t="s">
        <v>1659</v>
      </c>
      <c r="K2025" s="13" t="s">
        <v>303</v>
      </c>
      <c r="L2025" s="13" t="s">
        <v>2387</v>
      </c>
      <c r="M2025" s="6" t="s">
        <v>188</v>
      </c>
      <c r="N2025" s="6" t="s">
        <v>188</v>
      </c>
      <c r="O2025" s="6" t="s">
        <v>190</v>
      </c>
      <c r="P2025" s="7"/>
      <c r="Q2025" s="13"/>
      <c r="R2025" s="13"/>
      <c r="S2025" s="13"/>
      <c r="T2025" s="7"/>
      <c r="U2025" s="6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</row>
    <row r="2026">
      <c r="A2026" s="12">
        <v>55.0</v>
      </c>
      <c r="B2026" s="7" t="s">
        <v>589</v>
      </c>
      <c r="C2026" s="7" t="s">
        <v>1624</v>
      </c>
      <c r="I2026" s="10" t="s">
        <v>684</v>
      </c>
      <c r="J2026" s="13" t="s">
        <v>1653</v>
      </c>
      <c r="K2026" s="13" t="s">
        <v>303</v>
      </c>
      <c r="L2026" s="13" t="s">
        <v>2387</v>
      </c>
      <c r="M2026" s="6" t="s">
        <v>188</v>
      </c>
      <c r="N2026" s="6" t="s">
        <v>188</v>
      </c>
      <c r="O2026" s="6" t="s">
        <v>190</v>
      </c>
      <c r="P2026" s="7"/>
      <c r="Q2026" s="13"/>
      <c r="R2026" s="13"/>
      <c r="S2026" s="13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</row>
    <row r="2027">
      <c r="A2027" s="12">
        <v>55.0</v>
      </c>
      <c r="B2027" s="7" t="s">
        <v>589</v>
      </c>
      <c r="C2027" s="7" t="s">
        <v>1624</v>
      </c>
      <c r="I2027" s="10" t="s">
        <v>685</v>
      </c>
      <c r="J2027" s="13" t="s">
        <v>1656</v>
      </c>
      <c r="K2027" s="13" t="s">
        <v>303</v>
      </c>
      <c r="L2027" s="13" t="s">
        <v>2387</v>
      </c>
      <c r="M2027" s="6" t="s">
        <v>188</v>
      </c>
      <c r="N2027" s="6" t="s">
        <v>188</v>
      </c>
      <c r="O2027" s="6" t="s">
        <v>190</v>
      </c>
      <c r="P2027" s="7"/>
      <c r="Q2027" s="13"/>
      <c r="R2027" s="13"/>
      <c r="S2027" s="13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</row>
    <row r="2028">
      <c r="A2028" s="12">
        <v>55.0</v>
      </c>
      <c r="B2028" s="7" t="s">
        <v>589</v>
      </c>
      <c r="C2028" s="7" t="s">
        <v>1624</v>
      </c>
      <c r="I2028" s="10" t="s">
        <v>698</v>
      </c>
      <c r="J2028" s="13" t="s">
        <v>1659</v>
      </c>
      <c r="K2028" s="13" t="s">
        <v>303</v>
      </c>
      <c r="L2028" s="13" t="s">
        <v>2387</v>
      </c>
      <c r="M2028" s="6" t="s">
        <v>188</v>
      </c>
      <c r="N2028" s="6" t="s">
        <v>188</v>
      </c>
      <c r="O2028" s="6" t="s">
        <v>190</v>
      </c>
      <c r="P2028" s="7"/>
      <c r="Q2028" s="13"/>
      <c r="R2028" s="13"/>
      <c r="S2028" s="13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</row>
    <row r="2029">
      <c r="A2029" s="12">
        <v>55.0</v>
      </c>
      <c r="B2029" s="7" t="s">
        <v>589</v>
      </c>
      <c r="C2029" s="7" t="s">
        <v>1624</v>
      </c>
      <c r="I2029" s="10" t="s">
        <v>688</v>
      </c>
      <c r="J2029" s="13" t="s">
        <v>1653</v>
      </c>
      <c r="K2029" s="13" t="s">
        <v>303</v>
      </c>
      <c r="L2029" s="13" t="s">
        <v>2387</v>
      </c>
      <c r="M2029" s="6" t="s">
        <v>188</v>
      </c>
      <c r="N2029" s="6" t="s">
        <v>188</v>
      </c>
      <c r="O2029" s="6" t="s">
        <v>190</v>
      </c>
      <c r="P2029" s="7"/>
      <c r="Q2029" s="13"/>
      <c r="R2029" s="13"/>
      <c r="S2029" s="13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</row>
    <row r="2030">
      <c r="A2030" s="12">
        <v>55.0</v>
      </c>
      <c r="B2030" s="7" t="s">
        <v>589</v>
      </c>
      <c r="C2030" s="7" t="s">
        <v>1624</v>
      </c>
      <c r="I2030" s="10" t="s">
        <v>2389</v>
      </c>
      <c r="J2030" s="13" t="s">
        <v>1656</v>
      </c>
      <c r="K2030" s="13" t="s">
        <v>303</v>
      </c>
      <c r="L2030" s="13" t="s">
        <v>2387</v>
      </c>
      <c r="M2030" s="6" t="s">
        <v>188</v>
      </c>
      <c r="N2030" s="6" t="s">
        <v>188</v>
      </c>
      <c r="O2030" s="6" t="s">
        <v>190</v>
      </c>
      <c r="P2030" s="7"/>
      <c r="Q2030" s="13"/>
      <c r="R2030" s="13"/>
      <c r="S2030" s="13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</row>
    <row r="2031">
      <c r="A2031" s="12">
        <v>55.0</v>
      </c>
      <c r="B2031" s="7" t="s">
        <v>589</v>
      </c>
      <c r="C2031" s="7" t="s">
        <v>1624</v>
      </c>
      <c r="I2031" s="10" t="s">
        <v>637</v>
      </c>
      <c r="J2031" s="13" t="s">
        <v>1659</v>
      </c>
      <c r="K2031" s="13" t="s">
        <v>303</v>
      </c>
      <c r="L2031" s="13" t="s">
        <v>2387</v>
      </c>
      <c r="M2031" s="6" t="s">
        <v>188</v>
      </c>
      <c r="N2031" s="6" t="s">
        <v>188</v>
      </c>
      <c r="O2031" s="6" t="s">
        <v>190</v>
      </c>
      <c r="P2031" s="7"/>
      <c r="Q2031" s="13"/>
      <c r="R2031" s="13"/>
      <c r="S2031" s="13"/>
      <c r="T2031" s="6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</row>
    <row r="2032">
      <c r="A2032" s="12">
        <v>56.0</v>
      </c>
      <c r="B2032" s="7" t="s">
        <v>591</v>
      </c>
      <c r="C2032" s="7" t="s">
        <v>1624</v>
      </c>
      <c r="D2032" s="26">
        <f>IF(COUNTIF($B$2:$B2032,$B2032)&gt;1,"",COUNTIF($B$2:$B$3400,$B2032))</f>
        <v>30</v>
      </c>
      <c r="E2032" s="26">
        <f>IF(COUNTIF($B$2:$B2032,$B2032)&gt;1,"",COUNTIFS($B$2:$B$3400,$B2032,$K$2:$K$3400,"PHÙ HỢP CAO"))</f>
        <v>3</v>
      </c>
      <c r="F2032" s="26">
        <f>IF(COUNTIF($B$2:$B2032,$B2032)&gt;1,"",COUNTIFS($B$2:$B$3400,$B2032,$K$2:$K$3400,"CÓ THỂ ĐI"))</f>
        <v>2</v>
      </c>
      <c r="G2032" s="26">
        <f>IF(COUNTIF($B$2:$B2032,$B2032)&gt;1,"",COUNTIFS($B$2:$B$3400,$B2032,$K$2:$K$3400,"CẦN SOÁT"))</f>
        <v>25</v>
      </c>
      <c r="H2032" s="27" t="str">
        <f>IFERROR(__xludf.DUMMYFUNCTION("IF(COUNTIF($B$2:$B2032,$B2032)&gt;1,"""",IFERROR(TEXTJOIN(CHAR(10),TRUE,BYROW(QUERY({$B$2:$B$3400,$J$2:$J$3400},""select Col2, count(Col2) where Col1 = '""&amp;$B2032&amp;""' group by Col2 order by count(Col2) desc label count(Col2) ''"",0),LAMBDA(r,INDEX(r,1,1)&amp;"" "&amp;"– ""&amp;INDEX(r,1,2)&amp;"" link""))),""""))"),"cách tính thuế hộ kinh doanh – 15 link
cách tính thuế hộ kinh doanh nhỏ lẻ – 15 link")</f>
        <v>cách tính thuế hộ kinh doanh – 15 link
cách tính thuế hộ kinh doanh nhỏ lẻ – 15 link</v>
      </c>
      <c r="I2032" s="10" t="s">
        <v>590</v>
      </c>
      <c r="J2032" s="13" t="s">
        <v>1665</v>
      </c>
      <c r="K2032" s="13" t="s">
        <v>184</v>
      </c>
      <c r="L2032" s="13" t="s">
        <v>2424</v>
      </c>
      <c r="M2032" s="6" t="s">
        <v>188</v>
      </c>
      <c r="N2032" s="6" t="s">
        <v>188</v>
      </c>
      <c r="O2032" s="6" t="s">
        <v>190</v>
      </c>
      <c r="P2032" s="7"/>
      <c r="Q2032" s="13"/>
      <c r="R2032" s="13"/>
      <c r="S2032" s="13"/>
      <c r="T2032" s="6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</row>
    <row r="2033">
      <c r="A2033" s="12">
        <v>56.0</v>
      </c>
      <c r="B2033" s="7" t="s">
        <v>591</v>
      </c>
      <c r="C2033" s="7" t="s">
        <v>1624</v>
      </c>
      <c r="I2033" s="10" t="s">
        <v>583</v>
      </c>
      <c r="J2033" s="13" t="s">
        <v>1668</v>
      </c>
      <c r="K2033" s="13" t="s">
        <v>184</v>
      </c>
      <c r="L2033" s="13" t="s">
        <v>2425</v>
      </c>
      <c r="M2033" s="6" t="s">
        <v>188</v>
      </c>
      <c r="N2033" s="6" t="s">
        <v>188</v>
      </c>
      <c r="O2033" s="6" t="s">
        <v>190</v>
      </c>
      <c r="P2033" s="7"/>
      <c r="Q2033" s="13"/>
      <c r="R2033" s="13"/>
      <c r="S2033" s="13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</row>
    <row r="2034">
      <c r="A2034" s="12">
        <v>56.0</v>
      </c>
      <c r="B2034" s="7" t="s">
        <v>591</v>
      </c>
      <c r="C2034" s="7" t="s">
        <v>1624</v>
      </c>
      <c r="I2034" s="10" t="s">
        <v>592</v>
      </c>
      <c r="J2034" s="13" t="s">
        <v>1665</v>
      </c>
      <c r="K2034" s="13" t="s">
        <v>184</v>
      </c>
      <c r="L2034" s="13" t="s">
        <v>2426</v>
      </c>
      <c r="M2034" s="6" t="s">
        <v>188</v>
      </c>
      <c r="N2034" s="6" t="s">
        <v>188</v>
      </c>
      <c r="O2034" s="6" t="s">
        <v>190</v>
      </c>
      <c r="P2034" s="7"/>
      <c r="Q2034" s="13"/>
      <c r="R2034" s="13"/>
      <c r="S2034" s="13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</row>
    <row r="2035">
      <c r="A2035" s="12">
        <v>56.0</v>
      </c>
      <c r="B2035" s="7" t="s">
        <v>591</v>
      </c>
      <c r="C2035" s="7" t="s">
        <v>1624</v>
      </c>
      <c r="I2035" s="10" t="s">
        <v>695</v>
      </c>
      <c r="J2035" s="13" t="s">
        <v>1668</v>
      </c>
      <c r="K2035" s="13" t="s">
        <v>283</v>
      </c>
      <c r="L2035" s="13" t="s">
        <v>2427</v>
      </c>
      <c r="M2035" s="6" t="s">
        <v>188</v>
      </c>
      <c r="N2035" s="6" t="s">
        <v>188</v>
      </c>
      <c r="O2035" s="6" t="s">
        <v>190</v>
      </c>
      <c r="P2035" s="7"/>
      <c r="Q2035" s="13"/>
      <c r="R2035" s="13"/>
      <c r="S2035" s="13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</row>
    <row r="2036">
      <c r="A2036" s="12">
        <v>56.0</v>
      </c>
      <c r="B2036" s="7" t="s">
        <v>591</v>
      </c>
      <c r="C2036" s="7" t="s">
        <v>1624</v>
      </c>
      <c r="I2036" s="10" t="s">
        <v>628</v>
      </c>
      <c r="J2036" s="13" t="s">
        <v>1665</v>
      </c>
      <c r="K2036" s="13" t="s">
        <v>283</v>
      </c>
      <c r="L2036" s="13" t="s">
        <v>2428</v>
      </c>
      <c r="M2036" s="6" t="s">
        <v>188</v>
      </c>
      <c r="N2036" s="6" t="s">
        <v>188</v>
      </c>
      <c r="O2036" s="6" t="s">
        <v>190</v>
      </c>
      <c r="P2036" s="7"/>
      <c r="Q2036" s="13"/>
      <c r="R2036" s="13"/>
      <c r="S2036" s="13"/>
      <c r="T2036" s="6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</row>
    <row r="2037">
      <c r="A2037" s="12">
        <v>56.0</v>
      </c>
      <c r="B2037" s="7" t="s">
        <v>591</v>
      </c>
      <c r="C2037" s="7" t="s">
        <v>1624</v>
      </c>
      <c r="I2037" s="10" t="s">
        <v>671</v>
      </c>
      <c r="J2037" s="13" t="s">
        <v>1668</v>
      </c>
      <c r="K2037" s="13" t="s">
        <v>303</v>
      </c>
      <c r="L2037" s="13" t="s">
        <v>2387</v>
      </c>
      <c r="M2037" s="6" t="s">
        <v>188</v>
      </c>
      <c r="N2037" s="6" t="s">
        <v>188</v>
      </c>
      <c r="O2037" s="6" t="s">
        <v>190</v>
      </c>
      <c r="P2037" s="7"/>
      <c r="Q2037" s="13"/>
      <c r="R2037" s="13"/>
      <c r="S2037" s="13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</row>
    <row r="2038">
      <c r="A2038" s="12">
        <v>56.0</v>
      </c>
      <c r="B2038" s="7" t="s">
        <v>591</v>
      </c>
      <c r="C2038" s="7" t="s">
        <v>1624</v>
      </c>
      <c r="I2038" s="10" t="s">
        <v>672</v>
      </c>
      <c r="J2038" s="13" t="s">
        <v>1665</v>
      </c>
      <c r="K2038" s="13" t="s">
        <v>303</v>
      </c>
      <c r="L2038" s="13" t="s">
        <v>2387</v>
      </c>
      <c r="M2038" s="6" t="s">
        <v>188</v>
      </c>
      <c r="N2038" s="6" t="s">
        <v>188</v>
      </c>
      <c r="O2038" s="6" t="s">
        <v>190</v>
      </c>
      <c r="P2038" s="7"/>
      <c r="Q2038" s="13"/>
      <c r="R2038" s="13"/>
      <c r="S2038" s="13"/>
      <c r="T2038" s="6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</row>
    <row r="2039">
      <c r="A2039" s="12">
        <v>56.0</v>
      </c>
      <c r="B2039" s="7" t="s">
        <v>591</v>
      </c>
      <c r="C2039" s="7" t="s">
        <v>1624</v>
      </c>
      <c r="I2039" s="10" t="s">
        <v>673</v>
      </c>
      <c r="J2039" s="13" t="s">
        <v>1668</v>
      </c>
      <c r="K2039" s="13" t="s">
        <v>303</v>
      </c>
      <c r="L2039" s="13" t="s">
        <v>2387</v>
      </c>
      <c r="M2039" s="6" t="s">
        <v>188</v>
      </c>
      <c r="N2039" s="6" t="s">
        <v>188</v>
      </c>
      <c r="O2039" s="6" t="s">
        <v>190</v>
      </c>
      <c r="P2039" s="13" t="s">
        <v>574</v>
      </c>
      <c r="Q2039" s="13"/>
      <c r="R2039" s="13"/>
      <c r="S2039" s="13"/>
      <c r="T2039" s="6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</row>
    <row r="2040">
      <c r="A2040" s="12">
        <v>56.0</v>
      </c>
      <c r="B2040" s="7" t="s">
        <v>591</v>
      </c>
      <c r="C2040" s="7" t="s">
        <v>1624</v>
      </c>
      <c r="I2040" s="10" t="s">
        <v>693</v>
      </c>
      <c r="J2040" s="13" t="s">
        <v>1665</v>
      </c>
      <c r="K2040" s="13" t="s">
        <v>303</v>
      </c>
      <c r="L2040" s="13" t="s">
        <v>2387</v>
      </c>
      <c r="M2040" s="6" t="s">
        <v>188</v>
      </c>
      <c r="N2040" s="6" t="s">
        <v>188</v>
      </c>
      <c r="O2040" s="6" t="s">
        <v>190</v>
      </c>
      <c r="P2040" s="7"/>
      <c r="Q2040" s="13"/>
      <c r="R2040" s="13"/>
      <c r="S2040" s="13"/>
      <c r="T2040" s="6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</row>
    <row r="2041">
      <c r="A2041" s="12">
        <v>56.0</v>
      </c>
      <c r="B2041" s="7" t="s">
        <v>591</v>
      </c>
      <c r="C2041" s="7" t="s">
        <v>1624</v>
      </c>
      <c r="I2041" s="10" t="s">
        <v>676</v>
      </c>
      <c r="J2041" s="13" t="s">
        <v>1668</v>
      </c>
      <c r="K2041" s="13" t="s">
        <v>303</v>
      </c>
      <c r="L2041" s="13" t="s">
        <v>2387</v>
      </c>
      <c r="M2041" s="6" t="s">
        <v>188</v>
      </c>
      <c r="N2041" s="6" t="s">
        <v>188</v>
      </c>
      <c r="O2041" s="6" t="s">
        <v>190</v>
      </c>
      <c r="P2041" s="7"/>
      <c r="Q2041" s="13"/>
      <c r="R2041" s="13"/>
      <c r="S2041" s="13"/>
      <c r="T2041" s="6"/>
      <c r="U2041" s="6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</row>
    <row r="2042">
      <c r="A2042" s="12">
        <v>56.0</v>
      </c>
      <c r="B2042" s="7" t="s">
        <v>591</v>
      </c>
      <c r="C2042" s="7" t="s">
        <v>1624</v>
      </c>
      <c r="I2042" s="10" t="s">
        <v>679</v>
      </c>
      <c r="J2042" s="13" t="s">
        <v>1665</v>
      </c>
      <c r="K2042" s="13" t="s">
        <v>303</v>
      </c>
      <c r="L2042" s="13" t="s">
        <v>2387</v>
      </c>
      <c r="M2042" s="6" t="s">
        <v>188</v>
      </c>
      <c r="N2042" s="6" t="s">
        <v>188</v>
      </c>
      <c r="O2042" s="6" t="s">
        <v>190</v>
      </c>
      <c r="P2042" s="7"/>
      <c r="Q2042" s="13"/>
      <c r="R2042" s="13"/>
      <c r="S2042" s="13"/>
      <c r="T2042" s="6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</row>
    <row r="2043">
      <c r="A2043" s="12">
        <v>56.0</v>
      </c>
      <c r="B2043" s="7" t="s">
        <v>591</v>
      </c>
      <c r="C2043" s="7" t="s">
        <v>1624</v>
      </c>
      <c r="I2043" s="10" t="s">
        <v>699</v>
      </c>
      <c r="J2043" s="13" t="s">
        <v>1668</v>
      </c>
      <c r="K2043" s="13" t="s">
        <v>303</v>
      </c>
      <c r="L2043" s="13" t="s">
        <v>2387</v>
      </c>
      <c r="M2043" s="6" t="s">
        <v>188</v>
      </c>
      <c r="N2043" s="6" t="s">
        <v>188</v>
      </c>
      <c r="O2043" s="6" t="s">
        <v>190</v>
      </c>
      <c r="P2043" s="7"/>
      <c r="Q2043" s="13"/>
      <c r="R2043" s="13"/>
      <c r="S2043" s="13"/>
      <c r="T2043" s="6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  <c r="AE2043" s="7"/>
    </row>
    <row r="2044">
      <c r="A2044" s="12">
        <v>56.0</v>
      </c>
      <c r="B2044" s="7" t="s">
        <v>591</v>
      </c>
      <c r="C2044" s="7" t="s">
        <v>1624</v>
      </c>
      <c r="I2044" s="10" t="s">
        <v>610</v>
      </c>
      <c r="J2044" s="13" t="s">
        <v>1665</v>
      </c>
      <c r="K2044" s="13" t="s">
        <v>303</v>
      </c>
      <c r="L2044" s="13" t="s">
        <v>2387</v>
      </c>
      <c r="M2044" s="6" t="s">
        <v>188</v>
      </c>
      <c r="N2044" s="6" t="s">
        <v>188</v>
      </c>
      <c r="O2044" s="6" t="s">
        <v>190</v>
      </c>
      <c r="P2044" s="7"/>
      <c r="Q2044" s="13"/>
      <c r="R2044" s="13"/>
      <c r="S2044" s="13"/>
      <c r="T2044" s="6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</row>
    <row r="2045">
      <c r="A2045" s="12">
        <v>56.0</v>
      </c>
      <c r="B2045" s="7" t="s">
        <v>591</v>
      </c>
      <c r="C2045" s="7" t="s">
        <v>1624</v>
      </c>
      <c r="I2045" s="10" t="s">
        <v>2102</v>
      </c>
      <c r="J2045" s="13" t="s">
        <v>1668</v>
      </c>
      <c r="K2045" s="13" t="s">
        <v>303</v>
      </c>
      <c r="L2045" s="13" t="s">
        <v>2387</v>
      </c>
      <c r="M2045" s="6" t="s">
        <v>188</v>
      </c>
      <c r="N2045" s="6" t="s">
        <v>188</v>
      </c>
      <c r="O2045" s="6" t="s">
        <v>190</v>
      </c>
      <c r="P2045" s="7"/>
      <c r="Q2045" s="13"/>
      <c r="R2045" s="13"/>
      <c r="S2045" s="13"/>
      <c r="T2045" s="6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</row>
    <row r="2046">
      <c r="A2046" s="12">
        <v>56.0</v>
      </c>
      <c r="B2046" s="7" t="s">
        <v>591</v>
      </c>
      <c r="C2046" s="7" t="s">
        <v>1624</v>
      </c>
      <c r="I2046" s="10" t="s">
        <v>589</v>
      </c>
      <c r="J2046" s="13" t="s">
        <v>1665</v>
      </c>
      <c r="K2046" s="13" t="s">
        <v>303</v>
      </c>
      <c r="L2046" s="13" t="s">
        <v>2387</v>
      </c>
      <c r="M2046" s="6" t="s">
        <v>188</v>
      </c>
      <c r="N2046" s="6" t="s">
        <v>188</v>
      </c>
      <c r="O2046" s="6" t="s">
        <v>190</v>
      </c>
      <c r="P2046" s="7"/>
      <c r="Q2046" s="13"/>
      <c r="R2046" s="13"/>
      <c r="S2046" s="13"/>
      <c r="T2046" s="6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</row>
    <row r="2047">
      <c r="A2047" s="12">
        <v>56.0</v>
      </c>
      <c r="B2047" s="7" t="s">
        <v>591</v>
      </c>
      <c r="C2047" s="7" t="s">
        <v>1624</v>
      </c>
      <c r="I2047" s="10" t="s">
        <v>612</v>
      </c>
      <c r="J2047" s="13" t="s">
        <v>1668</v>
      </c>
      <c r="K2047" s="13" t="s">
        <v>303</v>
      </c>
      <c r="L2047" s="13" t="s">
        <v>2387</v>
      </c>
      <c r="M2047" s="6" t="s">
        <v>188</v>
      </c>
      <c r="N2047" s="6" t="s">
        <v>188</v>
      </c>
      <c r="O2047" s="6" t="s">
        <v>190</v>
      </c>
      <c r="P2047" s="7"/>
      <c r="Q2047" s="13"/>
      <c r="R2047" s="13"/>
      <c r="S2047" s="13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</row>
    <row r="2048">
      <c r="A2048" s="12">
        <v>56.0</v>
      </c>
      <c r="B2048" s="7" t="s">
        <v>591</v>
      </c>
      <c r="C2048" s="7" t="s">
        <v>1624</v>
      </c>
      <c r="I2048" s="10" t="s">
        <v>2388</v>
      </c>
      <c r="J2048" s="13" t="s">
        <v>1665</v>
      </c>
      <c r="K2048" s="13" t="s">
        <v>303</v>
      </c>
      <c r="L2048" s="13" t="s">
        <v>2387</v>
      </c>
      <c r="M2048" s="6" t="s">
        <v>188</v>
      </c>
      <c r="N2048" s="6" t="s">
        <v>188</v>
      </c>
      <c r="O2048" s="6" t="s">
        <v>190</v>
      </c>
      <c r="P2048" s="7"/>
      <c r="Q2048" s="13"/>
      <c r="R2048" s="13"/>
      <c r="S2048" s="13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</row>
    <row r="2049">
      <c r="A2049" s="12">
        <v>56.0</v>
      </c>
      <c r="B2049" s="7" t="s">
        <v>591</v>
      </c>
      <c r="C2049" s="7" t="s">
        <v>1624</v>
      </c>
      <c r="I2049" s="10" t="s">
        <v>578</v>
      </c>
      <c r="J2049" s="13" t="s">
        <v>1668</v>
      </c>
      <c r="K2049" s="13" t="s">
        <v>303</v>
      </c>
      <c r="L2049" s="13" t="s">
        <v>2387</v>
      </c>
      <c r="M2049" s="6" t="s">
        <v>188</v>
      </c>
      <c r="N2049" s="6" t="s">
        <v>188</v>
      </c>
      <c r="O2049" s="6" t="s">
        <v>190</v>
      </c>
      <c r="P2049" s="7"/>
      <c r="Q2049" s="13"/>
      <c r="R2049" s="13"/>
      <c r="S2049" s="13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  <c r="AE2049" s="7"/>
    </row>
    <row r="2050">
      <c r="A2050" s="12">
        <v>56.0</v>
      </c>
      <c r="B2050" s="7" t="s">
        <v>591</v>
      </c>
      <c r="C2050" s="7" t="s">
        <v>1624</v>
      </c>
      <c r="I2050" s="10" t="s">
        <v>557</v>
      </c>
      <c r="J2050" s="13" t="s">
        <v>1665</v>
      </c>
      <c r="K2050" s="13" t="s">
        <v>303</v>
      </c>
      <c r="L2050" s="13" t="s">
        <v>2387</v>
      </c>
      <c r="M2050" s="6" t="s">
        <v>188</v>
      </c>
      <c r="N2050" s="6" t="s">
        <v>188</v>
      </c>
      <c r="O2050" s="6" t="s">
        <v>190</v>
      </c>
      <c r="P2050" s="7"/>
      <c r="Q2050" s="13"/>
      <c r="R2050" s="13"/>
      <c r="S2050" s="13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</row>
    <row r="2051">
      <c r="A2051" s="12">
        <v>56.0</v>
      </c>
      <c r="B2051" s="7" t="s">
        <v>591</v>
      </c>
      <c r="C2051" s="7" t="s">
        <v>1624</v>
      </c>
      <c r="I2051" s="10" t="s">
        <v>2345</v>
      </c>
      <c r="J2051" s="13" t="s">
        <v>1668</v>
      </c>
      <c r="K2051" s="13" t="s">
        <v>303</v>
      </c>
      <c r="L2051" s="13" t="s">
        <v>2387</v>
      </c>
      <c r="M2051" s="6" t="s">
        <v>188</v>
      </c>
      <c r="N2051" s="6" t="s">
        <v>188</v>
      </c>
      <c r="O2051" s="6" t="s">
        <v>190</v>
      </c>
      <c r="P2051" s="7"/>
      <c r="Q2051" s="13"/>
      <c r="R2051" s="13"/>
      <c r="S2051" s="13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</row>
    <row r="2052">
      <c r="A2052" s="12">
        <v>56.0</v>
      </c>
      <c r="B2052" s="7" t="s">
        <v>591</v>
      </c>
      <c r="C2052" s="7" t="s">
        <v>1624</v>
      </c>
      <c r="I2052" s="10" t="s">
        <v>581</v>
      </c>
      <c r="J2052" s="13" t="s">
        <v>1665</v>
      </c>
      <c r="K2052" s="13" t="s">
        <v>303</v>
      </c>
      <c r="L2052" s="13" t="s">
        <v>2387</v>
      </c>
      <c r="M2052" s="6" t="s">
        <v>188</v>
      </c>
      <c r="N2052" s="6" t="s">
        <v>188</v>
      </c>
      <c r="O2052" s="6" t="s">
        <v>190</v>
      </c>
      <c r="P2052" s="7"/>
      <c r="Q2052" s="13"/>
      <c r="R2052" s="13"/>
      <c r="S2052" s="13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</row>
    <row r="2053">
      <c r="A2053" s="12">
        <v>56.0</v>
      </c>
      <c r="B2053" s="7" t="s">
        <v>591</v>
      </c>
      <c r="C2053" s="7" t="s">
        <v>1624</v>
      </c>
      <c r="I2053" s="10" t="s">
        <v>633</v>
      </c>
      <c r="J2053" s="13" t="s">
        <v>1668</v>
      </c>
      <c r="K2053" s="13" t="s">
        <v>303</v>
      </c>
      <c r="L2053" s="13" t="s">
        <v>2387</v>
      </c>
      <c r="M2053" s="6" t="s">
        <v>188</v>
      </c>
      <c r="N2053" s="6" t="s">
        <v>188</v>
      </c>
      <c r="O2053" s="6" t="s">
        <v>190</v>
      </c>
      <c r="P2053" s="7"/>
      <c r="Q2053" s="13"/>
      <c r="R2053" s="13"/>
      <c r="S2053" s="13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</row>
    <row r="2054">
      <c r="A2054" s="12">
        <v>56.0</v>
      </c>
      <c r="B2054" s="7" t="s">
        <v>591</v>
      </c>
      <c r="C2054" s="7" t="s">
        <v>1624</v>
      </c>
      <c r="I2054" s="10" t="s">
        <v>683</v>
      </c>
      <c r="J2054" s="13" t="s">
        <v>1665</v>
      </c>
      <c r="K2054" s="13" t="s">
        <v>303</v>
      </c>
      <c r="L2054" s="13" t="s">
        <v>2387</v>
      </c>
      <c r="M2054" s="6" t="s">
        <v>188</v>
      </c>
      <c r="N2054" s="6" t="s">
        <v>188</v>
      </c>
      <c r="O2054" s="6" t="s">
        <v>190</v>
      </c>
      <c r="P2054" s="7"/>
      <c r="Q2054" s="13"/>
      <c r="R2054" s="13"/>
      <c r="S2054" s="13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</row>
    <row r="2055">
      <c r="A2055" s="12">
        <v>56.0</v>
      </c>
      <c r="B2055" s="7" t="s">
        <v>591</v>
      </c>
      <c r="C2055" s="7" t="s">
        <v>1624</v>
      </c>
      <c r="I2055" s="10" t="s">
        <v>694</v>
      </c>
      <c r="J2055" s="13" t="s">
        <v>1668</v>
      </c>
      <c r="K2055" s="13" t="s">
        <v>303</v>
      </c>
      <c r="L2055" s="13" t="s">
        <v>2387</v>
      </c>
      <c r="M2055" s="6" t="s">
        <v>188</v>
      </c>
      <c r="N2055" s="6" t="s">
        <v>188</v>
      </c>
      <c r="O2055" s="6" t="s">
        <v>190</v>
      </c>
      <c r="P2055" s="7"/>
      <c r="Q2055" s="13"/>
      <c r="R2055" s="13"/>
      <c r="S2055" s="13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</row>
    <row r="2056">
      <c r="A2056" s="12">
        <v>56.0</v>
      </c>
      <c r="B2056" s="7" t="s">
        <v>591</v>
      </c>
      <c r="C2056" s="7" t="s">
        <v>1624</v>
      </c>
      <c r="I2056" s="10" t="s">
        <v>684</v>
      </c>
      <c r="J2056" s="13" t="s">
        <v>1665</v>
      </c>
      <c r="K2056" s="13" t="s">
        <v>303</v>
      </c>
      <c r="L2056" s="13" t="s">
        <v>2387</v>
      </c>
      <c r="M2056" s="6" t="s">
        <v>188</v>
      </c>
      <c r="N2056" s="6" t="s">
        <v>188</v>
      </c>
      <c r="O2056" s="6" t="s">
        <v>190</v>
      </c>
      <c r="P2056" s="7"/>
      <c r="Q2056" s="13"/>
      <c r="R2056" s="13"/>
      <c r="S2056" s="13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</row>
    <row r="2057">
      <c r="A2057" s="12">
        <v>56.0</v>
      </c>
      <c r="B2057" s="7" t="s">
        <v>591</v>
      </c>
      <c r="C2057" s="7" t="s">
        <v>1624</v>
      </c>
      <c r="I2057" s="10" t="s">
        <v>685</v>
      </c>
      <c r="J2057" s="13" t="s">
        <v>1668</v>
      </c>
      <c r="K2057" s="13" t="s">
        <v>303</v>
      </c>
      <c r="L2057" s="13" t="s">
        <v>2387</v>
      </c>
      <c r="M2057" s="6" t="s">
        <v>188</v>
      </c>
      <c r="N2057" s="6" t="s">
        <v>188</v>
      </c>
      <c r="O2057" s="6" t="s">
        <v>190</v>
      </c>
      <c r="P2057" s="7"/>
      <c r="Q2057" s="13"/>
      <c r="R2057" s="13"/>
      <c r="S2057" s="13"/>
      <c r="T2057" s="6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</row>
    <row r="2058">
      <c r="A2058" s="12">
        <v>56.0</v>
      </c>
      <c r="B2058" s="7" t="s">
        <v>591</v>
      </c>
      <c r="C2058" s="7" t="s">
        <v>1624</v>
      </c>
      <c r="I2058" s="10" t="s">
        <v>634</v>
      </c>
      <c r="J2058" s="13" t="s">
        <v>1665</v>
      </c>
      <c r="K2058" s="13" t="s">
        <v>303</v>
      </c>
      <c r="L2058" s="13" t="s">
        <v>2387</v>
      </c>
      <c r="M2058" s="6" t="s">
        <v>188</v>
      </c>
      <c r="N2058" s="6" t="s">
        <v>188</v>
      </c>
      <c r="O2058" s="6" t="s">
        <v>190</v>
      </c>
      <c r="P2058" s="7"/>
      <c r="Q2058" s="13"/>
      <c r="R2058" s="13"/>
      <c r="S2058" s="13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</row>
    <row r="2059">
      <c r="A2059" s="12">
        <v>56.0</v>
      </c>
      <c r="B2059" s="7" t="s">
        <v>591</v>
      </c>
      <c r="C2059" s="7" t="s">
        <v>1624</v>
      </c>
      <c r="I2059" s="10" t="s">
        <v>698</v>
      </c>
      <c r="J2059" s="13" t="s">
        <v>1668</v>
      </c>
      <c r="K2059" s="13" t="s">
        <v>303</v>
      </c>
      <c r="L2059" s="13" t="s">
        <v>2387</v>
      </c>
      <c r="M2059" s="6" t="s">
        <v>188</v>
      </c>
      <c r="N2059" s="6" t="s">
        <v>188</v>
      </c>
      <c r="O2059" s="6" t="s">
        <v>190</v>
      </c>
      <c r="P2059" s="7"/>
      <c r="Q2059" s="13"/>
      <c r="R2059" s="13"/>
      <c r="S2059" s="13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</row>
    <row r="2060">
      <c r="A2060" s="12">
        <v>56.0</v>
      </c>
      <c r="B2060" s="7" t="s">
        <v>591</v>
      </c>
      <c r="C2060" s="7" t="s">
        <v>1624</v>
      </c>
      <c r="I2060" s="10" t="s">
        <v>688</v>
      </c>
      <c r="J2060" s="13" t="s">
        <v>1665</v>
      </c>
      <c r="K2060" s="13" t="s">
        <v>303</v>
      </c>
      <c r="L2060" s="13" t="s">
        <v>2387</v>
      </c>
      <c r="M2060" s="6" t="s">
        <v>188</v>
      </c>
      <c r="N2060" s="6" t="s">
        <v>188</v>
      </c>
      <c r="O2060" s="6" t="s">
        <v>190</v>
      </c>
      <c r="P2060" s="7"/>
      <c r="Q2060" s="13"/>
      <c r="R2060" s="13"/>
      <c r="S2060" s="13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</row>
    <row r="2061">
      <c r="A2061" s="12">
        <v>56.0</v>
      </c>
      <c r="B2061" s="7" t="s">
        <v>591</v>
      </c>
      <c r="C2061" s="7" t="s">
        <v>1624</v>
      </c>
      <c r="I2061" s="10" t="s">
        <v>2389</v>
      </c>
      <c r="J2061" s="13" t="s">
        <v>1668</v>
      </c>
      <c r="K2061" s="13" t="s">
        <v>303</v>
      </c>
      <c r="L2061" s="13" t="s">
        <v>2387</v>
      </c>
      <c r="M2061" s="6" t="s">
        <v>188</v>
      </c>
      <c r="N2061" s="6" t="s">
        <v>188</v>
      </c>
      <c r="O2061" s="6" t="s">
        <v>190</v>
      </c>
      <c r="P2061" s="7"/>
      <c r="Q2061" s="13"/>
      <c r="R2061" s="13"/>
      <c r="S2061" s="13"/>
      <c r="T2061" s="6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</row>
    <row r="2062">
      <c r="A2062" s="12">
        <v>57.0</v>
      </c>
      <c r="B2062" s="7" t="s">
        <v>365</v>
      </c>
      <c r="C2062" s="7" t="s">
        <v>1672</v>
      </c>
      <c r="D2062" s="26">
        <f>IF(COUNTIF($B$2:$B2062,$B2062)&gt;1,"",COUNTIF($B$2:$B$3400,$B2062))</f>
        <v>50</v>
      </c>
      <c r="E2062" s="26">
        <f>IF(COUNTIF($B$2:$B2062,$B2062)&gt;1,"",COUNTIFS($B$2:$B$3400,$B2062,$K$2:$K$3400,"PHÙ HỢP CAO"))</f>
        <v>4</v>
      </c>
      <c r="F2062" s="26">
        <f>IF(COUNTIF($B$2:$B2062,$B2062)&gt;1,"",COUNTIFS($B$2:$B$3400,$B2062,$K$2:$K$3400,"CÓ THỂ ĐI"))</f>
        <v>1</v>
      </c>
      <c r="G2062" s="26">
        <f>IF(COUNTIF($B$2:$B2062,$B2062)&gt;1,"",COUNTIFS($B$2:$B$3400,$B2062,$K$2:$K$3400,"CẦN SOÁT"))</f>
        <v>45</v>
      </c>
      <c r="H2062" s="27" t="str">
        <f>IFERROR(__xludf.DUMMYFUNCTION("IF(COUNTIF($B$2:$B2062,$B2062)&gt;1,"""",IFERROR(TEXTJOIN(CHAR(10),TRUE,BYROW(QUERY({$B$2:$B$3400,$J$2:$J$3400},""select Col2, count(Col2) where Col1 = '""&amp;$B2062&amp;""' group by Col2 order by count(Col2) desc label count(Col2) ''"",0),LAMBDA(r,INDEX(r,1,1)&amp;"" "&amp;"– ""&amp;INDEX(r,1,2)&amp;"" link""))),""""))"),"cách tính lãi suất vay – 25 link
cách tính lãi suất vay ngân hàng – 25 link")</f>
        <v>cách tính lãi suất vay – 25 link
cách tính lãi suất vay ngân hàng – 25 link</v>
      </c>
      <c r="I2062" s="10" t="s">
        <v>1673</v>
      </c>
      <c r="J2062" s="13" t="s">
        <v>854</v>
      </c>
      <c r="K2062" s="13" t="s">
        <v>184</v>
      </c>
      <c r="L2062" s="13" t="s">
        <v>2429</v>
      </c>
      <c r="M2062" s="6" t="s">
        <v>188</v>
      </c>
      <c r="N2062" s="6" t="s">
        <v>188</v>
      </c>
      <c r="O2062" s="6" t="s">
        <v>190</v>
      </c>
      <c r="P2062" s="7"/>
      <c r="Q2062" s="13"/>
      <c r="R2062" s="13"/>
      <c r="S2062" s="13"/>
      <c r="T2062" s="6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</row>
    <row r="2063">
      <c r="A2063" s="12">
        <v>57.0</v>
      </c>
      <c r="B2063" s="7" t="s">
        <v>365</v>
      </c>
      <c r="C2063" s="7" t="s">
        <v>1672</v>
      </c>
      <c r="I2063" s="10" t="s">
        <v>1676</v>
      </c>
      <c r="J2063" s="13" t="s">
        <v>856</v>
      </c>
      <c r="K2063" s="13" t="s">
        <v>184</v>
      </c>
      <c r="L2063" s="13" t="s">
        <v>2430</v>
      </c>
      <c r="M2063" s="6" t="s">
        <v>188</v>
      </c>
      <c r="N2063" s="6" t="s">
        <v>188</v>
      </c>
      <c r="O2063" s="6" t="s">
        <v>190</v>
      </c>
      <c r="P2063" s="7"/>
      <c r="Q2063" s="13"/>
      <c r="R2063" s="13"/>
      <c r="S2063" s="13"/>
      <c r="T2063" s="6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</row>
    <row r="2064">
      <c r="A2064" s="12">
        <v>57.0</v>
      </c>
      <c r="B2064" s="7" t="s">
        <v>365</v>
      </c>
      <c r="C2064" s="7" t="s">
        <v>1672</v>
      </c>
      <c r="I2064" s="10" t="s">
        <v>1678</v>
      </c>
      <c r="J2064" s="13" t="s">
        <v>854</v>
      </c>
      <c r="K2064" s="13" t="s">
        <v>184</v>
      </c>
      <c r="L2064" s="13" t="s">
        <v>2431</v>
      </c>
      <c r="M2064" s="6" t="s">
        <v>188</v>
      </c>
      <c r="N2064" s="6" t="s">
        <v>188</v>
      </c>
      <c r="O2064" s="6" t="s">
        <v>190</v>
      </c>
      <c r="P2064" s="7"/>
      <c r="Q2064" s="13"/>
      <c r="R2064" s="13"/>
      <c r="S2064" s="13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</row>
    <row r="2065">
      <c r="A2065" s="12">
        <v>57.0</v>
      </c>
      <c r="B2065" s="7" t="s">
        <v>365</v>
      </c>
      <c r="C2065" s="7" t="s">
        <v>1672</v>
      </c>
      <c r="I2065" s="10" t="s">
        <v>1681</v>
      </c>
      <c r="J2065" s="13" t="s">
        <v>856</v>
      </c>
      <c r="K2065" s="13" t="s">
        <v>184</v>
      </c>
      <c r="L2065" s="13" t="s">
        <v>2432</v>
      </c>
      <c r="M2065" s="6" t="s">
        <v>188</v>
      </c>
      <c r="N2065" s="6" t="s">
        <v>188</v>
      </c>
      <c r="O2065" s="6" t="s">
        <v>190</v>
      </c>
      <c r="P2065" s="7"/>
      <c r="Q2065" s="13"/>
      <c r="R2065" s="13"/>
      <c r="S2065" s="13"/>
      <c r="T2065" s="6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</row>
    <row r="2066">
      <c r="A2066" s="12">
        <v>57.0</v>
      </c>
      <c r="B2066" s="7" t="s">
        <v>365</v>
      </c>
      <c r="C2066" s="7" t="s">
        <v>1672</v>
      </c>
      <c r="I2066" s="10" t="s">
        <v>519</v>
      </c>
      <c r="J2066" s="13" t="s">
        <v>854</v>
      </c>
      <c r="K2066" s="13" t="s">
        <v>283</v>
      </c>
      <c r="L2066" s="13" t="s">
        <v>2433</v>
      </c>
      <c r="M2066" s="6" t="s">
        <v>188</v>
      </c>
      <c r="N2066" s="6" t="s">
        <v>188</v>
      </c>
      <c r="O2066" s="6" t="s">
        <v>190</v>
      </c>
      <c r="P2066" s="7"/>
      <c r="Q2066" s="13"/>
      <c r="R2066" s="13"/>
      <c r="S2066" s="13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</row>
    <row r="2067">
      <c r="A2067" s="12">
        <v>57.0</v>
      </c>
      <c r="B2067" s="7" t="s">
        <v>365</v>
      </c>
      <c r="C2067" s="7" t="s">
        <v>1672</v>
      </c>
      <c r="I2067" s="10" t="s">
        <v>699</v>
      </c>
      <c r="J2067" s="13" t="s">
        <v>856</v>
      </c>
      <c r="K2067" s="13" t="s">
        <v>303</v>
      </c>
      <c r="L2067" s="13" t="s">
        <v>2434</v>
      </c>
      <c r="M2067" s="6" t="s">
        <v>188</v>
      </c>
      <c r="N2067" s="6" t="s">
        <v>188</v>
      </c>
      <c r="O2067" s="6" t="s">
        <v>190</v>
      </c>
      <c r="P2067" s="7"/>
      <c r="Q2067" s="13"/>
      <c r="R2067" s="13"/>
      <c r="S2067" s="13"/>
      <c r="T2067" s="6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  <c r="AE2067" s="7"/>
    </row>
    <row r="2068">
      <c r="A2068" s="12">
        <v>57.0</v>
      </c>
      <c r="B2068" s="7" t="s">
        <v>365</v>
      </c>
      <c r="C2068" s="7" t="s">
        <v>1672</v>
      </c>
      <c r="I2068" s="10" t="s">
        <v>387</v>
      </c>
      <c r="J2068" s="13" t="s">
        <v>854</v>
      </c>
      <c r="K2068" s="13" t="s">
        <v>303</v>
      </c>
      <c r="L2068" s="13" t="s">
        <v>2435</v>
      </c>
      <c r="M2068" s="6" t="s">
        <v>188</v>
      </c>
      <c r="N2068" s="6" t="s">
        <v>188</v>
      </c>
      <c r="O2068" s="6" t="s">
        <v>190</v>
      </c>
      <c r="P2068" s="7"/>
      <c r="Q2068" s="13"/>
      <c r="R2068" s="13"/>
      <c r="S2068" s="13"/>
      <c r="T2068" s="6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</row>
    <row r="2069">
      <c r="A2069" s="12">
        <v>57.0</v>
      </c>
      <c r="B2069" s="7" t="s">
        <v>365</v>
      </c>
      <c r="C2069" s="7" t="s">
        <v>1672</v>
      </c>
      <c r="I2069" s="10" t="s">
        <v>732</v>
      </c>
      <c r="J2069" s="13" t="s">
        <v>856</v>
      </c>
      <c r="K2069" s="13" t="s">
        <v>303</v>
      </c>
      <c r="L2069" s="13" t="s">
        <v>2436</v>
      </c>
      <c r="M2069" s="6" t="s">
        <v>188</v>
      </c>
      <c r="N2069" s="6" t="s">
        <v>188</v>
      </c>
      <c r="O2069" s="6" t="s">
        <v>190</v>
      </c>
      <c r="P2069" s="7"/>
      <c r="Q2069" s="13"/>
      <c r="R2069" s="13"/>
      <c r="S2069" s="13"/>
      <c r="T2069" s="6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</row>
    <row r="2070">
      <c r="A2070" s="12">
        <v>57.0</v>
      </c>
      <c r="B2070" s="7" t="s">
        <v>365</v>
      </c>
      <c r="C2070" s="7" t="s">
        <v>1672</v>
      </c>
      <c r="I2070" s="10" t="s">
        <v>197</v>
      </c>
      <c r="J2070" s="13" t="s">
        <v>854</v>
      </c>
      <c r="K2070" s="13" t="s">
        <v>303</v>
      </c>
      <c r="L2070" s="13" t="s">
        <v>2347</v>
      </c>
      <c r="M2070" s="6" t="s">
        <v>188</v>
      </c>
      <c r="N2070" s="6" t="s">
        <v>188</v>
      </c>
      <c r="O2070" s="6" t="s">
        <v>190</v>
      </c>
      <c r="P2070" s="7"/>
      <c r="Q2070" s="13"/>
      <c r="R2070" s="13"/>
      <c r="S2070" s="13"/>
      <c r="T2070" s="6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</row>
    <row r="2071">
      <c r="A2071" s="12">
        <v>57.0</v>
      </c>
      <c r="B2071" s="7" t="s">
        <v>365</v>
      </c>
      <c r="C2071" s="7" t="s">
        <v>1672</v>
      </c>
      <c r="I2071" s="10" t="s">
        <v>2030</v>
      </c>
      <c r="J2071" s="13" t="s">
        <v>856</v>
      </c>
      <c r="K2071" s="13" t="s">
        <v>303</v>
      </c>
      <c r="L2071" s="13" t="s">
        <v>2435</v>
      </c>
      <c r="M2071" s="6" t="s">
        <v>188</v>
      </c>
      <c r="N2071" s="6" t="s">
        <v>188</v>
      </c>
      <c r="O2071" s="6" t="s">
        <v>190</v>
      </c>
      <c r="P2071" s="7"/>
      <c r="Q2071" s="13"/>
      <c r="R2071" s="13"/>
      <c r="S2071" s="13"/>
      <c r="T2071" s="6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</row>
    <row r="2072">
      <c r="A2072" s="12">
        <v>57.0</v>
      </c>
      <c r="B2072" s="7" t="s">
        <v>365</v>
      </c>
      <c r="C2072" s="7" t="s">
        <v>1672</v>
      </c>
      <c r="I2072" s="10" t="s">
        <v>445</v>
      </c>
      <c r="J2072" s="13" t="s">
        <v>854</v>
      </c>
      <c r="K2072" s="13" t="s">
        <v>303</v>
      </c>
      <c r="L2072" s="13" t="s">
        <v>2347</v>
      </c>
      <c r="M2072" s="6" t="s">
        <v>188</v>
      </c>
      <c r="N2072" s="6" t="s">
        <v>188</v>
      </c>
      <c r="O2072" s="6" t="s">
        <v>190</v>
      </c>
      <c r="P2072" s="7"/>
      <c r="Q2072" s="13"/>
      <c r="R2072" s="13"/>
      <c r="S2072" s="13"/>
      <c r="T2072" s="6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</row>
    <row r="2073">
      <c r="A2073" s="12">
        <v>57.0</v>
      </c>
      <c r="B2073" s="7" t="s">
        <v>365</v>
      </c>
      <c r="C2073" s="7" t="s">
        <v>1672</v>
      </c>
      <c r="I2073" s="10" t="s">
        <v>627</v>
      </c>
      <c r="J2073" s="13" t="s">
        <v>856</v>
      </c>
      <c r="K2073" s="13" t="s">
        <v>303</v>
      </c>
      <c r="L2073" s="13" t="s">
        <v>2435</v>
      </c>
      <c r="M2073" s="6" t="s">
        <v>188</v>
      </c>
      <c r="N2073" s="6" t="s">
        <v>188</v>
      </c>
      <c r="O2073" s="6" t="s">
        <v>190</v>
      </c>
      <c r="P2073" s="7"/>
      <c r="Q2073" s="13"/>
      <c r="R2073" s="13"/>
      <c r="S2073" s="13"/>
      <c r="T2073" s="6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  <c r="AE2073" s="7"/>
    </row>
    <row r="2074">
      <c r="A2074" s="12">
        <v>57.0</v>
      </c>
      <c r="B2074" s="7" t="s">
        <v>365</v>
      </c>
      <c r="C2074" s="7" t="s">
        <v>1672</v>
      </c>
      <c r="I2074" s="10" t="s">
        <v>2019</v>
      </c>
      <c r="J2074" s="13" t="s">
        <v>854</v>
      </c>
      <c r="K2074" s="13" t="s">
        <v>303</v>
      </c>
      <c r="L2074" s="13" t="s">
        <v>2347</v>
      </c>
      <c r="M2074" s="6" t="s">
        <v>188</v>
      </c>
      <c r="N2074" s="6" t="s">
        <v>188</v>
      </c>
      <c r="O2074" s="6" t="s">
        <v>190</v>
      </c>
      <c r="P2074" s="7"/>
      <c r="Q2074" s="13"/>
      <c r="R2074" s="13"/>
      <c r="S2074" s="13"/>
      <c r="T2074" s="6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</row>
    <row r="2075">
      <c r="A2075" s="12">
        <v>57.0</v>
      </c>
      <c r="B2075" s="7" t="s">
        <v>365</v>
      </c>
      <c r="C2075" s="7" t="s">
        <v>1672</v>
      </c>
      <c r="I2075" s="10" t="s">
        <v>1493</v>
      </c>
      <c r="J2075" s="13" t="s">
        <v>856</v>
      </c>
      <c r="K2075" s="13" t="s">
        <v>303</v>
      </c>
      <c r="L2075" s="13" t="s">
        <v>2347</v>
      </c>
      <c r="M2075" s="6" t="s">
        <v>188</v>
      </c>
      <c r="N2075" s="6" t="s">
        <v>188</v>
      </c>
      <c r="O2075" s="6" t="s">
        <v>190</v>
      </c>
      <c r="P2075" s="7"/>
      <c r="Q2075" s="13"/>
      <c r="R2075" s="13"/>
      <c r="S2075" s="13"/>
      <c r="T2075" s="6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  <c r="AE2075" s="7"/>
    </row>
    <row r="2076">
      <c r="A2076" s="12">
        <v>57.0</v>
      </c>
      <c r="B2076" s="7" t="s">
        <v>365</v>
      </c>
      <c r="C2076" s="7" t="s">
        <v>1672</v>
      </c>
      <c r="I2076" s="10" t="s">
        <v>2079</v>
      </c>
      <c r="J2076" s="13" t="s">
        <v>854</v>
      </c>
      <c r="K2076" s="13" t="s">
        <v>303</v>
      </c>
      <c r="L2076" s="13" t="s">
        <v>2435</v>
      </c>
      <c r="M2076" s="6" t="s">
        <v>188</v>
      </c>
      <c r="N2076" s="6" t="s">
        <v>188</v>
      </c>
      <c r="O2076" s="6" t="s">
        <v>190</v>
      </c>
      <c r="P2076" s="7"/>
      <c r="Q2076" s="13"/>
      <c r="R2076" s="13"/>
      <c r="S2076" s="13"/>
      <c r="T2076" s="6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</row>
    <row r="2077">
      <c r="A2077" s="12">
        <v>57.0</v>
      </c>
      <c r="B2077" s="7" t="s">
        <v>365</v>
      </c>
      <c r="C2077" s="7" t="s">
        <v>1672</v>
      </c>
      <c r="I2077" s="10" t="s">
        <v>395</v>
      </c>
      <c r="J2077" s="13" t="s">
        <v>856</v>
      </c>
      <c r="K2077" s="13" t="s">
        <v>303</v>
      </c>
      <c r="L2077" s="13" t="s">
        <v>2434</v>
      </c>
      <c r="M2077" s="6" t="s">
        <v>188</v>
      </c>
      <c r="N2077" s="6" t="s">
        <v>188</v>
      </c>
      <c r="O2077" s="6" t="s">
        <v>190</v>
      </c>
      <c r="P2077" s="7"/>
      <c r="Q2077" s="13"/>
      <c r="R2077" s="13"/>
      <c r="S2077" s="13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</row>
    <row r="2078">
      <c r="A2078" s="12">
        <v>57.0</v>
      </c>
      <c r="B2078" s="7" t="s">
        <v>365</v>
      </c>
      <c r="C2078" s="7" t="s">
        <v>1672</v>
      </c>
      <c r="I2078" s="10" t="s">
        <v>525</v>
      </c>
      <c r="J2078" s="13" t="s">
        <v>854</v>
      </c>
      <c r="K2078" s="13" t="s">
        <v>303</v>
      </c>
      <c r="L2078" s="13" t="s">
        <v>2434</v>
      </c>
      <c r="M2078" s="6" t="s">
        <v>188</v>
      </c>
      <c r="N2078" s="6" t="s">
        <v>188</v>
      </c>
      <c r="O2078" s="6" t="s">
        <v>190</v>
      </c>
      <c r="P2078" s="7"/>
      <c r="Q2078" s="13"/>
      <c r="R2078" s="13"/>
      <c r="S2078" s="13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</row>
    <row r="2079">
      <c r="A2079" s="12">
        <v>57.0</v>
      </c>
      <c r="B2079" s="7" t="s">
        <v>365</v>
      </c>
      <c r="C2079" s="7" t="s">
        <v>1672</v>
      </c>
      <c r="I2079" s="10" t="s">
        <v>1709</v>
      </c>
      <c r="J2079" s="13" t="s">
        <v>856</v>
      </c>
      <c r="K2079" s="13" t="s">
        <v>303</v>
      </c>
      <c r="L2079" s="13" t="s">
        <v>2435</v>
      </c>
      <c r="M2079" s="6" t="s">
        <v>188</v>
      </c>
      <c r="N2079" s="6" t="s">
        <v>188</v>
      </c>
      <c r="O2079" s="6" t="s">
        <v>190</v>
      </c>
      <c r="P2079" s="7"/>
      <c r="Q2079" s="13"/>
      <c r="R2079" s="13"/>
      <c r="S2079" s="13"/>
      <c r="T2079" s="6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</row>
    <row r="2080">
      <c r="A2080" s="12">
        <v>57.0</v>
      </c>
      <c r="B2080" s="7" t="s">
        <v>365</v>
      </c>
      <c r="C2080" s="7" t="s">
        <v>1672</v>
      </c>
      <c r="I2080" s="10" t="s">
        <v>1748</v>
      </c>
      <c r="J2080" s="13" t="s">
        <v>854</v>
      </c>
      <c r="K2080" s="13" t="s">
        <v>303</v>
      </c>
      <c r="L2080" s="13" t="s">
        <v>2435</v>
      </c>
      <c r="M2080" s="6" t="s">
        <v>188</v>
      </c>
      <c r="N2080" s="6" t="s">
        <v>188</v>
      </c>
      <c r="O2080" s="6" t="s">
        <v>190</v>
      </c>
      <c r="P2080" s="7"/>
      <c r="Q2080" s="13"/>
      <c r="R2080" s="13"/>
      <c r="S2080" s="13"/>
      <c r="T2080" s="6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</row>
    <row r="2081">
      <c r="A2081" s="12">
        <v>57.0</v>
      </c>
      <c r="B2081" s="7" t="s">
        <v>365</v>
      </c>
      <c r="C2081" s="7" t="s">
        <v>1672</v>
      </c>
      <c r="I2081" s="10" t="s">
        <v>167</v>
      </c>
      <c r="J2081" s="13" t="s">
        <v>856</v>
      </c>
      <c r="K2081" s="13" t="s">
        <v>303</v>
      </c>
      <c r="L2081" s="13" t="s">
        <v>2347</v>
      </c>
      <c r="M2081" s="6" t="s">
        <v>188</v>
      </c>
      <c r="N2081" s="6" t="s">
        <v>188</v>
      </c>
      <c r="O2081" s="6" t="s">
        <v>190</v>
      </c>
      <c r="P2081" s="7"/>
      <c r="Q2081" s="13"/>
      <c r="R2081" s="13"/>
      <c r="S2081" s="13"/>
      <c r="T2081" s="6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</row>
    <row r="2082">
      <c r="A2082" s="12">
        <v>57.0</v>
      </c>
      <c r="B2082" s="7" t="s">
        <v>365</v>
      </c>
      <c r="C2082" s="7" t="s">
        <v>1672</v>
      </c>
      <c r="I2082" s="10" t="s">
        <v>529</v>
      </c>
      <c r="J2082" s="13" t="s">
        <v>854</v>
      </c>
      <c r="K2082" s="13" t="s">
        <v>303</v>
      </c>
      <c r="L2082" s="13" t="s">
        <v>2434</v>
      </c>
      <c r="M2082" s="6" t="s">
        <v>188</v>
      </c>
      <c r="N2082" s="6" t="s">
        <v>188</v>
      </c>
      <c r="O2082" s="6" t="s">
        <v>190</v>
      </c>
      <c r="P2082" s="7"/>
      <c r="Q2082" s="13"/>
      <c r="R2082" s="13"/>
      <c r="S2082" s="13"/>
      <c r="T2082" s="6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</row>
    <row r="2083">
      <c r="A2083" s="12">
        <v>57.0</v>
      </c>
      <c r="B2083" s="7" t="s">
        <v>365</v>
      </c>
      <c r="C2083" s="7" t="s">
        <v>1672</v>
      </c>
      <c r="I2083" s="10" t="s">
        <v>2074</v>
      </c>
      <c r="J2083" s="13" t="s">
        <v>856</v>
      </c>
      <c r="K2083" s="13" t="s">
        <v>303</v>
      </c>
      <c r="L2083" s="13" t="s">
        <v>2347</v>
      </c>
      <c r="M2083" s="6" t="s">
        <v>188</v>
      </c>
      <c r="N2083" s="6" t="s">
        <v>188</v>
      </c>
      <c r="O2083" s="6" t="s">
        <v>190</v>
      </c>
      <c r="P2083" s="7"/>
      <c r="Q2083" s="13"/>
      <c r="R2083" s="13"/>
      <c r="S2083" s="13"/>
      <c r="T2083" s="6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  <c r="AE2083" s="7"/>
    </row>
    <row r="2084">
      <c r="A2084" s="12">
        <v>57.0</v>
      </c>
      <c r="B2084" s="7" t="s">
        <v>365</v>
      </c>
      <c r="C2084" s="7" t="s">
        <v>1672</v>
      </c>
      <c r="I2084" s="10" t="s">
        <v>549</v>
      </c>
      <c r="J2084" s="13" t="s">
        <v>854</v>
      </c>
      <c r="K2084" s="13" t="s">
        <v>303</v>
      </c>
      <c r="L2084" s="13" t="s">
        <v>2437</v>
      </c>
      <c r="M2084" s="6" t="s">
        <v>188</v>
      </c>
      <c r="N2084" s="6" t="s">
        <v>188</v>
      </c>
      <c r="O2084" s="6" t="s">
        <v>190</v>
      </c>
      <c r="P2084" s="7"/>
      <c r="Q2084" s="13"/>
      <c r="R2084" s="13"/>
      <c r="S2084" s="13"/>
      <c r="T2084" s="6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</row>
    <row r="2085">
      <c r="A2085" s="12">
        <v>57.0</v>
      </c>
      <c r="B2085" s="7" t="s">
        <v>365</v>
      </c>
      <c r="C2085" s="7" t="s">
        <v>1672</v>
      </c>
      <c r="I2085" s="10" t="s">
        <v>1704</v>
      </c>
      <c r="J2085" s="13" t="s">
        <v>856</v>
      </c>
      <c r="K2085" s="13" t="s">
        <v>303</v>
      </c>
      <c r="L2085" s="13" t="s">
        <v>2435</v>
      </c>
      <c r="M2085" s="6" t="s">
        <v>188</v>
      </c>
      <c r="N2085" s="6" t="s">
        <v>188</v>
      </c>
      <c r="O2085" s="6" t="s">
        <v>190</v>
      </c>
      <c r="P2085" s="7"/>
      <c r="Q2085" s="13"/>
      <c r="R2085" s="13"/>
      <c r="S2085" s="13"/>
      <c r="T2085" s="6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</row>
    <row r="2086">
      <c r="A2086" s="12">
        <v>57.0</v>
      </c>
      <c r="B2086" s="7" t="s">
        <v>365</v>
      </c>
      <c r="C2086" s="7" t="s">
        <v>1672</v>
      </c>
      <c r="I2086" s="10" t="s">
        <v>2071</v>
      </c>
      <c r="J2086" s="13" t="s">
        <v>854</v>
      </c>
      <c r="K2086" s="13" t="s">
        <v>303</v>
      </c>
      <c r="L2086" s="13" t="s">
        <v>2347</v>
      </c>
      <c r="M2086" s="6" t="s">
        <v>188</v>
      </c>
      <c r="N2086" s="6" t="s">
        <v>188</v>
      </c>
      <c r="O2086" s="6" t="s">
        <v>190</v>
      </c>
      <c r="P2086" s="7"/>
      <c r="Q2086" s="13"/>
      <c r="R2086" s="13"/>
      <c r="S2086" s="13"/>
      <c r="T2086" s="6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</row>
    <row r="2087">
      <c r="A2087" s="12">
        <v>57.0</v>
      </c>
      <c r="B2087" s="7" t="s">
        <v>365</v>
      </c>
      <c r="C2087" s="7" t="s">
        <v>1672</v>
      </c>
      <c r="I2087" s="10" t="s">
        <v>225</v>
      </c>
      <c r="J2087" s="13" t="s">
        <v>856</v>
      </c>
      <c r="K2087" s="13" t="s">
        <v>303</v>
      </c>
      <c r="L2087" s="13" t="s">
        <v>2347</v>
      </c>
      <c r="M2087" s="6" t="s">
        <v>188</v>
      </c>
      <c r="N2087" s="6" t="s">
        <v>188</v>
      </c>
      <c r="O2087" s="6" t="s">
        <v>190</v>
      </c>
      <c r="P2087" s="7"/>
      <c r="Q2087" s="13"/>
      <c r="R2087" s="13"/>
      <c r="S2087" s="13"/>
      <c r="T2087" s="6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</row>
    <row r="2088">
      <c r="A2088" s="12">
        <v>57.0</v>
      </c>
      <c r="B2088" s="7" t="s">
        <v>365</v>
      </c>
      <c r="C2088" s="7" t="s">
        <v>1672</v>
      </c>
      <c r="I2088" s="10" t="s">
        <v>460</v>
      </c>
      <c r="J2088" s="13" t="s">
        <v>854</v>
      </c>
      <c r="K2088" s="13" t="s">
        <v>303</v>
      </c>
      <c r="L2088" s="13" t="s">
        <v>2347</v>
      </c>
      <c r="M2088" s="6" t="s">
        <v>188</v>
      </c>
      <c r="N2088" s="6" t="s">
        <v>188</v>
      </c>
      <c r="O2088" s="6" t="s">
        <v>190</v>
      </c>
      <c r="P2088" s="7"/>
      <c r="Q2088" s="13"/>
      <c r="R2088" s="13"/>
      <c r="S2088" s="13"/>
      <c r="T2088" s="6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</row>
    <row r="2089">
      <c r="A2089" s="12">
        <v>57.0</v>
      </c>
      <c r="B2089" s="7" t="s">
        <v>365</v>
      </c>
      <c r="C2089" s="7" t="s">
        <v>1672</v>
      </c>
      <c r="I2089" s="10" t="s">
        <v>1846</v>
      </c>
      <c r="J2089" s="13" t="s">
        <v>856</v>
      </c>
      <c r="K2089" s="13" t="s">
        <v>303</v>
      </c>
      <c r="L2089" s="13" t="s">
        <v>2435</v>
      </c>
      <c r="M2089" s="6" t="s">
        <v>188</v>
      </c>
      <c r="N2089" s="6" t="s">
        <v>188</v>
      </c>
      <c r="O2089" s="6" t="s">
        <v>190</v>
      </c>
      <c r="P2089" s="7"/>
      <c r="Q2089" s="13"/>
      <c r="R2089" s="13"/>
      <c r="S2089" s="13"/>
      <c r="T2089" s="6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</row>
    <row r="2090">
      <c r="A2090" s="12">
        <v>57.0</v>
      </c>
      <c r="B2090" s="7" t="s">
        <v>365</v>
      </c>
      <c r="C2090" s="7" t="s">
        <v>1672</v>
      </c>
      <c r="I2090" s="10" t="s">
        <v>2015</v>
      </c>
      <c r="J2090" s="13" t="s">
        <v>854</v>
      </c>
      <c r="K2090" s="13" t="s">
        <v>303</v>
      </c>
      <c r="L2090" s="13" t="s">
        <v>2347</v>
      </c>
      <c r="M2090" s="6" t="s">
        <v>188</v>
      </c>
      <c r="N2090" s="6" t="s">
        <v>188</v>
      </c>
      <c r="O2090" s="6" t="s">
        <v>190</v>
      </c>
      <c r="P2090" s="7"/>
      <c r="Q2090" s="13"/>
      <c r="R2090" s="13"/>
      <c r="S2090" s="13"/>
      <c r="T2090" s="6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</row>
    <row r="2091">
      <c r="A2091" s="12">
        <v>57.0</v>
      </c>
      <c r="B2091" s="7" t="s">
        <v>365</v>
      </c>
      <c r="C2091" s="7" t="s">
        <v>1672</v>
      </c>
      <c r="I2091" s="10" t="s">
        <v>2438</v>
      </c>
      <c r="J2091" s="13" t="s">
        <v>856</v>
      </c>
      <c r="K2091" s="13" t="s">
        <v>303</v>
      </c>
      <c r="L2091" s="13" t="s">
        <v>2347</v>
      </c>
      <c r="M2091" s="6" t="s">
        <v>188</v>
      </c>
      <c r="N2091" s="6" t="s">
        <v>188</v>
      </c>
      <c r="O2091" s="6" t="s">
        <v>190</v>
      </c>
      <c r="P2091" s="7"/>
      <c r="Q2091" s="13"/>
      <c r="R2091" s="13"/>
      <c r="S2091" s="13"/>
      <c r="T2091" s="6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</row>
    <row r="2092">
      <c r="A2092" s="12">
        <v>57.0</v>
      </c>
      <c r="B2092" s="7" t="s">
        <v>365</v>
      </c>
      <c r="C2092" s="7" t="s">
        <v>1672</v>
      </c>
      <c r="I2092" s="10" t="s">
        <v>1868</v>
      </c>
      <c r="J2092" s="13" t="s">
        <v>854</v>
      </c>
      <c r="K2092" s="13" t="s">
        <v>303</v>
      </c>
      <c r="L2092" s="13" t="s">
        <v>2347</v>
      </c>
      <c r="M2092" s="6" t="s">
        <v>188</v>
      </c>
      <c r="N2092" s="6" t="s">
        <v>188</v>
      </c>
      <c r="O2092" s="6" t="s">
        <v>190</v>
      </c>
      <c r="P2092" s="7"/>
      <c r="Q2092" s="13"/>
      <c r="R2092" s="13"/>
      <c r="S2092" s="13"/>
      <c r="T2092" s="6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</row>
    <row r="2093">
      <c r="A2093" s="12">
        <v>57.0</v>
      </c>
      <c r="B2093" s="7" t="s">
        <v>365</v>
      </c>
      <c r="C2093" s="7" t="s">
        <v>1672</v>
      </c>
      <c r="I2093" s="10" t="s">
        <v>2013</v>
      </c>
      <c r="J2093" s="13" t="s">
        <v>856</v>
      </c>
      <c r="K2093" s="13" t="s">
        <v>303</v>
      </c>
      <c r="L2093" s="13" t="s">
        <v>2347</v>
      </c>
      <c r="M2093" s="6" t="s">
        <v>188</v>
      </c>
      <c r="N2093" s="6" t="s">
        <v>188</v>
      </c>
      <c r="O2093" s="6" t="s">
        <v>190</v>
      </c>
      <c r="P2093" s="7"/>
      <c r="Q2093" s="13"/>
      <c r="R2093" s="13"/>
      <c r="S2093" s="13"/>
      <c r="T2093" s="6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</row>
    <row r="2094">
      <c r="A2094" s="12">
        <v>57.0</v>
      </c>
      <c r="B2094" s="7" t="s">
        <v>365</v>
      </c>
      <c r="C2094" s="7" t="s">
        <v>1672</v>
      </c>
      <c r="I2094" s="10" t="s">
        <v>404</v>
      </c>
      <c r="J2094" s="13" t="s">
        <v>854</v>
      </c>
      <c r="K2094" s="13" t="s">
        <v>303</v>
      </c>
      <c r="L2094" s="13" t="s">
        <v>2434</v>
      </c>
      <c r="M2094" s="6" t="s">
        <v>188</v>
      </c>
      <c r="N2094" s="6" t="s">
        <v>188</v>
      </c>
      <c r="O2094" s="6" t="s">
        <v>190</v>
      </c>
      <c r="P2094" s="7"/>
      <c r="Q2094" s="13"/>
      <c r="R2094" s="13"/>
      <c r="S2094" s="13"/>
      <c r="T2094" s="6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</row>
    <row r="2095">
      <c r="A2095" s="12">
        <v>57.0</v>
      </c>
      <c r="B2095" s="7" t="s">
        <v>365</v>
      </c>
      <c r="C2095" s="7" t="s">
        <v>1672</v>
      </c>
      <c r="I2095" s="10" t="s">
        <v>247</v>
      </c>
      <c r="J2095" s="13" t="s">
        <v>856</v>
      </c>
      <c r="K2095" s="13" t="s">
        <v>303</v>
      </c>
      <c r="L2095" s="13" t="s">
        <v>2347</v>
      </c>
      <c r="M2095" s="6" t="s">
        <v>188</v>
      </c>
      <c r="N2095" s="6" t="s">
        <v>188</v>
      </c>
      <c r="O2095" s="6" t="s">
        <v>190</v>
      </c>
      <c r="P2095" s="7"/>
      <c r="Q2095" s="13"/>
      <c r="R2095" s="13"/>
      <c r="S2095" s="13"/>
      <c r="T2095" s="6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</row>
    <row r="2096">
      <c r="A2096" s="12">
        <v>57.0</v>
      </c>
      <c r="B2096" s="7" t="s">
        <v>365</v>
      </c>
      <c r="C2096" s="7" t="s">
        <v>1672</v>
      </c>
      <c r="I2096" s="10" t="s">
        <v>2067</v>
      </c>
      <c r="J2096" s="13" t="s">
        <v>854</v>
      </c>
      <c r="K2096" s="13" t="s">
        <v>303</v>
      </c>
      <c r="L2096" s="13" t="s">
        <v>2347</v>
      </c>
      <c r="M2096" s="6" t="s">
        <v>188</v>
      </c>
      <c r="N2096" s="6" t="s">
        <v>188</v>
      </c>
      <c r="O2096" s="6" t="s">
        <v>190</v>
      </c>
      <c r="P2096" s="7"/>
      <c r="Q2096" s="13"/>
      <c r="R2096" s="13"/>
      <c r="S2096" s="13"/>
      <c r="T2096" s="6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</row>
    <row r="2097">
      <c r="A2097" s="12">
        <v>57.0</v>
      </c>
      <c r="B2097" s="7" t="s">
        <v>365</v>
      </c>
      <c r="C2097" s="7" t="s">
        <v>1672</v>
      </c>
      <c r="I2097" s="10" t="s">
        <v>1387</v>
      </c>
      <c r="J2097" s="13" t="s">
        <v>856</v>
      </c>
      <c r="K2097" s="13" t="s">
        <v>303</v>
      </c>
      <c r="L2097" s="13" t="s">
        <v>2437</v>
      </c>
      <c r="M2097" s="6" t="s">
        <v>188</v>
      </c>
      <c r="N2097" s="6" t="s">
        <v>188</v>
      </c>
      <c r="O2097" s="6" t="s">
        <v>190</v>
      </c>
      <c r="P2097" s="7"/>
      <c r="Q2097" s="13"/>
      <c r="R2097" s="13"/>
      <c r="S2097" s="13"/>
      <c r="T2097" s="6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</row>
    <row r="2098">
      <c r="A2098" s="12">
        <v>57.0</v>
      </c>
      <c r="B2098" s="7" t="s">
        <v>365</v>
      </c>
      <c r="C2098" s="7" t="s">
        <v>1672</v>
      </c>
      <c r="I2098" s="10" t="s">
        <v>1356</v>
      </c>
      <c r="J2098" s="13" t="s">
        <v>854</v>
      </c>
      <c r="K2098" s="13" t="s">
        <v>303</v>
      </c>
      <c r="L2098" s="13" t="s">
        <v>2439</v>
      </c>
      <c r="M2098" s="6" t="s">
        <v>188</v>
      </c>
      <c r="N2098" s="6" t="s">
        <v>188</v>
      </c>
      <c r="O2098" s="6" t="s">
        <v>190</v>
      </c>
      <c r="P2098" s="7"/>
      <c r="Q2098" s="13"/>
      <c r="R2098" s="13"/>
      <c r="S2098" s="13"/>
      <c r="T2098" s="6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</row>
    <row r="2099">
      <c r="A2099" s="12">
        <v>57.0</v>
      </c>
      <c r="B2099" s="7" t="s">
        <v>365</v>
      </c>
      <c r="C2099" s="7" t="s">
        <v>1672</v>
      </c>
      <c r="I2099" s="10" t="s">
        <v>2014</v>
      </c>
      <c r="J2099" s="13" t="s">
        <v>856</v>
      </c>
      <c r="K2099" s="13" t="s">
        <v>303</v>
      </c>
      <c r="L2099" s="13" t="s">
        <v>2347</v>
      </c>
      <c r="M2099" s="6" t="s">
        <v>188</v>
      </c>
      <c r="N2099" s="6" t="s">
        <v>188</v>
      </c>
      <c r="O2099" s="6" t="s">
        <v>190</v>
      </c>
      <c r="P2099" s="7"/>
      <c r="Q2099" s="13"/>
      <c r="R2099" s="13"/>
      <c r="S2099" s="13"/>
      <c r="T2099" s="6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  <c r="AE2099" s="7"/>
    </row>
    <row r="2100">
      <c r="A2100" s="12">
        <v>57.0</v>
      </c>
      <c r="B2100" s="7" t="s">
        <v>365</v>
      </c>
      <c r="C2100" s="7" t="s">
        <v>1672</v>
      </c>
      <c r="I2100" s="10" t="s">
        <v>466</v>
      </c>
      <c r="J2100" s="13" t="s">
        <v>854</v>
      </c>
      <c r="K2100" s="13" t="s">
        <v>303</v>
      </c>
      <c r="L2100" s="13" t="s">
        <v>2347</v>
      </c>
      <c r="M2100" s="6" t="s">
        <v>188</v>
      </c>
      <c r="N2100" s="6" t="s">
        <v>188</v>
      </c>
      <c r="O2100" s="6" t="s">
        <v>190</v>
      </c>
      <c r="P2100" s="7"/>
      <c r="Q2100" s="13"/>
      <c r="R2100" s="13"/>
      <c r="S2100" s="13"/>
      <c r="T2100" s="6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</row>
    <row r="2101">
      <c r="A2101" s="12">
        <v>57.0</v>
      </c>
      <c r="B2101" s="7" t="s">
        <v>365</v>
      </c>
      <c r="C2101" s="7" t="s">
        <v>1672</v>
      </c>
      <c r="I2101" s="10" t="s">
        <v>2068</v>
      </c>
      <c r="J2101" s="13" t="s">
        <v>856</v>
      </c>
      <c r="K2101" s="13" t="s">
        <v>303</v>
      </c>
      <c r="L2101" s="13" t="s">
        <v>2435</v>
      </c>
      <c r="M2101" s="6" t="s">
        <v>188</v>
      </c>
      <c r="N2101" s="6" t="s">
        <v>188</v>
      </c>
      <c r="O2101" s="6" t="s">
        <v>190</v>
      </c>
      <c r="P2101" s="7"/>
      <c r="Q2101" s="13"/>
      <c r="R2101" s="13"/>
      <c r="S2101" s="13"/>
      <c r="T2101" s="6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</row>
    <row r="2102">
      <c r="A2102" s="12">
        <v>57.0</v>
      </c>
      <c r="B2102" s="7" t="s">
        <v>365</v>
      </c>
      <c r="C2102" s="7" t="s">
        <v>1672</v>
      </c>
      <c r="I2102" s="10" t="s">
        <v>2075</v>
      </c>
      <c r="J2102" s="13" t="s">
        <v>854</v>
      </c>
      <c r="K2102" s="13" t="s">
        <v>303</v>
      </c>
      <c r="L2102" s="13" t="s">
        <v>2437</v>
      </c>
      <c r="M2102" s="6" t="s">
        <v>188</v>
      </c>
      <c r="N2102" s="6" t="s">
        <v>188</v>
      </c>
      <c r="O2102" s="6" t="s">
        <v>190</v>
      </c>
      <c r="P2102" s="7"/>
      <c r="Q2102" s="13"/>
      <c r="R2102" s="13"/>
      <c r="S2102" s="13"/>
      <c r="T2102" s="6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</row>
    <row r="2103">
      <c r="A2103" s="12">
        <v>57.0</v>
      </c>
      <c r="B2103" s="7" t="s">
        <v>365</v>
      </c>
      <c r="C2103" s="7" t="s">
        <v>1672</v>
      </c>
      <c r="I2103" s="10" t="s">
        <v>1350</v>
      </c>
      <c r="J2103" s="13" t="s">
        <v>856</v>
      </c>
      <c r="K2103" s="13" t="s">
        <v>303</v>
      </c>
      <c r="L2103" s="13" t="s">
        <v>2347</v>
      </c>
      <c r="M2103" s="6" t="s">
        <v>188</v>
      </c>
      <c r="N2103" s="6" t="s">
        <v>188</v>
      </c>
      <c r="O2103" s="6" t="s">
        <v>190</v>
      </c>
      <c r="P2103" s="7"/>
      <c r="Q2103" s="13"/>
      <c r="R2103" s="13"/>
      <c r="S2103" s="13"/>
      <c r="T2103" s="6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  <c r="AE2103" s="7"/>
    </row>
    <row r="2104">
      <c r="A2104" s="12">
        <v>57.0</v>
      </c>
      <c r="B2104" s="7" t="s">
        <v>365</v>
      </c>
      <c r="C2104" s="7" t="s">
        <v>1672</v>
      </c>
      <c r="I2104" s="10" t="s">
        <v>356</v>
      </c>
      <c r="J2104" s="13" t="s">
        <v>854</v>
      </c>
      <c r="K2104" s="13" t="s">
        <v>303</v>
      </c>
      <c r="L2104" s="13" t="s">
        <v>2347</v>
      </c>
      <c r="M2104" s="6" t="s">
        <v>188</v>
      </c>
      <c r="N2104" s="6" t="s">
        <v>188</v>
      </c>
      <c r="O2104" s="6" t="s">
        <v>190</v>
      </c>
      <c r="P2104" s="7"/>
      <c r="Q2104" s="13"/>
      <c r="R2104" s="13"/>
      <c r="S2104" s="13"/>
      <c r="T2104" s="6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</row>
    <row r="2105">
      <c r="A2105" s="12">
        <v>57.0</v>
      </c>
      <c r="B2105" s="7" t="s">
        <v>365</v>
      </c>
      <c r="C2105" s="7" t="s">
        <v>1672</v>
      </c>
      <c r="I2105" s="10" t="s">
        <v>505</v>
      </c>
      <c r="J2105" s="13" t="s">
        <v>856</v>
      </c>
      <c r="K2105" s="13" t="s">
        <v>303</v>
      </c>
      <c r="L2105" s="13" t="s">
        <v>2440</v>
      </c>
      <c r="M2105" s="6" t="s">
        <v>188</v>
      </c>
      <c r="N2105" s="6" t="s">
        <v>188</v>
      </c>
      <c r="O2105" s="6" t="s">
        <v>190</v>
      </c>
      <c r="P2105" s="7"/>
      <c r="Q2105" s="13"/>
      <c r="R2105" s="13"/>
      <c r="S2105" s="13"/>
      <c r="T2105" s="6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</row>
    <row r="2106">
      <c r="A2106" s="12">
        <v>57.0</v>
      </c>
      <c r="B2106" s="7" t="s">
        <v>365</v>
      </c>
      <c r="C2106" s="7" t="s">
        <v>1672</v>
      </c>
      <c r="I2106" s="10" t="s">
        <v>2077</v>
      </c>
      <c r="J2106" s="13" t="s">
        <v>854</v>
      </c>
      <c r="K2106" s="13" t="s">
        <v>303</v>
      </c>
      <c r="L2106" s="13" t="s">
        <v>2435</v>
      </c>
      <c r="M2106" s="6" t="s">
        <v>188</v>
      </c>
      <c r="N2106" s="6" t="s">
        <v>188</v>
      </c>
      <c r="O2106" s="6" t="s">
        <v>190</v>
      </c>
      <c r="P2106" s="7"/>
      <c r="Q2106" s="13"/>
      <c r="R2106" s="13"/>
      <c r="S2106" s="13"/>
      <c r="T2106" s="6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</row>
    <row r="2107">
      <c r="A2107" s="12">
        <v>57.0</v>
      </c>
      <c r="B2107" s="7" t="s">
        <v>365</v>
      </c>
      <c r="C2107" s="7" t="s">
        <v>1672</v>
      </c>
      <c r="I2107" s="10" t="s">
        <v>2008</v>
      </c>
      <c r="J2107" s="13" t="s">
        <v>856</v>
      </c>
      <c r="K2107" s="13" t="s">
        <v>303</v>
      </c>
      <c r="L2107" s="13" t="s">
        <v>2441</v>
      </c>
      <c r="M2107" s="6" t="s">
        <v>188</v>
      </c>
      <c r="N2107" s="6" t="s">
        <v>188</v>
      </c>
      <c r="O2107" s="6" t="s">
        <v>190</v>
      </c>
      <c r="P2107" s="7"/>
      <c r="Q2107" s="13"/>
      <c r="R2107" s="13"/>
      <c r="S2107" s="13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</row>
    <row r="2108">
      <c r="A2108" s="12">
        <v>57.0</v>
      </c>
      <c r="B2108" s="7" t="s">
        <v>365</v>
      </c>
      <c r="C2108" s="7" t="s">
        <v>1672</v>
      </c>
      <c r="I2108" s="10" t="s">
        <v>2010</v>
      </c>
      <c r="J2108" s="13" t="s">
        <v>854</v>
      </c>
      <c r="K2108" s="13" t="s">
        <v>303</v>
      </c>
      <c r="L2108" s="13" t="s">
        <v>2347</v>
      </c>
      <c r="M2108" s="6" t="s">
        <v>188</v>
      </c>
      <c r="N2108" s="6" t="s">
        <v>188</v>
      </c>
      <c r="O2108" s="6" t="s">
        <v>190</v>
      </c>
      <c r="P2108" s="7"/>
      <c r="Q2108" s="13"/>
      <c r="R2108" s="13"/>
      <c r="S2108" s="13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</row>
    <row r="2109">
      <c r="A2109" s="12">
        <v>57.0</v>
      </c>
      <c r="B2109" s="7" t="s">
        <v>365</v>
      </c>
      <c r="C2109" s="7" t="s">
        <v>1672</v>
      </c>
      <c r="I2109" s="10" t="s">
        <v>1432</v>
      </c>
      <c r="J2109" s="13" t="s">
        <v>856</v>
      </c>
      <c r="K2109" s="13" t="s">
        <v>303</v>
      </c>
      <c r="L2109" s="13" t="s">
        <v>2347</v>
      </c>
      <c r="M2109" s="6" t="s">
        <v>188</v>
      </c>
      <c r="N2109" s="6" t="s">
        <v>188</v>
      </c>
      <c r="O2109" s="6" t="s">
        <v>190</v>
      </c>
      <c r="P2109" s="7"/>
      <c r="Q2109" s="13"/>
      <c r="R2109" s="13"/>
      <c r="S2109" s="13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</row>
    <row r="2110">
      <c r="A2110" s="12">
        <v>57.0</v>
      </c>
      <c r="B2110" s="7" t="s">
        <v>365</v>
      </c>
      <c r="C2110" s="7" t="s">
        <v>1672</v>
      </c>
      <c r="I2110" s="10" t="s">
        <v>614</v>
      </c>
      <c r="J2110" s="13" t="s">
        <v>854</v>
      </c>
      <c r="K2110" s="13" t="s">
        <v>303</v>
      </c>
      <c r="L2110" s="13" t="s">
        <v>2434</v>
      </c>
      <c r="M2110" s="6" t="s">
        <v>188</v>
      </c>
      <c r="N2110" s="6" t="s">
        <v>188</v>
      </c>
      <c r="O2110" s="6" t="s">
        <v>190</v>
      </c>
      <c r="P2110" s="7"/>
      <c r="Q2110" s="13"/>
      <c r="R2110" s="13"/>
      <c r="S2110" s="13"/>
      <c r="T2110" s="6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</row>
    <row r="2111">
      <c r="A2111" s="12">
        <v>57.0</v>
      </c>
      <c r="B2111" s="7" t="s">
        <v>365</v>
      </c>
      <c r="C2111" s="7" t="s">
        <v>1672</v>
      </c>
      <c r="I2111" s="10" t="s">
        <v>1918</v>
      </c>
      <c r="J2111" s="13" t="s">
        <v>856</v>
      </c>
      <c r="K2111" s="13" t="s">
        <v>303</v>
      </c>
      <c r="L2111" s="13" t="s">
        <v>2441</v>
      </c>
      <c r="M2111" s="6" t="s">
        <v>188</v>
      </c>
      <c r="N2111" s="6" t="s">
        <v>188</v>
      </c>
      <c r="O2111" s="6" t="s">
        <v>190</v>
      </c>
      <c r="P2111" s="7"/>
      <c r="Q2111" s="13"/>
      <c r="R2111" s="13"/>
      <c r="S2111" s="13"/>
      <c r="T2111" s="6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</row>
    <row r="2112">
      <c r="A2112" s="12">
        <v>58.0</v>
      </c>
      <c r="B2112" s="7" t="s">
        <v>404</v>
      </c>
      <c r="C2112" s="7" t="s">
        <v>1672</v>
      </c>
      <c r="D2112" s="26">
        <f>IF(COUNTIF($B$2:$B2112,$B2112)&gt;1,"",COUNTIF($B$2:$B$3400,$B2112))</f>
        <v>30</v>
      </c>
      <c r="E2112" s="26">
        <f>IF(COUNTIF($B$2:$B2112,$B2112)&gt;1,"",COUNTIFS($B$2:$B$3400,$B2112,$K$2:$K$3400,"PHÙ HỢP CAO"))</f>
        <v>4</v>
      </c>
      <c r="F2112" s="26">
        <f>IF(COUNTIF($B$2:$B2112,$B2112)&gt;1,"",COUNTIFS($B$2:$B$3400,$B2112,$K$2:$K$3400,"CÓ THỂ ĐI"))</f>
        <v>1</v>
      </c>
      <c r="G2112" s="26">
        <f>IF(COUNTIF($B$2:$B2112,$B2112)&gt;1,"",COUNTIFS($B$2:$B$3400,$B2112,$K$2:$K$3400,"CẦN SOÁT"))</f>
        <v>25</v>
      </c>
      <c r="H2112" s="27" t="str">
        <f>IFERROR(__xludf.DUMMYFUNCTION("IF(COUNTIF($B$2:$B2112,$B2112)&gt;1,"""",IFERROR(TEXTJOIN(CHAR(10),TRUE,BYROW(QUERY({$B$2:$B$3400,$J$2:$J$3400},""select Col2, count(Col2) where Col1 = '""&amp;$B2112&amp;""' group by Col2 order by count(Col2) desc label count(Col2) ''"",0),LAMBDA(r,INDEX(r,1,1)&amp;"" "&amp;"– ""&amp;INDEX(r,1,2)&amp;"" link""))),""""))"),"lãi suất vay thế chấp sổ đỏ – 8 link
vay thế chấp sổ đỏ – 8 link
lãi suất vay thế chấp sổ hồng – 7 link
vay thế chấp sổ đỏ ngân hàng – 7 link")</f>
        <v>lãi suất vay thế chấp sổ đỏ – 8 link
vay thế chấp sổ đỏ – 8 link
lãi suất vay thế chấp sổ hồng – 7 link
vay thế chấp sổ đỏ ngân hàng – 7 link</v>
      </c>
      <c r="I2112" s="10" t="s">
        <v>604</v>
      </c>
      <c r="J2112" s="13" t="s">
        <v>1686</v>
      </c>
      <c r="K2112" s="13" t="s">
        <v>184</v>
      </c>
      <c r="L2112" s="13" t="s">
        <v>2442</v>
      </c>
      <c r="M2112" s="6" t="s">
        <v>188</v>
      </c>
      <c r="N2112" s="6" t="s">
        <v>188</v>
      </c>
      <c r="O2112" s="6" t="s">
        <v>190</v>
      </c>
      <c r="P2112" s="7"/>
      <c r="Q2112" s="13"/>
      <c r="R2112" s="13"/>
      <c r="S2112" s="13"/>
      <c r="T2112" s="6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</row>
    <row r="2113">
      <c r="A2113" s="12">
        <v>58.0</v>
      </c>
      <c r="B2113" s="7" t="s">
        <v>404</v>
      </c>
      <c r="C2113" s="7" t="s">
        <v>1672</v>
      </c>
      <c r="I2113" s="10" t="s">
        <v>426</v>
      </c>
      <c r="J2113" s="13" t="s">
        <v>1689</v>
      </c>
      <c r="K2113" s="13" t="s">
        <v>184</v>
      </c>
      <c r="L2113" s="13" t="s">
        <v>2443</v>
      </c>
      <c r="M2113" s="6" t="s">
        <v>188</v>
      </c>
      <c r="N2113" s="6" t="s">
        <v>188</v>
      </c>
      <c r="O2113" s="6" t="s">
        <v>190</v>
      </c>
      <c r="P2113" s="7"/>
      <c r="Q2113" s="13"/>
      <c r="R2113" s="13"/>
      <c r="S2113" s="13"/>
      <c r="T2113" s="6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</row>
    <row r="2114">
      <c r="A2114" s="12">
        <v>58.0</v>
      </c>
      <c r="B2114" s="7" t="s">
        <v>404</v>
      </c>
      <c r="C2114" s="7" t="s">
        <v>1672</v>
      </c>
      <c r="I2114" s="10" t="s">
        <v>1690</v>
      </c>
      <c r="J2114" s="13" t="s">
        <v>1693</v>
      </c>
      <c r="K2114" s="13" t="s">
        <v>184</v>
      </c>
      <c r="L2114" s="13" t="s">
        <v>2444</v>
      </c>
      <c r="M2114" s="6" t="s">
        <v>188</v>
      </c>
      <c r="N2114" s="6" t="s">
        <v>188</v>
      </c>
      <c r="O2114" s="6" t="s">
        <v>190</v>
      </c>
      <c r="P2114" s="7"/>
      <c r="Q2114" s="13"/>
      <c r="R2114" s="13"/>
      <c r="S2114" s="13"/>
      <c r="T2114" s="6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</row>
    <row r="2115">
      <c r="A2115" s="12">
        <v>58.0</v>
      </c>
      <c r="B2115" s="7" t="s">
        <v>404</v>
      </c>
      <c r="C2115" s="7" t="s">
        <v>1672</v>
      </c>
      <c r="I2115" s="10" t="s">
        <v>1338</v>
      </c>
      <c r="J2115" s="13" t="s">
        <v>1698</v>
      </c>
      <c r="K2115" s="13" t="s">
        <v>184</v>
      </c>
      <c r="L2115" s="13" t="s">
        <v>2445</v>
      </c>
      <c r="M2115" s="6" t="s">
        <v>188</v>
      </c>
      <c r="N2115" s="6" t="s">
        <v>188</v>
      </c>
      <c r="O2115" s="6" t="s">
        <v>190</v>
      </c>
      <c r="P2115" s="7"/>
      <c r="Q2115" s="13"/>
      <c r="R2115" s="13"/>
      <c r="S2115" s="13"/>
      <c r="T2115" s="6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</row>
    <row r="2116">
      <c r="A2116" s="12">
        <v>58.0</v>
      </c>
      <c r="B2116" s="7" t="s">
        <v>404</v>
      </c>
      <c r="C2116" s="7" t="s">
        <v>1672</v>
      </c>
      <c r="I2116" s="10" t="s">
        <v>1699</v>
      </c>
      <c r="J2116" s="13" t="s">
        <v>1686</v>
      </c>
      <c r="K2116" s="13" t="s">
        <v>283</v>
      </c>
      <c r="L2116" s="13" t="s">
        <v>2446</v>
      </c>
      <c r="M2116" s="6" t="s">
        <v>188</v>
      </c>
      <c r="N2116" s="6" t="s">
        <v>188</v>
      </c>
      <c r="O2116" s="6" t="s">
        <v>190</v>
      </c>
      <c r="P2116" s="7"/>
      <c r="Q2116" s="13"/>
      <c r="R2116" s="13"/>
      <c r="S2116" s="13"/>
      <c r="T2116" s="6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</row>
    <row r="2117">
      <c r="A2117" s="12">
        <v>58.0</v>
      </c>
      <c r="B2117" s="7" t="s">
        <v>404</v>
      </c>
      <c r="C2117" s="7" t="s">
        <v>1672</v>
      </c>
      <c r="I2117" s="10" t="s">
        <v>2447</v>
      </c>
      <c r="J2117" s="13" t="s">
        <v>1689</v>
      </c>
      <c r="K2117" s="13" t="s">
        <v>303</v>
      </c>
      <c r="L2117" s="13" t="s">
        <v>2448</v>
      </c>
      <c r="M2117" s="6" t="s">
        <v>188</v>
      </c>
      <c r="N2117" s="6" t="s">
        <v>188</v>
      </c>
      <c r="O2117" s="6" t="s">
        <v>190</v>
      </c>
      <c r="P2117" s="7"/>
      <c r="Q2117" s="13"/>
      <c r="R2117" s="13"/>
      <c r="S2117" s="13"/>
      <c r="T2117" s="6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</row>
    <row r="2118">
      <c r="A2118" s="12">
        <v>58.0</v>
      </c>
      <c r="B2118" s="7" t="s">
        <v>404</v>
      </c>
      <c r="C2118" s="7" t="s">
        <v>1672</v>
      </c>
      <c r="I2118" s="10" t="s">
        <v>2449</v>
      </c>
      <c r="J2118" s="13" t="s">
        <v>1693</v>
      </c>
      <c r="K2118" s="13" t="s">
        <v>303</v>
      </c>
      <c r="L2118" s="13" t="s">
        <v>2448</v>
      </c>
      <c r="M2118" s="6" t="s">
        <v>188</v>
      </c>
      <c r="N2118" s="6" t="s">
        <v>188</v>
      </c>
      <c r="O2118" s="6" t="s">
        <v>190</v>
      </c>
      <c r="P2118" s="7"/>
      <c r="Q2118" s="13"/>
      <c r="R2118" s="13"/>
      <c r="S2118" s="13"/>
      <c r="T2118" s="6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</row>
    <row r="2119">
      <c r="A2119" s="12">
        <v>58.0</v>
      </c>
      <c r="B2119" s="7" t="s">
        <v>404</v>
      </c>
      <c r="C2119" s="7" t="s">
        <v>1672</v>
      </c>
      <c r="I2119" s="10" t="s">
        <v>2345</v>
      </c>
      <c r="J2119" s="13" t="s">
        <v>1698</v>
      </c>
      <c r="K2119" s="13" t="s">
        <v>303</v>
      </c>
      <c r="L2119" s="13" t="s">
        <v>2448</v>
      </c>
      <c r="M2119" s="6" t="s">
        <v>188</v>
      </c>
      <c r="N2119" s="6" t="s">
        <v>188</v>
      </c>
      <c r="O2119" s="6" t="s">
        <v>190</v>
      </c>
      <c r="P2119" s="7"/>
      <c r="Q2119" s="13"/>
      <c r="R2119" s="13"/>
      <c r="S2119" s="13"/>
      <c r="T2119" s="6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</row>
    <row r="2120">
      <c r="A2120" s="12">
        <v>58.0</v>
      </c>
      <c r="B2120" s="7" t="s">
        <v>404</v>
      </c>
      <c r="C2120" s="7" t="s">
        <v>1672</v>
      </c>
      <c r="I2120" s="10" t="s">
        <v>387</v>
      </c>
      <c r="J2120" s="13" t="s">
        <v>1686</v>
      </c>
      <c r="K2120" s="13" t="s">
        <v>303</v>
      </c>
      <c r="L2120" s="13" t="s">
        <v>2448</v>
      </c>
      <c r="M2120" s="6" t="s">
        <v>188</v>
      </c>
      <c r="N2120" s="6" t="s">
        <v>188</v>
      </c>
      <c r="O2120" s="6" t="s">
        <v>190</v>
      </c>
      <c r="P2120" s="7"/>
      <c r="Q2120" s="13"/>
      <c r="R2120" s="13"/>
      <c r="S2120" s="13"/>
      <c r="T2120" s="6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</row>
    <row r="2121">
      <c r="A2121" s="12">
        <v>58.0</v>
      </c>
      <c r="B2121" s="7" t="s">
        <v>404</v>
      </c>
      <c r="C2121" s="7" t="s">
        <v>1672</v>
      </c>
      <c r="I2121" s="10" t="s">
        <v>373</v>
      </c>
      <c r="J2121" s="13" t="s">
        <v>1689</v>
      </c>
      <c r="K2121" s="13" t="s">
        <v>303</v>
      </c>
      <c r="L2121" s="13" t="s">
        <v>2448</v>
      </c>
      <c r="M2121" s="6" t="s">
        <v>188</v>
      </c>
      <c r="N2121" s="6" t="s">
        <v>188</v>
      </c>
      <c r="O2121" s="6" t="s">
        <v>190</v>
      </c>
      <c r="P2121" s="7"/>
      <c r="Q2121" s="13"/>
      <c r="R2121" s="13"/>
      <c r="S2121" s="13"/>
      <c r="T2121" s="6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</row>
    <row r="2122">
      <c r="A2122" s="12">
        <v>58.0</v>
      </c>
      <c r="B2122" s="7" t="s">
        <v>404</v>
      </c>
      <c r="C2122" s="7" t="s">
        <v>1672</v>
      </c>
      <c r="I2122" s="10" t="s">
        <v>481</v>
      </c>
      <c r="J2122" s="13" t="s">
        <v>1693</v>
      </c>
      <c r="K2122" s="13" t="s">
        <v>303</v>
      </c>
      <c r="L2122" s="13" t="s">
        <v>2448</v>
      </c>
      <c r="M2122" s="6" t="s">
        <v>188</v>
      </c>
      <c r="N2122" s="6" t="s">
        <v>188</v>
      </c>
      <c r="O2122" s="6" t="s">
        <v>190</v>
      </c>
      <c r="P2122" s="7"/>
      <c r="Q2122" s="13"/>
      <c r="R2122" s="13"/>
      <c r="S2122" s="13"/>
      <c r="T2122" s="6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</row>
    <row r="2123">
      <c r="A2123" s="12">
        <v>58.0</v>
      </c>
      <c r="B2123" s="7" t="s">
        <v>404</v>
      </c>
      <c r="C2123" s="7" t="s">
        <v>1672</v>
      </c>
      <c r="I2123" s="10" t="s">
        <v>1924</v>
      </c>
      <c r="J2123" s="13" t="s">
        <v>1698</v>
      </c>
      <c r="K2123" s="13" t="s">
        <v>303</v>
      </c>
      <c r="L2123" s="13" t="s">
        <v>2448</v>
      </c>
      <c r="M2123" s="6" t="s">
        <v>188</v>
      </c>
      <c r="N2123" s="6" t="s">
        <v>188</v>
      </c>
      <c r="O2123" s="6" t="s">
        <v>190</v>
      </c>
      <c r="P2123" s="7"/>
      <c r="Q2123" s="13"/>
      <c r="R2123" s="13"/>
      <c r="S2123" s="13"/>
      <c r="T2123" s="6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</row>
    <row r="2124">
      <c r="A2124" s="12">
        <v>58.0</v>
      </c>
      <c r="B2124" s="7" t="s">
        <v>404</v>
      </c>
      <c r="C2124" s="7" t="s">
        <v>1672</v>
      </c>
      <c r="I2124" s="10" t="s">
        <v>2348</v>
      </c>
      <c r="J2124" s="13" t="s">
        <v>1686</v>
      </c>
      <c r="K2124" s="13" t="s">
        <v>303</v>
      </c>
      <c r="L2124" s="13" t="s">
        <v>2448</v>
      </c>
      <c r="M2124" s="6" t="s">
        <v>188</v>
      </c>
      <c r="N2124" s="6" t="s">
        <v>188</v>
      </c>
      <c r="O2124" s="6" t="s">
        <v>190</v>
      </c>
      <c r="P2124" s="7"/>
      <c r="Q2124" s="13"/>
      <c r="R2124" s="13"/>
      <c r="S2124" s="13"/>
      <c r="T2124" s="6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</row>
    <row r="2125">
      <c r="A2125" s="12">
        <v>58.0</v>
      </c>
      <c r="B2125" s="7" t="s">
        <v>404</v>
      </c>
      <c r="C2125" s="7" t="s">
        <v>1672</v>
      </c>
      <c r="I2125" s="10" t="s">
        <v>2079</v>
      </c>
      <c r="J2125" s="13" t="s">
        <v>1689</v>
      </c>
      <c r="K2125" s="13" t="s">
        <v>303</v>
      </c>
      <c r="L2125" s="13" t="s">
        <v>2448</v>
      </c>
      <c r="M2125" s="6" t="s">
        <v>188</v>
      </c>
      <c r="N2125" s="6" t="s">
        <v>188</v>
      </c>
      <c r="O2125" s="6" t="s">
        <v>190</v>
      </c>
      <c r="P2125" s="7"/>
      <c r="Q2125" s="13"/>
      <c r="R2125" s="13"/>
      <c r="S2125" s="13"/>
      <c r="T2125" s="6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</row>
    <row r="2126">
      <c r="A2126" s="12">
        <v>58.0</v>
      </c>
      <c r="B2126" s="7" t="s">
        <v>404</v>
      </c>
      <c r="C2126" s="7" t="s">
        <v>1672</v>
      </c>
      <c r="I2126" s="10" t="s">
        <v>395</v>
      </c>
      <c r="J2126" s="13" t="s">
        <v>1693</v>
      </c>
      <c r="K2126" s="13" t="s">
        <v>303</v>
      </c>
      <c r="L2126" s="13" t="s">
        <v>2448</v>
      </c>
      <c r="M2126" s="6" t="s">
        <v>188</v>
      </c>
      <c r="N2126" s="6" t="s">
        <v>188</v>
      </c>
      <c r="O2126" s="6" t="s">
        <v>190</v>
      </c>
      <c r="P2126" s="7"/>
      <c r="Q2126" s="13"/>
      <c r="R2126" s="13"/>
      <c r="S2126" s="13"/>
      <c r="T2126" s="6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</row>
    <row r="2127">
      <c r="A2127" s="12">
        <v>58.0</v>
      </c>
      <c r="B2127" s="7" t="s">
        <v>404</v>
      </c>
      <c r="C2127" s="7" t="s">
        <v>1672</v>
      </c>
      <c r="I2127" s="10" t="s">
        <v>525</v>
      </c>
      <c r="J2127" s="13" t="s">
        <v>1698</v>
      </c>
      <c r="K2127" s="13" t="s">
        <v>303</v>
      </c>
      <c r="L2127" s="13" t="s">
        <v>2448</v>
      </c>
      <c r="M2127" s="6" t="s">
        <v>188</v>
      </c>
      <c r="N2127" s="6" t="s">
        <v>188</v>
      </c>
      <c r="O2127" s="6" t="s">
        <v>190</v>
      </c>
      <c r="P2127" s="7"/>
      <c r="Q2127" s="13"/>
      <c r="R2127" s="13"/>
      <c r="S2127" s="13"/>
      <c r="T2127" s="6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</row>
    <row r="2128">
      <c r="A2128" s="12">
        <v>58.0</v>
      </c>
      <c r="B2128" s="7" t="s">
        <v>404</v>
      </c>
      <c r="C2128" s="7" t="s">
        <v>1672</v>
      </c>
      <c r="I2128" s="10" t="s">
        <v>1704</v>
      </c>
      <c r="J2128" s="13" t="s">
        <v>1686</v>
      </c>
      <c r="K2128" s="13" t="s">
        <v>303</v>
      </c>
      <c r="L2128" s="13" t="s">
        <v>2448</v>
      </c>
      <c r="M2128" s="6" t="s">
        <v>188</v>
      </c>
      <c r="N2128" s="6" t="s">
        <v>188</v>
      </c>
      <c r="O2128" s="6" t="s">
        <v>190</v>
      </c>
      <c r="P2128" s="7"/>
      <c r="Q2128" s="13"/>
      <c r="R2128" s="13"/>
      <c r="S2128" s="13"/>
      <c r="T2128" s="6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</row>
    <row r="2129">
      <c r="A2129" s="12">
        <v>58.0</v>
      </c>
      <c r="B2129" s="7" t="s">
        <v>404</v>
      </c>
      <c r="C2129" s="7" t="s">
        <v>1672</v>
      </c>
      <c r="I2129" s="10" t="s">
        <v>270</v>
      </c>
      <c r="J2129" s="13" t="s">
        <v>1689</v>
      </c>
      <c r="K2129" s="13" t="s">
        <v>303</v>
      </c>
      <c r="L2129" s="13" t="s">
        <v>2448</v>
      </c>
      <c r="M2129" s="6" t="s">
        <v>188</v>
      </c>
      <c r="N2129" s="6" t="s">
        <v>188</v>
      </c>
      <c r="O2129" s="6" t="s">
        <v>190</v>
      </c>
      <c r="P2129" s="7"/>
      <c r="Q2129" s="13"/>
      <c r="R2129" s="13"/>
      <c r="S2129" s="13"/>
      <c r="T2129" s="6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</row>
    <row r="2130">
      <c r="A2130" s="12">
        <v>58.0</v>
      </c>
      <c r="B2130" s="7" t="s">
        <v>404</v>
      </c>
      <c r="C2130" s="7" t="s">
        <v>1672</v>
      </c>
      <c r="I2130" s="10" t="s">
        <v>1116</v>
      </c>
      <c r="J2130" s="13" t="s">
        <v>1693</v>
      </c>
      <c r="K2130" s="13" t="s">
        <v>303</v>
      </c>
      <c r="L2130" s="13" t="s">
        <v>2448</v>
      </c>
      <c r="M2130" s="6" t="s">
        <v>188</v>
      </c>
      <c r="N2130" s="6" t="s">
        <v>188</v>
      </c>
      <c r="O2130" s="6" t="s">
        <v>190</v>
      </c>
      <c r="P2130" s="7"/>
      <c r="Q2130" s="13"/>
      <c r="R2130" s="13"/>
      <c r="S2130" s="13"/>
      <c r="T2130" s="6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</row>
    <row r="2131">
      <c r="A2131" s="12">
        <v>58.0</v>
      </c>
      <c r="B2131" s="7" t="s">
        <v>404</v>
      </c>
      <c r="C2131" s="7" t="s">
        <v>1672</v>
      </c>
      <c r="I2131" s="10" t="s">
        <v>567</v>
      </c>
      <c r="J2131" s="13" t="s">
        <v>1698</v>
      </c>
      <c r="K2131" s="13" t="s">
        <v>303</v>
      </c>
      <c r="L2131" s="13" t="s">
        <v>2450</v>
      </c>
      <c r="M2131" s="6" t="s">
        <v>188</v>
      </c>
      <c r="N2131" s="6" t="s">
        <v>188</v>
      </c>
      <c r="O2131" s="6" t="s">
        <v>190</v>
      </c>
      <c r="P2131" s="7"/>
      <c r="Q2131" s="13"/>
      <c r="R2131" s="13"/>
      <c r="S2131" s="13"/>
      <c r="T2131" s="6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</row>
    <row r="2132">
      <c r="A2132" s="12">
        <v>58.0</v>
      </c>
      <c r="B2132" s="7" t="s">
        <v>404</v>
      </c>
      <c r="C2132" s="7" t="s">
        <v>1672</v>
      </c>
      <c r="I2132" s="10" t="s">
        <v>247</v>
      </c>
      <c r="J2132" s="13" t="s">
        <v>1686</v>
      </c>
      <c r="K2132" s="13" t="s">
        <v>303</v>
      </c>
      <c r="L2132" s="13" t="s">
        <v>2448</v>
      </c>
      <c r="M2132" s="6" t="s">
        <v>188</v>
      </c>
      <c r="N2132" s="6" t="s">
        <v>188</v>
      </c>
      <c r="O2132" s="6" t="s">
        <v>190</v>
      </c>
      <c r="P2132" s="7"/>
      <c r="Q2132" s="13"/>
      <c r="R2132" s="13"/>
      <c r="S2132" s="13"/>
      <c r="T2132" s="6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</row>
    <row r="2133">
      <c r="A2133" s="12">
        <v>58.0</v>
      </c>
      <c r="B2133" s="7" t="s">
        <v>404</v>
      </c>
      <c r="C2133" s="7" t="s">
        <v>1672</v>
      </c>
      <c r="I2133" s="10" t="s">
        <v>2451</v>
      </c>
      <c r="J2133" s="13" t="s">
        <v>1689</v>
      </c>
      <c r="K2133" s="13" t="s">
        <v>303</v>
      </c>
      <c r="L2133" s="13" t="s">
        <v>2448</v>
      </c>
      <c r="M2133" s="6" t="s">
        <v>188</v>
      </c>
      <c r="N2133" s="6" t="s">
        <v>188</v>
      </c>
      <c r="O2133" s="6" t="s">
        <v>190</v>
      </c>
      <c r="P2133" s="7"/>
      <c r="Q2133" s="13"/>
      <c r="R2133" s="13"/>
      <c r="S2133" s="13"/>
      <c r="T2133" s="6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</row>
    <row r="2134">
      <c r="A2134" s="12">
        <v>58.0</v>
      </c>
      <c r="B2134" s="7" t="s">
        <v>404</v>
      </c>
      <c r="C2134" s="7" t="s">
        <v>1672</v>
      </c>
      <c r="I2134" s="10" t="s">
        <v>1377</v>
      </c>
      <c r="J2134" s="13" t="s">
        <v>1693</v>
      </c>
      <c r="K2134" s="13" t="s">
        <v>303</v>
      </c>
      <c r="L2134" s="13" t="s">
        <v>2448</v>
      </c>
      <c r="M2134" s="6" t="s">
        <v>188</v>
      </c>
      <c r="N2134" s="6" t="s">
        <v>188</v>
      </c>
      <c r="O2134" s="6" t="s">
        <v>190</v>
      </c>
      <c r="P2134" s="7"/>
      <c r="Q2134" s="13"/>
      <c r="R2134" s="13"/>
      <c r="S2134" s="13"/>
      <c r="T2134" s="6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</row>
    <row r="2135">
      <c r="A2135" s="12">
        <v>58.0</v>
      </c>
      <c r="B2135" s="7" t="s">
        <v>404</v>
      </c>
      <c r="C2135" s="7" t="s">
        <v>1672</v>
      </c>
      <c r="I2135" s="10" t="s">
        <v>2452</v>
      </c>
      <c r="J2135" s="13" t="s">
        <v>1698</v>
      </c>
      <c r="K2135" s="13" t="s">
        <v>303</v>
      </c>
      <c r="L2135" s="13" t="s">
        <v>2448</v>
      </c>
      <c r="M2135" s="6" t="s">
        <v>188</v>
      </c>
      <c r="N2135" s="6" t="s">
        <v>188</v>
      </c>
      <c r="O2135" s="6" t="s">
        <v>190</v>
      </c>
      <c r="P2135" s="7"/>
      <c r="Q2135" s="13"/>
      <c r="R2135" s="13"/>
      <c r="S2135" s="13"/>
      <c r="T2135" s="6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</row>
    <row r="2136">
      <c r="A2136" s="12">
        <v>58.0</v>
      </c>
      <c r="B2136" s="7" t="s">
        <v>404</v>
      </c>
      <c r="C2136" s="7" t="s">
        <v>1672</v>
      </c>
      <c r="I2136" s="10" t="s">
        <v>2453</v>
      </c>
      <c r="J2136" s="13" t="s">
        <v>1686</v>
      </c>
      <c r="K2136" s="13" t="s">
        <v>303</v>
      </c>
      <c r="L2136" s="13" t="s">
        <v>2448</v>
      </c>
      <c r="M2136" s="6" t="s">
        <v>188</v>
      </c>
      <c r="N2136" s="6" t="s">
        <v>188</v>
      </c>
      <c r="O2136" s="6" t="s">
        <v>190</v>
      </c>
      <c r="P2136" s="7"/>
      <c r="Q2136" s="13"/>
      <c r="R2136" s="13"/>
      <c r="S2136" s="13"/>
      <c r="T2136" s="6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</row>
    <row r="2137">
      <c r="A2137" s="12">
        <v>58.0</v>
      </c>
      <c r="B2137" s="7" t="s">
        <v>404</v>
      </c>
      <c r="C2137" s="7" t="s">
        <v>1672</v>
      </c>
      <c r="I2137" s="10" t="s">
        <v>2062</v>
      </c>
      <c r="J2137" s="13" t="s">
        <v>1689</v>
      </c>
      <c r="K2137" s="13" t="s">
        <v>303</v>
      </c>
      <c r="L2137" s="13" t="s">
        <v>2448</v>
      </c>
      <c r="M2137" s="6" t="s">
        <v>188</v>
      </c>
      <c r="N2137" s="6" t="s">
        <v>188</v>
      </c>
      <c r="O2137" s="6" t="s">
        <v>190</v>
      </c>
      <c r="P2137" s="7"/>
      <c r="Q2137" s="13"/>
      <c r="R2137" s="13"/>
      <c r="S2137" s="13"/>
      <c r="T2137" s="6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</row>
    <row r="2138">
      <c r="A2138" s="12">
        <v>58.0</v>
      </c>
      <c r="B2138" s="7" t="s">
        <v>404</v>
      </c>
      <c r="C2138" s="7" t="s">
        <v>1672</v>
      </c>
      <c r="I2138" s="10" t="s">
        <v>1156</v>
      </c>
      <c r="J2138" s="13" t="s">
        <v>1693</v>
      </c>
      <c r="K2138" s="13" t="s">
        <v>303</v>
      </c>
      <c r="L2138" s="13" t="s">
        <v>2448</v>
      </c>
      <c r="M2138" s="6" t="s">
        <v>188</v>
      </c>
      <c r="N2138" s="6" t="s">
        <v>188</v>
      </c>
      <c r="O2138" s="6" t="s">
        <v>190</v>
      </c>
      <c r="P2138" s="7"/>
      <c r="Q2138" s="13"/>
      <c r="R2138" s="13"/>
      <c r="S2138" s="13"/>
      <c r="T2138" s="6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</row>
    <row r="2139">
      <c r="A2139" s="12">
        <v>58.0</v>
      </c>
      <c r="B2139" s="7" t="s">
        <v>404</v>
      </c>
      <c r="C2139" s="7" t="s">
        <v>1672</v>
      </c>
      <c r="I2139" s="10" t="s">
        <v>43</v>
      </c>
      <c r="J2139" s="13" t="s">
        <v>1698</v>
      </c>
      <c r="K2139" s="13" t="s">
        <v>303</v>
      </c>
      <c r="L2139" s="13" t="s">
        <v>2448</v>
      </c>
      <c r="M2139" s="6" t="s">
        <v>188</v>
      </c>
      <c r="N2139" s="6" t="s">
        <v>188</v>
      </c>
      <c r="O2139" s="6" t="s">
        <v>190</v>
      </c>
      <c r="P2139" s="7"/>
      <c r="Q2139" s="13"/>
      <c r="R2139" s="13"/>
      <c r="S2139" s="13"/>
      <c r="T2139" s="6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</row>
    <row r="2140">
      <c r="A2140" s="12">
        <v>58.0</v>
      </c>
      <c r="B2140" s="7" t="s">
        <v>404</v>
      </c>
      <c r="C2140" s="7" t="s">
        <v>1672</v>
      </c>
      <c r="I2140" s="10" t="s">
        <v>1713</v>
      </c>
      <c r="J2140" s="13" t="s">
        <v>1686</v>
      </c>
      <c r="K2140" s="13" t="s">
        <v>303</v>
      </c>
      <c r="L2140" s="13" t="s">
        <v>2448</v>
      </c>
      <c r="M2140" s="6" t="s">
        <v>188</v>
      </c>
      <c r="N2140" s="6" t="s">
        <v>188</v>
      </c>
      <c r="O2140" s="6" t="s">
        <v>190</v>
      </c>
      <c r="P2140" s="7"/>
      <c r="Q2140" s="13"/>
      <c r="R2140" s="13"/>
      <c r="S2140" s="13"/>
      <c r="T2140" s="6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</row>
    <row r="2141">
      <c r="A2141" s="12">
        <v>58.0</v>
      </c>
      <c r="B2141" s="7" t="s">
        <v>404</v>
      </c>
      <c r="C2141" s="7" t="s">
        <v>1672</v>
      </c>
      <c r="I2141" s="10" t="s">
        <v>1143</v>
      </c>
      <c r="J2141" s="13" t="s">
        <v>1689</v>
      </c>
      <c r="K2141" s="13" t="s">
        <v>303</v>
      </c>
      <c r="L2141" s="13" t="s">
        <v>2448</v>
      </c>
      <c r="M2141" s="6" t="s">
        <v>188</v>
      </c>
      <c r="N2141" s="6" t="s">
        <v>188</v>
      </c>
      <c r="O2141" s="6" t="s">
        <v>190</v>
      </c>
      <c r="P2141" s="7"/>
      <c r="Q2141" s="13"/>
      <c r="R2141" s="13"/>
      <c r="S2141" s="13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</row>
    <row r="2142">
      <c r="A2142" s="12">
        <v>59.0</v>
      </c>
      <c r="B2142" s="7" t="s">
        <v>567</v>
      </c>
      <c r="C2142" s="7" t="s">
        <v>1672</v>
      </c>
      <c r="D2142" s="26">
        <f>IF(COUNTIF($B$2:$B2142,$B2142)&gt;1,"",COUNTIF($B$2:$B$3400,$B2142))</f>
        <v>30</v>
      </c>
      <c r="E2142" s="26">
        <f>IF(COUNTIF($B$2:$B2142,$B2142)&gt;1,"",COUNTIFS($B$2:$B$3400,$B2142,$K$2:$K$3400,"PHÙ HỢP CAO"))</f>
        <v>2</v>
      </c>
      <c r="F2142" s="26">
        <f>IF(COUNTIF($B$2:$B2142,$B2142)&gt;1,"",COUNTIFS($B$2:$B$3400,$B2142,$K$2:$K$3400,"CÓ THỂ ĐI"))</f>
        <v>3</v>
      </c>
      <c r="G2142" s="26">
        <f>IF(COUNTIF($B$2:$B2142,$B2142)&gt;1,"",COUNTIFS($B$2:$B$3400,$B2142,$K$2:$K$3400,"CẦN SOÁT"))</f>
        <v>25</v>
      </c>
      <c r="H2142" s="27" t="str">
        <f>IFERROR(__xludf.DUMMYFUNCTION("IF(COUNTIF($B$2:$B2142,$B2142)&gt;1,"""",IFERROR(TEXTJOIN(CHAR(10),TRUE,BYROW(QUERY({$B$2:$B$3400,$J$2:$J$3400},""select Col2, count(Col2) where Col1 = '""&amp;$B2142&amp;""' group by Col2 order by count(Col2) desc label count(Col2) ''"",0),LAMBDA(r,INDEX(r,1,1)&amp;"" "&amp;"– ""&amp;INDEX(r,1,2)&amp;"" link""))),""""))"),"hồ sơ thủ tục xóa thế chấp – 8 link
thủ tục xóa thế chấp – 8 link
thủ tục giải chấp sổ đỏ – 7 link
xóa thế chấp sổ đỏ – 7 link")</f>
        <v>hồ sơ thủ tục xóa thế chấp – 8 link
thủ tục xóa thế chấp – 8 link
thủ tục giải chấp sổ đỏ – 7 link
xóa thế chấp sổ đỏ – 7 link</v>
      </c>
      <c r="I2142" s="10" t="s">
        <v>1704</v>
      </c>
      <c r="J2142" s="13" t="s">
        <v>1708</v>
      </c>
      <c r="K2142" s="13" t="s">
        <v>184</v>
      </c>
      <c r="L2142" s="13" t="s">
        <v>2454</v>
      </c>
      <c r="M2142" s="6" t="s">
        <v>188</v>
      </c>
      <c r="N2142" s="6" t="s">
        <v>188</v>
      </c>
      <c r="O2142" s="6" t="s">
        <v>190</v>
      </c>
      <c r="P2142" s="7"/>
      <c r="Q2142" s="13"/>
      <c r="R2142" s="13"/>
      <c r="S2142" s="13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</row>
    <row r="2143">
      <c r="A2143" s="12">
        <v>59.0</v>
      </c>
      <c r="B2143" s="7" t="s">
        <v>567</v>
      </c>
      <c r="C2143" s="7" t="s">
        <v>1672</v>
      </c>
      <c r="I2143" s="10" t="s">
        <v>1709</v>
      </c>
      <c r="J2143" s="13" t="s">
        <v>1712</v>
      </c>
      <c r="K2143" s="13" t="s">
        <v>184</v>
      </c>
      <c r="L2143" s="13" t="s">
        <v>2455</v>
      </c>
      <c r="M2143" s="6" t="s">
        <v>188</v>
      </c>
      <c r="N2143" s="6" t="s">
        <v>188</v>
      </c>
      <c r="O2143" s="6" t="s">
        <v>190</v>
      </c>
      <c r="P2143" s="7"/>
      <c r="Q2143" s="13"/>
      <c r="R2143" s="13"/>
      <c r="S2143" s="13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</row>
    <row r="2144">
      <c r="A2144" s="12">
        <v>59.0</v>
      </c>
      <c r="B2144" s="7" t="s">
        <v>567</v>
      </c>
      <c r="C2144" s="7" t="s">
        <v>1672</v>
      </c>
      <c r="I2144" s="10" t="s">
        <v>1713</v>
      </c>
      <c r="J2144" s="13" t="s">
        <v>1715</v>
      </c>
      <c r="K2144" s="13" t="s">
        <v>283</v>
      </c>
      <c r="L2144" s="13" t="s">
        <v>2456</v>
      </c>
      <c r="M2144" s="6" t="s">
        <v>188</v>
      </c>
      <c r="N2144" s="6" t="s">
        <v>188</v>
      </c>
      <c r="O2144" s="6" t="s">
        <v>190</v>
      </c>
      <c r="P2144" s="7"/>
      <c r="Q2144" s="13"/>
      <c r="R2144" s="13"/>
      <c r="S2144" s="13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</row>
    <row r="2145">
      <c r="A2145" s="12">
        <v>59.0</v>
      </c>
      <c r="B2145" s="7" t="s">
        <v>567</v>
      </c>
      <c r="C2145" s="7" t="s">
        <v>1672</v>
      </c>
      <c r="I2145" s="10" t="s">
        <v>1924</v>
      </c>
      <c r="J2145" s="13" t="s">
        <v>2457</v>
      </c>
      <c r="K2145" s="13" t="s">
        <v>283</v>
      </c>
      <c r="L2145" s="13" t="s">
        <v>2458</v>
      </c>
      <c r="M2145" s="6" t="s">
        <v>188</v>
      </c>
      <c r="N2145" s="6" t="s">
        <v>188</v>
      </c>
      <c r="O2145" s="6" t="s">
        <v>190</v>
      </c>
      <c r="P2145" s="7"/>
      <c r="Q2145" s="13"/>
      <c r="R2145" s="13"/>
      <c r="S2145" s="13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</row>
    <row r="2146">
      <c r="A2146" s="12">
        <v>59.0</v>
      </c>
      <c r="B2146" s="7" t="s">
        <v>567</v>
      </c>
      <c r="C2146" s="7" t="s">
        <v>1672</v>
      </c>
      <c r="I2146" s="10" t="s">
        <v>2451</v>
      </c>
      <c r="J2146" s="13" t="s">
        <v>1708</v>
      </c>
      <c r="K2146" s="13" t="s">
        <v>283</v>
      </c>
      <c r="L2146" s="13" t="s">
        <v>2459</v>
      </c>
      <c r="M2146" s="6" t="s">
        <v>188</v>
      </c>
      <c r="N2146" s="6" t="s">
        <v>188</v>
      </c>
      <c r="O2146" s="6" t="s">
        <v>190</v>
      </c>
      <c r="P2146" s="7"/>
      <c r="Q2146" s="13"/>
      <c r="R2146" s="13"/>
      <c r="S2146" s="13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</row>
    <row r="2147">
      <c r="A2147" s="12">
        <v>59.0</v>
      </c>
      <c r="B2147" s="7" t="s">
        <v>567</v>
      </c>
      <c r="C2147" s="7" t="s">
        <v>1672</v>
      </c>
      <c r="I2147" s="10" t="s">
        <v>2447</v>
      </c>
      <c r="J2147" s="13" t="s">
        <v>1712</v>
      </c>
      <c r="K2147" s="13" t="s">
        <v>303</v>
      </c>
      <c r="L2147" s="13" t="s">
        <v>2448</v>
      </c>
      <c r="M2147" s="6" t="s">
        <v>188</v>
      </c>
      <c r="N2147" s="6" t="s">
        <v>188</v>
      </c>
      <c r="O2147" s="6" t="s">
        <v>190</v>
      </c>
      <c r="P2147" s="7"/>
      <c r="Q2147" s="13"/>
      <c r="R2147" s="13"/>
      <c r="S2147" s="13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</row>
    <row r="2148">
      <c r="A2148" s="12">
        <v>59.0</v>
      </c>
      <c r="B2148" s="7" t="s">
        <v>567</v>
      </c>
      <c r="C2148" s="7" t="s">
        <v>1672</v>
      </c>
      <c r="I2148" s="10" t="s">
        <v>2449</v>
      </c>
      <c r="J2148" s="13" t="s">
        <v>1715</v>
      </c>
      <c r="K2148" s="13" t="s">
        <v>303</v>
      </c>
      <c r="L2148" s="13" t="s">
        <v>2448</v>
      </c>
      <c r="M2148" s="6" t="s">
        <v>188</v>
      </c>
      <c r="N2148" s="6" t="s">
        <v>188</v>
      </c>
      <c r="O2148" s="6" t="s">
        <v>190</v>
      </c>
      <c r="P2148" s="7"/>
      <c r="Q2148" s="13"/>
      <c r="R2148" s="13"/>
      <c r="S2148" s="13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</row>
    <row r="2149">
      <c r="A2149" s="12">
        <v>59.0</v>
      </c>
      <c r="B2149" s="7" t="s">
        <v>567</v>
      </c>
      <c r="C2149" s="7" t="s">
        <v>1672</v>
      </c>
      <c r="I2149" s="10" t="s">
        <v>2345</v>
      </c>
      <c r="J2149" s="13" t="s">
        <v>2457</v>
      </c>
      <c r="K2149" s="13" t="s">
        <v>303</v>
      </c>
      <c r="L2149" s="13" t="s">
        <v>2448</v>
      </c>
      <c r="M2149" s="6" t="s">
        <v>188</v>
      </c>
      <c r="N2149" s="6" t="s">
        <v>188</v>
      </c>
      <c r="O2149" s="6" t="s">
        <v>190</v>
      </c>
      <c r="P2149" s="7"/>
      <c r="Q2149" s="13"/>
      <c r="R2149" s="13"/>
      <c r="S2149" s="13"/>
      <c r="T2149" s="6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</row>
    <row r="2150">
      <c r="A2150" s="12">
        <v>59.0</v>
      </c>
      <c r="B2150" s="7" t="s">
        <v>567</v>
      </c>
      <c r="C2150" s="7" t="s">
        <v>1672</v>
      </c>
      <c r="I2150" s="10" t="s">
        <v>387</v>
      </c>
      <c r="J2150" s="13" t="s">
        <v>1708</v>
      </c>
      <c r="K2150" s="13" t="s">
        <v>303</v>
      </c>
      <c r="L2150" s="13" t="s">
        <v>2448</v>
      </c>
      <c r="M2150" s="6" t="s">
        <v>188</v>
      </c>
      <c r="N2150" s="6" t="s">
        <v>188</v>
      </c>
      <c r="O2150" s="6" t="s">
        <v>190</v>
      </c>
      <c r="P2150" s="7"/>
      <c r="Q2150" s="13"/>
      <c r="R2150" s="13"/>
      <c r="S2150" s="13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</row>
    <row r="2151">
      <c r="A2151" s="12">
        <v>59.0</v>
      </c>
      <c r="B2151" s="7" t="s">
        <v>567</v>
      </c>
      <c r="C2151" s="7" t="s">
        <v>1672</v>
      </c>
      <c r="I2151" s="10" t="s">
        <v>373</v>
      </c>
      <c r="J2151" s="13" t="s">
        <v>1712</v>
      </c>
      <c r="K2151" s="13" t="s">
        <v>303</v>
      </c>
      <c r="L2151" s="13" t="s">
        <v>2448</v>
      </c>
      <c r="M2151" s="6" t="s">
        <v>188</v>
      </c>
      <c r="N2151" s="6" t="s">
        <v>188</v>
      </c>
      <c r="O2151" s="6" t="s">
        <v>190</v>
      </c>
      <c r="P2151" s="7"/>
      <c r="Q2151" s="13"/>
      <c r="R2151" s="13"/>
      <c r="S2151" s="13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</row>
    <row r="2152">
      <c r="A2152" s="12">
        <v>59.0</v>
      </c>
      <c r="B2152" s="7" t="s">
        <v>567</v>
      </c>
      <c r="C2152" s="7" t="s">
        <v>1672</v>
      </c>
      <c r="I2152" s="10" t="s">
        <v>481</v>
      </c>
      <c r="J2152" s="13" t="s">
        <v>1715</v>
      </c>
      <c r="K2152" s="13" t="s">
        <v>303</v>
      </c>
      <c r="L2152" s="13" t="s">
        <v>2448</v>
      </c>
      <c r="M2152" s="6" t="s">
        <v>188</v>
      </c>
      <c r="N2152" s="6" t="s">
        <v>188</v>
      </c>
      <c r="O2152" s="6" t="s">
        <v>190</v>
      </c>
      <c r="P2152" s="7"/>
      <c r="Q2152" s="13"/>
      <c r="R2152" s="13"/>
      <c r="S2152" s="13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</row>
    <row r="2153">
      <c r="A2153" s="12">
        <v>59.0</v>
      </c>
      <c r="B2153" s="7" t="s">
        <v>567</v>
      </c>
      <c r="C2153" s="7" t="s">
        <v>1672</v>
      </c>
      <c r="I2153" s="10" t="s">
        <v>2348</v>
      </c>
      <c r="J2153" s="13" t="s">
        <v>2457</v>
      </c>
      <c r="K2153" s="13" t="s">
        <v>303</v>
      </c>
      <c r="L2153" s="13" t="s">
        <v>2448</v>
      </c>
      <c r="M2153" s="6" t="s">
        <v>188</v>
      </c>
      <c r="N2153" s="6" t="s">
        <v>188</v>
      </c>
      <c r="O2153" s="6" t="s">
        <v>190</v>
      </c>
      <c r="P2153" s="7"/>
      <c r="Q2153" s="13"/>
      <c r="R2153" s="13"/>
      <c r="S2153" s="13"/>
      <c r="T2153" s="6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</row>
    <row r="2154">
      <c r="A2154" s="12">
        <v>59.0</v>
      </c>
      <c r="B2154" s="7" t="s">
        <v>567</v>
      </c>
      <c r="C2154" s="7" t="s">
        <v>1672</v>
      </c>
      <c r="I2154" s="10" t="s">
        <v>1338</v>
      </c>
      <c r="J2154" s="13" t="s">
        <v>1708</v>
      </c>
      <c r="K2154" s="13" t="s">
        <v>303</v>
      </c>
      <c r="L2154" s="13" t="s">
        <v>2448</v>
      </c>
      <c r="M2154" s="6" t="s">
        <v>188</v>
      </c>
      <c r="N2154" s="6" t="s">
        <v>188</v>
      </c>
      <c r="O2154" s="6" t="s">
        <v>190</v>
      </c>
      <c r="P2154" s="7"/>
      <c r="Q2154" s="13"/>
      <c r="R2154" s="13"/>
      <c r="S2154" s="13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</row>
    <row r="2155">
      <c r="A2155" s="12">
        <v>59.0</v>
      </c>
      <c r="B2155" s="7" t="s">
        <v>567</v>
      </c>
      <c r="C2155" s="7" t="s">
        <v>1672</v>
      </c>
      <c r="I2155" s="10" t="s">
        <v>1699</v>
      </c>
      <c r="J2155" s="13" t="s">
        <v>1712</v>
      </c>
      <c r="K2155" s="13" t="s">
        <v>303</v>
      </c>
      <c r="L2155" s="13" t="s">
        <v>2448</v>
      </c>
      <c r="M2155" s="6" t="s">
        <v>188</v>
      </c>
      <c r="N2155" s="6" t="s">
        <v>188</v>
      </c>
      <c r="O2155" s="6" t="s">
        <v>190</v>
      </c>
      <c r="P2155" s="7"/>
      <c r="Q2155" s="13"/>
      <c r="R2155" s="13"/>
      <c r="S2155" s="13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</row>
    <row r="2156">
      <c r="A2156" s="12">
        <v>59.0</v>
      </c>
      <c r="B2156" s="7" t="s">
        <v>567</v>
      </c>
      <c r="C2156" s="7" t="s">
        <v>1672</v>
      </c>
      <c r="I2156" s="10" t="s">
        <v>1751</v>
      </c>
      <c r="J2156" s="13" t="s">
        <v>1715</v>
      </c>
      <c r="K2156" s="13" t="s">
        <v>303</v>
      </c>
      <c r="L2156" s="13" t="s">
        <v>2460</v>
      </c>
      <c r="M2156" s="6" t="s">
        <v>188</v>
      </c>
      <c r="N2156" s="6" t="s">
        <v>188</v>
      </c>
      <c r="O2156" s="6" t="s">
        <v>190</v>
      </c>
      <c r="P2156" s="7"/>
      <c r="Q2156" s="13"/>
      <c r="R2156" s="13"/>
      <c r="S2156" s="13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</row>
    <row r="2157">
      <c r="A2157" s="12">
        <v>59.0</v>
      </c>
      <c r="B2157" s="7" t="s">
        <v>567</v>
      </c>
      <c r="C2157" s="7" t="s">
        <v>1672</v>
      </c>
      <c r="I2157" s="10" t="s">
        <v>2079</v>
      </c>
      <c r="J2157" s="13" t="s">
        <v>2457</v>
      </c>
      <c r="K2157" s="13" t="s">
        <v>303</v>
      </c>
      <c r="L2157" s="13" t="s">
        <v>2448</v>
      </c>
      <c r="M2157" s="6" t="s">
        <v>188</v>
      </c>
      <c r="N2157" s="6" t="s">
        <v>188</v>
      </c>
      <c r="O2157" s="6" t="s">
        <v>190</v>
      </c>
      <c r="P2157" s="7"/>
      <c r="Q2157" s="13"/>
      <c r="R2157" s="13"/>
      <c r="S2157" s="13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</row>
    <row r="2158">
      <c r="A2158" s="12">
        <v>59.0</v>
      </c>
      <c r="B2158" s="7" t="s">
        <v>567</v>
      </c>
      <c r="C2158" s="7" t="s">
        <v>1672</v>
      </c>
      <c r="I2158" s="10" t="s">
        <v>395</v>
      </c>
      <c r="J2158" s="13" t="s">
        <v>1708</v>
      </c>
      <c r="K2158" s="13" t="s">
        <v>303</v>
      </c>
      <c r="L2158" s="13" t="s">
        <v>2448</v>
      </c>
      <c r="M2158" s="6" t="s">
        <v>188</v>
      </c>
      <c r="N2158" s="6" t="s">
        <v>188</v>
      </c>
      <c r="O2158" s="6" t="s">
        <v>190</v>
      </c>
      <c r="P2158" s="7"/>
      <c r="Q2158" s="13"/>
      <c r="R2158" s="13"/>
      <c r="S2158" s="13"/>
      <c r="T2158" s="6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</row>
    <row r="2159">
      <c r="A2159" s="12">
        <v>59.0</v>
      </c>
      <c r="B2159" s="7" t="s">
        <v>567</v>
      </c>
      <c r="C2159" s="7" t="s">
        <v>1672</v>
      </c>
      <c r="I2159" s="10" t="s">
        <v>525</v>
      </c>
      <c r="J2159" s="13" t="s">
        <v>1712</v>
      </c>
      <c r="K2159" s="13" t="s">
        <v>303</v>
      </c>
      <c r="L2159" s="13" t="s">
        <v>2448</v>
      </c>
      <c r="M2159" s="6" t="s">
        <v>188</v>
      </c>
      <c r="N2159" s="6" t="s">
        <v>188</v>
      </c>
      <c r="O2159" s="6" t="s">
        <v>190</v>
      </c>
      <c r="P2159" s="7"/>
      <c r="Q2159" s="13"/>
      <c r="R2159" s="13"/>
      <c r="S2159" s="13"/>
      <c r="T2159" s="6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</row>
    <row r="2160">
      <c r="A2160" s="12">
        <v>59.0</v>
      </c>
      <c r="B2160" s="7" t="s">
        <v>567</v>
      </c>
      <c r="C2160" s="7" t="s">
        <v>1672</v>
      </c>
      <c r="I2160" s="10" t="s">
        <v>1690</v>
      </c>
      <c r="J2160" s="13" t="s">
        <v>1715</v>
      </c>
      <c r="K2160" s="13" t="s">
        <v>303</v>
      </c>
      <c r="L2160" s="13" t="s">
        <v>2448</v>
      </c>
      <c r="M2160" s="6" t="s">
        <v>188</v>
      </c>
      <c r="N2160" s="6" t="s">
        <v>188</v>
      </c>
      <c r="O2160" s="6" t="s">
        <v>190</v>
      </c>
      <c r="P2160" s="7"/>
      <c r="Q2160" s="13"/>
      <c r="R2160" s="13"/>
      <c r="S2160" s="13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</row>
    <row r="2161">
      <c r="A2161" s="12">
        <v>59.0</v>
      </c>
      <c r="B2161" s="7" t="s">
        <v>567</v>
      </c>
      <c r="C2161" s="7" t="s">
        <v>1672</v>
      </c>
      <c r="I2161" s="10" t="s">
        <v>270</v>
      </c>
      <c r="J2161" s="13" t="s">
        <v>2457</v>
      </c>
      <c r="K2161" s="13" t="s">
        <v>303</v>
      </c>
      <c r="L2161" s="13" t="s">
        <v>2448</v>
      </c>
      <c r="M2161" s="6" t="s">
        <v>188</v>
      </c>
      <c r="N2161" s="6" t="s">
        <v>188</v>
      </c>
      <c r="O2161" s="6" t="s">
        <v>190</v>
      </c>
      <c r="P2161" s="7"/>
      <c r="Q2161" s="13"/>
      <c r="R2161" s="13"/>
      <c r="S2161" s="13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</row>
    <row r="2162">
      <c r="A2162" s="12">
        <v>59.0</v>
      </c>
      <c r="B2162" s="7" t="s">
        <v>567</v>
      </c>
      <c r="C2162" s="7" t="s">
        <v>1672</v>
      </c>
      <c r="I2162" s="10" t="s">
        <v>1116</v>
      </c>
      <c r="J2162" s="13" t="s">
        <v>1708</v>
      </c>
      <c r="K2162" s="13" t="s">
        <v>303</v>
      </c>
      <c r="L2162" s="13" t="s">
        <v>2448</v>
      </c>
      <c r="M2162" s="6" t="s">
        <v>188</v>
      </c>
      <c r="N2162" s="6" t="s">
        <v>188</v>
      </c>
      <c r="O2162" s="6" t="s">
        <v>190</v>
      </c>
      <c r="P2162" s="7"/>
      <c r="Q2162" s="13"/>
      <c r="R2162" s="13"/>
      <c r="S2162" s="13"/>
      <c r="T2162" s="6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</row>
    <row r="2163">
      <c r="A2163" s="12">
        <v>59.0</v>
      </c>
      <c r="B2163" s="7" t="s">
        <v>567</v>
      </c>
      <c r="C2163" s="7" t="s">
        <v>1672</v>
      </c>
      <c r="I2163" s="10" t="s">
        <v>404</v>
      </c>
      <c r="J2163" s="13" t="s">
        <v>1712</v>
      </c>
      <c r="K2163" s="13" t="s">
        <v>303</v>
      </c>
      <c r="L2163" s="13" t="s">
        <v>2450</v>
      </c>
      <c r="M2163" s="6" t="s">
        <v>188</v>
      </c>
      <c r="N2163" s="6" t="s">
        <v>188</v>
      </c>
      <c r="O2163" s="6" t="s">
        <v>190</v>
      </c>
      <c r="P2163" s="7"/>
      <c r="Q2163" s="13"/>
      <c r="R2163" s="13"/>
      <c r="S2163" s="13"/>
      <c r="T2163" s="6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</row>
    <row r="2164">
      <c r="A2164" s="12">
        <v>59.0</v>
      </c>
      <c r="B2164" s="7" t="s">
        <v>567</v>
      </c>
      <c r="C2164" s="7" t="s">
        <v>1672</v>
      </c>
      <c r="I2164" s="10" t="s">
        <v>1423</v>
      </c>
      <c r="J2164" s="13" t="s">
        <v>1715</v>
      </c>
      <c r="K2164" s="13" t="s">
        <v>303</v>
      </c>
      <c r="L2164" s="13" t="s">
        <v>2460</v>
      </c>
      <c r="M2164" s="6" t="s">
        <v>188</v>
      </c>
      <c r="N2164" s="6" t="s">
        <v>188</v>
      </c>
      <c r="O2164" s="6" t="s">
        <v>190</v>
      </c>
      <c r="P2164" s="7"/>
      <c r="Q2164" s="13"/>
      <c r="R2164" s="13"/>
      <c r="S2164" s="13"/>
      <c r="T2164" s="6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</row>
    <row r="2165">
      <c r="A2165" s="12">
        <v>59.0</v>
      </c>
      <c r="B2165" s="7" t="s">
        <v>567</v>
      </c>
      <c r="C2165" s="7" t="s">
        <v>1672</v>
      </c>
      <c r="I2165" s="10" t="s">
        <v>247</v>
      </c>
      <c r="J2165" s="13" t="s">
        <v>2457</v>
      </c>
      <c r="K2165" s="13" t="s">
        <v>303</v>
      </c>
      <c r="L2165" s="13" t="s">
        <v>2448</v>
      </c>
      <c r="M2165" s="6" t="s">
        <v>188</v>
      </c>
      <c r="N2165" s="6" t="s">
        <v>188</v>
      </c>
      <c r="O2165" s="6" t="s">
        <v>190</v>
      </c>
      <c r="P2165" s="7"/>
      <c r="Q2165" s="13"/>
      <c r="R2165" s="13"/>
      <c r="S2165" s="13"/>
      <c r="T2165" s="6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</row>
    <row r="2166">
      <c r="A2166" s="12">
        <v>59.0</v>
      </c>
      <c r="B2166" s="7" t="s">
        <v>567</v>
      </c>
      <c r="C2166" s="7" t="s">
        <v>1672</v>
      </c>
      <c r="I2166" s="10" t="s">
        <v>426</v>
      </c>
      <c r="J2166" s="13" t="s">
        <v>1708</v>
      </c>
      <c r="K2166" s="13" t="s">
        <v>303</v>
      </c>
      <c r="L2166" s="13" t="s">
        <v>2448</v>
      </c>
      <c r="M2166" s="6" t="s">
        <v>188</v>
      </c>
      <c r="N2166" s="6" t="s">
        <v>188</v>
      </c>
      <c r="O2166" s="6" t="s">
        <v>190</v>
      </c>
      <c r="P2166" s="7"/>
      <c r="Q2166" s="13"/>
      <c r="R2166" s="13"/>
      <c r="S2166" s="13"/>
      <c r="T2166" s="6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</row>
    <row r="2167">
      <c r="A2167" s="12">
        <v>59.0</v>
      </c>
      <c r="B2167" s="7" t="s">
        <v>567</v>
      </c>
      <c r="C2167" s="7" t="s">
        <v>1672</v>
      </c>
      <c r="I2167" s="10" t="s">
        <v>1890</v>
      </c>
      <c r="J2167" s="13" t="s">
        <v>1712</v>
      </c>
      <c r="K2167" s="13" t="s">
        <v>303</v>
      </c>
      <c r="L2167" s="13" t="s">
        <v>2460</v>
      </c>
      <c r="M2167" s="6" t="s">
        <v>188</v>
      </c>
      <c r="N2167" s="6" t="s">
        <v>188</v>
      </c>
      <c r="O2167" s="6" t="s">
        <v>190</v>
      </c>
      <c r="P2167" s="7"/>
      <c r="Q2167" s="13"/>
      <c r="R2167" s="13"/>
      <c r="S2167" s="13"/>
      <c r="T2167" s="6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</row>
    <row r="2168">
      <c r="A2168" s="12">
        <v>59.0</v>
      </c>
      <c r="B2168" s="7" t="s">
        <v>567</v>
      </c>
      <c r="C2168" s="7" t="s">
        <v>1672</v>
      </c>
      <c r="I2168" s="10" t="s">
        <v>1377</v>
      </c>
      <c r="J2168" s="13" t="s">
        <v>1715</v>
      </c>
      <c r="K2168" s="13" t="s">
        <v>303</v>
      </c>
      <c r="L2168" s="13" t="s">
        <v>2448</v>
      </c>
      <c r="M2168" s="6" t="s">
        <v>188</v>
      </c>
      <c r="N2168" s="6" t="s">
        <v>188</v>
      </c>
      <c r="O2168" s="6" t="s">
        <v>190</v>
      </c>
      <c r="P2168" s="7"/>
      <c r="Q2168" s="13"/>
      <c r="R2168" s="13"/>
      <c r="S2168" s="13"/>
      <c r="T2168" s="6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</row>
    <row r="2169">
      <c r="A2169" s="12">
        <v>59.0</v>
      </c>
      <c r="B2169" s="7" t="s">
        <v>567</v>
      </c>
      <c r="C2169" s="7" t="s">
        <v>1672</v>
      </c>
      <c r="I2169" s="10" t="s">
        <v>604</v>
      </c>
      <c r="J2169" s="13" t="s">
        <v>2457</v>
      </c>
      <c r="K2169" s="13" t="s">
        <v>303</v>
      </c>
      <c r="L2169" s="13" t="s">
        <v>2450</v>
      </c>
      <c r="M2169" s="6" t="s">
        <v>188</v>
      </c>
      <c r="N2169" s="6" t="s">
        <v>188</v>
      </c>
      <c r="O2169" s="6" t="s">
        <v>190</v>
      </c>
      <c r="P2169" s="7"/>
      <c r="Q2169" s="13"/>
      <c r="R2169" s="13"/>
      <c r="S2169" s="13"/>
      <c r="T2169" s="6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</row>
    <row r="2170">
      <c r="A2170" s="12">
        <v>59.0</v>
      </c>
      <c r="B2170" s="7" t="s">
        <v>567</v>
      </c>
      <c r="C2170" s="7" t="s">
        <v>1672</v>
      </c>
      <c r="I2170" s="10" t="s">
        <v>1754</v>
      </c>
      <c r="J2170" s="13" t="s">
        <v>1708</v>
      </c>
      <c r="K2170" s="13" t="s">
        <v>303</v>
      </c>
      <c r="L2170" s="13" t="s">
        <v>2460</v>
      </c>
      <c r="M2170" s="6" t="s">
        <v>188</v>
      </c>
      <c r="N2170" s="6" t="s">
        <v>188</v>
      </c>
      <c r="O2170" s="6" t="s">
        <v>190</v>
      </c>
      <c r="P2170" s="7"/>
      <c r="Q2170" s="13"/>
      <c r="R2170" s="13"/>
      <c r="S2170" s="13"/>
      <c r="T2170" s="6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</row>
    <row r="2171">
      <c r="A2171" s="12">
        <v>59.0</v>
      </c>
      <c r="B2171" s="7" t="s">
        <v>567</v>
      </c>
      <c r="C2171" s="7" t="s">
        <v>1672</v>
      </c>
      <c r="I2171" s="10" t="s">
        <v>2452</v>
      </c>
      <c r="J2171" s="13" t="s">
        <v>1712</v>
      </c>
      <c r="K2171" s="13" t="s">
        <v>303</v>
      </c>
      <c r="L2171" s="13" t="s">
        <v>2448</v>
      </c>
      <c r="M2171" s="6" t="s">
        <v>188</v>
      </c>
      <c r="N2171" s="6" t="s">
        <v>188</v>
      </c>
      <c r="O2171" s="6" t="s">
        <v>190</v>
      </c>
      <c r="P2171" s="7"/>
      <c r="Q2171" s="13"/>
      <c r="R2171" s="13"/>
      <c r="S2171" s="13"/>
      <c r="T2171" s="6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</row>
    <row r="2172">
      <c r="A2172" s="12">
        <v>60.0</v>
      </c>
      <c r="B2172" s="7" t="s">
        <v>594</v>
      </c>
      <c r="C2172" s="7" t="s">
        <v>1717</v>
      </c>
      <c r="D2172" s="26">
        <f>IF(COUNTIF($B$2:$B2172,$B2172)&gt;1,"",COUNTIF($B$2:$B$3400,$B2172))</f>
        <v>200</v>
      </c>
      <c r="E2172" s="26">
        <f>IF(COUNTIF($B$2:$B2172,$B2172)&gt;1,"",COUNTIFS($B$2:$B$3400,$B2172,$K$2:$K$3400,"PHÙ HỢP CAO"))</f>
        <v>4</v>
      </c>
      <c r="F2172" s="26">
        <f>IF(COUNTIF($B$2:$B2172,$B2172)&gt;1,"",COUNTIFS($B$2:$B$3400,$B2172,$K$2:$K$3400,"CÓ THỂ ĐI"))</f>
        <v>1</v>
      </c>
      <c r="G2172" s="26">
        <f>IF(COUNTIF($B$2:$B2172,$B2172)&gt;1,"",COUNTIFS($B$2:$B$3400,$B2172,$K$2:$K$3400,"CẦN SOÁT"))</f>
        <v>195</v>
      </c>
      <c r="H2172" s="27" t="str">
        <f>IFERROR(__xludf.DUMMYFUNCTION("IF(COUNTIF($B$2:$B2172,$B2172)&gt;1,"""",IFERROR(TEXTJOIN(CHAR(10),TRUE,BYROW(QUERY({$B$2:$B$3400,$J$2:$J$3400},""select Col2, count(Col2) where Col1 = '""&amp;$B2172&amp;""' group by Col2 order by count(Col2) desc label count(Col2) ''"",0),LAMBDA(r,INDEX(r,1,1)&amp;"" "&amp;"– ""&amp;INDEX(r,1,2)&amp;"" link""))),""""))"),"lãi suất ngân hàng – 29 link
lãi suất ngân hàng hiện nay – 29 link
lãi suất ngân hàng hôm nay – 29 link
lãi suất ngân hàng nào cao nhất – 29 link
lãi suất gửi tiết kiệm ngân hàng – 28 link
lãi suất ngân hàng tiền gửi – 28 link
lãi suất tiền gửi ngân hàng "&amp;"– 28 link")</f>
        <v>lãi suất ngân hàng – 29 link
lãi suất ngân hàng hiện nay – 29 link
lãi suất ngân hàng hôm nay – 29 link
lãi suất ngân hàng nào cao nhất – 29 link
lãi suất gửi tiết kiệm ngân hàng – 28 link
lãi suất ngân hàng tiền gửi – 28 link
lãi suất tiền gửi ngân hàng – 28 link</v>
      </c>
      <c r="I2172" s="10" t="s">
        <v>1718</v>
      </c>
      <c r="J2172" s="13" t="s">
        <v>763</v>
      </c>
      <c r="K2172" s="13" t="s">
        <v>184</v>
      </c>
      <c r="L2172" s="13" t="s">
        <v>2461</v>
      </c>
      <c r="M2172" s="6" t="s">
        <v>188</v>
      </c>
      <c r="N2172" s="6" t="s">
        <v>188</v>
      </c>
      <c r="O2172" s="6" t="s">
        <v>190</v>
      </c>
      <c r="P2172" s="7"/>
      <c r="Q2172" s="13"/>
      <c r="R2172" s="13"/>
      <c r="S2172" s="13"/>
      <c r="T2172" s="6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</row>
    <row r="2173">
      <c r="A2173" s="12">
        <v>60.0</v>
      </c>
      <c r="B2173" s="7" t="s">
        <v>594</v>
      </c>
      <c r="C2173" s="7" t="s">
        <v>1717</v>
      </c>
      <c r="I2173" s="10" t="s">
        <v>1723</v>
      </c>
      <c r="J2173" s="13" t="s">
        <v>764</v>
      </c>
      <c r="K2173" s="13" t="s">
        <v>184</v>
      </c>
      <c r="L2173" s="13" t="s">
        <v>2462</v>
      </c>
      <c r="M2173" s="6" t="s">
        <v>188</v>
      </c>
      <c r="N2173" s="6" t="s">
        <v>188</v>
      </c>
      <c r="O2173" s="6" t="s">
        <v>190</v>
      </c>
      <c r="P2173" s="7"/>
      <c r="Q2173" s="13"/>
      <c r="R2173" s="13"/>
      <c r="S2173" s="13"/>
      <c r="T2173" s="6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</row>
    <row r="2174">
      <c r="A2174" s="12">
        <v>60.0</v>
      </c>
      <c r="B2174" s="7" t="s">
        <v>594</v>
      </c>
      <c r="C2174" s="7" t="s">
        <v>1717</v>
      </c>
      <c r="I2174" s="10" t="s">
        <v>1727</v>
      </c>
      <c r="J2174" s="13" t="s">
        <v>765</v>
      </c>
      <c r="K2174" s="13" t="s">
        <v>184</v>
      </c>
      <c r="L2174" s="13" t="s">
        <v>2463</v>
      </c>
      <c r="M2174" s="6" t="s">
        <v>188</v>
      </c>
      <c r="N2174" s="6" t="s">
        <v>188</v>
      </c>
      <c r="O2174" s="6" t="s">
        <v>190</v>
      </c>
      <c r="P2174" s="7"/>
      <c r="Q2174" s="13"/>
      <c r="R2174" s="13"/>
      <c r="S2174" s="13"/>
      <c r="T2174" s="6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  <c r="AE2174" s="7"/>
    </row>
    <row r="2175">
      <c r="A2175" s="12">
        <v>60.0</v>
      </c>
      <c r="B2175" s="7" t="s">
        <v>594</v>
      </c>
      <c r="C2175" s="7" t="s">
        <v>1717</v>
      </c>
      <c r="I2175" s="10" t="s">
        <v>1731</v>
      </c>
      <c r="J2175" s="13" t="s">
        <v>766</v>
      </c>
      <c r="K2175" s="13" t="s">
        <v>184</v>
      </c>
      <c r="L2175" s="13" t="s">
        <v>2464</v>
      </c>
      <c r="M2175" s="6" t="s">
        <v>188</v>
      </c>
      <c r="N2175" s="6" t="s">
        <v>188</v>
      </c>
      <c r="O2175" s="6" t="s">
        <v>190</v>
      </c>
      <c r="P2175" s="7"/>
      <c r="Q2175" s="13"/>
      <c r="R2175" s="13"/>
      <c r="S2175" s="13"/>
      <c r="T2175" s="6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</row>
    <row r="2176">
      <c r="A2176" s="12">
        <v>60.0</v>
      </c>
      <c r="B2176" s="7" t="s">
        <v>594</v>
      </c>
      <c r="C2176" s="7" t="s">
        <v>1717</v>
      </c>
      <c r="I2176" s="10" t="s">
        <v>1733</v>
      </c>
      <c r="J2176" s="13" t="s">
        <v>767</v>
      </c>
      <c r="K2176" s="13" t="s">
        <v>283</v>
      </c>
      <c r="L2176" s="13" t="s">
        <v>2465</v>
      </c>
      <c r="M2176" s="6" t="s">
        <v>188</v>
      </c>
      <c r="N2176" s="6" t="s">
        <v>188</v>
      </c>
      <c r="O2176" s="6" t="s">
        <v>190</v>
      </c>
      <c r="P2176" s="7"/>
      <c r="Q2176" s="13"/>
      <c r="R2176" s="13"/>
      <c r="S2176" s="13"/>
      <c r="T2176" s="6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</row>
    <row r="2177">
      <c r="A2177" s="12">
        <v>60.0</v>
      </c>
      <c r="B2177" s="7" t="s">
        <v>594</v>
      </c>
      <c r="C2177" s="7" t="s">
        <v>1717</v>
      </c>
      <c r="I2177" s="10" t="s">
        <v>598</v>
      </c>
      <c r="J2177" s="13" t="s">
        <v>768</v>
      </c>
      <c r="K2177" s="13" t="s">
        <v>303</v>
      </c>
      <c r="L2177" s="13" t="s">
        <v>2466</v>
      </c>
      <c r="M2177" s="6" t="s">
        <v>188</v>
      </c>
      <c r="N2177" s="6" t="s">
        <v>188</v>
      </c>
      <c r="O2177" s="6" t="s">
        <v>190</v>
      </c>
      <c r="P2177" s="7"/>
      <c r="Q2177" s="13"/>
      <c r="R2177" s="13"/>
      <c r="S2177" s="13"/>
      <c r="T2177" s="6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  <c r="AE2177" s="7"/>
    </row>
    <row r="2178">
      <c r="A2178" s="12">
        <v>60.0</v>
      </c>
      <c r="B2178" s="7" t="s">
        <v>594</v>
      </c>
      <c r="C2178" s="7" t="s">
        <v>1717</v>
      </c>
      <c r="I2178" s="10" t="s">
        <v>1773</v>
      </c>
      <c r="J2178" s="13" t="s">
        <v>770</v>
      </c>
      <c r="K2178" s="13" t="s">
        <v>303</v>
      </c>
      <c r="L2178" s="13" t="s">
        <v>2175</v>
      </c>
      <c r="M2178" s="6" t="s">
        <v>188</v>
      </c>
      <c r="N2178" s="6" t="s">
        <v>188</v>
      </c>
      <c r="O2178" s="6" t="s">
        <v>190</v>
      </c>
      <c r="P2178" s="7"/>
      <c r="Q2178" s="13"/>
      <c r="R2178" s="13"/>
      <c r="S2178" s="13"/>
      <c r="T2178" s="6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</row>
    <row r="2179">
      <c r="A2179" s="12">
        <v>60.0</v>
      </c>
      <c r="B2179" s="7" t="s">
        <v>594</v>
      </c>
      <c r="C2179" s="7" t="s">
        <v>1717</v>
      </c>
      <c r="I2179" s="10" t="s">
        <v>2176</v>
      </c>
      <c r="J2179" s="13" t="s">
        <v>763</v>
      </c>
      <c r="K2179" s="13" t="s">
        <v>303</v>
      </c>
      <c r="L2179" s="13" t="s">
        <v>2175</v>
      </c>
      <c r="M2179" s="6" t="s">
        <v>188</v>
      </c>
      <c r="N2179" s="6" t="s">
        <v>188</v>
      </c>
      <c r="O2179" s="6" t="s">
        <v>190</v>
      </c>
      <c r="P2179" s="7"/>
      <c r="Q2179" s="13"/>
      <c r="R2179" s="13"/>
      <c r="S2179" s="13"/>
      <c r="T2179" s="6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</row>
    <row r="2180">
      <c r="A2180" s="12">
        <v>60.0</v>
      </c>
      <c r="B2180" s="7" t="s">
        <v>594</v>
      </c>
      <c r="C2180" s="7" t="s">
        <v>1717</v>
      </c>
      <c r="I2180" s="10" t="s">
        <v>2177</v>
      </c>
      <c r="J2180" s="13" t="s">
        <v>764</v>
      </c>
      <c r="K2180" s="13" t="s">
        <v>303</v>
      </c>
      <c r="L2180" s="13" t="s">
        <v>2175</v>
      </c>
      <c r="M2180" s="6" t="s">
        <v>188</v>
      </c>
      <c r="N2180" s="6" t="s">
        <v>188</v>
      </c>
      <c r="O2180" s="6" t="s">
        <v>190</v>
      </c>
      <c r="P2180" s="7"/>
      <c r="Q2180" s="13"/>
      <c r="R2180" s="13"/>
      <c r="S2180" s="13"/>
      <c r="T2180" s="6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</row>
    <row r="2181">
      <c r="A2181" s="12">
        <v>60.0</v>
      </c>
      <c r="B2181" s="7" t="s">
        <v>594</v>
      </c>
      <c r="C2181" s="7" t="s">
        <v>1717</v>
      </c>
      <c r="I2181" s="10" t="s">
        <v>2467</v>
      </c>
      <c r="J2181" s="13" t="s">
        <v>765</v>
      </c>
      <c r="K2181" s="13" t="s">
        <v>303</v>
      </c>
      <c r="L2181" s="13" t="s">
        <v>2466</v>
      </c>
      <c r="M2181" s="6" t="s">
        <v>188</v>
      </c>
      <c r="N2181" s="6" t="s">
        <v>188</v>
      </c>
      <c r="O2181" s="6" t="s">
        <v>190</v>
      </c>
      <c r="P2181" s="7"/>
      <c r="Q2181" s="13"/>
      <c r="R2181" s="13"/>
      <c r="S2181" s="13"/>
      <c r="T2181" s="6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</row>
    <row r="2182">
      <c r="A2182" s="12">
        <v>60.0</v>
      </c>
      <c r="B2182" s="7" t="s">
        <v>594</v>
      </c>
      <c r="C2182" s="7" t="s">
        <v>1717</v>
      </c>
      <c r="I2182" s="10" t="s">
        <v>2178</v>
      </c>
      <c r="J2182" s="13" t="s">
        <v>766</v>
      </c>
      <c r="K2182" s="13" t="s">
        <v>303</v>
      </c>
      <c r="L2182" s="13" t="s">
        <v>2175</v>
      </c>
      <c r="M2182" s="6" t="s">
        <v>188</v>
      </c>
      <c r="N2182" s="6" t="s">
        <v>188</v>
      </c>
      <c r="O2182" s="6" t="s">
        <v>190</v>
      </c>
      <c r="P2182" s="7"/>
      <c r="Q2182" s="13"/>
      <c r="R2182" s="13"/>
      <c r="S2182" s="13"/>
      <c r="T2182" s="6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</row>
    <row r="2183">
      <c r="A2183" s="12">
        <v>60.0</v>
      </c>
      <c r="B2183" s="7" t="s">
        <v>594</v>
      </c>
      <c r="C2183" s="7" t="s">
        <v>1717</v>
      </c>
      <c r="I2183" s="10" t="s">
        <v>1837</v>
      </c>
      <c r="J2183" s="13" t="s">
        <v>767</v>
      </c>
      <c r="K2183" s="13" t="s">
        <v>303</v>
      </c>
      <c r="L2183" s="13" t="s">
        <v>2175</v>
      </c>
      <c r="M2183" s="6" t="s">
        <v>188</v>
      </c>
      <c r="N2183" s="6" t="s">
        <v>188</v>
      </c>
      <c r="O2183" s="6" t="s">
        <v>190</v>
      </c>
      <c r="P2183" s="7"/>
      <c r="Q2183" s="13"/>
      <c r="R2183" s="13"/>
      <c r="S2183" s="13"/>
      <c r="T2183" s="6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</row>
    <row r="2184">
      <c r="A2184" s="12">
        <v>60.0</v>
      </c>
      <c r="B2184" s="7" t="s">
        <v>594</v>
      </c>
      <c r="C2184" s="7" t="s">
        <v>1717</v>
      </c>
      <c r="I2184" s="10" t="s">
        <v>1746</v>
      </c>
      <c r="J2184" s="13" t="s">
        <v>768</v>
      </c>
      <c r="K2184" s="13" t="s">
        <v>303</v>
      </c>
      <c r="L2184" s="13" t="s">
        <v>2466</v>
      </c>
      <c r="M2184" s="6" t="s">
        <v>188</v>
      </c>
      <c r="N2184" s="6" t="s">
        <v>188</v>
      </c>
      <c r="O2184" s="6" t="s">
        <v>190</v>
      </c>
      <c r="P2184" s="7"/>
      <c r="Q2184" s="13"/>
      <c r="R2184" s="13"/>
      <c r="S2184" s="13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</row>
    <row r="2185">
      <c r="A2185" s="12">
        <v>60.0</v>
      </c>
      <c r="B2185" s="7" t="s">
        <v>594</v>
      </c>
      <c r="C2185" s="7" t="s">
        <v>1717</v>
      </c>
      <c r="I2185" s="10" t="s">
        <v>2074</v>
      </c>
      <c r="J2185" s="13" t="s">
        <v>770</v>
      </c>
      <c r="K2185" s="13" t="s">
        <v>303</v>
      </c>
      <c r="L2185" s="13" t="s">
        <v>2466</v>
      </c>
      <c r="M2185" s="6" t="s">
        <v>188</v>
      </c>
      <c r="N2185" s="6" t="s">
        <v>188</v>
      </c>
      <c r="O2185" s="6" t="s">
        <v>190</v>
      </c>
      <c r="P2185" s="7"/>
      <c r="Q2185" s="13"/>
      <c r="R2185" s="13"/>
      <c r="S2185" s="13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</row>
    <row r="2186">
      <c r="A2186" s="12">
        <v>60.0</v>
      </c>
      <c r="B2186" s="7" t="s">
        <v>594</v>
      </c>
      <c r="C2186" s="7" t="s">
        <v>1717</v>
      </c>
      <c r="I2186" s="10" t="s">
        <v>1797</v>
      </c>
      <c r="J2186" s="13" t="s">
        <v>763</v>
      </c>
      <c r="K2186" s="13" t="s">
        <v>303</v>
      </c>
      <c r="L2186" s="13" t="s">
        <v>2175</v>
      </c>
      <c r="M2186" s="6" t="s">
        <v>188</v>
      </c>
      <c r="N2186" s="6" t="s">
        <v>188</v>
      </c>
      <c r="O2186" s="6" t="s">
        <v>190</v>
      </c>
      <c r="P2186" s="7"/>
      <c r="Q2186" s="13"/>
      <c r="R2186" s="13"/>
      <c r="S2186" s="13"/>
      <c r="T2186" s="6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</row>
    <row r="2187">
      <c r="A2187" s="12">
        <v>60.0</v>
      </c>
      <c r="B2187" s="7" t="s">
        <v>594</v>
      </c>
      <c r="C2187" s="7" t="s">
        <v>1717</v>
      </c>
      <c r="I2187" s="10" t="s">
        <v>2184</v>
      </c>
      <c r="J2187" s="13" t="s">
        <v>764</v>
      </c>
      <c r="K2187" s="13" t="s">
        <v>303</v>
      </c>
      <c r="L2187" s="13" t="s">
        <v>2175</v>
      </c>
      <c r="M2187" s="6" t="s">
        <v>188</v>
      </c>
      <c r="N2187" s="6" t="s">
        <v>188</v>
      </c>
      <c r="O2187" s="6" t="s">
        <v>190</v>
      </c>
      <c r="P2187" s="7"/>
      <c r="Q2187" s="13"/>
      <c r="R2187" s="13"/>
      <c r="S2187" s="13"/>
      <c r="T2187" s="6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</row>
    <row r="2188">
      <c r="A2188" s="12">
        <v>60.0</v>
      </c>
      <c r="B2188" s="7" t="s">
        <v>594</v>
      </c>
      <c r="C2188" s="7" t="s">
        <v>1717</v>
      </c>
      <c r="I2188" s="10" t="s">
        <v>1806</v>
      </c>
      <c r="J2188" s="13" t="s">
        <v>765</v>
      </c>
      <c r="K2188" s="13" t="s">
        <v>303</v>
      </c>
      <c r="L2188" s="13" t="s">
        <v>2175</v>
      </c>
      <c r="M2188" s="6" t="s">
        <v>188</v>
      </c>
      <c r="N2188" s="6" t="s">
        <v>188</v>
      </c>
      <c r="O2188" s="6" t="s">
        <v>190</v>
      </c>
      <c r="P2188" s="7"/>
      <c r="Q2188" s="13"/>
      <c r="R2188" s="13"/>
      <c r="S2188" s="13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</row>
    <row r="2189">
      <c r="A2189" s="12">
        <v>60.0</v>
      </c>
      <c r="B2189" s="7" t="s">
        <v>594</v>
      </c>
      <c r="C2189" s="7" t="s">
        <v>1717</v>
      </c>
      <c r="I2189" s="10" t="s">
        <v>1115</v>
      </c>
      <c r="J2189" s="13" t="s">
        <v>766</v>
      </c>
      <c r="K2189" s="13" t="s">
        <v>303</v>
      </c>
      <c r="L2189" s="13" t="s">
        <v>2175</v>
      </c>
      <c r="M2189" s="6" t="s">
        <v>188</v>
      </c>
      <c r="N2189" s="6" t="s">
        <v>188</v>
      </c>
      <c r="O2189" s="6" t="s">
        <v>190</v>
      </c>
      <c r="P2189" s="7"/>
      <c r="Q2189" s="13"/>
      <c r="R2189" s="13"/>
      <c r="S2189" s="13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</row>
    <row r="2190">
      <c r="A2190" s="12">
        <v>60.0</v>
      </c>
      <c r="B2190" s="7" t="s">
        <v>594</v>
      </c>
      <c r="C2190" s="7" t="s">
        <v>1717</v>
      </c>
      <c r="I2190" s="10" t="s">
        <v>2186</v>
      </c>
      <c r="J2190" s="13" t="s">
        <v>767</v>
      </c>
      <c r="K2190" s="13" t="s">
        <v>303</v>
      </c>
      <c r="L2190" s="13" t="s">
        <v>2193</v>
      </c>
      <c r="M2190" s="6" t="s">
        <v>188</v>
      </c>
      <c r="N2190" s="6" t="s">
        <v>188</v>
      </c>
      <c r="O2190" s="6" t="s">
        <v>190</v>
      </c>
      <c r="P2190" s="7"/>
      <c r="Q2190" s="13"/>
      <c r="R2190" s="13"/>
      <c r="S2190" s="13"/>
      <c r="T2190" s="6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</row>
    <row r="2191">
      <c r="A2191" s="12">
        <v>60.0</v>
      </c>
      <c r="B2191" s="7" t="s">
        <v>594</v>
      </c>
      <c r="C2191" s="7" t="s">
        <v>1717</v>
      </c>
      <c r="I2191" s="10" t="s">
        <v>2468</v>
      </c>
      <c r="J2191" s="13" t="s">
        <v>768</v>
      </c>
      <c r="K2191" s="13" t="s">
        <v>303</v>
      </c>
      <c r="L2191" s="13" t="s">
        <v>2466</v>
      </c>
      <c r="M2191" s="6" t="s">
        <v>188</v>
      </c>
      <c r="N2191" s="6" t="s">
        <v>188</v>
      </c>
      <c r="O2191" s="6" t="s">
        <v>190</v>
      </c>
      <c r="P2191" s="7"/>
      <c r="Q2191" s="13"/>
      <c r="R2191" s="13"/>
      <c r="S2191" s="13"/>
      <c r="T2191" s="6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  <c r="AE2191" s="7"/>
    </row>
    <row r="2192">
      <c r="A2192" s="12">
        <v>60.0</v>
      </c>
      <c r="B2192" s="7" t="s">
        <v>594</v>
      </c>
      <c r="C2192" s="7" t="s">
        <v>1717</v>
      </c>
      <c r="I2192" s="10" t="s">
        <v>1833</v>
      </c>
      <c r="J2192" s="13" t="s">
        <v>770</v>
      </c>
      <c r="K2192" s="13" t="s">
        <v>303</v>
      </c>
      <c r="L2192" s="13" t="s">
        <v>2175</v>
      </c>
      <c r="M2192" s="6" t="s">
        <v>188</v>
      </c>
      <c r="N2192" s="6" t="s">
        <v>188</v>
      </c>
      <c r="O2192" s="6" t="s">
        <v>190</v>
      </c>
      <c r="P2192" s="7"/>
      <c r="Q2192" s="13"/>
      <c r="R2192" s="13"/>
      <c r="S2192" s="13"/>
      <c r="T2192" s="6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</row>
    <row r="2193">
      <c r="A2193" s="12">
        <v>60.0</v>
      </c>
      <c r="B2193" s="7" t="s">
        <v>594</v>
      </c>
      <c r="C2193" s="7" t="s">
        <v>1717</v>
      </c>
      <c r="I2193" s="10" t="s">
        <v>1740</v>
      </c>
      <c r="J2193" s="13" t="s">
        <v>763</v>
      </c>
      <c r="K2193" s="13" t="s">
        <v>303</v>
      </c>
      <c r="L2193" s="13" t="s">
        <v>2175</v>
      </c>
      <c r="M2193" s="6" t="s">
        <v>188</v>
      </c>
      <c r="N2193" s="6" t="s">
        <v>188</v>
      </c>
      <c r="O2193" s="6" t="s">
        <v>190</v>
      </c>
      <c r="P2193" s="7"/>
      <c r="Q2193" s="13"/>
      <c r="R2193" s="13"/>
      <c r="S2193" s="13"/>
      <c r="T2193" s="6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</row>
    <row r="2194">
      <c r="A2194" s="12">
        <v>60.0</v>
      </c>
      <c r="B2194" s="7" t="s">
        <v>594</v>
      </c>
      <c r="C2194" s="7" t="s">
        <v>1717</v>
      </c>
      <c r="I2194" s="10" t="s">
        <v>601</v>
      </c>
      <c r="J2194" s="13" t="s">
        <v>764</v>
      </c>
      <c r="K2194" s="13" t="s">
        <v>303</v>
      </c>
      <c r="L2194" s="13" t="s">
        <v>2175</v>
      </c>
      <c r="M2194" s="6" t="s">
        <v>188</v>
      </c>
      <c r="N2194" s="6" t="s">
        <v>188</v>
      </c>
      <c r="O2194" s="6" t="s">
        <v>190</v>
      </c>
      <c r="P2194" s="7"/>
      <c r="Q2194" s="13"/>
      <c r="R2194" s="13"/>
      <c r="S2194" s="13"/>
      <c r="T2194" s="6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</row>
    <row r="2195">
      <c r="A2195" s="12">
        <v>60.0</v>
      </c>
      <c r="B2195" s="7" t="s">
        <v>594</v>
      </c>
      <c r="C2195" s="7" t="s">
        <v>1717</v>
      </c>
      <c r="I2195" s="10" t="s">
        <v>595</v>
      </c>
      <c r="J2195" s="13" t="s">
        <v>765</v>
      </c>
      <c r="K2195" s="13" t="s">
        <v>303</v>
      </c>
      <c r="L2195" s="13" t="s">
        <v>2469</v>
      </c>
      <c r="M2195" s="6" t="s">
        <v>188</v>
      </c>
      <c r="N2195" s="6" t="s">
        <v>188</v>
      </c>
      <c r="O2195" s="6" t="s">
        <v>190</v>
      </c>
      <c r="P2195" s="7"/>
      <c r="Q2195" s="13"/>
      <c r="R2195" s="13"/>
      <c r="S2195" s="13"/>
      <c r="T2195" s="6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  <c r="AE2195" s="7"/>
    </row>
    <row r="2196">
      <c r="A2196" s="12">
        <v>60.0</v>
      </c>
      <c r="B2196" s="7" t="s">
        <v>594</v>
      </c>
      <c r="C2196" s="7" t="s">
        <v>1717</v>
      </c>
      <c r="I2196" s="10" t="s">
        <v>2194</v>
      </c>
      <c r="J2196" s="13" t="s">
        <v>766</v>
      </c>
      <c r="K2196" s="13" t="s">
        <v>303</v>
      </c>
      <c r="L2196" s="13" t="s">
        <v>2193</v>
      </c>
      <c r="M2196" s="6" t="s">
        <v>188</v>
      </c>
      <c r="N2196" s="6" t="s">
        <v>188</v>
      </c>
      <c r="O2196" s="6" t="s">
        <v>190</v>
      </c>
      <c r="P2196" s="7"/>
      <c r="Q2196" s="13"/>
      <c r="R2196" s="13"/>
      <c r="S2196" s="13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</row>
    <row r="2197">
      <c r="A2197" s="12">
        <v>60.0</v>
      </c>
      <c r="B2197" s="7" t="s">
        <v>594</v>
      </c>
      <c r="C2197" s="7" t="s">
        <v>1717</v>
      </c>
      <c r="I2197" s="10" t="s">
        <v>1765</v>
      </c>
      <c r="J2197" s="13" t="s">
        <v>767</v>
      </c>
      <c r="K2197" s="13" t="s">
        <v>303</v>
      </c>
      <c r="L2197" s="13" t="s">
        <v>2466</v>
      </c>
      <c r="M2197" s="6" t="s">
        <v>188</v>
      </c>
      <c r="N2197" s="6" t="s">
        <v>188</v>
      </c>
      <c r="O2197" s="6" t="s">
        <v>190</v>
      </c>
      <c r="P2197" s="7"/>
      <c r="Q2197" s="13"/>
      <c r="R2197" s="13"/>
      <c r="S2197" s="13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  <c r="AE2197" s="7"/>
    </row>
    <row r="2198">
      <c r="A2198" s="12">
        <v>60.0</v>
      </c>
      <c r="B2198" s="7" t="s">
        <v>594</v>
      </c>
      <c r="C2198" s="7" t="s">
        <v>1717</v>
      </c>
      <c r="I2198" s="10" t="s">
        <v>1360</v>
      </c>
      <c r="J2198" s="13" t="s">
        <v>768</v>
      </c>
      <c r="K2198" s="13" t="s">
        <v>303</v>
      </c>
      <c r="L2198" s="13" t="s">
        <v>2175</v>
      </c>
      <c r="M2198" s="6" t="s">
        <v>188</v>
      </c>
      <c r="N2198" s="6" t="s">
        <v>188</v>
      </c>
      <c r="O2198" s="6" t="s">
        <v>190</v>
      </c>
      <c r="P2198" s="7"/>
      <c r="Q2198" s="13"/>
      <c r="R2198" s="13"/>
      <c r="S2198" s="13"/>
      <c r="T2198" s="6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</row>
    <row r="2199">
      <c r="A2199" s="12">
        <v>60.0</v>
      </c>
      <c r="B2199" s="7" t="s">
        <v>594</v>
      </c>
      <c r="C2199" s="7" t="s">
        <v>1717</v>
      </c>
      <c r="I2199" s="10" t="s">
        <v>1808</v>
      </c>
      <c r="J2199" s="13" t="s">
        <v>770</v>
      </c>
      <c r="K2199" s="13" t="s">
        <v>303</v>
      </c>
      <c r="L2199" s="13" t="s">
        <v>2175</v>
      </c>
      <c r="M2199" s="6" t="s">
        <v>188</v>
      </c>
      <c r="N2199" s="6" t="s">
        <v>188</v>
      </c>
      <c r="O2199" s="6" t="s">
        <v>190</v>
      </c>
      <c r="P2199" s="7"/>
      <c r="Q2199" s="13"/>
      <c r="R2199" s="13"/>
      <c r="S2199" s="13"/>
      <c r="T2199" s="6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  <c r="AE2199" s="7"/>
    </row>
    <row r="2200">
      <c r="A2200" s="12">
        <v>60.0</v>
      </c>
      <c r="B2200" s="7" t="s">
        <v>594</v>
      </c>
      <c r="C2200" s="7" t="s">
        <v>1717</v>
      </c>
      <c r="I2200" s="10" t="s">
        <v>1744</v>
      </c>
      <c r="J2200" s="13" t="s">
        <v>763</v>
      </c>
      <c r="K2200" s="13" t="s">
        <v>303</v>
      </c>
      <c r="L2200" s="13" t="s">
        <v>2175</v>
      </c>
      <c r="M2200" s="6" t="s">
        <v>188</v>
      </c>
      <c r="N2200" s="6" t="s">
        <v>188</v>
      </c>
      <c r="O2200" s="6" t="s">
        <v>190</v>
      </c>
      <c r="P2200" s="7"/>
      <c r="Q2200" s="13"/>
      <c r="R2200" s="13"/>
      <c r="S2200" s="13"/>
      <c r="T2200" s="6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</row>
    <row r="2201">
      <c r="A2201" s="12">
        <v>60.0</v>
      </c>
      <c r="B2201" s="7" t="s">
        <v>594</v>
      </c>
      <c r="C2201" s="7" t="s">
        <v>1717</v>
      </c>
      <c r="I2201" s="10" t="s">
        <v>2470</v>
      </c>
      <c r="J2201" s="13" t="s">
        <v>764</v>
      </c>
      <c r="K2201" s="13" t="s">
        <v>303</v>
      </c>
      <c r="L2201" s="13" t="s">
        <v>2466</v>
      </c>
      <c r="M2201" s="6" t="s">
        <v>188</v>
      </c>
      <c r="N2201" s="6" t="s">
        <v>188</v>
      </c>
      <c r="O2201" s="6" t="s">
        <v>190</v>
      </c>
      <c r="P2201" s="7"/>
      <c r="Q2201" s="13"/>
      <c r="R2201" s="13"/>
      <c r="S2201" s="13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  <c r="AE2201" s="7"/>
    </row>
    <row r="2202">
      <c r="A2202" s="12">
        <v>60.0</v>
      </c>
      <c r="B2202" s="7" t="s">
        <v>594</v>
      </c>
      <c r="C2202" s="7" t="s">
        <v>1717</v>
      </c>
      <c r="I2202" s="10" t="s">
        <v>1800</v>
      </c>
      <c r="J2202" s="13" t="s">
        <v>765</v>
      </c>
      <c r="K2202" s="13" t="s">
        <v>303</v>
      </c>
      <c r="L2202" s="13" t="s">
        <v>2175</v>
      </c>
      <c r="M2202" s="6" t="s">
        <v>188</v>
      </c>
      <c r="N2202" s="6" t="s">
        <v>188</v>
      </c>
      <c r="O2202" s="6" t="s">
        <v>190</v>
      </c>
      <c r="P2202" s="7"/>
      <c r="Q2202" s="13"/>
      <c r="R2202" s="13"/>
      <c r="S2202" s="13"/>
      <c r="T2202" s="6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</row>
    <row r="2203">
      <c r="A2203" s="12">
        <v>60.0</v>
      </c>
      <c r="B2203" s="7" t="s">
        <v>594</v>
      </c>
      <c r="C2203" s="7" t="s">
        <v>1717</v>
      </c>
      <c r="I2203" s="10" t="s">
        <v>1804</v>
      </c>
      <c r="J2203" s="13" t="s">
        <v>766</v>
      </c>
      <c r="K2203" s="13" t="s">
        <v>303</v>
      </c>
      <c r="L2203" s="13" t="s">
        <v>2175</v>
      </c>
      <c r="M2203" s="6" t="s">
        <v>188</v>
      </c>
      <c r="N2203" s="6" t="s">
        <v>188</v>
      </c>
      <c r="O2203" s="6" t="s">
        <v>190</v>
      </c>
      <c r="P2203" s="7"/>
      <c r="Q2203" s="13"/>
      <c r="R2203" s="13"/>
      <c r="S2203" s="13"/>
      <c r="T2203" s="6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</row>
    <row r="2204">
      <c r="A2204" s="12">
        <v>60.0</v>
      </c>
      <c r="B2204" s="7" t="s">
        <v>594</v>
      </c>
      <c r="C2204" s="7" t="s">
        <v>1717</v>
      </c>
      <c r="I2204" s="10" t="s">
        <v>1754</v>
      </c>
      <c r="J2204" s="13" t="s">
        <v>767</v>
      </c>
      <c r="K2204" s="13" t="s">
        <v>303</v>
      </c>
      <c r="L2204" s="13" t="s">
        <v>2175</v>
      </c>
      <c r="M2204" s="6" t="s">
        <v>188</v>
      </c>
      <c r="N2204" s="6" t="s">
        <v>188</v>
      </c>
      <c r="O2204" s="6" t="s">
        <v>190</v>
      </c>
      <c r="P2204" s="7"/>
      <c r="Q2204" s="13"/>
      <c r="R2204" s="13"/>
      <c r="S2204" s="13"/>
      <c r="T2204" s="6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</row>
    <row r="2205">
      <c r="A2205" s="12">
        <v>60.0</v>
      </c>
      <c r="B2205" s="7" t="s">
        <v>594</v>
      </c>
      <c r="C2205" s="7" t="s">
        <v>1717</v>
      </c>
      <c r="I2205" s="10" t="s">
        <v>2471</v>
      </c>
      <c r="J2205" s="13" t="s">
        <v>768</v>
      </c>
      <c r="K2205" s="13" t="s">
        <v>303</v>
      </c>
      <c r="L2205" s="13" t="s">
        <v>2175</v>
      </c>
      <c r="M2205" s="6" t="s">
        <v>188</v>
      </c>
      <c r="N2205" s="6" t="s">
        <v>188</v>
      </c>
      <c r="O2205" s="6" t="s">
        <v>190</v>
      </c>
      <c r="P2205" s="7"/>
      <c r="Q2205" s="13"/>
      <c r="R2205" s="13"/>
      <c r="S2205" s="13"/>
      <c r="T2205" s="6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</row>
    <row r="2206">
      <c r="A2206" s="12">
        <v>60.0</v>
      </c>
      <c r="B2206" s="7" t="s">
        <v>594</v>
      </c>
      <c r="C2206" s="7" t="s">
        <v>1717</v>
      </c>
      <c r="I2206" s="10" t="s">
        <v>1398</v>
      </c>
      <c r="J2206" s="13" t="s">
        <v>770</v>
      </c>
      <c r="K2206" s="13" t="s">
        <v>303</v>
      </c>
      <c r="L2206" s="13" t="s">
        <v>2472</v>
      </c>
      <c r="M2206" s="6" t="s">
        <v>188</v>
      </c>
      <c r="N2206" s="6" t="s">
        <v>188</v>
      </c>
      <c r="O2206" s="6" t="s">
        <v>190</v>
      </c>
      <c r="P2206" s="7"/>
      <c r="Q2206" s="13"/>
      <c r="R2206" s="13"/>
      <c r="S2206" s="13"/>
      <c r="T2206" s="6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  <c r="AE2206" s="7"/>
    </row>
    <row r="2207">
      <c r="A2207" s="12">
        <v>60.0</v>
      </c>
      <c r="B2207" s="7" t="s">
        <v>594</v>
      </c>
      <c r="C2207" s="7" t="s">
        <v>1717</v>
      </c>
      <c r="I2207" s="10" t="s">
        <v>1427</v>
      </c>
      <c r="J2207" s="13" t="s">
        <v>763</v>
      </c>
      <c r="K2207" s="13" t="s">
        <v>303</v>
      </c>
      <c r="L2207" s="13" t="s">
        <v>2466</v>
      </c>
      <c r="M2207" s="6" t="s">
        <v>188</v>
      </c>
      <c r="N2207" s="6" t="s">
        <v>188</v>
      </c>
      <c r="O2207" s="6" t="s">
        <v>190</v>
      </c>
      <c r="P2207" s="7"/>
      <c r="Q2207" s="13"/>
      <c r="R2207" s="13"/>
      <c r="S2207" s="13"/>
      <c r="T2207" s="6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</row>
    <row r="2208">
      <c r="A2208" s="12">
        <v>60.0</v>
      </c>
      <c r="B2208" s="7" t="s">
        <v>594</v>
      </c>
      <c r="C2208" s="7" t="s">
        <v>1717</v>
      </c>
      <c r="I2208" s="10" t="s">
        <v>2199</v>
      </c>
      <c r="J2208" s="13" t="s">
        <v>764</v>
      </c>
      <c r="K2208" s="13" t="s">
        <v>303</v>
      </c>
      <c r="L2208" s="13" t="s">
        <v>2175</v>
      </c>
      <c r="M2208" s="6" t="s">
        <v>188</v>
      </c>
      <c r="N2208" s="6" t="s">
        <v>188</v>
      </c>
      <c r="O2208" s="6" t="s">
        <v>190</v>
      </c>
      <c r="P2208" s="7"/>
      <c r="Q2208" s="13"/>
      <c r="R2208" s="13"/>
      <c r="S2208" s="13"/>
      <c r="T2208" s="6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</row>
    <row r="2209">
      <c r="A2209" s="12">
        <v>60.0</v>
      </c>
      <c r="B2209" s="7" t="s">
        <v>594</v>
      </c>
      <c r="C2209" s="7" t="s">
        <v>1717</v>
      </c>
      <c r="I2209" s="10" t="s">
        <v>752</v>
      </c>
      <c r="J2209" s="13" t="s">
        <v>765</v>
      </c>
      <c r="K2209" s="13" t="s">
        <v>303</v>
      </c>
      <c r="L2209" s="13" t="s">
        <v>2175</v>
      </c>
      <c r="M2209" s="6" t="s">
        <v>188</v>
      </c>
      <c r="N2209" s="6" t="s">
        <v>188</v>
      </c>
      <c r="O2209" s="6" t="s">
        <v>190</v>
      </c>
      <c r="P2209" s="7"/>
      <c r="Q2209" s="13"/>
      <c r="R2209" s="13"/>
      <c r="S2209" s="13"/>
      <c r="T2209" s="6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  <c r="AE2209" s="7"/>
    </row>
    <row r="2210">
      <c r="A2210" s="12">
        <v>60.0</v>
      </c>
      <c r="B2210" s="7" t="s">
        <v>594</v>
      </c>
      <c r="C2210" s="7" t="s">
        <v>1717</v>
      </c>
      <c r="I2210" s="10" t="s">
        <v>2073</v>
      </c>
      <c r="J2210" s="13" t="s">
        <v>766</v>
      </c>
      <c r="K2210" s="13" t="s">
        <v>303</v>
      </c>
      <c r="L2210" s="13" t="s">
        <v>2466</v>
      </c>
      <c r="M2210" s="6" t="s">
        <v>188</v>
      </c>
      <c r="N2210" s="6" t="s">
        <v>188</v>
      </c>
      <c r="O2210" s="6" t="s">
        <v>190</v>
      </c>
      <c r="P2210" s="7"/>
      <c r="Q2210" s="13"/>
      <c r="R2210" s="13"/>
      <c r="S2210" s="13"/>
      <c r="T2210" s="6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</row>
    <row r="2211">
      <c r="A2211" s="12">
        <v>60.0</v>
      </c>
      <c r="B2211" s="7" t="s">
        <v>594</v>
      </c>
      <c r="C2211" s="7" t="s">
        <v>1717</v>
      </c>
      <c r="I2211" s="10" t="s">
        <v>1459</v>
      </c>
      <c r="J2211" s="13" t="s">
        <v>767</v>
      </c>
      <c r="K2211" s="13" t="s">
        <v>303</v>
      </c>
      <c r="L2211" s="13" t="s">
        <v>2473</v>
      </c>
      <c r="M2211" s="6" t="s">
        <v>188</v>
      </c>
      <c r="N2211" s="6" t="s">
        <v>188</v>
      </c>
      <c r="O2211" s="6" t="s">
        <v>190</v>
      </c>
      <c r="P2211" s="7"/>
      <c r="Q2211" s="13"/>
      <c r="R2211" s="13"/>
      <c r="S2211" s="13"/>
      <c r="T2211" s="6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</row>
    <row r="2212">
      <c r="A2212" s="12">
        <v>60.0</v>
      </c>
      <c r="B2212" s="7" t="s">
        <v>594</v>
      </c>
      <c r="C2212" s="7" t="s">
        <v>1717</v>
      </c>
      <c r="I2212" s="10" t="s">
        <v>2236</v>
      </c>
      <c r="J2212" s="13" t="s">
        <v>768</v>
      </c>
      <c r="K2212" s="13" t="s">
        <v>303</v>
      </c>
      <c r="L2212" s="13" t="s">
        <v>2175</v>
      </c>
      <c r="M2212" s="6" t="s">
        <v>188</v>
      </c>
      <c r="N2212" s="6" t="s">
        <v>188</v>
      </c>
      <c r="O2212" s="6" t="s">
        <v>190</v>
      </c>
      <c r="P2212" s="7"/>
      <c r="Q2212" s="13"/>
      <c r="R2212" s="13"/>
      <c r="S2212" s="13"/>
      <c r="T2212" s="6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</row>
    <row r="2213">
      <c r="A2213" s="12">
        <v>60.0</v>
      </c>
      <c r="B2213" s="7" t="s">
        <v>594</v>
      </c>
      <c r="C2213" s="7" t="s">
        <v>1717</v>
      </c>
      <c r="I2213" s="10" t="s">
        <v>2474</v>
      </c>
      <c r="J2213" s="13" t="s">
        <v>770</v>
      </c>
      <c r="K2213" s="13" t="s">
        <v>303</v>
      </c>
      <c r="L2213" s="13" t="s">
        <v>2466</v>
      </c>
      <c r="M2213" s="6" t="s">
        <v>188</v>
      </c>
      <c r="N2213" s="6" t="s">
        <v>188</v>
      </c>
      <c r="O2213" s="6" t="s">
        <v>190</v>
      </c>
      <c r="P2213" s="7"/>
      <c r="Q2213" s="13"/>
      <c r="R2213" s="13"/>
      <c r="S2213" s="13"/>
      <c r="T2213" s="6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</row>
    <row r="2214">
      <c r="A2214" s="12">
        <v>60.0</v>
      </c>
      <c r="B2214" s="7" t="s">
        <v>594</v>
      </c>
      <c r="C2214" s="7" t="s">
        <v>1717</v>
      </c>
      <c r="I2214" s="13" t="s">
        <v>551</v>
      </c>
      <c r="J2214" s="13" t="s">
        <v>763</v>
      </c>
      <c r="K2214" s="13" t="s">
        <v>303</v>
      </c>
      <c r="L2214" s="13" t="s">
        <v>2475</v>
      </c>
      <c r="M2214" s="6" t="s">
        <v>188</v>
      </c>
      <c r="N2214" s="6" t="s">
        <v>188</v>
      </c>
      <c r="O2214" s="6" t="s">
        <v>190</v>
      </c>
      <c r="P2214" s="7" t="s">
        <v>333</v>
      </c>
      <c r="Q2214" s="13"/>
      <c r="R2214" s="13"/>
      <c r="S2214" s="13"/>
      <c r="T2214" s="6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</row>
    <row r="2215">
      <c r="A2215" s="12">
        <v>60.0</v>
      </c>
      <c r="B2215" s="7" t="s">
        <v>594</v>
      </c>
      <c r="C2215" s="7" t="s">
        <v>1717</v>
      </c>
      <c r="I2215" s="13" t="s">
        <v>2476</v>
      </c>
      <c r="J2215" s="13" t="s">
        <v>764</v>
      </c>
      <c r="K2215" s="13" t="s">
        <v>303</v>
      </c>
      <c r="L2215" s="13" t="s">
        <v>2477</v>
      </c>
      <c r="M2215" s="6" t="s">
        <v>188</v>
      </c>
      <c r="N2215" s="6" t="s">
        <v>188</v>
      </c>
      <c r="O2215" s="6" t="s">
        <v>190</v>
      </c>
      <c r="P2215" s="7" t="s">
        <v>333</v>
      </c>
      <c r="Q2215" s="13"/>
      <c r="R2215" s="13"/>
      <c r="S2215" s="13"/>
      <c r="T2215" s="6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</row>
    <row r="2216">
      <c r="A2216" s="12">
        <v>60.0</v>
      </c>
      <c r="B2216" s="7" t="s">
        <v>594</v>
      </c>
      <c r="C2216" s="7" t="s">
        <v>1717</v>
      </c>
      <c r="I2216" s="13" t="s">
        <v>1136</v>
      </c>
      <c r="J2216" s="13" t="s">
        <v>765</v>
      </c>
      <c r="K2216" s="13" t="s">
        <v>303</v>
      </c>
      <c r="L2216" s="13" t="s">
        <v>2200</v>
      </c>
      <c r="M2216" s="6" t="s">
        <v>188</v>
      </c>
      <c r="N2216" s="6" t="s">
        <v>188</v>
      </c>
      <c r="O2216" s="6" t="s">
        <v>190</v>
      </c>
      <c r="P2216" s="7" t="s">
        <v>333</v>
      </c>
      <c r="Q2216" s="13"/>
      <c r="R2216" s="13"/>
      <c r="S2216" s="13"/>
      <c r="T2216" s="6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  <c r="AE2216" s="7"/>
    </row>
    <row r="2217">
      <c r="A2217" s="12">
        <v>60.0</v>
      </c>
      <c r="B2217" s="7" t="s">
        <v>594</v>
      </c>
      <c r="C2217" s="7" t="s">
        <v>1717</v>
      </c>
      <c r="I2217" s="13" t="s">
        <v>1751</v>
      </c>
      <c r="J2217" s="13" t="s">
        <v>766</v>
      </c>
      <c r="K2217" s="13" t="s">
        <v>303</v>
      </c>
      <c r="L2217" s="13" t="s">
        <v>2200</v>
      </c>
      <c r="M2217" s="6" t="s">
        <v>188</v>
      </c>
      <c r="N2217" s="6" t="s">
        <v>188</v>
      </c>
      <c r="O2217" s="6" t="s">
        <v>190</v>
      </c>
      <c r="P2217" s="7" t="s">
        <v>333</v>
      </c>
      <c r="Q2217" s="13"/>
      <c r="R2217" s="13"/>
      <c r="S2217" s="13"/>
      <c r="T2217" s="6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</row>
    <row r="2218">
      <c r="A2218" s="12">
        <v>60.0</v>
      </c>
      <c r="B2218" s="7" t="s">
        <v>594</v>
      </c>
      <c r="C2218" s="7" t="s">
        <v>1717</v>
      </c>
      <c r="I2218" s="13" t="s">
        <v>2015</v>
      </c>
      <c r="J2218" s="13" t="s">
        <v>767</v>
      </c>
      <c r="K2218" s="13" t="s">
        <v>303</v>
      </c>
      <c r="L2218" s="13" t="s">
        <v>2200</v>
      </c>
      <c r="M2218" s="6" t="s">
        <v>188</v>
      </c>
      <c r="N2218" s="6" t="s">
        <v>188</v>
      </c>
      <c r="O2218" s="6" t="s">
        <v>190</v>
      </c>
      <c r="P2218" s="7" t="s">
        <v>333</v>
      </c>
      <c r="Q2218" s="13"/>
      <c r="R2218" s="13"/>
      <c r="S2218" s="13"/>
      <c r="T2218" s="6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</row>
    <row r="2219">
      <c r="A2219" s="12">
        <v>60.0</v>
      </c>
      <c r="B2219" s="7" t="s">
        <v>594</v>
      </c>
      <c r="C2219" s="7" t="s">
        <v>1717</v>
      </c>
      <c r="I2219" s="13" t="s">
        <v>511</v>
      </c>
      <c r="J2219" s="13" t="s">
        <v>768</v>
      </c>
      <c r="K2219" s="13" t="s">
        <v>303</v>
      </c>
      <c r="L2219" s="13" t="s">
        <v>2200</v>
      </c>
      <c r="M2219" s="6" t="s">
        <v>188</v>
      </c>
      <c r="N2219" s="6" t="s">
        <v>188</v>
      </c>
      <c r="O2219" s="6" t="s">
        <v>190</v>
      </c>
      <c r="P2219" s="7" t="s">
        <v>333</v>
      </c>
      <c r="Q2219" s="13"/>
      <c r="R2219" s="13"/>
      <c r="S2219" s="13"/>
      <c r="T2219" s="6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</row>
    <row r="2220">
      <c r="A2220" s="12">
        <v>60.0</v>
      </c>
      <c r="B2220" s="7" t="s">
        <v>594</v>
      </c>
      <c r="C2220" s="7" t="s">
        <v>1717</v>
      </c>
      <c r="I2220" s="13" t="s">
        <v>550</v>
      </c>
      <c r="J2220" s="13" t="s">
        <v>770</v>
      </c>
      <c r="K2220" s="13" t="s">
        <v>303</v>
      </c>
      <c r="L2220" s="13" t="s">
        <v>2478</v>
      </c>
      <c r="M2220" s="6" t="s">
        <v>188</v>
      </c>
      <c r="N2220" s="6" t="s">
        <v>188</v>
      </c>
      <c r="O2220" s="6" t="s">
        <v>190</v>
      </c>
      <c r="P2220" s="7" t="s">
        <v>333</v>
      </c>
      <c r="Q2220" s="13"/>
      <c r="R2220" s="13"/>
      <c r="S2220" s="13"/>
      <c r="T2220" s="6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  <c r="AE2220" s="7"/>
    </row>
    <row r="2221">
      <c r="A2221" s="12">
        <v>60.0</v>
      </c>
      <c r="B2221" s="7" t="s">
        <v>594</v>
      </c>
      <c r="C2221" s="7" t="s">
        <v>1717</v>
      </c>
      <c r="I2221" s="13" t="s">
        <v>2479</v>
      </c>
      <c r="J2221" s="13" t="s">
        <v>763</v>
      </c>
      <c r="K2221" s="13" t="s">
        <v>303</v>
      </c>
      <c r="L2221" s="13" t="s">
        <v>2480</v>
      </c>
      <c r="M2221" s="6" t="s">
        <v>188</v>
      </c>
      <c r="N2221" s="6" t="s">
        <v>188</v>
      </c>
      <c r="O2221" s="6" t="s">
        <v>190</v>
      </c>
      <c r="P2221" s="7" t="s">
        <v>333</v>
      </c>
      <c r="Q2221" s="13"/>
      <c r="R2221" s="13"/>
      <c r="S2221" s="13"/>
      <c r="T2221" s="6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</row>
    <row r="2222">
      <c r="A2222" s="12">
        <v>60.0</v>
      </c>
      <c r="B2222" s="7" t="s">
        <v>594</v>
      </c>
      <c r="C2222" s="7" t="s">
        <v>1717</v>
      </c>
      <c r="I2222" s="13" t="s">
        <v>2481</v>
      </c>
      <c r="J2222" s="13" t="s">
        <v>764</v>
      </c>
      <c r="K2222" s="13" t="s">
        <v>303</v>
      </c>
      <c r="L2222" s="13" t="s">
        <v>2482</v>
      </c>
      <c r="M2222" s="6" t="s">
        <v>188</v>
      </c>
      <c r="N2222" s="6" t="s">
        <v>188</v>
      </c>
      <c r="O2222" s="6" t="s">
        <v>190</v>
      </c>
      <c r="P2222" s="7" t="s">
        <v>333</v>
      </c>
      <c r="Q2222" s="13"/>
      <c r="R2222" s="13"/>
      <c r="S2222" s="13"/>
      <c r="T2222" s="6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</row>
    <row r="2223">
      <c r="A2223" s="12">
        <v>60.0</v>
      </c>
      <c r="B2223" s="7" t="s">
        <v>594</v>
      </c>
      <c r="C2223" s="7" t="s">
        <v>1717</v>
      </c>
      <c r="I2223" s="13" t="s">
        <v>2483</v>
      </c>
      <c r="J2223" s="13" t="s">
        <v>765</v>
      </c>
      <c r="K2223" s="13" t="s">
        <v>303</v>
      </c>
      <c r="L2223" s="13" t="s">
        <v>2482</v>
      </c>
      <c r="M2223" s="6" t="s">
        <v>188</v>
      </c>
      <c r="N2223" s="6" t="s">
        <v>188</v>
      </c>
      <c r="O2223" s="6" t="s">
        <v>190</v>
      </c>
      <c r="P2223" s="7" t="s">
        <v>333</v>
      </c>
      <c r="Q2223" s="13"/>
      <c r="R2223" s="13"/>
      <c r="S2223" s="13"/>
      <c r="T2223" s="6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  <c r="AE2223" s="7"/>
    </row>
    <row r="2224">
      <c r="A2224" s="12">
        <v>60.0</v>
      </c>
      <c r="B2224" s="7" t="s">
        <v>594</v>
      </c>
      <c r="C2224" s="7" t="s">
        <v>1717</v>
      </c>
      <c r="I2224" s="13" t="s">
        <v>2484</v>
      </c>
      <c r="J2224" s="13" t="s">
        <v>766</v>
      </c>
      <c r="K2224" s="13" t="s">
        <v>303</v>
      </c>
      <c r="L2224" s="13" t="s">
        <v>2485</v>
      </c>
      <c r="M2224" s="6" t="s">
        <v>188</v>
      </c>
      <c r="N2224" s="6" t="s">
        <v>188</v>
      </c>
      <c r="O2224" s="6" t="s">
        <v>190</v>
      </c>
      <c r="P2224" s="7" t="s">
        <v>333</v>
      </c>
      <c r="Q2224" s="13"/>
      <c r="R2224" s="13"/>
      <c r="S2224" s="13"/>
      <c r="T2224" s="6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</row>
    <row r="2225">
      <c r="A2225" s="12">
        <v>60.0</v>
      </c>
      <c r="B2225" s="7" t="s">
        <v>594</v>
      </c>
      <c r="C2225" s="7" t="s">
        <v>1717</v>
      </c>
      <c r="I2225" s="13" t="s">
        <v>2202</v>
      </c>
      <c r="J2225" s="13" t="s">
        <v>767</v>
      </c>
      <c r="K2225" s="13" t="s">
        <v>303</v>
      </c>
      <c r="L2225" s="13" t="s">
        <v>2203</v>
      </c>
      <c r="M2225" s="6" t="s">
        <v>188</v>
      </c>
      <c r="N2225" s="6" t="s">
        <v>188</v>
      </c>
      <c r="O2225" s="6" t="s">
        <v>190</v>
      </c>
      <c r="P2225" s="7" t="s">
        <v>333</v>
      </c>
      <c r="Q2225" s="13"/>
      <c r="R2225" s="13"/>
      <c r="S2225" s="13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  <c r="AE2225" s="7"/>
    </row>
    <row r="2226">
      <c r="A2226" s="12">
        <v>60.0</v>
      </c>
      <c r="B2226" s="7" t="s">
        <v>594</v>
      </c>
      <c r="C2226" s="7" t="s">
        <v>1717</v>
      </c>
      <c r="I2226" s="13" t="s">
        <v>2204</v>
      </c>
      <c r="J2226" s="13" t="s">
        <v>768</v>
      </c>
      <c r="K2226" s="13" t="s">
        <v>303</v>
      </c>
      <c r="L2226" s="13" t="s">
        <v>2203</v>
      </c>
      <c r="M2226" s="6" t="s">
        <v>188</v>
      </c>
      <c r="N2226" s="6" t="s">
        <v>188</v>
      </c>
      <c r="O2226" s="6" t="s">
        <v>190</v>
      </c>
      <c r="P2226" s="7" t="s">
        <v>333</v>
      </c>
      <c r="Q2226" s="13"/>
      <c r="R2226" s="13"/>
      <c r="S2226" s="13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</row>
    <row r="2227">
      <c r="A2227" s="12">
        <v>60.0</v>
      </c>
      <c r="B2227" s="7" t="s">
        <v>594</v>
      </c>
      <c r="C2227" s="7" t="s">
        <v>1717</v>
      </c>
      <c r="I2227" s="13" t="s">
        <v>1293</v>
      </c>
      <c r="J2227" s="13" t="s">
        <v>770</v>
      </c>
      <c r="K2227" s="13" t="s">
        <v>303</v>
      </c>
      <c r="L2227" s="13" t="s">
        <v>2205</v>
      </c>
      <c r="M2227" s="6" t="s">
        <v>188</v>
      </c>
      <c r="N2227" s="6" t="s">
        <v>188</v>
      </c>
      <c r="O2227" s="6" t="s">
        <v>190</v>
      </c>
      <c r="P2227" s="7" t="s">
        <v>333</v>
      </c>
      <c r="Q2227" s="13"/>
      <c r="R2227" s="13"/>
      <c r="S2227" s="13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</row>
    <row r="2228">
      <c r="A2228" s="12">
        <v>60.0</v>
      </c>
      <c r="B2228" s="7" t="s">
        <v>594</v>
      </c>
      <c r="C2228" s="7" t="s">
        <v>1717</v>
      </c>
      <c r="I2228" s="13" t="s">
        <v>1736</v>
      </c>
      <c r="J2228" s="13" t="s">
        <v>763</v>
      </c>
      <c r="K2228" s="13" t="s">
        <v>303</v>
      </c>
      <c r="L2228" s="13" t="s">
        <v>2206</v>
      </c>
      <c r="M2228" s="6" t="s">
        <v>188</v>
      </c>
      <c r="N2228" s="6" t="s">
        <v>188</v>
      </c>
      <c r="O2228" s="6" t="s">
        <v>190</v>
      </c>
      <c r="P2228" s="7" t="s">
        <v>333</v>
      </c>
      <c r="Q2228" s="13"/>
      <c r="R2228" s="13"/>
      <c r="S2228" s="13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</row>
    <row r="2229">
      <c r="A2229" s="12">
        <v>60.0</v>
      </c>
      <c r="B2229" s="7" t="s">
        <v>594</v>
      </c>
      <c r="C2229" s="7" t="s">
        <v>1717</v>
      </c>
      <c r="I2229" s="13" t="s">
        <v>746</v>
      </c>
      <c r="J2229" s="13" t="s">
        <v>764</v>
      </c>
      <c r="K2229" s="13" t="s">
        <v>303</v>
      </c>
      <c r="L2229" s="13" t="s">
        <v>2203</v>
      </c>
      <c r="M2229" s="6" t="s">
        <v>188</v>
      </c>
      <c r="N2229" s="6" t="s">
        <v>188</v>
      </c>
      <c r="O2229" s="6" t="s">
        <v>190</v>
      </c>
      <c r="P2229" s="7" t="s">
        <v>333</v>
      </c>
      <c r="Q2229" s="13"/>
      <c r="R2229" s="13"/>
      <c r="S2229" s="13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</row>
    <row r="2230">
      <c r="A2230" s="12">
        <v>60.0</v>
      </c>
      <c r="B2230" s="7" t="s">
        <v>594</v>
      </c>
      <c r="C2230" s="7" t="s">
        <v>1717</v>
      </c>
      <c r="I2230" s="13" t="s">
        <v>1154</v>
      </c>
      <c r="J2230" s="13" t="s">
        <v>765</v>
      </c>
      <c r="K2230" s="13" t="s">
        <v>303</v>
      </c>
      <c r="L2230" s="13" t="s">
        <v>2486</v>
      </c>
      <c r="M2230" s="6" t="s">
        <v>188</v>
      </c>
      <c r="N2230" s="6" t="s">
        <v>188</v>
      </c>
      <c r="O2230" s="6" t="s">
        <v>190</v>
      </c>
      <c r="P2230" s="7" t="s">
        <v>333</v>
      </c>
      <c r="Q2230" s="13"/>
      <c r="R2230" s="13"/>
      <c r="S2230" s="13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</row>
    <row r="2231">
      <c r="A2231" s="12">
        <v>60.0</v>
      </c>
      <c r="B2231" s="7" t="s">
        <v>594</v>
      </c>
      <c r="C2231" s="7" t="s">
        <v>1717</v>
      </c>
      <c r="I2231" s="13" t="s">
        <v>460</v>
      </c>
      <c r="J2231" s="13" t="s">
        <v>766</v>
      </c>
      <c r="K2231" s="13" t="s">
        <v>303</v>
      </c>
      <c r="L2231" s="13" t="s">
        <v>2487</v>
      </c>
      <c r="M2231" s="6" t="s">
        <v>188</v>
      </c>
      <c r="N2231" s="6" t="s">
        <v>188</v>
      </c>
      <c r="O2231" s="6" t="s">
        <v>190</v>
      </c>
      <c r="P2231" s="7" t="s">
        <v>333</v>
      </c>
      <c r="Q2231" s="13"/>
      <c r="R2231" s="13"/>
      <c r="S2231" s="13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</row>
    <row r="2232">
      <c r="A2232" s="12">
        <v>60.0</v>
      </c>
      <c r="B2232" s="7" t="s">
        <v>594</v>
      </c>
      <c r="C2232" s="7" t="s">
        <v>1717</v>
      </c>
      <c r="I2232" s="13" t="s">
        <v>2488</v>
      </c>
      <c r="J2232" s="13" t="s">
        <v>767</v>
      </c>
      <c r="K2232" s="13" t="s">
        <v>303</v>
      </c>
      <c r="L2232" s="13" t="s">
        <v>2489</v>
      </c>
      <c r="M2232" s="6" t="s">
        <v>188</v>
      </c>
      <c r="N2232" s="6" t="s">
        <v>188</v>
      </c>
      <c r="O2232" s="6" t="s">
        <v>190</v>
      </c>
      <c r="P2232" s="7" t="s">
        <v>333</v>
      </c>
      <c r="Q2232" s="13"/>
      <c r="R2232" s="13"/>
      <c r="S2232" s="13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</row>
    <row r="2233">
      <c r="A2233" s="12">
        <v>60.0</v>
      </c>
      <c r="B2233" s="7" t="s">
        <v>594</v>
      </c>
      <c r="C2233" s="7" t="s">
        <v>1717</v>
      </c>
      <c r="I2233" s="13" t="s">
        <v>2490</v>
      </c>
      <c r="J2233" s="13" t="s">
        <v>768</v>
      </c>
      <c r="K2233" s="13" t="s">
        <v>303</v>
      </c>
      <c r="L2233" s="13" t="s">
        <v>2491</v>
      </c>
      <c r="M2233" s="6" t="s">
        <v>188</v>
      </c>
      <c r="N2233" s="6" t="s">
        <v>188</v>
      </c>
      <c r="O2233" s="6" t="s">
        <v>190</v>
      </c>
      <c r="P2233" s="7" t="s">
        <v>333</v>
      </c>
      <c r="Q2233" s="13"/>
      <c r="R2233" s="13"/>
      <c r="S2233" s="13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</row>
    <row r="2234">
      <c r="A2234" s="12">
        <v>60.0</v>
      </c>
      <c r="B2234" s="7" t="s">
        <v>594</v>
      </c>
      <c r="C2234" s="7" t="s">
        <v>1717</v>
      </c>
      <c r="I2234" s="13" t="s">
        <v>596</v>
      </c>
      <c r="J2234" s="13" t="s">
        <v>770</v>
      </c>
      <c r="K2234" s="13" t="s">
        <v>303</v>
      </c>
      <c r="L2234" s="13" t="s">
        <v>2492</v>
      </c>
      <c r="M2234" s="6" t="s">
        <v>188</v>
      </c>
      <c r="N2234" s="6" t="s">
        <v>188</v>
      </c>
      <c r="O2234" s="6" t="s">
        <v>190</v>
      </c>
      <c r="P2234" s="7" t="s">
        <v>333</v>
      </c>
      <c r="Q2234" s="13"/>
      <c r="R2234" s="13"/>
      <c r="S2234" s="13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</row>
    <row r="2235">
      <c r="A2235" s="12">
        <v>60.0</v>
      </c>
      <c r="B2235" s="7" t="s">
        <v>594</v>
      </c>
      <c r="C2235" s="7" t="s">
        <v>1717</v>
      </c>
      <c r="I2235" s="13" t="s">
        <v>1861</v>
      </c>
      <c r="J2235" s="13" t="s">
        <v>763</v>
      </c>
      <c r="K2235" s="13" t="s">
        <v>303</v>
      </c>
      <c r="L2235" s="13" t="s">
        <v>2493</v>
      </c>
      <c r="M2235" s="6" t="s">
        <v>188</v>
      </c>
      <c r="N2235" s="6" t="s">
        <v>188</v>
      </c>
      <c r="O2235" s="6" t="s">
        <v>190</v>
      </c>
      <c r="P2235" s="7" t="s">
        <v>333</v>
      </c>
      <c r="Q2235" s="13"/>
      <c r="R2235" s="13"/>
      <c r="S2235" s="13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</row>
    <row r="2236">
      <c r="A2236" s="12">
        <v>60.0</v>
      </c>
      <c r="B2236" s="7" t="s">
        <v>594</v>
      </c>
      <c r="C2236" s="7" t="s">
        <v>1717</v>
      </c>
      <c r="I2236" s="13" t="s">
        <v>899</v>
      </c>
      <c r="J2236" s="13" t="s">
        <v>764</v>
      </c>
      <c r="K2236" s="13" t="s">
        <v>303</v>
      </c>
      <c r="L2236" s="13" t="s">
        <v>2493</v>
      </c>
      <c r="M2236" s="6" t="s">
        <v>188</v>
      </c>
      <c r="N2236" s="6" t="s">
        <v>188</v>
      </c>
      <c r="O2236" s="6" t="s">
        <v>190</v>
      </c>
      <c r="P2236" s="7" t="s">
        <v>333</v>
      </c>
      <c r="Q2236" s="13"/>
      <c r="R2236" s="13"/>
      <c r="S2236" s="13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</row>
    <row r="2237">
      <c r="A2237" s="12">
        <v>60.0</v>
      </c>
      <c r="B2237" s="7" t="s">
        <v>594</v>
      </c>
      <c r="C2237" s="7" t="s">
        <v>1717</v>
      </c>
      <c r="I2237" s="13" t="s">
        <v>620</v>
      </c>
      <c r="J2237" s="13" t="s">
        <v>765</v>
      </c>
      <c r="K2237" s="13" t="s">
        <v>303</v>
      </c>
      <c r="L2237" s="13" t="s">
        <v>2494</v>
      </c>
      <c r="M2237" s="6" t="s">
        <v>188</v>
      </c>
      <c r="N2237" s="6" t="s">
        <v>188</v>
      </c>
      <c r="O2237" s="6" t="s">
        <v>190</v>
      </c>
      <c r="P2237" s="7" t="s">
        <v>333</v>
      </c>
      <c r="Q2237" s="13"/>
      <c r="R2237" s="13"/>
      <c r="S2237" s="13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  <c r="AE2237" s="7"/>
    </row>
    <row r="2238">
      <c r="A2238" s="12">
        <v>60.0</v>
      </c>
      <c r="B2238" s="7" t="s">
        <v>594</v>
      </c>
      <c r="C2238" s="7" t="s">
        <v>1717</v>
      </c>
      <c r="I2238" s="13" t="s">
        <v>704</v>
      </c>
      <c r="J2238" s="13" t="s">
        <v>766</v>
      </c>
      <c r="K2238" s="13" t="s">
        <v>303</v>
      </c>
      <c r="L2238" s="13" t="s">
        <v>2493</v>
      </c>
      <c r="M2238" s="6" t="s">
        <v>188</v>
      </c>
      <c r="N2238" s="6" t="s">
        <v>188</v>
      </c>
      <c r="O2238" s="6" t="s">
        <v>190</v>
      </c>
      <c r="P2238" s="7" t="s">
        <v>333</v>
      </c>
      <c r="Q2238" s="13"/>
      <c r="R2238" s="13"/>
      <c r="S2238" s="13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</row>
    <row r="2239">
      <c r="A2239" s="12">
        <v>60.0</v>
      </c>
      <c r="B2239" s="7" t="s">
        <v>594</v>
      </c>
      <c r="C2239" s="7" t="s">
        <v>1717</v>
      </c>
      <c r="I2239" s="13" t="s">
        <v>2449</v>
      </c>
      <c r="J2239" s="13" t="s">
        <v>767</v>
      </c>
      <c r="K2239" s="13" t="s">
        <v>303</v>
      </c>
      <c r="L2239" s="13" t="s">
        <v>2493</v>
      </c>
      <c r="M2239" s="6" t="s">
        <v>188</v>
      </c>
      <c r="N2239" s="6" t="s">
        <v>188</v>
      </c>
      <c r="O2239" s="6" t="s">
        <v>190</v>
      </c>
      <c r="P2239" s="7" t="s">
        <v>333</v>
      </c>
      <c r="Q2239" s="13"/>
      <c r="R2239" s="13"/>
      <c r="S2239" s="13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</row>
    <row r="2240">
      <c r="A2240" s="12">
        <v>60.0</v>
      </c>
      <c r="B2240" s="7" t="s">
        <v>594</v>
      </c>
      <c r="C2240" s="7" t="s">
        <v>1717</v>
      </c>
      <c r="I2240" s="13" t="s">
        <v>1555</v>
      </c>
      <c r="J2240" s="13" t="s">
        <v>768</v>
      </c>
      <c r="K2240" s="13" t="s">
        <v>303</v>
      </c>
      <c r="L2240" s="13" t="s">
        <v>2493</v>
      </c>
      <c r="M2240" s="6" t="s">
        <v>188</v>
      </c>
      <c r="N2240" s="6" t="s">
        <v>188</v>
      </c>
      <c r="O2240" s="6" t="s">
        <v>190</v>
      </c>
      <c r="P2240" s="7" t="s">
        <v>333</v>
      </c>
      <c r="Q2240" s="13"/>
      <c r="R2240" s="13"/>
      <c r="S2240" s="13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</row>
    <row r="2241">
      <c r="A2241" s="12">
        <v>60.0</v>
      </c>
      <c r="B2241" s="7" t="s">
        <v>594</v>
      </c>
      <c r="C2241" s="7" t="s">
        <v>1717</v>
      </c>
      <c r="I2241" s="13" t="s">
        <v>707</v>
      </c>
      <c r="J2241" s="13" t="s">
        <v>770</v>
      </c>
      <c r="K2241" s="13" t="s">
        <v>303</v>
      </c>
      <c r="L2241" s="13" t="s">
        <v>2493</v>
      </c>
      <c r="M2241" s="6" t="s">
        <v>188</v>
      </c>
      <c r="N2241" s="6" t="s">
        <v>188</v>
      </c>
      <c r="O2241" s="6" t="s">
        <v>190</v>
      </c>
      <c r="P2241" s="7" t="s">
        <v>333</v>
      </c>
      <c r="Q2241" s="13"/>
      <c r="R2241" s="13"/>
      <c r="S2241" s="13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  <c r="AE2241" s="7"/>
    </row>
    <row r="2242">
      <c r="A2242" s="12">
        <v>60.0</v>
      </c>
      <c r="B2242" s="7" t="s">
        <v>594</v>
      </c>
      <c r="C2242" s="7" t="s">
        <v>1717</v>
      </c>
      <c r="I2242" s="13" t="s">
        <v>1602</v>
      </c>
      <c r="J2242" s="13" t="s">
        <v>763</v>
      </c>
      <c r="K2242" s="13" t="s">
        <v>303</v>
      </c>
      <c r="L2242" s="13" t="s">
        <v>2493</v>
      </c>
      <c r="M2242" s="6" t="s">
        <v>188</v>
      </c>
      <c r="N2242" s="6" t="s">
        <v>188</v>
      </c>
      <c r="O2242" s="6" t="s">
        <v>190</v>
      </c>
      <c r="P2242" s="7" t="s">
        <v>333</v>
      </c>
      <c r="Q2242" s="13"/>
      <c r="R2242" s="13"/>
      <c r="S2242" s="13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  <c r="AE2242" s="7"/>
    </row>
    <row r="2243">
      <c r="A2243" s="12">
        <v>60.0</v>
      </c>
      <c r="B2243" s="7" t="s">
        <v>594</v>
      </c>
      <c r="C2243" s="7" t="s">
        <v>1717</v>
      </c>
      <c r="I2243" s="13" t="s">
        <v>2438</v>
      </c>
      <c r="J2243" s="13" t="s">
        <v>764</v>
      </c>
      <c r="K2243" s="13" t="s">
        <v>303</v>
      </c>
      <c r="L2243" s="13" t="s">
        <v>2493</v>
      </c>
      <c r="M2243" s="6" t="s">
        <v>188</v>
      </c>
      <c r="N2243" s="6" t="s">
        <v>188</v>
      </c>
      <c r="O2243" s="6" t="s">
        <v>190</v>
      </c>
      <c r="P2243" s="7" t="s">
        <v>333</v>
      </c>
      <c r="Q2243" s="13"/>
      <c r="R2243" s="13"/>
      <c r="S2243" s="13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</row>
    <row r="2244">
      <c r="A2244" s="12">
        <v>60.0</v>
      </c>
      <c r="B2244" s="7" t="s">
        <v>594</v>
      </c>
      <c r="C2244" s="7" t="s">
        <v>1717</v>
      </c>
      <c r="I2244" s="13" t="s">
        <v>1854</v>
      </c>
      <c r="J2244" s="13" t="s">
        <v>765</v>
      </c>
      <c r="K2244" s="13" t="s">
        <v>303</v>
      </c>
      <c r="L2244" s="13" t="s">
        <v>2493</v>
      </c>
      <c r="M2244" s="6" t="s">
        <v>188</v>
      </c>
      <c r="N2244" s="6" t="s">
        <v>188</v>
      </c>
      <c r="O2244" s="6" t="s">
        <v>190</v>
      </c>
      <c r="P2244" s="7" t="s">
        <v>333</v>
      </c>
      <c r="Q2244" s="13"/>
      <c r="R2244" s="13"/>
      <c r="S2244" s="13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</row>
    <row r="2245">
      <c r="A2245" s="12">
        <v>60.0</v>
      </c>
      <c r="B2245" s="7" t="s">
        <v>594</v>
      </c>
      <c r="C2245" s="7" t="s">
        <v>1717</v>
      </c>
      <c r="I2245" s="13" t="s">
        <v>1412</v>
      </c>
      <c r="J2245" s="13" t="s">
        <v>766</v>
      </c>
      <c r="K2245" s="13" t="s">
        <v>303</v>
      </c>
      <c r="L2245" s="13" t="s">
        <v>2495</v>
      </c>
      <c r="M2245" s="6" t="s">
        <v>188</v>
      </c>
      <c r="N2245" s="6" t="s">
        <v>188</v>
      </c>
      <c r="O2245" s="6" t="s">
        <v>190</v>
      </c>
      <c r="P2245" s="7" t="s">
        <v>333</v>
      </c>
      <c r="Q2245" s="13"/>
      <c r="R2245" s="13"/>
      <c r="S2245" s="13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  <c r="AE2245" s="7"/>
    </row>
    <row r="2246">
      <c r="A2246" s="12">
        <v>60.0</v>
      </c>
      <c r="B2246" s="7" t="s">
        <v>594</v>
      </c>
      <c r="C2246" s="7" t="s">
        <v>1717</v>
      </c>
      <c r="I2246" s="13" t="s">
        <v>2064</v>
      </c>
      <c r="J2246" s="13" t="s">
        <v>767</v>
      </c>
      <c r="K2246" s="13" t="s">
        <v>303</v>
      </c>
      <c r="L2246" s="13" t="s">
        <v>2493</v>
      </c>
      <c r="M2246" s="6" t="s">
        <v>188</v>
      </c>
      <c r="N2246" s="6" t="s">
        <v>188</v>
      </c>
      <c r="O2246" s="6" t="s">
        <v>190</v>
      </c>
      <c r="P2246" s="7" t="s">
        <v>333</v>
      </c>
      <c r="Q2246" s="13"/>
      <c r="R2246" s="13"/>
      <c r="S2246" s="13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  <c r="AE2246" s="7"/>
    </row>
    <row r="2247">
      <c r="A2247" s="12">
        <v>60.0</v>
      </c>
      <c r="B2247" s="7" t="s">
        <v>594</v>
      </c>
      <c r="C2247" s="7" t="s">
        <v>1717</v>
      </c>
      <c r="I2247" s="13" t="s">
        <v>1414</v>
      </c>
      <c r="J2247" s="13" t="s">
        <v>768</v>
      </c>
      <c r="K2247" s="13" t="s">
        <v>303</v>
      </c>
      <c r="L2247" s="13" t="s">
        <v>2496</v>
      </c>
      <c r="M2247" s="6" t="s">
        <v>188</v>
      </c>
      <c r="N2247" s="6" t="s">
        <v>188</v>
      </c>
      <c r="O2247" s="6" t="s">
        <v>190</v>
      </c>
      <c r="P2247" s="7" t="s">
        <v>333</v>
      </c>
      <c r="Q2247" s="13"/>
      <c r="R2247" s="13"/>
      <c r="S2247" s="13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  <c r="AE2247" s="7"/>
    </row>
    <row r="2248">
      <c r="A2248" s="12">
        <v>60.0</v>
      </c>
      <c r="B2248" s="7" t="s">
        <v>594</v>
      </c>
      <c r="C2248" s="7" t="s">
        <v>1717</v>
      </c>
      <c r="I2248" s="13" t="s">
        <v>1681</v>
      </c>
      <c r="J2248" s="13" t="s">
        <v>770</v>
      </c>
      <c r="K2248" s="13" t="s">
        <v>303</v>
      </c>
      <c r="L2248" s="13" t="s">
        <v>2493</v>
      </c>
      <c r="M2248" s="6" t="s">
        <v>188</v>
      </c>
      <c r="N2248" s="6" t="s">
        <v>188</v>
      </c>
      <c r="O2248" s="6" t="s">
        <v>190</v>
      </c>
      <c r="P2248" s="7" t="s">
        <v>333</v>
      </c>
      <c r="Q2248" s="13"/>
      <c r="R2248" s="13"/>
      <c r="S2248" s="13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  <c r="AE2248" s="7"/>
    </row>
    <row r="2249">
      <c r="A2249" s="12">
        <v>60.0</v>
      </c>
      <c r="B2249" s="7" t="s">
        <v>594</v>
      </c>
      <c r="C2249" s="7" t="s">
        <v>1717</v>
      </c>
      <c r="I2249" s="13" t="s">
        <v>418</v>
      </c>
      <c r="J2249" s="13" t="s">
        <v>763</v>
      </c>
      <c r="K2249" s="13" t="s">
        <v>303</v>
      </c>
      <c r="L2249" s="13" t="s">
        <v>2493</v>
      </c>
      <c r="M2249" s="6" t="s">
        <v>188</v>
      </c>
      <c r="N2249" s="6" t="s">
        <v>188</v>
      </c>
      <c r="O2249" s="6" t="s">
        <v>190</v>
      </c>
      <c r="P2249" s="7" t="s">
        <v>333</v>
      </c>
      <c r="Q2249" s="13"/>
      <c r="R2249" s="13"/>
      <c r="S2249" s="13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</row>
    <row r="2250">
      <c r="A2250" s="12">
        <v>60.0</v>
      </c>
      <c r="B2250" s="7" t="s">
        <v>594</v>
      </c>
      <c r="C2250" s="7" t="s">
        <v>1717</v>
      </c>
      <c r="I2250" s="13" t="s">
        <v>1269</v>
      </c>
      <c r="J2250" s="13" t="s">
        <v>764</v>
      </c>
      <c r="K2250" s="13" t="s">
        <v>303</v>
      </c>
      <c r="L2250" s="13" t="s">
        <v>2493</v>
      </c>
      <c r="M2250" s="6" t="s">
        <v>188</v>
      </c>
      <c r="N2250" s="6" t="s">
        <v>188</v>
      </c>
      <c r="O2250" s="6" t="s">
        <v>190</v>
      </c>
      <c r="P2250" s="7" t="s">
        <v>333</v>
      </c>
      <c r="Q2250" s="13"/>
      <c r="R2250" s="13"/>
      <c r="S2250" s="13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  <c r="AE2250" s="7"/>
    </row>
    <row r="2251">
      <c r="A2251" s="12">
        <v>60.0</v>
      </c>
      <c r="B2251" s="7" t="s">
        <v>594</v>
      </c>
      <c r="C2251" s="7" t="s">
        <v>1717</v>
      </c>
      <c r="I2251" s="13" t="s">
        <v>1690</v>
      </c>
      <c r="J2251" s="13" t="s">
        <v>765</v>
      </c>
      <c r="K2251" s="13" t="s">
        <v>303</v>
      </c>
      <c r="L2251" s="13" t="s">
        <v>2493</v>
      </c>
      <c r="M2251" s="6" t="s">
        <v>188</v>
      </c>
      <c r="N2251" s="6" t="s">
        <v>188</v>
      </c>
      <c r="O2251" s="6" t="s">
        <v>190</v>
      </c>
      <c r="P2251" s="7" t="s">
        <v>333</v>
      </c>
      <c r="Q2251" s="13"/>
      <c r="R2251" s="13"/>
      <c r="S2251" s="13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  <c r="AE2251" s="7"/>
    </row>
    <row r="2252">
      <c r="A2252" s="12">
        <v>60.0</v>
      </c>
      <c r="B2252" s="7" t="s">
        <v>594</v>
      </c>
      <c r="C2252" s="7" t="s">
        <v>1717</v>
      </c>
      <c r="I2252" s="13" t="s">
        <v>1722</v>
      </c>
      <c r="J2252" s="13" t="s">
        <v>766</v>
      </c>
      <c r="K2252" s="13" t="s">
        <v>303</v>
      </c>
      <c r="L2252" s="13" t="s">
        <v>2493</v>
      </c>
      <c r="M2252" s="6" t="s">
        <v>188</v>
      </c>
      <c r="N2252" s="6" t="s">
        <v>188</v>
      </c>
      <c r="O2252" s="6" t="s">
        <v>190</v>
      </c>
      <c r="P2252" s="7" t="s">
        <v>333</v>
      </c>
      <c r="Q2252" s="13"/>
      <c r="R2252" s="13"/>
      <c r="S2252" s="13"/>
      <c r="T2252" s="7"/>
      <c r="U2252" s="6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</row>
    <row r="2253">
      <c r="A2253" s="12">
        <v>60.0</v>
      </c>
      <c r="B2253" s="7" t="s">
        <v>594</v>
      </c>
      <c r="C2253" s="7" t="s">
        <v>1717</v>
      </c>
      <c r="I2253" s="13" t="s">
        <v>2067</v>
      </c>
      <c r="J2253" s="13" t="s">
        <v>767</v>
      </c>
      <c r="K2253" s="13" t="s">
        <v>303</v>
      </c>
      <c r="L2253" s="13" t="s">
        <v>2493</v>
      </c>
      <c r="M2253" s="6" t="s">
        <v>188</v>
      </c>
      <c r="N2253" s="6" t="s">
        <v>188</v>
      </c>
      <c r="O2253" s="6" t="s">
        <v>190</v>
      </c>
      <c r="P2253" s="7" t="s">
        <v>333</v>
      </c>
      <c r="Q2253" s="13"/>
      <c r="R2253" s="13"/>
      <c r="S2253" s="13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  <c r="AE2253" s="7"/>
    </row>
    <row r="2254">
      <c r="A2254" s="12">
        <v>60.0</v>
      </c>
      <c r="B2254" s="7" t="s">
        <v>594</v>
      </c>
      <c r="C2254" s="7" t="s">
        <v>1717</v>
      </c>
      <c r="I2254" s="13" t="s">
        <v>1678</v>
      </c>
      <c r="J2254" s="13" t="s">
        <v>768</v>
      </c>
      <c r="K2254" s="13" t="s">
        <v>303</v>
      </c>
      <c r="L2254" s="13" t="s">
        <v>2493</v>
      </c>
      <c r="M2254" s="6" t="s">
        <v>188</v>
      </c>
      <c r="N2254" s="6" t="s">
        <v>188</v>
      </c>
      <c r="O2254" s="6" t="s">
        <v>190</v>
      </c>
      <c r="P2254" s="7" t="s">
        <v>333</v>
      </c>
      <c r="Q2254" s="13"/>
      <c r="R2254" s="13"/>
      <c r="S2254" s="13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  <c r="AE2254" s="7"/>
    </row>
    <row r="2255">
      <c r="A2255" s="12">
        <v>60.0</v>
      </c>
      <c r="B2255" s="7" t="s">
        <v>594</v>
      </c>
      <c r="C2255" s="7" t="s">
        <v>1717</v>
      </c>
      <c r="I2255" s="13" t="s">
        <v>2107</v>
      </c>
      <c r="J2255" s="13" t="s">
        <v>770</v>
      </c>
      <c r="K2255" s="13" t="s">
        <v>303</v>
      </c>
      <c r="L2255" s="13" t="s">
        <v>2493</v>
      </c>
      <c r="M2255" s="6" t="s">
        <v>188</v>
      </c>
      <c r="N2255" s="6" t="s">
        <v>188</v>
      </c>
      <c r="O2255" s="6" t="s">
        <v>190</v>
      </c>
      <c r="P2255" s="7" t="s">
        <v>333</v>
      </c>
      <c r="Q2255" s="13"/>
      <c r="R2255" s="13"/>
      <c r="S2255" s="13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  <c r="AE2255" s="7"/>
    </row>
    <row r="2256">
      <c r="A2256" s="12">
        <v>60.0</v>
      </c>
      <c r="B2256" s="7" t="s">
        <v>594</v>
      </c>
      <c r="C2256" s="7" t="s">
        <v>1717</v>
      </c>
      <c r="I2256" s="13" t="s">
        <v>600</v>
      </c>
      <c r="J2256" s="13" t="s">
        <v>763</v>
      </c>
      <c r="K2256" s="13" t="s">
        <v>303</v>
      </c>
      <c r="L2256" s="13" t="s">
        <v>2497</v>
      </c>
      <c r="M2256" s="6" t="s">
        <v>188</v>
      </c>
      <c r="N2256" s="6" t="s">
        <v>188</v>
      </c>
      <c r="O2256" s="6" t="s">
        <v>190</v>
      </c>
      <c r="P2256" s="7" t="s">
        <v>333</v>
      </c>
      <c r="Q2256" s="13"/>
      <c r="R2256" s="13"/>
      <c r="S2256" s="13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</row>
    <row r="2257">
      <c r="A2257" s="12">
        <v>60.0</v>
      </c>
      <c r="B2257" s="7" t="s">
        <v>594</v>
      </c>
      <c r="C2257" s="7" t="s">
        <v>1717</v>
      </c>
      <c r="I2257" s="13" t="s">
        <v>1872</v>
      </c>
      <c r="J2257" s="13" t="s">
        <v>764</v>
      </c>
      <c r="K2257" s="13" t="s">
        <v>303</v>
      </c>
      <c r="L2257" s="13" t="s">
        <v>2493</v>
      </c>
      <c r="M2257" s="6" t="s">
        <v>188</v>
      </c>
      <c r="N2257" s="6" t="s">
        <v>188</v>
      </c>
      <c r="O2257" s="6" t="s">
        <v>190</v>
      </c>
      <c r="P2257" s="7" t="s">
        <v>333</v>
      </c>
      <c r="Q2257" s="13"/>
      <c r="R2257" s="13"/>
      <c r="S2257" s="13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  <c r="AE2257" s="7"/>
    </row>
    <row r="2258">
      <c r="A2258" s="12">
        <v>60.0</v>
      </c>
      <c r="B2258" s="7" t="s">
        <v>594</v>
      </c>
      <c r="C2258" s="7" t="s">
        <v>1717</v>
      </c>
      <c r="I2258" s="13" t="s">
        <v>607</v>
      </c>
      <c r="J2258" s="13" t="s">
        <v>765</v>
      </c>
      <c r="K2258" s="13" t="s">
        <v>303</v>
      </c>
      <c r="L2258" s="13" t="s">
        <v>2493</v>
      </c>
      <c r="M2258" s="6" t="s">
        <v>188</v>
      </c>
      <c r="N2258" s="6" t="s">
        <v>188</v>
      </c>
      <c r="O2258" s="6" t="s">
        <v>190</v>
      </c>
      <c r="P2258" s="7" t="s">
        <v>333</v>
      </c>
      <c r="Q2258" s="13"/>
      <c r="R2258" s="13"/>
      <c r="S2258" s="13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</row>
    <row r="2259">
      <c r="A2259" s="12">
        <v>60.0</v>
      </c>
      <c r="B2259" s="7" t="s">
        <v>594</v>
      </c>
      <c r="C2259" s="7" t="s">
        <v>1717</v>
      </c>
      <c r="I2259" s="13" t="s">
        <v>347</v>
      </c>
      <c r="J2259" s="13" t="s">
        <v>766</v>
      </c>
      <c r="K2259" s="13" t="s">
        <v>303</v>
      </c>
      <c r="L2259" s="13" t="s">
        <v>2493</v>
      </c>
      <c r="M2259" s="6" t="s">
        <v>188</v>
      </c>
      <c r="N2259" s="6" t="s">
        <v>188</v>
      </c>
      <c r="O2259" s="6" t="s">
        <v>190</v>
      </c>
      <c r="P2259" s="7" t="s">
        <v>333</v>
      </c>
      <c r="Q2259" s="13"/>
      <c r="R2259" s="13"/>
      <c r="S2259" s="13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</row>
    <row r="2260">
      <c r="A2260" s="12">
        <v>60.0</v>
      </c>
      <c r="B2260" s="7" t="s">
        <v>594</v>
      </c>
      <c r="C2260" s="7" t="s">
        <v>1717</v>
      </c>
      <c r="I2260" s="13" t="s">
        <v>1354</v>
      </c>
      <c r="J2260" s="13" t="s">
        <v>767</v>
      </c>
      <c r="K2260" s="13" t="s">
        <v>303</v>
      </c>
      <c r="L2260" s="13" t="s">
        <v>2493</v>
      </c>
      <c r="M2260" s="6" t="s">
        <v>188</v>
      </c>
      <c r="N2260" s="6" t="s">
        <v>188</v>
      </c>
      <c r="O2260" s="6" t="s">
        <v>190</v>
      </c>
      <c r="P2260" s="7" t="s">
        <v>333</v>
      </c>
      <c r="Q2260" s="13"/>
      <c r="R2260" s="13"/>
      <c r="S2260" s="13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</row>
    <row r="2261">
      <c r="A2261" s="12">
        <v>60.0</v>
      </c>
      <c r="B2261" s="7" t="s">
        <v>594</v>
      </c>
      <c r="C2261" s="7" t="s">
        <v>1717</v>
      </c>
      <c r="I2261" s="13" t="s">
        <v>426</v>
      </c>
      <c r="J2261" s="13" t="s">
        <v>768</v>
      </c>
      <c r="K2261" s="13" t="s">
        <v>303</v>
      </c>
      <c r="L2261" s="13" t="s">
        <v>2493</v>
      </c>
      <c r="M2261" s="6" t="s">
        <v>188</v>
      </c>
      <c r="N2261" s="6" t="s">
        <v>188</v>
      </c>
      <c r="O2261" s="6" t="s">
        <v>190</v>
      </c>
      <c r="P2261" s="7" t="s">
        <v>333</v>
      </c>
      <c r="Q2261" s="13"/>
      <c r="R2261" s="13"/>
      <c r="S2261" s="13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</row>
    <row r="2262">
      <c r="A2262" s="12">
        <v>60.0</v>
      </c>
      <c r="B2262" s="7" t="s">
        <v>594</v>
      </c>
      <c r="C2262" s="7" t="s">
        <v>1717</v>
      </c>
      <c r="I2262" s="13" t="s">
        <v>43</v>
      </c>
      <c r="J2262" s="13" t="s">
        <v>770</v>
      </c>
      <c r="K2262" s="13" t="s">
        <v>303</v>
      </c>
      <c r="L2262" s="13" t="s">
        <v>2493</v>
      </c>
      <c r="M2262" s="6" t="s">
        <v>188</v>
      </c>
      <c r="N2262" s="6" t="s">
        <v>188</v>
      </c>
      <c r="O2262" s="6" t="s">
        <v>190</v>
      </c>
      <c r="P2262" s="7" t="s">
        <v>333</v>
      </c>
      <c r="Q2262" s="13"/>
      <c r="R2262" s="13"/>
      <c r="S2262" s="13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</row>
    <row r="2263">
      <c r="A2263" s="12">
        <v>60.0</v>
      </c>
      <c r="B2263" s="7" t="s">
        <v>594</v>
      </c>
      <c r="C2263" s="7" t="s">
        <v>1717</v>
      </c>
      <c r="I2263" s="13" t="s">
        <v>330</v>
      </c>
      <c r="J2263" s="13" t="s">
        <v>763</v>
      </c>
      <c r="K2263" s="13" t="s">
        <v>303</v>
      </c>
      <c r="L2263" s="13" t="s">
        <v>2493</v>
      </c>
      <c r="M2263" s="6" t="s">
        <v>188</v>
      </c>
      <c r="N2263" s="6" t="s">
        <v>188</v>
      </c>
      <c r="O2263" s="6" t="s">
        <v>190</v>
      </c>
      <c r="P2263" s="7" t="s">
        <v>333</v>
      </c>
      <c r="Q2263" s="13"/>
      <c r="R2263" s="13"/>
      <c r="S2263" s="13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</row>
    <row r="2264">
      <c r="A2264" s="12">
        <v>60.0</v>
      </c>
      <c r="B2264" s="7" t="s">
        <v>594</v>
      </c>
      <c r="C2264" s="7" t="s">
        <v>1717</v>
      </c>
      <c r="I2264" s="13" t="s">
        <v>445</v>
      </c>
      <c r="J2264" s="13" t="s">
        <v>764</v>
      </c>
      <c r="K2264" s="13" t="s">
        <v>303</v>
      </c>
      <c r="L2264" s="13" t="s">
        <v>2493</v>
      </c>
      <c r="M2264" s="6" t="s">
        <v>188</v>
      </c>
      <c r="N2264" s="6" t="s">
        <v>188</v>
      </c>
      <c r="O2264" s="6" t="s">
        <v>190</v>
      </c>
      <c r="P2264" s="7" t="s">
        <v>333</v>
      </c>
      <c r="Q2264" s="13"/>
      <c r="R2264" s="13"/>
      <c r="S2264" s="13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</row>
    <row r="2265">
      <c r="A2265" s="12">
        <v>60.0</v>
      </c>
      <c r="B2265" s="7" t="s">
        <v>594</v>
      </c>
      <c r="C2265" s="7" t="s">
        <v>1717</v>
      </c>
      <c r="I2265" s="13" t="s">
        <v>270</v>
      </c>
      <c r="J2265" s="13" t="s">
        <v>765</v>
      </c>
      <c r="K2265" s="13" t="s">
        <v>303</v>
      </c>
      <c r="L2265" s="13" t="s">
        <v>2493</v>
      </c>
      <c r="M2265" s="6" t="s">
        <v>188</v>
      </c>
      <c r="N2265" s="6" t="s">
        <v>188</v>
      </c>
      <c r="O2265" s="6" t="s">
        <v>190</v>
      </c>
      <c r="P2265" s="7" t="s">
        <v>333</v>
      </c>
      <c r="Q2265" s="13"/>
      <c r="R2265" s="13"/>
      <c r="S2265" s="13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</row>
    <row r="2266">
      <c r="A2266" s="12">
        <v>60.0</v>
      </c>
      <c r="B2266" s="7" t="s">
        <v>594</v>
      </c>
      <c r="C2266" s="7" t="s">
        <v>1717</v>
      </c>
      <c r="I2266" s="13" t="s">
        <v>225</v>
      </c>
      <c r="J2266" s="13" t="s">
        <v>766</v>
      </c>
      <c r="K2266" s="13" t="s">
        <v>303</v>
      </c>
      <c r="L2266" s="13" t="s">
        <v>2493</v>
      </c>
      <c r="M2266" s="6" t="s">
        <v>188</v>
      </c>
      <c r="N2266" s="6" t="s">
        <v>188</v>
      </c>
      <c r="O2266" s="6" t="s">
        <v>190</v>
      </c>
      <c r="P2266" s="7" t="s">
        <v>333</v>
      </c>
      <c r="Q2266" s="13"/>
      <c r="R2266" s="13"/>
      <c r="S2266" s="13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</row>
    <row r="2267">
      <c r="A2267" s="12">
        <v>60.0</v>
      </c>
      <c r="B2267" s="7" t="s">
        <v>594</v>
      </c>
      <c r="C2267" s="7" t="s">
        <v>1717</v>
      </c>
      <c r="I2267" s="13" t="s">
        <v>1301</v>
      </c>
      <c r="J2267" s="13" t="s">
        <v>767</v>
      </c>
      <c r="K2267" s="13" t="s">
        <v>303</v>
      </c>
      <c r="L2267" s="13" t="s">
        <v>2493</v>
      </c>
      <c r="M2267" s="6" t="s">
        <v>188</v>
      </c>
      <c r="N2267" s="6" t="s">
        <v>188</v>
      </c>
      <c r="O2267" s="6" t="s">
        <v>190</v>
      </c>
      <c r="P2267" s="7" t="s">
        <v>333</v>
      </c>
      <c r="Q2267" s="13"/>
      <c r="R2267" s="13"/>
      <c r="S2267" s="13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</row>
    <row r="2268">
      <c r="A2268" s="12">
        <v>60.0</v>
      </c>
      <c r="B2268" s="7" t="s">
        <v>594</v>
      </c>
      <c r="C2268" s="7" t="s">
        <v>1717</v>
      </c>
      <c r="I2268" s="13" t="s">
        <v>2013</v>
      </c>
      <c r="J2268" s="13" t="s">
        <v>768</v>
      </c>
      <c r="K2268" s="13" t="s">
        <v>303</v>
      </c>
      <c r="L2268" s="13" t="s">
        <v>2493</v>
      </c>
      <c r="M2268" s="6" t="s">
        <v>188</v>
      </c>
      <c r="N2268" s="6" t="s">
        <v>188</v>
      </c>
      <c r="O2268" s="6" t="s">
        <v>190</v>
      </c>
      <c r="P2268" s="7" t="s">
        <v>333</v>
      </c>
      <c r="Q2268" s="13"/>
      <c r="R2268" s="13"/>
      <c r="S2268" s="13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</row>
    <row r="2269">
      <c r="A2269" s="12">
        <v>60.0</v>
      </c>
      <c r="B2269" s="7" t="s">
        <v>594</v>
      </c>
      <c r="C2269" s="7" t="s">
        <v>1717</v>
      </c>
      <c r="I2269" s="13" t="s">
        <v>2014</v>
      </c>
      <c r="J2269" s="13" t="s">
        <v>770</v>
      </c>
      <c r="K2269" s="13" t="s">
        <v>303</v>
      </c>
      <c r="L2269" s="13" t="s">
        <v>2493</v>
      </c>
      <c r="M2269" s="6" t="s">
        <v>188</v>
      </c>
      <c r="N2269" s="6" t="s">
        <v>188</v>
      </c>
      <c r="O2269" s="6" t="s">
        <v>190</v>
      </c>
      <c r="P2269" s="7" t="s">
        <v>333</v>
      </c>
      <c r="Q2269" s="13"/>
      <c r="R2269" s="13"/>
      <c r="S2269" s="13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  <c r="AE2269" s="7"/>
    </row>
    <row r="2270">
      <c r="A2270" s="12">
        <v>60.0</v>
      </c>
      <c r="B2270" s="7" t="s">
        <v>594</v>
      </c>
      <c r="C2270" s="7" t="s">
        <v>1717</v>
      </c>
      <c r="I2270" s="13" t="s">
        <v>466</v>
      </c>
      <c r="J2270" s="13" t="s">
        <v>763</v>
      </c>
      <c r="K2270" s="13" t="s">
        <v>303</v>
      </c>
      <c r="L2270" s="13" t="s">
        <v>2493</v>
      </c>
      <c r="M2270" s="6" t="s">
        <v>188</v>
      </c>
      <c r="N2270" s="6" t="s">
        <v>188</v>
      </c>
      <c r="O2270" s="6" t="s">
        <v>190</v>
      </c>
      <c r="P2270" s="7" t="s">
        <v>333</v>
      </c>
      <c r="Q2270" s="13"/>
      <c r="R2270" s="13"/>
      <c r="S2270" s="13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</row>
    <row r="2271">
      <c r="A2271" s="12">
        <v>60.0</v>
      </c>
      <c r="B2271" s="7" t="s">
        <v>594</v>
      </c>
      <c r="C2271" s="7" t="s">
        <v>1717</v>
      </c>
      <c r="I2271" s="13" t="s">
        <v>2075</v>
      </c>
      <c r="J2271" s="13" t="s">
        <v>764</v>
      </c>
      <c r="K2271" s="13" t="s">
        <v>303</v>
      </c>
      <c r="L2271" s="13" t="s">
        <v>2493</v>
      </c>
      <c r="M2271" s="6" t="s">
        <v>188</v>
      </c>
      <c r="N2271" s="6" t="s">
        <v>188</v>
      </c>
      <c r="O2271" s="6" t="s">
        <v>190</v>
      </c>
      <c r="P2271" s="7" t="s">
        <v>333</v>
      </c>
      <c r="Q2271" s="13"/>
      <c r="R2271" s="13"/>
      <c r="S2271" s="13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</row>
    <row r="2272">
      <c r="A2272" s="12">
        <v>60.0</v>
      </c>
      <c r="B2272" s="7" t="s">
        <v>594</v>
      </c>
      <c r="C2272" s="7" t="s">
        <v>1717</v>
      </c>
      <c r="I2272" s="13" t="s">
        <v>1350</v>
      </c>
      <c r="J2272" s="13" t="s">
        <v>765</v>
      </c>
      <c r="K2272" s="13" t="s">
        <v>303</v>
      </c>
      <c r="L2272" s="13" t="s">
        <v>2492</v>
      </c>
      <c r="M2272" s="6" t="s">
        <v>188</v>
      </c>
      <c r="N2272" s="6" t="s">
        <v>188</v>
      </c>
      <c r="O2272" s="6" t="s">
        <v>190</v>
      </c>
      <c r="P2272" s="7" t="s">
        <v>333</v>
      </c>
      <c r="Q2272" s="13"/>
      <c r="R2272" s="13"/>
      <c r="S2272" s="13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</row>
    <row r="2273">
      <c r="A2273" s="12">
        <v>60.0</v>
      </c>
      <c r="B2273" s="7" t="s">
        <v>594</v>
      </c>
      <c r="C2273" s="7" t="s">
        <v>1717</v>
      </c>
      <c r="I2273" s="13" t="s">
        <v>356</v>
      </c>
      <c r="J2273" s="13" t="s">
        <v>766</v>
      </c>
      <c r="K2273" s="13" t="s">
        <v>303</v>
      </c>
      <c r="L2273" s="13" t="s">
        <v>2493</v>
      </c>
      <c r="M2273" s="6" t="s">
        <v>188</v>
      </c>
      <c r="N2273" s="6" t="s">
        <v>188</v>
      </c>
      <c r="O2273" s="6" t="s">
        <v>190</v>
      </c>
      <c r="P2273" s="7" t="s">
        <v>333</v>
      </c>
      <c r="Q2273" s="13"/>
      <c r="R2273" s="13"/>
      <c r="S2273" s="13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  <c r="AE2273" s="7"/>
    </row>
    <row r="2274">
      <c r="A2274" s="12">
        <v>60.0</v>
      </c>
      <c r="B2274" s="7" t="s">
        <v>594</v>
      </c>
      <c r="C2274" s="7" t="s">
        <v>1717</v>
      </c>
      <c r="I2274" s="13" t="s">
        <v>1748</v>
      </c>
      <c r="J2274" s="13" t="s">
        <v>767</v>
      </c>
      <c r="K2274" s="13" t="s">
        <v>303</v>
      </c>
      <c r="L2274" s="13" t="s">
        <v>2498</v>
      </c>
      <c r="M2274" s="6" t="s">
        <v>188</v>
      </c>
      <c r="N2274" s="6" t="s">
        <v>188</v>
      </c>
      <c r="O2274" s="6" t="s">
        <v>190</v>
      </c>
      <c r="P2274" s="7" t="s">
        <v>333</v>
      </c>
      <c r="Q2274" s="13"/>
      <c r="R2274" s="13"/>
      <c r="S2274" s="13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  <c r="AE2274" s="7"/>
    </row>
    <row r="2275">
      <c r="A2275" s="12">
        <v>60.0</v>
      </c>
      <c r="B2275" s="7" t="s">
        <v>594</v>
      </c>
      <c r="C2275" s="7" t="s">
        <v>1717</v>
      </c>
      <c r="I2275" s="13" t="s">
        <v>167</v>
      </c>
      <c r="J2275" s="13" t="s">
        <v>768</v>
      </c>
      <c r="K2275" s="13" t="s">
        <v>303</v>
      </c>
      <c r="L2275" s="13" t="s">
        <v>2493</v>
      </c>
      <c r="M2275" s="6" t="s">
        <v>188</v>
      </c>
      <c r="N2275" s="6" t="s">
        <v>188</v>
      </c>
      <c r="O2275" s="6" t="s">
        <v>190</v>
      </c>
      <c r="P2275" s="7" t="s">
        <v>333</v>
      </c>
      <c r="Q2275" s="13"/>
      <c r="R2275" s="13"/>
      <c r="S2275" s="13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</row>
    <row r="2276">
      <c r="A2276" s="12">
        <v>60.0</v>
      </c>
      <c r="B2276" s="7" t="s">
        <v>594</v>
      </c>
      <c r="C2276" s="7" t="s">
        <v>1717</v>
      </c>
      <c r="I2276" s="13" t="s">
        <v>247</v>
      </c>
      <c r="J2276" s="13" t="s">
        <v>770</v>
      </c>
      <c r="K2276" s="13" t="s">
        <v>303</v>
      </c>
      <c r="L2276" s="13" t="s">
        <v>2493</v>
      </c>
      <c r="M2276" s="6" t="s">
        <v>188</v>
      </c>
      <c r="N2276" s="6" t="s">
        <v>188</v>
      </c>
      <c r="O2276" s="6" t="s">
        <v>190</v>
      </c>
      <c r="P2276" s="7" t="s">
        <v>333</v>
      </c>
      <c r="Q2276" s="13"/>
      <c r="R2276" s="13"/>
      <c r="S2276" s="13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  <c r="AE2276" s="7"/>
    </row>
    <row r="2277">
      <c r="A2277" s="12">
        <v>60.0</v>
      </c>
      <c r="B2277" s="7" t="s">
        <v>594</v>
      </c>
      <c r="C2277" s="7" t="s">
        <v>1717</v>
      </c>
      <c r="I2277" s="13" t="s">
        <v>1898</v>
      </c>
      <c r="J2277" s="13" t="s">
        <v>763</v>
      </c>
      <c r="K2277" s="13" t="s">
        <v>303</v>
      </c>
      <c r="L2277" s="13" t="s">
        <v>2493</v>
      </c>
      <c r="M2277" s="6" t="s">
        <v>188</v>
      </c>
      <c r="N2277" s="6" t="s">
        <v>188</v>
      </c>
      <c r="O2277" s="6" t="s">
        <v>190</v>
      </c>
      <c r="P2277" s="7" t="s">
        <v>333</v>
      </c>
      <c r="Q2277" s="13"/>
      <c r="R2277" s="13"/>
      <c r="S2277" s="13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  <c r="AE2277" s="7"/>
    </row>
    <row r="2278">
      <c r="A2278" s="12">
        <v>60.0</v>
      </c>
      <c r="B2278" s="7" t="s">
        <v>594</v>
      </c>
      <c r="C2278" s="7" t="s">
        <v>1717</v>
      </c>
      <c r="I2278" s="13" t="s">
        <v>481</v>
      </c>
      <c r="J2278" s="13" t="s">
        <v>764</v>
      </c>
      <c r="K2278" s="13" t="s">
        <v>303</v>
      </c>
      <c r="L2278" s="13" t="s">
        <v>2493</v>
      </c>
      <c r="M2278" s="6" t="s">
        <v>188</v>
      </c>
      <c r="N2278" s="6" t="s">
        <v>188</v>
      </c>
      <c r="O2278" s="6" t="s">
        <v>190</v>
      </c>
      <c r="P2278" s="7" t="s">
        <v>333</v>
      </c>
      <c r="Q2278" s="13"/>
      <c r="R2278" s="13"/>
      <c r="S2278" s="13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</row>
    <row r="2279">
      <c r="A2279" s="12">
        <v>60.0</v>
      </c>
      <c r="B2279" s="7" t="s">
        <v>594</v>
      </c>
      <c r="C2279" s="7" t="s">
        <v>1717</v>
      </c>
      <c r="I2279" s="13" t="s">
        <v>1980</v>
      </c>
      <c r="J2279" s="13" t="s">
        <v>765</v>
      </c>
      <c r="K2279" s="13" t="s">
        <v>303</v>
      </c>
      <c r="L2279" s="13" t="s">
        <v>2493</v>
      </c>
      <c r="M2279" s="6" t="s">
        <v>188</v>
      </c>
      <c r="N2279" s="6" t="s">
        <v>188</v>
      </c>
      <c r="O2279" s="6" t="s">
        <v>190</v>
      </c>
      <c r="P2279" s="7" t="s">
        <v>333</v>
      </c>
      <c r="Q2279" s="13"/>
      <c r="R2279" s="13"/>
      <c r="S2279" s="13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</row>
    <row r="2280">
      <c r="A2280" s="12">
        <v>60.0</v>
      </c>
      <c r="B2280" s="7" t="s">
        <v>594</v>
      </c>
      <c r="C2280" s="7" t="s">
        <v>1717</v>
      </c>
      <c r="I2280" s="13" t="s">
        <v>525</v>
      </c>
      <c r="J2280" s="13" t="s">
        <v>766</v>
      </c>
      <c r="K2280" s="13" t="s">
        <v>303</v>
      </c>
      <c r="L2280" s="13" t="s">
        <v>2493</v>
      </c>
      <c r="M2280" s="6" t="s">
        <v>188</v>
      </c>
      <c r="N2280" s="6" t="s">
        <v>188</v>
      </c>
      <c r="O2280" s="6" t="s">
        <v>190</v>
      </c>
      <c r="P2280" s="7" t="s">
        <v>333</v>
      </c>
      <c r="Q2280" s="13"/>
      <c r="R2280" s="13"/>
      <c r="S2280" s="13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</row>
    <row r="2281">
      <c r="A2281" s="12">
        <v>60.0</v>
      </c>
      <c r="B2281" s="7" t="s">
        <v>594</v>
      </c>
      <c r="C2281" s="7" t="s">
        <v>1717</v>
      </c>
      <c r="I2281" s="13" t="s">
        <v>529</v>
      </c>
      <c r="J2281" s="13" t="s">
        <v>767</v>
      </c>
      <c r="K2281" s="13" t="s">
        <v>303</v>
      </c>
      <c r="L2281" s="13" t="s">
        <v>2493</v>
      </c>
      <c r="M2281" s="6" t="s">
        <v>188</v>
      </c>
      <c r="N2281" s="6" t="s">
        <v>188</v>
      </c>
      <c r="O2281" s="6" t="s">
        <v>190</v>
      </c>
      <c r="P2281" s="7" t="s">
        <v>333</v>
      </c>
      <c r="Q2281" s="13"/>
      <c r="R2281" s="13"/>
      <c r="S2281" s="13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</row>
    <row r="2282">
      <c r="A2282" s="12">
        <v>60.0</v>
      </c>
      <c r="B2282" s="7" t="s">
        <v>594</v>
      </c>
      <c r="C2282" s="7" t="s">
        <v>1717</v>
      </c>
      <c r="I2282" s="13" t="s">
        <v>1356</v>
      </c>
      <c r="J2282" s="13" t="s">
        <v>768</v>
      </c>
      <c r="K2282" s="13" t="s">
        <v>303</v>
      </c>
      <c r="L2282" s="13" t="s">
        <v>2493</v>
      </c>
      <c r="M2282" s="6" t="s">
        <v>188</v>
      </c>
      <c r="N2282" s="6" t="s">
        <v>188</v>
      </c>
      <c r="O2282" s="6" t="s">
        <v>190</v>
      </c>
      <c r="P2282" s="7" t="s">
        <v>333</v>
      </c>
      <c r="Q2282" s="13"/>
      <c r="R2282" s="13"/>
      <c r="S2282" s="13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</row>
    <row r="2283">
      <c r="A2283" s="12">
        <v>60.0</v>
      </c>
      <c r="B2283" s="7" t="s">
        <v>594</v>
      </c>
      <c r="C2283" s="7" t="s">
        <v>1717</v>
      </c>
      <c r="I2283" s="13" t="s">
        <v>365</v>
      </c>
      <c r="J2283" s="13" t="s">
        <v>770</v>
      </c>
      <c r="K2283" s="13" t="s">
        <v>303</v>
      </c>
      <c r="L2283" s="13" t="s">
        <v>2493</v>
      </c>
      <c r="M2283" s="6" t="s">
        <v>188</v>
      </c>
      <c r="N2283" s="6" t="s">
        <v>188</v>
      </c>
      <c r="O2283" s="6" t="s">
        <v>190</v>
      </c>
      <c r="P2283" s="7" t="s">
        <v>333</v>
      </c>
      <c r="Q2283" s="13"/>
      <c r="R2283" s="13"/>
      <c r="S2283" s="13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</row>
    <row r="2284">
      <c r="A2284" s="12">
        <v>60.0</v>
      </c>
      <c r="B2284" s="7" t="s">
        <v>594</v>
      </c>
      <c r="C2284" s="7" t="s">
        <v>1717</v>
      </c>
      <c r="I2284" s="13" t="s">
        <v>614</v>
      </c>
      <c r="J2284" s="13" t="s">
        <v>763</v>
      </c>
      <c r="K2284" s="13" t="s">
        <v>303</v>
      </c>
      <c r="L2284" s="13" t="s">
        <v>2493</v>
      </c>
      <c r="M2284" s="6" t="s">
        <v>188</v>
      </c>
      <c r="N2284" s="6" t="s">
        <v>188</v>
      </c>
      <c r="O2284" s="6" t="s">
        <v>190</v>
      </c>
      <c r="P2284" s="7" t="s">
        <v>333</v>
      </c>
      <c r="Q2284" s="13"/>
      <c r="R2284" s="13"/>
      <c r="S2284" s="13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</row>
    <row r="2285">
      <c r="A2285" s="12">
        <v>60.0</v>
      </c>
      <c r="B2285" s="7" t="s">
        <v>594</v>
      </c>
      <c r="C2285" s="7" t="s">
        <v>1717</v>
      </c>
      <c r="I2285" s="13" t="s">
        <v>1706</v>
      </c>
      <c r="J2285" s="13" t="s">
        <v>764</v>
      </c>
      <c r="K2285" s="13" t="s">
        <v>303</v>
      </c>
      <c r="L2285" s="13" t="s">
        <v>2493</v>
      </c>
      <c r="M2285" s="6" t="s">
        <v>188</v>
      </c>
      <c r="N2285" s="6" t="s">
        <v>188</v>
      </c>
      <c r="O2285" s="6" t="s">
        <v>190</v>
      </c>
      <c r="P2285" s="7" t="s">
        <v>333</v>
      </c>
      <c r="Q2285" s="13"/>
      <c r="R2285" s="13"/>
      <c r="S2285" s="13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</row>
    <row r="2286">
      <c r="A2286" s="12">
        <v>60.0</v>
      </c>
      <c r="B2286" s="7" t="s">
        <v>594</v>
      </c>
      <c r="C2286" s="7" t="s">
        <v>1717</v>
      </c>
      <c r="I2286" s="13" t="s">
        <v>380</v>
      </c>
      <c r="J2286" s="13" t="s">
        <v>765</v>
      </c>
      <c r="K2286" s="13" t="s">
        <v>303</v>
      </c>
      <c r="L2286" s="13" t="s">
        <v>2493</v>
      </c>
      <c r="M2286" s="6" t="s">
        <v>188</v>
      </c>
      <c r="N2286" s="6" t="s">
        <v>188</v>
      </c>
      <c r="O2286" s="6" t="s">
        <v>190</v>
      </c>
      <c r="P2286" s="7" t="s">
        <v>333</v>
      </c>
      <c r="Q2286" s="13"/>
      <c r="R2286" s="13"/>
      <c r="S2286" s="13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</row>
    <row r="2287">
      <c r="A2287" s="12">
        <v>60.0</v>
      </c>
      <c r="B2287" s="7" t="s">
        <v>594</v>
      </c>
      <c r="C2287" s="7" t="s">
        <v>1717</v>
      </c>
      <c r="I2287" s="13" t="s">
        <v>699</v>
      </c>
      <c r="J2287" s="13" t="s">
        <v>766</v>
      </c>
      <c r="K2287" s="13" t="s">
        <v>303</v>
      </c>
      <c r="L2287" s="13" t="s">
        <v>2493</v>
      </c>
      <c r="M2287" s="6" t="s">
        <v>188</v>
      </c>
      <c r="N2287" s="6" t="s">
        <v>188</v>
      </c>
      <c r="O2287" s="6" t="s">
        <v>190</v>
      </c>
      <c r="P2287" s="7" t="s">
        <v>333</v>
      </c>
      <c r="Q2287" s="13"/>
      <c r="R2287" s="13"/>
      <c r="S2287" s="13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</row>
    <row r="2288">
      <c r="A2288" s="12">
        <v>60.0</v>
      </c>
      <c r="B2288" s="7" t="s">
        <v>594</v>
      </c>
      <c r="C2288" s="7" t="s">
        <v>1717</v>
      </c>
      <c r="I2288" s="13" t="s">
        <v>395</v>
      </c>
      <c r="J2288" s="13" t="s">
        <v>767</v>
      </c>
      <c r="K2288" s="13" t="s">
        <v>303</v>
      </c>
      <c r="L2288" s="13" t="s">
        <v>2493</v>
      </c>
      <c r="M2288" s="6" t="s">
        <v>188</v>
      </c>
      <c r="N2288" s="6" t="s">
        <v>188</v>
      </c>
      <c r="O2288" s="6" t="s">
        <v>190</v>
      </c>
      <c r="P2288" s="7" t="s">
        <v>333</v>
      </c>
      <c r="Q2288" s="13"/>
      <c r="R2288" s="13"/>
      <c r="S2288" s="13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</row>
    <row r="2289">
      <c r="A2289" s="12">
        <v>60.0</v>
      </c>
      <c r="B2289" s="7" t="s">
        <v>594</v>
      </c>
      <c r="C2289" s="7" t="s">
        <v>1717</v>
      </c>
      <c r="I2289" s="13" t="s">
        <v>404</v>
      </c>
      <c r="J2289" s="13" t="s">
        <v>768</v>
      </c>
      <c r="K2289" s="13" t="s">
        <v>303</v>
      </c>
      <c r="L2289" s="13" t="s">
        <v>2493</v>
      </c>
      <c r="M2289" s="6" t="s">
        <v>188</v>
      </c>
      <c r="N2289" s="6" t="s">
        <v>188</v>
      </c>
      <c r="O2289" s="6" t="s">
        <v>190</v>
      </c>
      <c r="P2289" s="7" t="s">
        <v>333</v>
      </c>
      <c r="Q2289" s="13"/>
      <c r="R2289" s="13"/>
      <c r="S2289" s="13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  <c r="AE2289" s="7"/>
    </row>
    <row r="2290">
      <c r="A2290" s="12">
        <v>60.0</v>
      </c>
      <c r="B2290" s="7" t="s">
        <v>594</v>
      </c>
      <c r="C2290" s="7" t="s">
        <v>1717</v>
      </c>
      <c r="I2290" s="13" t="s">
        <v>2499</v>
      </c>
      <c r="J2290" s="13" t="s">
        <v>770</v>
      </c>
      <c r="K2290" s="13" t="s">
        <v>303</v>
      </c>
      <c r="L2290" s="13" t="s">
        <v>2500</v>
      </c>
      <c r="M2290" s="6" t="s">
        <v>188</v>
      </c>
      <c r="N2290" s="6" t="s">
        <v>188</v>
      </c>
      <c r="O2290" s="6" t="s">
        <v>190</v>
      </c>
      <c r="P2290" s="7" t="s">
        <v>333</v>
      </c>
      <c r="Q2290" s="13"/>
      <c r="R2290" s="13"/>
      <c r="S2290" s="13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</row>
    <row r="2291">
      <c r="A2291" s="12">
        <v>60.0</v>
      </c>
      <c r="B2291" s="7" t="s">
        <v>594</v>
      </c>
      <c r="C2291" s="7" t="s">
        <v>1717</v>
      </c>
      <c r="I2291" s="13" t="s">
        <v>2501</v>
      </c>
      <c r="J2291" s="13" t="s">
        <v>763</v>
      </c>
      <c r="K2291" s="13" t="s">
        <v>303</v>
      </c>
      <c r="L2291" s="13" t="s">
        <v>2500</v>
      </c>
      <c r="M2291" s="6" t="s">
        <v>188</v>
      </c>
      <c r="N2291" s="6" t="s">
        <v>188</v>
      </c>
      <c r="O2291" s="6" t="s">
        <v>190</v>
      </c>
      <c r="P2291" s="7" t="s">
        <v>333</v>
      </c>
      <c r="Q2291" s="13"/>
      <c r="R2291" s="13"/>
      <c r="S2291" s="13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</row>
    <row r="2292">
      <c r="A2292" s="12">
        <v>60.0</v>
      </c>
      <c r="B2292" s="7" t="s">
        <v>594</v>
      </c>
      <c r="C2292" s="7" t="s">
        <v>1717</v>
      </c>
      <c r="I2292" s="13" t="s">
        <v>2502</v>
      </c>
      <c r="J2292" s="13" t="s">
        <v>764</v>
      </c>
      <c r="K2292" s="13" t="s">
        <v>303</v>
      </c>
      <c r="L2292" s="13" t="s">
        <v>2500</v>
      </c>
      <c r="M2292" s="6" t="s">
        <v>188</v>
      </c>
      <c r="N2292" s="6" t="s">
        <v>188</v>
      </c>
      <c r="O2292" s="6" t="s">
        <v>190</v>
      </c>
      <c r="P2292" s="7" t="s">
        <v>333</v>
      </c>
      <c r="Q2292" s="13"/>
      <c r="R2292" s="13"/>
      <c r="S2292" s="13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</row>
    <row r="2293">
      <c r="A2293" s="12">
        <v>60.0</v>
      </c>
      <c r="B2293" s="7" t="s">
        <v>594</v>
      </c>
      <c r="C2293" s="7" t="s">
        <v>1717</v>
      </c>
      <c r="I2293" s="13" t="s">
        <v>2503</v>
      </c>
      <c r="J2293" s="13" t="s">
        <v>765</v>
      </c>
      <c r="K2293" s="13" t="s">
        <v>303</v>
      </c>
      <c r="L2293" s="13" t="s">
        <v>2500</v>
      </c>
      <c r="M2293" s="6" t="s">
        <v>188</v>
      </c>
      <c r="N2293" s="6" t="s">
        <v>188</v>
      </c>
      <c r="O2293" s="6" t="s">
        <v>190</v>
      </c>
      <c r="P2293" s="7" t="s">
        <v>333</v>
      </c>
      <c r="Q2293" s="13"/>
      <c r="R2293" s="13"/>
      <c r="S2293" s="13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</row>
    <row r="2294">
      <c r="A2294" s="12">
        <v>60.0</v>
      </c>
      <c r="B2294" s="7" t="s">
        <v>594</v>
      </c>
      <c r="C2294" s="7" t="s">
        <v>1717</v>
      </c>
      <c r="I2294" s="13" t="s">
        <v>2504</v>
      </c>
      <c r="J2294" s="13" t="s">
        <v>766</v>
      </c>
      <c r="K2294" s="13" t="s">
        <v>303</v>
      </c>
      <c r="L2294" s="13" t="s">
        <v>2500</v>
      </c>
      <c r="M2294" s="6" t="s">
        <v>188</v>
      </c>
      <c r="N2294" s="6" t="s">
        <v>188</v>
      </c>
      <c r="O2294" s="6" t="s">
        <v>190</v>
      </c>
      <c r="P2294" s="7" t="s">
        <v>333</v>
      </c>
      <c r="Q2294" s="13"/>
      <c r="R2294" s="13"/>
      <c r="S2294" s="13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</row>
    <row r="2295">
      <c r="A2295" s="12">
        <v>60.0</v>
      </c>
      <c r="B2295" s="7" t="s">
        <v>594</v>
      </c>
      <c r="C2295" s="7" t="s">
        <v>1717</v>
      </c>
      <c r="I2295" s="13" t="s">
        <v>2505</v>
      </c>
      <c r="J2295" s="13" t="s">
        <v>767</v>
      </c>
      <c r="K2295" s="13" t="s">
        <v>303</v>
      </c>
      <c r="L2295" s="13" t="s">
        <v>2506</v>
      </c>
      <c r="M2295" s="6" t="s">
        <v>188</v>
      </c>
      <c r="N2295" s="6" t="s">
        <v>188</v>
      </c>
      <c r="O2295" s="6" t="s">
        <v>190</v>
      </c>
      <c r="P2295" s="7" t="s">
        <v>333</v>
      </c>
      <c r="Q2295" s="13"/>
      <c r="R2295" s="13"/>
      <c r="S2295" s="13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</row>
    <row r="2296">
      <c r="A2296" s="12">
        <v>60.0</v>
      </c>
      <c r="B2296" s="7" t="s">
        <v>594</v>
      </c>
      <c r="C2296" s="7" t="s">
        <v>1717</v>
      </c>
      <c r="I2296" s="13" t="s">
        <v>871</v>
      </c>
      <c r="J2296" s="13" t="s">
        <v>768</v>
      </c>
      <c r="K2296" s="13" t="s">
        <v>303</v>
      </c>
      <c r="L2296" s="13" t="s">
        <v>2500</v>
      </c>
      <c r="M2296" s="6" t="s">
        <v>188</v>
      </c>
      <c r="N2296" s="6" t="s">
        <v>188</v>
      </c>
      <c r="O2296" s="6" t="s">
        <v>190</v>
      </c>
      <c r="P2296" s="7" t="s">
        <v>333</v>
      </c>
      <c r="Q2296" s="13"/>
      <c r="R2296" s="13"/>
      <c r="S2296" s="13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</row>
    <row r="2297">
      <c r="A2297" s="12">
        <v>60.0</v>
      </c>
      <c r="B2297" s="7" t="s">
        <v>594</v>
      </c>
      <c r="C2297" s="7" t="s">
        <v>1717</v>
      </c>
      <c r="I2297" s="13" t="s">
        <v>2400</v>
      </c>
      <c r="J2297" s="13" t="s">
        <v>770</v>
      </c>
      <c r="K2297" s="13" t="s">
        <v>303</v>
      </c>
      <c r="L2297" s="13" t="s">
        <v>2500</v>
      </c>
      <c r="M2297" s="6" t="s">
        <v>188</v>
      </c>
      <c r="N2297" s="6" t="s">
        <v>188</v>
      </c>
      <c r="O2297" s="6" t="s">
        <v>190</v>
      </c>
      <c r="P2297" s="7" t="s">
        <v>333</v>
      </c>
      <c r="Q2297" s="13"/>
      <c r="R2297" s="13"/>
      <c r="S2297" s="13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  <c r="AE2297" s="7"/>
    </row>
    <row r="2298">
      <c r="A2298" s="12">
        <v>60.0</v>
      </c>
      <c r="B2298" s="7" t="s">
        <v>594</v>
      </c>
      <c r="C2298" s="7" t="s">
        <v>1717</v>
      </c>
      <c r="I2298" s="13" t="s">
        <v>2377</v>
      </c>
      <c r="J2298" s="13" t="s">
        <v>763</v>
      </c>
      <c r="K2298" s="13" t="s">
        <v>303</v>
      </c>
      <c r="L2298" s="13" t="s">
        <v>2500</v>
      </c>
      <c r="M2298" s="6" t="s">
        <v>188</v>
      </c>
      <c r="N2298" s="6" t="s">
        <v>188</v>
      </c>
      <c r="O2298" s="6" t="s">
        <v>190</v>
      </c>
      <c r="P2298" s="7" t="s">
        <v>333</v>
      </c>
      <c r="Q2298" s="13"/>
      <c r="R2298" s="13"/>
      <c r="S2298" s="13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  <c r="AE2298" s="7"/>
    </row>
    <row r="2299">
      <c r="A2299" s="12">
        <v>60.0</v>
      </c>
      <c r="B2299" s="7" t="s">
        <v>594</v>
      </c>
      <c r="C2299" s="7" t="s">
        <v>1717</v>
      </c>
      <c r="I2299" s="13" t="s">
        <v>2083</v>
      </c>
      <c r="J2299" s="13" t="s">
        <v>764</v>
      </c>
      <c r="K2299" s="13" t="s">
        <v>303</v>
      </c>
      <c r="L2299" s="13" t="s">
        <v>2500</v>
      </c>
      <c r="M2299" s="6" t="s">
        <v>188</v>
      </c>
      <c r="N2299" s="6" t="s">
        <v>188</v>
      </c>
      <c r="O2299" s="6" t="s">
        <v>190</v>
      </c>
      <c r="P2299" s="7" t="s">
        <v>333</v>
      </c>
      <c r="Q2299" s="13"/>
      <c r="R2299" s="13"/>
      <c r="S2299" s="13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</row>
    <row r="2300">
      <c r="A2300" s="12">
        <v>60.0</v>
      </c>
      <c r="B2300" s="7" t="s">
        <v>594</v>
      </c>
      <c r="C2300" s="7" t="s">
        <v>1717</v>
      </c>
      <c r="I2300" s="13" t="s">
        <v>1777</v>
      </c>
      <c r="J2300" s="13" t="s">
        <v>765</v>
      </c>
      <c r="K2300" s="13" t="s">
        <v>303</v>
      </c>
      <c r="L2300" s="13" t="s">
        <v>2500</v>
      </c>
      <c r="M2300" s="6" t="s">
        <v>188</v>
      </c>
      <c r="N2300" s="6" t="s">
        <v>188</v>
      </c>
      <c r="O2300" s="6" t="s">
        <v>190</v>
      </c>
      <c r="P2300" s="7" t="s">
        <v>333</v>
      </c>
      <c r="Q2300" s="13"/>
      <c r="R2300" s="13"/>
      <c r="S2300" s="13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  <c r="AE2300" s="7"/>
    </row>
    <row r="2301">
      <c r="A2301" s="12">
        <v>60.0</v>
      </c>
      <c r="B2301" s="7" t="s">
        <v>594</v>
      </c>
      <c r="C2301" s="7" t="s">
        <v>1717</v>
      </c>
      <c r="I2301" s="13" t="s">
        <v>2181</v>
      </c>
      <c r="J2301" s="13" t="s">
        <v>766</v>
      </c>
      <c r="K2301" s="13" t="s">
        <v>303</v>
      </c>
      <c r="L2301" s="13" t="s">
        <v>2507</v>
      </c>
      <c r="M2301" s="6" t="s">
        <v>188</v>
      </c>
      <c r="N2301" s="6" t="s">
        <v>188</v>
      </c>
      <c r="O2301" s="6" t="s">
        <v>190</v>
      </c>
      <c r="P2301" s="7" t="s">
        <v>333</v>
      </c>
      <c r="Q2301" s="13"/>
      <c r="R2301" s="13"/>
      <c r="S2301" s="13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  <c r="AE2301" s="7"/>
    </row>
    <row r="2302">
      <c r="A2302" s="12">
        <v>60.0</v>
      </c>
      <c r="B2302" s="7" t="s">
        <v>594</v>
      </c>
      <c r="C2302" s="7" t="s">
        <v>1717</v>
      </c>
      <c r="I2302" s="13" t="s">
        <v>2187</v>
      </c>
      <c r="J2302" s="13" t="s">
        <v>767</v>
      </c>
      <c r="K2302" s="13" t="s">
        <v>303</v>
      </c>
      <c r="L2302" s="13" t="s">
        <v>2508</v>
      </c>
      <c r="M2302" s="6" t="s">
        <v>188</v>
      </c>
      <c r="N2302" s="6" t="s">
        <v>188</v>
      </c>
      <c r="O2302" s="6" t="s">
        <v>190</v>
      </c>
      <c r="P2302" s="7" t="s">
        <v>333</v>
      </c>
      <c r="Q2302" s="13"/>
      <c r="R2302" s="13"/>
      <c r="S2302" s="13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  <c r="AE2302" s="7"/>
    </row>
    <row r="2303">
      <c r="A2303" s="12">
        <v>60.0</v>
      </c>
      <c r="B2303" s="7" t="s">
        <v>594</v>
      </c>
      <c r="C2303" s="7" t="s">
        <v>1717</v>
      </c>
      <c r="I2303" s="13" t="s">
        <v>1782</v>
      </c>
      <c r="J2303" s="13" t="s">
        <v>768</v>
      </c>
      <c r="K2303" s="13" t="s">
        <v>303</v>
      </c>
      <c r="L2303" s="13" t="s">
        <v>2500</v>
      </c>
      <c r="M2303" s="6" t="s">
        <v>188</v>
      </c>
      <c r="N2303" s="6" t="s">
        <v>188</v>
      </c>
      <c r="O2303" s="6" t="s">
        <v>190</v>
      </c>
      <c r="P2303" s="7" t="s">
        <v>333</v>
      </c>
      <c r="Q2303" s="13"/>
      <c r="R2303" s="13"/>
      <c r="S2303" s="13"/>
      <c r="T2303" s="6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</row>
    <row r="2304">
      <c r="A2304" s="12">
        <v>60.0</v>
      </c>
      <c r="B2304" s="7" t="s">
        <v>594</v>
      </c>
      <c r="C2304" s="7" t="s">
        <v>1717</v>
      </c>
      <c r="I2304" s="13" t="s">
        <v>1828</v>
      </c>
      <c r="J2304" s="13" t="s">
        <v>770</v>
      </c>
      <c r="K2304" s="13" t="s">
        <v>303</v>
      </c>
      <c r="L2304" s="13" t="s">
        <v>2500</v>
      </c>
      <c r="M2304" s="6" t="s">
        <v>188</v>
      </c>
      <c r="N2304" s="6" t="s">
        <v>188</v>
      </c>
      <c r="O2304" s="6" t="s">
        <v>190</v>
      </c>
      <c r="P2304" s="7" t="s">
        <v>333</v>
      </c>
      <c r="Q2304" s="13"/>
      <c r="R2304" s="13"/>
      <c r="S2304" s="13"/>
      <c r="T2304" s="6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</row>
    <row r="2305">
      <c r="A2305" s="12">
        <v>60.0</v>
      </c>
      <c r="B2305" s="7" t="s">
        <v>594</v>
      </c>
      <c r="C2305" s="7" t="s">
        <v>1717</v>
      </c>
      <c r="I2305" s="13" t="s">
        <v>2509</v>
      </c>
      <c r="J2305" s="13" t="s">
        <v>763</v>
      </c>
      <c r="K2305" s="13" t="s">
        <v>303</v>
      </c>
      <c r="L2305" s="13" t="s">
        <v>2510</v>
      </c>
      <c r="M2305" s="6" t="s">
        <v>188</v>
      </c>
      <c r="N2305" s="6" t="s">
        <v>188</v>
      </c>
      <c r="O2305" s="6" t="s">
        <v>190</v>
      </c>
      <c r="P2305" s="7" t="s">
        <v>333</v>
      </c>
      <c r="Q2305" s="13"/>
      <c r="R2305" s="13"/>
      <c r="S2305" s="13"/>
      <c r="T2305" s="6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</row>
    <row r="2306">
      <c r="A2306" s="12">
        <v>60.0</v>
      </c>
      <c r="B2306" s="7" t="s">
        <v>594</v>
      </c>
      <c r="C2306" s="7" t="s">
        <v>1717</v>
      </c>
      <c r="I2306" s="13" t="s">
        <v>1768</v>
      </c>
      <c r="J2306" s="13" t="s">
        <v>764</v>
      </c>
      <c r="K2306" s="13" t="s">
        <v>303</v>
      </c>
      <c r="L2306" s="13" t="s">
        <v>2500</v>
      </c>
      <c r="M2306" s="6" t="s">
        <v>188</v>
      </c>
      <c r="N2306" s="6" t="s">
        <v>188</v>
      </c>
      <c r="O2306" s="6" t="s">
        <v>190</v>
      </c>
      <c r="P2306" s="7" t="s">
        <v>333</v>
      </c>
      <c r="Q2306" s="13"/>
      <c r="R2306" s="13"/>
      <c r="S2306" s="13"/>
      <c r="T2306" s="6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  <c r="AE2306" s="7"/>
    </row>
    <row r="2307">
      <c r="A2307" s="12">
        <v>60.0</v>
      </c>
      <c r="B2307" s="7" t="s">
        <v>594</v>
      </c>
      <c r="C2307" s="7" t="s">
        <v>1717</v>
      </c>
      <c r="I2307" s="13" t="s">
        <v>1795</v>
      </c>
      <c r="J2307" s="13" t="s">
        <v>765</v>
      </c>
      <c r="K2307" s="13" t="s">
        <v>303</v>
      </c>
      <c r="L2307" s="13" t="s">
        <v>2500</v>
      </c>
      <c r="M2307" s="6" t="s">
        <v>188</v>
      </c>
      <c r="N2307" s="6" t="s">
        <v>188</v>
      </c>
      <c r="O2307" s="6" t="s">
        <v>190</v>
      </c>
      <c r="P2307" s="7" t="s">
        <v>333</v>
      </c>
      <c r="Q2307" s="13"/>
      <c r="R2307" s="13"/>
      <c r="S2307" s="13"/>
      <c r="T2307" s="6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  <c r="AE2307" s="7"/>
    </row>
    <row r="2308">
      <c r="A2308" s="12">
        <v>60.0</v>
      </c>
      <c r="B2308" s="7" t="s">
        <v>594</v>
      </c>
      <c r="C2308" s="7" t="s">
        <v>1717</v>
      </c>
      <c r="I2308" s="13" t="s">
        <v>2092</v>
      </c>
      <c r="J2308" s="13" t="s">
        <v>766</v>
      </c>
      <c r="K2308" s="13" t="s">
        <v>303</v>
      </c>
      <c r="L2308" s="13" t="s">
        <v>2500</v>
      </c>
      <c r="M2308" s="6" t="s">
        <v>188</v>
      </c>
      <c r="N2308" s="6" t="s">
        <v>188</v>
      </c>
      <c r="O2308" s="6" t="s">
        <v>190</v>
      </c>
      <c r="P2308" s="7" t="s">
        <v>333</v>
      </c>
      <c r="Q2308" s="13"/>
      <c r="R2308" s="13"/>
      <c r="S2308" s="13"/>
      <c r="T2308" s="6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</row>
    <row r="2309">
      <c r="A2309" s="12">
        <v>60.0</v>
      </c>
      <c r="B2309" s="7" t="s">
        <v>594</v>
      </c>
      <c r="C2309" s="7" t="s">
        <v>1717</v>
      </c>
      <c r="I2309" s="13" t="s">
        <v>1400</v>
      </c>
      <c r="J2309" s="13" t="s">
        <v>767</v>
      </c>
      <c r="K2309" s="13" t="s">
        <v>303</v>
      </c>
      <c r="L2309" s="13" t="s">
        <v>2500</v>
      </c>
      <c r="M2309" s="6" t="s">
        <v>188</v>
      </c>
      <c r="N2309" s="6" t="s">
        <v>188</v>
      </c>
      <c r="O2309" s="6" t="s">
        <v>190</v>
      </c>
      <c r="P2309" s="7" t="s">
        <v>333</v>
      </c>
      <c r="Q2309" s="13"/>
      <c r="R2309" s="13"/>
      <c r="S2309" s="13"/>
      <c r="T2309" s="6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  <c r="AE2309" s="7"/>
    </row>
    <row r="2310">
      <c r="A2310" s="12">
        <v>60.0</v>
      </c>
      <c r="B2310" s="7" t="s">
        <v>594</v>
      </c>
      <c r="C2310" s="7" t="s">
        <v>1717</v>
      </c>
      <c r="I2310" s="13" t="s">
        <v>1971</v>
      </c>
      <c r="J2310" s="13" t="s">
        <v>768</v>
      </c>
      <c r="K2310" s="13" t="s">
        <v>303</v>
      </c>
      <c r="L2310" s="13" t="s">
        <v>2500</v>
      </c>
      <c r="M2310" s="6" t="s">
        <v>188</v>
      </c>
      <c r="N2310" s="6" t="s">
        <v>188</v>
      </c>
      <c r="O2310" s="6" t="s">
        <v>190</v>
      </c>
      <c r="P2310" s="7" t="s">
        <v>333</v>
      </c>
      <c r="Q2310" s="13"/>
      <c r="R2310" s="13"/>
      <c r="S2310" s="13"/>
      <c r="T2310" s="6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</row>
    <row r="2311">
      <c r="A2311" s="12">
        <v>60.0</v>
      </c>
      <c r="B2311" s="7" t="s">
        <v>594</v>
      </c>
      <c r="C2311" s="7" t="s">
        <v>1717</v>
      </c>
      <c r="I2311" s="13" t="s">
        <v>2256</v>
      </c>
      <c r="J2311" s="13" t="s">
        <v>770</v>
      </c>
      <c r="K2311" s="13" t="s">
        <v>303</v>
      </c>
      <c r="L2311" s="13" t="s">
        <v>2500</v>
      </c>
      <c r="M2311" s="6" t="s">
        <v>188</v>
      </c>
      <c r="N2311" s="6" t="s">
        <v>188</v>
      </c>
      <c r="O2311" s="6" t="s">
        <v>190</v>
      </c>
      <c r="P2311" s="7" t="s">
        <v>333</v>
      </c>
      <c r="Q2311" s="13"/>
      <c r="R2311" s="13"/>
      <c r="S2311" s="13"/>
      <c r="T2311" s="6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  <c r="AE2311" s="7"/>
    </row>
    <row r="2312">
      <c r="A2312" s="12">
        <v>60.0</v>
      </c>
      <c r="B2312" s="7" t="s">
        <v>594</v>
      </c>
      <c r="C2312" s="7" t="s">
        <v>1717</v>
      </c>
      <c r="I2312" s="13" t="s">
        <v>1100</v>
      </c>
      <c r="J2312" s="13" t="s">
        <v>763</v>
      </c>
      <c r="K2312" s="13" t="s">
        <v>303</v>
      </c>
      <c r="L2312" s="13" t="s">
        <v>2500</v>
      </c>
      <c r="M2312" s="6" t="s">
        <v>188</v>
      </c>
      <c r="N2312" s="6" t="s">
        <v>188</v>
      </c>
      <c r="O2312" s="6" t="s">
        <v>190</v>
      </c>
      <c r="P2312" s="7" t="s">
        <v>333</v>
      </c>
      <c r="Q2312" s="13"/>
      <c r="R2312" s="13"/>
      <c r="S2312" s="13"/>
      <c r="T2312" s="6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</row>
    <row r="2313">
      <c r="A2313" s="12">
        <v>60.0</v>
      </c>
      <c r="B2313" s="7" t="s">
        <v>594</v>
      </c>
      <c r="C2313" s="7" t="s">
        <v>1717</v>
      </c>
      <c r="I2313" s="13" t="s">
        <v>1762</v>
      </c>
      <c r="J2313" s="13" t="s">
        <v>764</v>
      </c>
      <c r="K2313" s="13" t="s">
        <v>303</v>
      </c>
      <c r="L2313" s="13" t="s">
        <v>2500</v>
      </c>
      <c r="M2313" s="6" t="s">
        <v>188</v>
      </c>
      <c r="N2313" s="6" t="s">
        <v>188</v>
      </c>
      <c r="O2313" s="6" t="s">
        <v>190</v>
      </c>
      <c r="P2313" s="7" t="s">
        <v>333</v>
      </c>
      <c r="Q2313" s="13"/>
      <c r="R2313" s="13"/>
      <c r="S2313" s="13"/>
      <c r="T2313" s="6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</row>
    <row r="2314">
      <c r="A2314" s="12">
        <v>60.0</v>
      </c>
      <c r="B2314" s="7" t="s">
        <v>594</v>
      </c>
      <c r="C2314" s="7" t="s">
        <v>1717</v>
      </c>
      <c r="I2314" s="13" t="s">
        <v>1710</v>
      </c>
      <c r="J2314" s="13" t="s">
        <v>765</v>
      </c>
      <c r="K2314" s="13" t="s">
        <v>303</v>
      </c>
      <c r="L2314" s="13" t="s">
        <v>2500</v>
      </c>
      <c r="M2314" s="6" t="s">
        <v>188</v>
      </c>
      <c r="N2314" s="6" t="s">
        <v>188</v>
      </c>
      <c r="O2314" s="6" t="s">
        <v>190</v>
      </c>
      <c r="P2314" s="7" t="s">
        <v>333</v>
      </c>
      <c r="Q2314" s="13"/>
      <c r="R2314" s="13"/>
      <c r="S2314" s="13"/>
      <c r="T2314" s="6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</row>
    <row r="2315">
      <c r="A2315" s="12">
        <v>60.0</v>
      </c>
      <c r="B2315" s="7" t="s">
        <v>594</v>
      </c>
      <c r="C2315" s="7" t="s">
        <v>1717</v>
      </c>
      <c r="I2315" s="13" t="s">
        <v>1984</v>
      </c>
      <c r="J2315" s="13" t="s">
        <v>766</v>
      </c>
      <c r="K2315" s="13" t="s">
        <v>303</v>
      </c>
      <c r="L2315" s="13" t="s">
        <v>2500</v>
      </c>
      <c r="M2315" s="6" t="s">
        <v>188</v>
      </c>
      <c r="N2315" s="6" t="s">
        <v>188</v>
      </c>
      <c r="O2315" s="6" t="s">
        <v>190</v>
      </c>
      <c r="P2315" s="7" t="s">
        <v>333</v>
      </c>
      <c r="Q2315" s="13"/>
      <c r="R2315" s="13"/>
      <c r="S2315" s="13"/>
      <c r="T2315" s="6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  <c r="AE2315" s="7"/>
    </row>
    <row r="2316">
      <c r="A2316" s="12">
        <v>60.0</v>
      </c>
      <c r="B2316" s="7" t="s">
        <v>594</v>
      </c>
      <c r="C2316" s="7" t="s">
        <v>1717</v>
      </c>
      <c r="I2316" s="13" t="s">
        <v>1724</v>
      </c>
      <c r="J2316" s="13" t="s">
        <v>767</v>
      </c>
      <c r="K2316" s="13" t="s">
        <v>303</v>
      </c>
      <c r="L2316" s="13" t="s">
        <v>2506</v>
      </c>
      <c r="M2316" s="6" t="s">
        <v>188</v>
      </c>
      <c r="N2316" s="6" t="s">
        <v>188</v>
      </c>
      <c r="O2316" s="6" t="s">
        <v>190</v>
      </c>
      <c r="P2316" s="7" t="s">
        <v>333</v>
      </c>
      <c r="Q2316" s="13"/>
      <c r="R2316" s="13"/>
      <c r="S2316" s="13"/>
      <c r="T2316" s="6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</row>
    <row r="2317">
      <c r="A2317" s="12">
        <v>60.0</v>
      </c>
      <c r="B2317" s="7" t="s">
        <v>594</v>
      </c>
      <c r="C2317" s="7" t="s">
        <v>1717</v>
      </c>
      <c r="I2317" s="13" t="s">
        <v>1014</v>
      </c>
      <c r="J2317" s="13" t="s">
        <v>768</v>
      </c>
      <c r="K2317" s="13" t="s">
        <v>303</v>
      </c>
      <c r="L2317" s="13" t="s">
        <v>2500</v>
      </c>
      <c r="M2317" s="6" t="s">
        <v>188</v>
      </c>
      <c r="N2317" s="6" t="s">
        <v>188</v>
      </c>
      <c r="O2317" s="6" t="s">
        <v>190</v>
      </c>
      <c r="P2317" s="7" t="s">
        <v>333</v>
      </c>
      <c r="Q2317" s="13"/>
      <c r="R2317" s="13"/>
      <c r="S2317" s="13"/>
      <c r="T2317" s="6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  <c r="AE2317" s="7"/>
    </row>
    <row r="2318">
      <c r="A2318" s="12">
        <v>60.0</v>
      </c>
      <c r="B2318" s="7" t="s">
        <v>594</v>
      </c>
      <c r="C2318" s="7" t="s">
        <v>1717</v>
      </c>
      <c r="I2318" s="13" t="s">
        <v>1759</v>
      </c>
      <c r="J2318" s="13" t="s">
        <v>770</v>
      </c>
      <c r="K2318" s="13" t="s">
        <v>303</v>
      </c>
      <c r="L2318" s="13" t="s">
        <v>2500</v>
      </c>
      <c r="M2318" s="6" t="s">
        <v>188</v>
      </c>
      <c r="N2318" s="6" t="s">
        <v>188</v>
      </c>
      <c r="O2318" s="6" t="s">
        <v>190</v>
      </c>
      <c r="P2318" s="7" t="s">
        <v>333</v>
      </c>
      <c r="Q2318" s="13"/>
      <c r="R2318" s="13"/>
      <c r="S2318" s="13"/>
      <c r="T2318" s="6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</row>
    <row r="2319">
      <c r="A2319" s="12">
        <v>60.0</v>
      </c>
      <c r="B2319" s="7" t="s">
        <v>594</v>
      </c>
      <c r="C2319" s="7" t="s">
        <v>1717</v>
      </c>
      <c r="I2319" s="13" t="s">
        <v>1528</v>
      </c>
      <c r="J2319" s="13" t="s">
        <v>763</v>
      </c>
      <c r="K2319" s="13" t="s">
        <v>303</v>
      </c>
      <c r="L2319" s="13" t="s">
        <v>2500</v>
      </c>
      <c r="M2319" s="6" t="s">
        <v>188</v>
      </c>
      <c r="N2319" s="6" t="s">
        <v>188</v>
      </c>
      <c r="O2319" s="6" t="s">
        <v>190</v>
      </c>
      <c r="P2319" s="7" t="s">
        <v>333</v>
      </c>
      <c r="Q2319" s="13"/>
      <c r="R2319" s="13"/>
      <c r="S2319" s="13"/>
      <c r="T2319" s="6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  <c r="AE2319" s="7"/>
    </row>
    <row r="2320">
      <c r="A2320" s="12">
        <v>60.0</v>
      </c>
      <c r="B2320" s="7" t="s">
        <v>594</v>
      </c>
      <c r="C2320" s="7" t="s">
        <v>1717</v>
      </c>
      <c r="I2320" s="13" t="s">
        <v>1958</v>
      </c>
      <c r="J2320" s="13" t="s">
        <v>764</v>
      </c>
      <c r="K2320" s="13" t="s">
        <v>303</v>
      </c>
      <c r="L2320" s="13" t="s">
        <v>2500</v>
      </c>
      <c r="M2320" s="6" t="s">
        <v>188</v>
      </c>
      <c r="N2320" s="6" t="s">
        <v>188</v>
      </c>
      <c r="O2320" s="6" t="s">
        <v>190</v>
      </c>
      <c r="P2320" s="7" t="s">
        <v>333</v>
      </c>
      <c r="Q2320" s="13"/>
      <c r="R2320" s="13"/>
      <c r="S2320" s="13"/>
      <c r="T2320" s="6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</row>
    <row r="2321">
      <c r="A2321" s="12">
        <v>60.0</v>
      </c>
      <c r="B2321" s="7" t="s">
        <v>594</v>
      </c>
      <c r="C2321" s="7" t="s">
        <v>1717</v>
      </c>
      <c r="I2321" s="13" t="s">
        <v>1501</v>
      </c>
      <c r="J2321" s="13" t="s">
        <v>765</v>
      </c>
      <c r="K2321" s="13" t="s">
        <v>303</v>
      </c>
      <c r="L2321" s="13" t="s">
        <v>2500</v>
      </c>
      <c r="M2321" s="6" t="s">
        <v>188</v>
      </c>
      <c r="N2321" s="6" t="s">
        <v>188</v>
      </c>
      <c r="O2321" s="6" t="s">
        <v>190</v>
      </c>
      <c r="P2321" s="7" t="s">
        <v>333</v>
      </c>
      <c r="Q2321" s="13"/>
      <c r="R2321" s="13"/>
      <c r="S2321" s="13"/>
      <c r="T2321" s="6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  <c r="AE2321" s="7"/>
    </row>
    <row r="2322">
      <c r="A2322" s="12">
        <v>60.0</v>
      </c>
      <c r="B2322" s="7" t="s">
        <v>594</v>
      </c>
      <c r="C2322" s="7" t="s">
        <v>1717</v>
      </c>
      <c r="I2322" s="13" t="s">
        <v>1408</v>
      </c>
      <c r="J2322" s="13" t="s">
        <v>766</v>
      </c>
      <c r="K2322" s="13" t="s">
        <v>303</v>
      </c>
      <c r="L2322" s="13" t="s">
        <v>2495</v>
      </c>
      <c r="M2322" s="6" t="s">
        <v>188</v>
      </c>
      <c r="N2322" s="6" t="s">
        <v>188</v>
      </c>
      <c r="O2322" s="6" t="s">
        <v>190</v>
      </c>
      <c r="P2322" s="7" t="s">
        <v>333</v>
      </c>
      <c r="Q2322" s="13"/>
      <c r="R2322" s="13"/>
      <c r="S2322" s="13"/>
      <c r="T2322" s="6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</row>
    <row r="2323">
      <c r="A2323" s="12">
        <v>60.0</v>
      </c>
      <c r="B2323" s="7" t="s">
        <v>594</v>
      </c>
      <c r="C2323" s="7" t="s">
        <v>1717</v>
      </c>
      <c r="I2323" s="13" t="s">
        <v>1336</v>
      </c>
      <c r="J2323" s="13" t="s">
        <v>767</v>
      </c>
      <c r="K2323" s="13" t="s">
        <v>303</v>
      </c>
      <c r="L2323" s="13" t="s">
        <v>2500</v>
      </c>
      <c r="M2323" s="6" t="s">
        <v>188</v>
      </c>
      <c r="N2323" s="6" t="s">
        <v>188</v>
      </c>
      <c r="O2323" s="6" t="s">
        <v>190</v>
      </c>
      <c r="P2323" s="7" t="s">
        <v>333</v>
      </c>
      <c r="Q2323" s="13"/>
      <c r="R2323" s="13"/>
      <c r="S2323" s="13"/>
      <c r="T2323" s="6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  <c r="AE2323" s="7"/>
    </row>
    <row r="2324">
      <c r="A2324" s="12">
        <v>60.0</v>
      </c>
      <c r="B2324" s="7" t="s">
        <v>594</v>
      </c>
      <c r="C2324" s="7" t="s">
        <v>1717</v>
      </c>
      <c r="I2324" s="13" t="s">
        <v>1123</v>
      </c>
      <c r="J2324" s="13" t="s">
        <v>768</v>
      </c>
      <c r="K2324" s="13" t="s">
        <v>303</v>
      </c>
      <c r="L2324" s="13" t="s">
        <v>2500</v>
      </c>
      <c r="M2324" s="6" t="s">
        <v>188</v>
      </c>
      <c r="N2324" s="6" t="s">
        <v>188</v>
      </c>
      <c r="O2324" s="6" t="s">
        <v>190</v>
      </c>
      <c r="P2324" s="7" t="s">
        <v>333</v>
      </c>
      <c r="Q2324" s="13"/>
      <c r="R2324" s="13"/>
      <c r="S2324" s="13"/>
      <c r="T2324" s="6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</row>
    <row r="2325">
      <c r="A2325" s="12">
        <v>60.0</v>
      </c>
      <c r="B2325" s="7" t="s">
        <v>594</v>
      </c>
      <c r="C2325" s="7" t="s">
        <v>1717</v>
      </c>
      <c r="I2325" s="13" t="s">
        <v>1463</v>
      </c>
      <c r="J2325" s="13" t="s">
        <v>770</v>
      </c>
      <c r="K2325" s="13" t="s">
        <v>303</v>
      </c>
      <c r="L2325" s="13" t="s">
        <v>2500</v>
      </c>
      <c r="M2325" s="6" t="s">
        <v>188</v>
      </c>
      <c r="N2325" s="6" t="s">
        <v>188</v>
      </c>
      <c r="O2325" s="6" t="s">
        <v>190</v>
      </c>
      <c r="P2325" s="7" t="s">
        <v>333</v>
      </c>
      <c r="Q2325" s="13"/>
      <c r="R2325" s="13"/>
      <c r="S2325" s="13"/>
      <c r="T2325" s="6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  <c r="AE2325" s="7"/>
    </row>
    <row r="2326">
      <c r="A2326" s="12">
        <v>60.0</v>
      </c>
      <c r="B2326" s="7" t="s">
        <v>594</v>
      </c>
      <c r="C2326" s="7" t="s">
        <v>1717</v>
      </c>
      <c r="I2326" s="13" t="s">
        <v>2286</v>
      </c>
      <c r="J2326" s="13" t="s">
        <v>763</v>
      </c>
      <c r="K2326" s="13" t="s">
        <v>303</v>
      </c>
      <c r="L2326" s="13" t="s">
        <v>2511</v>
      </c>
      <c r="M2326" s="6" t="s">
        <v>188</v>
      </c>
      <c r="N2326" s="6" t="s">
        <v>188</v>
      </c>
      <c r="O2326" s="6" t="s">
        <v>190</v>
      </c>
      <c r="P2326" s="7" t="s">
        <v>333</v>
      </c>
      <c r="Q2326" s="13"/>
      <c r="R2326" s="13"/>
      <c r="S2326" s="13"/>
      <c r="T2326" s="6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  <c r="AE2326" s="7"/>
    </row>
    <row r="2327">
      <c r="A2327" s="12">
        <v>60.0</v>
      </c>
      <c r="B2327" s="7" t="s">
        <v>594</v>
      </c>
      <c r="C2327" s="7" t="s">
        <v>1717</v>
      </c>
      <c r="I2327" s="13" t="s">
        <v>1503</v>
      </c>
      <c r="J2327" s="13" t="s">
        <v>764</v>
      </c>
      <c r="K2327" s="13" t="s">
        <v>303</v>
      </c>
      <c r="L2327" s="13" t="s">
        <v>2500</v>
      </c>
      <c r="M2327" s="6" t="s">
        <v>188</v>
      </c>
      <c r="N2327" s="6" t="s">
        <v>188</v>
      </c>
      <c r="O2327" s="6" t="s">
        <v>190</v>
      </c>
      <c r="P2327" s="7" t="s">
        <v>333</v>
      </c>
      <c r="Q2327" s="13"/>
      <c r="R2327" s="13"/>
      <c r="S2327" s="13"/>
      <c r="T2327" s="6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  <c r="AE2327" s="7"/>
    </row>
    <row r="2328">
      <c r="A2328" s="12">
        <v>60.0</v>
      </c>
      <c r="B2328" s="7" t="s">
        <v>594</v>
      </c>
      <c r="C2328" s="7" t="s">
        <v>1717</v>
      </c>
      <c r="I2328" s="13" t="s">
        <v>1558</v>
      </c>
      <c r="J2328" s="13" t="s">
        <v>765</v>
      </c>
      <c r="K2328" s="13" t="s">
        <v>303</v>
      </c>
      <c r="L2328" s="13" t="s">
        <v>2500</v>
      </c>
      <c r="M2328" s="6" t="s">
        <v>188</v>
      </c>
      <c r="N2328" s="6" t="s">
        <v>188</v>
      </c>
      <c r="O2328" s="6" t="s">
        <v>190</v>
      </c>
      <c r="P2328" s="7" t="s">
        <v>333</v>
      </c>
      <c r="Q2328" s="13"/>
      <c r="R2328" s="13"/>
      <c r="S2328" s="13"/>
      <c r="T2328" s="6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</row>
    <row r="2329">
      <c r="A2329" s="12">
        <v>60.0</v>
      </c>
      <c r="B2329" s="7" t="s">
        <v>594</v>
      </c>
      <c r="C2329" s="7" t="s">
        <v>1717</v>
      </c>
      <c r="I2329" s="13" t="s">
        <v>1719</v>
      </c>
      <c r="J2329" s="13" t="s">
        <v>766</v>
      </c>
      <c r="K2329" s="13" t="s">
        <v>303</v>
      </c>
      <c r="L2329" s="13" t="s">
        <v>2500</v>
      </c>
      <c r="M2329" s="6" t="s">
        <v>188</v>
      </c>
      <c r="N2329" s="6" t="s">
        <v>188</v>
      </c>
      <c r="O2329" s="6" t="s">
        <v>190</v>
      </c>
      <c r="P2329" s="7" t="s">
        <v>333</v>
      </c>
      <c r="Q2329" s="13"/>
      <c r="R2329" s="13"/>
      <c r="S2329" s="13"/>
      <c r="T2329" s="6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</row>
    <row r="2330">
      <c r="A2330" s="12">
        <v>60.0</v>
      </c>
      <c r="B2330" s="7" t="s">
        <v>594</v>
      </c>
      <c r="C2330" s="7" t="s">
        <v>1717</v>
      </c>
      <c r="I2330" s="13" t="s">
        <v>1320</v>
      </c>
      <c r="J2330" s="13" t="s">
        <v>767</v>
      </c>
      <c r="K2330" s="13" t="s">
        <v>303</v>
      </c>
      <c r="L2330" s="13" t="s">
        <v>2500</v>
      </c>
      <c r="M2330" s="6" t="s">
        <v>188</v>
      </c>
      <c r="N2330" s="6" t="s">
        <v>188</v>
      </c>
      <c r="O2330" s="6" t="s">
        <v>190</v>
      </c>
      <c r="P2330" s="7" t="s">
        <v>333</v>
      </c>
      <c r="Q2330" s="13"/>
      <c r="R2330" s="13"/>
      <c r="S2330" s="13"/>
      <c r="T2330" s="6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</row>
    <row r="2331">
      <c r="A2331" s="12">
        <v>60.0</v>
      </c>
      <c r="B2331" s="7" t="s">
        <v>594</v>
      </c>
      <c r="C2331" s="7" t="s">
        <v>1717</v>
      </c>
      <c r="I2331" s="13" t="s">
        <v>1423</v>
      </c>
      <c r="J2331" s="13" t="s">
        <v>768</v>
      </c>
      <c r="K2331" s="13" t="s">
        <v>303</v>
      </c>
      <c r="L2331" s="13" t="s">
        <v>2495</v>
      </c>
      <c r="M2331" s="6" t="s">
        <v>188</v>
      </c>
      <c r="N2331" s="6" t="s">
        <v>188</v>
      </c>
      <c r="O2331" s="6" t="s">
        <v>190</v>
      </c>
      <c r="P2331" s="7" t="s">
        <v>333</v>
      </c>
      <c r="Q2331" s="13"/>
      <c r="R2331" s="13"/>
      <c r="S2331" s="13"/>
      <c r="T2331" s="6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</row>
    <row r="2332">
      <c r="A2332" s="12">
        <v>60.0</v>
      </c>
      <c r="B2332" s="7" t="s">
        <v>594</v>
      </c>
      <c r="C2332" s="7" t="s">
        <v>1717</v>
      </c>
      <c r="I2332" s="13" t="s">
        <v>1096</v>
      </c>
      <c r="J2332" s="13" t="s">
        <v>770</v>
      </c>
      <c r="K2332" s="13" t="s">
        <v>303</v>
      </c>
      <c r="L2332" s="13" t="s">
        <v>2500</v>
      </c>
      <c r="M2332" s="6" t="s">
        <v>188</v>
      </c>
      <c r="N2332" s="6" t="s">
        <v>188</v>
      </c>
      <c r="O2332" s="6" t="s">
        <v>190</v>
      </c>
      <c r="P2332" s="7" t="s">
        <v>333</v>
      </c>
      <c r="Q2332" s="13"/>
      <c r="R2332" s="13"/>
      <c r="S2332" s="13"/>
      <c r="T2332" s="6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</row>
    <row r="2333">
      <c r="A2333" s="12">
        <v>60.0</v>
      </c>
      <c r="B2333" s="7" t="s">
        <v>594</v>
      </c>
      <c r="C2333" s="7" t="s">
        <v>1717</v>
      </c>
      <c r="I2333" s="13" t="s">
        <v>1155</v>
      </c>
      <c r="J2333" s="13" t="s">
        <v>763</v>
      </c>
      <c r="K2333" s="13" t="s">
        <v>303</v>
      </c>
      <c r="L2333" s="13" t="s">
        <v>2500</v>
      </c>
      <c r="M2333" s="6" t="s">
        <v>188</v>
      </c>
      <c r="N2333" s="6" t="s">
        <v>188</v>
      </c>
      <c r="O2333" s="6" t="s">
        <v>190</v>
      </c>
      <c r="P2333" s="7" t="s">
        <v>333</v>
      </c>
      <c r="Q2333" s="13"/>
      <c r="R2333" s="13"/>
      <c r="S2333" s="13"/>
      <c r="T2333" s="6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</row>
    <row r="2334">
      <c r="A2334" s="12">
        <v>60.0</v>
      </c>
      <c r="B2334" s="7" t="s">
        <v>594</v>
      </c>
      <c r="C2334" s="7" t="s">
        <v>1717</v>
      </c>
      <c r="I2334" s="13" t="s">
        <v>1709</v>
      </c>
      <c r="J2334" s="13" t="s">
        <v>764</v>
      </c>
      <c r="K2334" s="13" t="s">
        <v>303</v>
      </c>
      <c r="L2334" s="13" t="s">
        <v>2500</v>
      </c>
      <c r="M2334" s="6" t="s">
        <v>188</v>
      </c>
      <c r="N2334" s="6" t="s">
        <v>188</v>
      </c>
      <c r="O2334" s="6" t="s">
        <v>190</v>
      </c>
      <c r="P2334" s="7" t="s">
        <v>333</v>
      </c>
      <c r="Q2334" s="13"/>
      <c r="R2334" s="13"/>
      <c r="S2334" s="13"/>
      <c r="T2334" s="6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</row>
    <row r="2335">
      <c r="A2335" s="12">
        <v>60.0</v>
      </c>
      <c r="B2335" s="7" t="s">
        <v>594</v>
      </c>
      <c r="C2335" s="7" t="s">
        <v>1717</v>
      </c>
      <c r="I2335" s="13" t="s">
        <v>2239</v>
      </c>
      <c r="J2335" s="13" t="s">
        <v>765</v>
      </c>
      <c r="K2335" s="13" t="s">
        <v>303</v>
      </c>
      <c r="L2335" s="13" t="s">
        <v>2500</v>
      </c>
      <c r="M2335" s="6" t="s">
        <v>188</v>
      </c>
      <c r="N2335" s="6" t="s">
        <v>188</v>
      </c>
      <c r="O2335" s="6" t="s">
        <v>190</v>
      </c>
      <c r="P2335" s="7" t="s">
        <v>333</v>
      </c>
      <c r="Q2335" s="13"/>
      <c r="R2335" s="13"/>
      <c r="S2335" s="13"/>
      <c r="T2335" s="6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</row>
    <row r="2336">
      <c r="A2336" s="12">
        <v>60.0</v>
      </c>
      <c r="B2336" s="7" t="s">
        <v>594</v>
      </c>
      <c r="C2336" s="7" t="s">
        <v>1717</v>
      </c>
      <c r="I2336" s="13" t="s">
        <v>1466</v>
      </c>
      <c r="J2336" s="13" t="s">
        <v>766</v>
      </c>
      <c r="K2336" s="13" t="s">
        <v>303</v>
      </c>
      <c r="L2336" s="13" t="s">
        <v>2500</v>
      </c>
      <c r="M2336" s="6" t="s">
        <v>188</v>
      </c>
      <c r="N2336" s="6" t="s">
        <v>188</v>
      </c>
      <c r="O2336" s="6" t="s">
        <v>190</v>
      </c>
      <c r="P2336" s="7" t="s">
        <v>333</v>
      </c>
      <c r="Q2336" s="13"/>
      <c r="R2336" s="13"/>
      <c r="S2336" s="13"/>
      <c r="T2336" s="6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  <c r="AE2336" s="7"/>
    </row>
    <row r="2337">
      <c r="A2337" s="12">
        <v>60.0</v>
      </c>
      <c r="B2337" s="7" t="s">
        <v>594</v>
      </c>
      <c r="C2337" s="7" t="s">
        <v>1717</v>
      </c>
      <c r="I2337" s="13" t="s">
        <v>2227</v>
      </c>
      <c r="J2337" s="13" t="s">
        <v>767</v>
      </c>
      <c r="K2337" s="13" t="s">
        <v>303</v>
      </c>
      <c r="L2337" s="13" t="s">
        <v>2511</v>
      </c>
      <c r="M2337" s="6" t="s">
        <v>188</v>
      </c>
      <c r="N2337" s="6" t="s">
        <v>188</v>
      </c>
      <c r="O2337" s="6" t="s">
        <v>190</v>
      </c>
      <c r="P2337" s="7" t="s">
        <v>333</v>
      </c>
      <c r="Q2337" s="13"/>
      <c r="R2337" s="13"/>
      <c r="S2337" s="13"/>
      <c r="T2337" s="6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</row>
    <row r="2338">
      <c r="A2338" s="12">
        <v>60.0</v>
      </c>
      <c r="B2338" s="7" t="s">
        <v>594</v>
      </c>
      <c r="C2338" s="7" t="s">
        <v>1717</v>
      </c>
      <c r="I2338" s="13" t="s">
        <v>2512</v>
      </c>
      <c r="J2338" s="13" t="s">
        <v>768</v>
      </c>
      <c r="K2338" s="13" t="s">
        <v>303</v>
      </c>
      <c r="L2338" s="13" t="s">
        <v>2513</v>
      </c>
      <c r="M2338" s="6" t="s">
        <v>188</v>
      </c>
      <c r="N2338" s="6" t="s">
        <v>188</v>
      </c>
      <c r="O2338" s="6" t="s">
        <v>190</v>
      </c>
      <c r="P2338" s="7" t="s">
        <v>333</v>
      </c>
      <c r="Q2338" s="13"/>
      <c r="R2338" s="13"/>
      <c r="S2338" s="13"/>
      <c r="T2338" s="6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</row>
    <row r="2339">
      <c r="A2339" s="12">
        <v>60.0</v>
      </c>
      <c r="B2339" s="7" t="s">
        <v>594</v>
      </c>
      <c r="C2339" s="7" t="s">
        <v>1717</v>
      </c>
      <c r="I2339" s="13" t="s">
        <v>2514</v>
      </c>
      <c r="J2339" s="13" t="s">
        <v>770</v>
      </c>
      <c r="K2339" s="13" t="s">
        <v>303</v>
      </c>
      <c r="L2339" s="13" t="s">
        <v>2515</v>
      </c>
      <c r="M2339" s="6" t="s">
        <v>188</v>
      </c>
      <c r="N2339" s="6" t="s">
        <v>188</v>
      </c>
      <c r="O2339" s="6" t="s">
        <v>190</v>
      </c>
      <c r="P2339" s="7" t="s">
        <v>333</v>
      </c>
      <c r="Q2339" s="13"/>
      <c r="R2339" s="13"/>
      <c r="S2339" s="13"/>
      <c r="T2339" s="6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</row>
    <row r="2340">
      <c r="A2340" s="12">
        <v>60.0</v>
      </c>
      <c r="B2340" s="7" t="s">
        <v>594</v>
      </c>
      <c r="C2340" s="7" t="s">
        <v>1717</v>
      </c>
      <c r="I2340" s="13" t="s">
        <v>2516</v>
      </c>
      <c r="J2340" s="13" t="s">
        <v>763</v>
      </c>
      <c r="K2340" s="13" t="s">
        <v>303</v>
      </c>
      <c r="L2340" s="13" t="s">
        <v>2513</v>
      </c>
      <c r="M2340" s="6" t="s">
        <v>188</v>
      </c>
      <c r="N2340" s="6" t="s">
        <v>188</v>
      </c>
      <c r="O2340" s="6" t="s">
        <v>190</v>
      </c>
      <c r="P2340" s="7" t="s">
        <v>333</v>
      </c>
      <c r="Q2340" s="13"/>
      <c r="R2340" s="13"/>
      <c r="S2340" s="13"/>
      <c r="T2340" s="6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</row>
    <row r="2341">
      <c r="A2341" s="12">
        <v>60.0</v>
      </c>
      <c r="B2341" s="7" t="s">
        <v>594</v>
      </c>
      <c r="C2341" s="7" t="s">
        <v>1717</v>
      </c>
      <c r="I2341" s="13" t="s">
        <v>2517</v>
      </c>
      <c r="J2341" s="13" t="s">
        <v>764</v>
      </c>
      <c r="K2341" s="13" t="s">
        <v>303</v>
      </c>
      <c r="L2341" s="13" t="s">
        <v>2513</v>
      </c>
      <c r="M2341" s="6" t="s">
        <v>188</v>
      </c>
      <c r="N2341" s="6" t="s">
        <v>188</v>
      </c>
      <c r="O2341" s="6" t="s">
        <v>190</v>
      </c>
      <c r="P2341" s="7" t="s">
        <v>333</v>
      </c>
      <c r="Q2341" s="13"/>
      <c r="R2341" s="13"/>
      <c r="S2341" s="13"/>
      <c r="T2341" s="6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  <c r="AE2341" s="7"/>
    </row>
    <row r="2342">
      <c r="A2342" s="12">
        <v>60.0</v>
      </c>
      <c r="B2342" s="7" t="s">
        <v>594</v>
      </c>
      <c r="C2342" s="7" t="s">
        <v>1717</v>
      </c>
      <c r="I2342" s="13" t="s">
        <v>2518</v>
      </c>
      <c r="J2342" s="13" t="s">
        <v>765</v>
      </c>
      <c r="K2342" s="13" t="s">
        <v>303</v>
      </c>
      <c r="L2342" s="13" t="s">
        <v>2519</v>
      </c>
      <c r="M2342" s="6" t="s">
        <v>188</v>
      </c>
      <c r="N2342" s="6" t="s">
        <v>188</v>
      </c>
      <c r="O2342" s="6" t="s">
        <v>190</v>
      </c>
      <c r="P2342" s="7" t="s">
        <v>333</v>
      </c>
      <c r="Q2342" s="13"/>
      <c r="R2342" s="13"/>
      <c r="S2342" s="13"/>
      <c r="T2342" s="6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</row>
    <row r="2343">
      <c r="A2343" s="12">
        <v>60.0</v>
      </c>
      <c r="B2343" s="7" t="s">
        <v>594</v>
      </c>
      <c r="C2343" s="7" t="s">
        <v>1717</v>
      </c>
      <c r="I2343" s="13" t="s">
        <v>2520</v>
      </c>
      <c r="J2343" s="13" t="s">
        <v>766</v>
      </c>
      <c r="K2343" s="13" t="s">
        <v>303</v>
      </c>
      <c r="L2343" s="13" t="s">
        <v>2515</v>
      </c>
      <c r="M2343" s="6" t="s">
        <v>188</v>
      </c>
      <c r="N2343" s="6" t="s">
        <v>188</v>
      </c>
      <c r="O2343" s="6" t="s">
        <v>190</v>
      </c>
      <c r="P2343" s="7" t="s">
        <v>333</v>
      </c>
      <c r="Q2343" s="13"/>
      <c r="R2343" s="13"/>
      <c r="S2343" s="13"/>
      <c r="T2343" s="6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</row>
    <row r="2344">
      <c r="A2344" s="12">
        <v>60.0</v>
      </c>
      <c r="B2344" s="7" t="s">
        <v>594</v>
      </c>
      <c r="C2344" s="7" t="s">
        <v>1717</v>
      </c>
      <c r="I2344" s="13" t="s">
        <v>1941</v>
      </c>
      <c r="J2344" s="13" t="s">
        <v>767</v>
      </c>
      <c r="K2344" s="13" t="s">
        <v>303</v>
      </c>
      <c r="L2344" s="13" t="s">
        <v>2515</v>
      </c>
      <c r="M2344" s="6" t="s">
        <v>188</v>
      </c>
      <c r="N2344" s="6" t="s">
        <v>188</v>
      </c>
      <c r="O2344" s="6" t="s">
        <v>190</v>
      </c>
      <c r="P2344" s="7" t="s">
        <v>333</v>
      </c>
      <c r="Q2344" s="13"/>
      <c r="R2344" s="13"/>
      <c r="S2344" s="13"/>
      <c r="T2344" s="6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</row>
    <row r="2345">
      <c r="A2345" s="12">
        <v>60.0</v>
      </c>
      <c r="B2345" s="7" t="s">
        <v>594</v>
      </c>
      <c r="C2345" s="7" t="s">
        <v>1717</v>
      </c>
      <c r="I2345" s="13" t="s">
        <v>1764</v>
      </c>
      <c r="J2345" s="13" t="s">
        <v>768</v>
      </c>
      <c r="K2345" s="13" t="s">
        <v>303</v>
      </c>
      <c r="L2345" s="13" t="s">
        <v>2513</v>
      </c>
      <c r="M2345" s="6" t="s">
        <v>188</v>
      </c>
      <c r="N2345" s="6" t="s">
        <v>188</v>
      </c>
      <c r="O2345" s="6" t="s">
        <v>190</v>
      </c>
      <c r="P2345" s="7" t="s">
        <v>333</v>
      </c>
      <c r="Q2345" s="13"/>
      <c r="R2345" s="13"/>
      <c r="S2345" s="13"/>
      <c r="T2345" s="6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</row>
    <row r="2346">
      <c r="A2346" s="12">
        <v>60.0</v>
      </c>
      <c r="B2346" s="7" t="s">
        <v>594</v>
      </c>
      <c r="C2346" s="7" t="s">
        <v>1717</v>
      </c>
      <c r="I2346" s="13" t="s">
        <v>1141</v>
      </c>
      <c r="J2346" s="13" t="s">
        <v>770</v>
      </c>
      <c r="K2346" s="13" t="s">
        <v>303</v>
      </c>
      <c r="L2346" s="13" t="s">
        <v>2513</v>
      </c>
      <c r="M2346" s="6" t="s">
        <v>188</v>
      </c>
      <c r="N2346" s="6" t="s">
        <v>188</v>
      </c>
      <c r="O2346" s="6" t="s">
        <v>190</v>
      </c>
      <c r="P2346" s="7" t="s">
        <v>333</v>
      </c>
      <c r="Q2346" s="13"/>
      <c r="R2346" s="13"/>
      <c r="S2346" s="13"/>
      <c r="T2346" s="6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  <c r="AE2346" s="7"/>
    </row>
    <row r="2347">
      <c r="A2347" s="12">
        <v>60.0</v>
      </c>
      <c r="B2347" s="7" t="s">
        <v>594</v>
      </c>
      <c r="C2347" s="7" t="s">
        <v>1717</v>
      </c>
      <c r="I2347" s="13" t="s">
        <v>1968</v>
      </c>
      <c r="J2347" s="13" t="s">
        <v>763</v>
      </c>
      <c r="K2347" s="13" t="s">
        <v>303</v>
      </c>
      <c r="L2347" s="13" t="s">
        <v>2515</v>
      </c>
      <c r="M2347" s="6" t="s">
        <v>188</v>
      </c>
      <c r="N2347" s="6" t="s">
        <v>188</v>
      </c>
      <c r="O2347" s="6" t="s">
        <v>190</v>
      </c>
      <c r="P2347" s="7" t="s">
        <v>333</v>
      </c>
      <c r="Q2347" s="13"/>
      <c r="R2347" s="13"/>
      <c r="S2347" s="13"/>
      <c r="T2347" s="6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</row>
    <row r="2348">
      <c r="A2348" s="12">
        <v>60.0</v>
      </c>
      <c r="B2348" s="7" t="s">
        <v>594</v>
      </c>
      <c r="C2348" s="7" t="s">
        <v>1717</v>
      </c>
      <c r="I2348" s="13" t="s">
        <v>2521</v>
      </c>
      <c r="J2348" s="13" t="s">
        <v>764</v>
      </c>
      <c r="K2348" s="13" t="s">
        <v>303</v>
      </c>
      <c r="L2348" s="13" t="s">
        <v>2519</v>
      </c>
      <c r="M2348" s="6" t="s">
        <v>188</v>
      </c>
      <c r="N2348" s="6" t="s">
        <v>188</v>
      </c>
      <c r="O2348" s="6" t="s">
        <v>190</v>
      </c>
      <c r="P2348" s="7" t="s">
        <v>333</v>
      </c>
      <c r="Q2348" s="13"/>
      <c r="R2348" s="13"/>
      <c r="S2348" s="13"/>
      <c r="T2348" s="6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</row>
    <row r="2349">
      <c r="A2349" s="12">
        <v>60.0</v>
      </c>
      <c r="B2349" s="7" t="s">
        <v>594</v>
      </c>
      <c r="C2349" s="7" t="s">
        <v>1717</v>
      </c>
      <c r="I2349" s="13" t="s">
        <v>2179</v>
      </c>
      <c r="J2349" s="13" t="s">
        <v>765</v>
      </c>
      <c r="K2349" s="13" t="s">
        <v>303</v>
      </c>
      <c r="L2349" s="13" t="s">
        <v>2522</v>
      </c>
      <c r="M2349" s="6" t="s">
        <v>188</v>
      </c>
      <c r="N2349" s="6" t="s">
        <v>188</v>
      </c>
      <c r="O2349" s="6" t="s">
        <v>190</v>
      </c>
      <c r="P2349" s="7" t="s">
        <v>333</v>
      </c>
      <c r="Q2349" s="13"/>
      <c r="R2349" s="13"/>
      <c r="S2349" s="13"/>
      <c r="T2349" s="6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</row>
    <row r="2350">
      <c r="A2350" s="12">
        <v>60.0</v>
      </c>
      <c r="B2350" s="7" t="s">
        <v>594</v>
      </c>
      <c r="C2350" s="7" t="s">
        <v>1717</v>
      </c>
      <c r="I2350" s="13" t="s">
        <v>1431</v>
      </c>
      <c r="J2350" s="13" t="s">
        <v>766</v>
      </c>
      <c r="K2350" s="13" t="s">
        <v>303</v>
      </c>
      <c r="L2350" s="13" t="s">
        <v>2522</v>
      </c>
      <c r="M2350" s="6" t="s">
        <v>188</v>
      </c>
      <c r="N2350" s="6" t="s">
        <v>188</v>
      </c>
      <c r="O2350" s="6" t="s">
        <v>190</v>
      </c>
      <c r="P2350" s="7" t="s">
        <v>333</v>
      </c>
      <c r="Q2350" s="13"/>
      <c r="R2350" s="13"/>
      <c r="S2350" s="13"/>
      <c r="T2350" s="6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</row>
    <row r="2351">
      <c r="A2351" s="12">
        <v>60.0</v>
      </c>
      <c r="B2351" s="7" t="s">
        <v>594</v>
      </c>
      <c r="C2351" s="7" t="s">
        <v>1717</v>
      </c>
      <c r="I2351" s="13" t="s">
        <v>1403</v>
      </c>
      <c r="J2351" s="13" t="s">
        <v>767</v>
      </c>
      <c r="K2351" s="13" t="s">
        <v>303</v>
      </c>
      <c r="L2351" s="13" t="s">
        <v>2522</v>
      </c>
      <c r="M2351" s="6" t="s">
        <v>188</v>
      </c>
      <c r="N2351" s="6" t="s">
        <v>188</v>
      </c>
      <c r="O2351" s="6" t="s">
        <v>190</v>
      </c>
      <c r="P2351" s="7" t="s">
        <v>333</v>
      </c>
      <c r="Q2351" s="13"/>
      <c r="R2351" s="13"/>
      <c r="S2351" s="13"/>
      <c r="T2351" s="6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</row>
    <row r="2352">
      <c r="A2352" s="12">
        <v>60.0</v>
      </c>
      <c r="B2352" s="7" t="s">
        <v>594</v>
      </c>
      <c r="C2352" s="7" t="s">
        <v>1717</v>
      </c>
      <c r="I2352" s="13" t="s">
        <v>741</v>
      </c>
      <c r="J2352" s="13" t="s">
        <v>768</v>
      </c>
      <c r="K2352" s="13" t="s">
        <v>303</v>
      </c>
      <c r="L2352" s="13" t="s">
        <v>2515</v>
      </c>
      <c r="M2352" s="6" t="s">
        <v>188</v>
      </c>
      <c r="N2352" s="6" t="s">
        <v>188</v>
      </c>
      <c r="O2352" s="6" t="s">
        <v>190</v>
      </c>
      <c r="P2352" s="7" t="s">
        <v>333</v>
      </c>
      <c r="Q2352" s="13"/>
      <c r="R2352" s="13"/>
      <c r="S2352" s="13"/>
      <c r="T2352" s="6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</row>
    <row r="2353">
      <c r="A2353" s="12">
        <v>60.0</v>
      </c>
      <c r="B2353" s="7" t="s">
        <v>594</v>
      </c>
      <c r="C2353" s="7" t="s">
        <v>1717</v>
      </c>
      <c r="I2353" s="13" t="s">
        <v>2523</v>
      </c>
      <c r="J2353" s="13" t="s">
        <v>770</v>
      </c>
      <c r="K2353" s="13" t="s">
        <v>303</v>
      </c>
      <c r="L2353" s="13" t="s">
        <v>2524</v>
      </c>
      <c r="M2353" s="6" t="s">
        <v>188</v>
      </c>
      <c r="N2353" s="6" t="s">
        <v>188</v>
      </c>
      <c r="O2353" s="6" t="s">
        <v>190</v>
      </c>
      <c r="P2353" s="7" t="s">
        <v>333</v>
      </c>
      <c r="Q2353" s="13"/>
      <c r="R2353" s="13"/>
      <c r="S2353" s="13"/>
      <c r="T2353" s="6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  <c r="AE2353" s="7"/>
    </row>
    <row r="2354">
      <c r="A2354" s="12">
        <v>60.0</v>
      </c>
      <c r="B2354" s="7" t="s">
        <v>594</v>
      </c>
      <c r="C2354" s="7" t="s">
        <v>1717</v>
      </c>
      <c r="I2354" s="13" t="s">
        <v>742</v>
      </c>
      <c r="J2354" s="13" t="s">
        <v>763</v>
      </c>
      <c r="K2354" s="13" t="s">
        <v>303</v>
      </c>
      <c r="L2354" s="13" t="s">
        <v>2515</v>
      </c>
      <c r="M2354" s="6" t="s">
        <v>188</v>
      </c>
      <c r="N2354" s="6" t="s">
        <v>188</v>
      </c>
      <c r="O2354" s="6" t="s">
        <v>190</v>
      </c>
      <c r="P2354" s="7" t="s">
        <v>333</v>
      </c>
      <c r="Q2354" s="13"/>
      <c r="R2354" s="13"/>
      <c r="S2354" s="13"/>
      <c r="T2354" s="6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</row>
    <row r="2355">
      <c r="A2355" s="12">
        <v>60.0</v>
      </c>
      <c r="B2355" s="7" t="s">
        <v>594</v>
      </c>
      <c r="C2355" s="7" t="s">
        <v>1717</v>
      </c>
      <c r="I2355" s="13" t="s">
        <v>1135</v>
      </c>
      <c r="J2355" s="13" t="s">
        <v>764</v>
      </c>
      <c r="K2355" s="13" t="s">
        <v>303</v>
      </c>
      <c r="L2355" s="13" t="s">
        <v>2513</v>
      </c>
      <c r="M2355" s="6" t="s">
        <v>188</v>
      </c>
      <c r="N2355" s="6" t="s">
        <v>188</v>
      </c>
      <c r="O2355" s="6" t="s">
        <v>190</v>
      </c>
      <c r="P2355" s="7" t="s">
        <v>333</v>
      </c>
      <c r="Q2355" s="13"/>
      <c r="R2355" s="13"/>
      <c r="S2355" s="13"/>
      <c r="T2355" s="6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</row>
    <row r="2356">
      <c r="A2356" s="12">
        <v>60.0</v>
      </c>
      <c r="B2356" s="7" t="s">
        <v>594</v>
      </c>
      <c r="C2356" s="7" t="s">
        <v>1717</v>
      </c>
      <c r="I2356" s="13" t="s">
        <v>748</v>
      </c>
      <c r="J2356" s="13" t="s">
        <v>765</v>
      </c>
      <c r="K2356" s="13" t="s">
        <v>303</v>
      </c>
      <c r="L2356" s="13" t="s">
        <v>2519</v>
      </c>
      <c r="M2356" s="6" t="s">
        <v>188</v>
      </c>
      <c r="N2356" s="6" t="s">
        <v>188</v>
      </c>
      <c r="O2356" s="6" t="s">
        <v>190</v>
      </c>
      <c r="P2356" s="7" t="s">
        <v>333</v>
      </c>
      <c r="Q2356" s="13"/>
      <c r="R2356" s="13"/>
      <c r="S2356" s="13"/>
      <c r="T2356" s="6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</row>
    <row r="2357">
      <c r="A2357" s="12">
        <v>60.0</v>
      </c>
      <c r="B2357" s="7" t="s">
        <v>594</v>
      </c>
      <c r="C2357" s="7" t="s">
        <v>1717</v>
      </c>
      <c r="I2357" s="13" t="s">
        <v>2008</v>
      </c>
      <c r="J2357" s="13" t="s">
        <v>766</v>
      </c>
      <c r="K2357" s="13" t="s">
        <v>303</v>
      </c>
      <c r="L2357" s="13" t="s">
        <v>2513</v>
      </c>
      <c r="M2357" s="6" t="s">
        <v>188</v>
      </c>
      <c r="N2357" s="6" t="s">
        <v>188</v>
      </c>
      <c r="O2357" s="6" t="s">
        <v>190</v>
      </c>
      <c r="P2357" s="7" t="s">
        <v>333</v>
      </c>
      <c r="Q2357" s="13"/>
      <c r="R2357" s="13"/>
      <c r="S2357" s="13"/>
      <c r="T2357" s="6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</row>
    <row r="2358">
      <c r="A2358" s="12">
        <v>60.0</v>
      </c>
      <c r="B2358" s="7" t="s">
        <v>594</v>
      </c>
      <c r="C2358" s="7" t="s">
        <v>1717</v>
      </c>
      <c r="I2358" s="13" t="s">
        <v>750</v>
      </c>
      <c r="J2358" s="13" t="s">
        <v>767</v>
      </c>
      <c r="K2358" s="13" t="s">
        <v>303</v>
      </c>
      <c r="L2358" s="13" t="s">
        <v>2522</v>
      </c>
      <c r="M2358" s="6" t="s">
        <v>188</v>
      </c>
      <c r="N2358" s="6" t="s">
        <v>188</v>
      </c>
      <c r="O2358" s="6" t="s">
        <v>190</v>
      </c>
      <c r="P2358" s="7" t="s">
        <v>333</v>
      </c>
      <c r="Q2358" s="13"/>
      <c r="R2358" s="13"/>
      <c r="S2358" s="13"/>
      <c r="T2358" s="6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  <c r="AE2358" s="7"/>
    </row>
    <row r="2359">
      <c r="A2359" s="12">
        <v>60.0</v>
      </c>
      <c r="B2359" s="7" t="s">
        <v>594</v>
      </c>
      <c r="C2359" s="7" t="s">
        <v>1717</v>
      </c>
      <c r="I2359" s="13" t="s">
        <v>2109</v>
      </c>
      <c r="J2359" s="13" t="s">
        <v>768</v>
      </c>
      <c r="K2359" s="13" t="s">
        <v>303</v>
      </c>
      <c r="L2359" s="13" t="s">
        <v>2525</v>
      </c>
      <c r="M2359" s="6" t="s">
        <v>188</v>
      </c>
      <c r="N2359" s="6" t="s">
        <v>188</v>
      </c>
      <c r="O2359" s="6" t="s">
        <v>190</v>
      </c>
      <c r="P2359" s="7" t="s">
        <v>333</v>
      </c>
      <c r="Q2359" s="13"/>
      <c r="R2359" s="13"/>
      <c r="S2359" s="13"/>
      <c r="T2359" s="6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</row>
    <row r="2360">
      <c r="A2360" s="12">
        <v>60.0</v>
      </c>
      <c r="B2360" s="7" t="s">
        <v>594</v>
      </c>
      <c r="C2360" s="7" t="s">
        <v>1717</v>
      </c>
      <c r="I2360" s="13" t="s">
        <v>747</v>
      </c>
      <c r="J2360" s="13" t="s">
        <v>770</v>
      </c>
      <c r="K2360" s="13" t="s">
        <v>303</v>
      </c>
      <c r="L2360" s="13" t="s">
        <v>2526</v>
      </c>
      <c r="M2360" s="6" t="s">
        <v>188</v>
      </c>
      <c r="N2360" s="6" t="s">
        <v>188</v>
      </c>
      <c r="O2360" s="6" t="s">
        <v>190</v>
      </c>
      <c r="P2360" s="7" t="s">
        <v>333</v>
      </c>
      <c r="Q2360" s="13"/>
      <c r="R2360" s="13"/>
      <c r="S2360" s="13"/>
      <c r="T2360" s="6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</row>
    <row r="2361">
      <c r="A2361" s="12">
        <v>60.0</v>
      </c>
      <c r="B2361" s="7" t="s">
        <v>594</v>
      </c>
      <c r="C2361" s="7" t="s">
        <v>1717</v>
      </c>
      <c r="I2361" s="13" t="s">
        <v>1918</v>
      </c>
      <c r="J2361" s="13" t="s">
        <v>763</v>
      </c>
      <c r="K2361" s="13" t="s">
        <v>303</v>
      </c>
      <c r="L2361" s="13" t="s">
        <v>2513</v>
      </c>
      <c r="M2361" s="6" t="s">
        <v>188</v>
      </c>
      <c r="N2361" s="6" t="s">
        <v>188</v>
      </c>
      <c r="O2361" s="6" t="s">
        <v>190</v>
      </c>
      <c r="P2361" s="7" t="s">
        <v>333</v>
      </c>
      <c r="Q2361" s="13"/>
      <c r="R2361" s="13"/>
      <c r="S2361" s="13"/>
      <c r="T2361" s="6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</row>
    <row r="2362">
      <c r="A2362" s="12">
        <v>60.0</v>
      </c>
      <c r="B2362" s="7" t="s">
        <v>594</v>
      </c>
      <c r="C2362" s="7" t="s">
        <v>1717</v>
      </c>
      <c r="I2362" s="13" t="s">
        <v>2527</v>
      </c>
      <c r="J2362" s="13" t="s">
        <v>764</v>
      </c>
      <c r="K2362" s="13" t="s">
        <v>303</v>
      </c>
      <c r="L2362" s="13" t="s">
        <v>2528</v>
      </c>
      <c r="M2362" s="6" t="s">
        <v>188</v>
      </c>
      <c r="N2362" s="6" t="s">
        <v>188</v>
      </c>
      <c r="O2362" s="6" t="s">
        <v>190</v>
      </c>
      <c r="P2362" s="7" t="s">
        <v>333</v>
      </c>
      <c r="Q2362" s="13"/>
      <c r="R2362" s="13"/>
      <c r="S2362" s="13"/>
      <c r="T2362" s="6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</row>
    <row r="2363">
      <c r="A2363" s="12">
        <v>60.0</v>
      </c>
      <c r="B2363" s="7" t="s">
        <v>594</v>
      </c>
      <c r="C2363" s="7" t="s">
        <v>1717</v>
      </c>
      <c r="I2363" s="13" t="s">
        <v>2529</v>
      </c>
      <c r="J2363" s="13" t="s">
        <v>765</v>
      </c>
      <c r="K2363" s="13" t="s">
        <v>303</v>
      </c>
      <c r="L2363" s="13" t="s">
        <v>2528</v>
      </c>
      <c r="M2363" s="6" t="s">
        <v>188</v>
      </c>
      <c r="N2363" s="6" t="s">
        <v>188</v>
      </c>
      <c r="O2363" s="6" t="s">
        <v>190</v>
      </c>
      <c r="P2363" s="7" t="s">
        <v>333</v>
      </c>
      <c r="Q2363" s="13"/>
      <c r="R2363" s="13"/>
      <c r="S2363" s="13"/>
      <c r="T2363" s="6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</row>
    <row r="2364">
      <c r="A2364" s="12">
        <v>60.0</v>
      </c>
      <c r="B2364" s="7" t="s">
        <v>594</v>
      </c>
      <c r="C2364" s="7" t="s">
        <v>1717</v>
      </c>
      <c r="I2364" s="13" t="s">
        <v>2530</v>
      </c>
      <c r="J2364" s="13" t="s">
        <v>766</v>
      </c>
      <c r="K2364" s="13" t="s">
        <v>303</v>
      </c>
      <c r="L2364" s="13" t="s">
        <v>2528</v>
      </c>
      <c r="M2364" s="6" t="s">
        <v>188</v>
      </c>
      <c r="N2364" s="6" t="s">
        <v>188</v>
      </c>
      <c r="O2364" s="6" t="s">
        <v>190</v>
      </c>
      <c r="P2364" s="7" t="s">
        <v>333</v>
      </c>
      <c r="Q2364" s="13"/>
      <c r="R2364" s="13"/>
      <c r="S2364" s="13"/>
      <c r="T2364" s="6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  <c r="AE2364" s="7"/>
    </row>
    <row r="2365">
      <c r="A2365" s="12">
        <v>60.0</v>
      </c>
      <c r="B2365" s="7" t="s">
        <v>594</v>
      </c>
      <c r="C2365" s="7" t="s">
        <v>1717</v>
      </c>
      <c r="I2365" s="13" t="s">
        <v>2531</v>
      </c>
      <c r="J2365" s="13" t="s">
        <v>767</v>
      </c>
      <c r="K2365" s="13" t="s">
        <v>303</v>
      </c>
      <c r="L2365" s="13" t="s">
        <v>2528</v>
      </c>
      <c r="M2365" s="6" t="s">
        <v>188</v>
      </c>
      <c r="N2365" s="6" t="s">
        <v>188</v>
      </c>
      <c r="O2365" s="6" t="s">
        <v>190</v>
      </c>
      <c r="P2365" s="7" t="s">
        <v>333</v>
      </c>
      <c r="Q2365" s="13"/>
      <c r="R2365" s="13"/>
      <c r="S2365" s="13"/>
      <c r="T2365" s="6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  <c r="AE2365" s="7"/>
    </row>
    <row r="2366">
      <c r="A2366" s="12">
        <v>60.0</v>
      </c>
      <c r="B2366" s="7" t="s">
        <v>594</v>
      </c>
      <c r="C2366" s="7" t="s">
        <v>1717</v>
      </c>
      <c r="I2366" s="13" t="s">
        <v>2532</v>
      </c>
      <c r="J2366" s="13" t="s">
        <v>768</v>
      </c>
      <c r="K2366" s="13" t="s">
        <v>303</v>
      </c>
      <c r="L2366" s="13" t="s">
        <v>2533</v>
      </c>
      <c r="M2366" s="6" t="s">
        <v>188</v>
      </c>
      <c r="N2366" s="6" t="s">
        <v>188</v>
      </c>
      <c r="O2366" s="6" t="s">
        <v>190</v>
      </c>
      <c r="P2366" s="7" t="s">
        <v>333</v>
      </c>
      <c r="Q2366" s="13"/>
      <c r="R2366" s="13"/>
      <c r="S2366" s="13"/>
      <c r="T2366" s="6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  <c r="AE2366" s="7"/>
    </row>
    <row r="2367">
      <c r="A2367" s="12">
        <v>60.0</v>
      </c>
      <c r="B2367" s="7" t="s">
        <v>594</v>
      </c>
      <c r="C2367" s="7" t="s">
        <v>1717</v>
      </c>
      <c r="I2367" s="13" t="s">
        <v>2534</v>
      </c>
      <c r="J2367" s="13" t="s">
        <v>770</v>
      </c>
      <c r="K2367" s="13" t="s">
        <v>303</v>
      </c>
      <c r="L2367" s="13" t="s">
        <v>2528</v>
      </c>
      <c r="M2367" s="6" t="s">
        <v>188</v>
      </c>
      <c r="N2367" s="6" t="s">
        <v>188</v>
      </c>
      <c r="O2367" s="6" t="s">
        <v>190</v>
      </c>
      <c r="P2367" s="7" t="s">
        <v>333</v>
      </c>
      <c r="Q2367" s="13"/>
      <c r="R2367" s="13"/>
      <c r="S2367" s="13"/>
      <c r="T2367" s="6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  <c r="AE2367" s="7"/>
    </row>
    <row r="2368">
      <c r="A2368" s="12">
        <v>60.0</v>
      </c>
      <c r="B2368" s="7" t="s">
        <v>594</v>
      </c>
      <c r="C2368" s="7" t="s">
        <v>1717</v>
      </c>
      <c r="I2368" s="13" t="s">
        <v>2535</v>
      </c>
      <c r="J2368" s="13" t="s">
        <v>763</v>
      </c>
      <c r="K2368" s="13" t="s">
        <v>303</v>
      </c>
      <c r="L2368" s="13" t="s">
        <v>2536</v>
      </c>
      <c r="M2368" s="6" t="s">
        <v>188</v>
      </c>
      <c r="N2368" s="6" t="s">
        <v>188</v>
      </c>
      <c r="O2368" s="6" t="s">
        <v>190</v>
      </c>
      <c r="P2368" s="7" t="s">
        <v>333</v>
      </c>
      <c r="Q2368" s="13"/>
      <c r="R2368" s="13"/>
      <c r="S2368" s="13"/>
      <c r="T2368" s="6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</row>
    <row r="2369">
      <c r="A2369" s="12">
        <v>60.0</v>
      </c>
      <c r="B2369" s="7" t="s">
        <v>594</v>
      </c>
      <c r="C2369" s="7" t="s">
        <v>1717</v>
      </c>
      <c r="I2369" s="13" t="s">
        <v>2537</v>
      </c>
      <c r="J2369" s="13" t="s">
        <v>764</v>
      </c>
      <c r="K2369" s="13" t="s">
        <v>303</v>
      </c>
      <c r="L2369" s="13" t="s">
        <v>2528</v>
      </c>
      <c r="M2369" s="6" t="s">
        <v>188</v>
      </c>
      <c r="N2369" s="6" t="s">
        <v>188</v>
      </c>
      <c r="O2369" s="6" t="s">
        <v>190</v>
      </c>
      <c r="P2369" s="7" t="s">
        <v>333</v>
      </c>
      <c r="Q2369" s="13"/>
      <c r="R2369" s="13"/>
      <c r="S2369" s="13"/>
      <c r="T2369" s="6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  <c r="AE2369" s="7"/>
    </row>
    <row r="2370">
      <c r="A2370" s="12">
        <v>60.0</v>
      </c>
      <c r="B2370" s="7" t="s">
        <v>594</v>
      </c>
      <c r="C2370" s="7" t="s">
        <v>1717</v>
      </c>
      <c r="I2370" s="13" t="s">
        <v>2538</v>
      </c>
      <c r="J2370" s="13" t="s">
        <v>765</v>
      </c>
      <c r="K2370" s="13" t="s">
        <v>303</v>
      </c>
      <c r="L2370" s="13" t="s">
        <v>2528</v>
      </c>
      <c r="M2370" s="6" t="s">
        <v>188</v>
      </c>
      <c r="N2370" s="6" t="s">
        <v>188</v>
      </c>
      <c r="O2370" s="6" t="s">
        <v>190</v>
      </c>
      <c r="P2370" s="7" t="s">
        <v>333</v>
      </c>
      <c r="Q2370" s="13"/>
      <c r="R2370" s="13"/>
      <c r="S2370" s="13"/>
      <c r="T2370" s="6"/>
      <c r="U2370" s="6"/>
      <c r="V2370" s="7"/>
      <c r="W2370" s="7"/>
      <c r="X2370" s="7"/>
      <c r="Y2370" s="7"/>
      <c r="Z2370" s="7"/>
      <c r="AA2370" s="7"/>
      <c r="AB2370" s="7"/>
      <c r="AC2370" s="7"/>
      <c r="AD2370" s="7"/>
      <c r="AE2370" s="7"/>
    </row>
    <row r="2371">
      <c r="A2371" s="12">
        <v>60.0</v>
      </c>
      <c r="B2371" s="7" t="s">
        <v>594</v>
      </c>
      <c r="C2371" s="7" t="s">
        <v>1717</v>
      </c>
      <c r="I2371" s="13" t="s">
        <v>2539</v>
      </c>
      <c r="J2371" s="13" t="s">
        <v>766</v>
      </c>
      <c r="K2371" s="13" t="s">
        <v>303</v>
      </c>
      <c r="L2371" s="13" t="s">
        <v>2528</v>
      </c>
      <c r="M2371" s="6" t="s">
        <v>188</v>
      </c>
      <c r="N2371" s="6" t="s">
        <v>188</v>
      </c>
      <c r="O2371" s="6" t="s">
        <v>190</v>
      </c>
      <c r="P2371" s="7" t="s">
        <v>333</v>
      </c>
      <c r="Q2371" s="13"/>
      <c r="R2371" s="13"/>
      <c r="S2371" s="13"/>
      <c r="T2371" s="6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</row>
    <row r="2372">
      <c r="A2372" s="12">
        <v>61.0</v>
      </c>
      <c r="B2372" s="7" t="s">
        <v>595</v>
      </c>
      <c r="C2372" s="7" t="s">
        <v>1717</v>
      </c>
      <c r="D2372" s="26">
        <f>IF(COUNTIF($B$2:$B2372,$B2372)&gt;1,"",COUNTIF($B$2:$B$3400,$B2372))</f>
        <v>150</v>
      </c>
      <c r="E2372" s="26">
        <f>IF(COUNTIF($B$2:$B2372,$B2372)&gt;1,"",COUNTIFS($B$2:$B$3400,$B2372,$K$2:$K$3400,"PHÙ HỢP CAO"))</f>
        <v>3</v>
      </c>
      <c r="F2372" s="26">
        <f>IF(COUNTIF($B$2:$B2372,$B2372)&gt;1,"",COUNTIFS($B$2:$B$3400,$B2372,$K$2:$K$3400,"CÓ THỂ ĐI"))</f>
        <v>2</v>
      </c>
      <c r="G2372" s="26">
        <f>IF(COUNTIF($B$2:$B2372,$B2372)&gt;1,"",COUNTIFS($B$2:$B$3400,$B2372,$K$2:$K$3400,"CẦN SOÁT"))</f>
        <v>145</v>
      </c>
      <c r="H2372" s="27" t="str">
        <f>IFERROR(__xludf.DUMMYFUNCTION("IF(COUNTIF($B$2:$B2372,$B2372)&gt;1,"""",IFERROR(TEXTJOIN(CHAR(10),TRUE,BYROW(QUERY({$B$2:$B$3400,$J$2:$J$3400},""select Col2, count(Col2) where Col1 = '""&amp;$B2372&amp;""' group by Col2 order by count(Col2) desc label count(Col2) ''"",0),LAMBDA(r,INDEX(r,1,1)&amp;"" "&amp;"– ""&amp;INDEX(r,1,2)&amp;"" link""))),""""))"),"cách tính lãi suất ngân hàng – 38 link
cách tính lãi suất tiết kiệm ngân hàng – 38 link
tính lãi suất ngân hàng – 37 link
tính lãi suất tiết kiệm – 37 link")</f>
        <v>cách tính lãi suất ngân hàng – 38 link
cách tính lãi suất tiết kiệm ngân hàng – 38 link
tính lãi suất ngân hàng – 37 link
tính lãi suất tiết kiệm – 37 link</v>
      </c>
      <c r="I2372" s="10" t="s">
        <v>1736</v>
      </c>
      <c r="J2372" s="13" t="s">
        <v>805</v>
      </c>
      <c r="K2372" s="13" t="s">
        <v>184</v>
      </c>
      <c r="L2372" s="13" t="s">
        <v>2540</v>
      </c>
      <c r="M2372" s="6" t="s">
        <v>188</v>
      </c>
      <c r="N2372" s="6" t="s">
        <v>188</v>
      </c>
      <c r="O2372" s="6" t="s">
        <v>190</v>
      </c>
      <c r="P2372" s="7"/>
      <c r="Q2372" s="13"/>
      <c r="R2372" s="13"/>
      <c r="S2372" s="13"/>
      <c r="T2372" s="6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</row>
    <row r="2373">
      <c r="A2373" s="12">
        <v>61.0</v>
      </c>
      <c r="B2373" s="7" t="s">
        <v>595</v>
      </c>
      <c r="C2373" s="7" t="s">
        <v>1717</v>
      </c>
      <c r="I2373" s="10" t="s">
        <v>1740</v>
      </c>
      <c r="J2373" s="13" t="s">
        <v>806</v>
      </c>
      <c r="K2373" s="13" t="s">
        <v>184</v>
      </c>
      <c r="L2373" s="13" t="s">
        <v>2541</v>
      </c>
      <c r="M2373" s="6" t="s">
        <v>188</v>
      </c>
      <c r="N2373" s="6" t="s">
        <v>188</v>
      </c>
      <c r="O2373" s="6" t="s">
        <v>190</v>
      </c>
      <c r="P2373" s="7"/>
      <c r="Q2373" s="13"/>
      <c r="R2373" s="13"/>
      <c r="S2373" s="13"/>
      <c r="T2373" s="6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</row>
    <row r="2374">
      <c r="A2374" s="12">
        <v>61.0</v>
      </c>
      <c r="B2374" s="7" t="s">
        <v>595</v>
      </c>
      <c r="C2374" s="7" t="s">
        <v>1717</v>
      </c>
      <c r="I2374" s="10" t="s">
        <v>1744</v>
      </c>
      <c r="J2374" s="13" t="s">
        <v>807</v>
      </c>
      <c r="K2374" s="13" t="s">
        <v>184</v>
      </c>
      <c r="L2374" s="13" t="s">
        <v>2542</v>
      </c>
      <c r="M2374" s="6" t="s">
        <v>188</v>
      </c>
      <c r="N2374" s="6" t="s">
        <v>188</v>
      </c>
      <c r="O2374" s="6" t="s">
        <v>190</v>
      </c>
      <c r="P2374" s="7"/>
      <c r="Q2374" s="13"/>
      <c r="R2374" s="13"/>
      <c r="S2374" s="13"/>
      <c r="T2374" s="6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  <c r="AE2374" s="7"/>
    </row>
    <row r="2375">
      <c r="A2375" s="12">
        <v>61.0</v>
      </c>
      <c r="B2375" s="7" t="s">
        <v>595</v>
      </c>
      <c r="C2375" s="7" t="s">
        <v>1717</v>
      </c>
      <c r="I2375" s="10" t="s">
        <v>1746</v>
      </c>
      <c r="J2375" s="13" t="s">
        <v>808</v>
      </c>
      <c r="K2375" s="13" t="s">
        <v>283</v>
      </c>
      <c r="L2375" s="13" t="s">
        <v>2543</v>
      </c>
      <c r="M2375" s="6" t="s">
        <v>188</v>
      </c>
      <c r="N2375" s="6" t="s">
        <v>188</v>
      </c>
      <c r="O2375" s="6" t="s">
        <v>190</v>
      </c>
      <c r="P2375" s="7"/>
      <c r="Q2375" s="13"/>
      <c r="R2375" s="13"/>
      <c r="S2375" s="13"/>
      <c r="T2375" s="6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</row>
    <row r="2376">
      <c r="A2376" s="12">
        <v>61.0</v>
      </c>
      <c r="B2376" s="7" t="s">
        <v>595</v>
      </c>
      <c r="C2376" s="7" t="s">
        <v>1717</v>
      </c>
      <c r="I2376" s="10" t="s">
        <v>1748</v>
      </c>
      <c r="J2376" s="13" t="s">
        <v>805</v>
      </c>
      <c r="K2376" s="13" t="s">
        <v>283</v>
      </c>
      <c r="L2376" s="13" t="s">
        <v>2544</v>
      </c>
      <c r="M2376" s="6" t="s">
        <v>188</v>
      </c>
      <c r="N2376" s="6" t="s">
        <v>188</v>
      </c>
      <c r="O2376" s="6" t="s">
        <v>190</v>
      </c>
      <c r="P2376" s="7"/>
      <c r="Q2376" s="13"/>
      <c r="R2376" s="13"/>
      <c r="S2376" s="13"/>
      <c r="T2376" s="6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</row>
    <row r="2377">
      <c r="A2377" s="12">
        <v>61.0</v>
      </c>
      <c r="B2377" s="7" t="s">
        <v>595</v>
      </c>
      <c r="C2377" s="7" t="s">
        <v>1717</v>
      </c>
      <c r="I2377" s="10" t="s">
        <v>699</v>
      </c>
      <c r="J2377" s="13" t="s">
        <v>806</v>
      </c>
      <c r="K2377" s="13" t="s">
        <v>303</v>
      </c>
      <c r="L2377" s="13" t="s">
        <v>2545</v>
      </c>
      <c r="M2377" s="6" t="s">
        <v>188</v>
      </c>
      <c r="N2377" s="6" t="s">
        <v>188</v>
      </c>
      <c r="O2377" s="6" t="s">
        <v>190</v>
      </c>
      <c r="P2377" s="7"/>
      <c r="Q2377" s="13"/>
      <c r="R2377" s="13"/>
      <c r="S2377" s="13"/>
      <c r="T2377" s="6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  <c r="AE2377" s="7"/>
    </row>
    <row r="2378">
      <c r="A2378" s="12">
        <v>61.0</v>
      </c>
      <c r="B2378" s="7" t="s">
        <v>595</v>
      </c>
      <c r="C2378" s="7" t="s">
        <v>1717</v>
      </c>
      <c r="I2378" s="10" t="s">
        <v>1681</v>
      </c>
      <c r="J2378" s="13" t="s">
        <v>807</v>
      </c>
      <c r="K2378" s="13" t="s">
        <v>303</v>
      </c>
      <c r="L2378" s="13" t="s">
        <v>2545</v>
      </c>
      <c r="M2378" s="6" t="s">
        <v>188</v>
      </c>
      <c r="N2378" s="6" t="s">
        <v>188</v>
      </c>
      <c r="O2378" s="6" t="s">
        <v>190</v>
      </c>
      <c r="P2378" s="7"/>
      <c r="Q2378" s="13"/>
      <c r="R2378" s="13"/>
      <c r="S2378" s="13"/>
      <c r="T2378" s="6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</row>
    <row r="2379">
      <c r="A2379" s="12">
        <v>61.0</v>
      </c>
      <c r="B2379" s="7" t="s">
        <v>595</v>
      </c>
      <c r="C2379" s="7" t="s">
        <v>1717</v>
      </c>
      <c r="I2379" s="10" t="s">
        <v>1773</v>
      </c>
      <c r="J2379" s="13" t="s">
        <v>808</v>
      </c>
      <c r="K2379" s="13" t="s">
        <v>303</v>
      </c>
      <c r="L2379" s="13" t="s">
        <v>2175</v>
      </c>
      <c r="M2379" s="6" t="s">
        <v>188</v>
      </c>
      <c r="N2379" s="6" t="s">
        <v>188</v>
      </c>
      <c r="O2379" s="6" t="s">
        <v>190</v>
      </c>
      <c r="P2379" s="7"/>
      <c r="Q2379" s="13"/>
      <c r="R2379" s="13"/>
      <c r="S2379" s="13"/>
      <c r="T2379" s="6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</row>
    <row r="2380">
      <c r="A2380" s="12">
        <v>61.0</v>
      </c>
      <c r="B2380" s="7" t="s">
        <v>595</v>
      </c>
      <c r="C2380" s="7" t="s">
        <v>1717</v>
      </c>
      <c r="I2380" s="10" t="s">
        <v>2176</v>
      </c>
      <c r="J2380" s="13" t="s">
        <v>805</v>
      </c>
      <c r="K2380" s="13" t="s">
        <v>303</v>
      </c>
      <c r="L2380" s="13" t="s">
        <v>2175</v>
      </c>
      <c r="M2380" s="6" t="s">
        <v>188</v>
      </c>
      <c r="N2380" s="6" t="s">
        <v>188</v>
      </c>
      <c r="O2380" s="6" t="s">
        <v>190</v>
      </c>
      <c r="P2380" s="7"/>
      <c r="Q2380" s="13"/>
      <c r="R2380" s="13"/>
      <c r="S2380" s="13"/>
      <c r="T2380" s="6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</row>
    <row r="2381">
      <c r="A2381" s="12">
        <v>61.0</v>
      </c>
      <c r="B2381" s="7" t="s">
        <v>595</v>
      </c>
      <c r="C2381" s="7" t="s">
        <v>1717</v>
      </c>
      <c r="I2381" s="10" t="s">
        <v>2177</v>
      </c>
      <c r="J2381" s="13" t="s">
        <v>806</v>
      </c>
      <c r="K2381" s="13" t="s">
        <v>303</v>
      </c>
      <c r="L2381" s="13" t="s">
        <v>2175</v>
      </c>
      <c r="M2381" s="6" t="s">
        <v>188</v>
      </c>
      <c r="N2381" s="6" t="s">
        <v>188</v>
      </c>
      <c r="O2381" s="6" t="s">
        <v>190</v>
      </c>
      <c r="P2381" s="7"/>
      <c r="Q2381" s="13"/>
      <c r="R2381" s="13"/>
      <c r="S2381" s="13"/>
      <c r="T2381" s="6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</row>
    <row r="2382">
      <c r="A2382" s="12">
        <v>61.0</v>
      </c>
      <c r="B2382" s="7" t="s">
        <v>595</v>
      </c>
      <c r="C2382" s="7" t="s">
        <v>1717</v>
      </c>
      <c r="I2382" s="10" t="s">
        <v>2178</v>
      </c>
      <c r="J2382" s="13" t="s">
        <v>807</v>
      </c>
      <c r="K2382" s="13" t="s">
        <v>303</v>
      </c>
      <c r="L2382" s="13" t="s">
        <v>2175</v>
      </c>
      <c r="M2382" s="6" t="s">
        <v>188</v>
      </c>
      <c r="N2382" s="6" t="s">
        <v>188</v>
      </c>
      <c r="O2382" s="6" t="s">
        <v>190</v>
      </c>
      <c r="P2382" s="7"/>
      <c r="Q2382" s="13"/>
      <c r="R2382" s="13"/>
      <c r="S2382" s="13"/>
      <c r="T2382" s="6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</row>
    <row r="2383">
      <c r="A2383" s="12">
        <v>61.0</v>
      </c>
      <c r="B2383" s="7" t="s">
        <v>595</v>
      </c>
      <c r="C2383" s="7" t="s">
        <v>1717</v>
      </c>
      <c r="I2383" s="10" t="s">
        <v>1723</v>
      </c>
      <c r="J2383" s="13" t="s">
        <v>808</v>
      </c>
      <c r="K2383" s="13" t="s">
        <v>303</v>
      </c>
      <c r="L2383" s="13" t="s">
        <v>2175</v>
      </c>
      <c r="M2383" s="6" t="s">
        <v>188</v>
      </c>
      <c r="N2383" s="6" t="s">
        <v>188</v>
      </c>
      <c r="O2383" s="6" t="s">
        <v>190</v>
      </c>
      <c r="P2383" s="7"/>
      <c r="Q2383" s="13"/>
      <c r="R2383" s="13"/>
      <c r="S2383" s="13"/>
      <c r="T2383" s="6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</row>
    <row r="2384">
      <c r="A2384" s="12">
        <v>61.0</v>
      </c>
      <c r="B2384" s="7" t="s">
        <v>595</v>
      </c>
      <c r="C2384" s="7" t="s">
        <v>1717</v>
      </c>
      <c r="I2384" s="10" t="s">
        <v>2079</v>
      </c>
      <c r="J2384" s="13" t="s">
        <v>805</v>
      </c>
      <c r="K2384" s="13" t="s">
        <v>303</v>
      </c>
      <c r="L2384" s="13" t="s">
        <v>2545</v>
      </c>
      <c r="M2384" s="6" t="s">
        <v>188</v>
      </c>
      <c r="N2384" s="6" t="s">
        <v>188</v>
      </c>
      <c r="O2384" s="6" t="s">
        <v>190</v>
      </c>
      <c r="P2384" s="7"/>
      <c r="Q2384" s="13"/>
      <c r="R2384" s="13"/>
      <c r="S2384" s="13"/>
      <c r="T2384" s="6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</row>
    <row r="2385">
      <c r="A2385" s="12">
        <v>61.0</v>
      </c>
      <c r="B2385" s="7" t="s">
        <v>595</v>
      </c>
      <c r="C2385" s="7" t="s">
        <v>1717</v>
      </c>
      <c r="I2385" s="10" t="s">
        <v>1837</v>
      </c>
      <c r="J2385" s="13" t="s">
        <v>806</v>
      </c>
      <c r="K2385" s="13" t="s">
        <v>303</v>
      </c>
      <c r="L2385" s="13" t="s">
        <v>2175</v>
      </c>
      <c r="M2385" s="6" t="s">
        <v>188</v>
      </c>
      <c r="N2385" s="6" t="s">
        <v>188</v>
      </c>
      <c r="O2385" s="6" t="s">
        <v>190</v>
      </c>
      <c r="P2385" s="7"/>
      <c r="Q2385" s="13"/>
      <c r="R2385" s="13"/>
      <c r="S2385" s="13"/>
      <c r="T2385" s="6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</row>
    <row r="2386">
      <c r="A2386" s="12">
        <v>61.0</v>
      </c>
      <c r="B2386" s="7" t="s">
        <v>595</v>
      </c>
      <c r="C2386" s="7" t="s">
        <v>1717</v>
      </c>
      <c r="I2386" s="10" t="s">
        <v>529</v>
      </c>
      <c r="J2386" s="13" t="s">
        <v>807</v>
      </c>
      <c r="K2386" s="13" t="s">
        <v>303</v>
      </c>
      <c r="L2386" s="13" t="s">
        <v>2545</v>
      </c>
      <c r="M2386" s="6" t="s">
        <v>188</v>
      </c>
      <c r="N2386" s="6" t="s">
        <v>188</v>
      </c>
      <c r="O2386" s="6" t="s">
        <v>190</v>
      </c>
      <c r="P2386" s="7"/>
      <c r="Q2386" s="13"/>
      <c r="R2386" s="13"/>
      <c r="S2386" s="13"/>
      <c r="T2386" s="6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</row>
    <row r="2387">
      <c r="A2387" s="12">
        <v>61.0</v>
      </c>
      <c r="B2387" s="7" t="s">
        <v>595</v>
      </c>
      <c r="C2387" s="7" t="s">
        <v>1717</v>
      </c>
      <c r="I2387" s="10" t="s">
        <v>1384</v>
      </c>
      <c r="J2387" s="13" t="s">
        <v>808</v>
      </c>
      <c r="K2387" s="13" t="s">
        <v>303</v>
      </c>
      <c r="L2387" s="13" t="s">
        <v>2545</v>
      </c>
      <c r="M2387" s="6" t="s">
        <v>188</v>
      </c>
      <c r="N2387" s="6" t="s">
        <v>188</v>
      </c>
      <c r="O2387" s="6" t="s">
        <v>190</v>
      </c>
      <c r="P2387" s="7"/>
      <c r="Q2387" s="13"/>
      <c r="R2387" s="13"/>
      <c r="S2387" s="13"/>
      <c r="T2387" s="6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  <c r="AE2387" s="7"/>
    </row>
    <row r="2388">
      <c r="A2388" s="12">
        <v>61.0</v>
      </c>
      <c r="B2388" s="7" t="s">
        <v>595</v>
      </c>
      <c r="C2388" s="7" t="s">
        <v>1717</v>
      </c>
      <c r="I2388" s="10" t="s">
        <v>1727</v>
      </c>
      <c r="J2388" s="13" t="s">
        <v>805</v>
      </c>
      <c r="K2388" s="13" t="s">
        <v>303</v>
      </c>
      <c r="L2388" s="13" t="s">
        <v>2175</v>
      </c>
      <c r="M2388" s="6" t="s">
        <v>188</v>
      </c>
      <c r="N2388" s="6" t="s">
        <v>188</v>
      </c>
      <c r="O2388" s="6" t="s">
        <v>190</v>
      </c>
      <c r="P2388" s="7"/>
      <c r="Q2388" s="13"/>
      <c r="R2388" s="13"/>
      <c r="S2388" s="13"/>
      <c r="T2388" s="6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</row>
    <row r="2389">
      <c r="A2389" s="12">
        <v>61.0</v>
      </c>
      <c r="B2389" s="7" t="s">
        <v>595</v>
      </c>
      <c r="C2389" s="7" t="s">
        <v>1717</v>
      </c>
      <c r="I2389" s="10" t="s">
        <v>594</v>
      </c>
      <c r="J2389" s="13" t="s">
        <v>806</v>
      </c>
      <c r="K2389" s="13" t="s">
        <v>303</v>
      </c>
      <c r="L2389" s="13" t="s">
        <v>2546</v>
      </c>
      <c r="M2389" s="6" t="s">
        <v>188</v>
      </c>
      <c r="N2389" s="6" t="s">
        <v>188</v>
      </c>
      <c r="O2389" s="6" t="s">
        <v>190</v>
      </c>
      <c r="P2389" s="7"/>
      <c r="Q2389" s="13"/>
      <c r="R2389" s="13"/>
      <c r="S2389" s="13"/>
      <c r="T2389" s="6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</row>
    <row r="2390">
      <c r="A2390" s="12">
        <v>61.0</v>
      </c>
      <c r="B2390" s="7" t="s">
        <v>595</v>
      </c>
      <c r="C2390" s="7" t="s">
        <v>1717</v>
      </c>
      <c r="I2390" s="10" t="s">
        <v>1797</v>
      </c>
      <c r="J2390" s="13" t="s">
        <v>807</v>
      </c>
      <c r="K2390" s="13" t="s">
        <v>303</v>
      </c>
      <c r="L2390" s="13" t="s">
        <v>2175</v>
      </c>
      <c r="M2390" s="6" t="s">
        <v>188</v>
      </c>
      <c r="N2390" s="6" t="s">
        <v>188</v>
      </c>
      <c r="O2390" s="6" t="s">
        <v>190</v>
      </c>
      <c r="P2390" s="7"/>
      <c r="Q2390" s="13"/>
      <c r="R2390" s="13"/>
      <c r="S2390" s="13"/>
      <c r="T2390" s="6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</row>
    <row r="2391">
      <c r="A2391" s="12">
        <v>61.0</v>
      </c>
      <c r="B2391" s="7" t="s">
        <v>595</v>
      </c>
      <c r="C2391" s="7" t="s">
        <v>1717</v>
      </c>
      <c r="I2391" s="10" t="s">
        <v>2184</v>
      </c>
      <c r="J2391" s="13" t="s">
        <v>808</v>
      </c>
      <c r="K2391" s="13" t="s">
        <v>303</v>
      </c>
      <c r="L2391" s="13" t="s">
        <v>2175</v>
      </c>
      <c r="M2391" s="6" t="s">
        <v>188</v>
      </c>
      <c r="N2391" s="6" t="s">
        <v>188</v>
      </c>
      <c r="O2391" s="6" t="s">
        <v>190</v>
      </c>
      <c r="P2391" s="7"/>
      <c r="Q2391" s="13"/>
      <c r="R2391" s="13"/>
      <c r="S2391" s="13"/>
      <c r="T2391" s="6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</row>
    <row r="2392">
      <c r="A2392" s="12">
        <v>61.0</v>
      </c>
      <c r="B2392" s="7" t="s">
        <v>595</v>
      </c>
      <c r="C2392" s="7" t="s">
        <v>1717</v>
      </c>
      <c r="I2392" s="10" t="s">
        <v>1806</v>
      </c>
      <c r="J2392" s="13" t="s">
        <v>805</v>
      </c>
      <c r="K2392" s="13" t="s">
        <v>303</v>
      </c>
      <c r="L2392" s="13" t="s">
        <v>2175</v>
      </c>
      <c r="M2392" s="6" t="s">
        <v>188</v>
      </c>
      <c r="N2392" s="6" t="s">
        <v>188</v>
      </c>
      <c r="O2392" s="6" t="s">
        <v>190</v>
      </c>
      <c r="P2392" s="7"/>
      <c r="Q2392" s="13"/>
      <c r="R2392" s="13"/>
      <c r="S2392" s="13"/>
      <c r="T2392" s="6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  <c r="AE2392" s="7"/>
    </row>
    <row r="2393">
      <c r="A2393" s="12">
        <v>61.0</v>
      </c>
      <c r="B2393" s="7" t="s">
        <v>595</v>
      </c>
      <c r="C2393" s="7" t="s">
        <v>1717</v>
      </c>
      <c r="I2393" s="10" t="s">
        <v>1115</v>
      </c>
      <c r="J2393" s="13" t="s">
        <v>806</v>
      </c>
      <c r="K2393" s="13" t="s">
        <v>303</v>
      </c>
      <c r="L2393" s="13" t="s">
        <v>2175</v>
      </c>
      <c r="M2393" s="6" t="s">
        <v>188</v>
      </c>
      <c r="N2393" s="6" t="s">
        <v>188</v>
      </c>
      <c r="O2393" s="6" t="s">
        <v>190</v>
      </c>
      <c r="P2393" s="7"/>
      <c r="Q2393" s="13"/>
      <c r="R2393" s="13"/>
      <c r="S2393" s="13"/>
      <c r="T2393" s="6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  <c r="AE2393" s="7"/>
    </row>
    <row r="2394">
      <c r="A2394" s="12">
        <v>61.0</v>
      </c>
      <c r="B2394" s="7" t="s">
        <v>595</v>
      </c>
      <c r="C2394" s="7" t="s">
        <v>1717</v>
      </c>
      <c r="I2394" s="10" t="s">
        <v>2186</v>
      </c>
      <c r="J2394" s="13" t="s">
        <v>807</v>
      </c>
      <c r="K2394" s="13" t="s">
        <v>303</v>
      </c>
      <c r="L2394" s="13" t="s">
        <v>2193</v>
      </c>
      <c r="M2394" s="6" t="s">
        <v>188</v>
      </c>
      <c r="N2394" s="6" t="s">
        <v>188</v>
      </c>
      <c r="O2394" s="6" t="s">
        <v>190</v>
      </c>
      <c r="P2394" s="7"/>
      <c r="Q2394" s="13"/>
      <c r="R2394" s="13"/>
      <c r="S2394" s="13"/>
      <c r="T2394" s="6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</row>
    <row r="2395">
      <c r="A2395" s="12">
        <v>61.0</v>
      </c>
      <c r="B2395" s="7" t="s">
        <v>595</v>
      </c>
      <c r="C2395" s="7" t="s">
        <v>1717</v>
      </c>
      <c r="I2395" s="10" t="s">
        <v>1718</v>
      </c>
      <c r="J2395" s="13" t="s">
        <v>808</v>
      </c>
      <c r="K2395" s="13" t="s">
        <v>303</v>
      </c>
      <c r="L2395" s="13" t="s">
        <v>2175</v>
      </c>
      <c r="M2395" s="6" t="s">
        <v>188</v>
      </c>
      <c r="N2395" s="6" t="s">
        <v>188</v>
      </c>
      <c r="O2395" s="6" t="s">
        <v>190</v>
      </c>
      <c r="P2395" s="7"/>
      <c r="Q2395" s="13"/>
      <c r="R2395" s="13"/>
      <c r="S2395" s="13"/>
      <c r="T2395" s="6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  <c r="AE2395" s="7"/>
    </row>
    <row r="2396">
      <c r="A2396" s="12">
        <v>61.0</v>
      </c>
      <c r="B2396" s="7" t="s">
        <v>595</v>
      </c>
      <c r="C2396" s="7" t="s">
        <v>1717</v>
      </c>
      <c r="I2396" s="10" t="s">
        <v>1301</v>
      </c>
      <c r="J2396" s="13" t="s">
        <v>805</v>
      </c>
      <c r="K2396" s="13" t="s">
        <v>303</v>
      </c>
      <c r="L2396" s="13" t="s">
        <v>2545</v>
      </c>
      <c r="M2396" s="6" t="s">
        <v>188</v>
      </c>
      <c r="N2396" s="6" t="s">
        <v>188</v>
      </c>
      <c r="O2396" s="6" t="s">
        <v>190</v>
      </c>
      <c r="P2396" s="7"/>
      <c r="Q2396" s="13"/>
      <c r="R2396" s="13"/>
      <c r="S2396" s="13"/>
      <c r="T2396" s="6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</row>
    <row r="2397">
      <c r="A2397" s="12">
        <v>61.0</v>
      </c>
      <c r="B2397" s="7" t="s">
        <v>595</v>
      </c>
      <c r="C2397" s="7" t="s">
        <v>1717</v>
      </c>
      <c r="I2397" s="10" t="s">
        <v>1833</v>
      </c>
      <c r="J2397" s="13" t="s">
        <v>806</v>
      </c>
      <c r="K2397" s="13" t="s">
        <v>303</v>
      </c>
      <c r="L2397" s="13" t="s">
        <v>2175</v>
      </c>
      <c r="M2397" s="6" t="s">
        <v>188</v>
      </c>
      <c r="N2397" s="6" t="s">
        <v>188</v>
      </c>
      <c r="O2397" s="6" t="s">
        <v>190</v>
      </c>
      <c r="P2397" s="7"/>
      <c r="Q2397" s="13"/>
      <c r="R2397" s="13"/>
      <c r="S2397" s="13"/>
      <c r="T2397" s="6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</row>
    <row r="2398">
      <c r="A2398" s="12">
        <v>61.0</v>
      </c>
      <c r="B2398" s="7" t="s">
        <v>595</v>
      </c>
      <c r="C2398" s="7" t="s">
        <v>1717</v>
      </c>
      <c r="I2398" s="10" t="s">
        <v>404</v>
      </c>
      <c r="J2398" s="13" t="s">
        <v>807</v>
      </c>
      <c r="K2398" s="13" t="s">
        <v>303</v>
      </c>
      <c r="L2398" s="13" t="s">
        <v>2545</v>
      </c>
      <c r="M2398" s="6" t="s">
        <v>188</v>
      </c>
      <c r="N2398" s="6" t="s">
        <v>188</v>
      </c>
      <c r="O2398" s="6" t="s">
        <v>190</v>
      </c>
      <c r="P2398" s="7"/>
      <c r="Q2398" s="13"/>
      <c r="R2398" s="13"/>
      <c r="S2398" s="13"/>
      <c r="T2398" s="6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</row>
    <row r="2399">
      <c r="A2399" s="12">
        <v>61.0</v>
      </c>
      <c r="B2399" s="7" t="s">
        <v>595</v>
      </c>
      <c r="C2399" s="7" t="s">
        <v>1717</v>
      </c>
      <c r="I2399" s="10" t="s">
        <v>601</v>
      </c>
      <c r="J2399" s="13" t="s">
        <v>808</v>
      </c>
      <c r="K2399" s="13" t="s">
        <v>303</v>
      </c>
      <c r="L2399" s="13" t="s">
        <v>2175</v>
      </c>
      <c r="M2399" s="6" t="s">
        <v>188</v>
      </c>
      <c r="N2399" s="6" t="s">
        <v>188</v>
      </c>
      <c r="O2399" s="6" t="s">
        <v>190</v>
      </c>
      <c r="P2399" s="7"/>
      <c r="Q2399" s="13"/>
      <c r="R2399" s="13"/>
      <c r="S2399" s="13"/>
      <c r="T2399" s="6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</row>
    <row r="2400">
      <c r="A2400" s="12">
        <v>61.0</v>
      </c>
      <c r="B2400" s="7" t="s">
        <v>595</v>
      </c>
      <c r="C2400" s="7" t="s">
        <v>1717</v>
      </c>
      <c r="I2400" s="10" t="s">
        <v>1678</v>
      </c>
      <c r="J2400" s="13" t="s">
        <v>805</v>
      </c>
      <c r="K2400" s="13" t="s">
        <v>303</v>
      </c>
      <c r="L2400" s="13" t="s">
        <v>2545</v>
      </c>
      <c r="M2400" s="6" t="s">
        <v>188</v>
      </c>
      <c r="N2400" s="6" t="s">
        <v>188</v>
      </c>
      <c r="O2400" s="6" t="s">
        <v>190</v>
      </c>
      <c r="P2400" s="7"/>
      <c r="Q2400" s="13"/>
      <c r="R2400" s="13"/>
      <c r="S2400" s="13"/>
      <c r="T2400" s="6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  <c r="AE2400" s="7"/>
    </row>
    <row r="2401">
      <c r="A2401" s="12">
        <v>61.0</v>
      </c>
      <c r="B2401" s="7" t="s">
        <v>595</v>
      </c>
      <c r="C2401" s="7" t="s">
        <v>1717</v>
      </c>
      <c r="I2401" s="10" t="s">
        <v>1356</v>
      </c>
      <c r="J2401" s="13" t="s">
        <v>806</v>
      </c>
      <c r="K2401" s="13" t="s">
        <v>303</v>
      </c>
      <c r="L2401" s="13" t="s">
        <v>2545</v>
      </c>
      <c r="M2401" s="6" t="s">
        <v>188</v>
      </c>
      <c r="N2401" s="6" t="s">
        <v>188</v>
      </c>
      <c r="O2401" s="6" t="s">
        <v>190</v>
      </c>
      <c r="P2401" s="7"/>
      <c r="Q2401" s="13"/>
      <c r="R2401" s="13"/>
      <c r="S2401" s="13"/>
      <c r="T2401" s="6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</row>
    <row r="2402">
      <c r="A2402" s="12">
        <v>61.0</v>
      </c>
      <c r="B2402" s="7" t="s">
        <v>595</v>
      </c>
      <c r="C2402" s="7" t="s">
        <v>1717</v>
      </c>
      <c r="I2402" s="10" t="s">
        <v>2194</v>
      </c>
      <c r="J2402" s="13" t="s">
        <v>807</v>
      </c>
      <c r="K2402" s="13" t="s">
        <v>303</v>
      </c>
      <c r="L2402" s="13" t="s">
        <v>2193</v>
      </c>
      <c r="M2402" s="6" t="s">
        <v>188</v>
      </c>
      <c r="N2402" s="6" t="s">
        <v>188</v>
      </c>
      <c r="O2402" s="6" t="s">
        <v>190</v>
      </c>
      <c r="P2402" s="7"/>
      <c r="Q2402" s="13"/>
      <c r="R2402" s="13"/>
      <c r="S2402" s="13"/>
      <c r="T2402" s="6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</row>
    <row r="2403">
      <c r="A2403" s="12">
        <v>61.0</v>
      </c>
      <c r="B2403" s="7" t="s">
        <v>595</v>
      </c>
      <c r="C2403" s="7" t="s">
        <v>1717</v>
      </c>
      <c r="I2403" s="10" t="s">
        <v>1360</v>
      </c>
      <c r="J2403" s="13" t="s">
        <v>808</v>
      </c>
      <c r="K2403" s="13" t="s">
        <v>303</v>
      </c>
      <c r="L2403" s="13" t="s">
        <v>2175</v>
      </c>
      <c r="M2403" s="6" t="s">
        <v>188</v>
      </c>
      <c r="N2403" s="6" t="s">
        <v>188</v>
      </c>
      <c r="O2403" s="6" t="s">
        <v>190</v>
      </c>
      <c r="P2403" s="7"/>
      <c r="Q2403" s="13"/>
      <c r="R2403" s="13"/>
      <c r="S2403" s="13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  <c r="AE2403" s="7"/>
    </row>
    <row r="2404">
      <c r="A2404" s="12">
        <v>61.0</v>
      </c>
      <c r="B2404" s="7" t="s">
        <v>595</v>
      </c>
      <c r="C2404" s="7" t="s">
        <v>1717</v>
      </c>
      <c r="I2404" s="10" t="s">
        <v>2075</v>
      </c>
      <c r="J2404" s="13" t="s">
        <v>805</v>
      </c>
      <c r="K2404" s="13" t="s">
        <v>303</v>
      </c>
      <c r="L2404" s="13" t="s">
        <v>2545</v>
      </c>
      <c r="M2404" s="6" t="s">
        <v>188</v>
      </c>
      <c r="N2404" s="6" t="s">
        <v>188</v>
      </c>
      <c r="O2404" s="6" t="s">
        <v>190</v>
      </c>
      <c r="P2404" s="7"/>
      <c r="Q2404" s="13"/>
      <c r="R2404" s="13"/>
      <c r="S2404" s="13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  <c r="AE2404" s="7"/>
    </row>
    <row r="2405">
      <c r="A2405" s="12">
        <v>61.0</v>
      </c>
      <c r="B2405" s="7" t="s">
        <v>595</v>
      </c>
      <c r="C2405" s="7" t="s">
        <v>1717</v>
      </c>
      <c r="I2405" s="10" t="s">
        <v>1808</v>
      </c>
      <c r="J2405" s="13" t="s">
        <v>806</v>
      </c>
      <c r="K2405" s="13" t="s">
        <v>303</v>
      </c>
      <c r="L2405" s="13" t="s">
        <v>2175</v>
      </c>
      <c r="M2405" s="6" t="s">
        <v>188</v>
      </c>
      <c r="N2405" s="6" t="s">
        <v>188</v>
      </c>
      <c r="O2405" s="6" t="s">
        <v>190</v>
      </c>
      <c r="P2405" s="7"/>
      <c r="Q2405" s="13"/>
      <c r="R2405" s="13"/>
      <c r="S2405" s="13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</row>
    <row r="2406">
      <c r="A2406" s="12">
        <v>61.0</v>
      </c>
      <c r="B2406" s="7" t="s">
        <v>595</v>
      </c>
      <c r="C2406" s="7" t="s">
        <v>1717</v>
      </c>
      <c r="I2406" s="10" t="s">
        <v>1878</v>
      </c>
      <c r="J2406" s="13" t="s">
        <v>807</v>
      </c>
      <c r="K2406" s="13" t="s">
        <v>303</v>
      </c>
      <c r="L2406" s="13" t="s">
        <v>2545</v>
      </c>
      <c r="M2406" s="6" t="s">
        <v>188</v>
      </c>
      <c r="N2406" s="6" t="s">
        <v>188</v>
      </c>
      <c r="O2406" s="6" t="s">
        <v>190</v>
      </c>
      <c r="P2406" s="7"/>
      <c r="Q2406" s="13"/>
      <c r="R2406" s="13"/>
      <c r="S2406" s="13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</row>
    <row r="2407">
      <c r="A2407" s="12">
        <v>61.0</v>
      </c>
      <c r="B2407" s="7" t="s">
        <v>595</v>
      </c>
      <c r="C2407" s="7" t="s">
        <v>1717</v>
      </c>
      <c r="I2407" s="10" t="s">
        <v>365</v>
      </c>
      <c r="J2407" s="13" t="s">
        <v>808</v>
      </c>
      <c r="K2407" s="13" t="s">
        <v>303</v>
      </c>
      <c r="L2407" s="13" t="s">
        <v>2545</v>
      </c>
      <c r="M2407" s="6" t="s">
        <v>188</v>
      </c>
      <c r="N2407" s="6" t="s">
        <v>188</v>
      </c>
      <c r="O2407" s="6" t="s">
        <v>190</v>
      </c>
      <c r="P2407" s="7"/>
      <c r="Q2407" s="13"/>
      <c r="R2407" s="13"/>
      <c r="S2407" s="13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  <c r="AE2407" s="7"/>
    </row>
    <row r="2408">
      <c r="A2408" s="12">
        <v>61.0</v>
      </c>
      <c r="B2408" s="7" t="s">
        <v>595</v>
      </c>
      <c r="C2408" s="7" t="s">
        <v>1717</v>
      </c>
      <c r="I2408" s="10" t="s">
        <v>1800</v>
      </c>
      <c r="J2408" s="13" t="s">
        <v>805</v>
      </c>
      <c r="K2408" s="13" t="s">
        <v>303</v>
      </c>
      <c r="L2408" s="13" t="s">
        <v>2175</v>
      </c>
      <c r="M2408" s="6" t="s">
        <v>188</v>
      </c>
      <c r="N2408" s="6" t="s">
        <v>188</v>
      </c>
      <c r="O2408" s="6" t="s">
        <v>190</v>
      </c>
      <c r="P2408" s="7"/>
      <c r="Q2408" s="13"/>
      <c r="R2408" s="13"/>
      <c r="S2408" s="13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  <c r="AE2408" s="7"/>
    </row>
    <row r="2409">
      <c r="A2409" s="12">
        <v>61.0</v>
      </c>
      <c r="B2409" s="7" t="s">
        <v>595</v>
      </c>
      <c r="C2409" s="7" t="s">
        <v>1717</v>
      </c>
      <c r="I2409" s="10" t="s">
        <v>1804</v>
      </c>
      <c r="J2409" s="13" t="s">
        <v>806</v>
      </c>
      <c r="K2409" s="13" t="s">
        <v>303</v>
      </c>
      <c r="L2409" s="13" t="s">
        <v>2175</v>
      </c>
      <c r="M2409" s="6" t="s">
        <v>188</v>
      </c>
      <c r="N2409" s="6" t="s">
        <v>188</v>
      </c>
      <c r="O2409" s="6" t="s">
        <v>190</v>
      </c>
      <c r="P2409" s="7"/>
      <c r="Q2409" s="13"/>
      <c r="R2409" s="13"/>
      <c r="S2409" s="13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  <c r="AE2409" s="7"/>
    </row>
    <row r="2410">
      <c r="A2410" s="12">
        <v>61.0</v>
      </c>
      <c r="B2410" s="7" t="s">
        <v>595</v>
      </c>
      <c r="C2410" s="7" t="s">
        <v>1717</v>
      </c>
      <c r="I2410" s="10" t="s">
        <v>511</v>
      </c>
      <c r="J2410" s="13" t="s">
        <v>807</v>
      </c>
      <c r="K2410" s="13" t="s">
        <v>303</v>
      </c>
      <c r="L2410" s="13" t="s">
        <v>2545</v>
      </c>
      <c r="M2410" s="6" t="s">
        <v>188</v>
      </c>
      <c r="N2410" s="6" t="s">
        <v>188</v>
      </c>
      <c r="O2410" s="6" t="s">
        <v>190</v>
      </c>
      <c r="P2410" s="7"/>
      <c r="Q2410" s="13"/>
      <c r="R2410" s="13"/>
      <c r="S2410" s="13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</row>
    <row r="2411">
      <c r="A2411" s="12">
        <v>61.0</v>
      </c>
      <c r="B2411" s="7" t="s">
        <v>595</v>
      </c>
      <c r="C2411" s="7" t="s">
        <v>1717</v>
      </c>
      <c r="I2411" s="10" t="s">
        <v>614</v>
      </c>
      <c r="J2411" s="13" t="s">
        <v>808</v>
      </c>
      <c r="K2411" s="13" t="s">
        <v>303</v>
      </c>
      <c r="L2411" s="13" t="s">
        <v>2545</v>
      </c>
      <c r="M2411" s="6" t="s">
        <v>188</v>
      </c>
      <c r="N2411" s="6" t="s">
        <v>188</v>
      </c>
      <c r="O2411" s="6" t="s">
        <v>190</v>
      </c>
      <c r="P2411" s="7"/>
      <c r="Q2411" s="13"/>
      <c r="R2411" s="13"/>
      <c r="S2411" s="13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</row>
    <row r="2412">
      <c r="A2412" s="12">
        <v>61.0</v>
      </c>
      <c r="B2412" s="7" t="s">
        <v>595</v>
      </c>
      <c r="C2412" s="7" t="s">
        <v>1717</v>
      </c>
      <c r="I2412" s="10" t="s">
        <v>1754</v>
      </c>
      <c r="J2412" s="13" t="s">
        <v>805</v>
      </c>
      <c r="K2412" s="13" t="s">
        <v>303</v>
      </c>
      <c r="L2412" s="13" t="s">
        <v>2175</v>
      </c>
      <c r="M2412" s="6" t="s">
        <v>188</v>
      </c>
      <c r="N2412" s="6" t="s">
        <v>188</v>
      </c>
      <c r="O2412" s="6" t="s">
        <v>190</v>
      </c>
      <c r="P2412" s="7"/>
      <c r="Q2412" s="13"/>
      <c r="R2412" s="13"/>
      <c r="S2412" s="13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  <c r="AE2412" s="7"/>
    </row>
    <row r="2413">
      <c r="A2413" s="12">
        <v>61.0</v>
      </c>
      <c r="B2413" s="7" t="s">
        <v>595</v>
      </c>
      <c r="C2413" s="7" t="s">
        <v>1717</v>
      </c>
      <c r="I2413" s="10" t="s">
        <v>2471</v>
      </c>
      <c r="J2413" s="13" t="s">
        <v>806</v>
      </c>
      <c r="K2413" s="13" t="s">
        <v>303</v>
      </c>
      <c r="L2413" s="13" t="s">
        <v>2175</v>
      </c>
      <c r="M2413" s="6" t="s">
        <v>188</v>
      </c>
      <c r="N2413" s="6" t="s">
        <v>188</v>
      </c>
      <c r="O2413" s="6" t="s">
        <v>190</v>
      </c>
      <c r="P2413" s="7"/>
      <c r="Q2413" s="13"/>
      <c r="R2413" s="13"/>
      <c r="S2413" s="13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</row>
    <row r="2414">
      <c r="A2414" s="12">
        <v>61.0</v>
      </c>
      <c r="B2414" s="7" t="s">
        <v>595</v>
      </c>
      <c r="C2414" s="7" t="s">
        <v>1717</v>
      </c>
      <c r="I2414" s="10" t="s">
        <v>1398</v>
      </c>
      <c r="J2414" s="13" t="s">
        <v>807</v>
      </c>
      <c r="K2414" s="13" t="s">
        <v>303</v>
      </c>
      <c r="L2414" s="13" t="s">
        <v>2175</v>
      </c>
      <c r="M2414" s="6" t="s">
        <v>188</v>
      </c>
      <c r="N2414" s="6" t="s">
        <v>188</v>
      </c>
      <c r="O2414" s="6" t="s">
        <v>190</v>
      </c>
      <c r="P2414" s="7"/>
      <c r="Q2414" s="13"/>
      <c r="R2414" s="13"/>
      <c r="S2414" s="13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</row>
    <row r="2415">
      <c r="A2415" s="12">
        <v>61.0</v>
      </c>
      <c r="B2415" s="7" t="s">
        <v>595</v>
      </c>
      <c r="C2415" s="7" t="s">
        <v>1717</v>
      </c>
      <c r="I2415" s="10" t="s">
        <v>2509</v>
      </c>
      <c r="J2415" s="13" t="s">
        <v>808</v>
      </c>
      <c r="K2415" s="13" t="s">
        <v>303</v>
      </c>
      <c r="L2415" s="13" t="s">
        <v>2547</v>
      </c>
      <c r="M2415" s="6" t="s">
        <v>188</v>
      </c>
      <c r="N2415" s="6" t="s">
        <v>188</v>
      </c>
      <c r="O2415" s="6" t="s">
        <v>190</v>
      </c>
      <c r="P2415" s="7"/>
      <c r="Q2415" s="13"/>
      <c r="R2415" s="13"/>
      <c r="S2415" s="13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</row>
    <row r="2416">
      <c r="A2416" s="12">
        <v>61.0</v>
      </c>
      <c r="B2416" s="7" t="s">
        <v>595</v>
      </c>
      <c r="C2416" s="7" t="s">
        <v>1717</v>
      </c>
      <c r="I2416" s="10" t="s">
        <v>1733</v>
      </c>
      <c r="J2416" s="13" t="s">
        <v>805</v>
      </c>
      <c r="K2416" s="13" t="s">
        <v>303</v>
      </c>
      <c r="L2416" s="13" t="s">
        <v>2175</v>
      </c>
      <c r="M2416" s="6" t="s">
        <v>188</v>
      </c>
      <c r="N2416" s="6" t="s">
        <v>188</v>
      </c>
      <c r="O2416" s="6" t="s">
        <v>190</v>
      </c>
      <c r="P2416" s="7"/>
      <c r="Q2416" s="13"/>
      <c r="R2416" s="13"/>
      <c r="S2416" s="13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</row>
    <row r="2417">
      <c r="A2417" s="12">
        <v>61.0</v>
      </c>
      <c r="B2417" s="7" t="s">
        <v>595</v>
      </c>
      <c r="C2417" s="7" t="s">
        <v>1717</v>
      </c>
      <c r="I2417" s="10" t="s">
        <v>380</v>
      </c>
      <c r="J2417" s="13" t="s">
        <v>806</v>
      </c>
      <c r="K2417" s="13" t="s">
        <v>303</v>
      </c>
      <c r="L2417" s="13" t="s">
        <v>2545</v>
      </c>
      <c r="M2417" s="6" t="s">
        <v>188</v>
      </c>
      <c r="N2417" s="6" t="s">
        <v>188</v>
      </c>
      <c r="O2417" s="6" t="s">
        <v>190</v>
      </c>
      <c r="P2417" s="7"/>
      <c r="Q2417" s="13"/>
      <c r="R2417" s="13"/>
      <c r="S2417" s="13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</row>
    <row r="2418">
      <c r="A2418" s="12">
        <v>61.0</v>
      </c>
      <c r="B2418" s="7" t="s">
        <v>595</v>
      </c>
      <c r="C2418" s="7" t="s">
        <v>1717</v>
      </c>
      <c r="I2418" s="10" t="s">
        <v>2199</v>
      </c>
      <c r="J2418" s="13" t="s">
        <v>807</v>
      </c>
      <c r="K2418" s="13" t="s">
        <v>303</v>
      </c>
      <c r="L2418" s="13" t="s">
        <v>2175</v>
      </c>
      <c r="M2418" s="6" t="s">
        <v>188</v>
      </c>
      <c r="N2418" s="6" t="s">
        <v>188</v>
      </c>
      <c r="O2418" s="6" t="s">
        <v>190</v>
      </c>
      <c r="P2418" s="7"/>
      <c r="Q2418" s="13"/>
      <c r="R2418" s="13"/>
      <c r="S2418" s="13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  <c r="AE2418" s="7"/>
    </row>
    <row r="2419">
      <c r="A2419" s="12">
        <v>61.0</v>
      </c>
      <c r="B2419" s="7" t="s">
        <v>595</v>
      </c>
      <c r="C2419" s="7" t="s">
        <v>1717</v>
      </c>
      <c r="I2419" s="10" t="s">
        <v>752</v>
      </c>
      <c r="J2419" s="13" t="s">
        <v>808</v>
      </c>
      <c r="K2419" s="13" t="s">
        <v>303</v>
      </c>
      <c r="L2419" s="13" t="s">
        <v>2175</v>
      </c>
      <c r="M2419" s="6" t="s">
        <v>188</v>
      </c>
      <c r="N2419" s="6" t="s">
        <v>188</v>
      </c>
      <c r="O2419" s="6" t="s">
        <v>190</v>
      </c>
      <c r="P2419" s="7"/>
      <c r="Q2419" s="13"/>
      <c r="R2419" s="13"/>
      <c r="S2419" s="13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</row>
    <row r="2420">
      <c r="A2420" s="12">
        <v>61.0</v>
      </c>
      <c r="B2420" s="7" t="s">
        <v>595</v>
      </c>
      <c r="C2420" s="7" t="s">
        <v>1717</v>
      </c>
      <c r="I2420" s="10" t="s">
        <v>2078</v>
      </c>
      <c r="J2420" s="13" t="s">
        <v>805</v>
      </c>
      <c r="K2420" s="13" t="s">
        <v>303</v>
      </c>
      <c r="L2420" s="13" t="s">
        <v>2545</v>
      </c>
      <c r="M2420" s="6" t="s">
        <v>188</v>
      </c>
      <c r="N2420" s="6" t="s">
        <v>188</v>
      </c>
      <c r="O2420" s="6" t="s">
        <v>190</v>
      </c>
      <c r="P2420" s="7"/>
      <c r="Q2420" s="13"/>
      <c r="R2420" s="13"/>
      <c r="S2420" s="13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</row>
    <row r="2421">
      <c r="A2421" s="12">
        <v>61.0</v>
      </c>
      <c r="B2421" s="7" t="s">
        <v>595</v>
      </c>
      <c r="C2421" s="7" t="s">
        <v>1717</v>
      </c>
      <c r="I2421" s="10" t="s">
        <v>1898</v>
      </c>
      <c r="J2421" s="13" t="s">
        <v>806</v>
      </c>
      <c r="K2421" s="13" t="s">
        <v>303</v>
      </c>
      <c r="L2421" s="13" t="s">
        <v>2545</v>
      </c>
      <c r="M2421" s="6" t="s">
        <v>188</v>
      </c>
      <c r="N2421" s="6" t="s">
        <v>188</v>
      </c>
      <c r="O2421" s="6" t="s">
        <v>190</v>
      </c>
      <c r="P2421" s="7"/>
      <c r="Q2421" s="13"/>
      <c r="R2421" s="13"/>
      <c r="S2421" s="13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  <c r="AE2421" s="7"/>
    </row>
    <row r="2422">
      <c r="A2422" s="12">
        <v>61.0</v>
      </c>
      <c r="B2422" s="7" t="s">
        <v>595</v>
      </c>
      <c r="C2422" s="7" t="s">
        <v>1717</v>
      </c>
      <c r="I2422" s="10" t="s">
        <v>1731</v>
      </c>
      <c r="J2422" s="13" t="s">
        <v>807</v>
      </c>
      <c r="K2422" s="13" t="s">
        <v>303</v>
      </c>
      <c r="L2422" s="13" t="s">
        <v>2545</v>
      </c>
      <c r="M2422" s="6" t="s">
        <v>188</v>
      </c>
      <c r="N2422" s="6" t="s">
        <v>188</v>
      </c>
      <c r="O2422" s="6" t="s">
        <v>190</v>
      </c>
      <c r="P2422" s="7"/>
      <c r="Q2422" s="13"/>
      <c r="R2422" s="13"/>
      <c r="S2422" s="13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  <c r="AE2422" s="7"/>
    </row>
    <row r="2423">
      <c r="A2423" s="12">
        <v>61.0</v>
      </c>
      <c r="B2423" s="7" t="s">
        <v>595</v>
      </c>
      <c r="C2423" s="7" t="s">
        <v>1717</v>
      </c>
      <c r="I2423" s="10" t="s">
        <v>1459</v>
      </c>
      <c r="J2423" s="13" t="s">
        <v>808</v>
      </c>
      <c r="K2423" s="13" t="s">
        <v>303</v>
      </c>
      <c r="L2423" s="13" t="s">
        <v>2175</v>
      </c>
      <c r="M2423" s="6" t="s">
        <v>188</v>
      </c>
      <c r="N2423" s="6" t="s">
        <v>188</v>
      </c>
      <c r="O2423" s="6" t="s">
        <v>190</v>
      </c>
      <c r="P2423" s="7"/>
      <c r="Q2423" s="13"/>
      <c r="R2423" s="13"/>
      <c r="S2423" s="13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</row>
    <row r="2424">
      <c r="A2424" s="12">
        <v>61.0</v>
      </c>
      <c r="B2424" s="7" t="s">
        <v>595</v>
      </c>
      <c r="C2424" s="7" t="s">
        <v>1717</v>
      </c>
      <c r="I2424" s="10" t="s">
        <v>2236</v>
      </c>
      <c r="J2424" s="13" t="s">
        <v>805</v>
      </c>
      <c r="K2424" s="13" t="s">
        <v>303</v>
      </c>
      <c r="L2424" s="13" t="s">
        <v>2175</v>
      </c>
      <c r="M2424" s="6" t="s">
        <v>188</v>
      </c>
      <c r="N2424" s="6" t="s">
        <v>188</v>
      </c>
      <c r="O2424" s="6" t="s">
        <v>190</v>
      </c>
      <c r="P2424" s="7"/>
      <c r="Q2424" s="13"/>
      <c r="R2424" s="13"/>
      <c r="S2424" s="13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</row>
    <row r="2425">
      <c r="A2425" s="12">
        <v>61.0</v>
      </c>
      <c r="B2425" s="7" t="s">
        <v>595</v>
      </c>
      <c r="C2425" s="7" t="s">
        <v>1717</v>
      </c>
      <c r="I2425" s="13" t="s">
        <v>551</v>
      </c>
      <c r="J2425" s="13" t="s">
        <v>806</v>
      </c>
      <c r="K2425" s="13" t="s">
        <v>303</v>
      </c>
      <c r="L2425" s="13" t="s">
        <v>2475</v>
      </c>
      <c r="M2425" s="6" t="s">
        <v>188</v>
      </c>
      <c r="N2425" s="6" t="s">
        <v>188</v>
      </c>
      <c r="O2425" s="6" t="s">
        <v>190</v>
      </c>
      <c r="P2425" s="7" t="s">
        <v>333</v>
      </c>
      <c r="Q2425" s="13"/>
      <c r="R2425" s="13"/>
      <c r="S2425" s="13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  <c r="AE2425" s="7"/>
    </row>
    <row r="2426">
      <c r="A2426" s="12">
        <v>61.0</v>
      </c>
      <c r="B2426" s="7" t="s">
        <v>595</v>
      </c>
      <c r="C2426" s="7" t="s">
        <v>1717</v>
      </c>
      <c r="I2426" s="13" t="s">
        <v>598</v>
      </c>
      <c r="J2426" s="13" t="s">
        <v>807</v>
      </c>
      <c r="K2426" s="13" t="s">
        <v>303</v>
      </c>
      <c r="L2426" s="13" t="s">
        <v>2475</v>
      </c>
      <c r="M2426" s="6" t="s">
        <v>188</v>
      </c>
      <c r="N2426" s="6" t="s">
        <v>188</v>
      </c>
      <c r="O2426" s="6" t="s">
        <v>190</v>
      </c>
      <c r="P2426" s="7" t="s">
        <v>333</v>
      </c>
      <c r="Q2426" s="13"/>
      <c r="R2426" s="13"/>
      <c r="S2426" s="13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</row>
    <row r="2427">
      <c r="A2427" s="12">
        <v>61.0</v>
      </c>
      <c r="B2427" s="7" t="s">
        <v>595</v>
      </c>
      <c r="C2427" s="7" t="s">
        <v>1717</v>
      </c>
      <c r="I2427" s="13" t="s">
        <v>2476</v>
      </c>
      <c r="J2427" s="13" t="s">
        <v>808</v>
      </c>
      <c r="K2427" s="13" t="s">
        <v>303</v>
      </c>
      <c r="L2427" s="13" t="s">
        <v>2477</v>
      </c>
      <c r="M2427" s="6" t="s">
        <v>188</v>
      </c>
      <c r="N2427" s="6" t="s">
        <v>188</v>
      </c>
      <c r="O2427" s="6" t="s">
        <v>190</v>
      </c>
      <c r="P2427" s="7" t="s">
        <v>333</v>
      </c>
      <c r="Q2427" s="13"/>
      <c r="R2427" s="13"/>
      <c r="S2427" s="13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</row>
    <row r="2428">
      <c r="A2428" s="12">
        <v>61.0</v>
      </c>
      <c r="B2428" s="7" t="s">
        <v>595</v>
      </c>
      <c r="C2428" s="7" t="s">
        <v>1717</v>
      </c>
      <c r="I2428" s="13" t="s">
        <v>1136</v>
      </c>
      <c r="J2428" s="13" t="s">
        <v>805</v>
      </c>
      <c r="K2428" s="13" t="s">
        <v>303</v>
      </c>
      <c r="L2428" s="13" t="s">
        <v>2200</v>
      </c>
      <c r="M2428" s="6" t="s">
        <v>188</v>
      </c>
      <c r="N2428" s="6" t="s">
        <v>188</v>
      </c>
      <c r="O2428" s="6" t="s">
        <v>190</v>
      </c>
      <c r="P2428" s="7" t="s">
        <v>333</v>
      </c>
      <c r="Q2428" s="13"/>
      <c r="R2428" s="13"/>
      <c r="S2428" s="13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</row>
    <row r="2429">
      <c r="A2429" s="12">
        <v>61.0</v>
      </c>
      <c r="B2429" s="7" t="s">
        <v>595</v>
      </c>
      <c r="C2429" s="7" t="s">
        <v>1717</v>
      </c>
      <c r="I2429" s="13" t="s">
        <v>1751</v>
      </c>
      <c r="J2429" s="13" t="s">
        <v>806</v>
      </c>
      <c r="K2429" s="13" t="s">
        <v>303</v>
      </c>
      <c r="L2429" s="13" t="s">
        <v>2200</v>
      </c>
      <c r="M2429" s="6" t="s">
        <v>188</v>
      </c>
      <c r="N2429" s="6" t="s">
        <v>188</v>
      </c>
      <c r="O2429" s="6" t="s">
        <v>190</v>
      </c>
      <c r="P2429" s="7" t="s">
        <v>333</v>
      </c>
      <c r="Q2429" s="13"/>
      <c r="R2429" s="13"/>
      <c r="S2429" s="13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  <c r="AE2429" s="7"/>
    </row>
    <row r="2430">
      <c r="A2430" s="12">
        <v>61.0</v>
      </c>
      <c r="B2430" s="7" t="s">
        <v>595</v>
      </c>
      <c r="C2430" s="7" t="s">
        <v>1717</v>
      </c>
      <c r="I2430" s="13" t="s">
        <v>2015</v>
      </c>
      <c r="J2430" s="13" t="s">
        <v>807</v>
      </c>
      <c r="K2430" s="13" t="s">
        <v>303</v>
      </c>
      <c r="L2430" s="13" t="s">
        <v>2200</v>
      </c>
      <c r="M2430" s="6" t="s">
        <v>188</v>
      </c>
      <c r="N2430" s="6" t="s">
        <v>188</v>
      </c>
      <c r="O2430" s="6" t="s">
        <v>190</v>
      </c>
      <c r="P2430" s="7" t="s">
        <v>333</v>
      </c>
      <c r="Q2430" s="13"/>
      <c r="R2430" s="13"/>
      <c r="S2430" s="13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</row>
    <row r="2431">
      <c r="A2431" s="12">
        <v>61.0</v>
      </c>
      <c r="B2431" s="7" t="s">
        <v>595</v>
      </c>
      <c r="C2431" s="7" t="s">
        <v>1717</v>
      </c>
      <c r="I2431" s="13" t="s">
        <v>550</v>
      </c>
      <c r="J2431" s="13" t="s">
        <v>808</v>
      </c>
      <c r="K2431" s="13" t="s">
        <v>303</v>
      </c>
      <c r="L2431" s="13" t="s">
        <v>2478</v>
      </c>
      <c r="M2431" s="6" t="s">
        <v>188</v>
      </c>
      <c r="N2431" s="6" t="s">
        <v>188</v>
      </c>
      <c r="O2431" s="6" t="s">
        <v>190</v>
      </c>
      <c r="P2431" s="7" t="s">
        <v>333</v>
      </c>
      <c r="Q2431" s="13"/>
      <c r="R2431" s="13"/>
      <c r="S2431" s="13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</row>
    <row r="2432">
      <c r="A2432" s="12">
        <v>61.0</v>
      </c>
      <c r="B2432" s="7" t="s">
        <v>595</v>
      </c>
      <c r="C2432" s="7" t="s">
        <v>1717</v>
      </c>
      <c r="I2432" s="13" t="s">
        <v>2479</v>
      </c>
      <c r="J2432" s="13" t="s">
        <v>805</v>
      </c>
      <c r="K2432" s="13" t="s">
        <v>303</v>
      </c>
      <c r="L2432" s="13" t="s">
        <v>2480</v>
      </c>
      <c r="M2432" s="6" t="s">
        <v>188</v>
      </c>
      <c r="N2432" s="6" t="s">
        <v>188</v>
      </c>
      <c r="O2432" s="6" t="s">
        <v>190</v>
      </c>
      <c r="P2432" s="7" t="s">
        <v>333</v>
      </c>
      <c r="Q2432" s="13"/>
      <c r="R2432" s="13"/>
      <c r="S2432" s="13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  <c r="AE2432" s="7"/>
    </row>
    <row r="2433">
      <c r="A2433" s="12">
        <v>61.0</v>
      </c>
      <c r="B2433" s="7" t="s">
        <v>595</v>
      </c>
      <c r="C2433" s="7" t="s">
        <v>1717</v>
      </c>
      <c r="I2433" s="13" t="s">
        <v>2481</v>
      </c>
      <c r="J2433" s="13" t="s">
        <v>806</v>
      </c>
      <c r="K2433" s="13" t="s">
        <v>303</v>
      </c>
      <c r="L2433" s="13" t="s">
        <v>2482</v>
      </c>
      <c r="M2433" s="6" t="s">
        <v>188</v>
      </c>
      <c r="N2433" s="6" t="s">
        <v>188</v>
      </c>
      <c r="O2433" s="6" t="s">
        <v>190</v>
      </c>
      <c r="P2433" s="7" t="s">
        <v>333</v>
      </c>
      <c r="Q2433" s="13"/>
      <c r="R2433" s="13"/>
      <c r="S2433" s="13"/>
      <c r="T2433" s="6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</row>
    <row r="2434">
      <c r="A2434" s="12">
        <v>61.0</v>
      </c>
      <c r="B2434" s="7" t="s">
        <v>595</v>
      </c>
      <c r="C2434" s="7" t="s">
        <v>1717</v>
      </c>
      <c r="I2434" s="13" t="s">
        <v>2483</v>
      </c>
      <c r="J2434" s="13" t="s">
        <v>807</v>
      </c>
      <c r="K2434" s="13" t="s">
        <v>303</v>
      </c>
      <c r="L2434" s="13" t="s">
        <v>2482</v>
      </c>
      <c r="M2434" s="6" t="s">
        <v>188</v>
      </c>
      <c r="N2434" s="6" t="s">
        <v>188</v>
      </c>
      <c r="O2434" s="6" t="s">
        <v>190</v>
      </c>
      <c r="P2434" s="7" t="s">
        <v>333</v>
      </c>
      <c r="Q2434" s="13"/>
      <c r="R2434" s="13"/>
      <c r="S2434" s="13"/>
      <c r="T2434" s="6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</row>
    <row r="2435">
      <c r="A2435" s="12">
        <v>61.0</v>
      </c>
      <c r="B2435" s="7" t="s">
        <v>595</v>
      </c>
      <c r="C2435" s="7" t="s">
        <v>1717</v>
      </c>
      <c r="I2435" s="13" t="s">
        <v>2484</v>
      </c>
      <c r="J2435" s="13" t="s">
        <v>808</v>
      </c>
      <c r="K2435" s="13" t="s">
        <v>303</v>
      </c>
      <c r="L2435" s="13" t="s">
        <v>2485</v>
      </c>
      <c r="M2435" s="6" t="s">
        <v>188</v>
      </c>
      <c r="N2435" s="6" t="s">
        <v>188</v>
      </c>
      <c r="O2435" s="6" t="s">
        <v>190</v>
      </c>
      <c r="P2435" s="7" t="s">
        <v>333</v>
      </c>
      <c r="Q2435" s="13"/>
      <c r="R2435" s="13"/>
      <c r="S2435" s="13"/>
      <c r="T2435" s="6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</row>
    <row r="2436">
      <c r="A2436" s="12">
        <v>61.0</v>
      </c>
      <c r="B2436" s="7" t="s">
        <v>595</v>
      </c>
      <c r="C2436" s="7" t="s">
        <v>1717</v>
      </c>
      <c r="I2436" s="13" t="s">
        <v>2202</v>
      </c>
      <c r="J2436" s="13" t="s">
        <v>805</v>
      </c>
      <c r="K2436" s="13" t="s">
        <v>303</v>
      </c>
      <c r="L2436" s="13" t="s">
        <v>2203</v>
      </c>
      <c r="M2436" s="6" t="s">
        <v>188</v>
      </c>
      <c r="N2436" s="6" t="s">
        <v>188</v>
      </c>
      <c r="O2436" s="6" t="s">
        <v>190</v>
      </c>
      <c r="P2436" s="7" t="s">
        <v>333</v>
      </c>
      <c r="Q2436" s="13"/>
      <c r="R2436" s="13"/>
      <c r="S2436" s="13"/>
      <c r="T2436" s="6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</row>
    <row r="2437">
      <c r="A2437" s="12">
        <v>61.0</v>
      </c>
      <c r="B2437" s="7" t="s">
        <v>595</v>
      </c>
      <c r="C2437" s="7" t="s">
        <v>1717</v>
      </c>
      <c r="I2437" s="13" t="s">
        <v>2204</v>
      </c>
      <c r="J2437" s="13" t="s">
        <v>806</v>
      </c>
      <c r="K2437" s="13" t="s">
        <v>303</v>
      </c>
      <c r="L2437" s="13" t="s">
        <v>2203</v>
      </c>
      <c r="M2437" s="6" t="s">
        <v>188</v>
      </c>
      <c r="N2437" s="6" t="s">
        <v>188</v>
      </c>
      <c r="O2437" s="6" t="s">
        <v>190</v>
      </c>
      <c r="P2437" s="7" t="s">
        <v>333</v>
      </c>
      <c r="Q2437" s="13"/>
      <c r="R2437" s="13"/>
      <c r="S2437" s="13"/>
      <c r="T2437" s="6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  <c r="AE2437" s="7"/>
    </row>
    <row r="2438">
      <c r="A2438" s="12">
        <v>61.0</v>
      </c>
      <c r="B2438" s="7" t="s">
        <v>595</v>
      </c>
      <c r="C2438" s="7" t="s">
        <v>1717</v>
      </c>
      <c r="I2438" s="13" t="s">
        <v>1293</v>
      </c>
      <c r="J2438" s="13" t="s">
        <v>807</v>
      </c>
      <c r="K2438" s="13" t="s">
        <v>303</v>
      </c>
      <c r="L2438" s="13" t="s">
        <v>2205</v>
      </c>
      <c r="M2438" s="6" t="s">
        <v>188</v>
      </c>
      <c r="N2438" s="6" t="s">
        <v>188</v>
      </c>
      <c r="O2438" s="6" t="s">
        <v>190</v>
      </c>
      <c r="P2438" s="7" t="s">
        <v>333</v>
      </c>
      <c r="Q2438" s="13"/>
      <c r="R2438" s="13"/>
      <c r="S2438" s="13"/>
      <c r="T2438" s="6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</row>
    <row r="2439">
      <c r="A2439" s="12">
        <v>61.0</v>
      </c>
      <c r="B2439" s="7" t="s">
        <v>595</v>
      </c>
      <c r="C2439" s="7" t="s">
        <v>1717</v>
      </c>
      <c r="I2439" s="13" t="s">
        <v>1765</v>
      </c>
      <c r="J2439" s="13" t="s">
        <v>808</v>
      </c>
      <c r="K2439" s="13" t="s">
        <v>303</v>
      </c>
      <c r="L2439" s="13" t="s">
        <v>2548</v>
      </c>
      <c r="M2439" s="6" t="s">
        <v>188</v>
      </c>
      <c r="N2439" s="6" t="s">
        <v>188</v>
      </c>
      <c r="O2439" s="6" t="s">
        <v>190</v>
      </c>
      <c r="P2439" s="7" t="s">
        <v>333</v>
      </c>
      <c r="Q2439" s="13"/>
      <c r="R2439" s="13"/>
      <c r="S2439" s="13"/>
      <c r="T2439" s="6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</row>
    <row r="2440">
      <c r="A2440" s="12">
        <v>61.0</v>
      </c>
      <c r="B2440" s="7" t="s">
        <v>595</v>
      </c>
      <c r="C2440" s="7" t="s">
        <v>1717</v>
      </c>
      <c r="I2440" s="13" t="s">
        <v>746</v>
      </c>
      <c r="J2440" s="13" t="s">
        <v>805</v>
      </c>
      <c r="K2440" s="13" t="s">
        <v>303</v>
      </c>
      <c r="L2440" s="13" t="s">
        <v>2203</v>
      </c>
      <c r="M2440" s="6" t="s">
        <v>188</v>
      </c>
      <c r="N2440" s="6" t="s">
        <v>188</v>
      </c>
      <c r="O2440" s="6" t="s">
        <v>190</v>
      </c>
      <c r="P2440" s="7" t="s">
        <v>333</v>
      </c>
      <c r="Q2440" s="13"/>
      <c r="R2440" s="13"/>
      <c r="S2440" s="13"/>
      <c r="T2440" s="6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  <c r="AE2440" s="7"/>
    </row>
    <row r="2441">
      <c r="A2441" s="12">
        <v>61.0</v>
      </c>
      <c r="B2441" s="7" t="s">
        <v>595</v>
      </c>
      <c r="C2441" s="7" t="s">
        <v>1717</v>
      </c>
      <c r="I2441" s="13" t="s">
        <v>2073</v>
      </c>
      <c r="J2441" s="13" t="s">
        <v>806</v>
      </c>
      <c r="K2441" s="13" t="s">
        <v>303</v>
      </c>
      <c r="L2441" s="13" t="s">
        <v>2207</v>
      </c>
      <c r="M2441" s="6" t="s">
        <v>188</v>
      </c>
      <c r="N2441" s="6" t="s">
        <v>188</v>
      </c>
      <c r="O2441" s="6" t="s">
        <v>190</v>
      </c>
      <c r="P2441" s="7" t="s">
        <v>333</v>
      </c>
      <c r="Q2441" s="13"/>
      <c r="R2441" s="13"/>
      <c r="S2441" s="13"/>
      <c r="T2441" s="6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</row>
    <row r="2442">
      <c r="A2442" s="12">
        <v>61.0</v>
      </c>
      <c r="B2442" s="7" t="s">
        <v>595</v>
      </c>
      <c r="C2442" s="7" t="s">
        <v>1717</v>
      </c>
      <c r="I2442" s="13" t="s">
        <v>1154</v>
      </c>
      <c r="J2442" s="13" t="s">
        <v>807</v>
      </c>
      <c r="K2442" s="13" t="s">
        <v>303</v>
      </c>
      <c r="L2442" s="13" t="s">
        <v>2486</v>
      </c>
      <c r="M2442" s="6" t="s">
        <v>188</v>
      </c>
      <c r="N2442" s="6" t="s">
        <v>188</v>
      </c>
      <c r="O2442" s="6" t="s">
        <v>190</v>
      </c>
      <c r="P2442" s="7" t="s">
        <v>333</v>
      </c>
      <c r="Q2442" s="13"/>
      <c r="R2442" s="13"/>
      <c r="S2442" s="13"/>
      <c r="T2442" s="6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</row>
    <row r="2443">
      <c r="A2443" s="12">
        <v>61.0</v>
      </c>
      <c r="B2443" s="7" t="s">
        <v>595</v>
      </c>
      <c r="C2443" s="7" t="s">
        <v>1717</v>
      </c>
      <c r="I2443" s="13" t="s">
        <v>460</v>
      </c>
      <c r="J2443" s="13" t="s">
        <v>808</v>
      </c>
      <c r="K2443" s="13" t="s">
        <v>303</v>
      </c>
      <c r="L2443" s="13" t="s">
        <v>2487</v>
      </c>
      <c r="M2443" s="6" t="s">
        <v>188</v>
      </c>
      <c r="N2443" s="6" t="s">
        <v>188</v>
      </c>
      <c r="O2443" s="6" t="s">
        <v>190</v>
      </c>
      <c r="P2443" s="7" t="s">
        <v>333</v>
      </c>
      <c r="Q2443" s="13"/>
      <c r="R2443" s="13"/>
      <c r="S2443" s="13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</row>
    <row r="2444">
      <c r="A2444" s="12">
        <v>61.0</v>
      </c>
      <c r="B2444" s="7" t="s">
        <v>595</v>
      </c>
      <c r="C2444" s="7" t="s">
        <v>1717</v>
      </c>
      <c r="I2444" s="13" t="s">
        <v>2488</v>
      </c>
      <c r="J2444" s="13" t="s">
        <v>805</v>
      </c>
      <c r="K2444" s="13" t="s">
        <v>303</v>
      </c>
      <c r="L2444" s="13" t="s">
        <v>2489</v>
      </c>
      <c r="M2444" s="6" t="s">
        <v>188</v>
      </c>
      <c r="N2444" s="6" t="s">
        <v>188</v>
      </c>
      <c r="O2444" s="6" t="s">
        <v>190</v>
      </c>
      <c r="P2444" s="7" t="s">
        <v>333</v>
      </c>
      <c r="Q2444" s="13"/>
      <c r="R2444" s="13"/>
      <c r="S2444" s="13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</row>
    <row r="2445">
      <c r="A2445" s="12">
        <v>61.0</v>
      </c>
      <c r="B2445" s="7" t="s">
        <v>595</v>
      </c>
      <c r="C2445" s="7" t="s">
        <v>1717</v>
      </c>
      <c r="I2445" s="13" t="s">
        <v>2490</v>
      </c>
      <c r="J2445" s="13" t="s">
        <v>806</v>
      </c>
      <c r="K2445" s="13" t="s">
        <v>303</v>
      </c>
      <c r="L2445" s="13" t="s">
        <v>2491</v>
      </c>
      <c r="M2445" s="6" t="s">
        <v>188</v>
      </c>
      <c r="N2445" s="6" t="s">
        <v>188</v>
      </c>
      <c r="O2445" s="6" t="s">
        <v>190</v>
      </c>
      <c r="P2445" s="7" t="s">
        <v>333</v>
      </c>
      <c r="Q2445" s="13"/>
      <c r="R2445" s="13"/>
      <c r="S2445" s="13"/>
      <c r="T2445" s="6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</row>
    <row r="2446">
      <c r="A2446" s="12">
        <v>61.0</v>
      </c>
      <c r="B2446" s="7" t="s">
        <v>595</v>
      </c>
      <c r="C2446" s="7" t="s">
        <v>1717</v>
      </c>
      <c r="I2446" s="13" t="s">
        <v>596</v>
      </c>
      <c r="J2446" s="13" t="s">
        <v>807</v>
      </c>
      <c r="K2446" s="13" t="s">
        <v>303</v>
      </c>
      <c r="L2446" s="13" t="s">
        <v>2492</v>
      </c>
      <c r="M2446" s="6" t="s">
        <v>188</v>
      </c>
      <c r="N2446" s="6" t="s">
        <v>188</v>
      </c>
      <c r="O2446" s="6" t="s">
        <v>190</v>
      </c>
      <c r="P2446" s="7" t="s">
        <v>333</v>
      </c>
      <c r="Q2446" s="13"/>
      <c r="R2446" s="13"/>
      <c r="S2446" s="13"/>
      <c r="T2446" s="6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</row>
    <row r="2447">
      <c r="A2447" s="12">
        <v>61.0</v>
      </c>
      <c r="B2447" s="7" t="s">
        <v>595</v>
      </c>
      <c r="C2447" s="7" t="s">
        <v>1717</v>
      </c>
      <c r="I2447" s="13" t="s">
        <v>1861</v>
      </c>
      <c r="J2447" s="13" t="s">
        <v>808</v>
      </c>
      <c r="K2447" s="13" t="s">
        <v>303</v>
      </c>
      <c r="L2447" s="13" t="s">
        <v>2493</v>
      </c>
      <c r="M2447" s="6" t="s">
        <v>188</v>
      </c>
      <c r="N2447" s="6" t="s">
        <v>188</v>
      </c>
      <c r="O2447" s="6" t="s">
        <v>190</v>
      </c>
      <c r="P2447" s="7" t="s">
        <v>333</v>
      </c>
      <c r="Q2447" s="13"/>
      <c r="R2447" s="13"/>
      <c r="S2447" s="13"/>
      <c r="T2447" s="6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</row>
    <row r="2448">
      <c r="A2448" s="12">
        <v>61.0</v>
      </c>
      <c r="B2448" s="7" t="s">
        <v>595</v>
      </c>
      <c r="C2448" s="7" t="s">
        <v>1717</v>
      </c>
      <c r="I2448" s="13" t="s">
        <v>899</v>
      </c>
      <c r="J2448" s="13" t="s">
        <v>805</v>
      </c>
      <c r="K2448" s="13" t="s">
        <v>303</v>
      </c>
      <c r="L2448" s="13" t="s">
        <v>2493</v>
      </c>
      <c r="M2448" s="6" t="s">
        <v>188</v>
      </c>
      <c r="N2448" s="6" t="s">
        <v>188</v>
      </c>
      <c r="O2448" s="6" t="s">
        <v>190</v>
      </c>
      <c r="P2448" s="7" t="s">
        <v>333</v>
      </c>
      <c r="Q2448" s="13"/>
      <c r="R2448" s="13"/>
      <c r="S2448" s="13"/>
      <c r="T2448" s="6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  <c r="AE2448" s="7"/>
    </row>
    <row r="2449">
      <c r="A2449" s="12">
        <v>61.0</v>
      </c>
      <c r="B2449" s="7" t="s">
        <v>595</v>
      </c>
      <c r="C2449" s="7" t="s">
        <v>1717</v>
      </c>
      <c r="I2449" s="13" t="s">
        <v>620</v>
      </c>
      <c r="J2449" s="13" t="s">
        <v>806</v>
      </c>
      <c r="K2449" s="13" t="s">
        <v>303</v>
      </c>
      <c r="L2449" s="13" t="s">
        <v>2494</v>
      </c>
      <c r="M2449" s="6" t="s">
        <v>188</v>
      </c>
      <c r="N2449" s="6" t="s">
        <v>188</v>
      </c>
      <c r="O2449" s="6" t="s">
        <v>190</v>
      </c>
      <c r="P2449" s="7" t="s">
        <v>333</v>
      </c>
      <c r="Q2449" s="13"/>
      <c r="R2449" s="13"/>
      <c r="S2449" s="13"/>
      <c r="T2449" s="6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</row>
    <row r="2450">
      <c r="A2450" s="12">
        <v>61.0</v>
      </c>
      <c r="B2450" s="7" t="s">
        <v>595</v>
      </c>
      <c r="C2450" s="7" t="s">
        <v>1717</v>
      </c>
      <c r="I2450" s="13" t="s">
        <v>704</v>
      </c>
      <c r="J2450" s="13" t="s">
        <v>807</v>
      </c>
      <c r="K2450" s="13" t="s">
        <v>303</v>
      </c>
      <c r="L2450" s="13" t="s">
        <v>2493</v>
      </c>
      <c r="M2450" s="6" t="s">
        <v>188</v>
      </c>
      <c r="N2450" s="6" t="s">
        <v>188</v>
      </c>
      <c r="O2450" s="6" t="s">
        <v>190</v>
      </c>
      <c r="P2450" s="7" t="s">
        <v>333</v>
      </c>
      <c r="Q2450" s="13"/>
      <c r="R2450" s="13"/>
      <c r="S2450" s="13"/>
      <c r="T2450" s="6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</row>
    <row r="2451">
      <c r="A2451" s="12">
        <v>61.0</v>
      </c>
      <c r="B2451" s="7" t="s">
        <v>595</v>
      </c>
      <c r="C2451" s="7" t="s">
        <v>1717</v>
      </c>
      <c r="I2451" s="13" t="s">
        <v>2449</v>
      </c>
      <c r="J2451" s="13" t="s">
        <v>808</v>
      </c>
      <c r="K2451" s="13" t="s">
        <v>303</v>
      </c>
      <c r="L2451" s="13" t="s">
        <v>2493</v>
      </c>
      <c r="M2451" s="6" t="s">
        <v>188</v>
      </c>
      <c r="N2451" s="6" t="s">
        <v>188</v>
      </c>
      <c r="O2451" s="6" t="s">
        <v>190</v>
      </c>
      <c r="P2451" s="7" t="s">
        <v>333</v>
      </c>
      <c r="Q2451" s="13"/>
      <c r="R2451" s="13"/>
      <c r="S2451" s="13"/>
      <c r="T2451" s="6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</row>
    <row r="2452">
      <c r="A2452" s="12">
        <v>61.0</v>
      </c>
      <c r="B2452" s="7" t="s">
        <v>595</v>
      </c>
      <c r="C2452" s="7" t="s">
        <v>1717</v>
      </c>
      <c r="I2452" s="13" t="s">
        <v>1555</v>
      </c>
      <c r="J2452" s="13" t="s">
        <v>805</v>
      </c>
      <c r="K2452" s="13" t="s">
        <v>303</v>
      </c>
      <c r="L2452" s="13" t="s">
        <v>2493</v>
      </c>
      <c r="M2452" s="6" t="s">
        <v>188</v>
      </c>
      <c r="N2452" s="6" t="s">
        <v>188</v>
      </c>
      <c r="O2452" s="6" t="s">
        <v>190</v>
      </c>
      <c r="P2452" s="7" t="s">
        <v>333</v>
      </c>
      <c r="Q2452" s="13"/>
      <c r="R2452" s="13"/>
      <c r="S2452" s="13"/>
      <c r="T2452" s="6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</row>
    <row r="2453">
      <c r="A2453" s="12">
        <v>61.0</v>
      </c>
      <c r="B2453" s="7" t="s">
        <v>595</v>
      </c>
      <c r="C2453" s="7" t="s">
        <v>1717</v>
      </c>
      <c r="I2453" s="13" t="s">
        <v>707</v>
      </c>
      <c r="J2453" s="13" t="s">
        <v>806</v>
      </c>
      <c r="K2453" s="13" t="s">
        <v>303</v>
      </c>
      <c r="L2453" s="13" t="s">
        <v>2493</v>
      </c>
      <c r="M2453" s="6" t="s">
        <v>188</v>
      </c>
      <c r="N2453" s="6" t="s">
        <v>188</v>
      </c>
      <c r="O2453" s="6" t="s">
        <v>190</v>
      </c>
      <c r="P2453" s="7" t="s">
        <v>333</v>
      </c>
      <c r="Q2453" s="13"/>
      <c r="R2453" s="13"/>
      <c r="S2453" s="13"/>
      <c r="T2453" s="6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</row>
    <row r="2454">
      <c r="A2454" s="12">
        <v>61.0</v>
      </c>
      <c r="B2454" s="7" t="s">
        <v>595</v>
      </c>
      <c r="C2454" s="7" t="s">
        <v>1717</v>
      </c>
      <c r="I2454" s="13" t="s">
        <v>1602</v>
      </c>
      <c r="J2454" s="13" t="s">
        <v>807</v>
      </c>
      <c r="K2454" s="13" t="s">
        <v>303</v>
      </c>
      <c r="L2454" s="13" t="s">
        <v>2493</v>
      </c>
      <c r="M2454" s="6" t="s">
        <v>188</v>
      </c>
      <c r="N2454" s="6" t="s">
        <v>188</v>
      </c>
      <c r="O2454" s="6" t="s">
        <v>190</v>
      </c>
      <c r="P2454" s="7" t="s">
        <v>333</v>
      </c>
      <c r="Q2454" s="13"/>
      <c r="R2454" s="13"/>
      <c r="S2454" s="13"/>
      <c r="T2454" s="6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</row>
    <row r="2455">
      <c r="A2455" s="12">
        <v>61.0</v>
      </c>
      <c r="B2455" s="7" t="s">
        <v>595</v>
      </c>
      <c r="C2455" s="7" t="s">
        <v>1717</v>
      </c>
      <c r="I2455" s="13" t="s">
        <v>2438</v>
      </c>
      <c r="J2455" s="13" t="s">
        <v>808</v>
      </c>
      <c r="K2455" s="13" t="s">
        <v>303</v>
      </c>
      <c r="L2455" s="13" t="s">
        <v>2493</v>
      </c>
      <c r="M2455" s="6" t="s">
        <v>188</v>
      </c>
      <c r="N2455" s="6" t="s">
        <v>188</v>
      </c>
      <c r="O2455" s="6" t="s">
        <v>190</v>
      </c>
      <c r="P2455" s="7" t="s">
        <v>333</v>
      </c>
      <c r="Q2455" s="13"/>
      <c r="R2455" s="13"/>
      <c r="S2455" s="13"/>
      <c r="T2455" s="6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</row>
    <row r="2456">
      <c r="A2456" s="12">
        <v>61.0</v>
      </c>
      <c r="B2456" s="7" t="s">
        <v>595</v>
      </c>
      <c r="C2456" s="7" t="s">
        <v>1717</v>
      </c>
      <c r="I2456" s="13" t="s">
        <v>1854</v>
      </c>
      <c r="J2456" s="13" t="s">
        <v>805</v>
      </c>
      <c r="K2456" s="13" t="s">
        <v>303</v>
      </c>
      <c r="L2456" s="13" t="s">
        <v>2493</v>
      </c>
      <c r="M2456" s="6" t="s">
        <v>188</v>
      </c>
      <c r="N2456" s="6" t="s">
        <v>188</v>
      </c>
      <c r="O2456" s="6" t="s">
        <v>190</v>
      </c>
      <c r="P2456" s="7" t="s">
        <v>333</v>
      </c>
      <c r="Q2456" s="13"/>
      <c r="R2456" s="13"/>
      <c r="S2456" s="13"/>
      <c r="T2456" s="6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  <c r="AE2456" s="7"/>
    </row>
    <row r="2457">
      <c r="A2457" s="12">
        <v>61.0</v>
      </c>
      <c r="B2457" s="7" t="s">
        <v>595</v>
      </c>
      <c r="C2457" s="7" t="s">
        <v>1717</v>
      </c>
      <c r="I2457" s="13" t="s">
        <v>1412</v>
      </c>
      <c r="J2457" s="13" t="s">
        <v>806</v>
      </c>
      <c r="K2457" s="13" t="s">
        <v>303</v>
      </c>
      <c r="L2457" s="13" t="s">
        <v>2495</v>
      </c>
      <c r="M2457" s="6" t="s">
        <v>188</v>
      </c>
      <c r="N2457" s="6" t="s">
        <v>188</v>
      </c>
      <c r="O2457" s="6" t="s">
        <v>190</v>
      </c>
      <c r="P2457" s="7" t="s">
        <v>333</v>
      </c>
      <c r="Q2457" s="13"/>
      <c r="R2457" s="13"/>
      <c r="S2457" s="13"/>
      <c r="T2457" s="6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</row>
    <row r="2458">
      <c r="A2458" s="12">
        <v>61.0</v>
      </c>
      <c r="B2458" s="7" t="s">
        <v>595</v>
      </c>
      <c r="C2458" s="7" t="s">
        <v>1717</v>
      </c>
      <c r="I2458" s="13" t="s">
        <v>2064</v>
      </c>
      <c r="J2458" s="13" t="s">
        <v>807</v>
      </c>
      <c r="K2458" s="13" t="s">
        <v>303</v>
      </c>
      <c r="L2458" s="13" t="s">
        <v>2493</v>
      </c>
      <c r="M2458" s="6" t="s">
        <v>188</v>
      </c>
      <c r="N2458" s="6" t="s">
        <v>188</v>
      </c>
      <c r="O2458" s="6" t="s">
        <v>190</v>
      </c>
      <c r="P2458" s="7" t="s">
        <v>333</v>
      </c>
      <c r="Q2458" s="13"/>
      <c r="R2458" s="13"/>
      <c r="S2458" s="13"/>
      <c r="T2458" s="6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  <c r="AE2458" s="7"/>
    </row>
    <row r="2459">
      <c r="A2459" s="12">
        <v>61.0</v>
      </c>
      <c r="B2459" s="7" t="s">
        <v>595</v>
      </c>
      <c r="C2459" s="7" t="s">
        <v>1717</v>
      </c>
      <c r="I2459" s="13" t="s">
        <v>1414</v>
      </c>
      <c r="J2459" s="13" t="s">
        <v>808</v>
      </c>
      <c r="K2459" s="13" t="s">
        <v>303</v>
      </c>
      <c r="L2459" s="13" t="s">
        <v>2496</v>
      </c>
      <c r="M2459" s="6" t="s">
        <v>188</v>
      </c>
      <c r="N2459" s="6" t="s">
        <v>188</v>
      </c>
      <c r="O2459" s="6" t="s">
        <v>190</v>
      </c>
      <c r="P2459" s="7" t="s">
        <v>333</v>
      </c>
      <c r="Q2459" s="13"/>
      <c r="R2459" s="13"/>
      <c r="S2459" s="13"/>
      <c r="T2459" s="6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  <c r="AE2459" s="7"/>
    </row>
    <row r="2460">
      <c r="A2460" s="12">
        <v>61.0</v>
      </c>
      <c r="B2460" s="7" t="s">
        <v>595</v>
      </c>
      <c r="C2460" s="7" t="s">
        <v>1717</v>
      </c>
      <c r="I2460" s="13" t="s">
        <v>418</v>
      </c>
      <c r="J2460" s="13" t="s">
        <v>805</v>
      </c>
      <c r="K2460" s="13" t="s">
        <v>303</v>
      </c>
      <c r="L2460" s="13" t="s">
        <v>2493</v>
      </c>
      <c r="M2460" s="6" t="s">
        <v>188</v>
      </c>
      <c r="N2460" s="6" t="s">
        <v>188</v>
      </c>
      <c r="O2460" s="6" t="s">
        <v>190</v>
      </c>
      <c r="P2460" s="7" t="s">
        <v>333</v>
      </c>
      <c r="Q2460" s="13"/>
      <c r="R2460" s="13"/>
      <c r="S2460" s="13"/>
      <c r="T2460" s="6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</row>
    <row r="2461">
      <c r="A2461" s="12">
        <v>61.0</v>
      </c>
      <c r="B2461" s="7" t="s">
        <v>595</v>
      </c>
      <c r="C2461" s="7" t="s">
        <v>1717</v>
      </c>
      <c r="I2461" s="13" t="s">
        <v>1269</v>
      </c>
      <c r="J2461" s="13" t="s">
        <v>806</v>
      </c>
      <c r="K2461" s="13" t="s">
        <v>303</v>
      </c>
      <c r="L2461" s="13" t="s">
        <v>2493</v>
      </c>
      <c r="M2461" s="6" t="s">
        <v>188</v>
      </c>
      <c r="N2461" s="6" t="s">
        <v>188</v>
      </c>
      <c r="O2461" s="6" t="s">
        <v>190</v>
      </c>
      <c r="P2461" s="7" t="s">
        <v>333</v>
      </c>
      <c r="Q2461" s="13"/>
      <c r="R2461" s="13"/>
      <c r="S2461" s="13"/>
      <c r="T2461" s="6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</row>
    <row r="2462">
      <c r="A2462" s="12">
        <v>61.0</v>
      </c>
      <c r="B2462" s="7" t="s">
        <v>595</v>
      </c>
      <c r="C2462" s="7" t="s">
        <v>1717</v>
      </c>
      <c r="I2462" s="13" t="s">
        <v>1690</v>
      </c>
      <c r="J2462" s="13" t="s">
        <v>807</v>
      </c>
      <c r="K2462" s="13" t="s">
        <v>303</v>
      </c>
      <c r="L2462" s="13" t="s">
        <v>2493</v>
      </c>
      <c r="M2462" s="6" t="s">
        <v>188</v>
      </c>
      <c r="N2462" s="6" t="s">
        <v>188</v>
      </c>
      <c r="O2462" s="6" t="s">
        <v>190</v>
      </c>
      <c r="P2462" s="7" t="s">
        <v>333</v>
      </c>
      <c r="Q2462" s="13"/>
      <c r="R2462" s="13"/>
      <c r="S2462" s="13"/>
      <c r="T2462" s="6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</row>
    <row r="2463">
      <c r="A2463" s="12">
        <v>61.0</v>
      </c>
      <c r="B2463" s="7" t="s">
        <v>595</v>
      </c>
      <c r="C2463" s="7" t="s">
        <v>1717</v>
      </c>
      <c r="I2463" s="13" t="s">
        <v>1722</v>
      </c>
      <c r="J2463" s="13" t="s">
        <v>808</v>
      </c>
      <c r="K2463" s="13" t="s">
        <v>303</v>
      </c>
      <c r="L2463" s="13" t="s">
        <v>2493</v>
      </c>
      <c r="M2463" s="6" t="s">
        <v>188</v>
      </c>
      <c r="N2463" s="6" t="s">
        <v>188</v>
      </c>
      <c r="O2463" s="6" t="s">
        <v>190</v>
      </c>
      <c r="P2463" s="7" t="s">
        <v>333</v>
      </c>
      <c r="Q2463" s="13"/>
      <c r="R2463" s="13"/>
      <c r="S2463" s="13"/>
      <c r="T2463" s="6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</row>
    <row r="2464">
      <c r="A2464" s="12">
        <v>61.0</v>
      </c>
      <c r="B2464" s="7" t="s">
        <v>595</v>
      </c>
      <c r="C2464" s="7" t="s">
        <v>1717</v>
      </c>
      <c r="I2464" s="13" t="s">
        <v>2067</v>
      </c>
      <c r="J2464" s="13" t="s">
        <v>805</v>
      </c>
      <c r="K2464" s="13" t="s">
        <v>303</v>
      </c>
      <c r="L2464" s="13" t="s">
        <v>2493</v>
      </c>
      <c r="M2464" s="6" t="s">
        <v>188</v>
      </c>
      <c r="N2464" s="6" t="s">
        <v>188</v>
      </c>
      <c r="O2464" s="6" t="s">
        <v>190</v>
      </c>
      <c r="P2464" s="7" t="s">
        <v>333</v>
      </c>
      <c r="Q2464" s="13"/>
      <c r="R2464" s="13"/>
      <c r="S2464" s="13"/>
      <c r="T2464" s="6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</row>
    <row r="2465">
      <c r="A2465" s="12">
        <v>61.0</v>
      </c>
      <c r="B2465" s="7" t="s">
        <v>595</v>
      </c>
      <c r="C2465" s="7" t="s">
        <v>1717</v>
      </c>
      <c r="I2465" s="13" t="s">
        <v>2107</v>
      </c>
      <c r="J2465" s="13" t="s">
        <v>806</v>
      </c>
      <c r="K2465" s="13" t="s">
        <v>303</v>
      </c>
      <c r="L2465" s="13" t="s">
        <v>2493</v>
      </c>
      <c r="M2465" s="6" t="s">
        <v>188</v>
      </c>
      <c r="N2465" s="6" t="s">
        <v>188</v>
      </c>
      <c r="O2465" s="6" t="s">
        <v>190</v>
      </c>
      <c r="P2465" s="7" t="s">
        <v>333</v>
      </c>
      <c r="Q2465" s="13"/>
      <c r="R2465" s="13"/>
      <c r="S2465" s="13"/>
      <c r="T2465" s="6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  <c r="AE2465" s="7"/>
    </row>
    <row r="2466">
      <c r="A2466" s="12">
        <v>61.0</v>
      </c>
      <c r="B2466" s="7" t="s">
        <v>595</v>
      </c>
      <c r="C2466" s="7" t="s">
        <v>1717</v>
      </c>
      <c r="I2466" s="13" t="s">
        <v>600</v>
      </c>
      <c r="J2466" s="13" t="s">
        <v>807</v>
      </c>
      <c r="K2466" s="13" t="s">
        <v>303</v>
      </c>
      <c r="L2466" s="13" t="s">
        <v>2497</v>
      </c>
      <c r="M2466" s="6" t="s">
        <v>188</v>
      </c>
      <c r="N2466" s="6" t="s">
        <v>188</v>
      </c>
      <c r="O2466" s="6" t="s">
        <v>190</v>
      </c>
      <c r="P2466" s="7" t="s">
        <v>333</v>
      </c>
      <c r="Q2466" s="13"/>
      <c r="R2466" s="13"/>
      <c r="S2466" s="13"/>
      <c r="T2466" s="6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</row>
    <row r="2467">
      <c r="A2467" s="12">
        <v>61.0</v>
      </c>
      <c r="B2467" s="7" t="s">
        <v>595</v>
      </c>
      <c r="C2467" s="7" t="s">
        <v>1717</v>
      </c>
      <c r="I2467" s="13" t="s">
        <v>1872</v>
      </c>
      <c r="J2467" s="13" t="s">
        <v>808</v>
      </c>
      <c r="K2467" s="13" t="s">
        <v>303</v>
      </c>
      <c r="L2467" s="13" t="s">
        <v>2493</v>
      </c>
      <c r="M2467" s="6" t="s">
        <v>188</v>
      </c>
      <c r="N2467" s="6" t="s">
        <v>188</v>
      </c>
      <c r="O2467" s="6" t="s">
        <v>190</v>
      </c>
      <c r="P2467" s="7" t="s">
        <v>333</v>
      </c>
      <c r="Q2467" s="13"/>
      <c r="R2467" s="13"/>
      <c r="S2467" s="13"/>
      <c r="T2467" s="6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</row>
    <row r="2468">
      <c r="A2468" s="12">
        <v>61.0</v>
      </c>
      <c r="B2468" s="7" t="s">
        <v>595</v>
      </c>
      <c r="C2468" s="7" t="s">
        <v>1717</v>
      </c>
      <c r="I2468" s="13" t="s">
        <v>607</v>
      </c>
      <c r="J2468" s="13" t="s">
        <v>805</v>
      </c>
      <c r="K2468" s="13" t="s">
        <v>303</v>
      </c>
      <c r="L2468" s="13" t="s">
        <v>2493</v>
      </c>
      <c r="M2468" s="6" t="s">
        <v>188</v>
      </c>
      <c r="N2468" s="6" t="s">
        <v>188</v>
      </c>
      <c r="O2468" s="6" t="s">
        <v>190</v>
      </c>
      <c r="P2468" s="7" t="s">
        <v>333</v>
      </c>
      <c r="Q2468" s="13"/>
      <c r="R2468" s="13"/>
      <c r="S2468" s="13"/>
      <c r="T2468" s="6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  <c r="AE2468" s="7"/>
    </row>
    <row r="2469">
      <c r="A2469" s="12">
        <v>61.0</v>
      </c>
      <c r="B2469" s="7" t="s">
        <v>595</v>
      </c>
      <c r="C2469" s="7" t="s">
        <v>1717</v>
      </c>
      <c r="I2469" s="13" t="s">
        <v>347</v>
      </c>
      <c r="J2469" s="13" t="s">
        <v>806</v>
      </c>
      <c r="K2469" s="13" t="s">
        <v>303</v>
      </c>
      <c r="L2469" s="13" t="s">
        <v>2493</v>
      </c>
      <c r="M2469" s="6" t="s">
        <v>188</v>
      </c>
      <c r="N2469" s="6" t="s">
        <v>188</v>
      </c>
      <c r="O2469" s="6" t="s">
        <v>190</v>
      </c>
      <c r="P2469" s="7" t="s">
        <v>333</v>
      </c>
      <c r="Q2469" s="13"/>
      <c r="R2469" s="13"/>
      <c r="S2469" s="13"/>
      <c r="T2469" s="6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</row>
    <row r="2470">
      <c r="A2470" s="12">
        <v>61.0</v>
      </c>
      <c r="B2470" s="7" t="s">
        <v>595</v>
      </c>
      <c r="C2470" s="7" t="s">
        <v>1717</v>
      </c>
      <c r="I2470" s="13" t="s">
        <v>1354</v>
      </c>
      <c r="J2470" s="13" t="s">
        <v>807</v>
      </c>
      <c r="K2470" s="13" t="s">
        <v>303</v>
      </c>
      <c r="L2470" s="13" t="s">
        <v>2493</v>
      </c>
      <c r="M2470" s="6" t="s">
        <v>188</v>
      </c>
      <c r="N2470" s="6" t="s">
        <v>188</v>
      </c>
      <c r="O2470" s="6" t="s">
        <v>190</v>
      </c>
      <c r="P2470" s="7" t="s">
        <v>333</v>
      </c>
      <c r="Q2470" s="13"/>
      <c r="R2470" s="13"/>
      <c r="S2470" s="13"/>
      <c r="T2470" s="6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  <c r="AE2470" s="7"/>
    </row>
    <row r="2471">
      <c r="A2471" s="12">
        <v>61.0</v>
      </c>
      <c r="B2471" s="7" t="s">
        <v>595</v>
      </c>
      <c r="C2471" s="7" t="s">
        <v>1717</v>
      </c>
      <c r="I2471" s="13" t="s">
        <v>426</v>
      </c>
      <c r="J2471" s="13" t="s">
        <v>808</v>
      </c>
      <c r="K2471" s="13" t="s">
        <v>303</v>
      </c>
      <c r="L2471" s="13" t="s">
        <v>2493</v>
      </c>
      <c r="M2471" s="6" t="s">
        <v>188</v>
      </c>
      <c r="N2471" s="6" t="s">
        <v>188</v>
      </c>
      <c r="O2471" s="6" t="s">
        <v>190</v>
      </c>
      <c r="P2471" s="7" t="s">
        <v>333</v>
      </c>
      <c r="Q2471" s="13"/>
      <c r="R2471" s="13"/>
      <c r="S2471" s="13"/>
      <c r="T2471" s="6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  <c r="AE2471" s="7"/>
    </row>
    <row r="2472">
      <c r="A2472" s="12">
        <v>61.0</v>
      </c>
      <c r="B2472" s="7" t="s">
        <v>595</v>
      </c>
      <c r="C2472" s="7" t="s">
        <v>1717</v>
      </c>
      <c r="I2472" s="13" t="s">
        <v>43</v>
      </c>
      <c r="J2472" s="13" t="s">
        <v>805</v>
      </c>
      <c r="K2472" s="13" t="s">
        <v>303</v>
      </c>
      <c r="L2472" s="13" t="s">
        <v>2493</v>
      </c>
      <c r="M2472" s="6" t="s">
        <v>188</v>
      </c>
      <c r="N2472" s="6" t="s">
        <v>188</v>
      </c>
      <c r="O2472" s="6" t="s">
        <v>190</v>
      </c>
      <c r="P2472" s="7" t="s">
        <v>333</v>
      </c>
      <c r="Q2472" s="13"/>
      <c r="R2472" s="13"/>
      <c r="S2472" s="13"/>
      <c r="T2472" s="6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</row>
    <row r="2473">
      <c r="A2473" s="12">
        <v>61.0</v>
      </c>
      <c r="B2473" s="7" t="s">
        <v>595</v>
      </c>
      <c r="C2473" s="7" t="s">
        <v>1717</v>
      </c>
      <c r="I2473" s="13" t="s">
        <v>330</v>
      </c>
      <c r="J2473" s="13" t="s">
        <v>806</v>
      </c>
      <c r="K2473" s="13" t="s">
        <v>303</v>
      </c>
      <c r="L2473" s="13" t="s">
        <v>2493</v>
      </c>
      <c r="M2473" s="6" t="s">
        <v>188</v>
      </c>
      <c r="N2473" s="6" t="s">
        <v>188</v>
      </c>
      <c r="O2473" s="6" t="s">
        <v>190</v>
      </c>
      <c r="P2473" s="7" t="s">
        <v>333</v>
      </c>
      <c r="Q2473" s="13"/>
      <c r="R2473" s="13"/>
      <c r="S2473" s="13"/>
      <c r="T2473" s="6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  <c r="AE2473" s="7"/>
    </row>
    <row r="2474">
      <c r="A2474" s="12">
        <v>61.0</v>
      </c>
      <c r="B2474" s="7" t="s">
        <v>595</v>
      </c>
      <c r="C2474" s="7" t="s">
        <v>1717</v>
      </c>
      <c r="I2474" s="13" t="s">
        <v>445</v>
      </c>
      <c r="J2474" s="13" t="s">
        <v>807</v>
      </c>
      <c r="K2474" s="13" t="s">
        <v>303</v>
      </c>
      <c r="L2474" s="13" t="s">
        <v>2493</v>
      </c>
      <c r="M2474" s="6" t="s">
        <v>188</v>
      </c>
      <c r="N2474" s="6" t="s">
        <v>188</v>
      </c>
      <c r="O2474" s="6" t="s">
        <v>190</v>
      </c>
      <c r="P2474" s="7" t="s">
        <v>333</v>
      </c>
      <c r="Q2474" s="13"/>
      <c r="R2474" s="13"/>
      <c r="S2474" s="13"/>
      <c r="T2474" s="6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</row>
    <row r="2475">
      <c r="A2475" s="12">
        <v>61.0</v>
      </c>
      <c r="B2475" s="7" t="s">
        <v>595</v>
      </c>
      <c r="C2475" s="7" t="s">
        <v>1717</v>
      </c>
      <c r="I2475" s="13" t="s">
        <v>270</v>
      </c>
      <c r="J2475" s="13" t="s">
        <v>808</v>
      </c>
      <c r="K2475" s="13" t="s">
        <v>303</v>
      </c>
      <c r="L2475" s="13" t="s">
        <v>2493</v>
      </c>
      <c r="M2475" s="6" t="s">
        <v>188</v>
      </c>
      <c r="N2475" s="6" t="s">
        <v>188</v>
      </c>
      <c r="O2475" s="6" t="s">
        <v>190</v>
      </c>
      <c r="P2475" s="7" t="s">
        <v>333</v>
      </c>
      <c r="Q2475" s="13"/>
      <c r="R2475" s="13"/>
      <c r="S2475" s="13"/>
      <c r="T2475" s="6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</row>
    <row r="2476">
      <c r="A2476" s="12">
        <v>61.0</v>
      </c>
      <c r="B2476" s="7" t="s">
        <v>595</v>
      </c>
      <c r="C2476" s="7" t="s">
        <v>1717</v>
      </c>
      <c r="I2476" s="13" t="s">
        <v>225</v>
      </c>
      <c r="J2476" s="13" t="s">
        <v>805</v>
      </c>
      <c r="K2476" s="13" t="s">
        <v>303</v>
      </c>
      <c r="L2476" s="13" t="s">
        <v>2493</v>
      </c>
      <c r="M2476" s="6" t="s">
        <v>188</v>
      </c>
      <c r="N2476" s="6" t="s">
        <v>188</v>
      </c>
      <c r="O2476" s="6" t="s">
        <v>190</v>
      </c>
      <c r="P2476" s="7" t="s">
        <v>333</v>
      </c>
      <c r="Q2476" s="13"/>
      <c r="R2476" s="13"/>
      <c r="S2476" s="13"/>
      <c r="T2476" s="6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</row>
    <row r="2477">
      <c r="A2477" s="12">
        <v>61.0</v>
      </c>
      <c r="B2477" s="7" t="s">
        <v>595</v>
      </c>
      <c r="C2477" s="7" t="s">
        <v>1717</v>
      </c>
      <c r="I2477" s="13" t="s">
        <v>2013</v>
      </c>
      <c r="J2477" s="13" t="s">
        <v>806</v>
      </c>
      <c r="K2477" s="13" t="s">
        <v>303</v>
      </c>
      <c r="L2477" s="13" t="s">
        <v>2493</v>
      </c>
      <c r="M2477" s="6" t="s">
        <v>188</v>
      </c>
      <c r="N2477" s="6" t="s">
        <v>188</v>
      </c>
      <c r="O2477" s="6" t="s">
        <v>190</v>
      </c>
      <c r="P2477" s="7" t="s">
        <v>333</v>
      </c>
      <c r="Q2477" s="13"/>
      <c r="R2477" s="13"/>
      <c r="S2477" s="13"/>
      <c r="T2477" s="6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  <c r="AE2477" s="7"/>
    </row>
    <row r="2478">
      <c r="A2478" s="12">
        <v>61.0</v>
      </c>
      <c r="B2478" s="7" t="s">
        <v>595</v>
      </c>
      <c r="C2478" s="7" t="s">
        <v>1717</v>
      </c>
      <c r="I2478" s="13" t="s">
        <v>2014</v>
      </c>
      <c r="J2478" s="13" t="s">
        <v>807</v>
      </c>
      <c r="K2478" s="13" t="s">
        <v>303</v>
      </c>
      <c r="L2478" s="13" t="s">
        <v>2493</v>
      </c>
      <c r="M2478" s="6" t="s">
        <v>188</v>
      </c>
      <c r="N2478" s="6" t="s">
        <v>188</v>
      </c>
      <c r="O2478" s="6" t="s">
        <v>190</v>
      </c>
      <c r="P2478" s="7" t="s">
        <v>333</v>
      </c>
      <c r="Q2478" s="13"/>
      <c r="R2478" s="13"/>
      <c r="S2478" s="13"/>
      <c r="T2478" s="6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</row>
    <row r="2479">
      <c r="A2479" s="12">
        <v>61.0</v>
      </c>
      <c r="B2479" s="7" t="s">
        <v>595</v>
      </c>
      <c r="C2479" s="7" t="s">
        <v>1717</v>
      </c>
      <c r="I2479" s="13" t="s">
        <v>466</v>
      </c>
      <c r="J2479" s="13" t="s">
        <v>808</v>
      </c>
      <c r="K2479" s="13" t="s">
        <v>303</v>
      </c>
      <c r="L2479" s="13" t="s">
        <v>2493</v>
      </c>
      <c r="M2479" s="6" t="s">
        <v>188</v>
      </c>
      <c r="N2479" s="6" t="s">
        <v>188</v>
      </c>
      <c r="O2479" s="6" t="s">
        <v>190</v>
      </c>
      <c r="P2479" s="7" t="s">
        <v>333</v>
      </c>
      <c r="Q2479" s="13"/>
      <c r="R2479" s="13"/>
      <c r="S2479" s="13"/>
      <c r="T2479" s="6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</row>
    <row r="2480">
      <c r="A2480" s="12">
        <v>61.0</v>
      </c>
      <c r="B2480" s="7" t="s">
        <v>595</v>
      </c>
      <c r="C2480" s="7" t="s">
        <v>1717</v>
      </c>
      <c r="I2480" s="13" t="s">
        <v>1350</v>
      </c>
      <c r="J2480" s="13" t="s">
        <v>805</v>
      </c>
      <c r="K2480" s="13" t="s">
        <v>303</v>
      </c>
      <c r="L2480" s="13" t="s">
        <v>2492</v>
      </c>
      <c r="M2480" s="6" t="s">
        <v>188</v>
      </c>
      <c r="N2480" s="6" t="s">
        <v>188</v>
      </c>
      <c r="O2480" s="6" t="s">
        <v>190</v>
      </c>
      <c r="P2480" s="7" t="s">
        <v>333</v>
      </c>
      <c r="Q2480" s="13"/>
      <c r="R2480" s="13"/>
      <c r="S2480" s="13"/>
      <c r="T2480" s="6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</row>
    <row r="2481">
      <c r="A2481" s="12">
        <v>61.0</v>
      </c>
      <c r="B2481" s="7" t="s">
        <v>595</v>
      </c>
      <c r="C2481" s="7" t="s">
        <v>1717</v>
      </c>
      <c r="I2481" s="13" t="s">
        <v>356</v>
      </c>
      <c r="J2481" s="13" t="s">
        <v>806</v>
      </c>
      <c r="K2481" s="13" t="s">
        <v>303</v>
      </c>
      <c r="L2481" s="13" t="s">
        <v>2493</v>
      </c>
      <c r="M2481" s="6" t="s">
        <v>188</v>
      </c>
      <c r="N2481" s="6" t="s">
        <v>188</v>
      </c>
      <c r="O2481" s="6" t="s">
        <v>190</v>
      </c>
      <c r="P2481" s="7" t="s">
        <v>333</v>
      </c>
      <c r="Q2481" s="13"/>
      <c r="R2481" s="13"/>
      <c r="S2481" s="13"/>
      <c r="T2481" s="6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</row>
    <row r="2482">
      <c r="A2482" s="12">
        <v>61.0</v>
      </c>
      <c r="B2482" s="7" t="s">
        <v>595</v>
      </c>
      <c r="C2482" s="7" t="s">
        <v>1717</v>
      </c>
      <c r="I2482" s="13" t="s">
        <v>167</v>
      </c>
      <c r="J2482" s="13" t="s">
        <v>807</v>
      </c>
      <c r="K2482" s="13" t="s">
        <v>303</v>
      </c>
      <c r="L2482" s="13" t="s">
        <v>2493</v>
      </c>
      <c r="M2482" s="6" t="s">
        <v>188</v>
      </c>
      <c r="N2482" s="6" t="s">
        <v>188</v>
      </c>
      <c r="O2482" s="6" t="s">
        <v>190</v>
      </c>
      <c r="P2482" s="7" t="s">
        <v>333</v>
      </c>
      <c r="Q2482" s="13"/>
      <c r="R2482" s="13"/>
      <c r="S2482" s="13"/>
      <c r="T2482" s="6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</row>
    <row r="2483">
      <c r="A2483" s="12">
        <v>61.0</v>
      </c>
      <c r="B2483" s="7" t="s">
        <v>595</v>
      </c>
      <c r="C2483" s="7" t="s">
        <v>1717</v>
      </c>
      <c r="I2483" s="13" t="s">
        <v>247</v>
      </c>
      <c r="J2483" s="13" t="s">
        <v>808</v>
      </c>
      <c r="K2483" s="13" t="s">
        <v>303</v>
      </c>
      <c r="L2483" s="13" t="s">
        <v>2493</v>
      </c>
      <c r="M2483" s="6" t="s">
        <v>188</v>
      </c>
      <c r="N2483" s="6" t="s">
        <v>188</v>
      </c>
      <c r="O2483" s="6" t="s">
        <v>190</v>
      </c>
      <c r="P2483" s="7" t="s">
        <v>333</v>
      </c>
      <c r="Q2483" s="13"/>
      <c r="R2483" s="13"/>
      <c r="S2483" s="13"/>
      <c r="T2483" s="6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</row>
    <row r="2484">
      <c r="A2484" s="12">
        <v>61.0</v>
      </c>
      <c r="B2484" s="7" t="s">
        <v>595</v>
      </c>
      <c r="C2484" s="7" t="s">
        <v>1717</v>
      </c>
      <c r="I2484" s="13" t="s">
        <v>481</v>
      </c>
      <c r="J2484" s="13" t="s">
        <v>805</v>
      </c>
      <c r="K2484" s="13" t="s">
        <v>303</v>
      </c>
      <c r="L2484" s="13" t="s">
        <v>2493</v>
      </c>
      <c r="M2484" s="6" t="s">
        <v>188</v>
      </c>
      <c r="N2484" s="6" t="s">
        <v>188</v>
      </c>
      <c r="O2484" s="6" t="s">
        <v>190</v>
      </c>
      <c r="P2484" s="7" t="s">
        <v>333</v>
      </c>
      <c r="Q2484" s="13"/>
      <c r="R2484" s="13"/>
      <c r="S2484" s="13"/>
      <c r="T2484" s="6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</row>
    <row r="2485">
      <c r="A2485" s="12">
        <v>61.0</v>
      </c>
      <c r="B2485" s="7" t="s">
        <v>595</v>
      </c>
      <c r="C2485" s="7" t="s">
        <v>1717</v>
      </c>
      <c r="I2485" s="13" t="s">
        <v>1980</v>
      </c>
      <c r="J2485" s="13" t="s">
        <v>806</v>
      </c>
      <c r="K2485" s="13" t="s">
        <v>303</v>
      </c>
      <c r="L2485" s="13" t="s">
        <v>2493</v>
      </c>
      <c r="M2485" s="6" t="s">
        <v>188</v>
      </c>
      <c r="N2485" s="6" t="s">
        <v>188</v>
      </c>
      <c r="O2485" s="6" t="s">
        <v>190</v>
      </c>
      <c r="P2485" s="7" t="s">
        <v>333</v>
      </c>
      <c r="Q2485" s="13"/>
      <c r="R2485" s="13"/>
      <c r="S2485" s="13"/>
      <c r="T2485" s="6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</row>
    <row r="2486">
      <c r="A2486" s="12">
        <v>61.0</v>
      </c>
      <c r="B2486" s="7" t="s">
        <v>595</v>
      </c>
      <c r="C2486" s="7" t="s">
        <v>1717</v>
      </c>
      <c r="I2486" s="13" t="s">
        <v>525</v>
      </c>
      <c r="J2486" s="13" t="s">
        <v>807</v>
      </c>
      <c r="K2486" s="13" t="s">
        <v>303</v>
      </c>
      <c r="L2486" s="13" t="s">
        <v>2493</v>
      </c>
      <c r="M2486" s="6" t="s">
        <v>188</v>
      </c>
      <c r="N2486" s="6" t="s">
        <v>188</v>
      </c>
      <c r="O2486" s="6" t="s">
        <v>190</v>
      </c>
      <c r="P2486" s="7" t="s">
        <v>333</v>
      </c>
      <c r="Q2486" s="13"/>
      <c r="R2486" s="13"/>
      <c r="S2486" s="13"/>
      <c r="T2486" s="6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  <c r="AE2486" s="7"/>
    </row>
    <row r="2487">
      <c r="A2487" s="12">
        <v>61.0</v>
      </c>
      <c r="B2487" s="7" t="s">
        <v>595</v>
      </c>
      <c r="C2487" s="7" t="s">
        <v>1717</v>
      </c>
      <c r="I2487" s="13" t="s">
        <v>1706</v>
      </c>
      <c r="J2487" s="13" t="s">
        <v>808</v>
      </c>
      <c r="K2487" s="13" t="s">
        <v>303</v>
      </c>
      <c r="L2487" s="13" t="s">
        <v>2493</v>
      </c>
      <c r="M2487" s="6" t="s">
        <v>188</v>
      </c>
      <c r="N2487" s="6" t="s">
        <v>188</v>
      </c>
      <c r="O2487" s="6" t="s">
        <v>190</v>
      </c>
      <c r="P2487" s="7" t="s">
        <v>333</v>
      </c>
      <c r="Q2487" s="13"/>
      <c r="R2487" s="13"/>
      <c r="S2487" s="13"/>
      <c r="T2487" s="6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</row>
    <row r="2488">
      <c r="A2488" s="12">
        <v>61.0</v>
      </c>
      <c r="B2488" s="7" t="s">
        <v>595</v>
      </c>
      <c r="C2488" s="7" t="s">
        <v>1717</v>
      </c>
      <c r="I2488" s="13" t="s">
        <v>395</v>
      </c>
      <c r="J2488" s="13" t="s">
        <v>805</v>
      </c>
      <c r="K2488" s="13" t="s">
        <v>303</v>
      </c>
      <c r="L2488" s="13" t="s">
        <v>2493</v>
      </c>
      <c r="M2488" s="6" t="s">
        <v>188</v>
      </c>
      <c r="N2488" s="6" t="s">
        <v>188</v>
      </c>
      <c r="O2488" s="6" t="s">
        <v>190</v>
      </c>
      <c r="P2488" s="7" t="s">
        <v>333</v>
      </c>
      <c r="Q2488" s="13"/>
      <c r="R2488" s="13"/>
      <c r="S2488" s="13"/>
      <c r="T2488" s="6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</row>
    <row r="2489">
      <c r="A2489" s="12">
        <v>61.0</v>
      </c>
      <c r="B2489" s="7" t="s">
        <v>595</v>
      </c>
      <c r="C2489" s="7" t="s">
        <v>1717</v>
      </c>
      <c r="I2489" s="13" t="s">
        <v>2499</v>
      </c>
      <c r="J2489" s="13" t="s">
        <v>806</v>
      </c>
      <c r="K2489" s="13" t="s">
        <v>303</v>
      </c>
      <c r="L2489" s="13" t="s">
        <v>2500</v>
      </c>
      <c r="M2489" s="6" t="s">
        <v>188</v>
      </c>
      <c r="N2489" s="6" t="s">
        <v>188</v>
      </c>
      <c r="O2489" s="6" t="s">
        <v>190</v>
      </c>
      <c r="P2489" s="7" t="s">
        <v>333</v>
      </c>
      <c r="Q2489" s="13"/>
      <c r="R2489" s="13"/>
      <c r="S2489" s="13"/>
      <c r="T2489" s="6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</row>
    <row r="2490">
      <c r="A2490" s="12">
        <v>61.0</v>
      </c>
      <c r="B2490" s="7" t="s">
        <v>595</v>
      </c>
      <c r="C2490" s="7" t="s">
        <v>1717</v>
      </c>
      <c r="I2490" s="13" t="s">
        <v>2501</v>
      </c>
      <c r="J2490" s="13" t="s">
        <v>807</v>
      </c>
      <c r="K2490" s="13" t="s">
        <v>303</v>
      </c>
      <c r="L2490" s="13" t="s">
        <v>2500</v>
      </c>
      <c r="M2490" s="6" t="s">
        <v>188</v>
      </c>
      <c r="N2490" s="6" t="s">
        <v>188</v>
      </c>
      <c r="O2490" s="6" t="s">
        <v>190</v>
      </c>
      <c r="P2490" s="7" t="s">
        <v>333</v>
      </c>
      <c r="Q2490" s="13"/>
      <c r="R2490" s="13"/>
      <c r="S2490" s="13"/>
      <c r="T2490" s="6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  <c r="AE2490" s="7"/>
    </row>
    <row r="2491">
      <c r="A2491" s="12">
        <v>61.0</v>
      </c>
      <c r="B2491" s="7" t="s">
        <v>595</v>
      </c>
      <c r="C2491" s="7" t="s">
        <v>1717</v>
      </c>
      <c r="I2491" s="13" t="s">
        <v>2502</v>
      </c>
      <c r="J2491" s="13" t="s">
        <v>808</v>
      </c>
      <c r="K2491" s="13" t="s">
        <v>303</v>
      </c>
      <c r="L2491" s="13" t="s">
        <v>2500</v>
      </c>
      <c r="M2491" s="6" t="s">
        <v>188</v>
      </c>
      <c r="N2491" s="6" t="s">
        <v>188</v>
      </c>
      <c r="O2491" s="6" t="s">
        <v>190</v>
      </c>
      <c r="P2491" s="7" t="s">
        <v>333</v>
      </c>
      <c r="Q2491" s="13"/>
      <c r="R2491" s="13"/>
      <c r="S2491" s="13"/>
      <c r="T2491" s="6"/>
      <c r="U2491" s="7"/>
      <c r="V2491" s="7"/>
      <c r="W2491" s="7"/>
      <c r="X2491" s="7"/>
      <c r="Y2491" s="7"/>
      <c r="Z2491" s="7"/>
      <c r="AA2491" s="7"/>
      <c r="AB2491" s="7"/>
      <c r="AC2491" s="7"/>
      <c r="AD2491" s="7"/>
      <c r="AE2491" s="7"/>
    </row>
    <row r="2492">
      <c r="A2492" s="12">
        <v>61.0</v>
      </c>
      <c r="B2492" s="7" t="s">
        <v>595</v>
      </c>
      <c r="C2492" s="7" t="s">
        <v>1717</v>
      </c>
      <c r="I2492" s="13" t="s">
        <v>2503</v>
      </c>
      <c r="J2492" s="13" t="s">
        <v>805</v>
      </c>
      <c r="K2492" s="13" t="s">
        <v>303</v>
      </c>
      <c r="L2492" s="13" t="s">
        <v>2500</v>
      </c>
      <c r="M2492" s="6" t="s">
        <v>188</v>
      </c>
      <c r="N2492" s="6" t="s">
        <v>188</v>
      </c>
      <c r="O2492" s="6" t="s">
        <v>190</v>
      </c>
      <c r="P2492" s="7" t="s">
        <v>333</v>
      </c>
      <c r="Q2492" s="13"/>
      <c r="R2492" s="13"/>
      <c r="S2492" s="13"/>
      <c r="T2492" s="6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</row>
    <row r="2493">
      <c r="A2493" s="12">
        <v>61.0</v>
      </c>
      <c r="B2493" s="7" t="s">
        <v>595</v>
      </c>
      <c r="C2493" s="7" t="s">
        <v>1717</v>
      </c>
      <c r="I2493" s="13" t="s">
        <v>2470</v>
      </c>
      <c r="J2493" s="13" t="s">
        <v>806</v>
      </c>
      <c r="K2493" s="13" t="s">
        <v>303</v>
      </c>
      <c r="L2493" s="13" t="s">
        <v>2549</v>
      </c>
      <c r="M2493" s="6" t="s">
        <v>188</v>
      </c>
      <c r="N2493" s="6" t="s">
        <v>188</v>
      </c>
      <c r="O2493" s="6" t="s">
        <v>190</v>
      </c>
      <c r="P2493" s="7" t="s">
        <v>333</v>
      </c>
      <c r="Q2493" s="13"/>
      <c r="R2493" s="13"/>
      <c r="S2493" s="13"/>
      <c r="T2493" s="6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</row>
    <row r="2494">
      <c r="A2494" s="12">
        <v>61.0</v>
      </c>
      <c r="B2494" s="7" t="s">
        <v>595</v>
      </c>
      <c r="C2494" s="7" t="s">
        <v>1717</v>
      </c>
      <c r="I2494" s="13" t="s">
        <v>2504</v>
      </c>
      <c r="J2494" s="13" t="s">
        <v>807</v>
      </c>
      <c r="K2494" s="13" t="s">
        <v>303</v>
      </c>
      <c r="L2494" s="13" t="s">
        <v>2500</v>
      </c>
      <c r="M2494" s="6" t="s">
        <v>188</v>
      </c>
      <c r="N2494" s="6" t="s">
        <v>188</v>
      </c>
      <c r="O2494" s="6" t="s">
        <v>190</v>
      </c>
      <c r="P2494" s="7" t="s">
        <v>333</v>
      </c>
      <c r="Q2494" s="13"/>
      <c r="R2494" s="13"/>
      <c r="S2494" s="13"/>
      <c r="T2494" s="6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</row>
    <row r="2495">
      <c r="A2495" s="12">
        <v>61.0</v>
      </c>
      <c r="B2495" s="7" t="s">
        <v>595</v>
      </c>
      <c r="C2495" s="7" t="s">
        <v>1717</v>
      </c>
      <c r="I2495" s="13" t="s">
        <v>2505</v>
      </c>
      <c r="J2495" s="13" t="s">
        <v>808</v>
      </c>
      <c r="K2495" s="13" t="s">
        <v>303</v>
      </c>
      <c r="L2495" s="13" t="s">
        <v>2506</v>
      </c>
      <c r="M2495" s="6" t="s">
        <v>188</v>
      </c>
      <c r="N2495" s="6" t="s">
        <v>188</v>
      </c>
      <c r="O2495" s="6" t="s">
        <v>190</v>
      </c>
      <c r="P2495" s="7" t="s">
        <v>333</v>
      </c>
      <c r="Q2495" s="13"/>
      <c r="R2495" s="13"/>
      <c r="S2495" s="13"/>
      <c r="T2495" s="6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</row>
    <row r="2496">
      <c r="A2496" s="12">
        <v>61.0</v>
      </c>
      <c r="B2496" s="7" t="s">
        <v>595</v>
      </c>
      <c r="C2496" s="7" t="s">
        <v>1717</v>
      </c>
      <c r="I2496" s="13" t="s">
        <v>871</v>
      </c>
      <c r="J2496" s="13" t="s">
        <v>805</v>
      </c>
      <c r="K2496" s="13" t="s">
        <v>303</v>
      </c>
      <c r="L2496" s="13" t="s">
        <v>2500</v>
      </c>
      <c r="M2496" s="6" t="s">
        <v>188</v>
      </c>
      <c r="N2496" s="6" t="s">
        <v>188</v>
      </c>
      <c r="O2496" s="6" t="s">
        <v>190</v>
      </c>
      <c r="P2496" s="7" t="s">
        <v>333</v>
      </c>
      <c r="Q2496" s="13"/>
      <c r="R2496" s="13"/>
      <c r="S2496" s="13"/>
      <c r="T2496" s="6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</row>
    <row r="2497">
      <c r="A2497" s="12">
        <v>61.0</v>
      </c>
      <c r="B2497" s="7" t="s">
        <v>595</v>
      </c>
      <c r="C2497" s="7" t="s">
        <v>1717</v>
      </c>
      <c r="I2497" s="13" t="s">
        <v>2400</v>
      </c>
      <c r="J2497" s="13" t="s">
        <v>806</v>
      </c>
      <c r="K2497" s="13" t="s">
        <v>303</v>
      </c>
      <c r="L2497" s="13" t="s">
        <v>2500</v>
      </c>
      <c r="M2497" s="6" t="s">
        <v>188</v>
      </c>
      <c r="N2497" s="6" t="s">
        <v>188</v>
      </c>
      <c r="O2497" s="6" t="s">
        <v>190</v>
      </c>
      <c r="P2497" s="7" t="s">
        <v>333</v>
      </c>
      <c r="Q2497" s="13"/>
      <c r="R2497" s="13"/>
      <c r="S2497" s="13"/>
      <c r="T2497" s="6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</row>
    <row r="2498">
      <c r="A2498" s="12">
        <v>61.0</v>
      </c>
      <c r="B2498" s="7" t="s">
        <v>595</v>
      </c>
      <c r="C2498" s="7" t="s">
        <v>1717</v>
      </c>
      <c r="I2498" s="13" t="s">
        <v>2377</v>
      </c>
      <c r="J2498" s="13" t="s">
        <v>807</v>
      </c>
      <c r="K2498" s="13" t="s">
        <v>303</v>
      </c>
      <c r="L2498" s="13" t="s">
        <v>2500</v>
      </c>
      <c r="M2498" s="6" t="s">
        <v>188</v>
      </c>
      <c r="N2498" s="6" t="s">
        <v>188</v>
      </c>
      <c r="O2498" s="6" t="s">
        <v>190</v>
      </c>
      <c r="P2498" s="7" t="s">
        <v>333</v>
      </c>
      <c r="Q2498" s="13"/>
      <c r="R2498" s="13"/>
      <c r="S2498" s="13"/>
      <c r="T2498" s="6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</row>
    <row r="2499">
      <c r="A2499" s="12">
        <v>61.0</v>
      </c>
      <c r="B2499" s="7" t="s">
        <v>595</v>
      </c>
      <c r="C2499" s="7" t="s">
        <v>1717</v>
      </c>
      <c r="I2499" s="13" t="s">
        <v>2083</v>
      </c>
      <c r="J2499" s="13" t="s">
        <v>808</v>
      </c>
      <c r="K2499" s="13" t="s">
        <v>303</v>
      </c>
      <c r="L2499" s="13" t="s">
        <v>2500</v>
      </c>
      <c r="M2499" s="6" t="s">
        <v>188</v>
      </c>
      <c r="N2499" s="6" t="s">
        <v>188</v>
      </c>
      <c r="O2499" s="6" t="s">
        <v>190</v>
      </c>
      <c r="P2499" s="7" t="s">
        <v>333</v>
      </c>
      <c r="Q2499" s="13"/>
      <c r="R2499" s="13"/>
      <c r="S2499" s="13"/>
      <c r="T2499" s="6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</row>
    <row r="2500">
      <c r="A2500" s="12">
        <v>61.0</v>
      </c>
      <c r="B2500" s="7" t="s">
        <v>595</v>
      </c>
      <c r="C2500" s="7" t="s">
        <v>1717</v>
      </c>
      <c r="I2500" s="13" t="s">
        <v>1777</v>
      </c>
      <c r="J2500" s="13" t="s">
        <v>805</v>
      </c>
      <c r="K2500" s="13" t="s">
        <v>303</v>
      </c>
      <c r="L2500" s="13" t="s">
        <v>2500</v>
      </c>
      <c r="M2500" s="6" t="s">
        <v>188</v>
      </c>
      <c r="N2500" s="6" t="s">
        <v>188</v>
      </c>
      <c r="O2500" s="6" t="s">
        <v>190</v>
      </c>
      <c r="P2500" s="7" t="s">
        <v>333</v>
      </c>
      <c r="Q2500" s="13"/>
      <c r="R2500" s="13"/>
      <c r="S2500" s="13"/>
      <c r="T2500" s="6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</row>
    <row r="2501">
      <c r="A2501" s="12">
        <v>61.0</v>
      </c>
      <c r="B2501" s="7" t="s">
        <v>595</v>
      </c>
      <c r="C2501" s="7" t="s">
        <v>1717</v>
      </c>
      <c r="I2501" s="13" t="s">
        <v>2181</v>
      </c>
      <c r="J2501" s="13" t="s">
        <v>806</v>
      </c>
      <c r="K2501" s="13" t="s">
        <v>303</v>
      </c>
      <c r="L2501" s="13" t="s">
        <v>2507</v>
      </c>
      <c r="M2501" s="6" t="s">
        <v>188</v>
      </c>
      <c r="N2501" s="6" t="s">
        <v>188</v>
      </c>
      <c r="O2501" s="6" t="s">
        <v>190</v>
      </c>
      <c r="P2501" s="7" t="s">
        <v>333</v>
      </c>
      <c r="Q2501" s="13"/>
      <c r="R2501" s="13"/>
      <c r="S2501" s="13"/>
      <c r="T2501" s="6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</row>
    <row r="2502">
      <c r="A2502" s="12">
        <v>61.0</v>
      </c>
      <c r="B2502" s="7" t="s">
        <v>595</v>
      </c>
      <c r="C2502" s="7" t="s">
        <v>1717</v>
      </c>
      <c r="I2502" s="13" t="s">
        <v>2187</v>
      </c>
      <c r="J2502" s="13" t="s">
        <v>807</v>
      </c>
      <c r="K2502" s="13" t="s">
        <v>303</v>
      </c>
      <c r="L2502" s="13" t="s">
        <v>2508</v>
      </c>
      <c r="M2502" s="6" t="s">
        <v>188</v>
      </c>
      <c r="N2502" s="6" t="s">
        <v>188</v>
      </c>
      <c r="O2502" s="6" t="s">
        <v>190</v>
      </c>
      <c r="P2502" s="7" t="s">
        <v>333</v>
      </c>
      <c r="Q2502" s="13"/>
      <c r="R2502" s="13"/>
      <c r="S2502" s="13"/>
      <c r="T2502" s="6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</row>
    <row r="2503">
      <c r="A2503" s="12">
        <v>61.0</v>
      </c>
      <c r="B2503" s="7" t="s">
        <v>595</v>
      </c>
      <c r="C2503" s="7" t="s">
        <v>1717</v>
      </c>
      <c r="I2503" s="13" t="s">
        <v>1782</v>
      </c>
      <c r="J2503" s="13" t="s">
        <v>808</v>
      </c>
      <c r="K2503" s="13" t="s">
        <v>303</v>
      </c>
      <c r="L2503" s="13" t="s">
        <v>2500</v>
      </c>
      <c r="M2503" s="6" t="s">
        <v>188</v>
      </c>
      <c r="N2503" s="6" t="s">
        <v>188</v>
      </c>
      <c r="O2503" s="6" t="s">
        <v>190</v>
      </c>
      <c r="P2503" s="7" t="s">
        <v>333</v>
      </c>
      <c r="Q2503" s="13"/>
      <c r="R2503" s="13"/>
      <c r="S2503" s="13"/>
      <c r="T2503" s="6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</row>
    <row r="2504">
      <c r="A2504" s="12">
        <v>61.0</v>
      </c>
      <c r="B2504" s="7" t="s">
        <v>595</v>
      </c>
      <c r="C2504" s="7" t="s">
        <v>1717</v>
      </c>
      <c r="I2504" s="13" t="s">
        <v>1828</v>
      </c>
      <c r="J2504" s="13" t="s">
        <v>805</v>
      </c>
      <c r="K2504" s="13" t="s">
        <v>303</v>
      </c>
      <c r="L2504" s="13" t="s">
        <v>2500</v>
      </c>
      <c r="M2504" s="6" t="s">
        <v>188</v>
      </c>
      <c r="N2504" s="6" t="s">
        <v>188</v>
      </c>
      <c r="O2504" s="6" t="s">
        <v>190</v>
      </c>
      <c r="P2504" s="7" t="s">
        <v>333</v>
      </c>
      <c r="Q2504" s="13"/>
      <c r="R2504" s="13"/>
      <c r="S2504" s="13"/>
      <c r="T2504" s="6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</row>
    <row r="2505">
      <c r="A2505" s="12">
        <v>61.0</v>
      </c>
      <c r="B2505" s="7" t="s">
        <v>595</v>
      </c>
      <c r="C2505" s="7" t="s">
        <v>1717</v>
      </c>
      <c r="I2505" s="13" t="s">
        <v>1768</v>
      </c>
      <c r="J2505" s="13" t="s">
        <v>806</v>
      </c>
      <c r="K2505" s="13" t="s">
        <v>303</v>
      </c>
      <c r="L2505" s="13" t="s">
        <v>2500</v>
      </c>
      <c r="M2505" s="6" t="s">
        <v>188</v>
      </c>
      <c r="N2505" s="6" t="s">
        <v>188</v>
      </c>
      <c r="O2505" s="6" t="s">
        <v>190</v>
      </c>
      <c r="P2505" s="7" t="s">
        <v>333</v>
      </c>
      <c r="Q2505" s="13"/>
      <c r="R2505" s="13"/>
      <c r="S2505" s="13"/>
      <c r="T2505" s="6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</row>
    <row r="2506">
      <c r="A2506" s="12">
        <v>61.0</v>
      </c>
      <c r="B2506" s="7" t="s">
        <v>595</v>
      </c>
      <c r="C2506" s="7" t="s">
        <v>1717</v>
      </c>
      <c r="I2506" s="13" t="s">
        <v>1795</v>
      </c>
      <c r="J2506" s="13" t="s">
        <v>807</v>
      </c>
      <c r="K2506" s="13" t="s">
        <v>303</v>
      </c>
      <c r="L2506" s="13" t="s">
        <v>2500</v>
      </c>
      <c r="M2506" s="6" t="s">
        <v>188</v>
      </c>
      <c r="N2506" s="6" t="s">
        <v>188</v>
      </c>
      <c r="O2506" s="6" t="s">
        <v>190</v>
      </c>
      <c r="P2506" s="7" t="s">
        <v>333</v>
      </c>
      <c r="Q2506" s="13"/>
      <c r="R2506" s="13"/>
      <c r="S2506" s="13"/>
      <c r="T2506" s="6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</row>
    <row r="2507">
      <c r="A2507" s="12">
        <v>61.0</v>
      </c>
      <c r="B2507" s="7" t="s">
        <v>595</v>
      </c>
      <c r="C2507" s="7" t="s">
        <v>1717</v>
      </c>
      <c r="I2507" s="13" t="s">
        <v>2092</v>
      </c>
      <c r="J2507" s="13" t="s">
        <v>808</v>
      </c>
      <c r="K2507" s="13" t="s">
        <v>303</v>
      </c>
      <c r="L2507" s="13" t="s">
        <v>2500</v>
      </c>
      <c r="M2507" s="6" t="s">
        <v>188</v>
      </c>
      <c r="N2507" s="6" t="s">
        <v>188</v>
      </c>
      <c r="O2507" s="6" t="s">
        <v>190</v>
      </c>
      <c r="P2507" s="7" t="s">
        <v>333</v>
      </c>
      <c r="Q2507" s="13"/>
      <c r="R2507" s="13"/>
      <c r="S2507" s="13"/>
      <c r="T2507" s="6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</row>
    <row r="2508">
      <c r="A2508" s="12">
        <v>61.0</v>
      </c>
      <c r="B2508" s="7" t="s">
        <v>595</v>
      </c>
      <c r="C2508" s="7" t="s">
        <v>1717</v>
      </c>
      <c r="I2508" s="13" t="s">
        <v>1400</v>
      </c>
      <c r="J2508" s="13" t="s">
        <v>805</v>
      </c>
      <c r="K2508" s="13" t="s">
        <v>303</v>
      </c>
      <c r="L2508" s="13" t="s">
        <v>2500</v>
      </c>
      <c r="M2508" s="6" t="s">
        <v>188</v>
      </c>
      <c r="N2508" s="6" t="s">
        <v>188</v>
      </c>
      <c r="O2508" s="6" t="s">
        <v>190</v>
      </c>
      <c r="P2508" s="7" t="s">
        <v>333</v>
      </c>
      <c r="Q2508" s="13"/>
      <c r="R2508" s="13"/>
      <c r="S2508" s="13"/>
      <c r="T2508" s="6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</row>
    <row r="2509">
      <c r="A2509" s="12">
        <v>61.0</v>
      </c>
      <c r="B2509" s="7" t="s">
        <v>595</v>
      </c>
      <c r="C2509" s="7" t="s">
        <v>1717</v>
      </c>
      <c r="I2509" s="13" t="s">
        <v>1971</v>
      </c>
      <c r="J2509" s="13" t="s">
        <v>806</v>
      </c>
      <c r="K2509" s="13" t="s">
        <v>303</v>
      </c>
      <c r="L2509" s="13" t="s">
        <v>2500</v>
      </c>
      <c r="M2509" s="6" t="s">
        <v>188</v>
      </c>
      <c r="N2509" s="6" t="s">
        <v>188</v>
      </c>
      <c r="O2509" s="6" t="s">
        <v>190</v>
      </c>
      <c r="P2509" s="7" t="s">
        <v>333</v>
      </c>
      <c r="Q2509" s="13"/>
      <c r="R2509" s="13"/>
      <c r="S2509" s="13"/>
      <c r="T2509" s="6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</row>
    <row r="2510">
      <c r="A2510" s="12">
        <v>61.0</v>
      </c>
      <c r="B2510" s="7" t="s">
        <v>595</v>
      </c>
      <c r="C2510" s="7" t="s">
        <v>1717</v>
      </c>
      <c r="I2510" s="13" t="s">
        <v>2256</v>
      </c>
      <c r="J2510" s="13" t="s">
        <v>807</v>
      </c>
      <c r="K2510" s="13" t="s">
        <v>303</v>
      </c>
      <c r="L2510" s="13" t="s">
        <v>2500</v>
      </c>
      <c r="M2510" s="6" t="s">
        <v>188</v>
      </c>
      <c r="N2510" s="6" t="s">
        <v>188</v>
      </c>
      <c r="O2510" s="6" t="s">
        <v>190</v>
      </c>
      <c r="P2510" s="7" t="s">
        <v>333</v>
      </c>
      <c r="Q2510" s="13"/>
      <c r="R2510" s="13"/>
      <c r="S2510" s="13"/>
      <c r="T2510" s="6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</row>
    <row r="2511">
      <c r="A2511" s="12">
        <v>61.0</v>
      </c>
      <c r="B2511" s="7" t="s">
        <v>595</v>
      </c>
      <c r="C2511" s="7" t="s">
        <v>1717</v>
      </c>
      <c r="I2511" s="13" t="s">
        <v>1100</v>
      </c>
      <c r="J2511" s="13" t="s">
        <v>808</v>
      </c>
      <c r="K2511" s="13" t="s">
        <v>303</v>
      </c>
      <c r="L2511" s="13" t="s">
        <v>2500</v>
      </c>
      <c r="M2511" s="6" t="s">
        <v>188</v>
      </c>
      <c r="N2511" s="6" t="s">
        <v>188</v>
      </c>
      <c r="O2511" s="6" t="s">
        <v>190</v>
      </c>
      <c r="P2511" s="7" t="s">
        <v>333</v>
      </c>
      <c r="Q2511" s="13"/>
      <c r="R2511" s="13"/>
      <c r="S2511" s="13"/>
      <c r="T2511" s="6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</row>
    <row r="2512">
      <c r="A2512" s="12">
        <v>61.0</v>
      </c>
      <c r="B2512" s="7" t="s">
        <v>595</v>
      </c>
      <c r="C2512" s="7" t="s">
        <v>1717</v>
      </c>
      <c r="I2512" s="13" t="s">
        <v>1762</v>
      </c>
      <c r="J2512" s="13" t="s">
        <v>805</v>
      </c>
      <c r="K2512" s="13" t="s">
        <v>303</v>
      </c>
      <c r="L2512" s="13" t="s">
        <v>2500</v>
      </c>
      <c r="M2512" s="6" t="s">
        <v>188</v>
      </c>
      <c r="N2512" s="6" t="s">
        <v>188</v>
      </c>
      <c r="O2512" s="6" t="s">
        <v>190</v>
      </c>
      <c r="P2512" s="7" t="s">
        <v>333</v>
      </c>
      <c r="Q2512" s="13"/>
      <c r="R2512" s="13"/>
      <c r="S2512" s="13"/>
      <c r="T2512" s="6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</row>
    <row r="2513">
      <c r="A2513" s="12">
        <v>61.0</v>
      </c>
      <c r="B2513" s="7" t="s">
        <v>595</v>
      </c>
      <c r="C2513" s="7" t="s">
        <v>1717</v>
      </c>
      <c r="I2513" s="13" t="s">
        <v>1710</v>
      </c>
      <c r="J2513" s="13" t="s">
        <v>806</v>
      </c>
      <c r="K2513" s="13" t="s">
        <v>303</v>
      </c>
      <c r="L2513" s="13" t="s">
        <v>2500</v>
      </c>
      <c r="M2513" s="6" t="s">
        <v>188</v>
      </c>
      <c r="N2513" s="6" t="s">
        <v>188</v>
      </c>
      <c r="O2513" s="6" t="s">
        <v>190</v>
      </c>
      <c r="P2513" s="7" t="s">
        <v>333</v>
      </c>
      <c r="Q2513" s="13"/>
      <c r="R2513" s="13"/>
      <c r="S2513" s="13"/>
      <c r="T2513" s="6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</row>
    <row r="2514">
      <c r="A2514" s="12">
        <v>61.0</v>
      </c>
      <c r="B2514" s="7" t="s">
        <v>595</v>
      </c>
      <c r="C2514" s="7" t="s">
        <v>1717</v>
      </c>
      <c r="I2514" s="13" t="s">
        <v>1984</v>
      </c>
      <c r="J2514" s="13" t="s">
        <v>807</v>
      </c>
      <c r="K2514" s="13" t="s">
        <v>303</v>
      </c>
      <c r="L2514" s="13" t="s">
        <v>2500</v>
      </c>
      <c r="M2514" s="6" t="s">
        <v>188</v>
      </c>
      <c r="N2514" s="6" t="s">
        <v>188</v>
      </c>
      <c r="O2514" s="6" t="s">
        <v>190</v>
      </c>
      <c r="P2514" s="7" t="s">
        <v>333</v>
      </c>
      <c r="Q2514" s="13"/>
      <c r="R2514" s="13"/>
      <c r="S2514" s="13"/>
      <c r="T2514" s="6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</row>
    <row r="2515">
      <c r="A2515" s="12">
        <v>61.0</v>
      </c>
      <c r="B2515" s="7" t="s">
        <v>595</v>
      </c>
      <c r="C2515" s="7" t="s">
        <v>1717</v>
      </c>
      <c r="I2515" s="13" t="s">
        <v>1724</v>
      </c>
      <c r="J2515" s="13" t="s">
        <v>808</v>
      </c>
      <c r="K2515" s="13" t="s">
        <v>303</v>
      </c>
      <c r="L2515" s="13" t="s">
        <v>2506</v>
      </c>
      <c r="M2515" s="6" t="s">
        <v>188</v>
      </c>
      <c r="N2515" s="6" t="s">
        <v>188</v>
      </c>
      <c r="O2515" s="6" t="s">
        <v>190</v>
      </c>
      <c r="P2515" s="7" t="s">
        <v>333</v>
      </c>
      <c r="Q2515" s="13"/>
      <c r="R2515" s="13"/>
      <c r="S2515" s="13"/>
      <c r="T2515" s="6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</row>
    <row r="2516">
      <c r="A2516" s="12">
        <v>61.0</v>
      </c>
      <c r="B2516" s="7" t="s">
        <v>595</v>
      </c>
      <c r="C2516" s="7" t="s">
        <v>1717</v>
      </c>
      <c r="I2516" s="13" t="s">
        <v>1014</v>
      </c>
      <c r="J2516" s="13" t="s">
        <v>805</v>
      </c>
      <c r="K2516" s="13" t="s">
        <v>303</v>
      </c>
      <c r="L2516" s="13" t="s">
        <v>2500</v>
      </c>
      <c r="M2516" s="6" t="s">
        <v>188</v>
      </c>
      <c r="N2516" s="6" t="s">
        <v>188</v>
      </c>
      <c r="O2516" s="6" t="s">
        <v>190</v>
      </c>
      <c r="P2516" s="7" t="s">
        <v>333</v>
      </c>
      <c r="Q2516" s="13"/>
      <c r="R2516" s="13"/>
      <c r="S2516" s="13"/>
      <c r="T2516" s="6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</row>
    <row r="2517">
      <c r="A2517" s="12">
        <v>61.0</v>
      </c>
      <c r="B2517" s="7" t="s">
        <v>595</v>
      </c>
      <c r="C2517" s="7" t="s">
        <v>1717</v>
      </c>
      <c r="I2517" s="13" t="s">
        <v>1759</v>
      </c>
      <c r="J2517" s="13" t="s">
        <v>806</v>
      </c>
      <c r="K2517" s="13" t="s">
        <v>303</v>
      </c>
      <c r="L2517" s="13" t="s">
        <v>2500</v>
      </c>
      <c r="M2517" s="6" t="s">
        <v>188</v>
      </c>
      <c r="N2517" s="6" t="s">
        <v>188</v>
      </c>
      <c r="O2517" s="6" t="s">
        <v>190</v>
      </c>
      <c r="P2517" s="7" t="s">
        <v>333</v>
      </c>
      <c r="Q2517" s="13"/>
      <c r="R2517" s="13"/>
      <c r="S2517" s="13"/>
      <c r="T2517" s="6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</row>
    <row r="2518">
      <c r="A2518" s="12">
        <v>61.0</v>
      </c>
      <c r="B2518" s="7" t="s">
        <v>595</v>
      </c>
      <c r="C2518" s="7" t="s">
        <v>1717</v>
      </c>
      <c r="I2518" s="13" t="s">
        <v>1528</v>
      </c>
      <c r="J2518" s="13" t="s">
        <v>807</v>
      </c>
      <c r="K2518" s="13" t="s">
        <v>303</v>
      </c>
      <c r="L2518" s="13" t="s">
        <v>2500</v>
      </c>
      <c r="M2518" s="6" t="s">
        <v>188</v>
      </c>
      <c r="N2518" s="6" t="s">
        <v>188</v>
      </c>
      <c r="O2518" s="6" t="s">
        <v>190</v>
      </c>
      <c r="P2518" s="7" t="s">
        <v>333</v>
      </c>
      <c r="Q2518" s="13"/>
      <c r="R2518" s="13"/>
      <c r="S2518" s="13"/>
      <c r="T2518" s="6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</row>
    <row r="2519">
      <c r="A2519" s="12">
        <v>61.0</v>
      </c>
      <c r="B2519" s="7" t="s">
        <v>595</v>
      </c>
      <c r="C2519" s="7" t="s">
        <v>1717</v>
      </c>
      <c r="I2519" s="13" t="s">
        <v>1427</v>
      </c>
      <c r="J2519" s="13" t="s">
        <v>808</v>
      </c>
      <c r="K2519" s="13" t="s">
        <v>303</v>
      </c>
      <c r="L2519" s="13" t="s">
        <v>2550</v>
      </c>
      <c r="M2519" s="6" t="s">
        <v>188</v>
      </c>
      <c r="N2519" s="6" t="s">
        <v>188</v>
      </c>
      <c r="O2519" s="6" t="s">
        <v>190</v>
      </c>
      <c r="P2519" s="7" t="s">
        <v>333</v>
      </c>
      <c r="Q2519" s="13"/>
      <c r="R2519" s="13"/>
      <c r="S2519" s="13"/>
      <c r="T2519" s="6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</row>
    <row r="2520">
      <c r="A2520" s="12">
        <v>61.0</v>
      </c>
      <c r="B2520" s="7" t="s">
        <v>595</v>
      </c>
      <c r="C2520" s="7" t="s">
        <v>1717</v>
      </c>
      <c r="I2520" s="13" t="s">
        <v>1958</v>
      </c>
      <c r="J2520" s="13" t="s">
        <v>805</v>
      </c>
      <c r="K2520" s="13" t="s">
        <v>303</v>
      </c>
      <c r="L2520" s="13" t="s">
        <v>2500</v>
      </c>
      <c r="M2520" s="6" t="s">
        <v>188</v>
      </c>
      <c r="N2520" s="6" t="s">
        <v>188</v>
      </c>
      <c r="O2520" s="6" t="s">
        <v>190</v>
      </c>
      <c r="P2520" s="7" t="s">
        <v>333</v>
      </c>
      <c r="Q2520" s="13"/>
      <c r="R2520" s="13"/>
      <c r="S2520" s="13"/>
      <c r="T2520" s="6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</row>
    <row r="2521">
      <c r="A2521" s="12">
        <v>61.0</v>
      </c>
      <c r="B2521" s="7" t="s">
        <v>595</v>
      </c>
      <c r="C2521" s="7" t="s">
        <v>1717</v>
      </c>
      <c r="I2521" s="13" t="s">
        <v>1501</v>
      </c>
      <c r="J2521" s="13" t="s">
        <v>806</v>
      </c>
      <c r="K2521" s="13" t="s">
        <v>303</v>
      </c>
      <c r="L2521" s="13" t="s">
        <v>2500</v>
      </c>
      <c r="M2521" s="6" t="s">
        <v>188</v>
      </c>
      <c r="N2521" s="6" t="s">
        <v>188</v>
      </c>
      <c r="O2521" s="6" t="s">
        <v>190</v>
      </c>
      <c r="P2521" s="7" t="s">
        <v>333</v>
      </c>
      <c r="Q2521" s="13"/>
      <c r="R2521" s="13"/>
      <c r="S2521" s="13"/>
      <c r="T2521" s="6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</row>
    <row r="2522">
      <c r="A2522" s="12">
        <v>62.0</v>
      </c>
      <c r="B2522" s="7" t="s">
        <v>596</v>
      </c>
      <c r="C2522" s="7" t="s">
        <v>1717</v>
      </c>
      <c r="D2522" s="26">
        <f>IF(COUNTIF($B$2:$B2522,$B2522)&gt;1,"",COUNTIF($B$2:$B$3400,$B2522))</f>
        <v>30</v>
      </c>
      <c r="E2522" s="26">
        <f>IF(COUNTIF($B$2:$B2522,$B2522)&gt;1,"",COUNTIFS($B$2:$B$3400,$B2522,$K$2:$K$3400,"PHÙ HỢP CAO"))</f>
        <v>3</v>
      </c>
      <c r="F2522" s="26">
        <f>IF(COUNTIF($B$2:$B2522,$B2522)&gt;1,"",COUNTIFS($B$2:$B$3400,$B2522,$K$2:$K$3400,"CÓ THỂ ĐI"))</f>
        <v>2</v>
      </c>
      <c r="G2522" s="26">
        <f>IF(COUNTIF($B$2:$B2522,$B2522)&gt;1,"",COUNTIFS($B$2:$B$3400,$B2522,$K$2:$K$3400,"CẦN SOÁT"))</f>
        <v>25</v>
      </c>
      <c r="H2522" s="27" t="str">
        <f>IFERROR(__xludf.DUMMYFUNCTION("IF(COUNTIF($B$2:$B2522,$B2522)&gt;1,"""",IFERROR(TEXTJOIN(CHAR(10),TRUE,BYROW(QUERY({$B$2:$B$3400,$J$2:$J$3400},""select Col2, count(Col2) where Col1 = '""&amp;$B2522&amp;""' group by Col2 order by count(Col2) desc label count(Col2) ''"",0),LAMBDA(r,INDEX(r,1,1)&amp;"" "&amp;"– ""&amp;INDEX(r,1,2)&amp;"" link""))),""""))"),"rút tiết kiệm trước hạn – 15 link
rút tiền tiết kiệm trước thời hạn – 15 link")</f>
        <v>rút tiết kiệm trước hạn – 15 link
rút tiền tiết kiệm trước thời hạn – 15 link</v>
      </c>
      <c r="I2522" s="10" t="s">
        <v>1751</v>
      </c>
      <c r="J2522" s="13" t="s">
        <v>1753</v>
      </c>
      <c r="K2522" s="13" t="s">
        <v>184</v>
      </c>
      <c r="L2522" s="13" t="s">
        <v>2551</v>
      </c>
      <c r="M2522" s="6" t="s">
        <v>188</v>
      </c>
      <c r="N2522" s="6" t="s">
        <v>188</v>
      </c>
      <c r="O2522" s="6" t="s">
        <v>190</v>
      </c>
      <c r="P2522" s="7"/>
      <c r="Q2522" s="13"/>
      <c r="R2522" s="13"/>
      <c r="S2522" s="13"/>
      <c r="T2522" s="6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</row>
    <row r="2523">
      <c r="A2523" s="12">
        <v>62.0</v>
      </c>
      <c r="B2523" s="7" t="s">
        <v>596</v>
      </c>
      <c r="C2523" s="7" t="s">
        <v>1717</v>
      </c>
      <c r="I2523" s="10" t="s">
        <v>1754</v>
      </c>
      <c r="J2523" s="13" t="s">
        <v>1757</v>
      </c>
      <c r="K2523" s="13" t="s">
        <v>184</v>
      </c>
      <c r="L2523" s="13" t="s">
        <v>2552</v>
      </c>
      <c r="M2523" s="6" t="s">
        <v>188</v>
      </c>
      <c r="N2523" s="6" t="s">
        <v>188</v>
      </c>
      <c r="O2523" s="6" t="s">
        <v>190</v>
      </c>
      <c r="P2523" s="7"/>
      <c r="Q2523" s="13"/>
      <c r="R2523" s="13"/>
      <c r="S2523" s="13"/>
      <c r="T2523" s="6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</row>
    <row r="2524">
      <c r="A2524" s="12">
        <v>62.0</v>
      </c>
      <c r="B2524" s="7" t="s">
        <v>596</v>
      </c>
      <c r="C2524" s="7" t="s">
        <v>1717</v>
      </c>
      <c r="I2524" s="10" t="s">
        <v>511</v>
      </c>
      <c r="J2524" s="13" t="s">
        <v>1753</v>
      </c>
      <c r="K2524" s="13" t="s">
        <v>184</v>
      </c>
      <c r="L2524" s="13" t="s">
        <v>2553</v>
      </c>
      <c r="M2524" s="6" t="s">
        <v>188</v>
      </c>
      <c r="N2524" s="6" t="s">
        <v>188</v>
      </c>
      <c r="O2524" s="6" t="s">
        <v>190</v>
      </c>
      <c r="P2524" s="7"/>
      <c r="Q2524" s="13"/>
      <c r="R2524" s="13"/>
      <c r="S2524" s="13"/>
      <c r="T2524" s="6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</row>
    <row r="2525">
      <c r="A2525" s="12">
        <v>62.0</v>
      </c>
      <c r="B2525" s="7" t="s">
        <v>596</v>
      </c>
      <c r="C2525" s="7" t="s">
        <v>1717</v>
      </c>
      <c r="I2525" s="10" t="s">
        <v>1759</v>
      </c>
      <c r="J2525" s="13" t="s">
        <v>1757</v>
      </c>
      <c r="K2525" s="13" t="s">
        <v>283</v>
      </c>
      <c r="L2525" s="13" t="s">
        <v>2554</v>
      </c>
      <c r="M2525" s="6" t="s">
        <v>188</v>
      </c>
      <c r="N2525" s="6" t="s">
        <v>188</v>
      </c>
      <c r="O2525" s="6" t="s">
        <v>190</v>
      </c>
      <c r="P2525" s="7"/>
      <c r="Q2525" s="13"/>
      <c r="R2525" s="13"/>
      <c r="S2525" s="13"/>
      <c r="T2525" s="6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</row>
    <row r="2526">
      <c r="A2526" s="12">
        <v>62.0</v>
      </c>
      <c r="B2526" s="7" t="s">
        <v>596</v>
      </c>
      <c r="C2526" s="7" t="s">
        <v>1717</v>
      </c>
      <c r="I2526" s="10" t="s">
        <v>1762</v>
      </c>
      <c r="J2526" s="13" t="s">
        <v>1753</v>
      </c>
      <c r="K2526" s="13" t="s">
        <v>283</v>
      </c>
      <c r="L2526" s="13" t="s">
        <v>2555</v>
      </c>
      <c r="M2526" s="6" t="s">
        <v>188</v>
      </c>
      <c r="N2526" s="6" t="s">
        <v>188</v>
      </c>
      <c r="O2526" s="6" t="s">
        <v>190</v>
      </c>
      <c r="P2526" s="7"/>
      <c r="Q2526" s="13"/>
      <c r="R2526" s="13"/>
      <c r="S2526" s="13"/>
      <c r="T2526" s="6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</row>
    <row r="2527">
      <c r="A2527" s="12">
        <v>62.0</v>
      </c>
      <c r="B2527" s="7" t="s">
        <v>596</v>
      </c>
      <c r="C2527" s="7" t="s">
        <v>1717</v>
      </c>
      <c r="I2527" s="10" t="s">
        <v>598</v>
      </c>
      <c r="J2527" s="13" t="s">
        <v>1757</v>
      </c>
      <c r="K2527" s="13" t="s">
        <v>303</v>
      </c>
      <c r="L2527" s="13" t="s">
        <v>2556</v>
      </c>
      <c r="M2527" s="6" t="s">
        <v>188</v>
      </c>
      <c r="N2527" s="6" t="s">
        <v>188</v>
      </c>
      <c r="O2527" s="6" t="s">
        <v>190</v>
      </c>
      <c r="P2527" s="7"/>
      <c r="Q2527" s="13"/>
      <c r="R2527" s="13"/>
      <c r="S2527" s="13"/>
      <c r="T2527" s="6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</row>
    <row r="2528">
      <c r="A2528" s="12">
        <v>62.0</v>
      </c>
      <c r="B2528" s="7" t="s">
        <v>596</v>
      </c>
      <c r="C2528" s="7" t="s">
        <v>1717</v>
      </c>
      <c r="I2528" s="10" t="s">
        <v>1709</v>
      </c>
      <c r="J2528" s="13" t="s">
        <v>1753</v>
      </c>
      <c r="K2528" s="13" t="s">
        <v>303</v>
      </c>
      <c r="L2528" s="13" t="s">
        <v>2557</v>
      </c>
      <c r="M2528" s="6" t="s">
        <v>188</v>
      </c>
      <c r="N2528" s="6" t="s">
        <v>188</v>
      </c>
      <c r="O2528" s="6" t="s">
        <v>190</v>
      </c>
      <c r="P2528" s="7"/>
      <c r="Q2528" s="13"/>
      <c r="R2528" s="13"/>
      <c r="S2528" s="13"/>
      <c r="T2528" s="6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</row>
    <row r="2529">
      <c r="A2529" s="12">
        <v>62.0</v>
      </c>
      <c r="B2529" s="7" t="s">
        <v>596</v>
      </c>
      <c r="C2529" s="7" t="s">
        <v>1717</v>
      </c>
      <c r="I2529" s="10" t="s">
        <v>1748</v>
      </c>
      <c r="J2529" s="13" t="s">
        <v>1757</v>
      </c>
      <c r="K2529" s="13" t="s">
        <v>303</v>
      </c>
      <c r="L2529" s="13" t="s">
        <v>2556</v>
      </c>
      <c r="M2529" s="6" t="s">
        <v>188</v>
      </c>
      <c r="N2529" s="6" t="s">
        <v>188</v>
      </c>
      <c r="O2529" s="6" t="s">
        <v>190</v>
      </c>
      <c r="P2529" s="7"/>
      <c r="Q2529" s="13"/>
      <c r="R2529" s="13"/>
      <c r="S2529" s="13"/>
      <c r="T2529" s="6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</row>
    <row r="2530">
      <c r="A2530" s="12">
        <v>62.0</v>
      </c>
      <c r="B2530" s="7" t="s">
        <v>596</v>
      </c>
      <c r="C2530" s="7" t="s">
        <v>1717</v>
      </c>
      <c r="I2530" s="10" t="s">
        <v>1704</v>
      </c>
      <c r="J2530" s="13" t="s">
        <v>1753</v>
      </c>
      <c r="K2530" s="13" t="s">
        <v>303</v>
      </c>
      <c r="L2530" s="13" t="s">
        <v>2460</v>
      </c>
      <c r="M2530" s="6" t="s">
        <v>188</v>
      </c>
      <c r="N2530" s="6" t="s">
        <v>188</v>
      </c>
      <c r="O2530" s="6" t="s">
        <v>190</v>
      </c>
      <c r="P2530" s="7"/>
      <c r="Q2530" s="13"/>
      <c r="R2530" s="13"/>
      <c r="S2530" s="13"/>
      <c r="T2530" s="6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</row>
    <row r="2531">
      <c r="A2531" s="12">
        <v>62.0</v>
      </c>
      <c r="B2531" s="7" t="s">
        <v>596</v>
      </c>
      <c r="C2531" s="7" t="s">
        <v>1717</v>
      </c>
      <c r="I2531" s="10" t="s">
        <v>1423</v>
      </c>
      <c r="J2531" s="13" t="s">
        <v>1757</v>
      </c>
      <c r="K2531" s="13" t="s">
        <v>303</v>
      </c>
      <c r="L2531" s="13" t="s">
        <v>2460</v>
      </c>
      <c r="M2531" s="6" t="s">
        <v>188</v>
      </c>
      <c r="N2531" s="6" t="s">
        <v>188</v>
      </c>
      <c r="O2531" s="6" t="s">
        <v>190</v>
      </c>
      <c r="P2531" s="7"/>
      <c r="Q2531" s="13"/>
      <c r="R2531" s="13"/>
      <c r="S2531" s="13"/>
      <c r="T2531" s="6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  <c r="AE2531" s="7"/>
    </row>
    <row r="2532">
      <c r="A2532" s="12">
        <v>62.0</v>
      </c>
      <c r="B2532" s="7" t="s">
        <v>596</v>
      </c>
      <c r="C2532" s="7" t="s">
        <v>1717</v>
      </c>
      <c r="I2532" s="10" t="s">
        <v>1765</v>
      </c>
      <c r="J2532" s="13" t="s">
        <v>1753</v>
      </c>
      <c r="K2532" s="13" t="s">
        <v>303</v>
      </c>
      <c r="L2532" s="13" t="s">
        <v>2556</v>
      </c>
      <c r="M2532" s="6" t="s">
        <v>188</v>
      </c>
      <c r="N2532" s="6" t="s">
        <v>188</v>
      </c>
      <c r="O2532" s="6" t="s">
        <v>190</v>
      </c>
      <c r="P2532" s="7"/>
      <c r="Q2532" s="13"/>
      <c r="R2532" s="13"/>
      <c r="S2532" s="13"/>
      <c r="T2532" s="6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</row>
    <row r="2533">
      <c r="A2533" s="12">
        <v>62.0</v>
      </c>
      <c r="B2533" s="7" t="s">
        <v>596</v>
      </c>
      <c r="C2533" s="7" t="s">
        <v>1717</v>
      </c>
      <c r="I2533" s="10" t="s">
        <v>1431</v>
      </c>
      <c r="J2533" s="13" t="s">
        <v>1757</v>
      </c>
      <c r="K2533" s="13" t="s">
        <v>303</v>
      </c>
      <c r="L2533" s="13" t="s">
        <v>2558</v>
      </c>
      <c r="M2533" s="6" t="s">
        <v>188</v>
      </c>
      <c r="N2533" s="6" t="s">
        <v>188</v>
      </c>
      <c r="O2533" s="6" t="s">
        <v>190</v>
      </c>
      <c r="P2533" s="7"/>
      <c r="Q2533" s="13"/>
      <c r="R2533" s="13"/>
      <c r="S2533" s="13"/>
      <c r="T2533" s="6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</row>
    <row r="2534">
      <c r="A2534" s="12">
        <v>62.0</v>
      </c>
      <c r="B2534" s="7" t="s">
        <v>596</v>
      </c>
      <c r="C2534" s="7" t="s">
        <v>1717</v>
      </c>
      <c r="I2534" s="10" t="s">
        <v>1890</v>
      </c>
      <c r="J2534" s="13" t="s">
        <v>1753</v>
      </c>
      <c r="K2534" s="13" t="s">
        <v>303</v>
      </c>
      <c r="L2534" s="13" t="s">
        <v>2460</v>
      </c>
      <c r="M2534" s="6" t="s">
        <v>188</v>
      </c>
      <c r="N2534" s="6" t="s">
        <v>188</v>
      </c>
      <c r="O2534" s="6" t="s">
        <v>190</v>
      </c>
      <c r="P2534" s="7"/>
      <c r="Q2534" s="13"/>
      <c r="R2534" s="13"/>
      <c r="S2534" s="13"/>
      <c r="T2534" s="6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</row>
    <row r="2535">
      <c r="A2535" s="12">
        <v>62.0</v>
      </c>
      <c r="B2535" s="7" t="s">
        <v>596</v>
      </c>
      <c r="C2535" s="7" t="s">
        <v>1717</v>
      </c>
      <c r="I2535" s="10" t="s">
        <v>2109</v>
      </c>
      <c r="J2535" s="13" t="s">
        <v>1757</v>
      </c>
      <c r="K2535" s="13" t="s">
        <v>303</v>
      </c>
      <c r="L2535" s="13" t="s">
        <v>2558</v>
      </c>
      <c r="M2535" s="6" t="s">
        <v>188</v>
      </c>
      <c r="N2535" s="6" t="s">
        <v>188</v>
      </c>
      <c r="O2535" s="6" t="s">
        <v>190</v>
      </c>
      <c r="P2535" s="7"/>
      <c r="Q2535" s="13"/>
      <c r="R2535" s="13"/>
      <c r="S2535" s="13"/>
      <c r="T2535" s="6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</row>
    <row r="2536">
      <c r="A2536" s="12">
        <v>62.0</v>
      </c>
      <c r="B2536" s="7" t="s">
        <v>596</v>
      </c>
      <c r="C2536" s="7" t="s">
        <v>1717</v>
      </c>
      <c r="I2536" s="10" t="s">
        <v>1155</v>
      </c>
      <c r="J2536" s="13" t="s">
        <v>1753</v>
      </c>
      <c r="K2536" s="13" t="s">
        <v>303</v>
      </c>
      <c r="L2536" s="13" t="s">
        <v>2556</v>
      </c>
      <c r="M2536" s="6" t="s">
        <v>188</v>
      </c>
      <c r="N2536" s="6" t="s">
        <v>188</v>
      </c>
      <c r="O2536" s="6" t="s">
        <v>190</v>
      </c>
      <c r="P2536" s="7"/>
      <c r="Q2536" s="13"/>
      <c r="R2536" s="13"/>
      <c r="S2536" s="13"/>
      <c r="T2536" s="6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</row>
    <row r="2537">
      <c r="A2537" s="12">
        <v>62.0</v>
      </c>
      <c r="B2537" s="7" t="s">
        <v>596</v>
      </c>
      <c r="C2537" s="7" t="s">
        <v>1717</v>
      </c>
      <c r="I2537" s="10" t="s">
        <v>1398</v>
      </c>
      <c r="J2537" s="13" t="s">
        <v>1757</v>
      </c>
      <c r="K2537" s="13" t="s">
        <v>303</v>
      </c>
      <c r="L2537" s="13" t="s">
        <v>2556</v>
      </c>
      <c r="M2537" s="6" t="s">
        <v>188</v>
      </c>
      <c r="N2537" s="6" t="s">
        <v>188</v>
      </c>
      <c r="O2537" s="6" t="s">
        <v>190</v>
      </c>
      <c r="P2537" s="7"/>
      <c r="Q2537" s="13"/>
      <c r="R2537" s="13"/>
      <c r="S2537" s="13"/>
      <c r="T2537" s="6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</row>
    <row r="2538">
      <c r="A2538" s="12">
        <v>62.0</v>
      </c>
      <c r="B2538" s="7" t="s">
        <v>596</v>
      </c>
      <c r="C2538" s="7" t="s">
        <v>1717</v>
      </c>
      <c r="I2538" s="10" t="s">
        <v>1427</v>
      </c>
      <c r="J2538" s="13" t="s">
        <v>1753</v>
      </c>
      <c r="K2538" s="13" t="s">
        <v>303</v>
      </c>
      <c r="L2538" s="13" t="s">
        <v>2559</v>
      </c>
      <c r="M2538" s="6" t="s">
        <v>188</v>
      </c>
      <c r="N2538" s="6" t="s">
        <v>188</v>
      </c>
      <c r="O2538" s="6" t="s">
        <v>190</v>
      </c>
      <c r="P2538" s="7"/>
      <c r="Q2538" s="13"/>
      <c r="R2538" s="13"/>
      <c r="S2538" s="13"/>
      <c r="T2538" s="6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</row>
    <row r="2539">
      <c r="A2539" s="12">
        <v>62.0</v>
      </c>
      <c r="B2539" s="7" t="s">
        <v>596</v>
      </c>
      <c r="C2539" s="7" t="s">
        <v>1717</v>
      </c>
      <c r="I2539" s="10" t="s">
        <v>2078</v>
      </c>
      <c r="J2539" s="13" t="s">
        <v>1757</v>
      </c>
      <c r="K2539" s="13" t="s">
        <v>303</v>
      </c>
      <c r="L2539" s="13" t="s">
        <v>2558</v>
      </c>
      <c r="M2539" s="6" t="s">
        <v>188</v>
      </c>
      <c r="N2539" s="6" t="s">
        <v>188</v>
      </c>
      <c r="O2539" s="6" t="s">
        <v>190</v>
      </c>
      <c r="P2539" s="7"/>
      <c r="Q2539" s="13"/>
      <c r="R2539" s="13"/>
      <c r="S2539" s="13"/>
      <c r="T2539" s="6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  <c r="AE2539" s="7"/>
    </row>
    <row r="2540">
      <c r="A2540" s="12">
        <v>62.0</v>
      </c>
      <c r="B2540" s="7" t="s">
        <v>596</v>
      </c>
      <c r="C2540" s="7" t="s">
        <v>1717</v>
      </c>
      <c r="I2540" s="10" t="s">
        <v>1731</v>
      </c>
      <c r="J2540" s="13" t="s">
        <v>1753</v>
      </c>
      <c r="K2540" s="13" t="s">
        <v>303</v>
      </c>
      <c r="L2540" s="13" t="s">
        <v>2558</v>
      </c>
      <c r="M2540" s="6" t="s">
        <v>188</v>
      </c>
      <c r="N2540" s="6" t="s">
        <v>188</v>
      </c>
      <c r="O2540" s="6" t="s">
        <v>190</v>
      </c>
      <c r="P2540" s="7"/>
      <c r="Q2540" s="13"/>
      <c r="R2540" s="13"/>
      <c r="S2540" s="13"/>
      <c r="T2540" s="6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</row>
    <row r="2541">
      <c r="A2541" s="12">
        <v>62.0</v>
      </c>
      <c r="B2541" s="7" t="s">
        <v>596</v>
      </c>
      <c r="C2541" s="7" t="s">
        <v>1717</v>
      </c>
      <c r="I2541" s="13" t="s">
        <v>551</v>
      </c>
      <c r="J2541" s="13" t="s">
        <v>1757</v>
      </c>
      <c r="K2541" s="13" t="s">
        <v>303</v>
      </c>
      <c r="L2541" s="13" t="s">
        <v>2560</v>
      </c>
      <c r="M2541" s="6" t="s">
        <v>188</v>
      </c>
      <c r="N2541" s="6" t="s">
        <v>188</v>
      </c>
      <c r="O2541" s="6" t="s">
        <v>190</v>
      </c>
      <c r="P2541" s="7" t="s">
        <v>333</v>
      </c>
      <c r="Q2541" s="13"/>
      <c r="R2541" s="13"/>
      <c r="S2541" s="13"/>
      <c r="T2541" s="6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</row>
    <row r="2542">
      <c r="A2542" s="12">
        <v>62.0</v>
      </c>
      <c r="B2542" s="7" t="s">
        <v>596</v>
      </c>
      <c r="C2542" s="7" t="s">
        <v>1717</v>
      </c>
      <c r="I2542" s="13" t="s">
        <v>2176</v>
      </c>
      <c r="J2542" s="13" t="s">
        <v>1753</v>
      </c>
      <c r="K2542" s="13" t="s">
        <v>303</v>
      </c>
      <c r="L2542" s="13" t="s">
        <v>2561</v>
      </c>
      <c r="M2542" s="6" t="s">
        <v>188</v>
      </c>
      <c r="N2542" s="6" t="s">
        <v>188</v>
      </c>
      <c r="O2542" s="6" t="s">
        <v>190</v>
      </c>
      <c r="P2542" s="7" t="s">
        <v>333</v>
      </c>
      <c r="Q2542" s="13"/>
      <c r="R2542" s="13"/>
      <c r="S2542" s="13"/>
      <c r="T2542" s="6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</row>
    <row r="2543">
      <c r="A2543" s="12">
        <v>62.0</v>
      </c>
      <c r="B2543" s="7" t="s">
        <v>596</v>
      </c>
      <c r="C2543" s="7" t="s">
        <v>1717</v>
      </c>
      <c r="I2543" s="13" t="s">
        <v>1718</v>
      </c>
      <c r="J2543" s="13" t="s">
        <v>1757</v>
      </c>
      <c r="K2543" s="13" t="s">
        <v>303</v>
      </c>
      <c r="L2543" s="13" t="s">
        <v>2562</v>
      </c>
      <c r="M2543" s="6" t="s">
        <v>188</v>
      </c>
      <c r="N2543" s="6" t="s">
        <v>188</v>
      </c>
      <c r="O2543" s="6" t="s">
        <v>190</v>
      </c>
      <c r="P2543" s="7" t="s">
        <v>333</v>
      </c>
      <c r="Q2543" s="13"/>
      <c r="R2543" s="13"/>
      <c r="S2543" s="13"/>
      <c r="T2543" s="6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</row>
    <row r="2544">
      <c r="A2544" s="12">
        <v>62.0</v>
      </c>
      <c r="B2544" s="7" t="s">
        <v>596</v>
      </c>
      <c r="C2544" s="7" t="s">
        <v>1717</v>
      </c>
      <c r="I2544" s="13" t="s">
        <v>1350</v>
      </c>
      <c r="J2544" s="13" t="s">
        <v>1753</v>
      </c>
      <c r="K2544" s="13" t="s">
        <v>303</v>
      </c>
      <c r="L2544" s="13" t="s">
        <v>2563</v>
      </c>
      <c r="M2544" s="6" t="s">
        <v>188</v>
      </c>
      <c r="N2544" s="6" t="s">
        <v>188</v>
      </c>
      <c r="O2544" s="6" t="s">
        <v>190</v>
      </c>
      <c r="P2544" s="7" t="s">
        <v>333</v>
      </c>
      <c r="Q2544" s="13"/>
      <c r="R2544" s="13"/>
      <c r="S2544" s="13"/>
      <c r="T2544" s="6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</row>
    <row r="2545">
      <c r="A2545" s="12">
        <v>62.0</v>
      </c>
      <c r="B2545" s="7" t="s">
        <v>596</v>
      </c>
      <c r="C2545" s="7" t="s">
        <v>1717</v>
      </c>
      <c r="I2545" s="13" t="s">
        <v>2194</v>
      </c>
      <c r="J2545" s="13" t="s">
        <v>1757</v>
      </c>
      <c r="K2545" s="13" t="s">
        <v>303</v>
      </c>
      <c r="L2545" s="13" t="s">
        <v>2564</v>
      </c>
      <c r="M2545" s="6" t="s">
        <v>188</v>
      </c>
      <c r="N2545" s="6" t="s">
        <v>188</v>
      </c>
      <c r="O2545" s="6" t="s">
        <v>190</v>
      </c>
      <c r="P2545" s="7" t="s">
        <v>333</v>
      </c>
      <c r="Q2545" s="13"/>
      <c r="R2545" s="13"/>
      <c r="S2545" s="13"/>
      <c r="T2545" s="6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</row>
    <row r="2546">
      <c r="A2546" s="12">
        <v>62.0</v>
      </c>
      <c r="B2546" s="7" t="s">
        <v>596</v>
      </c>
      <c r="C2546" s="7" t="s">
        <v>1717</v>
      </c>
      <c r="I2546" s="13" t="s">
        <v>1804</v>
      </c>
      <c r="J2546" s="13" t="s">
        <v>1753</v>
      </c>
      <c r="K2546" s="13" t="s">
        <v>303</v>
      </c>
      <c r="L2546" s="13" t="s">
        <v>2565</v>
      </c>
      <c r="M2546" s="6" t="s">
        <v>188</v>
      </c>
      <c r="N2546" s="6" t="s">
        <v>188</v>
      </c>
      <c r="O2546" s="6" t="s">
        <v>190</v>
      </c>
      <c r="P2546" s="7" t="s">
        <v>333</v>
      </c>
      <c r="Q2546" s="13"/>
      <c r="R2546" s="13"/>
      <c r="S2546" s="13"/>
      <c r="T2546" s="6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</row>
    <row r="2547">
      <c r="A2547" s="12">
        <v>62.0</v>
      </c>
      <c r="B2547" s="7" t="s">
        <v>596</v>
      </c>
      <c r="C2547" s="7" t="s">
        <v>1717</v>
      </c>
      <c r="I2547" s="13" t="s">
        <v>1733</v>
      </c>
      <c r="J2547" s="13" t="s">
        <v>1757</v>
      </c>
      <c r="K2547" s="13" t="s">
        <v>303</v>
      </c>
      <c r="L2547" s="13" t="s">
        <v>2562</v>
      </c>
      <c r="M2547" s="6" t="s">
        <v>188</v>
      </c>
      <c r="N2547" s="6" t="s">
        <v>188</v>
      </c>
      <c r="O2547" s="6" t="s">
        <v>190</v>
      </c>
      <c r="P2547" s="7" t="s">
        <v>333</v>
      </c>
      <c r="Q2547" s="13"/>
      <c r="R2547" s="13"/>
      <c r="S2547" s="13"/>
      <c r="T2547" s="6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</row>
    <row r="2548">
      <c r="A2548" s="12">
        <v>62.0</v>
      </c>
      <c r="B2548" s="7" t="s">
        <v>596</v>
      </c>
      <c r="C2548" s="7" t="s">
        <v>1717</v>
      </c>
      <c r="I2548" s="13" t="s">
        <v>2199</v>
      </c>
      <c r="J2548" s="13" t="s">
        <v>1753</v>
      </c>
      <c r="K2548" s="13" t="s">
        <v>303</v>
      </c>
      <c r="L2548" s="13" t="s">
        <v>2564</v>
      </c>
      <c r="M2548" s="6" t="s">
        <v>188</v>
      </c>
      <c r="N2548" s="6" t="s">
        <v>188</v>
      </c>
      <c r="O2548" s="6" t="s">
        <v>190</v>
      </c>
      <c r="P2548" s="7" t="s">
        <v>333</v>
      </c>
      <c r="Q2548" s="13"/>
      <c r="R2548" s="13"/>
      <c r="S2548" s="13"/>
      <c r="T2548" s="6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</row>
    <row r="2549">
      <c r="A2549" s="12">
        <v>62.0</v>
      </c>
      <c r="B2549" s="7" t="s">
        <v>596</v>
      </c>
      <c r="C2549" s="7" t="s">
        <v>1717</v>
      </c>
      <c r="I2549" s="13" t="s">
        <v>1744</v>
      </c>
      <c r="J2549" s="13" t="s">
        <v>1757</v>
      </c>
      <c r="K2549" s="13" t="s">
        <v>303</v>
      </c>
      <c r="L2549" s="13" t="s">
        <v>2566</v>
      </c>
      <c r="M2549" s="6" t="s">
        <v>188</v>
      </c>
      <c r="N2549" s="6" t="s">
        <v>188</v>
      </c>
      <c r="O2549" s="6" t="s">
        <v>190</v>
      </c>
      <c r="P2549" s="7" t="s">
        <v>333</v>
      </c>
      <c r="Q2549" s="13"/>
      <c r="R2549" s="13"/>
      <c r="S2549" s="13"/>
      <c r="T2549" s="6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</row>
    <row r="2550">
      <c r="A2550" s="12">
        <v>62.0</v>
      </c>
      <c r="B2550" s="7" t="s">
        <v>596</v>
      </c>
      <c r="C2550" s="7" t="s">
        <v>1717</v>
      </c>
      <c r="I2550" s="13" t="s">
        <v>2177</v>
      </c>
      <c r="J2550" s="13" t="s">
        <v>1753</v>
      </c>
      <c r="K2550" s="13" t="s">
        <v>303</v>
      </c>
      <c r="L2550" s="13" t="s">
        <v>2567</v>
      </c>
      <c r="M2550" s="6" t="s">
        <v>188</v>
      </c>
      <c r="N2550" s="6" t="s">
        <v>188</v>
      </c>
      <c r="O2550" s="6" t="s">
        <v>190</v>
      </c>
      <c r="P2550" s="7" t="s">
        <v>333</v>
      </c>
      <c r="Q2550" s="13"/>
      <c r="R2550" s="13"/>
      <c r="S2550" s="13"/>
      <c r="T2550" s="6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</row>
    <row r="2551">
      <c r="A2551" s="12">
        <v>62.0</v>
      </c>
      <c r="B2551" s="7" t="s">
        <v>596</v>
      </c>
      <c r="C2551" s="7" t="s">
        <v>1717</v>
      </c>
      <c r="I2551" s="13" t="s">
        <v>2186</v>
      </c>
      <c r="J2551" s="13" t="s">
        <v>1757</v>
      </c>
      <c r="K2551" s="13" t="s">
        <v>303</v>
      </c>
      <c r="L2551" s="13" t="s">
        <v>2564</v>
      </c>
      <c r="M2551" s="6" t="s">
        <v>188</v>
      </c>
      <c r="N2551" s="6" t="s">
        <v>188</v>
      </c>
      <c r="O2551" s="6" t="s">
        <v>190</v>
      </c>
      <c r="P2551" s="7" t="s">
        <v>333</v>
      </c>
      <c r="Q2551" s="13"/>
      <c r="R2551" s="13"/>
      <c r="S2551" s="13"/>
      <c r="T2551" s="6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  <c r="AE2551" s="7"/>
    </row>
    <row r="2552">
      <c r="A2552" s="12">
        <v>63.0</v>
      </c>
      <c r="B2552" s="7" t="s">
        <v>598</v>
      </c>
      <c r="C2552" s="7" t="s">
        <v>1717</v>
      </c>
      <c r="D2552" s="26">
        <f>IF(COUNTIF($B$2:$B2552,$B2552)&gt;1,"",COUNTIF($B$2:$B$3400,$B2552))</f>
        <v>30</v>
      </c>
      <c r="E2552" s="26">
        <f>IF(COUNTIF($B$2:$B2552,$B2552)&gt;1,"",COUNTIFS($B$2:$B$3400,$B2552,$K$2:$K$3400,"PHÙ HỢP CAO"))</f>
        <v>4</v>
      </c>
      <c r="F2552" s="26">
        <f>IF(COUNTIF($B$2:$B2552,$B2552)&gt;1,"",COUNTIFS($B$2:$B$3400,$B2552,$K$2:$K$3400,"CÓ THỂ ĐI"))</f>
        <v>1</v>
      </c>
      <c r="G2552" s="26">
        <f>IF(COUNTIF($B$2:$B2552,$B2552)&gt;1,"",COUNTIFS($B$2:$B$3400,$B2552,$K$2:$K$3400,"CẦN SOÁT"))</f>
        <v>25</v>
      </c>
      <c r="H2552" s="27" t="str">
        <f>IFERROR(__xludf.DUMMYFUNCTION("IF(COUNTIF($B$2:$B2552,$B2552)&gt;1,"""",IFERROR(TEXTJOIN(CHAR(10),TRUE,BYROW(QUERY({$B$2:$B$3400,$J$2:$J$3400},""select Col2, count(Col2) where Col1 = '""&amp;$B2552&amp;""' group by Col2 order by count(Col2) desc label count(Col2) ''"",0),LAMBDA(r,INDEX(r,1,1)&amp;"" "&amp;"– ""&amp;INDEX(r,1,2)&amp;"" link""))),""""))"),"sổ tiết kiệm – 15 link
sổ tiết kiệm ngân hàng – 15 link")</f>
        <v>sổ tiết kiệm – 15 link
sổ tiết kiệm ngân hàng – 15 link</v>
      </c>
      <c r="I2552" s="10" t="s">
        <v>1765</v>
      </c>
      <c r="J2552" s="13" t="s">
        <v>1767</v>
      </c>
      <c r="K2552" s="13" t="s">
        <v>184</v>
      </c>
      <c r="L2552" s="13" t="s">
        <v>2568</v>
      </c>
      <c r="M2552" s="6" t="s">
        <v>188</v>
      </c>
      <c r="N2552" s="6" t="s">
        <v>188</v>
      </c>
      <c r="O2552" s="6" t="s">
        <v>190</v>
      </c>
      <c r="P2552" s="7"/>
      <c r="Q2552" s="13"/>
      <c r="R2552" s="13"/>
      <c r="S2552" s="13"/>
      <c r="T2552" s="6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</row>
    <row r="2553">
      <c r="A2553" s="12">
        <v>63.0</v>
      </c>
      <c r="B2553" s="7" t="s">
        <v>598</v>
      </c>
      <c r="C2553" s="7" t="s">
        <v>1717</v>
      </c>
      <c r="I2553" s="10" t="s">
        <v>1768</v>
      </c>
      <c r="J2553" s="13" t="s">
        <v>1770</v>
      </c>
      <c r="K2553" s="13" t="s">
        <v>184</v>
      </c>
      <c r="L2553" s="13" t="s">
        <v>2569</v>
      </c>
      <c r="M2553" s="6" t="s">
        <v>188</v>
      </c>
      <c r="N2553" s="6" t="s">
        <v>188</v>
      </c>
      <c r="O2553" s="6" t="s">
        <v>190</v>
      </c>
      <c r="P2553" s="7"/>
      <c r="Q2553" s="13"/>
      <c r="R2553" s="13"/>
      <c r="S2553" s="13"/>
      <c r="T2553" s="6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</row>
    <row r="2554">
      <c r="A2554" s="12">
        <v>63.0</v>
      </c>
      <c r="B2554" s="7" t="s">
        <v>598</v>
      </c>
      <c r="C2554" s="7" t="s">
        <v>1717</v>
      </c>
      <c r="I2554" s="10" t="s">
        <v>1759</v>
      </c>
      <c r="J2554" s="13" t="s">
        <v>1767</v>
      </c>
      <c r="K2554" s="13" t="s">
        <v>184</v>
      </c>
      <c r="L2554" s="13" t="s">
        <v>2570</v>
      </c>
      <c r="M2554" s="6" t="s">
        <v>188</v>
      </c>
      <c r="N2554" s="6" t="s">
        <v>188</v>
      </c>
      <c r="O2554" s="6" t="s">
        <v>190</v>
      </c>
      <c r="P2554" s="7"/>
      <c r="Q2554" s="13"/>
      <c r="R2554" s="13"/>
      <c r="S2554" s="13"/>
      <c r="T2554" s="6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</row>
    <row r="2555">
      <c r="A2555" s="12">
        <v>63.0</v>
      </c>
      <c r="B2555" s="7" t="s">
        <v>598</v>
      </c>
      <c r="C2555" s="7" t="s">
        <v>1717</v>
      </c>
      <c r="I2555" s="10" t="s">
        <v>1762</v>
      </c>
      <c r="J2555" s="13" t="s">
        <v>1770</v>
      </c>
      <c r="K2555" s="13" t="s">
        <v>184</v>
      </c>
      <c r="L2555" s="13" t="s">
        <v>2571</v>
      </c>
      <c r="M2555" s="6" t="s">
        <v>188</v>
      </c>
      <c r="N2555" s="6" t="s">
        <v>188</v>
      </c>
      <c r="O2555" s="6" t="s">
        <v>190</v>
      </c>
      <c r="P2555" s="7"/>
      <c r="Q2555" s="13"/>
      <c r="R2555" s="13"/>
      <c r="S2555" s="13"/>
      <c r="T2555" s="6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</row>
    <row r="2556">
      <c r="A2556" s="12">
        <v>63.0</v>
      </c>
      <c r="B2556" s="7" t="s">
        <v>598</v>
      </c>
      <c r="C2556" s="7" t="s">
        <v>1717</v>
      </c>
      <c r="I2556" s="10" t="s">
        <v>1773</v>
      </c>
      <c r="J2556" s="13" t="s">
        <v>1767</v>
      </c>
      <c r="K2556" s="13" t="s">
        <v>283</v>
      </c>
      <c r="L2556" s="13" t="s">
        <v>2572</v>
      </c>
      <c r="M2556" s="6" t="s">
        <v>188</v>
      </c>
      <c r="N2556" s="6" t="s">
        <v>188</v>
      </c>
      <c r="O2556" s="6" t="s">
        <v>190</v>
      </c>
      <c r="P2556" s="7"/>
      <c r="Q2556" s="13"/>
      <c r="R2556" s="13"/>
      <c r="S2556" s="13"/>
      <c r="T2556" s="6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</row>
    <row r="2557">
      <c r="A2557" s="12">
        <v>63.0</v>
      </c>
      <c r="B2557" s="7" t="s">
        <v>598</v>
      </c>
      <c r="C2557" s="7" t="s">
        <v>1717</v>
      </c>
      <c r="I2557" s="10" t="s">
        <v>2176</v>
      </c>
      <c r="J2557" s="13" t="s">
        <v>1770</v>
      </c>
      <c r="K2557" s="13" t="s">
        <v>303</v>
      </c>
      <c r="L2557" s="13" t="s">
        <v>2175</v>
      </c>
      <c r="M2557" s="6" t="s">
        <v>188</v>
      </c>
      <c r="N2557" s="6" t="s">
        <v>188</v>
      </c>
      <c r="O2557" s="6" t="s">
        <v>190</v>
      </c>
      <c r="P2557" s="7"/>
      <c r="Q2557" s="13"/>
      <c r="R2557" s="13"/>
      <c r="S2557" s="13"/>
      <c r="T2557" s="6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</row>
    <row r="2558">
      <c r="A2558" s="12">
        <v>63.0</v>
      </c>
      <c r="B2558" s="7" t="s">
        <v>598</v>
      </c>
      <c r="C2558" s="7" t="s">
        <v>1717</v>
      </c>
      <c r="I2558" s="10" t="s">
        <v>1100</v>
      </c>
      <c r="J2558" s="13" t="s">
        <v>1767</v>
      </c>
      <c r="K2558" s="13" t="s">
        <v>303</v>
      </c>
      <c r="L2558" s="13" t="s">
        <v>2573</v>
      </c>
      <c r="M2558" s="6" t="s">
        <v>188</v>
      </c>
      <c r="N2558" s="6" t="s">
        <v>188</v>
      </c>
      <c r="O2558" s="6" t="s">
        <v>190</v>
      </c>
      <c r="P2558" s="7"/>
      <c r="Q2558" s="13"/>
      <c r="R2558" s="13"/>
      <c r="S2558" s="13"/>
      <c r="T2558" s="6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</row>
    <row r="2559">
      <c r="A2559" s="12">
        <v>63.0</v>
      </c>
      <c r="B2559" s="7" t="s">
        <v>598</v>
      </c>
      <c r="C2559" s="7" t="s">
        <v>1717</v>
      </c>
      <c r="I2559" s="10" t="s">
        <v>2177</v>
      </c>
      <c r="J2559" s="13" t="s">
        <v>1770</v>
      </c>
      <c r="K2559" s="13" t="s">
        <v>303</v>
      </c>
      <c r="L2559" s="13" t="s">
        <v>2175</v>
      </c>
      <c r="M2559" s="6" t="s">
        <v>188</v>
      </c>
      <c r="N2559" s="6" t="s">
        <v>188</v>
      </c>
      <c r="O2559" s="6" t="s">
        <v>190</v>
      </c>
      <c r="P2559" s="7"/>
      <c r="Q2559" s="13"/>
      <c r="R2559" s="13"/>
      <c r="S2559" s="13"/>
      <c r="T2559" s="6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</row>
    <row r="2560">
      <c r="A2560" s="12">
        <v>63.0</v>
      </c>
      <c r="B2560" s="7" t="s">
        <v>598</v>
      </c>
      <c r="C2560" s="7" t="s">
        <v>1717</v>
      </c>
      <c r="I2560" s="10" t="s">
        <v>2178</v>
      </c>
      <c r="J2560" s="13" t="s">
        <v>1767</v>
      </c>
      <c r="K2560" s="13" t="s">
        <v>303</v>
      </c>
      <c r="L2560" s="13" t="s">
        <v>2175</v>
      </c>
      <c r="M2560" s="6" t="s">
        <v>188</v>
      </c>
      <c r="N2560" s="6" t="s">
        <v>188</v>
      </c>
      <c r="O2560" s="6" t="s">
        <v>190</v>
      </c>
      <c r="P2560" s="7"/>
      <c r="Q2560" s="13"/>
      <c r="R2560" s="13"/>
      <c r="S2560" s="13"/>
      <c r="T2560" s="6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</row>
    <row r="2561">
      <c r="A2561" s="12">
        <v>63.0</v>
      </c>
      <c r="B2561" s="7" t="s">
        <v>598</v>
      </c>
      <c r="C2561" s="7" t="s">
        <v>1717</v>
      </c>
      <c r="I2561" s="10" t="s">
        <v>1723</v>
      </c>
      <c r="J2561" s="13" t="s">
        <v>1770</v>
      </c>
      <c r="K2561" s="13" t="s">
        <v>303</v>
      </c>
      <c r="L2561" s="13" t="s">
        <v>2175</v>
      </c>
      <c r="M2561" s="6" t="s">
        <v>188</v>
      </c>
      <c r="N2561" s="6" t="s">
        <v>188</v>
      </c>
      <c r="O2561" s="6" t="s">
        <v>190</v>
      </c>
      <c r="P2561" s="7"/>
      <c r="Q2561" s="13"/>
      <c r="R2561" s="13"/>
      <c r="S2561" s="13"/>
      <c r="T2561" s="6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  <c r="AE2561" s="7"/>
    </row>
    <row r="2562">
      <c r="A2562" s="12">
        <v>63.0</v>
      </c>
      <c r="B2562" s="7" t="s">
        <v>598</v>
      </c>
      <c r="C2562" s="7" t="s">
        <v>1717</v>
      </c>
      <c r="I2562" s="10" t="s">
        <v>1751</v>
      </c>
      <c r="J2562" s="13" t="s">
        <v>1767</v>
      </c>
      <c r="K2562" s="13" t="s">
        <v>303</v>
      </c>
      <c r="L2562" s="13" t="s">
        <v>2556</v>
      </c>
      <c r="M2562" s="6" t="s">
        <v>188</v>
      </c>
      <c r="N2562" s="6" t="s">
        <v>188</v>
      </c>
      <c r="O2562" s="6" t="s">
        <v>190</v>
      </c>
      <c r="P2562" s="7"/>
      <c r="Q2562" s="13"/>
      <c r="R2562" s="13"/>
      <c r="S2562" s="13"/>
      <c r="T2562" s="6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  <c r="AE2562" s="7"/>
    </row>
    <row r="2563">
      <c r="A2563" s="12">
        <v>63.0</v>
      </c>
      <c r="B2563" s="7" t="s">
        <v>598</v>
      </c>
      <c r="C2563" s="7" t="s">
        <v>1717</v>
      </c>
      <c r="I2563" s="10" t="s">
        <v>1709</v>
      </c>
      <c r="J2563" s="13" t="s">
        <v>1770</v>
      </c>
      <c r="K2563" s="13" t="s">
        <v>303</v>
      </c>
      <c r="L2563" s="13" t="s">
        <v>2556</v>
      </c>
      <c r="M2563" s="6" t="s">
        <v>188</v>
      </c>
      <c r="N2563" s="6" t="s">
        <v>188</v>
      </c>
      <c r="O2563" s="6" t="s">
        <v>190</v>
      </c>
      <c r="P2563" s="7"/>
      <c r="Q2563" s="13"/>
      <c r="R2563" s="13"/>
      <c r="S2563" s="13"/>
      <c r="T2563" s="6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</row>
    <row r="2564">
      <c r="A2564" s="12">
        <v>63.0</v>
      </c>
      <c r="B2564" s="7" t="s">
        <v>598</v>
      </c>
      <c r="C2564" s="7" t="s">
        <v>1717</v>
      </c>
      <c r="I2564" s="10" t="s">
        <v>1748</v>
      </c>
      <c r="J2564" s="13" t="s">
        <v>1767</v>
      </c>
      <c r="K2564" s="13" t="s">
        <v>303</v>
      </c>
      <c r="L2564" s="13" t="s">
        <v>2556</v>
      </c>
      <c r="M2564" s="6" t="s">
        <v>188</v>
      </c>
      <c r="N2564" s="6" t="s">
        <v>188</v>
      </c>
      <c r="O2564" s="6" t="s">
        <v>190</v>
      </c>
      <c r="P2564" s="7"/>
      <c r="Q2564" s="13"/>
      <c r="R2564" s="13"/>
      <c r="S2564" s="13"/>
      <c r="T2564" s="6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</row>
    <row r="2565">
      <c r="A2565" s="12">
        <v>63.0</v>
      </c>
      <c r="B2565" s="7" t="s">
        <v>598</v>
      </c>
      <c r="C2565" s="7" t="s">
        <v>1717</v>
      </c>
      <c r="I2565" s="10" t="s">
        <v>1837</v>
      </c>
      <c r="J2565" s="13" t="s">
        <v>1770</v>
      </c>
      <c r="K2565" s="13" t="s">
        <v>303</v>
      </c>
      <c r="L2565" s="13" t="s">
        <v>2175</v>
      </c>
      <c r="M2565" s="6" t="s">
        <v>188</v>
      </c>
      <c r="N2565" s="6" t="s">
        <v>188</v>
      </c>
      <c r="O2565" s="6" t="s">
        <v>190</v>
      </c>
      <c r="P2565" s="7"/>
      <c r="Q2565" s="13"/>
      <c r="R2565" s="13"/>
      <c r="S2565" s="13"/>
      <c r="T2565" s="6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  <c r="AE2565" s="7"/>
    </row>
    <row r="2566">
      <c r="A2566" s="12">
        <v>63.0</v>
      </c>
      <c r="B2566" s="7" t="s">
        <v>598</v>
      </c>
      <c r="C2566" s="7" t="s">
        <v>1717</v>
      </c>
      <c r="I2566" s="10" t="s">
        <v>1727</v>
      </c>
      <c r="J2566" s="13" t="s">
        <v>1767</v>
      </c>
      <c r="K2566" s="13" t="s">
        <v>303</v>
      </c>
      <c r="L2566" s="13" t="s">
        <v>2175</v>
      </c>
      <c r="M2566" s="6" t="s">
        <v>188</v>
      </c>
      <c r="N2566" s="6" t="s">
        <v>188</v>
      </c>
      <c r="O2566" s="6" t="s">
        <v>190</v>
      </c>
      <c r="P2566" s="7"/>
      <c r="Q2566" s="13"/>
      <c r="R2566" s="13"/>
      <c r="S2566" s="13"/>
      <c r="T2566" s="6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</row>
    <row r="2567">
      <c r="A2567" s="12">
        <v>63.0</v>
      </c>
      <c r="B2567" s="7" t="s">
        <v>598</v>
      </c>
      <c r="C2567" s="7" t="s">
        <v>1717</v>
      </c>
      <c r="I2567" s="10" t="s">
        <v>594</v>
      </c>
      <c r="J2567" s="13" t="s">
        <v>1770</v>
      </c>
      <c r="K2567" s="13" t="s">
        <v>303</v>
      </c>
      <c r="L2567" s="13" t="s">
        <v>2175</v>
      </c>
      <c r="M2567" s="6" t="s">
        <v>188</v>
      </c>
      <c r="N2567" s="6" t="s">
        <v>188</v>
      </c>
      <c r="O2567" s="6" t="s">
        <v>190</v>
      </c>
      <c r="P2567" s="7"/>
      <c r="Q2567" s="13"/>
      <c r="R2567" s="13"/>
      <c r="S2567" s="13"/>
      <c r="T2567" s="6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</row>
    <row r="2568">
      <c r="A2568" s="12">
        <v>63.0</v>
      </c>
      <c r="B2568" s="7" t="s">
        <v>598</v>
      </c>
      <c r="C2568" s="7" t="s">
        <v>1717</v>
      </c>
      <c r="I2568" s="10" t="s">
        <v>1797</v>
      </c>
      <c r="J2568" s="13" t="s">
        <v>1767</v>
      </c>
      <c r="K2568" s="13" t="s">
        <v>303</v>
      </c>
      <c r="L2568" s="13" t="s">
        <v>2175</v>
      </c>
      <c r="M2568" s="6" t="s">
        <v>188</v>
      </c>
      <c r="N2568" s="6" t="s">
        <v>188</v>
      </c>
      <c r="O2568" s="6" t="s">
        <v>190</v>
      </c>
      <c r="P2568" s="7"/>
      <c r="Q2568" s="13"/>
      <c r="R2568" s="13"/>
      <c r="S2568" s="13"/>
      <c r="T2568" s="6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</row>
    <row r="2569">
      <c r="A2569" s="12">
        <v>63.0</v>
      </c>
      <c r="B2569" s="7" t="s">
        <v>598</v>
      </c>
      <c r="C2569" s="7" t="s">
        <v>1717</v>
      </c>
      <c r="I2569" s="10" t="s">
        <v>2184</v>
      </c>
      <c r="J2569" s="13" t="s">
        <v>1770</v>
      </c>
      <c r="K2569" s="13" t="s">
        <v>303</v>
      </c>
      <c r="L2569" s="13" t="s">
        <v>2175</v>
      </c>
      <c r="M2569" s="6" t="s">
        <v>188</v>
      </c>
      <c r="N2569" s="6" t="s">
        <v>188</v>
      </c>
      <c r="O2569" s="6" t="s">
        <v>190</v>
      </c>
      <c r="P2569" s="7"/>
      <c r="Q2569" s="13"/>
      <c r="R2569" s="13"/>
      <c r="S2569" s="13"/>
      <c r="T2569" s="6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</row>
    <row r="2570">
      <c r="A2570" s="12">
        <v>63.0</v>
      </c>
      <c r="B2570" s="7" t="s">
        <v>598</v>
      </c>
      <c r="C2570" s="7" t="s">
        <v>1717</v>
      </c>
      <c r="I2570" s="10" t="s">
        <v>1806</v>
      </c>
      <c r="J2570" s="13" t="s">
        <v>1767</v>
      </c>
      <c r="K2570" s="13" t="s">
        <v>303</v>
      </c>
      <c r="L2570" s="13" t="s">
        <v>2175</v>
      </c>
      <c r="M2570" s="6" t="s">
        <v>188</v>
      </c>
      <c r="N2570" s="6" t="s">
        <v>188</v>
      </c>
      <c r="O2570" s="6" t="s">
        <v>190</v>
      </c>
      <c r="P2570" s="7"/>
      <c r="Q2570" s="13"/>
      <c r="R2570" s="13"/>
      <c r="S2570" s="13"/>
      <c r="T2570" s="6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</row>
    <row r="2571">
      <c r="A2571" s="12">
        <v>63.0</v>
      </c>
      <c r="B2571" s="7" t="s">
        <v>598</v>
      </c>
      <c r="C2571" s="7" t="s">
        <v>1717</v>
      </c>
      <c r="I2571" s="10" t="s">
        <v>1115</v>
      </c>
      <c r="J2571" s="13" t="s">
        <v>1770</v>
      </c>
      <c r="K2571" s="13" t="s">
        <v>303</v>
      </c>
      <c r="L2571" s="13" t="s">
        <v>2175</v>
      </c>
      <c r="M2571" s="6" t="s">
        <v>188</v>
      </c>
      <c r="N2571" s="6" t="s">
        <v>188</v>
      </c>
      <c r="O2571" s="6" t="s">
        <v>190</v>
      </c>
      <c r="P2571" s="7"/>
      <c r="Q2571" s="13"/>
      <c r="R2571" s="13"/>
      <c r="S2571" s="13"/>
      <c r="T2571" s="6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</row>
    <row r="2572">
      <c r="A2572" s="12">
        <v>63.0</v>
      </c>
      <c r="B2572" s="7" t="s">
        <v>598</v>
      </c>
      <c r="C2572" s="7" t="s">
        <v>1717</v>
      </c>
      <c r="I2572" s="10" t="s">
        <v>1718</v>
      </c>
      <c r="J2572" s="13" t="s">
        <v>1767</v>
      </c>
      <c r="K2572" s="13" t="s">
        <v>303</v>
      </c>
      <c r="L2572" s="13" t="s">
        <v>2175</v>
      </c>
      <c r="M2572" s="6" t="s">
        <v>188</v>
      </c>
      <c r="N2572" s="6" t="s">
        <v>188</v>
      </c>
      <c r="O2572" s="6" t="s">
        <v>190</v>
      </c>
      <c r="P2572" s="7"/>
      <c r="Q2572" s="13"/>
      <c r="R2572" s="13"/>
      <c r="S2572" s="13"/>
      <c r="T2572" s="6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</row>
    <row r="2573">
      <c r="A2573" s="12">
        <v>63.0</v>
      </c>
      <c r="B2573" s="7" t="s">
        <v>598</v>
      </c>
      <c r="C2573" s="7" t="s">
        <v>1717</v>
      </c>
      <c r="I2573" s="10" t="s">
        <v>1154</v>
      </c>
      <c r="J2573" s="13" t="s">
        <v>1770</v>
      </c>
      <c r="K2573" s="13" t="s">
        <v>303</v>
      </c>
      <c r="L2573" s="13" t="s">
        <v>2573</v>
      </c>
      <c r="M2573" s="6" t="s">
        <v>188</v>
      </c>
      <c r="N2573" s="6" t="s">
        <v>188</v>
      </c>
      <c r="O2573" s="6" t="s">
        <v>190</v>
      </c>
      <c r="P2573" s="7"/>
      <c r="Q2573" s="13"/>
      <c r="R2573" s="13"/>
      <c r="S2573" s="13"/>
      <c r="T2573" s="6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</row>
    <row r="2574">
      <c r="A2574" s="12">
        <v>63.0</v>
      </c>
      <c r="B2574" s="7" t="s">
        <v>598</v>
      </c>
      <c r="C2574" s="7" t="s">
        <v>1717</v>
      </c>
      <c r="I2574" s="10" t="s">
        <v>1833</v>
      </c>
      <c r="J2574" s="13" t="s">
        <v>1767</v>
      </c>
      <c r="K2574" s="13" t="s">
        <v>303</v>
      </c>
      <c r="L2574" s="13" t="s">
        <v>2175</v>
      </c>
      <c r="M2574" s="6" t="s">
        <v>188</v>
      </c>
      <c r="N2574" s="6" t="s">
        <v>188</v>
      </c>
      <c r="O2574" s="6" t="s">
        <v>190</v>
      </c>
      <c r="P2574" s="7"/>
      <c r="Q2574" s="13"/>
      <c r="R2574" s="13"/>
      <c r="S2574" s="13"/>
      <c r="T2574" s="6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</row>
    <row r="2575">
      <c r="A2575" s="12">
        <v>63.0</v>
      </c>
      <c r="B2575" s="7" t="s">
        <v>598</v>
      </c>
      <c r="C2575" s="7" t="s">
        <v>1717</v>
      </c>
      <c r="I2575" s="10" t="s">
        <v>1740</v>
      </c>
      <c r="J2575" s="13" t="s">
        <v>1770</v>
      </c>
      <c r="K2575" s="13" t="s">
        <v>303</v>
      </c>
      <c r="L2575" s="13" t="s">
        <v>2175</v>
      </c>
      <c r="M2575" s="6" t="s">
        <v>188</v>
      </c>
      <c r="N2575" s="6" t="s">
        <v>188</v>
      </c>
      <c r="O2575" s="6" t="s">
        <v>190</v>
      </c>
      <c r="P2575" s="7"/>
      <c r="Q2575" s="13"/>
      <c r="R2575" s="13"/>
      <c r="S2575" s="13"/>
      <c r="T2575" s="6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  <c r="AE2575" s="7"/>
    </row>
    <row r="2576">
      <c r="A2576" s="12">
        <v>63.0</v>
      </c>
      <c r="B2576" s="7" t="s">
        <v>598</v>
      </c>
      <c r="C2576" s="7" t="s">
        <v>1717</v>
      </c>
      <c r="I2576" s="10" t="s">
        <v>601</v>
      </c>
      <c r="J2576" s="13" t="s">
        <v>1767</v>
      </c>
      <c r="K2576" s="13" t="s">
        <v>303</v>
      </c>
      <c r="L2576" s="13" t="s">
        <v>2175</v>
      </c>
      <c r="M2576" s="6" t="s">
        <v>188</v>
      </c>
      <c r="N2576" s="6" t="s">
        <v>188</v>
      </c>
      <c r="O2576" s="6" t="s">
        <v>190</v>
      </c>
      <c r="P2576" s="7"/>
      <c r="Q2576" s="13"/>
      <c r="R2576" s="13"/>
      <c r="S2576" s="13"/>
      <c r="T2576" s="6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</row>
    <row r="2577">
      <c r="A2577" s="12">
        <v>63.0</v>
      </c>
      <c r="B2577" s="7" t="s">
        <v>598</v>
      </c>
      <c r="C2577" s="7" t="s">
        <v>1717</v>
      </c>
      <c r="I2577" s="10" t="s">
        <v>595</v>
      </c>
      <c r="J2577" s="13" t="s">
        <v>1770</v>
      </c>
      <c r="K2577" s="13" t="s">
        <v>303</v>
      </c>
      <c r="L2577" s="13" t="s">
        <v>2175</v>
      </c>
      <c r="M2577" s="6" t="s">
        <v>188</v>
      </c>
      <c r="N2577" s="6" t="s">
        <v>188</v>
      </c>
      <c r="O2577" s="6" t="s">
        <v>190</v>
      </c>
      <c r="P2577" s="7"/>
      <c r="Q2577" s="13"/>
      <c r="R2577" s="13"/>
      <c r="S2577" s="13"/>
      <c r="T2577" s="6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</row>
    <row r="2578">
      <c r="A2578" s="12">
        <v>63.0</v>
      </c>
      <c r="B2578" s="7" t="s">
        <v>598</v>
      </c>
      <c r="C2578" s="7" t="s">
        <v>1717</v>
      </c>
      <c r="I2578" s="10" t="s">
        <v>1360</v>
      </c>
      <c r="J2578" s="13" t="s">
        <v>1767</v>
      </c>
      <c r="K2578" s="13" t="s">
        <v>303</v>
      </c>
      <c r="L2578" s="13" t="s">
        <v>2175</v>
      </c>
      <c r="M2578" s="6" t="s">
        <v>188</v>
      </c>
      <c r="N2578" s="6" t="s">
        <v>188</v>
      </c>
      <c r="O2578" s="6" t="s">
        <v>190</v>
      </c>
      <c r="P2578" s="7"/>
      <c r="Q2578" s="13"/>
      <c r="R2578" s="13"/>
      <c r="S2578" s="13"/>
      <c r="T2578" s="6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</row>
    <row r="2579">
      <c r="A2579" s="12">
        <v>63.0</v>
      </c>
      <c r="B2579" s="7" t="s">
        <v>598</v>
      </c>
      <c r="C2579" s="7" t="s">
        <v>1717</v>
      </c>
      <c r="I2579" s="10" t="s">
        <v>1808</v>
      </c>
      <c r="J2579" s="13" t="s">
        <v>1770</v>
      </c>
      <c r="K2579" s="13" t="s">
        <v>303</v>
      </c>
      <c r="L2579" s="13" t="s">
        <v>2175</v>
      </c>
      <c r="M2579" s="6" t="s">
        <v>188</v>
      </c>
      <c r="N2579" s="6" t="s">
        <v>188</v>
      </c>
      <c r="O2579" s="6" t="s">
        <v>190</v>
      </c>
      <c r="P2579" s="7"/>
      <c r="Q2579" s="13"/>
      <c r="R2579" s="13"/>
      <c r="S2579" s="13"/>
      <c r="T2579" s="6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</row>
    <row r="2580">
      <c r="A2580" s="12">
        <v>63.0</v>
      </c>
      <c r="B2580" s="7" t="s">
        <v>598</v>
      </c>
      <c r="C2580" s="7" t="s">
        <v>1717</v>
      </c>
      <c r="I2580" s="10" t="s">
        <v>1744</v>
      </c>
      <c r="J2580" s="13" t="s">
        <v>1767</v>
      </c>
      <c r="K2580" s="13" t="s">
        <v>303</v>
      </c>
      <c r="L2580" s="13" t="s">
        <v>2175</v>
      </c>
      <c r="M2580" s="6" t="s">
        <v>188</v>
      </c>
      <c r="N2580" s="6" t="s">
        <v>188</v>
      </c>
      <c r="O2580" s="6" t="s">
        <v>190</v>
      </c>
      <c r="P2580" s="7"/>
      <c r="Q2580" s="13"/>
      <c r="R2580" s="13"/>
      <c r="S2580" s="13"/>
      <c r="T2580" s="6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</row>
    <row r="2581">
      <c r="A2581" s="12">
        <v>63.0</v>
      </c>
      <c r="B2581" s="7" t="s">
        <v>598</v>
      </c>
      <c r="C2581" s="7" t="s">
        <v>1717</v>
      </c>
      <c r="I2581" s="10" t="s">
        <v>1800</v>
      </c>
      <c r="J2581" s="13" t="s">
        <v>1770</v>
      </c>
      <c r="K2581" s="13" t="s">
        <v>303</v>
      </c>
      <c r="L2581" s="13" t="s">
        <v>2175</v>
      </c>
      <c r="M2581" s="6" t="s">
        <v>188</v>
      </c>
      <c r="N2581" s="6" t="s">
        <v>188</v>
      </c>
      <c r="O2581" s="6" t="s">
        <v>190</v>
      </c>
      <c r="P2581" s="7"/>
      <c r="Q2581" s="13"/>
      <c r="R2581" s="13"/>
      <c r="S2581" s="13"/>
      <c r="T2581" s="6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</row>
    <row r="2582">
      <c r="A2582" s="12">
        <v>64.0</v>
      </c>
      <c r="B2582" s="7" t="s">
        <v>600</v>
      </c>
      <c r="C2582" s="7" t="s">
        <v>1717</v>
      </c>
      <c r="D2582" s="26">
        <f>IF(COUNTIF($B$2:$B2582,$B2582)&gt;1,"",COUNTIF($B$2:$B$3400,$B2582))</f>
        <v>30</v>
      </c>
      <c r="E2582" s="26">
        <f>IF(COUNTIF($B$2:$B2582,$B2582)&gt;1,"",COUNTIFS($B$2:$B$3400,$B2582,$K$2:$K$3400,"PHÙ HỢP CAO"))</f>
        <v>5</v>
      </c>
      <c r="F2582" s="26">
        <f>IF(COUNTIF($B$2:$B2582,$B2582)&gt;1,"",COUNTIFS($B$2:$B$3400,$B2582,$K$2:$K$3400,"CÓ THỂ ĐI"))</f>
        <v>0</v>
      </c>
      <c r="G2582" s="26">
        <f>IF(COUNTIF($B$2:$B2582,$B2582)&gt;1,"",COUNTIFS($B$2:$B$3400,$B2582,$K$2:$K$3400,"CẦN SOÁT"))</f>
        <v>25</v>
      </c>
      <c r="H2582" s="27" t="str">
        <f>IFERROR(__xludf.DUMMYFUNCTION("IF(COUNTIF($B$2:$B2582,$B2582)&gt;1,"""",IFERROR(TEXTJOIN(CHAR(10),TRUE,BYROW(QUERY({$B$2:$B$3400,$J$2:$J$3400},""select Col2, count(Col2) where Col1 = '""&amp;$B2582&amp;""' group by Col2 order by count(Col2) desc label count(Col2) ''"",0),LAMBDA(r,INDEX(r,1,1)&amp;"" "&amp;"– ""&amp;INDEX(r,1,2)&amp;"" link""))),""""))"),"cách tiết kiệm tiền – 15 link
cách tiết kiệm tiền hiệu quả – 15 link")</f>
        <v>cách tiết kiệm tiền – 15 link
cách tiết kiệm tiền hiệu quả – 15 link</v>
      </c>
      <c r="I2582" s="10" t="s">
        <v>1777</v>
      </c>
      <c r="J2582" s="13" t="s">
        <v>1781</v>
      </c>
      <c r="K2582" s="13" t="s">
        <v>184</v>
      </c>
      <c r="L2582" s="13" t="s">
        <v>2574</v>
      </c>
      <c r="M2582" s="6" t="s">
        <v>188</v>
      </c>
      <c r="N2582" s="6" t="s">
        <v>188</v>
      </c>
      <c r="O2582" s="6" t="s">
        <v>190</v>
      </c>
      <c r="P2582" s="7"/>
      <c r="Q2582" s="13"/>
      <c r="R2582" s="13"/>
      <c r="S2582" s="13"/>
      <c r="T2582" s="6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</row>
    <row r="2583">
      <c r="A2583" s="12">
        <v>64.0</v>
      </c>
      <c r="B2583" s="7" t="s">
        <v>600</v>
      </c>
      <c r="C2583" s="7" t="s">
        <v>1717</v>
      </c>
      <c r="I2583" s="10" t="s">
        <v>1782</v>
      </c>
      <c r="J2583" s="13" t="s">
        <v>1786</v>
      </c>
      <c r="K2583" s="13" t="s">
        <v>184</v>
      </c>
      <c r="L2583" s="13" t="s">
        <v>2575</v>
      </c>
      <c r="M2583" s="6" t="s">
        <v>188</v>
      </c>
      <c r="N2583" s="6" t="s">
        <v>188</v>
      </c>
      <c r="O2583" s="6" t="s">
        <v>190</v>
      </c>
      <c r="P2583" s="7"/>
      <c r="Q2583" s="13"/>
      <c r="R2583" s="13"/>
      <c r="S2583" s="13"/>
      <c r="T2583" s="6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</row>
    <row r="2584">
      <c r="A2584" s="12">
        <v>64.0</v>
      </c>
      <c r="B2584" s="7" t="s">
        <v>600</v>
      </c>
      <c r="C2584" s="7" t="s">
        <v>1717</v>
      </c>
      <c r="I2584" s="10" t="s">
        <v>1123</v>
      </c>
      <c r="J2584" s="13" t="s">
        <v>1781</v>
      </c>
      <c r="K2584" s="13" t="s">
        <v>184</v>
      </c>
      <c r="L2584" s="13" t="s">
        <v>2576</v>
      </c>
      <c r="M2584" s="6" t="s">
        <v>188</v>
      </c>
      <c r="N2584" s="6" t="s">
        <v>188</v>
      </c>
      <c r="O2584" s="6" t="s">
        <v>190</v>
      </c>
      <c r="P2584" s="7"/>
      <c r="Q2584" s="13"/>
      <c r="R2584" s="13"/>
      <c r="S2584" s="13"/>
      <c r="T2584" s="6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</row>
    <row r="2585">
      <c r="A2585" s="12">
        <v>64.0</v>
      </c>
      <c r="B2585" s="7" t="s">
        <v>600</v>
      </c>
      <c r="C2585" s="7" t="s">
        <v>1717</v>
      </c>
      <c r="I2585" s="10" t="s">
        <v>1710</v>
      </c>
      <c r="J2585" s="13" t="s">
        <v>1786</v>
      </c>
      <c r="K2585" s="13" t="s">
        <v>184</v>
      </c>
      <c r="L2585" s="13" t="s">
        <v>2577</v>
      </c>
      <c r="M2585" s="6" t="s">
        <v>188</v>
      </c>
      <c r="N2585" s="6" t="s">
        <v>188</v>
      </c>
      <c r="O2585" s="6" t="s">
        <v>190</v>
      </c>
      <c r="P2585" s="7"/>
      <c r="Q2585" s="13"/>
      <c r="R2585" s="13"/>
      <c r="S2585" s="13"/>
      <c r="T2585" s="6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</row>
    <row r="2586">
      <c r="A2586" s="12">
        <v>64.0</v>
      </c>
      <c r="B2586" s="7" t="s">
        <v>600</v>
      </c>
      <c r="C2586" s="7" t="s">
        <v>1717</v>
      </c>
      <c r="I2586" s="10" t="s">
        <v>1795</v>
      </c>
      <c r="J2586" s="13" t="s">
        <v>1781</v>
      </c>
      <c r="K2586" s="13" t="s">
        <v>184</v>
      </c>
      <c r="L2586" s="13" t="s">
        <v>2578</v>
      </c>
      <c r="M2586" s="6" t="s">
        <v>188</v>
      </c>
      <c r="N2586" s="6" t="s">
        <v>188</v>
      </c>
      <c r="O2586" s="6" t="s">
        <v>190</v>
      </c>
      <c r="P2586" s="7"/>
      <c r="Q2586" s="13"/>
      <c r="R2586" s="13"/>
      <c r="S2586" s="13"/>
      <c r="T2586" s="6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</row>
    <row r="2587">
      <c r="A2587" s="12">
        <v>64.0</v>
      </c>
      <c r="B2587" s="7" t="s">
        <v>600</v>
      </c>
      <c r="C2587" s="7" t="s">
        <v>1717</v>
      </c>
      <c r="I2587" s="10" t="s">
        <v>674</v>
      </c>
      <c r="J2587" s="13" t="s">
        <v>1786</v>
      </c>
      <c r="K2587" s="13" t="s">
        <v>303</v>
      </c>
      <c r="L2587" s="13" t="s">
        <v>2579</v>
      </c>
      <c r="M2587" s="6" t="s">
        <v>188</v>
      </c>
      <c r="N2587" s="6" t="s">
        <v>188</v>
      </c>
      <c r="O2587" s="6" t="s">
        <v>190</v>
      </c>
      <c r="P2587" s="7"/>
      <c r="Q2587" s="13"/>
      <c r="R2587" s="13"/>
      <c r="S2587" s="13"/>
      <c r="T2587" s="6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</row>
    <row r="2588">
      <c r="A2588" s="12">
        <v>64.0</v>
      </c>
      <c r="B2588" s="7" t="s">
        <v>600</v>
      </c>
      <c r="C2588" s="7" t="s">
        <v>1717</v>
      </c>
      <c r="I2588" s="10" t="s">
        <v>2101</v>
      </c>
      <c r="J2588" s="13" t="s">
        <v>1781</v>
      </c>
      <c r="K2588" s="13" t="s">
        <v>303</v>
      </c>
      <c r="L2588" s="13" t="s">
        <v>2580</v>
      </c>
      <c r="M2588" s="6" t="s">
        <v>188</v>
      </c>
      <c r="N2588" s="6" t="s">
        <v>188</v>
      </c>
      <c r="O2588" s="6" t="s">
        <v>190</v>
      </c>
      <c r="P2588" s="7"/>
      <c r="Q2588" s="13"/>
      <c r="R2588" s="13"/>
      <c r="S2588" s="13"/>
      <c r="T2588" s="6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</row>
    <row r="2589">
      <c r="A2589" s="12">
        <v>64.0</v>
      </c>
      <c r="B2589" s="7" t="s">
        <v>600</v>
      </c>
      <c r="C2589" s="7" t="s">
        <v>1717</v>
      </c>
      <c r="I2589" s="10" t="s">
        <v>2483</v>
      </c>
      <c r="J2589" s="13" t="s">
        <v>1786</v>
      </c>
      <c r="K2589" s="13" t="s">
        <v>303</v>
      </c>
      <c r="L2589" s="13" t="s">
        <v>2581</v>
      </c>
      <c r="M2589" s="6" t="s">
        <v>188</v>
      </c>
      <c r="N2589" s="6" t="s">
        <v>188</v>
      </c>
      <c r="O2589" s="6" t="s">
        <v>190</v>
      </c>
      <c r="P2589" s="7"/>
      <c r="Q2589" s="13"/>
      <c r="R2589" s="13"/>
      <c r="S2589" s="13"/>
      <c r="T2589" s="6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</row>
    <row r="2590">
      <c r="A2590" s="12">
        <v>64.0</v>
      </c>
      <c r="B2590" s="7" t="s">
        <v>600</v>
      </c>
      <c r="C2590" s="7" t="s">
        <v>1717</v>
      </c>
      <c r="I2590" s="10" t="s">
        <v>1701</v>
      </c>
      <c r="J2590" s="13" t="s">
        <v>1781</v>
      </c>
      <c r="K2590" s="13" t="s">
        <v>303</v>
      </c>
      <c r="L2590" s="13" t="s">
        <v>1703</v>
      </c>
      <c r="M2590" s="6" t="s">
        <v>188</v>
      </c>
      <c r="N2590" s="6" t="s">
        <v>188</v>
      </c>
      <c r="O2590" s="6" t="s">
        <v>190</v>
      </c>
      <c r="P2590" s="7"/>
      <c r="Q2590" s="13"/>
      <c r="R2590" s="13"/>
      <c r="S2590" s="13"/>
      <c r="T2590" s="6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</row>
    <row r="2591">
      <c r="A2591" s="12">
        <v>64.0</v>
      </c>
      <c r="B2591" s="7" t="s">
        <v>600</v>
      </c>
      <c r="C2591" s="7" t="s">
        <v>1717</v>
      </c>
      <c r="I2591" s="10" t="s">
        <v>695</v>
      </c>
      <c r="J2591" s="13" t="s">
        <v>1786</v>
      </c>
      <c r="K2591" s="13" t="s">
        <v>303</v>
      </c>
      <c r="L2591" s="13" t="s">
        <v>2580</v>
      </c>
      <c r="M2591" s="6" t="s">
        <v>188</v>
      </c>
      <c r="N2591" s="6" t="s">
        <v>188</v>
      </c>
      <c r="O2591" s="6" t="s">
        <v>190</v>
      </c>
      <c r="P2591" s="7"/>
      <c r="Q2591" s="13"/>
      <c r="R2591" s="13"/>
      <c r="S2591" s="13"/>
      <c r="T2591" s="6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  <c r="AE2591" s="7"/>
    </row>
    <row r="2592">
      <c r="A2592" s="12">
        <v>64.0</v>
      </c>
      <c r="B2592" s="7" t="s">
        <v>600</v>
      </c>
      <c r="C2592" s="7" t="s">
        <v>1717</v>
      </c>
      <c r="I2592" s="10" t="s">
        <v>1696</v>
      </c>
      <c r="J2592" s="13" t="s">
        <v>1781</v>
      </c>
      <c r="K2592" s="13" t="s">
        <v>303</v>
      </c>
      <c r="L2592" s="13" t="s">
        <v>2582</v>
      </c>
      <c r="M2592" s="6" t="s">
        <v>188</v>
      </c>
      <c r="N2592" s="6" t="s">
        <v>188</v>
      </c>
      <c r="O2592" s="6" t="s">
        <v>190</v>
      </c>
      <c r="P2592" s="7"/>
      <c r="Q2592" s="13"/>
      <c r="R2592" s="13"/>
      <c r="S2592" s="13"/>
      <c r="T2592" s="6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</row>
    <row r="2593">
      <c r="A2593" s="12">
        <v>64.0</v>
      </c>
      <c r="B2593" s="7" t="s">
        <v>600</v>
      </c>
      <c r="C2593" s="7" t="s">
        <v>1717</v>
      </c>
      <c r="I2593" s="10" t="s">
        <v>1705</v>
      </c>
      <c r="J2593" s="13" t="s">
        <v>1786</v>
      </c>
      <c r="K2593" s="13" t="s">
        <v>303</v>
      </c>
      <c r="L2593" s="13" t="s">
        <v>1703</v>
      </c>
      <c r="M2593" s="6" t="s">
        <v>188</v>
      </c>
      <c r="N2593" s="6" t="s">
        <v>188</v>
      </c>
      <c r="O2593" s="6" t="s">
        <v>190</v>
      </c>
      <c r="P2593" s="7"/>
      <c r="Q2593" s="13"/>
      <c r="R2593" s="13"/>
      <c r="S2593" s="13"/>
      <c r="T2593" s="6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</row>
    <row r="2594">
      <c r="A2594" s="12">
        <v>64.0</v>
      </c>
      <c r="B2594" s="7" t="s">
        <v>600</v>
      </c>
      <c r="C2594" s="7" t="s">
        <v>1717</v>
      </c>
      <c r="I2594" s="10" t="s">
        <v>625</v>
      </c>
      <c r="J2594" s="13" t="s">
        <v>1781</v>
      </c>
      <c r="K2594" s="13" t="s">
        <v>303</v>
      </c>
      <c r="L2594" s="13" t="s">
        <v>2580</v>
      </c>
      <c r="M2594" s="6" t="s">
        <v>188</v>
      </c>
      <c r="N2594" s="6" t="s">
        <v>188</v>
      </c>
      <c r="O2594" s="6" t="s">
        <v>190</v>
      </c>
      <c r="P2594" s="7"/>
      <c r="Q2594" s="13"/>
      <c r="R2594" s="13"/>
      <c r="S2594" s="13"/>
      <c r="T2594" s="6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</row>
    <row r="2595">
      <c r="A2595" s="12">
        <v>64.0</v>
      </c>
      <c r="B2595" s="7" t="s">
        <v>600</v>
      </c>
      <c r="C2595" s="7" t="s">
        <v>1717</v>
      </c>
      <c r="I2595" s="10" t="s">
        <v>1974</v>
      </c>
      <c r="J2595" s="13" t="s">
        <v>1786</v>
      </c>
      <c r="K2595" s="13" t="s">
        <v>303</v>
      </c>
      <c r="L2595" s="13" t="s">
        <v>2580</v>
      </c>
      <c r="M2595" s="6" t="s">
        <v>188</v>
      </c>
      <c r="N2595" s="6" t="s">
        <v>188</v>
      </c>
      <c r="O2595" s="6" t="s">
        <v>190</v>
      </c>
      <c r="P2595" s="7"/>
      <c r="Q2595" s="13"/>
      <c r="R2595" s="13"/>
      <c r="S2595" s="13"/>
      <c r="T2595" s="6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</row>
    <row r="2596">
      <c r="A2596" s="12">
        <v>64.0</v>
      </c>
      <c r="B2596" s="7" t="s">
        <v>600</v>
      </c>
      <c r="C2596" s="7" t="s">
        <v>1717</v>
      </c>
      <c r="I2596" s="10" t="s">
        <v>1112</v>
      </c>
      <c r="J2596" s="13" t="s">
        <v>1781</v>
      </c>
      <c r="K2596" s="13" t="s">
        <v>303</v>
      </c>
      <c r="L2596" s="13" t="s">
        <v>2580</v>
      </c>
      <c r="M2596" s="6" t="s">
        <v>188</v>
      </c>
      <c r="N2596" s="6" t="s">
        <v>188</v>
      </c>
      <c r="O2596" s="6" t="s">
        <v>190</v>
      </c>
      <c r="P2596" s="7"/>
      <c r="Q2596" s="13"/>
      <c r="R2596" s="13"/>
      <c r="S2596" s="13"/>
      <c r="T2596" s="6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</row>
    <row r="2597">
      <c r="A2597" s="12">
        <v>64.0</v>
      </c>
      <c r="B2597" s="7" t="s">
        <v>600</v>
      </c>
      <c r="C2597" s="7" t="s">
        <v>1717</v>
      </c>
      <c r="I2597" s="10" t="s">
        <v>2523</v>
      </c>
      <c r="J2597" s="13" t="s">
        <v>1786</v>
      </c>
      <c r="K2597" s="13" t="s">
        <v>303</v>
      </c>
      <c r="L2597" s="13" t="s">
        <v>2580</v>
      </c>
      <c r="M2597" s="6" t="s">
        <v>188</v>
      </c>
      <c r="N2597" s="6" t="s">
        <v>188</v>
      </c>
      <c r="O2597" s="6" t="s">
        <v>190</v>
      </c>
      <c r="P2597" s="7"/>
      <c r="Q2597" s="13"/>
      <c r="R2597" s="13"/>
      <c r="S2597" s="13"/>
      <c r="T2597" s="6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</row>
    <row r="2598">
      <c r="A2598" s="12">
        <v>64.0</v>
      </c>
      <c r="B2598" s="7" t="s">
        <v>600</v>
      </c>
      <c r="C2598" s="7" t="s">
        <v>1717</v>
      </c>
      <c r="I2598" s="10" t="s">
        <v>2490</v>
      </c>
      <c r="J2598" s="13" t="s">
        <v>1781</v>
      </c>
      <c r="K2598" s="13" t="s">
        <v>303</v>
      </c>
      <c r="L2598" s="13" t="s">
        <v>2580</v>
      </c>
      <c r="M2598" s="6" t="s">
        <v>188</v>
      </c>
      <c r="N2598" s="6" t="s">
        <v>188</v>
      </c>
      <c r="O2598" s="6" t="s">
        <v>190</v>
      </c>
      <c r="P2598" s="7"/>
      <c r="Q2598" s="13"/>
      <c r="R2598" s="13"/>
      <c r="S2598" s="13"/>
      <c r="T2598" s="6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</row>
    <row r="2599">
      <c r="A2599" s="12">
        <v>64.0</v>
      </c>
      <c r="B2599" s="7" t="s">
        <v>600</v>
      </c>
      <c r="C2599" s="7" t="s">
        <v>1717</v>
      </c>
      <c r="I2599" s="10" t="s">
        <v>2521</v>
      </c>
      <c r="J2599" s="13" t="s">
        <v>1786</v>
      </c>
      <c r="K2599" s="13" t="s">
        <v>303</v>
      </c>
      <c r="L2599" s="13" t="s">
        <v>2579</v>
      </c>
      <c r="M2599" s="6" t="s">
        <v>188</v>
      </c>
      <c r="N2599" s="6" t="s">
        <v>188</v>
      </c>
      <c r="O2599" s="6" t="s">
        <v>190</v>
      </c>
      <c r="P2599" s="7"/>
      <c r="Q2599" s="13"/>
      <c r="R2599" s="13"/>
      <c r="S2599" s="13"/>
      <c r="T2599" s="6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</row>
    <row r="2600">
      <c r="A2600" s="12">
        <v>64.0</v>
      </c>
      <c r="B2600" s="7" t="s">
        <v>600</v>
      </c>
      <c r="C2600" s="7" t="s">
        <v>1717</v>
      </c>
      <c r="I2600" s="10" t="s">
        <v>743</v>
      </c>
      <c r="J2600" s="13" t="s">
        <v>1781</v>
      </c>
      <c r="K2600" s="13" t="s">
        <v>303</v>
      </c>
      <c r="L2600" s="13" t="s">
        <v>2580</v>
      </c>
      <c r="M2600" s="6" t="s">
        <v>188</v>
      </c>
      <c r="N2600" s="6" t="s">
        <v>188</v>
      </c>
      <c r="O2600" s="6" t="s">
        <v>190</v>
      </c>
      <c r="P2600" s="7"/>
      <c r="Q2600" s="13"/>
      <c r="R2600" s="13"/>
      <c r="S2600" s="13"/>
      <c r="T2600" s="6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</row>
    <row r="2601">
      <c r="A2601" s="12">
        <v>64.0</v>
      </c>
      <c r="B2601" s="7" t="s">
        <v>600</v>
      </c>
      <c r="C2601" s="7" t="s">
        <v>1717</v>
      </c>
      <c r="I2601" s="10" t="s">
        <v>2516</v>
      </c>
      <c r="J2601" s="13" t="s">
        <v>1786</v>
      </c>
      <c r="K2601" s="13" t="s">
        <v>303</v>
      </c>
      <c r="L2601" s="13" t="s">
        <v>2581</v>
      </c>
      <c r="M2601" s="6" t="s">
        <v>188</v>
      </c>
      <c r="N2601" s="6" t="s">
        <v>188</v>
      </c>
      <c r="O2601" s="6" t="s">
        <v>190</v>
      </c>
      <c r="P2601" s="7"/>
      <c r="Q2601" s="13"/>
      <c r="R2601" s="13"/>
      <c r="S2601" s="13"/>
      <c r="T2601" s="6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</row>
    <row r="2602">
      <c r="A2602" s="12">
        <v>64.0</v>
      </c>
      <c r="B2602" s="7" t="s">
        <v>600</v>
      </c>
      <c r="C2602" s="7" t="s">
        <v>1717</v>
      </c>
      <c r="I2602" s="10" t="s">
        <v>1706</v>
      </c>
      <c r="J2602" s="13" t="s">
        <v>1781</v>
      </c>
      <c r="K2602" s="13" t="s">
        <v>303</v>
      </c>
      <c r="L2602" s="13" t="s">
        <v>1703</v>
      </c>
      <c r="M2602" s="6" t="s">
        <v>188</v>
      </c>
      <c r="N2602" s="6" t="s">
        <v>188</v>
      </c>
      <c r="O2602" s="6" t="s">
        <v>190</v>
      </c>
      <c r="P2602" s="7"/>
      <c r="Q2602" s="13"/>
      <c r="R2602" s="13"/>
      <c r="S2602" s="13"/>
      <c r="T2602" s="6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</row>
    <row r="2603">
      <c r="A2603" s="12">
        <v>64.0</v>
      </c>
      <c r="B2603" s="7" t="s">
        <v>600</v>
      </c>
      <c r="C2603" s="7" t="s">
        <v>1717</v>
      </c>
      <c r="I2603" s="10" t="s">
        <v>2517</v>
      </c>
      <c r="J2603" s="13" t="s">
        <v>1786</v>
      </c>
      <c r="K2603" s="13" t="s">
        <v>303</v>
      </c>
      <c r="L2603" s="13" t="s">
        <v>2581</v>
      </c>
      <c r="M2603" s="6" t="s">
        <v>188</v>
      </c>
      <c r="N2603" s="6" t="s">
        <v>188</v>
      </c>
      <c r="O2603" s="6" t="s">
        <v>190</v>
      </c>
      <c r="P2603" s="7"/>
      <c r="Q2603" s="13"/>
      <c r="R2603" s="13"/>
      <c r="S2603" s="13"/>
      <c r="T2603" s="6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</row>
    <row r="2604">
      <c r="A2604" s="12">
        <v>64.0</v>
      </c>
      <c r="B2604" s="7" t="s">
        <v>600</v>
      </c>
      <c r="C2604" s="7" t="s">
        <v>1717</v>
      </c>
      <c r="I2604" s="10" t="s">
        <v>2256</v>
      </c>
      <c r="J2604" s="13" t="s">
        <v>1781</v>
      </c>
      <c r="K2604" s="13" t="s">
        <v>303</v>
      </c>
      <c r="L2604" s="13" t="s">
        <v>2583</v>
      </c>
      <c r="M2604" s="6" t="s">
        <v>188</v>
      </c>
      <c r="N2604" s="6" t="s">
        <v>188</v>
      </c>
      <c r="O2604" s="6" t="s">
        <v>190</v>
      </c>
      <c r="P2604" s="7"/>
      <c r="Q2604" s="13"/>
      <c r="R2604" s="13"/>
      <c r="S2604" s="13"/>
      <c r="T2604" s="6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</row>
    <row r="2605">
      <c r="A2605" s="12">
        <v>64.0</v>
      </c>
      <c r="B2605" s="7" t="s">
        <v>600</v>
      </c>
      <c r="C2605" s="7" t="s">
        <v>1717</v>
      </c>
      <c r="I2605" s="10" t="s">
        <v>1491</v>
      </c>
      <c r="J2605" s="13" t="s">
        <v>1786</v>
      </c>
      <c r="K2605" s="13" t="s">
        <v>303</v>
      </c>
      <c r="L2605" s="13" t="s">
        <v>2579</v>
      </c>
      <c r="M2605" s="6" t="s">
        <v>188</v>
      </c>
      <c r="N2605" s="6" t="s">
        <v>188</v>
      </c>
      <c r="O2605" s="6" t="s">
        <v>190</v>
      </c>
      <c r="P2605" s="7"/>
      <c r="Q2605" s="13"/>
      <c r="R2605" s="13"/>
      <c r="S2605" s="13"/>
      <c r="T2605" s="6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</row>
    <row r="2606">
      <c r="A2606" s="12">
        <v>64.0</v>
      </c>
      <c r="B2606" s="7" t="s">
        <v>600</v>
      </c>
      <c r="C2606" s="7" t="s">
        <v>1717</v>
      </c>
      <c r="I2606" s="10" t="s">
        <v>2584</v>
      </c>
      <c r="J2606" s="13" t="s">
        <v>1781</v>
      </c>
      <c r="K2606" s="13" t="s">
        <v>303</v>
      </c>
      <c r="L2606" s="13" t="s">
        <v>2579</v>
      </c>
      <c r="M2606" s="6" t="s">
        <v>188</v>
      </c>
      <c r="N2606" s="6" t="s">
        <v>188</v>
      </c>
      <c r="O2606" s="6" t="s">
        <v>190</v>
      </c>
      <c r="P2606" s="7"/>
      <c r="Q2606" s="13"/>
      <c r="R2606" s="13"/>
      <c r="S2606" s="13"/>
      <c r="T2606" s="6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</row>
    <row r="2607">
      <c r="A2607" s="12">
        <v>64.0</v>
      </c>
      <c r="B2607" s="7" t="s">
        <v>600</v>
      </c>
      <c r="C2607" s="7" t="s">
        <v>1717</v>
      </c>
      <c r="I2607" s="10" t="s">
        <v>1558</v>
      </c>
      <c r="J2607" s="13" t="s">
        <v>1786</v>
      </c>
      <c r="K2607" s="13" t="s">
        <v>303</v>
      </c>
      <c r="L2607" s="13" t="s">
        <v>2585</v>
      </c>
      <c r="M2607" s="6" t="s">
        <v>188</v>
      </c>
      <c r="N2607" s="6" t="s">
        <v>188</v>
      </c>
      <c r="O2607" s="6" t="s">
        <v>190</v>
      </c>
      <c r="P2607" s="7"/>
      <c r="Q2607" s="13"/>
      <c r="R2607" s="13"/>
      <c r="S2607" s="13"/>
      <c r="T2607" s="6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</row>
    <row r="2608">
      <c r="A2608" s="12">
        <v>64.0</v>
      </c>
      <c r="B2608" s="7" t="s">
        <v>600</v>
      </c>
      <c r="C2608" s="7" t="s">
        <v>1717</v>
      </c>
      <c r="I2608" s="10" t="s">
        <v>1252</v>
      </c>
      <c r="J2608" s="13" t="s">
        <v>1781</v>
      </c>
      <c r="K2608" s="13" t="s">
        <v>303</v>
      </c>
      <c r="L2608" s="13" t="s">
        <v>1703</v>
      </c>
      <c r="M2608" s="6" t="s">
        <v>188</v>
      </c>
      <c r="N2608" s="6" t="s">
        <v>188</v>
      </c>
      <c r="O2608" s="6" t="s">
        <v>190</v>
      </c>
      <c r="P2608" s="7"/>
      <c r="Q2608" s="13"/>
      <c r="R2608" s="13"/>
      <c r="S2608" s="13"/>
      <c r="T2608" s="6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</row>
    <row r="2609">
      <c r="A2609" s="12">
        <v>64.0</v>
      </c>
      <c r="B2609" s="7" t="s">
        <v>600</v>
      </c>
      <c r="C2609" s="7" t="s">
        <v>1717</v>
      </c>
      <c r="I2609" s="10" t="s">
        <v>1135</v>
      </c>
      <c r="J2609" s="13" t="s">
        <v>1786</v>
      </c>
      <c r="K2609" s="13" t="s">
        <v>303</v>
      </c>
      <c r="L2609" s="13" t="s">
        <v>2581</v>
      </c>
      <c r="M2609" s="6" t="s">
        <v>188</v>
      </c>
      <c r="N2609" s="6" t="s">
        <v>188</v>
      </c>
      <c r="O2609" s="6" t="s">
        <v>190</v>
      </c>
      <c r="P2609" s="7"/>
      <c r="Q2609" s="13"/>
      <c r="R2609" s="13"/>
      <c r="S2609" s="13"/>
      <c r="T2609" s="6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</row>
    <row r="2610">
      <c r="A2610" s="12">
        <v>64.0</v>
      </c>
      <c r="B2610" s="7" t="s">
        <v>600</v>
      </c>
      <c r="C2610" s="7" t="s">
        <v>1717</v>
      </c>
      <c r="I2610" s="10" t="s">
        <v>1716</v>
      </c>
      <c r="J2610" s="13" t="s">
        <v>1781</v>
      </c>
      <c r="K2610" s="13" t="s">
        <v>303</v>
      </c>
      <c r="L2610" s="13" t="s">
        <v>1703</v>
      </c>
      <c r="M2610" s="6" t="s">
        <v>188</v>
      </c>
      <c r="N2610" s="6" t="s">
        <v>188</v>
      </c>
      <c r="O2610" s="6" t="s">
        <v>190</v>
      </c>
      <c r="P2610" s="7"/>
      <c r="Q2610" s="13"/>
      <c r="R2610" s="13"/>
      <c r="S2610" s="13"/>
      <c r="T2610" s="6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</row>
    <row r="2611">
      <c r="A2611" s="12">
        <v>64.0</v>
      </c>
      <c r="B2611" s="7" t="s">
        <v>600</v>
      </c>
      <c r="C2611" s="7" t="s">
        <v>1717</v>
      </c>
      <c r="I2611" s="10" t="s">
        <v>2586</v>
      </c>
      <c r="J2611" s="13" t="s">
        <v>1786</v>
      </c>
      <c r="K2611" s="13" t="s">
        <v>303</v>
      </c>
      <c r="L2611" s="13" t="s">
        <v>2580</v>
      </c>
      <c r="M2611" s="6" t="s">
        <v>188</v>
      </c>
      <c r="N2611" s="6" t="s">
        <v>188</v>
      </c>
      <c r="O2611" s="6" t="s">
        <v>190</v>
      </c>
      <c r="P2611" s="7"/>
      <c r="Q2611" s="13"/>
      <c r="R2611" s="13"/>
      <c r="S2611" s="13"/>
      <c r="T2611" s="6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</row>
    <row r="2612">
      <c r="A2612" s="12">
        <v>65.0</v>
      </c>
      <c r="B2612" s="7" t="s">
        <v>601</v>
      </c>
      <c r="C2612" s="7" t="s">
        <v>1717</v>
      </c>
      <c r="D2612" s="26">
        <f>IF(COUNTIF($B$2:$B2612,$B2612)&gt;1,"",COUNTIF($B$2:$B$3400,$B2612))</f>
        <v>30</v>
      </c>
      <c r="E2612" s="26">
        <f>IF(COUNTIF($B$2:$B2612,$B2612)&gt;1,"",COUNTIFS($B$2:$B$3400,$B2612,$K$2:$K$3400,"PHÙ HỢP CAO"))</f>
        <v>5</v>
      </c>
      <c r="F2612" s="26">
        <f>IF(COUNTIF($B$2:$B2612,$B2612)&gt;1,"",COUNTIFS($B$2:$B$3400,$B2612,$K$2:$K$3400,"CÓ THỂ ĐI"))</f>
        <v>0</v>
      </c>
      <c r="G2612" s="26">
        <f>IF(COUNTIF($B$2:$B2612,$B2612)&gt;1,"",COUNTIFS($B$2:$B$3400,$B2612,$K$2:$K$3400,"CẦN SOÁT"))</f>
        <v>25</v>
      </c>
      <c r="H2612" s="27" t="str">
        <f>IFERROR(__xludf.DUMMYFUNCTION("IF(COUNTIF($B$2:$B2612,$B2612)&gt;1,"""",IFERROR(TEXTJOIN(CHAR(10),TRUE,BYROW(QUERY({$B$2:$B$3400,$J$2:$J$3400},""select Col2, count(Col2) where Col1 = '""&amp;$B2612&amp;""' group by Col2 order by count(Col2) desc label count(Col2) ''"",0),LAMBDA(r,INDEX(r,1,1)&amp;"" "&amp;"– ""&amp;INDEX(r,1,2)&amp;"" link""))),""""))"),"gửi tiết kiệm online có an toàn không – 15 link
rủi ro khi gửi tiết kiệm online – 15 link")</f>
        <v>gửi tiết kiệm online có an toàn không – 15 link
rủi ro khi gửi tiết kiệm online – 15 link</v>
      </c>
      <c r="I2612" s="10" t="s">
        <v>1797</v>
      </c>
      <c r="J2612" s="13" t="s">
        <v>1799</v>
      </c>
      <c r="K2612" s="13" t="s">
        <v>184</v>
      </c>
      <c r="L2612" s="13" t="s">
        <v>2587</v>
      </c>
      <c r="M2612" s="6" t="s">
        <v>188</v>
      </c>
      <c r="N2612" s="6" t="s">
        <v>188</v>
      </c>
      <c r="O2612" s="6" t="s">
        <v>190</v>
      </c>
      <c r="P2612" s="7"/>
      <c r="Q2612" s="13"/>
      <c r="R2612" s="13"/>
      <c r="S2612" s="13"/>
      <c r="T2612" s="6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</row>
    <row r="2613">
      <c r="A2613" s="12">
        <v>65.0</v>
      </c>
      <c r="B2613" s="7" t="s">
        <v>601</v>
      </c>
      <c r="C2613" s="7" t="s">
        <v>1717</v>
      </c>
      <c r="I2613" s="10" t="s">
        <v>1800</v>
      </c>
      <c r="J2613" s="13" t="s">
        <v>1803</v>
      </c>
      <c r="K2613" s="13" t="s">
        <v>184</v>
      </c>
      <c r="L2613" s="13" t="s">
        <v>2588</v>
      </c>
      <c r="M2613" s="6" t="s">
        <v>188</v>
      </c>
      <c r="N2613" s="6" t="s">
        <v>188</v>
      </c>
      <c r="O2613" s="6" t="s">
        <v>190</v>
      </c>
      <c r="P2613" s="7"/>
      <c r="Q2613" s="13"/>
      <c r="R2613" s="13"/>
      <c r="S2613" s="13"/>
      <c r="T2613" s="6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</row>
    <row r="2614">
      <c r="A2614" s="12">
        <v>65.0</v>
      </c>
      <c r="B2614" s="7" t="s">
        <v>601</v>
      </c>
      <c r="C2614" s="7" t="s">
        <v>1717</v>
      </c>
      <c r="I2614" s="10" t="s">
        <v>1804</v>
      </c>
      <c r="J2614" s="13" t="s">
        <v>1799</v>
      </c>
      <c r="K2614" s="13" t="s">
        <v>184</v>
      </c>
      <c r="L2614" s="13" t="s">
        <v>2589</v>
      </c>
      <c r="M2614" s="6" t="s">
        <v>188</v>
      </c>
      <c r="N2614" s="6" t="s">
        <v>188</v>
      </c>
      <c r="O2614" s="6" t="s">
        <v>190</v>
      </c>
      <c r="P2614" s="7"/>
      <c r="Q2614" s="13"/>
      <c r="R2614" s="13"/>
      <c r="S2614" s="13"/>
      <c r="T2614" s="6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</row>
    <row r="2615">
      <c r="A2615" s="12">
        <v>65.0</v>
      </c>
      <c r="B2615" s="7" t="s">
        <v>601</v>
      </c>
      <c r="C2615" s="7" t="s">
        <v>1717</v>
      </c>
      <c r="I2615" s="10" t="s">
        <v>1806</v>
      </c>
      <c r="J2615" s="13" t="s">
        <v>1803</v>
      </c>
      <c r="K2615" s="13" t="s">
        <v>184</v>
      </c>
      <c r="L2615" s="13" t="s">
        <v>2590</v>
      </c>
      <c r="M2615" s="6" t="s">
        <v>188</v>
      </c>
      <c r="N2615" s="6" t="s">
        <v>188</v>
      </c>
      <c r="O2615" s="6" t="s">
        <v>190</v>
      </c>
      <c r="P2615" s="7"/>
      <c r="Q2615" s="13"/>
      <c r="R2615" s="13"/>
      <c r="S2615" s="13"/>
      <c r="T2615" s="6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</row>
    <row r="2616">
      <c r="A2616" s="12">
        <v>65.0</v>
      </c>
      <c r="B2616" s="7" t="s">
        <v>601</v>
      </c>
      <c r="C2616" s="7" t="s">
        <v>1717</v>
      </c>
      <c r="I2616" s="10" t="s">
        <v>1808</v>
      </c>
      <c r="J2616" s="13" t="s">
        <v>1799</v>
      </c>
      <c r="K2616" s="13" t="s">
        <v>184</v>
      </c>
      <c r="L2616" s="13" t="s">
        <v>2591</v>
      </c>
      <c r="M2616" s="6" t="s">
        <v>188</v>
      </c>
      <c r="N2616" s="6" t="s">
        <v>188</v>
      </c>
      <c r="O2616" s="6" t="s">
        <v>190</v>
      </c>
      <c r="P2616" s="7"/>
      <c r="Q2616" s="13"/>
      <c r="R2616" s="13"/>
      <c r="S2616" s="13"/>
      <c r="T2616" s="6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</row>
    <row r="2617">
      <c r="A2617" s="12">
        <v>65.0</v>
      </c>
      <c r="B2617" s="7" t="s">
        <v>601</v>
      </c>
      <c r="C2617" s="7" t="s">
        <v>1717</v>
      </c>
      <c r="I2617" s="10" t="s">
        <v>882</v>
      </c>
      <c r="J2617" s="13" t="s">
        <v>1803</v>
      </c>
      <c r="K2617" s="13" t="s">
        <v>303</v>
      </c>
      <c r="L2617" s="13" t="s">
        <v>2592</v>
      </c>
      <c r="M2617" s="6" t="s">
        <v>188</v>
      </c>
      <c r="N2617" s="6" t="s">
        <v>188</v>
      </c>
      <c r="O2617" s="6" t="s">
        <v>190</v>
      </c>
      <c r="P2617" s="7"/>
      <c r="Q2617" s="13"/>
      <c r="R2617" s="13"/>
      <c r="S2617" s="13"/>
      <c r="T2617" s="6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</row>
    <row r="2618">
      <c r="A2618" s="12">
        <v>65.0</v>
      </c>
      <c r="B2618" s="7" t="s">
        <v>601</v>
      </c>
      <c r="C2618" s="7" t="s">
        <v>1717</v>
      </c>
      <c r="I2618" s="10" t="s">
        <v>682</v>
      </c>
      <c r="J2618" s="13" t="s">
        <v>1799</v>
      </c>
      <c r="K2618" s="13" t="s">
        <v>303</v>
      </c>
      <c r="L2618" s="13" t="s">
        <v>2592</v>
      </c>
      <c r="M2618" s="6" t="s">
        <v>188</v>
      </c>
      <c r="N2618" s="6" t="s">
        <v>188</v>
      </c>
      <c r="O2618" s="6" t="s">
        <v>190</v>
      </c>
      <c r="P2618" s="7"/>
      <c r="Q2618" s="13"/>
      <c r="R2618" s="13"/>
      <c r="S2618" s="13"/>
      <c r="T2618" s="6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</row>
    <row r="2619">
      <c r="A2619" s="12">
        <v>65.0</v>
      </c>
      <c r="B2619" s="7" t="s">
        <v>601</v>
      </c>
      <c r="C2619" s="7" t="s">
        <v>1717</v>
      </c>
      <c r="I2619" s="10" t="s">
        <v>2041</v>
      </c>
      <c r="J2619" s="13" t="s">
        <v>1803</v>
      </c>
      <c r="K2619" s="13" t="s">
        <v>303</v>
      </c>
      <c r="L2619" s="13" t="s">
        <v>2592</v>
      </c>
      <c r="M2619" s="6" t="s">
        <v>188</v>
      </c>
      <c r="N2619" s="6" t="s">
        <v>188</v>
      </c>
      <c r="O2619" s="6" t="s">
        <v>190</v>
      </c>
      <c r="P2619" s="7"/>
      <c r="Q2619" s="13"/>
      <c r="R2619" s="13"/>
      <c r="S2619" s="13"/>
      <c r="T2619" s="6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  <c r="AE2619" s="7"/>
    </row>
    <row r="2620">
      <c r="A2620" s="12">
        <v>65.0</v>
      </c>
      <c r="B2620" s="7" t="s">
        <v>601</v>
      </c>
      <c r="C2620" s="7" t="s">
        <v>1717</v>
      </c>
      <c r="I2620" s="10" t="s">
        <v>633</v>
      </c>
      <c r="J2620" s="13" t="s">
        <v>1799</v>
      </c>
      <c r="K2620" s="13" t="s">
        <v>303</v>
      </c>
      <c r="L2620" s="13" t="s">
        <v>2592</v>
      </c>
      <c r="M2620" s="6" t="s">
        <v>188</v>
      </c>
      <c r="N2620" s="6" t="s">
        <v>188</v>
      </c>
      <c r="O2620" s="6" t="s">
        <v>190</v>
      </c>
      <c r="P2620" s="7"/>
      <c r="Q2620" s="13"/>
      <c r="R2620" s="13"/>
      <c r="S2620" s="13"/>
      <c r="T2620" s="6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</row>
    <row r="2621">
      <c r="A2621" s="12">
        <v>65.0</v>
      </c>
      <c r="B2621" s="7" t="s">
        <v>601</v>
      </c>
      <c r="C2621" s="7" t="s">
        <v>1717</v>
      </c>
      <c r="I2621" s="10" t="s">
        <v>2523</v>
      </c>
      <c r="J2621" s="13" t="s">
        <v>1803</v>
      </c>
      <c r="K2621" s="13" t="s">
        <v>303</v>
      </c>
      <c r="L2621" s="13" t="s">
        <v>2592</v>
      </c>
      <c r="M2621" s="6" t="s">
        <v>188</v>
      </c>
      <c r="N2621" s="6" t="s">
        <v>188</v>
      </c>
      <c r="O2621" s="6" t="s">
        <v>190</v>
      </c>
      <c r="P2621" s="7"/>
      <c r="Q2621" s="13"/>
      <c r="R2621" s="13"/>
      <c r="S2621" s="13"/>
      <c r="T2621" s="6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</row>
    <row r="2622">
      <c r="A2622" s="12">
        <v>65.0</v>
      </c>
      <c r="B2622" s="7" t="s">
        <v>601</v>
      </c>
      <c r="C2622" s="7" t="s">
        <v>1717</v>
      </c>
      <c r="I2622" s="10" t="s">
        <v>654</v>
      </c>
      <c r="J2622" s="13" t="s">
        <v>1799</v>
      </c>
      <c r="K2622" s="13" t="s">
        <v>303</v>
      </c>
      <c r="L2622" s="13" t="s">
        <v>2592</v>
      </c>
      <c r="M2622" s="6" t="s">
        <v>188</v>
      </c>
      <c r="N2622" s="6" t="s">
        <v>188</v>
      </c>
      <c r="O2622" s="6" t="s">
        <v>190</v>
      </c>
      <c r="P2622" s="7"/>
      <c r="Q2622" s="13"/>
      <c r="R2622" s="13"/>
      <c r="S2622" s="13"/>
      <c r="T2622" s="6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</row>
    <row r="2623">
      <c r="A2623" s="12">
        <v>65.0</v>
      </c>
      <c r="B2623" s="7" t="s">
        <v>601</v>
      </c>
      <c r="C2623" s="7" t="s">
        <v>1717</v>
      </c>
      <c r="I2623" s="10" t="s">
        <v>1773</v>
      </c>
      <c r="J2623" s="13" t="s">
        <v>1803</v>
      </c>
      <c r="K2623" s="13" t="s">
        <v>303</v>
      </c>
      <c r="L2623" s="13" t="s">
        <v>2593</v>
      </c>
      <c r="M2623" s="6" t="s">
        <v>188</v>
      </c>
      <c r="N2623" s="6" t="s">
        <v>188</v>
      </c>
      <c r="O2623" s="6" t="s">
        <v>190</v>
      </c>
      <c r="P2623" s="7"/>
      <c r="Q2623" s="13"/>
      <c r="R2623" s="13"/>
      <c r="S2623" s="13"/>
      <c r="T2623" s="6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</row>
    <row r="2624">
      <c r="A2624" s="12">
        <v>65.0</v>
      </c>
      <c r="B2624" s="7" t="s">
        <v>601</v>
      </c>
      <c r="C2624" s="7" t="s">
        <v>1717</v>
      </c>
      <c r="I2624" s="10" t="s">
        <v>1924</v>
      </c>
      <c r="J2624" s="13" t="s">
        <v>1799</v>
      </c>
      <c r="K2624" s="13" t="s">
        <v>303</v>
      </c>
      <c r="L2624" s="13" t="s">
        <v>2592</v>
      </c>
      <c r="M2624" s="6" t="s">
        <v>188</v>
      </c>
      <c r="N2624" s="6" t="s">
        <v>188</v>
      </c>
      <c r="O2624" s="6" t="s">
        <v>190</v>
      </c>
      <c r="P2624" s="7"/>
      <c r="Q2624" s="13"/>
      <c r="R2624" s="13"/>
      <c r="S2624" s="13"/>
      <c r="T2624" s="6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</row>
    <row r="2625">
      <c r="A2625" s="12">
        <v>65.0</v>
      </c>
      <c r="B2625" s="7" t="s">
        <v>601</v>
      </c>
      <c r="C2625" s="7" t="s">
        <v>1717</v>
      </c>
      <c r="I2625" s="10" t="s">
        <v>1977</v>
      </c>
      <c r="J2625" s="13" t="s">
        <v>1803</v>
      </c>
      <c r="K2625" s="13" t="s">
        <v>303</v>
      </c>
      <c r="L2625" s="13" t="s">
        <v>2592</v>
      </c>
      <c r="M2625" s="6" t="s">
        <v>188</v>
      </c>
      <c r="N2625" s="6" t="s">
        <v>188</v>
      </c>
      <c r="O2625" s="6" t="s">
        <v>190</v>
      </c>
      <c r="P2625" s="7"/>
      <c r="Q2625" s="13"/>
      <c r="R2625" s="13"/>
      <c r="S2625" s="13"/>
      <c r="T2625" s="6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</row>
    <row r="2626">
      <c r="A2626" s="12">
        <v>65.0</v>
      </c>
      <c r="B2626" s="7" t="s">
        <v>601</v>
      </c>
      <c r="C2626" s="7" t="s">
        <v>1717</v>
      </c>
      <c r="I2626" s="10" t="s">
        <v>2348</v>
      </c>
      <c r="J2626" s="13" t="s">
        <v>1799</v>
      </c>
      <c r="K2626" s="13" t="s">
        <v>303</v>
      </c>
      <c r="L2626" s="13" t="s">
        <v>2592</v>
      </c>
      <c r="M2626" s="6" t="s">
        <v>188</v>
      </c>
      <c r="N2626" s="6" t="s">
        <v>188</v>
      </c>
      <c r="O2626" s="6" t="s">
        <v>190</v>
      </c>
      <c r="P2626" s="7"/>
      <c r="Q2626" s="13"/>
      <c r="R2626" s="13"/>
      <c r="S2626" s="13"/>
      <c r="T2626" s="6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</row>
    <row r="2627">
      <c r="A2627" s="12">
        <v>65.0</v>
      </c>
      <c r="B2627" s="7" t="s">
        <v>601</v>
      </c>
      <c r="C2627" s="7" t="s">
        <v>1717</v>
      </c>
      <c r="I2627" s="10" t="s">
        <v>2037</v>
      </c>
      <c r="J2627" s="13" t="s">
        <v>1803</v>
      </c>
      <c r="K2627" s="13" t="s">
        <v>303</v>
      </c>
      <c r="L2627" s="13" t="s">
        <v>2594</v>
      </c>
      <c r="M2627" s="6" t="s">
        <v>188</v>
      </c>
      <c r="N2627" s="6" t="s">
        <v>188</v>
      </c>
      <c r="O2627" s="6" t="s">
        <v>190</v>
      </c>
      <c r="P2627" s="7"/>
      <c r="Q2627" s="13"/>
      <c r="R2627" s="13"/>
      <c r="S2627" s="13"/>
      <c r="T2627" s="6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</row>
    <row r="2628">
      <c r="A2628" s="12">
        <v>65.0</v>
      </c>
      <c r="B2628" s="7" t="s">
        <v>601</v>
      </c>
      <c r="C2628" s="7" t="s">
        <v>1717</v>
      </c>
      <c r="I2628" s="10" t="s">
        <v>1946</v>
      </c>
      <c r="J2628" s="13" t="s">
        <v>1799</v>
      </c>
      <c r="K2628" s="13" t="s">
        <v>303</v>
      </c>
      <c r="L2628" s="13" t="s">
        <v>2592</v>
      </c>
      <c r="M2628" s="6" t="s">
        <v>188</v>
      </c>
      <c r="N2628" s="6" t="s">
        <v>188</v>
      </c>
      <c r="O2628" s="6" t="s">
        <v>190</v>
      </c>
      <c r="P2628" s="7"/>
      <c r="Q2628" s="13"/>
      <c r="R2628" s="13"/>
      <c r="S2628" s="13"/>
      <c r="T2628" s="6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</row>
    <row r="2629">
      <c r="A2629" s="12">
        <v>65.0</v>
      </c>
      <c r="B2629" s="7" t="s">
        <v>601</v>
      </c>
      <c r="C2629" s="7" t="s">
        <v>1717</v>
      </c>
      <c r="I2629" s="10" t="s">
        <v>2177</v>
      </c>
      <c r="J2629" s="13" t="s">
        <v>1803</v>
      </c>
      <c r="K2629" s="13" t="s">
        <v>303</v>
      </c>
      <c r="L2629" s="13" t="s">
        <v>2592</v>
      </c>
      <c r="M2629" s="6" t="s">
        <v>188</v>
      </c>
      <c r="N2629" s="6" t="s">
        <v>188</v>
      </c>
      <c r="O2629" s="6" t="s">
        <v>190</v>
      </c>
      <c r="P2629" s="7"/>
      <c r="Q2629" s="13"/>
      <c r="R2629" s="13"/>
      <c r="S2629" s="13"/>
      <c r="T2629" s="6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</row>
    <row r="2630">
      <c r="A2630" s="12">
        <v>65.0</v>
      </c>
      <c r="B2630" s="7" t="s">
        <v>601</v>
      </c>
      <c r="C2630" s="7" t="s">
        <v>1717</v>
      </c>
      <c r="I2630" s="10" t="s">
        <v>1190</v>
      </c>
      <c r="J2630" s="13" t="s">
        <v>1799</v>
      </c>
      <c r="K2630" s="13" t="s">
        <v>303</v>
      </c>
      <c r="L2630" s="13" t="s">
        <v>2592</v>
      </c>
      <c r="M2630" s="6" t="s">
        <v>188</v>
      </c>
      <c r="N2630" s="6" t="s">
        <v>188</v>
      </c>
      <c r="O2630" s="6" t="s">
        <v>190</v>
      </c>
      <c r="P2630" s="7"/>
      <c r="Q2630" s="13"/>
      <c r="R2630" s="13"/>
      <c r="S2630" s="13"/>
      <c r="T2630" s="6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</row>
    <row r="2631">
      <c r="A2631" s="12">
        <v>65.0</v>
      </c>
      <c r="B2631" s="7" t="s">
        <v>601</v>
      </c>
      <c r="C2631" s="7" t="s">
        <v>1717</v>
      </c>
      <c r="I2631" s="10" t="s">
        <v>1723</v>
      </c>
      <c r="J2631" s="13" t="s">
        <v>1803</v>
      </c>
      <c r="K2631" s="13" t="s">
        <v>303</v>
      </c>
      <c r="L2631" s="13" t="s">
        <v>2593</v>
      </c>
      <c r="M2631" s="6" t="s">
        <v>188</v>
      </c>
      <c r="N2631" s="6" t="s">
        <v>188</v>
      </c>
      <c r="O2631" s="6" t="s">
        <v>190</v>
      </c>
      <c r="P2631" s="7"/>
      <c r="Q2631" s="13"/>
      <c r="R2631" s="13"/>
      <c r="S2631" s="13"/>
      <c r="T2631" s="6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</row>
    <row r="2632">
      <c r="A2632" s="12">
        <v>65.0</v>
      </c>
      <c r="B2632" s="7" t="s">
        <v>601</v>
      </c>
      <c r="C2632" s="7" t="s">
        <v>1717</v>
      </c>
      <c r="I2632" s="10" t="s">
        <v>2079</v>
      </c>
      <c r="J2632" s="13" t="s">
        <v>1799</v>
      </c>
      <c r="K2632" s="13" t="s">
        <v>303</v>
      </c>
      <c r="L2632" s="13" t="s">
        <v>2592</v>
      </c>
      <c r="M2632" s="6" t="s">
        <v>188</v>
      </c>
      <c r="N2632" s="6" t="s">
        <v>188</v>
      </c>
      <c r="O2632" s="6" t="s">
        <v>190</v>
      </c>
      <c r="P2632" s="7"/>
      <c r="Q2632" s="13"/>
      <c r="R2632" s="13"/>
      <c r="S2632" s="13"/>
      <c r="T2632" s="6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</row>
    <row r="2633">
      <c r="A2633" s="12">
        <v>65.0</v>
      </c>
      <c r="B2633" s="7" t="s">
        <v>601</v>
      </c>
      <c r="C2633" s="7" t="s">
        <v>1717</v>
      </c>
      <c r="I2633" s="10" t="s">
        <v>1231</v>
      </c>
      <c r="J2633" s="13" t="s">
        <v>1803</v>
      </c>
      <c r="K2633" s="13" t="s">
        <v>303</v>
      </c>
      <c r="L2633" s="13" t="s">
        <v>2592</v>
      </c>
      <c r="M2633" s="6" t="s">
        <v>188</v>
      </c>
      <c r="N2633" s="6" t="s">
        <v>188</v>
      </c>
      <c r="O2633" s="6" t="s">
        <v>190</v>
      </c>
      <c r="P2633" s="7"/>
      <c r="Q2633" s="13"/>
      <c r="R2633" s="13"/>
      <c r="S2633" s="13"/>
      <c r="T2633" s="6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</row>
    <row r="2634">
      <c r="A2634" s="12">
        <v>65.0</v>
      </c>
      <c r="B2634" s="7" t="s">
        <v>601</v>
      </c>
      <c r="C2634" s="7" t="s">
        <v>1717</v>
      </c>
      <c r="I2634" s="10" t="s">
        <v>669</v>
      </c>
      <c r="J2634" s="13" t="s">
        <v>1799</v>
      </c>
      <c r="K2634" s="13" t="s">
        <v>303</v>
      </c>
      <c r="L2634" s="13" t="s">
        <v>2592</v>
      </c>
      <c r="M2634" s="6" t="s">
        <v>188</v>
      </c>
      <c r="N2634" s="6" t="s">
        <v>188</v>
      </c>
      <c r="O2634" s="6" t="s">
        <v>190</v>
      </c>
      <c r="P2634" s="7"/>
      <c r="Q2634" s="13"/>
      <c r="R2634" s="13"/>
      <c r="S2634" s="13"/>
      <c r="T2634" s="6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</row>
    <row r="2635">
      <c r="A2635" s="12">
        <v>65.0</v>
      </c>
      <c r="B2635" s="7" t="s">
        <v>601</v>
      </c>
      <c r="C2635" s="7" t="s">
        <v>1717</v>
      </c>
      <c r="I2635" s="10" t="s">
        <v>745</v>
      </c>
      <c r="J2635" s="13" t="s">
        <v>1803</v>
      </c>
      <c r="K2635" s="13" t="s">
        <v>303</v>
      </c>
      <c r="L2635" s="13" t="s">
        <v>2592</v>
      </c>
      <c r="M2635" s="6" t="s">
        <v>188</v>
      </c>
      <c r="N2635" s="6" t="s">
        <v>188</v>
      </c>
      <c r="O2635" s="6" t="s">
        <v>190</v>
      </c>
      <c r="P2635" s="7"/>
      <c r="Q2635" s="13"/>
      <c r="R2635" s="13"/>
      <c r="S2635" s="13"/>
      <c r="T2635" s="6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</row>
    <row r="2636">
      <c r="A2636" s="12">
        <v>65.0</v>
      </c>
      <c r="B2636" s="7" t="s">
        <v>601</v>
      </c>
      <c r="C2636" s="7" t="s">
        <v>1717</v>
      </c>
      <c r="I2636" s="10" t="s">
        <v>2182</v>
      </c>
      <c r="J2636" s="13" t="s">
        <v>1799</v>
      </c>
      <c r="K2636" s="13" t="s">
        <v>303</v>
      </c>
      <c r="L2636" s="13" t="s">
        <v>2592</v>
      </c>
      <c r="M2636" s="6" t="s">
        <v>188</v>
      </c>
      <c r="N2636" s="6" t="s">
        <v>188</v>
      </c>
      <c r="O2636" s="6" t="s">
        <v>190</v>
      </c>
      <c r="P2636" s="7"/>
      <c r="Q2636" s="13"/>
      <c r="R2636" s="13"/>
      <c r="S2636" s="13"/>
      <c r="T2636" s="6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</row>
    <row r="2637">
      <c r="A2637" s="12">
        <v>65.0</v>
      </c>
      <c r="B2637" s="7" t="s">
        <v>601</v>
      </c>
      <c r="C2637" s="7" t="s">
        <v>1717</v>
      </c>
      <c r="I2637" s="10" t="s">
        <v>748</v>
      </c>
      <c r="J2637" s="13" t="s">
        <v>1803</v>
      </c>
      <c r="K2637" s="13" t="s">
        <v>303</v>
      </c>
      <c r="L2637" s="13" t="s">
        <v>2592</v>
      </c>
      <c r="M2637" s="6" t="s">
        <v>188</v>
      </c>
      <c r="N2637" s="6" t="s">
        <v>188</v>
      </c>
      <c r="O2637" s="6" t="s">
        <v>190</v>
      </c>
      <c r="P2637" s="7"/>
      <c r="Q2637" s="13"/>
      <c r="R2637" s="13"/>
      <c r="S2637" s="13"/>
      <c r="T2637" s="6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  <c r="AE2637" s="7"/>
    </row>
    <row r="2638">
      <c r="A2638" s="12">
        <v>65.0</v>
      </c>
      <c r="B2638" s="7" t="s">
        <v>601</v>
      </c>
      <c r="C2638" s="7" t="s">
        <v>1717</v>
      </c>
      <c r="I2638" s="10" t="s">
        <v>1364</v>
      </c>
      <c r="J2638" s="13" t="s">
        <v>1799</v>
      </c>
      <c r="K2638" s="13" t="s">
        <v>303</v>
      </c>
      <c r="L2638" s="13" t="s">
        <v>2594</v>
      </c>
      <c r="M2638" s="6" t="s">
        <v>188</v>
      </c>
      <c r="N2638" s="6" t="s">
        <v>188</v>
      </c>
      <c r="O2638" s="6" t="s">
        <v>190</v>
      </c>
      <c r="P2638" s="7"/>
      <c r="Q2638" s="13"/>
      <c r="R2638" s="13"/>
      <c r="S2638" s="13"/>
      <c r="T2638" s="6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</row>
    <row r="2639">
      <c r="A2639" s="12">
        <v>65.0</v>
      </c>
      <c r="B2639" s="7" t="s">
        <v>601</v>
      </c>
      <c r="C2639" s="7" t="s">
        <v>1717</v>
      </c>
      <c r="I2639" s="10" t="s">
        <v>2520</v>
      </c>
      <c r="J2639" s="13" t="s">
        <v>1803</v>
      </c>
      <c r="K2639" s="13" t="s">
        <v>303</v>
      </c>
      <c r="L2639" s="13" t="s">
        <v>2592</v>
      </c>
      <c r="M2639" s="6" t="s">
        <v>188</v>
      </c>
      <c r="N2639" s="6" t="s">
        <v>188</v>
      </c>
      <c r="O2639" s="6" t="s">
        <v>190</v>
      </c>
      <c r="P2639" s="7"/>
      <c r="Q2639" s="13"/>
      <c r="R2639" s="13"/>
      <c r="S2639" s="13"/>
      <c r="T2639" s="6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</row>
    <row r="2640">
      <c r="A2640" s="12">
        <v>65.0</v>
      </c>
      <c r="B2640" s="7" t="s">
        <v>601</v>
      </c>
      <c r="C2640" s="7" t="s">
        <v>1717</v>
      </c>
      <c r="I2640" s="10" t="s">
        <v>1036</v>
      </c>
      <c r="J2640" s="13" t="s">
        <v>1799</v>
      </c>
      <c r="K2640" s="13" t="s">
        <v>303</v>
      </c>
      <c r="L2640" s="13" t="s">
        <v>2592</v>
      </c>
      <c r="M2640" s="6" t="s">
        <v>188</v>
      </c>
      <c r="N2640" s="6" t="s">
        <v>188</v>
      </c>
      <c r="O2640" s="6" t="s">
        <v>190</v>
      </c>
      <c r="P2640" s="7"/>
      <c r="Q2640" s="13"/>
      <c r="R2640" s="13"/>
      <c r="S2640" s="13"/>
      <c r="T2640" s="6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</row>
    <row r="2641">
      <c r="A2641" s="12">
        <v>65.0</v>
      </c>
      <c r="B2641" s="7" t="s">
        <v>601</v>
      </c>
      <c r="C2641" s="7" t="s">
        <v>1717</v>
      </c>
      <c r="I2641" s="10" t="s">
        <v>1878</v>
      </c>
      <c r="J2641" s="13" t="s">
        <v>1803</v>
      </c>
      <c r="K2641" s="13" t="s">
        <v>303</v>
      </c>
      <c r="L2641" s="13" t="s">
        <v>2592</v>
      </c>
      <c r="M2641" s="6" t="s">
        <v>188</v>
      </c>
      <c r="N2641" s="6" t="s">
        <v>188</v>
      </c>
      <c r="O2641" s="6" t="s">
        <v>190</v>
      </c>
      <c r="P2641" s="7"/>
      <c r="Q2641" s="13"/>
      <c r="R2641" s="13"/>
      <c r="S2641" s="13"/>
      <c r="T2641" s="6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</row>
    <row r="2642">
      <c r="A2642" s="12">
        <v>66.0</v>
      </c>
      <c r="B2642" s="7" t="s">
        <v>602</v>
      </c>
      <c r="C2642" s="7" t="s">
        <v>1812</v>
      </c>
      <c r="D2642" s="26">
        <f>IF(COUNTIF($B$2:$B2642,$B2642)&gt;1,"",COUNTIF($B$2:$B$3400,$B2642))</f>
        <v>150</v>
      </c>
      <c r="E2642" s="26">
        <f>IF(COUNTIF($B$2:$B2642,$B2642)&gt;1,"",COUNTIFS($B$2:$B$3400,$B2642,$K$2:$K$3400,"PHÙ HỢP CAO"))</f>
        <v>3</v>
      </c>
      <c r="F2642" s="26">
        <f>IF(COUNTIF($B$2:$B2642,$B2642)&gt;1,"",COUNTIFS($B$2:$B$3400,$B2642,$K$2:$K$3400,"CÓ THỂ ĐI"))</f>
        <v>2</v>
      </c>
      <c r="G2642" s="26">
        <f>IF(COUNTIF($B$2:$B2642,$B2642)&gt;1,"",COUNTIFS($B$2:$B$3400,$B2642,$K$2:$K$3400,"CẦN SOÁT"))</f>
        <v>145</v>
      </c>
      <c r="H2642" s="27" t="str">
        <f>IFERROR(__xludf.DUMMYFUNCTION("IF(COUNTIF($B$2:$B2642,$B2642)&gt;1,"""",IFERROR(TEXTJOIN(CHAR(10),TRUE,BYROW(QUERY({$B$2:$B$3400,$J$2:$J$3400},""select Col2, count(Col2) where Col1 = '""&amp;$B2642&amp;""' group by Col2 order by count(Col2) desc label count(Col2) ''"",0),LAMBDA(r,INDEX(r,1,1)&amp;"" "&amp;"– ""&amp;INDEX(r,1,2)&amp;"" link""))),""""))"),"bảng tính lãi suất vay ngân hàng – 50 link
tính lãi suất vay ngân hàng – 50 link
tính lãi vay ngân hàng – 50 link")</f>
        <v>bảng tính lãi suất vay ngân hàng – 50 link
tính lãi suất vay ngân hàng – 50 link
tính lãi vay ngân hàng – 50 link</v>
      </c>
      <c r="I2642" s="10" t="s">
        <v>460</v>
      </c>
      <c r="J2642" s="13" t="s">
        <v>813</v>
      </c>
      <c r="K2642" s="13" t="s">
        <v>184</v>
      </c>
      <c r="L2642" s="13" t="s">
        <v>2595</v>
      </c>
      <c r="M2642" s="6" t="s">
        <v>188</v>
      </c>
      <c r="N2642" s="6" t="s">
        <v>188</v>
      </c>
      <c r="O2642" s="6" t="s">
        <v>190</v>
      </c>
      <c r="P2642" s="7"/>
      <c r="Q2642" s="13"/>
      <c r="R2642" s="13"/>
      <c r="S2642" s="13"/>
      <c r="T2642" s="6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</row>
    <row r="2643">
      <c r="A2643" s="12">
        <v>66.0</v>
      </c>
      <c r="B2643" s="7" t="s">
        <v>602</v>
      </c>
      <c r="C2643" s="7" t="s">
        <v>1812</v>
      </c>
      <c r="I2643" s="10" t="s">
        <v>505</v>
      </c>
      <c r="J2643" s="13" t="s">
        <v>814</v>
      </c>
      <c r="K2643" s="13" t="s">
        <v>184</v>
      </c>
      <c r="L2643" s="13" t="s">
        <v>2596</v>
      </c>
      <c r="M2643" s="6" t="s">
        <v>188</v>
      </c>
      <c r="N2643" s="6" t="s">
        <v>188</v>
      </c>
      <c r="O2643" s="6" t="s">
        <v>190</v>
      </c>
      <c r="P2643" s="7"/>
      <c r="Q2643" s="13"/>
      <c r="R2643" s="13"/>
      <c r="S2643" s="13"/>
      <c r="T2643" s="6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  <c r="AE2643" s="7"/>
    </row>
    <row r="2644">
      <c r="A2644" s="12">
        <v>66.0</v>
      </c>
      <c r="B2644" s="7" t="s">
        <v>602</v>
      </c>
      <c r="C2644" s="7" t="s">
        <v>1812</v>
      </c>
      <c r="I2644" s="10" t="s">
        <v>445</v>
      </c>
      <c r="J2644" s="13" t="s">
        <v>815</v>
      </c>
      <c r="K2644" s="13" t="s">
        <v>184</v>
      </c>
      <c r="L2644" s="13" t="s">
        <v>2597</v>
      </c>
      <c r="M2644" s="6" t="s">
        <v>188</v>
      </c>
      <c r="N2644" s="6" t="s">
        <v>188</v>
      </c>
      <c r="O2644" s="6" t="s">
        <v>190</v>
      </c>
      <c r="P2644" s="7"/>
      <c r="Q2644" s="13"/>
      <c r="R2644" s="13"/>
      <c r="S2644" s="13"/>
      <c r="T2644" s="6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</row>
    <row r="2645">
      <c r="A2645" s="12">
        <v>66.0</v>
      </c>
      <c r="B2645" s="7" t="s">
        <v>602</v>
      </c>
      <c r="C2645" s="7" t="s">
        <v>1812</v>
      </c>
      <c r="I2645" s="10" t="s">
        <v>519</v>
      </c>
      <c r="J2645" s="13" t="s">
        <v>813</v>
      </c>
      <c r="K2645" s="13" t="s">
        <v>283</v>
      </c>
      <c r="L2645" s="13" t="s">
        <v>2598</v>
      </c>
      <c r="M2645" s="6" t="s">
        <v>188</v>
      </c>
      <c r="N2645" s="6" t="s">
        <v>188</v>
      </c>
      <c r="O2645" s="6" t="s">
        <v>190</v>
      </c>
      <c r="P2645" s="7"/>
      <c r="Q2645" s="13"/>
      <c r="R2645" s="13"/>
      <c r="S2645" s="13"/>
      <c r="T2645" s="6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  <c r="AE2645" s="7"/>
    </row>
    <row r="2646">
      <c r="A2646" s="12">
        <v>66.0</v>
      </c>
      <c r="B2646" s="7" t="s">
        <v>602</v>
      </c>
      <c r="C2646" s="7" t="s">
        <v>1812</v>
      </c>
      <c r="I2646" s="10" t="s">
        <v>1825</v>
      </c>
      <c r="J2646" s="13" t="s">
        <v>814</v>
      </c>
      <c r="K2646" s="13" t="s">
        <v>283</v>
      </c>
      <c r="L2646" s="13" t="s">
        <v>2599</v>
      </c>
      <c r="M2646" s="6" t="s">
        <v>188</v>
      </c>
      <c r="N2646" s="6" t="s">
        <v>188</v>
      </c>
      <c r="O2646" s="6" t="s">
        <v>190</v>
      </c>
      <c r="P2646" s="7"/>
      <c r="Q2646" s="13"/>
      <c r="R2646" s="13"/>
      <c r="S2646" s="13"/>
      <c r="T2646" s="6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</row>
    <row r="2647">
      <c r="A2647" s="12">
        <v>66.0</v>
      </c>
      <c r="B2647" s="7" t="s">
        <v>602</v>
      </c>
      <c r="C2647" s="7" t="s">
        <v>1812</v>
      </c>
      <c r="I2647" s="10" t="s">
        <v>699</v>
      </c>
      <c r="J2647" s="13" t="s">
        <v>815</v>
      </c>
      <c r="K2647" s="13" t="s">
        <v>303</v>
      </c>
      <c r="L2647" s="13" t="s">
        <v>2434</v>
      </c>
      <c r="M2647" s="6" t="s">
        <v>188</v>
      </c>
      <c r="N2647" s="6" t="s">
        <v>188</v>
      </c>
      <c r="O2647" s="6" t="s">
        <v>190</v>
      </c>
      <c r="P2647" s="7"/>
      <c r="Q2647" s="13"/>
      <c r="R2647" s="13"/>
      <c r="S2647" s="13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</row>
    <row r="2648">
      <c r="A2648" s="12">
        <v>66.0</v>
      </c>
      <c r="B2648" s="7" t="s">
        <v>602</v>
      </c>
      <c r="C2648" s="7" t="s">
        <v>1812</v>
      </c>
      <c r="I2648" s="10" t="s">
        <v>387</v>
      </c>
      <c r="J2648" s="13" t="s">
        <v>813</v>
      </c>
      <c r="K2648" s="13" t="s">
        <v>303</v>
      </c>
      <c r="L2648" s="13" t="s">
        <v>2435</v>
      </c>
      <c r="M2648" s="6" t="s">
        <v>188</v>
      </c>
      <c r="N2648" s="6" t="s">
        <v>188</v>
      </c>
      <c r="O2648" s="6" t="s">
        <v>190</v>
      </c>
      <c r="P2648" s="7"/>
      <c r="Q2648" s="13"/>
      <c r="R2648" s="13"/>
      <c r="S2648" s="13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</row>
    <row r="2649">
      <c r="A2649" s="12">
        <v>66.0</v>
      </c>
      <c r="B2649" s="7" t="s">
        <v>602</v>
      </c>
      <c r="C2649" s="7" t="s">
        <v>1812</v>
      </c>
      <c r="I2649" s="10" t="s">
        <v>732</v>
      </c>
      <c r="J2649" s="13" t="s">
        <v>814</v>
      </c>
      <c r="K2649" s="13" t="s">
        <v>303</v>
      </c>
      <c r="L2649" s="13" t="s">
        <v>2436</v>
      </c>
      <c r="M2649" s="6" t="s">
        <v>188</v>
      </c>
      <c r="N2649" s="6" t="s">
        <v>188</v>
      </c>
      <c r="O2649" s="6" t="s">
        <v>190</v>
      </c>
      <c r="P2649" s="7"/>
      <c r="Q2649" s="13"/>
      <c r="R2649" s="13"/>
      <c r="S2649" s="13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</row>
    <row r="2650">
      <c r="A2650" s="12">
        <v>66.0</v>
      </c>
      <c r="B2650" s="7" t="s">
        <v>602</v>
      </c>
      <c r="C2650" s="7" t="s">
        <v>1812</v>
      </c>
      <c r="I2650" s="10" t="s">
        <v>197</v>
      </c>
      <c r="J2650" s="13" t="s">
        <v>815</v>
      </c>
      <c r="K2650" s="13" t="s">
        <v>303</v>
      </c>
      <c r="L2650" s="13" t="s">
        <v>2347</v>
      </c>
      <c r="M2650" s="6" t="s">
        <v>188</v>
      </c>
      <c r="N2650" s="6" t="s">
        <v>188</v>
      </c>
      <c r="O2650" s="6" t="s">
        <v>190</v>
      </c>
      <c r="P2650" s="7"/>
      <c r="Q2650" s="13"/>
      <c r="R2650" s="13"/>
      <c r="S2650" s="13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</row>
    <row r="2651">
      <c r="A2651" s="12">
        <v>66.0</v>
      </c>
      <c r="B2651" s="7" t="s">
        <v>602</v>
      </c>
      <c r="C2651" s="7" t="s">
        <v>1812</v>
      </c>
      <c r="I2651" s="10" t="s">
        <v>2030</v>
      </c>
      <c r="J2651" s="13" t="s">
        <v>813</v>
      </c>
      <c r="K2651" s="13" t="s">
        <v>303</v>
      </c>
      <c r="L2651" s="13" t="s">
        <v>2435</v>
      </c>
      <c r="M2651" s="6" t="s">
        <v>188</v>
      </c>
      <c r="N2651" s="6" t="s">
        <v>188</v>
      </c>
      <c r="O2651" s="6" t="s">
        <v>190</v>
      </c>
      <c r="P2651" s="7"/>
      <c r="Q2651" s="13"/>
      <c r="R2651" s="13"/>
      <c r="S2651" s="13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</row>
    <row r="2652">
      <c r="A2652" s="12">
        <v>66.0</v>
      </c>
      <c r="B2652" s="7" t="s">
        <v>602</v>
      </c>
      <c r="C2652" s="7" t="s">
        <v>1812</v>
      </c>
      <c r="I2652" s="10" t="s">
        <v>627</v>
      </c>
      <c r="J2652" s="13" t="s">
        <v>814</v>
      </c>
      <c r="K2652" s="13" t="s">
        <v>303</v>
      </c>
      <c r="L2652" s="13" t="s">
        <v>2435</v>
      </c>
      <c r="M2652" s="6" t="s">
        <v>188</v>
      </c>
      <c r="N2652" s="6" t="s">
        <v>188</v>
      </c>
      <c r="O2652" s="6" t="s">
        <v>190</v>
      </c>
      <c r="P2652" s="7"/>
      <c r="Q2652" s="13"/>
      <c r="R2652" s="13"/>
      <c r="S2652" s="13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</row>
    <row r="2653">
      <c r="A2653" s="12">
        <v>66.0</v>
      </c>
      <c r="B2653" s="7" t="s">
        <v>602</v>
      </c>
      <c r="C2653" s="7" t="s">
        <v>1812</v>
      </c>
      <c r="I2653" s="10" t="s">
        <v>2019</v>
      </c>
      <c r="J2653" s="13" t="s">
        <v>815</v>
      </c>
      <c r="K2653" s="13" t="s">
        <v>303</v>
      </c>
      <c r="L2653" s="13" t="s">
        <v>2347</v>
      </c>
      <c r="M2653" s="6" t="s">
        <v>188</v>
      </c>
      <c r="N2653" s="6" t="s">
        <v>188</v>
      </c>
      <c r="O2653" s="6" t="s">
        <v>190</v>
      </c>
      <c r="P2653" s="7"/>
      <c r="Q2653" s="13"/>
      <c r="R2653" s="13"/>
      <c r="S2653" s="13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</row>
    <row r="2654">
      <c r="A2654" s="12">
        <v>66.0</v>
      </c>
      <c r="B2654" s="7" t="s">
        <v>602</v>
      </c>
      <c r="C2654" s="7" t="s">
        <v>1812</v>
      </c>
      <c r="I2654" s="10" t="s">
        <v>1493</v>
      </c>
      <c r="J2654" s="13" t="s">
        <v>813</v>
      </c>
      <c r="K2654" s="13" t="s">
        <v>303</v>
      </c>
      <c r="L2654" s="13" t="s">
        <v>2347</v>
      </c>
      <c r="M2654" s="6" t="s">
        <v>188</v>
      </c>
      <c r="N2654" s="6" t="s">
        <v>188</v>
      </c>
      <c r="O2654" s="6" t="s">
        <v>190</v>
      </c>
      <c r="P2654" s="7"/>
      <c r="Q2654" s="13"/>
      <c r="R2654" s="13"/>
      <c r="S2654" s="13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</row>
    <row r="2655">
      <c r="A2655" s="12">
        <v>66.0</v>
      </c>
      <c r="B2655" s="7" t="s">
        <v>602</v>
      </c>
      <c r="C2655" s="7" t="s">
        <v>1812</v>
      </c>
      <c r="I2655" s="10" t="s">
        <v>2079</v>
      </c>
      <c r="J2655" s="13" t="s">
        <v>814</v>
      </c>
      <c r="K2655" s="13" t="s">
        <v>303</v>
      </c>
      <c r="L2655" s="13" t="s">
        <v>2435</v>
      </c>
      <c r="M2655" s="6" t="s">
        <v>188</v>
      </c>
      <c r="N2655" s="6" t="s">
        <v>188</v>
      </c>
      <c r="O2655" s="6" t="s">
        <v>190</v>
      </c>
      <c r="P2655" s="7"/>
      <c r="Q2655" s="13"/>
      <c r="R2655" s="13"/>
      <c r="S2655" s="13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</row>
    <row r="2656">
      <c r="A2656" s="12">
        <v>66.0</v>
      </c>
      <c r="B2656" s="7" t="s">
        <v>602</v>
      </c>
      <c r="C2656" s="7" t="s">
        <v>1812</v>
      </c>
      <c r="I2656" s="10" t="s">
        <v>395</v>
      </c>
      <c r="J2656" s="13" t="s">
        <v>815</v>
      </c>
      <c r="K2656" s="13" t="s">
        <v>303</v>
      </c>
      <c r="L2656" s="13" t="s">
        <v>2434</v>
      </c>
      <c r="M2656" s="6" t="s">
        <v>188</v>
      </c>
      <c r="N2656" s="6" t="s">
        <v>188</v>
      </c>
      <c r="O2656" s="6" t="s">
        <v>190</v>
      </c>
      <c r="P2656" s="7"/>
      <c r="Q2656" s="13"/>
      <c r="R2656" s="13"/>
      <c r="S2656" s="13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</row>
    <row r="2657">
      <c r="A2657" s="12">
        <v>66.0</v>
      </c>
      <c r="B2657" s="7" t="s">
        <v>602</v>
      </c>
      <c r="C2657" s="7" t="s">
        <v>1812</v>
      </c>
      <c r="I2657" s="10" t="s">
        <v>525</v>
      </c>
      <c r="J2657" s="13" t="s">
        <v>813</v>
      </c>
      <c r="K2657" s="13" t="s">
        <v>303</v>
      </c>
      <c r="L2657" s="13" t="s">
        <v>2434</v>
      </c>
      <c r="M2657" s="6" t="s">
        <v>188</v>
      </c>
      <c r="N2657" s="6" t="s">
        <v>188</v>
      </c>
      <c r="O2657" s="6" t="s">
        <v>190</v>
      </c>
      <c r="P2657" s="7"/>
      <c r="Q2657" s="13"/>
      <c r="R2657" s="13"/>
      <c r="S2657" s="13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</row>
    <row r="2658">
      <c r="A2658" s="12">
        <v>66.0</v>
      </c>
      <c r="B2658" s="7" t="s">
        <v>602</v>
      </c>
      <c r="C2658" s="7" t="s">
        <v>1812</v>
      </c>
      <c r="I2658" s="10" t="s">
        <v>1709</v>
      </c>
      <c r="J2658" s="13" t="s">
        <v>814</v>
      </c>
      <c r="K2658" s="13" t="s">
        <v>303</v>
      </c>
      <c r="L2658" s="13" t="s">
        <v>2435</v>
      </c>
      <c r="M2658" s="6" t="s">
        <v>188</v>
      </c>
      <c r="N2658" s="6" t="s">
        <v>188</v>
      </c>
      <c r="O2658" s="6" t="s">
        <v>190</v>
      </c>
      <c r="P2658" s="7"/>
      <c r="Q2658" s="13"/>
      <c r="R2658" s="13"/>
      <c r="S2658" s="13"/>
      <c r="T2658" s="6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</row>
    <row r="2659">
      <c r="A2659" s="12">
        <v>66.0</v>
      </c>
      <c r="B2659" s="7" t="s">
        <v>602</v>
      </c>
      <c r="C2659" s="7" t="s">
        <v>1812</v>
      </c>
      <c r="I2659" s="10" t="s">
        <v>1748</v>
      </c>
      <c r="J2659" s="13" t="s">
        <v>815</v>
      </c>
      <c r="K2659" s="13" t="s">
        <v>303</v>
      </c>
      <c r="L2659" s="13" t="s">
        <v>2435</v>
      </c>
      <c r="M2659" s="6" t="s">
        <v>188</v>
      </c>
      <c r="N2659" s="6" t="s">
        <v>188</v>
      </c>
      <c r="O2659" s="6" t="s">
        <v>190</v>
      </c>
      <c r="P2659" s="7"/>
      <c r="Q2659" s="13"/>
      <c r="R2659" s="13"/>
      <c r="S2659" s="13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</row>
    <row r="2660">
      <c r="A2660" s="12">
        <v>66.0</v>
      </c>
      <c r="B2660" s="7" t="s">
        <v>602</v>
      </c>
      <c r="C2660" s="7" t="s">
        <v>1812</v>
      </c>
      <c r="I2660" s="10" t="s">
        <v>167</v>
      </c>
      <c r="J2660" s="13" t="s">
        <v>813</v>
      </c>
      <c r="K2660" s="13" t="s">
        <v>303</v>
      </c>
      <c r="L2660" s="13" t="s">
        <v>2347</v>
      </c>
      <c r="M2660" s="6" t="s">
        <v>188</v>
      </c>
      <c r="N2660" s="6" t="s">
        <v>188</v>
      </c>
      <c r="O2660" s="6" t="s">
        <v>190</v>
      </c>
      <c r="P2660" s="7"/>
      <c r="Q2660" s="13"/>
      <c r="R2660" s="13"/>
      <c r="S2660" s="13"/>
      <c r="T2660" s="6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</row>
    <row r="2661">
      <c r="A2661" s="12">
        <v>66.0</v>
      </c>
      <c r="B2661" s="7" t="s">
        <v>602</v>
      </c>
      <c r="C2661" s="7" t="s">
        <v>1812</v>
      </c>
      <c r="I2661" s="10" t="s">
        <v>529</v>
      </c>
      <c r="J2661" s="13" t="s">
        <v>814</v>
      </c>
      <c r="K2661" s="13" t="s">
        <v>303</v>
      </c>
      <c r="L2661" s="13" t="s">
        <v>2434</v>
      </c>
      <c r="M2661" s="6" t="s">
        <v>188</v>
      </c>
      <c r="N2661" s="6" t="s">
        <v>188</v>
      </c>
      <c r="O2661" s="6" t="s">
        <v>190</v>
      </c>
      <c r="P2661" s="7"/>
      <c r="Q2661" s="13"/>
      <c r="R2661" s="13"/>
      <c r="S2661" s="13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</row>
    <row r="2662">
      <c r="A2662" s="12">
        <v>66.0</v>
      </c>
      <c r="B2662" s="7" t="s">
        <v>602</v>
      </c>
      <c r="C2662" s="7" t="s">
        <v>1812</v>
      </c>
      <c r="I2662" s="10" t="s">
        <v>2074</v>
      </c>
      <c r="J2662" s="13" t="s">
        <v>815</v>
      </c>
      <c r="K2662" s="13" t="s">
        <v>303</v>
      </c>
      <c r="L2662" s="13" t="s">
        <v>2347</v>
      </c>
      <c r="M2662" s="6" t="s">
        <v>188</v>
      </c>
      <c r="N2662" s="6" t="s">
        <v>188</v>
      </c>
      <c r="O2662" s="6" t="s">
        <v>190</v>
      </c>
      <c r="P2662" s="7"/>
      <c r="Q2662" s="13"/>
      <c r="R2662" s="13"/>
      <c r="S2662" s="13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</row>
    <row r="2663">
      <c r="A2663" s="12">
        <v>66.0</v>
      </c>
      <c r="B2663" s="7" t="s">
        <v>602</v>
      </c>
      <c r="C2663" s="7" t="s">
        <v>1812</v>
      </c>
      <c r="I2663" s="10" t="s">
        <v>1704</v>
      </c>
      <c r="J2663" s="13" t="s">
        <v>813</v>
      </c>
      <c r="K2663" s="13" t="s">
        <v>303</v>
      </c>
      <c r="L2663" s="13" t="s">
        <v>2435</v>
      </c>
      <c r="M2663" s="6" t="s">
        <v>188</v>
      </c>
      <c r="N2663" s="6" t="s">
        <v>188</v>
      </c>
      <c r="O2663" s="6" t="s">
        <v>190</v>
      </c>
      <c r="P2663" s="7"/>
      <c r="Q2663" s="13"/>
      <c r="R2663" s="13"/>
      <c r="S2663" s="13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</row>
    <row r="2664">
      <c r="A2664" s="12">
        <v>66.0</v>
      </c>
      <c r="B2664" s="7" t="s">
        <v>602</v>
      </c>
      <c r="C2664" s="7" t="s">
        <v>1812</v>
      </c>
      <c r="I2664" s="10" t="s">
        <v>2071</v>
      </c>
      <c r="J2664" s="13" t="s">
        <v>814</v>
      </c>
      <c r="K2664" s="13" t="s">
        <v>303</v>
      </c>
      <c r="L2664" s="13" t="s">
        <v>2347</v>
      </c>
      <c r="M2664" s="6" t="s">
        <v>188</v>
      </c>
      <c r="N2664" s="6" t="s">
        <v>188</v>
      </c>
      <c r="O2664" s="6" t="s">
        <v>190</v>
      </c>
      <c r="P2664" s="7"/>
      <c r="Q2664" s="13"/>
      <c r="R2664" s="13"/>
      <c r="S2664" s="13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</row>
    <row r="2665">
      <c r="A2665" s="12">
        <v>66.0</v>
      </c>
      <c r="B2665" s="7" t="s">
        <v>602</v>
      </c>
      <c r="C2665" s="7" t="s">
        <v>1812</v>
      </c>
      <c r="I2665" s="10" t="s">
        <v>225</v>
      </c>
      <c r="J2665" s="13" t="s">
        <v>815</v>
      </c>
      <c r="K2665" s="13" t="s">
        <v>303</v>
      </c>
      <c r="L2665" s="13" t="s">
        <v>2347</v>
      </c>
      <c r="M2665" s="6" t="s">
        <v>188</v>
      </c>
      <c r="N2665" s="6" t="s">
        <v>188</v>
      </c>
      <c r="O2665" s="6" t="s">
        <v>190</v>
      </c>
      <c r="P2665" s="7"/>
      <c r="Q2665" s="13"/>
      <c r="R2665" s="13"/>
      <c r="S2665" s="13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  <c r="AE2665" s="7"/>
    </row>
    <row r="2666">
      <c r="A2666" s="12">
        <v>66.0</v>
      </c>
      <c r="B2666" s="7" t="s">
        <v>602</v>
      </c>
      <c r="C2666" s="7" t="s">
        <v>1812</v>
      </c>
      <c r="I2666" s="10" t="s">
        <v>1846</v>
      </c>
      <c r="J2666" s="13" t="s">
        <v>813</v>
      </c>
      <c r="K2666" s="13" t="s">
        <v>303</v>
      </c>
      <c r="L2666" s="13" t="s">
        <v>2435</v>
      </c>
      <c r="M2666" s="6" t="s">
        <v>188</v>
      </c>
      <c r="N2666" s="6" t="s">
        <v>188</v>
      </c>
      <c r="O2666" s="6" t="s">
        <v>190</v>
      </c>
      <c r="P2666" s="7"/>
      <c r="Q2666" s="13"/>
      <c r="R2666" s="13"/>
      <c r="S2666" s="13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</row>
    <row r="2667">
      <c r="A2667" s="12">
        <v>66.0</v>
      </c>
      <c r="B2667" s="7" t="s">
        <v>602</v>
      </c>
      <c r="C2667" s="7" t="s">
        <v>1812</v>
      </c>
      <c r="I2667" s="10" t="s">
        <v>2015</v>
      </c>
      <c r="J2667" s="13" t="s">
        <v>814</v>
      </c>
      <c r="K2667" s="13" t="s">
        <v>303</v>
      </c>
      <c r="L2667" s="13" t="s">
        <v>2347</v>
      </c>
      <c r="M2667" s="6" t="s">
        <v>188</v>
      </c>
      <c r="N2667" s="6" t="s">
        <v>188</v>
      </c>
      <c r="O2667" s="6" t="s">
        <v>190</v>
      </c>
      <c r="P2667" s="7"/>
      <c r="Q2667" s="13"/>
      <c r="R2667" s="13"/>
      <c r="S2667" s="13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</row>
    <row r="2668">
      <c r="A2668" s="12">
        <v>66.0</v>
      </c>
      <c r="B2668" s="7" t="s">
        <v>602</v>
      </c>
      <c r="C2668" s="7" t="s">
        <v>1812</v>
      </c>
      <c r="I2668" s="10" t="s">
        <v>2438</v>
      </c>
      <c r="J2668" s="13" t="s">
        <v>815</v>
      </c>
      <c r="K2668" s="13" t="s">
        <v>303</v>
      </c>
      <c r="L2668" s="13" t="s">
        <v>2347</v>
      </c>
      <c r="M2668" s="6" t="s">
        <v>188</v>
      </c>
      <c r="N2668" s="6" t="s">
        <v>188</v>
      </c>
      <c r="O2668" s="6" t="s">
        <v>190</v>
      </c>
      <c r="P2668" s="7"/>
      <c r="Q2668" s="13"/>
      <c r="R2668" s="13"/>
      <c r="S2668" s="13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</row>
    <row r="2669">
      <c r="A2669" s="12">
        <v>66.0</v>
      </c>
      <c r="B2669" s="7" t="s">
        <v>602</v>
      </c>
      <c r="C2669" s="7" t="s">
        <v>1812</v>
      </c>
      <c r="I2669" s="10" t="s">
        <v>1868</v>
      </c>
      <c r="J2669" s="13" t="s">
        <v>813</v>
      </c>
      <c r="K2669" s="13" t="s">
        <v>303</v>
      </c>
      <c r="L2669" s="13" t="s">
        <v>2347</v>
      </c>
      <c r="M2669" s="6" t="s">
        <v>188</v>
      </c>
      <c r="N2669" s="6" t="s">
        <v>188</v>
      </c>
      <c r="O2669" s="6" t="s">
        <v>190</v>
      </c>
      <c r="P2669" s="7"/>
      <c r="Q2669" s="13"/>
      <c r="R2669" s="13"/>
      <c r="S2669" s="13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</row>
    <row r="2670">
      <c r="A2670" s="12">
        <v>66.0</v>
      </c>
      <c r="B2670" s="7" t="s">
        <v>602</v>
      </c>
      <c r="C2670" s="7" t="s">
        <v>1812</v>
      </c>
      <c r="I2670" s="10" t="s">
        <v>2013</v>
      </c>
      <c r="J2670" s="13" t="s">
        <v>814</v>
      </c>
      <c r="K2670" s="13" t="s">
        <v>303</v>
      </c>
      <c r="L2670" s="13" t="s">
        <v>2347</v>
      </c>
      <c r="M2670" s="6" t="s">
        <v>188</v>
      </c>
      <c r="N2670" s="6" t="s">
        <v>188</v>
      </c>
      <c r="O2670" s="6" t="s">
        <v>190</v>
      </c>
      <c r="P2670" s="7"/>
      <c r="Q2670" s="13"/>
      <c r="R2670" s="13"/>
      <c r="S2670" s="13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</row>
    <row r="2671">
      <c r="A2671" s="12">
        <v>66.0</v>
      </c>
      <c r="B2671" s="7" t="s">
        <v>602</v>
      </c>
      <c r="C2671" s="7" t="s">
        <v>1812</v>
      </c>
      <c r="I2671" s="10" t="s">
        <v>404</v>
      </c>
      <c r="J2671" s="13" t="s">
        <v>815</v>
      </c>
      <c r="K2671" s="13" t="s">
        <v>303</v>
      </c>
      <c r="L2671" s="13" t="s">
        <v>2434</v>
      </c>
      <c r="M2671" s="6" t="s">
        <v>188</v>
      </c>
      <c r="N2671" s="6" t="s">
        <v>188</v>
      </c>
      <c r="O2671" s="6" t="s">
        <v>190</v>
      </c>
      <c r="P2671" s="7"/>
      <c r="Q2671" s="13"/>
      <c r="R2671" s="13"/>
      <c r="S2671" s="13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  <c r="AE2671" s="7"/>
    </row>
    <row r="2672">
      <c r="A2672" s="12">
        <v>66.0</v>
      </c>
      <c r="B2672" s="7" t="s">
        <v>602</v>
      </c>
      <c r="C2672" s="7" t="s">
        <v>1812</v>
      </c>
      <c r="I2672" s="10" t="s">
        <v>247</v>
      </c>
      <c r="J2672" s="13" t="s">
        <v>813</v>
      </c>
      <c r="K2672" s="13" t="s">
        <v>303</v>
      </c>
      <c r="L2672" s="13" t="s">
        <v>2347</v>
      </c>
      <c r="M2672" s="6" t="s">
        <v>188</v>
      </c>
      <c r="N2672" s="6" t="s">
        <v>188</v>
      </c>
      <c r="O2672" s="6" t="s">
        <v>190</v>
      </c>
      <c r="P2672" s="7"/>
      <c r="Q2672" s="13"/>
      <c r="R2672" s="13"/>
      <c r="S2672" s="13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</row>
    <row r="2673">
      <c r="A2673" s="12">
        <v>66.0</v>
      </c>
      <c r="B2673" s="7" t="s">
        <v>602</v>
      </c>
      <c r="C2673" s="7" t="s">
        <v>1812</v>
      </c>
      <c r="I2673" s="10" t="s">
        <v>2067</v>
      </c>
      <c r="J2673" s="13" t="s">
        <v>814</v>
      </c>
      <c r="K2673" s="13" t="s">
        <v>303</v>
      </c>
      <c r="L2673" s="13" t="s">
        <v>2347</v>
      </c>
      <c r="M2673" s="6" t="s">
        <v>188</v>
      </c>
      <c r="N2673" s="6" t="s">
        <v>188</v>
      </c>
      <c r="O2673" s="6" t="s">
        <v>190</v>
      </c>
      <c r="P2673" s="7"/>
      <c r="Q2673" s="13"/>
      <c r="R2673" s="13"/>
      <c r="S2673" s="13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</row>
    <row r="2674">
      <c r="A2674" s="12">
        <v>66.0</v>
      </c>
      <c r="B2674" s="7" t="s">
        <v>602</v>
      </c>
      <c r="C2674" s="7" t="s">
        <v>1812</v>
      </c>
      <c r="I2674" s="10" t="s">
        <v>1356</v>
      </c>
      <c r="J2674" s="13" t="s">
        <v>815</v>
      </c>
      <c r="K2674" s="13" t="s">
        <v>303</v>
      </c>
      <c r="L2674" s="13" t="s">
        <v>2439</v>
      </c>
      <c r="M2674" s="6" t="s">
        <v>188</v>
      </c>
      <c r="N2674" s="6" t="s">
        <v>188</v>
      </c>
      <c r="O2674" s="6" t="s">
        <v>190</v>
      </c>
      <c r="P2674" s="7"/>
      <c r="Q2674" s="13"/>
      <c r="R2674" s="13"/>
      <c r="S2674" s="13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</row>
    <row r="2675">
      <c r="A2675" s="12">
        <v>66.0</v>
      </c>
      <c r="B2675" s="7" t="s">
        <v>602</v>
      </c>
      <c r="C2675" s="7" t="s">
        <v>1812</v>
      </c>
      <c r="I2675" s="10" t="s">
        <v>2014</v>
      </c>
      <c r="J2675" s="13" t="s">
        <v>813</v>
      </c>
      <c r="K2675" s="13" t="s">
        <v>303</v>
      </c>
      <c r="L2675" s="13" t="s">
        <v>2347</v>
      </c>
      <c r="M2675" s="6" t="s">
        <v>188</v>
      </c>
      <c r="N2675" s="6" t="s">
        <v>188</v>
      </c>
      <c r="O2675" s="6" t="s">
        <v>190</v>
      </c>
      <c r="P2675" s="7"/>
      <c r="Q2675" s="13"/>
      <c r="R2675" s="13"/>
      <c r="S2675" s="13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</row>
    <row r="2676">
      <c r="A2676" s="12">
        <v>66.0</v>
      </c>
      <c r="B2676" s="7" t="s">
        <v>602</v>
      </c>
      <c r="C2676" s="7" t="s">
        <v>1812</v>
      </c>
      <c r="I2676" s="10" t="s">
        <v>466</v>
      </c>
      <c r="J2676" s="13" t="s">
        <v>814</v>
      </c>
      <c r="K2676" s="13" t="s">
        <v>303</v>
      </c>
      <c r="L2676" s="13" t="s">
        <v>2347</v>
      </c>
      <c r="M2676" s="6" t="s">
        <v>188</v>
      </c>
      <c r="N2676" s="6" t="s">
        <v>188</v>
      </c>
      <c r="O2676" s="6" t="s">
        <v>190</v>
      </c>
      <c r="P2676" s="7"/>
      <c r="Q2676" s="13"/>
      <c r="R2676" s="13"/>
      <c r="S2676" s="13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</row>
    <row r="2677">
      <c r="A2677" s="12">
        <v>66.0</v>
      </c>
      <c r="B2677" s="7" t="s">
        <v>602</v>
      </c>
      <c r="C2677" s="7" t="s">
        <v>1812</v>
      </c>
      <c r="I2677" s="10" t="s">
        <v>2068</v>
      </c>
      <c r="J2677" s="13" t="s">
        <v>815</v>
      </c>
      <c r="K2677" s="13" t="s">
        <v>303</v>
      </c>
      <c r="L2677" s="13" t="s">
        <v>2435</v>
      </c>
      <c r="M2677" s="6" t="s">
        <v>188</v>
      </c>
      <c r="N2677" s="6" t="s">
        <v>188</v>
      </c>
      <c r="O2677" s="6" t="s">
        <v>190</v>
      </c>
      <c r="P2677" s="7"/>
      <c r="Q2677" s="13"/>
      <c r="R2677" s="13"/>
      <c r="S2677" s="13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</row>
    <row r="2678">
      <c r="A2678" s="12">
        <v>66.0</v>
      </c>
      <c r="B2678" s="7" t="s">
        <v>602</v>
      </c>
      <c r="C2678" s="7" t="s">
        <v>1812</v>
      </c>
      <c r="I2678" s="10" t="s">
        <v>1350</v>
      </c>
      <c r="J2678" s="13" t="s">
        <v>813</v>
      </c>
      <c r="K2678" s="13" t="s">
        <v>303</v>
      </c>
      <c r="L2678" s="13" t="s">
        <v>2347</v>
      </c>
      <c r="M2678" s="6" t="s">
        <v>188</v>
      </c>
      <c r="N2678" s="6" t="s">
        <v>188</v>
      </c>
      <c r="O2678" s="6" t="s">
        <v>190</v>
      </c>
      <c r="P2678" s="7"/>
      <c r="Q2678" s="13"/>
      <c r="R2678" s="13"/>
      <c r="S2678" s="13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</row>
    <row r="2679">
      <c r="A2679" s="12">
        <v>66.0</v>
      </c>
      <c r="B2679" s="7" t="s">
        <v>602</v>
      </c>
      <c r="C2679" s="7" t="s">
        <v>1812</v>
      </c>
      <c r="I2679" s="10" t="s">
        <v>356</v>
      </c>
      <c r="J2679" s="13" t="s">
        <v>814</v>
      </c>
      <c r="K2679" s="13" t="s">
        <v>303</v>
      </c>
      <c r="L2679" s="13" t="s">
        <v>2347</v>
      </c>
      <c r="M2679" s="6" t="s">
        <v>188</v>
      </c>
      <c r="N2679" s="6" t="s">
        <v>188</v>
      </c>
      <c r="O2679" s="6" t="s">
        <v>190</v>
      </c>
      <c r="P2679" s="7"/>
      <c r="Q2679" s="13"/>
      <c r="R2679" s="13"/>
      <c r="S2679" s="13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7"/>
      <c r="AE2679" s="7"/>
    </row>
    <row r="2680">
      <c r="A2680" s="12">
        <v>66.0</v>
      </c>
      <c r="B2680" s="7" t="s">
        <v>602</v>
      </c>
      <c r="C2680" s="7" t="s">
        <v>1812</v>
      </c>
      <c r="I2680" s="10" t="s">
        <v>2077</v>
      </c>
      <c r="J2680" s="13" t="s">
        <v>815</v>
      </c>
      <c r="K2680" s="13" t="s">
        <v>303</v>
      </c>
      <c r="L2680" s="13" t="s">
        <v>2435</v>
      </c>
      <c r="M2680" s="6" t="s">
        <v>188</v>
      </c>
      <c r="N2680" s="6" t="s">
        <v>188</v>
      </c>
      <c r="O2680" s="6" t="s">
        <v>190</v>
      </c>
      <c r="P2680" s="7"/>
      <c r="Q2680" s="13"/>
      <c r="R2680" s="13"/>
      <c r="S2680" s="13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</row>
    <row r="2681">
      <c r="A2681" s="12">
        <v>66.0</v>
      </c>
      <c r="B2681" s="7" t="s">
        <v>602</v>
      </c>
      <c r="C2681" s="7" t="s">
        <v>1812</v>
      </c>
      <c r="I2681" s="10" t="s">
        <v>2008</v>
      </c>
      <c r="J2681" s="13" t="s">
        <v>813</v>
      </c>
      <c r="K2681" s="13" t="s">
        <v>303</v>
      </c>
      <c r="L2681" s="13" t="s">
        <v>2435</v>
      </c>
      <c r="M2681" s="6" t="s">
        <v>188</v>
      </c>
      <c r="N2681" s="6" t="s">
        <v>188</v>
      </c>
      <c r="O2681" s="6" t="s">
        <v>190</v>
      </c>
      <c r="P2681" s="7"/>
      <c r="Q2681" s="13"/>
      <c r="R2681" s="13"/>
      <c r="S2681" s="13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</row>
    <row r="2682">
      <c r="A2682" s="12">
        <v>66.0</v>
      </c>
      <c r="B2682" s="7" t="s">
        <v>602</v>
      </c>
      <c r="C2682" s="7" t="s">
        <v>1812</v>
      </c>
      <c r="I2682" s="10" t="s">
        <v>2010</v>
      </c>
      <c r="J2682" s="13" t="s">
        <v>814</v>
      </c>
      <c r="K2682" s="13" t="s">
        <v>303</v>
      </c>
      <c r="L2682" s="13" t="s">
        <v>2347</v>
      </c>
      <c r="M2682" s="6" t="s">
        <v>188</v>
      </c>
      <c r="N2682" s="6" t="s">
        <v>188</v>
      </c>
      <c r="O2682" s="6" t="s">
        <v>190</v>
      </c>
      <c r="P2682" s="7"/>
      <c r="Q2682" s="13"/>
      <c r="R2682" s="13"/>
      <c r="S2682" s="13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</row>
    <row r="2683">
      <c r="A2683" s="12">
        <v>66.0</v>
      </c>
      <c r="B2683" s="7" t="s">
        <v>602</v>
      </c>
      <c r="C2683" s="7" t="s">
        <v>1812</v>
      </c>
      <c r="I2683" s="10" t="s">
        <v>365</v>
      </c>
      <c r="J2683" s="13" t="s">
        <v>815</v>
      </c>
      <c r="K2683" s="13" t="s">
        <v>303</v>
      </c>
      <c r="L2683" s="13" t="s">
        <v>2434</v>
      </c>
      <c r="M2683" s="6" t="s">
        <v>188</v>
      </c>
      <c r="N2683" s="6" t="s">
        <v>188</v>
      </c>
      <c r="O2683" s="6" t="s">
        <v>190</v>
      </c>
      <c r="P2683" s="7"/>
      <c r="Q2683" s="13"/>
      <c r="R2683" s="13"/>
      <c r="S2683" s="13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</row>
    <row r="2684">
      <c r="A2684" s="12">
        <v>66.0</v>
      </c>
      <c r="B2684" s="7" t="s">
        <v>602</v>
      </c>
      <c r="C2684" s="7" t="s">
        <v>1812</v>
      </c>
      <c r="I2684" s="10" t="s">
        <v>1432</v>
      </c>
      <c r="J2684" s="13" t="s">
        <v>813</v>
      </c>
      <c r="K2684" s="13" t="s">
        <v>303</v>
      </c>
      <c r="L2684" s="13" t="s">
        <v>2347</v>
      </c>
      <c r="M2684" s="6" t="s">
        <v>188</v>
      </c>
      <c r="N2684" s="6" t="s">
        <v>188</v>
      </c>
      <c r="O2684" s="6" t="s">
        <v>190</v>
      </c>
      <c r="P2684" s="7"/>
      <c r="Q2684" s="13"/>
      <c r="R2684" s="13"/>
      <c r="S2684" s="13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</row>
    <row r="2685">
      <c r="A2685" s="12">
        <v>66.0</v>
      </c>
      <c r="B2685" s="7" t="s">
        <v>602</v>
      </c>
      <c r="C2685" s="7" t="s">
        <v>1812</v>
      </c>
      <c r="I2685" s="10" t="s">
        <v>614</v>
      </c>
      <c r="J2685" s="13" t="s">
        <v>814</v>
      </c>
      <c r="K2685" s="13" t="s">
        <v>303</v>
      </c>
      <c r="L2685" s="13" t="s">
        <v>2434</v>
      </c>
      <c r="M2685" s="6" t="s">
        <v>188</v>
      </c>
      <c r="N2685" s="6" t="s">
        <v>188</v>
      </c>
      <c r="O2685" s="6" t="s">
        <v>190</v>
      </c>
      <c r="P2685" s="7"/>
      <c r="Q2685" s="13"/>
      <c r="R2685" s="13"/>
      <c r="S2685" s="13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</row>
    <row r="2686">
      <c r="A2686" s="12">
        <v>66.0</v>
      </c>
      <c r="B2686" s="7" t="s">
        <v>602</v>
      </c>
      <c r="C2686" s="7" t="s">
        <v>1812</v>
      </c>
      <c r="I2686" s="10" t="s">
        <v>1918</v>
      </c>
      <c r="J2686" s="13" t="s">
        <v>815</v>
      </c>
      <c r="K2686" s="13" t="s">
        <v>303</v>
      </c>
      <c r="L2686" s="13" t="s">
        <v>2435</v>
      </c>
      <c r="M2686" s="6" t="s">
        <v>188</v>
      </c>
      <c r="N2686" s="6" t="s">
        <v>188</v>
      </c>
      <c r="O2686" s="6" t="s">
        <v>190</v>
      </c>
      <c r="P2686" s="7"/>
      <c r="Q2686" s="13"/>
      <c r="R2686" s="13"/>
      <c r="S2686" s="13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  <c r="AE2686" s="7"/>
    </row>
    <row r="2687">
      <c r="A2687" s="12">
        <v>66.0</v>
      </c>
      <c r="B2687" s="7" t="s">
        <v>602</v>
      </c>
      <c r="C2687" s="7" t="s">
        <v>1812</v>
      </c>
      <c r="I2687" s="10" t="s">
        <v>437</v>
      </c>
      <c r="J2687" s="13" t="s">
        <v>813</v>
      </c>
      <c r="K2687" s="13" t="s">
        <v>303</v>
      </c>
      <c r="L2687" s="13" t="s">
        <v>2600</v>
      </c>
      <c r="M2687" s="6" t="s">
        <v>188</v>
      </c>
      <c r="N2687" s="6" t="s">
        <v>188</v>
      </c>
      <c r="O2687" s="6" t="s">
        <v>190</v>
      </c>
      <c r="P2687" s="7"/>
      <c r="Q2687" s="13"/>
      <c r="R2687" s="13"/>
      <c r="S2687" s="13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</row>
    <row r="2688">
      <c r="A2688" s="12">
        <v>66.0</v>
      </c>
      <c r="B2688" s="7" t="s">
        <v>602</v>
      </c>
      <c r="C2688" s="7" t="s">
        <v>1812</v>
      </c>
      <c r="I2688" s="10" t="s">
        <v>1880</v>
      </c>
      <c r="J2688" s="13" t="s">
        <v>814</v>
      </c>
      <c r="K2688" s="13" t="s">
        <v>303</v>
      </c>
      <c r="L2688" s="13" t="s">
        <v>2435</v>
      </c>
      <c r="M2688" s="6" t="s">
        <v>188</v>
      </c>
      <c r="N2688" s="6" t="s">
        <v>188</v>
      </c>
      <c r="O2688" s="6" t="s">
        <v>190</v>
      </c>
      <c r="P2688" s="7"/>
      <c r="Q2688" s="13"/>
      <c r="R2688" s="13"/>
      <c r="S2688" s="13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</row>
    <row r="2689">
      <c r="A2689" s="12">
        <v>66.0</v>
      </c>
      <c r="B2689" s="7" t="s">
        <v>602</v>
      </c>
      <c r="C2689" s="7" t="s">
        <v>1812</v>
      </c>
      <c r="I2689" s="10" t="s">
        <v>43</v>
      </c>
      <c r="J2689" s="13" t="s">
        <v>815</v>
      </c>
      <c r="K2689" s="13" t="s">
        <v>303</v>
      </c>
      <c r="L2689" s="13" t="s">
        <v>2434</v>
      </c>
      <c r="M2689" s="6" t="s">
        <v>188</v>
      </c>
      <c r="N2689" s="6" t="s">
        <v>188</v>
      </c>
      <c r="O2689" s="6" t="s">
        <v>190</v>
      </c>
      <c r="P2689" s="7"/>
      <c r="Q2689" s="13"/>
      <c r="R2689" s="13"/>
      <c r="S2689" s="13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</row>
    <row r="2690">
      <c r="A2690" s="12">
        <v>66.0</v>
      </c>
      <c r="B2690" s="7" t="s">
        <v>602</v>
      </c>
      <c r="C2690" s="7" t="s">
        <v>1812</v>
      </c>
      <c r="I2690" s="10" t="s">
        <v>1284</v>
      </c>
      <c r="J2690" s="13" t="s">
        <v>813</v>
      </c>
      <c r="K2690" s="13" t="s">
        <v>303</v>
      </c>
      <c r="L2690" s="13" t="s">
        <v>2435</v>
      </c>
      <c r="M2690" s="6" t="s">
        <v>188</v>
      </c>
      <c r="N2690" s="6" t="s">
        <v>188</v>
      </c>
      <c r="O2690" s="6" t="s">
        <v>190</v>
      </c>
      <c r="P2690" s="7"/>
      <c r="Q2690" s="13"/>
      <c r="R2690" s="13"/>
      <c r="S2690" s="13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</row>
    <row r="2691">
      <c r="A2691" s="12">
        <v>66.0</v>
      </c>
      <c r="B2691" s="7" t="s">
        <v>602</v>
      </c>
      <c r="C2691" s="7" t="s">
        <v>1812</v>
      </c>
      <c r="I2691" s="10" t="s">
        <v>380</v>
      </c>
      <c r="J2691" s="13" t="s">
        <v>814</v>
      </c>
      <c r="K2691" s="13" t="s">
        <v>303</v>
      </c>
      <c r="L2691" s="13" t="s">
        <v>2434</v>
      </c>
      <c r="M2691" s="6" t="s">
        <v>188</v>
      </c>
      <c r="N2691" s="6" t="s">
        <v>188</v>
      </c>
      <c r="O2691" s="6" t="s">
        <v>190</v>
      </c>
      <c r="P2691" s="7"/>
      <c r="Q2691" s="13"/>
      <c r="R2691" s="13"/>
      <c r="S2691" s="13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</row>
    <row r="2692">
      <c r="A2692" s="12">
        <v>66.0</v>
      </c>
      <c r="B2692" s="7" t="s">
        <v>602</v>
      </c>
      <c r="C2692" s="7" t="s">
        <v>1812</v>
      </c>
      <c r="I2692" s="10" t="s">
        <v>408</v>
      </c>
      <c r="J2692" s="13" t="s">
        <v>815</v>
      </c>
      <c r="K2692" s="13" t="s">
        <v>303</v>
      </c>
      <c r="L2692" s="13" t="s">
        <v>2600</v>
      </c>
      <c r="M2692" s="6" t="s">
        <v>188</v>
      </c>
      <c r="N2692" s="6" t="s">
        <v>188</v>
      </c>
      <c r="O2692" s="6" t="s">
        <v>190</v>
      </c>
      <c r="P2692" s="7"/>
      <c r="Q2692" s="13"/>
      <c r="R2692" s="13"/>
      <c r="S2692" s="13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</row>
    <row r="2693">
      <c r="A2693" s="12">
        <v>66.0</v>
      </c>
      <c r="B2693" s="7" t="s">
        <v>602</v>
      </c>
      <c r="C2693" s="7" t="s">
        <v>1812</v>
      </c>
      <c r="I2693" s="10" t="s">
        <v>330</v>
      </c>
      <c r="J2693" s="13" t="s">
        <v>813</v>
      </c>
      <c r="K2693" s="13" t="s">
        <v>303</v>
      </c>
      <c r="L2693" s="13" t="s">
        <v>2347</v>
      </c>
      <c r="M2693" s="6" t="s">
        <v>188</v>
      </c>
      <c r="N2693" s="6" t="s">
        <v>188</v>
      </c>
      <c r="O2693" s="6" t="s">
        <v>190</v>
      </c>
      <c r="P2693" s="7"/>
      <c r="Q2693" s="13"/>
      <c r="R2693" s="13"/>
      <c r="S2693" s="13"/>
      <c r="T2693" s="6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</row>
    <row r="2694">
      <c r="A2694" s="12">
        <v>66.0</v>
      </c>
      <c r="B2694" s="7" t="s">
        <v>602</v>
      </c>
      <c r="C2694" s="7" t="s">
        <v>1812</v>
      </c>
      <c r="I2694" s="10" t="s">
        <v>2003</v>
      </c>
      <c r="J2694" s="13" t="s">
        <v>814</v>
      </c>
      <c r="K2694" s="13" t="s">
        <v>303</v>
      </c>
      <c r="L2694" s="13" t="s">
        <v>2347</v>
      </c>
      <c r="M2694" s="6" t="s">
        <v>188</v>
      </c>
      <c r="N2694" s="6" t="s">
        <v>188</v>
      </c>
      <c r="O2694" s="6" t="s">
        <v>190</v>
      </c>
      <c r="P2694" s="7"/>
      <c r="Q2694" s="13"/>
      <c r="R2694" s="13"/>
      <c r="S2694" s="13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</row>
    <row r="2695">
      <c r="A2695" s="12">
        <v>66.0</v>
      </c>
      <c r="B2695" s="7" t="s">
        <v>602</v>
      </c>
      <c r="C2695" s="7" t="s">
        <v>1812</v>
      </c>
      <c r="I2695" s="10" t="s">
        <v>2072</v>
      </c>
      <c r="J2695" s="13" t="s">
        <v>815</v>
      </c>
      <c r="K2695" s="13" t="s">
        <v>303</v>
      </c>
      <c r="L2695" s="13" t="s">
        <v>2435</v>
      </c>
      <c r="M2695" s="6" t="s">
        <v>188</v>
      </c>
      <c r="N2695" s="6" t="s">
        <v>188</v>
      </c>
      <c r="O2695" s="6" t="s">
        <v>190</v>
      </c>
      <c r="P2695" s="7"/>
      <c r="Q2695" s="13"/>
      <c r="R2695" s="13"/>
      <c r="S2695" s="13"/>
      <c r="T2695" s="6"/>
      <c r="U2695" s="7"/>
      <c r="V2695" s="7"/>
      <c r="W2695" s="7"/>
      <c r="X2695" s="7"/>
      <c r="Y2695" s="7"/>
      <c r="Z2695" s="7"/>
      <c r="AA2695" s="7"/>
      <c r="AB2695" s="7"/>
      <c r="AC2695" s="7"/>
      <c r="AD2695" s="7"/>
      <c r="AE2695" s="7"/>
    </row>
    <row r="2696">
      <c r="A2696" s="12">
        <v>66.0</v>
      </c>
      <c r="B2696" s="7" t="s">
        <v>602</v>
      </c>
      <c r="C2696" s="7" t="s">
        <v>1812</v>
      </c>
      <c r="I2696" s="10" t="s">
        <v>2078</v>
      </c>
      <c r="J2696" s="13" t="s">
        <v>813</v>
      </c>
      <c r="K2696" s="13" t="s">
        <v>303</v>
      </c>
      <c r="L2696" s="13" t="s">
        <v>2347</v>
      </c>
      <c r="M2696" s="6" t="s">
        <v>188</v>
      </c>
      <c r="N2696" s="6" t="s">
        <v>188</v>
      </c>
      <c r="O2696" s="6" t="s">
        <v>190</v>
      </c>
      <c r="P2696" s="7"/>
      <c r="Q2696" s="13"/>
      <c r="R2696" s="13"/>
      <c r="S2696" s="13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/>
      <c r="AE2696" s="7"/>
    </row>
    <row r="2697">
      <c r="A2697" s="12">
        <v>66.0</v>
      </c>
      <c r="B2697" s="7" t="s">
        <v>602</v>
      </c>
      <c r="C2697" s="7" t="s">
        <v>1812</v>
      </c>
      <c r="I2697" s="10" t="s">
        <v>1599</v>
      </c>
      <c r="J2697" s="13" t="s">
        <v>814</v>
      </c>
      <c r="K2697" s="13" t="s">
        <v>303</v>
      </c>
      <c r="L2697" s="13" t="s">
        <v>2435</v>
      </c>
      <c r="M2697" s="6" t="s">
        <v>188</v>
      </c>
      <c r="N2697" s="6" t="s">
        <v>188</v>
      </c>
      <c r="O2697" s="6" t="s">
        <v>190</v>
      </c>
      <c r="P2697" s="7"/>
      <c r="Q2697" s="13"/>
      <c r="R2697" s="13"/>
      <c r="S2697" s="13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</row>
    <row r="2698">
      <c r="A2698" s="12">
        <v>66.0</v>
      </c>
      <c r="B2698" s="7" t="s">
        <v>602</v>
      </c>
      <c r="C2698" s="7" t="s">
        <v>1812</v>
      </c>
      <c r="I2698" s="10" t="s">
        <v>1898</v>
      </c>
      <c r="J2698" s="13" t="s">
        <v>815</v>
      </c>
      <c r="K2698" s="13" t="s">
        <v>303</v>
      </c>
      <c r="L2698" s="13" t="s">
        <v>2436</v>
      </c>
      <c r="M2698" s="6" t="s">
        <v>188</v>
      </c>
      <c r="N2698" s="6" t="s">
        <v>188</v>
      </c>
      <c r="O2698" s="6" t="s">
        <v>190</v>
      </c>
      <c r="P2698" s="7"/>
      <c r="Q2698" s="13"/>
      <c r="R2698" s="13"/>
      <c r="S2698" s="13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</row>
    <row r="2699">
      <c r="A2699" s="12">
        <v>66.0</v>
      </c>
      <c r="B2699" s="7" t="s">
        <v>602</v>
      </c>
      <c r="C2699" s="7" t="s">
        <v>1812</v>
      </c>
      <c r="I2699" s="10" t="s">
        <v>2064</v>
      </c>
      <c r="J2699" s="13" t="s">
        <v>813</v>
      </c>
      <c r="K2699" s="13" t="s">
        <v>303</v>
      </c>
      <c r="L2699" s="13" t="s">
        <v>2347</v>
      </c>
      <c r="M2699" s="6" t="s">
        <v>188</v>
      </c>
      <c r="N2699" s="6" t="s">
        <v>188</v>
      </c>
      <c r="O2699" s="6" t="s">
        <v>190</v>
      </c>
      <c r="P2699" s="7"/>
      <c r="Q2699" s="13"/>
      <c r="R2699" s="13"/>
      <c r="S2699" s="13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</row>
    <row r="2700">
      <c r="A2700" s="12">
        <v>66.0</v>
      </c>
      <c r="B2700" s="7" t="s">
        <v>602</v>
      </c>
      <c r="C2700" s="7" t="s">
        <v>1812</v>
      </c>
      <c r="I2700" s="10" t="s">
        <v>2070</v>
      </c>
      <c r="J2700" s="13" t="s">
        <v>814</v>
      </c>
      <c r="K2700" s="13" t="s">
        <v>303</v>
      </c>
      <c r="L2700" s="13" t="s">
        <v>2435</v>
      </c>
      <c r="M2700" s="6" t="s">
        <v>188</v>
      </c>
      <c r="N2700" s="6" t="s">
        <v>188</v>
      </c>
      <c r="O2700" s="6" t="s">
        <v>190</v>
      </c>
      <c r="P2700" s="7"/>
      <c r="Q2700" s="13"/>
      <c r="R2700" s="13"/>
      <c r="S2700" s="13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</row>
    <row r="2701">
      <c r="A2701" s="12">
        <v>66.0</v>
      </c>
      <c r="B2701" s="7" t="s">
        <v>602</v>
      </c>
      <c r="C2701" s="7" t="s">
        <v>1812</v>
      </c>
      <c r="I2701" s="10" t="s">
        <v>2073</v>
      </c>
      <c r="J2701" s="13" t="s">
        <v>815</v>
      </c>
      <c r="K2701" s="13" t="s">
        <v>303</v>
      </c>
      <c r="L2701" s="13" t="s">
        <v>2435</v>
      </c>
      <c r="M2701" s="6" t="s">
        <v>188</v>
      </c>
      <c r="N2701" s="6" t="s">
        <v>188</v>
      </c>
      <c r="O2701" s="6" t="s">
        <v>190</v>
      </c>
      <c r="P2701" s="7"/>
      <c r="Q2701" s="13"/>
      <c r="R2701" s="13"/>
      <c r="S2701" s="13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</row>
    <row r="2702">
      <c r="A2702" s="12">
        <v>66.0</v>
      </c>
      <c r="B2702" s="7" t="s">
        <v>602</v>
      </c>
      <c r="C2702" s="7" t="s">
        <v>1812</v>
      </c>
      <c r="I2702" s="13" t="s">
        <v>511</v>
      </c>
      <c r="J2702" s="13" t="s">
        <v>813</v>
      </c>
      <c r="K2702" s="13" t="s">
        <v>303</v>
      </c>
      <c r="L2702" s="13" t="s">
        <v>2601</v>
      </c>
      <c r="M2702" s="6" t="s">
        <v>188</v>
      </c>
      <c r="N2702" s="6" t="s">
        <v>188</v>
      </c>
      <c r="O2702" s="6" t="s">
        <v>190</v>
      </c>
      <c r="P2702" s="7" t="s">
        <v>333</v>
      </c>
      <c r="Q2702" s="13"/>
      <c r="R2702" s="13"/>
      <c r="S2702" s="13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</row>
    <row r="2703">
      <c r="A2703" s="12">
        <v>66.0</v>
      </c>
      <c r="B2703" s="7" t="s">
        <v>602</v>
      </c>
      <c r="C2703" s="7" t="s">
        <v>1812</v>
      </c>
      <c r="I2703" s="13" t="s">
        <v>2075</v>
      </c>
      <c r="J2703" s="13" t="s">
        <v>814</v>
      </c>
      <c r="K2703" s="13" t="s">
        <v>303</v>
      </c>
      <c r="L2703" s="13" t="s">
        <v>2602</v>
      </c>
      <c r="M2703" s="6" t="s">
        <v>188</v>
      </c>
      <c r="N2703" s="6" t="s">
        <v>188</v>
      </c>
      <c r="O2703" s="6" t="s">
        <v>190</v>
      </c>
      <c r="P2703" s="7" t="s">
        <v>333</v>
      </c>
      <c r="Q2703" s="13"/>
      <c r="R2703" s="13"/>
      <c r="S2703" s="13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</row>
    <row r="2704">
      <c r="A2704" s="12">
        <v>66.0</v>
      </c>
      <c r="B2704" s="7" t="s">
        <v>602</v>
      </c>
      <c r="C2704" s="7" t="s">
        <v>1812</v>
      </c>
      <c r="I2704" s="13" t="s">
        <v>1678</v>
      </c>
      <c r="J2704" s="13" t="s">
        <v>815</v>
      </c>
      <c r="K2704" s="13" t="s">
        <v>303</v>
      </c>
      <c r="L2704" s="13" t="s">
        <v>2603</v>
      </c>
      <c r="M2704" s="6" t="s">
        <v>188</v>
      </c>
      <c r="N2704" s="6" t="s">
        <v>188</v>
      </c>
      <c r="O2704" s="6" t="s">
        <v>190</v>
      </c>
      <c r="P2704" s="7" t="s">
        <v>333</v>
      </c>
      <c r="Q2704" s="13"/>
      <c r="R2704" s="13"/>
      <c r="S2704" s="13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</row>
    <row r="2705">
      <c r="A2705" s="12">
        <v>66.0</v>
      </c>
      <c r="B2705" s="7" t="s">
        <v>602</v>
      </c>
      <c r="C2705" s="7" t="s">
        <v>1812</v>
      </c>
      <c r="I2705" s="13" t="s">
        <v>1878</v>
      </c>
      <c r="J2705" s="13" t="s">
        <v>813</v>
      </c>
      <c r="K2705" s="13" t="s">
        <v>303</v>
      </c>
      <c r="L2705" s="13" t="s">
        <v>2601</v>
      </c>
      <c r="M2705" s="6" t="s">
        <v>188</v>
      </c>
      <c r="N2705" s="6" t="s">
        <v>188</v>
      </c>
      <c r="O2705" s="6" t="s">
        <v>190</v>
      </c>
      <c r="P2705" s="7" t="s">
        <v>333</v>
      </c>
      <c r="Q2705" s="13"/>
      <c r="R2705" s="13"/>
      <c r="S2705" s="13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</row>
    <row r="2706">
      <c r="A2706" s="12">
        <v>66.0</v>
      </c>
      <c r="B2706" s="7" t="s">
        <v>602</v>
      </c>
      <c r="C2706" s="7" t="s">
        <v>1812</v>
      </c>
      <c r="I2706" s="13" t="s">
        <v>347</v>
      </c>
      <c r="J2706" s="13" t="s">
        <v>814</v>
      </c>
      <c r="K2706" s="13" t="s">
        <v>303</v>
      </c>
      <c r="L2706" s="13" t="s">
        <v>2604</v>
      </c>
      <c r="M2706" s="6" t="s">
        <v>188</v>
      </c>
      <c r="N2706" s="6" t="s">
        <v>188</v>
      </c>
      <c r="O2706" s="6" t="s">
        <v>190</v>
      </c>
      <c r="P2706" s="7" t="s">
        <v>333</v>
      </c>
      <c r="Q2706" s="13"/>
      <c r="R2706" s="13"/>
      <c r="S2706" s="13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</row>
    <row r="2707">
      <c r="A2707" s="12">
        <v>66.0</v>
      </c>
      <c r="B2707" s="7" t="s">
        <v>602</v>
      </c>
      <c r="C2707" s="7" t="s">
        <v>1812</v>
      </c>
      <c r="I2707" s="13" t="s">
        <v>270</v>
      </c>
      <c r="J2707" s="13" t="s">
        <v>815</v>
      </c>
      <c r="K2707" s="13" t="s">
        <v>303</v>
      </c>
      <c r="L2707" s="13" t="s">
        <v>2605</v>
      </c>
      <c r="M2707" s="6" t="s">
        <v>188</v>
      </c>
      <c r="N2707" s="6" t="s">
        <v>188</v>
      </c>
      <c r="O2707" s="6" t="s">
        <v>190</v>
      </c>
      <c r="P2707" s="7" t="s">
        <v>333</v>
      </c>
      <c r="Q2707" s="13"/>
      <c r="R2707" s="13"/>
      <c r="S2707" s="13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</row>
    <row r="2708">
      <c r="A2708" s="12">
        <v>66.0</v>
      </c>
      <c r="B2708" s="7" t="s">
        <v>602</v>
      </c>
      <c r="C2708" s="7" t="s">
        <v>1812</v>
      </c>
      <c r="I2708" s="13" t="s">
        <v>373</v>
      </c>
      <c r="J2708" s="13" t="s">
        <v>813</v>
      </c>
      <c r="K2708" s="13" t="s">
        <v>303</v>
      </c>
      <c r="L2708" s="13" t="s">
        <v>2606</v>
      </c>
      <c r="M2708" s="6" t="s">
        <v>188</v>
      </c>
      <c r="N2708" s="6" t="s">
        <v>188</v>
      </c>
      <c r="O2708" s="6" t="s">
        <v>190</v>
      </c>
      <c r="P2708" s="7" t="s">
        <v>333</v>
      </c>
      <c r="Q2708" s="13"/>
      <c r="R2708" s="13"/>
      <c r="S2708" s="13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</row>
    <row r="2709">
      <c r="A2709" s="12">
        <v>66.0</v>
      </c>
      <c r="B2709" s="7" t="s">
        <v>602</v>
      </c>
      <c r="C2709" s="7" t="s">
        <v>1812</v>
      </c>
      <c r="I2709" s="13" t="s">
        <v>418</v>
      </c>
      <c r="J2709" s="13" t="s">
        <v>814</v>
      </c>
      <c r="K2709" s="13" t="s">
        <v>303</v>
      </c>
      <c r="L2709" s="13" t="s">
        <v>2604</v>
      </c>
      <c r="M2709" s="6" t="s">
        <v>188</v>
      </c>
      <c r="N2709" s="6" t="s">
        <v>188</v>
      </c>
      <c r="O2709" s="6" t="s">
        <v>190</v>
      </c>
      <c r="P2709" s="7" t="s">
        <v>333</v>
      </c>
      <c r="Q2709" s="13"/>
      <c r="R2709" s="13"/>
      <c r="S2709" s="13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</row>
    <row r="2710">
      <c r="A2710" s="12">
        <v>66.0</v>
      </c>
      <c r="B2710" s="7" t="s">
        <v>602</v>
      </c>
      <c r="C2710" s="7" t="s">
        <v>1812</v>
      </c>
      <c r="I2710" s="13" t="s">
        <v>426</v>
      </c>
      <c r="J2710" s="13" t="s">
        <v>815</v>
      </c>
      <c r="K2710" s="13" t="s">
        <v>303</v>
      </c>
      <c r="L2710" s="13" t="s">
        <v>2607</v>
      </c>
      <c r="M2710" s="6" t="s">
        <v>188</v>
      </c>
      <c r="N2710" s="6" t="s">
        <v>188</v>
      </c>
      <c r="O2710" s="6" t="s">
        <v>190</v>
      </c>
      <c r="P2710" s="7" t="s">
        <v>333</v>
      </c>
      <c r="Q2710" s="13"/>
      <c r="R2710" s="13"/>
      <c r="S2710" s="13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</row>
    <row r="2711">
      <c r="A2711" s="12">
        <v>66.0</v>
      </c>
      <c r="B2711" s="7" t="s">
        <v>602</v>
      </c>
      <c r="C2711" s="7" t="s">
        <v>1812</v>
      </c>
      <c r="I2711" s="13" t="s">
        <v>481</v>
      </c>
      <c r="J2711" s="13" t="s">
        <v>813</v>
      </c>
      <c r="K2711" s="13" t="s">
        <v>303</v>
      </c>
      <c r="L2711" s="13" t="s">
        <v>2607</v>
      </c>
      <c r="M2711" s="6" t="s">
        <v>188</v>
      </c>
      <c r="N2711" s="6" t="s">
        <v>188</v>
      </c>
      <c r="O2711" s="6" t="s">
        <v>190</v>
      </c>
      <c r="P2711" s="7" t="s">
        <v>333</v>
      </c>
      <c r="Q2711" s="13"/>
      <c r="R2711" s="13"/>
      <c r="S2711" s="13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7"/>
      <c r="AE2711" s="7"/>
    </row>
    <row r="2712">
      <c r="A2712" s="12">
        <v>66.0</v>
      </c>
      <c r="B2712" s="7" t="s">
        <v>602</v>
      </c>
      <c r="C2712" s="7" t="s">
        <v>1812</v>
      </c>
      <c r="I2712" s="13" t="s">
        <v>2451</v>
      </c>
      <c r="J2712" s="13" t="s">
        <v>814</v>
      </c>
      <c r="K2712" s="13" t="s">
        <v>303</v>
      </c>
      <c r="L2712" s="13" t="s">
        <v>2608</v>
      </c>
      <c r="M2712" s="6" t="s">
        <v>188</v>
      </c>
      <c r="N2712" s="6" t="s">
        <v>188</v>
      </c>
      <c r="O2712" s="6" t="s">
        <v>190</v>
      </c>
      <c r="P2712" s="7" t="s">
        <v>333</v>
      </c>
      <c r="Q2712" s="13"/>
      <c r="R2712" s="13"/>
      <c r="S2712" s="13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</row>
    <row r="2713">
      <c r="A2713" s="12">
        <v>66.0</v>
      </c>
      <c r="B2713" s="7" t="s">
        <v>602</v>
      </c>
      <c r="C2713" s="7" t="s">
        <v>1812</v>
      </c>
      <c r="I2713" s="13" t="s">
        <v>2062</v>
      </c>
      <c r="J2713" s="13" t="s">
        <v>815</v>
      </c>
      <c r="K2713" s="13" t="s">
        <v>303</v>
      </c>
      <c r="L2713" s="13" t="s">
        <v>2607</v>
      </c>
      <c r="M2713" s="6" t="s">
        <v>188</v>
      </c>
      <c r="N2713" s="6" t="s">
        <v>188</v>
      </c>
      <c r="O2713" s="6" t="s">
        <v>190</v>
      </c>
      <c r="P2713" s="7" t="s">
        <v>333</v>
      </c>
      <c r="Q2713" s="13"/>
      <c r="R2713" s="13"/>
      <c r="S2713" s="13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</row>
    <row r="2714">
      <c r="A2714" s="12">
        <v>66.0</v>
      </c>
      <c r="B2714" s="7" t="s">
        <v>602</v>
      </c>
      <c r="C2714" s="7" t="s">
        <v>1812</v>
      </c>
      <c r="I2714" s="13" t="s">
        <v>2453</v>
      </c>
      <c r="J2714" s="13" t="s">
        <v>813</v>
      </c>
      <c r="K2714" s="13" t="s">
        <v>303</v>
      </c>
      <c r="L2714" s="13" t="s">
        <v>2606</v>
      </c>
      <c r="M2714" s="6" t="s">
        <v>188</v>
      </c>
      <c r="N2714" s="6" t="s">
        <v>188</v>
      </c>
      <c r="O2714" s="6" t="s">
        <v>190</v>
      </c>
      <c r="P2714" s="7" t="s">
        <v>333</v>
      </c>
      <c r="Q2714" s="13"/>
      <c r="R2714" s="13"/>
      <c r="S2714" s="13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</row>
    <row r="2715">
      <c r="A2715" s="12">
        <v>66.0</v>
      </c>
      <c r="B2715" s="7" t="s">
        <v>602</v>
      </c>
      <c r="C2715" s="7" t="s">
        <v>1812</v>
      </c>
      <c r="I2715" s="13" t="s">
        <v>2449</v>
      </c>
      <c r="J2715" s="13" t="s">
        <v>814</v>
      </c>
      <c r="K2715" s="13" t="s">
        <v>303</v>
      </c>
      <c r="L2715" s="13" t="s">
        <v>2609</v>
      </c>
      <c r="M2715" s="6" t="s">
        <v>188</v>
      </c>
      <c r="N2715" s="6" t="s">
        <v>188</v>
      </c>
      <c r="O2715" s="6" t="s">
        <v>190</v>
      </c>
      <c r="P2715" s="7" t="s">
        <v>333</v>
      </c>
      <c r="Q2715" s="13"/>
      <c r="R2715" s="13"/>
      <c r="S2715" s="13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</row>
    <row r="2716">
      <c r="A2716" s="12">
        <v>66.0</v>
      </c>
      <c r="B2716" s="7" t="s">
        <v>602</v>
      </c>
      <c r="C2716" s="7" t="s">
        <v>1812</v>
      </c>
      <c r="I2716" s="13" t="s">
        <v>1555</v>
      </c>
      <c r="J2716" s="13" t="s">
        <v>815</v>
      </c>
      <c r="K2716" s="13" t="s">
        <v>303</v>
      </c>
      <c r="L2716" s="13" t="s">
        <v>2610</v>
      </c>
      <c r="M2716" s="6" t="s">
        <v>188</v>
      </c>
      <c r="N2716" s="6" t="s">
        <v>188</v>
      </c>
      <c r="O2716" s="6" t="s">
        <v>190</v>
      </c>
      <c r="P2716" s="7" t="s">
        <v>333</v>
      </c>
      <c r="Q2716" s="13"/>
      <c r="R2716" s="13"/>
      <c r="S2716" s="13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</row>
    <row r="2717">
      <c r="A2717" s="12">
        <v>66.0</v>
      </c>
      <c r="B2717" s="7" t="s">
        <v>602</v>
      </c>
      <c r="C2717" s="7" t="s">
        <v>1812</v>
      </c>
      <c r="I2717" s="13" t="s">
        <v>707</v>
      </c>
      <c r="J2717" s="13" t="s">
        <v>813</v>
      </c>
      <c r="K2717" s="13" t="s">
        <v>303</v>
      </c>
      <c r="L2717" s="13" t="s">
        <v>2610</v>
      </c>
      <c r="M2717" s="6" t="s">
        <v>188</v>
      </c>
      <c r="N2717" s="6" t="s">
        <v>188</v>
      </c>
      <c r="O2717" s="6" t="s">
        <v>190</v>
      </c>
      <c r="P2717" s="7" t="s">
        <v>333</v>
      </c>
      <c r="Q2717" s="13"/>
      <c r="R2717" s="13"/>
      <c r="S2717" s="13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/>
      <c r="AE2717" s="7"/>
    </row>
    <row r="2718">
      <c r="A2718" s="12">
        <v>66.0</v>
      </c>
      <c r="B2718" s="7" t="s">
        <v>602</v>
      </c>
      <c r="C2718" s="7" t="s">
        <v>1812</v>
      </c>
      <c r="I2718" s="13" t="s">
        <v>1148</v>
      </c>
      <c r="J2718" s="13" t="s">
        <v>814</v>
      </c>
      <c r="K2718" s="13" t="s">
        <v>303</v>
      </c>
      <c r="L2718" s="13" t="s">
        <v>2611</v>
      </c>
      <c r="M2718" s="6" t="s">
        <v>188</v>
      </c>
      <c r="N2718" s="6" t="s">
        <v>188</v>
      </c>
      <c r="O2718" s="6" t="s">
        <v>190</v>
      </c>
      <c r="P2718" s="7" t="s">
        <v>333</v>
      </c>
      <c r="Q2718" s="13"/>
      <c r="R2718" s="13"/>
      <c r="S2718" s="13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</row>
    <row r="2719">
      <c r="A2719" s="12">
        <v>66.0</v>
      </c>
      <c r="B2719" s="7" t="s">
        <v>602</v>
      </c>
      <c r="C2719" s="7" t="s">
        <v>1812</v>
      </c>
      <c r="I2719" s="13" t="s">
        <v>1907</v>
      </c>
      <c r="J2719" s="13" t="s">
        <v>815</v>
      </c>
      <c r="K2719" s="13" t="s">
        <v>303</v>
      </c>
      <c r="L2719" s="13" t="s">
        <v>2612</v>
      </c>
      <c r="M2719" s="6" t="s">
        <v>188</v>
      </c>
      <c r="N2719" s="6" t="s">
        <v>188</v>
      </c>
      <c r="O2719" s="6" t="s">
        <v>190</v>
      </c>
      <c r="P2719" s="7" t="s">
        <v>333</v>
      </c>
      <c r="Q2719" s="13"/>
      <c r="R2719" s="13"/>
      <c r="S2719" s="13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7"/>
      <c r="AE2719" s="7"/>
    </row>
    <row r="2720">
      <c r="A2720" s="12">
        <v>66.0</v>
      </c>
      <c r="B2720" s="7" t="s">
        <v>602</v>
      </c>
      <c r="C2720" s="7" t="s">
        <v>1812</v>
      </c>
      <c r="I2720" s="13" t="s">
        <v>1269</v>
      </c>
      <c r="J2720" s="13" t="s">
        <v>813</v>
      </c>
      <c r="K2720" s="13" t="s">
        <v>303</v>
      </c>
      <c r="L2720" s="13" t="s">
        <v>2613</v>
      </c>
      <c r="M2720" s="6" t="s">
        <v>188</v>
      </c>
      <c r="N2720" s="6" t="s">
        <v>188</v>
      </c>
      <c r="O2720" s="6" t="s">
        <v>190</v>
      </c>
      <c r="P2720" s="7" t="s">
        <v>333</v>
      </c>
      <c r="Q2720" s="13"/>
      <c r="R2720" s="13"/>
      <c r="S2720" s="13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</row>
    <row r="2721">
      <c r="A2721" s="12">
        <v>66.0</v>
      </c>
      <c r="B2721" s="7" t="s">
        <v>602</v>
      </c>
      <c r="C2721" s="7" t="s">
        <v>1812</v>
      </c>
      <c r="I2721" s="13" t="s">
        <v>1690</v>
      </c>
      <c r="J2721" s="13" t="s">
        <v>814</v>
      </c>
      <c r="K2721" s="13" t="s">
        <v>303</v>
      </c>
      <c r="L2721" s="13" t="s">
        <v>2609</v>
      </c>
      <c r="M2721" s="6" t="s">
        <v>188</v>
      </c>
      <c r="N2721" s="6" t="s">
        <v>188</v>
      </c>
      <c r="O2721" s="6" t="s">
        <v>190</v>
      </c>
      <c r="P2721" s="7" t="s">
        <v>333</v>
      </c>
      <c r="Q2721" s="13"/>
      <c r="R2721" s="13"/>
      <c r="S2721" s="13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</row>
    <row r="2722">
      <c r="A2722" s="12">
        <v>66.0</v>
      </c>
      <c r="B2722" s="7" t="s">
        <v>602</v>
      </c>
      <c r="C2722" s="7" t="s">
        <v>1812</v>
      </c>
      <c r="I2722" s="13" t="s">
        <v>1136</v>
      </c>
      <c r="J2722" s="13" t="s">
        <v>815</v>
      </c>
      <c r="K2722" s="13" t="s">
        <v>303</v>
      </c>
      <c r="L2722" s="13" t="s">
        <v>2614</v>
      </c>
      <c r="M2722" s="6" t="s">
        <v>188</v>
      </c>
      <c r="N2722" s="6" t="s">
        <v>188</v>
      </c>
      <c r="O2722" s="6" t="s">
        <v>190</v>
      </c>
      <c r="P2722" s="7" t="s">
        <v>333</v>
      </c>
      <c r="Q2722" s="13"/>
      <c r="R2722" s="13"/>
      <c r="S2722" s="13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</row>
    <row r="2723">
      <c r="A2723" s="12">
        <v>66.0</v>
      </c>
      <c r="B2723" s="7" t="s">
        <v>602</v>
      </c>
      <c r="C2723" s="7" t="s">
        <v>1812</v>
      </c>
      <c r="I2723" s="13" t="s">
        <v>1277</v>
      </c>
      <c r="J2723" s="13" t="s">
        <v>813</v>
      </c>
      <c r="K2723" s="13" t="s">
        <v>303</v>
      </c>
      <c r="L2723" s="13" t="s">
        <v>2615</v>
      </c>
      <c r="M2723" s="6" t="s">
        <v>188</v>
      </c>
      <c r="N2723" s="6" t="s">
        <v>188</v>
      </c>
      <c r="O2723" s="6" t="s">
        <v>190</v>
      </c>
      <c r="P2723" s="7" t="s">
        <v>333</v>
      </c>
      <c r="Q2723" s="13"/>
      <c r="R2723" s="13"/>
      <c r="S2723" s="13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</row>
    <row r="2724">
      <c r="A2724" s="12">
        <v>66.0</v>
      </c>
      <c r="B2724" s="7" t="s">
        <v>602</v>
      </c>
      <c r="C2724" s="7" t="s">
        <v>1812</v>
      </c>
      <c r="I2724" s="13" t="s">
        <v>2107</v>
      </c>
      <c r="J2724" s="13" t="s">
        <v>814</v>
      </c>
      <c r="K2724" s="13" t="s">
        <v>303</v>
      </c>
      <c r="L2724" s="13" t="s">
        <v>2616</v>
      </c>
      <c r="M2724" s="6" t="s">
        <v>188</v>
      </c>
      <c r="N2724" s="6" t="s">
        <v>188</v>
      </c>
      <c r="O2724" s="6" t="s">
        <v>190</v>
      </c>
      <c r="P2724" s="7" t="s">
        <v>333</v>
      </c>
      <c r="Q2724" s="13"/>
      <c r="R2724" s="13"/>
      <c r="S2724" s="13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</row>
    <row r="2725">
      <c r="A2725" s="12">
        <v>66.0</v>
      </c>
      <c r="B2725" s="7" t="s">
        <v>602</v>
      </c>
      <c r="C2725" s="7" t="s">
        <v>1812</v>
      </c>
      <c r="I2725" s="13" t="s">
        <v>604</v>
      </c>
      <c r="J2725" s="13" t="s">
        <v>815</v>
      </c>
      <c r="K2725" s="13" t="s">
        <v>303</v>
      </c>
      <c r="L2725" s="13" t="s">
        <v>2607</v>
      </c>
      <c r="M2725" s="6" t="s">
        <v>188</v>
      </c>
      <c r="N2725" s="6" t="s">
        <v>188</v>
      </c>
      <c r="O2725" s="6" t="s">
        <v>190</v>
      </c>
      <c r="P2725" s="7" t="s">
        <v>333</v>
      </c>
      <c r="Q2725" s="13"/>
      <c r="R2725" s="13"/>
      <c r="S2725" s="13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  <c r="AE2725" s="7"/>
    </row>
    <row r="2726">
      <c r="A2726" s="12">
        <v>66.0</v>
      </c>
      <c r="B2726" s="7" t="s">
        <v>602</v>
      </c>
      <c r="C2726" s="7" t="s">
        <v>1812</v>
      </c>
      <c r="I2726" s="13" t="s">
        <v>1354</v>
      </c>
      <c r="J2726" s="13" t="s">
        <v>813</v>
      </c>
      <c r="K2726" s="13" t="s">
        <v>303</v>
      </c>
      <c r="L2726" s="13" t="s">
        <v>2610</v>
      </c>
      <c r="M2726" s="6" t="s">
        <v>188</v>
      </c>
      <c r="N2726" s="6" t="s">
        <v>188</v>
      </c>
      <c r="O2726" s="6" t="s">
        <v>190</v>
      </c>
      <c r="P2726" s="7" t="s">
        <v>333</v>
      </c>
      <c r="Q2726" s="13"/>
      <c r="R2726" s="13"/>
      <c r="S2726" s="13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</row>
    <row r="2727">
      <c r="A2727" s="12">
        <v>66.0</v>
      </c>
      <c r="B2727" s="7" t="s">
        <v>602</v>
      </c>
      <c r="C2727" s="7" t="s">
        <v>1812</v>
      </c>
      <c r="I2727" s="13" t="s">
        <v>1894</v>
      </c>
      <c r="J2727" s="13" t="s">
        <v>814</v>
      </c>
      <c r="K2727" s="13" t="s">
        <v>303</v>
      </c>
      <c r="L2727" s="13" t="s">
        <v>2617</v>
      </c>
      <c r="M2727" s="6" t="s">
        <v>188</v>
      </c>
      <c r="N2727" s="6" t="s">
        <v>188</v>
      </c>
      <c r="O2727" s="6" t="s">
        <v>190</v>
      </c>
      <c r="P2727" s="7" t="s">
        <v>333</v>
      </c>
      <c r="Q2727" s="13"/>
      <c r="R2727" s="13"/>
      <c r="S2727" s="13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</row>
    <row r="2728">
      <c r="A2728" s="12">
        <v>66.0</v>
      </c>
      <c r="B2728" s="7" t="s">
        <v>602</v>
      </c>
      <c r="C2728" s="7" t="s">
        <v>1812</v>
      </c>
      <c r="I2728" s="13" t="s">
        <v>1377</v>
      </c>
      <c r="J2728" s="13" t="s">
        <v>815</v>
      </c>
      <c r="K2728" s="13" t="s">
        <v>303</v>
      </c>
      <c r="L2728" s="13" t="s">
        <v>2618</v>
      </c>
      <c r="M2728" s="6" t="s">
        <v>188</v>
      </c>
      <c r="N2728" s="6" t="s">
        <v>188</v>
      </c>
      <c r="O2728" s="6" t="s">
        <v>190</v>
      </c>
      <c r="P2728" s="7" t="s">
        <v>333</v>
      </c>
      <c r="Q2728" s="13"/>
      <c r="R2728" s="13"/>
      <c r="S2728" s="13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  <c r="AE2728" s="7"/>
    </row>
    <row r="2729">
      <c r="A2729" s="12">
        <v>66.0</v>
      </c>
      <c r="B2729" s="7" t="s">
        <v>602</v>
      </c>
      <c r="C2729" s="7" t="s">
        <v>1812</v>
      </c>
      <c r="I2729" s="13" t="s">
        <v>2345</v>
      </c>
      <c r="J2729" s="13" t="s">
        <v>813</v>
      </c>
      <c r="K2729" s="13" t="s">
        <v>303</v>
      </c>
      <c r="L2729" s="13" t="s">
        <v>2606</v>
      </c>
      <c r="M2729" s="6" t="s">
        <v>188</v>
      </c>
      <c r="N2729" s="6" t="s">
        <v>188</v>
      </c>
      <c r="O2729" s="6" t="s">
        <v>190</v>
      </c>
      <c r="P2729" s="7" t="s">
        <v>333</v>
      </c>
      <c r="Q2729" s="13"/>
      <c r="R2729" s="13"/>
      <c r="S2729" s="13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</row>
    <row r="2730">
      <c r="A2730" s="12">
        <v>66.0</v>
      </c>
      <c r="B2730" s="7" t="s">
        <v>602</v>
      </c>
      <c r="C2730" s="7" t="s">
        <v>1812</v>
      </c>
      <c r="I2730" s="13" t="s">
        <v>621</v>
      </c>
      <c r="J2730" s="13" t="s">
        <v>814</v>
      </c>
      <c r="K2730" s="13" t="s">
        <v>303</v>
      </c>
      <c r="L2730" s="13" t="s">
        <v>2619</v>
      </c>
      <c r="M2730" s="6" t="s">
        <v>188</v>
      </c>
      <c r="N2730" s="6" t="s">
        <v>188</v>
      </c>
      <c r="O2730" s="6" t="s">
        <v>190</v>
      </c>
      <c r="P2730" s="7" t="s">
        <v>333</v>
      </c>
      <c r="Q2730" s="13"/>
      <c r="R2730" s="13"/>
      <c r="S2730" s="13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</row>
    <row r="2731">
      <c r="A2731" s="12">
        <v>66.0</v>
      </c>
      <c r="B2731" s="7" t="s">
        <v>602</v>
      </c>
      <c r="C2731" s="7" t="s">
        <v>1812</v>
      </c>
      <c r="I2731" s="13" t="s">
        <v>663</v>
      </c>
      <c r="J2731" s="13" t="s">
        <v>815</v>
      </c>
      <c r="K2731" s="13" t="s">
        <v>303</v>
      </c>
      <c r="L2731" s="13" t="s">
        <v>2620</v>
      </c>
      <c r="M2731" s="6" t="s">
        <v>188</v>
      </c>
      <c r="N2731" s="6" t="s">
        <v>188</v>
      </c>
      <c r="O2731" s="6" t="s">
        <v>190</v>
      </c>
      <c r="P2731" s="7" t="s">
        <v>333</v>
      </c>
      <c r="Q2731" s="13"/>
      <c r="R2731" s="13"/>
      <c r="S2731" s="13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</row>
    <row r="2732">
      <c r="A2732" s="12">
        <v>66.0</v>
      </c>
      <c r="B2732" s="7" t="s">
        <v>602</v>
      </c>
      <c r="C2732" s="7" t="s">
        <v>1812</v>
      </c>
      <c r="I2732" s="13" t="s">
        <v>2447</v>
      </c>
      <c r="J2732" s="13" t="s">
        <v>813</v>
      </c>
      <c r="K2732" s="13" t="s">
        <v>303</v>
      </c>
      <c r="L2732" s="13" t="s">
        <v>2621</v>
      </c>
      <c r="M2732" s="6" t="s">
        <v>188</v>
      </c>
      <c r="N2732" s="6" t="s">
        <v>188</v>
      </c>
      <c r="O2732" s="6" t="s">
        <v>190</v>
      </c>
      <c r="P2732" s="7" t="s">
        <v>333</v>
      </c>
      <c r="Q2732" s="13"/>
      <c r="R2732" s="13"/>
      <c r="S2732" s="13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</row>
    <row r="2733">
      <c r="A2733" s="12">
        <v>66.0</v>
      </c>
      <c r="B2733" s="7" t="s">
        <v>602</v>
      </c>
      <c r="C2733" s="7" t="s">
        <v>1812</v>
      </c>
      <c r="I2733" s="13" t="s">
        <v>2622</v>
      </c>
      <c r="J2733" s="13" t="s">
        <v>814</v>
      </c>
      <c r="K2733" s="13" t="s">
        <v>303</v>
      </c>
      <c r="L2733" s="13" t="s">
        <v>2620</v>
      </c>
      <c r="M2733" s="6" t="s">
        <v>188</v>
      </c>
      <c r="N2733" s="6" t="s">
        <v>188</v>
      </c>
      <c r="O2733" s="6" t="s">
        <v>190</v>
      </c>
      <c r="P2733" s="7" t="s">
        <v>333</v>
      </c>
      <c r="Q2733" s="13"/>
      <c r="R2733" s="13"/>
      <c r="S2733" s="13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</row>
    <row r="2734">
      <c r="A2734" s="12">
        <v>66.0</v>
      </c>
      <c r="B2734" s="7" t="s">
        <v>602</v>
      </c>
      <c r="C2734" s="7" t="s">
        <v>1812</v>
      </c>
      <c r="I2734" s="13" t="s">
        <v>2403</v>
      </c>
      <c r="J2734" s="13" t="s">
        <v>815</v>
      </c>
      <c r="K2734" s="13" t="s">
        <v>303</v>
      </c>
      <c r="L2734" s="13" t="s">
        <v>2623</v>
      </c>
      <c r="M2734" s="6" t="s">
        <v>188</v>
      </c>
      <c r="N2734" s="6" t="s">
        <v>188</v>
      </c>
      <c r="O2734" s="6" t="s">
        <v>190</v>
      </c>
      <c r="P2734" s="7" t="s">
        <v>333</v>
      </c>
      <c r="Q2734" s="13"/>
      <c r="R2734" s="13"/>
      <c r="S2734" s="13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  <c r="AE2734" s="7"/>
    </row>
    <row r="2735">
      <c r="A2735" s="12">
        <v>66.0</v>
      </c>
      <c r="B2735" s="7" t="s">
        <v>602</v>
      </c>
      <c r="C2735" s="7" t="s">
        <v>1812</v>
      </c>
      <c r="I2735" s="13" t="s">
        <v>1593</v>
      </c>
      <c r="J2735" s="13" t="s">
        <v>813</v>
      </c>
      <c r="K2735" s="13" t="s">
        <v>303</v>
      </c>
      <c r="L2735" s="13" t="s">
        <v>2624</v>
      </c>
      <c r="M2735" s="6" t="s">
        <v>188</v>
      </c>
      <c r="N2735" s="6" t="s">
        <v>188</v>
      </c>
      <c r="O2735" s="6" t="s">
        <v>190</v>
      </c>
      <c r="P2735" s="7" t="s">
        <v>333</v>
      </c>
      <c r="Q2735" s="13"/>
      <c r="R2735" s="13"/>
      <c r="S2735" s="13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</row>
    <row r="2736">
      <c r="A2736" s="12">
        <v>66.0</v>
      </c>
      <c r="B2736" s="7" t="s">
        <v>602</v>
      </c>
      <c r="C2736" s="7" t="s">
        <v>1812</v>
      </c>
      <c r="I2736" s="13" t="s">
        <v>1903</v>
      </c>
      <c r="J2736" s="13" t="s">
        <v>814</v>
      </c>
      <c r="K2736" s="13" t="s">
        <v>303</v>
      </c>
      <c r="L2736" s="13" t="s">
        <v>2620</v>
      </c>
      <c r="M2736" s="6" t="s">
        <v>188</v>
      </c>
      <c r="N2736" s="6" t="s">
        <v>188</v>
      </c>
      <c r="O2736" s="6" t="s">
        <v>190</v>
      </c>
      <c r="P2736" s="7" t="s">
        <v>333</v>
      </c>
      <c r="Q2736" s="13"/>
      <c r="R2736" s="13"/>
      <c r="S2736" s="13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</row>
    <row r="2737">
      <c r="A2737" s="12">
        <v>66.0</v>
      </c>
      <c r="B2737" s="7" t="s">
        <v>602</v>
      </c>
      <c r="C2737" s="7" t="s">
        <v>1812</v>
      </c>
      <c r="I2737" s="13" t="s">
        <v>1596</v>
      </c>
      <c r="J2737" s="13" t="s">
        <v>815</v>
      </c>
      <c r="K2737" s="13" t="s">
        <v>303</v>
      </c>
      <c r="L2737" s="13" t="s">
        <v>2624</v>
      </c>
      <c r="M2737" s="6" t="s">
        <v>188</v>
      </c>
      <c r="N2737" s="6" t="s">
        <v>188</v>
      </c>
      <c r="O2737" s="6" t="s">
        <v>190</v>
      </c>
      <c r="P2737" s="7" t="s">
        <v>333</v>
      </c>
      <c r="Q2737" s="13"/>
      <c r="R2737" s="13"/>
      <c r="S2737" s="13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</row>
    <row r="2738">
      <c r="A2738" s="12">
        <v>66.0</v>
      </c>
      <c r="B2738" s="7" t="s">
        <v>602</v>
      </c>
      <c r="C2738" s="7" t="s">
        <v>1812</v>
      </c>
      <c r="I2738" s="13" t="s">
        <v>1876</v>
      </c>
      <c r="J2738" s="13" t="s">
        <v>813</v>
      </c>
      <c r="K2738" s="13" t="s">
        <v>303</v>
      </c>
      <c r="L2738" s="13" t="s">
        <v>2619</v>
      </c>
      <c r="M2738" s="6" t="s">
        <v>188</v>
      </c>
      <c r="N2738" s="6" t="s">
        <v>188</v>
      </c>
      <c r="O2738" s="6" t="s">
        <v>190</v>
      </c>
      <c r="P2738" s="7" t="s">
        <v>333</v>
      </c>
      <c r="Q2738" s="13"/>
      <c r="R2738" s="13"/>
      <c r="S2738" s="13"/>
      <c r="T2738" s="6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</row>
    <row r="2739">
      <c r="A2739" s="12">
        <v>66.0</v>
      </c>
      <c r="B2739" s="7" t="s">
        <v>602</v>
      </c>
      <c r="C2739" s="7" t="s">
        <v>1812</v>
      </c>
      <c r="I2739" s="13" t="s">
        <v>2452</v>
      </c>
      <c r="J2739" s="13" t="s">
        <v>814</v>
      </c>
      <c r="K2739" s="13" t="s">
        <v>303</v>
      </c>
      <c r="L2739" s="13" t="s">
        <v>2621</v>
      </c>
      <c r="M2739" s="6" t="s">
        <v>188</v>
      </c>
      <c r="N2739" s="6" t="s">
        <v>188</v>
      </c>
      <c r="O2739" s="6" t="s">
        <v>190</v>
      </c>
      <c r="P2739" s="7" t="s">
        <v>333</v>
      </c>
      <c r="Q2739" s="13"/>
      <c r="R2739" s="13"/>
      <c r="S2739" s="13"/>
      <c r="T2739" s="6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</row>
    <row r="2740">
      <c r="A2740" s="12">
        <v>66.0</v>
      </c>
      <c r="B2740" s="7" t="s">
        <v>602</v>
      </c>
      <c r="C2740" s="7" t="s">
        <v>1812</v>
      </c>
      <c r="I2740" s="13" t="s">
        <v>1713</v>
      </c>
      <c r="J2740" s="13" t="s">
        <v>815</v>
      </c>
      <c r="K2740" s="13" t="s">
        <v>303</v>
      </c>
      <c r="L2740" s="13" t="s">
        <v>2621</v>
      </c>
      <c r="M2740" s="6" t="s">
        <v>188</v>
      </c>
      <c r="N2740" s="6" t="s">
        <v>188</v>
      </c>
      <c r="O2740" s="6" t="s">
        <v>190</v>
      </c>
      <c r="P2740" s="7" t="s">
        <v>333</v>
      </c>
      <c r="Q2740" s="13"/>
      <c r="R2740" s="13"/>
      <c r="S2740" s="13"/>
      <c r="T2740" s="6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</row>
    <row r="2741">
      <c r="A2741" s="12">
        <v>66.0</v>
      </c>
      <c r="B2741" s="7" t="s">
        <v>602</v>
      </c>
      <c r="C2741" s="7" t="s">
        <v>1812</v>
      </c>
      <c r="I2741" s="13" t="s">
        <v>1143</v>
      </c>
      <c r="J2741" s="13" t="s">
        <v>813</v>
      </c>
      <c r="K2741" s="13" t="s">
        <v>303</v>
      </c>
      <c r="L2741" s="13" t="s">
        <v>2621</v>
      </c>
      <c r="M2741" s="6" t="s">
        <v>188</v>
      </c>
      <c r="N2741" s="6" t="s">
        <v>188</v>
      </c>
      <c r="O2741" s="6" t="s">
        <v>190</v>
      </c>
      <c r="P2741" s="7" t="s">
        <v>333</v>
      </c>
      <c r="Q2741" s="13"/>
      <c r="R2741" s="13"/>
      <c r="S2741" s="13"/>
      <c r="T2741" s="6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</row>
    <row r="2742">
      <c r="A2742" s="12">
        <v>66.0</v>
      </c>
      <c r="B2742" s="7" t="s">
        <v>602</v>
      </c>
      <c r="C2742" s="7" t="s">
        <v>1812</v>
      </c>
      <c r="I2742" s="13" t="s">
        <v>1699</v>
      </c>
      <c r="J2742" s="13" t="s">
        <v>814</v>
      </c>
      <c r="K2742" s="13" t="s">
        <v>303</v>
      </c>
      <c r="L2742" s="13" t="s">
        <v>2621</v>
      </c>
      <c r="M2742" s="6" t="s">
        <v>188</v>
      </c>
      <c r="N2742" s="6" t="s">
        <v>188</v>
      </c>
      <c r="O2742" s="6" t="s">
        <v>190</v>
      </c>
      <c r="P2742" s="7" t="s">
        <v>333</v>
      </c>
      <c r="Q2742" s="13"/>
      <c r="R2742" s="13"/>
      <c r="S2742" s="13"/>
      <c r="T2742" s="6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</row>
    <row r="2743">
      <c r="A2743" s="12">
        <v>66.0</v>
      </c>
      <c r="B2743" s="7" t="s">
        <v>602</v>
      </c>
      <c r="C2743" s="7" t="s">
        <v>1812</v>
      </c>
      <c r="I2743" s="13" t="s">
        <v>704</v>
      </c>
      <c r="J2743" s="13" t="s">
        <v>815</v>
      </c>
      <c r="K2743" s="13" t="s">
        <v>303</v>
      </c>
      <c r="L2743" s="13" t="s">
        <v>2625</v>
      </c>
      <c r="M2743" s="6" t="s">
        <v>188</v>
      </c>
      <c r="N2743" s="6" t="s">
        <v>188</v>
      </c>
      <c r="O2743" s="6" t="s">
        <v>190</v>
      </c>
      <c r="P2743" s="7" t="s">
        <v>333</v>
      </c>
      <c r="Q2743" s="13"/>
      <c r="R2743" s="13"/>
      <c r="S2743" s="13"/>
      <c r="T2743" s="6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</row>
    <row r="2744">
      <c r="A2744" s="12">
        <v>66.0</v>
      </c>
      <c r="B2744" s="7" t="s">
        <v>602</v>
      </c>
      <c r="C2744" s="7" t="s">
        <v>1812</v>
      </c>
      <c r="I2744" s="13" t="s">
        <v>1681</v>
      </c>
      <c r="J2744" s="13" t="s">
        <v>813</v>
      </c>
      <c r="K2744" s="13" t="s">
        <v>303</v>
      </c>
      <c r="L2744" s="13" t="s">
        <v>2626</v>
      </c>
      <c r="M2744" s="6" t="s">
        <v>188</v>
      </c>
      <c r="N2744" s="6" t="s">
        <v>188</v>
      </c>
      <c r="O2744" s="6" t="s">
        <v>190</v>
      </c>
      <c r="P2744" s="7" t="s">
        <v>333</v>
      </c>
      <c r="Q2744" s="13"/>
      <c r="R2744" s="13"/>
      <c r="S2744" s="13"/>
      <c r="T2744" s="6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</row>
    <row r="2745">
      <c r="A2745" s="12">
        <v>66.0</v>
      </c>
      <c r="B2745" s="7" t="s">
        <v>602</v>
      </c>
      <c r="C2745" s="7" t="s">
        <v>1812</v>
      </c>
      <c r="I2745" s="13" t="s">
        <v>2348</v>
      </c>
      <c r="J2745" s="13" t="s">
        <v>814</v>
      </c>
      <c r="K2745" s="13" t="s">
        <v>303</v>
      </c>
      <c r="L2745" s="13" t="s">
        <v>2621</v>
      </c>
      <c r="M2745" s="6" t="s">
        <v>188</v>
      </c>
      <c r="N2745" s="6" t="s">
        <v>188</v>
      </c>
      <c r="O2745" s="6" t="s">
        <v>190</v>
      </c>
      <c r="P2745" s="7" t="s">
        <v>333</v>
      </c>
      <c r="Q2745" s="13"/>
      <c r="R2745" s="13"/>
      <c r="S2745" s="13"/>
      <c r="T2745" s="6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</row>
    <row r="2746">
      <c r="A2746" s="12">
        <v>66.0</v>
      </c>
      <c r="B2746" s="7" t="s">
        <v>602</v>
      </c>
      <c r="C2746" s="7" t="s">
        <v>1812</v>
      </c>
      <c r="I2746" s="13" t="s">
        <v>1338</v>
      </c>
      <c r="J2746" s="13" t="s">
        <v>815</v>
      </c>
      <c r="K2746" s="13" t="s">
        <v>303</v>
      </c>
      <c r="L2746" s="13" t="s">
        <v>2621</v>
      </c>
      <c r="M2746" s="6" t="s">
        <v>188</v>
      </c>
      <c r="N2746" s="6" t="s">
        <v>188</v>
      </c>
      <c r="O2746" s="6" t="s">
        <v>190</v>
      </c>
      <c r="P2746" s="7" t="s">
        <v>333</v>
      </c>
      <c r="Q2746" s="13"/>
      <c r="R2746" s="13"/>
      <c r="S2746" s="13"/>
      <c r="T2746" s="6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</row>
    <row r="2747">
      <c r="A2747" s="12">
        <v>66.0</v>
      </c>
      <c r="B2747" s="7" t="s">
        <v>602</v>
      </c>
      <c r="C2747" s="7" t="s">
        <v>1812</v>
      </c>
      <c r="I2747" s="13" t="s">
        <v>1736</v>
      </c>
      <c r="J2747" s="13" t="s">
        <v>813</v>
      </c>
      <c r="K2747" s="13" t="s">
        <v>303</v>
      </c>
      <c r="L2747" s="13" t="s">
        <v>2626</v>
      </c>
      <c r="M2747" s="6" t="s">
        <v>188</v>
      </c>
      <c r="N2747" s="6" t="s">
        <v>188</v>
      </c>
      <c r="O2747" s="6" t="s">
        <v>190</v>
      </c>
      <c r="P2747" s="7" t="s">
        <v>333</v>
      </c>
      <c r="Q2747" s="13"/>
      <c r="R2747" s="13"/>
      <c r="S2747" s="13"/>
      <c r="T2747" s="6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</row>
    <row r="2748">
      <c r="A2748" s="12">
        <v>66.0</v>
      </c>
      <c r="B2748" s="7" t="s">
        <v>602</v>
      </c>
      <c r="C2748" s="7" t="s">
        <v>1812</v>
      </c>
      <c r="I2748" s="13" t="s">
        <v>1746</v>
      </c>
      <c r="J2748" s="13" t="s">
        <v>814</v>
      </c>
      <c r="K2748" s="13" t="s">
        <v>303</v>
      </c>
      <c r="L2748" s="13" t="s">
        <v>2626</v>
      </c>
      <c r="M2748" s="6" t="s">
        <v>188</v>
      </c>
      <c r="N2748" s="6" t="s">
        <v>188</v>
      </c>
      <c r="O2748" s="6" t="s">
        <v>190</v>
      </c>
      <c r="P2748" s="7" t="s">
        <v>333</v>
      </c>
      <c r="Q2748" s="13"/>
      <c r="R2748" s="13"/>
      <c r="S2748" s="13"/>
      <c r="T2748" s="6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</row>
    <row r="2749">
      <c r="A2749" s="12">
        <v>66.0</v>
      </c>
      <c r="B2749" s="7" t="s">
        <v>602</v>
      </c>
      <c r="C2749" s="7" t="s">
        <v>1812</v>
      </c>
      <c r="I2749" s="13" t="s">
        <v>1602</v>
      </c>
      <c r="J2749" s="13" t="s">
        <v>815</v>
      </c>
      <c r="K2749" s="13" t="s">
        <v>303</v>
      </c>
      <c r="L2749" s="13" t="s">
        <v>2625</v>
      </c>
      <c r="M2749" s="6" t="s">
        <v>188</v>
      </c>
      <c r="N2749" s="6" t="s">
        <v>188</v>
      </c>
      <c r="O2749" s="6" t="s">
        <v>190</v>
      </c>
      <c r="P2749" s="7" t="s">
        <v>333</v>
      </c>
      <c r="Q2749" s="13"/>
      <c r="R2749" s="13"/>
      <c r="S2749" s="13"/>
      <c r="T2749" s="6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</row>
    <row r="2750">
      <c r="A2750" s="12">
        <v>66.0</v>
      </c>
      <c r="B2750" s="7" t="s">
        <v>602</v>
      </c>
      <c r="C2750" s="7" t="s">
        <v>1812</v>
      </c>
      <c r="I2750" s="13" t="s">
        <v>1854</v>
      </c>
      <c r="J2750" s="13" t="s">
        <v>813</v>
      </c>
      <c r="K2750" s="13" t="s">
        <v>303</v>
      </c>
      <c r="L2750" s="13" t="s">
        <v>2625</v>
      </c>
      <c r="M2750" s="6" t="s">
        <v>188</v>
      </c>
      <c r="N2750" s="6" t="s">
        <v>188</v>
      </c>
      <c r="O2750" s="6" t="s">
        <v>190</v>
      </c>
      <c r="P2750" s="7" t="s">
        <v>333</v>
      </c>
      <c r="Q2750" s="13"/>
      <c r="R2750" s="13"/>
      <c r="S2750" s="13"/>
      <c r="T2750" s="6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</row>
    <row r="2751">
      <c r="A2751" s="12">
        <v>66.0</v>
      </c>
      <c r="B2751" s="7" t="s">
        <v>602</v>
      </c>
      <c r="C2751" s="7" t="s">
        <v>1812</v>
      </c>
      <c r="I2751" s="13" t="s">
        <v>2388</v>
      </c>
      <c r="J2751" s="13" t="s">
        <v>814</v>
      </c>
      <c r="K2751" s="13" t="s">
        <v>303</v>
      </c>
      <c r="L2751" s="13" t="s">
        <v>2620</v>
      </c>
      <c r="M2751" s="6" t="s">
        <v>188</v>
      </c>
      <c r="N2751" s="6" t="s">
        <v>188</v>
      </c>
      <c r="O2751" s="6" t="s">
        <v>190</v>
      </c>
      <c r="P2751" s="7" t="s">
        <v>333</v>
      </c>
      <c r="Q2751" s="13"/>
      <c r="R2751" s="13"/>
      <c r="S2751" s="13"/>
      <c r="T2751" s="6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</row>
    <row r="2752">
      <c r="A2752" s="12">
        <v>66.0</v>
      </c>
      <c r="B2752" s="7" t="s">
        <v>602</v>
      </c>
      <c r="C2752" s="7" t="s">
        <v>1812</v>
      </c>
      <c r="I2752" s="13" t="s">
        <v>1281</v>
      </c>
      <c r="J2752" s="13" t="s">
        <v>815</v>
      </c>
      <c r="K2752" s="13" t="s">
        <v>303</v>
      </c>
      <c r="L2752" s="13" t="s">
        <v>2627</v>
      </c>
      <c r="M2752" s="6" t="s">
        <v>188</v>
      </c>
      <c r="N2752" s="6" t="s">
        <v>188</v>
      </c>
      <c r="O2752" s="6" t="s">
        <v>190</v>
      </c>
      <c r="P2752" s="7" t="s">
        <v>333</v>
      </c>
      <c r="Q2752" s="13"/>
      <c r="R2752" s="13"/>
      <c r="S2752" s="13"/>
      <c r="T2752" s="6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</row>
    <row r="2753">
      <c r="A2753" s="12">
        <v>66.0</v>
      </c>
      <c r="B2753" s="7" t="s">
        <v>602</v>
      </c>
      <c r="C2753" s="7" t="s">
        <v>1812</v>
      </c>
      <c r="I2753" s="13" t="s">
        <v>660</v>
      </c>
      <c r="J2753" s="13" t="s">
        <v>813</v>
      </c>
      <c r="K2753" s="13" t="s">
        <v>303</v>
      </c>
      <c r="L2753" s="13" t="s">
        <v>2627</v>
      </c>
      <c r="M2753" s="6" t="s">
        <v>188</v>
      </c>
      <c r="N2753" s="6" t="s">
        <v>188</v>
      </c>
      <c r="O2753" s="6" t="s">
        <v>190</v>
      </c>
      <c r="P2753" s="7" t="s">
        <v>333</v>
      </c>
      <c r="Q2753" s="13"/>
      <c r="R2753" s="13"/>
      <c r="S2753" s="13"/>
      <c r="T2753" s="6"/>
      <c r="U2753" s="7"/>
      <c r="V2753" s="7"/>
      <c r="W2753" s="7"/>
      <c r="X2753" s="7"/>
      <c r="Y2753" s="7"/>
      <c r="Z2753" s="7"/>
      <c r="AA2753" s="7"/>
      <c r="AB2753" s="7"/>
      <c r="AC2753" s="7"/>
      <c r="AD2753" s="7"/>
      <c r="AE2753" s="7"/>
    </row>
    <row r="2754">
      <c r="A2754" s="12">
        <v>66.0</v>
      </c>
      <c r="B2754" s="7" t="s">
        <v>602</v>
      </c>
      <c r="C2754" s="7" t="s">
        <v>1812</v>
      </c>
      <c r="I2754" s="13" t="s">
        <v>1722</v>
      </c>
      <c r="J2754" s="13" t="s">
        <v>814</v>
      </c>
      <c r="K2754" s="13" t="s">
        <v>303</v>
      </c>
      <c r="L2754" s="13" t="s">
        <v>2625</v>
      </c>
      <c r="M2754" s="6" t="s">
        <v>188</v>
      </c>
      <c r="N2754" s="6" t="s">
        <v>188</v>
      </c>
      <c r="O2754" s="6" t="s">
        <v>190</v>
      </c>
      <c r="P2754" s="7" t="s">
        <v>333</v>
      </c>
      <c r="Q2754" s="13"/>
      <c r="R2754" s="13"/>
      <c r="S2754" s="13"/>
      <c r="T2754" s="6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</row>
    <row r="2755">
      <c r="A2755" s="12">
        <v>66.0</v>
      </c>
      <c r="B2755" s="7" t="s">
        <v>602</v>
      </c>
      <c r="C2755" s="7" t="s">
        <v>1812</v>
      </c>
      <c r="I2755" s="13" t="s">
        <v>513</v>
      </c>
      <c r="J2755" s="13" t="s">
        <v>815</v>
      </c>
      <c r="K2755" s="13" t="s">
        <v>303</v>
      </c>
      <c r="L2755" s="13" t="s">
        <v>2628</v>
      </c>
      <c r="M2755" s="6" t="s">
        <v>188</v>
      </c>
      <c r="N2755" s="6" t="s">
        <v>188</v>
      </c>
      <c r="O2755" s="6" t="s">
        <v>190</v>
      </c>
      <c r="P2755" s="7" t="s">
        <v>333</v>
      </c>
      <c r="Q2755" s="13"/>
      <c r="R2755" s="13"/>
      <c r="S2755" s="13"/>
      <c r="T2755" s="6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</row>
    <row r="2756">
      <c r="A2756" s="12">
        <v>66.0</v>
      </c>
      <c r="B2756" s="7" t="s">
        <v>602</v>
      </c>
      <c r="C2756" s="7" t="s">
        <v>1812</v>
      </c>
      <c r="I2756" s="13" t="s">
        <v>1156</v>
      </c>
      <c r="J2756" s="13" t="s">
        <v>813</v>
      </c>
      <c r="K2756" s="13" t="s">
        <v>303</v>
      </c>
      <c r="L2756" s="13" t="s">
        <v>2621</v>
      </c>
      <c r="M2756" s="6" t="s">
        <v>188</v>
      </c>
      <c r="N2756" s="6" t="s">
        <v>188</v>
      </c>
      <c r="O2756" s="6" t="s">
        <v>190</v>
      </c>
      <c r="P2756" s="7" t="s">
        <v>333</v>
      </c>
      <c r="Q2756" s="13"/>
      <c r="R2756" s="13"/>
      <c r="S2756" s="13"/>
      <c r="T2756" s="6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</row>
    <row r="2757">
      <c r="A2757" s="12">
        <v>66.0</v>
      </c>
      <c r="B2757" s="7" t="s">
        <v>602</v>
      </c>
      <c r="C2757" s="7" t="s">
        <v>1812</v>
      </c>
      <c r="I2757" s="13" t="s">
        <v>607</v>
      </c>
      <c r="J2757" s="13" t="s">
        <v>814</v>
      </c>
      <c r="K2757" s="13" t="s">
        <v>303</v>
      </c>
      <c r="L2757" s="13" t="s">
        <v>2625</v>
      </c>
      <c r="M2757" s="6" t="s">
        <v>188</v>
      </c>
      <c r="N2757" s="6" t="s">
        <v>188</v>
      </c>
      <c r="O2757" s="6" t="s">
        <v>190</v>
      </c>
      <c r="P2757" s="7" t="s">
        <v>333</v>
      </c>
      <c r="Q2757" s="13"/>
      <c r="R2757" s="13"/>
      <c r="S2757" s="13"/>
      <c r="T2757" s="6"/>
      <c r="U2757" s="7"/>
      <c r="V2757" s="7"/>
      <c r="W2757" s="7"/>
      <c r="X2757" s="7"/>
      <c r="Y2757" s="7"/>
      <c r="Z2757" s="7"/>
      <c r="AA2757" s="7"/>
      <c r="AB2757" s="7"/>
      <c r="AC2757" s="7"/>
      <c r="AD2757" s="7"/>
      <c r="AE2757" s="7"/>
    </row>
    <row r="2758">
      <c r="A2758" s="12">
        <v>66.0</v>
      </c>
      <c r="B2758" s="7" t="s">
        <v>602</v>
      </c>
      <c r="C2758" s="7" t="s">
        <v>1812</v>
      </c>
      <c r="I2758" s="13" t="s">
        <v>1301</v>
      </c>
      <c r="J2758" s="13" t="s">
        <v>815</v>
      </c>
      <c r="K2758" s="13" t="s">
        <v>303</v>
      </c>
      <c r="L2758" s="13" t="s">
        <v>2626</v>
      </c>
      <c r="M2758" s="6" t="s">
        <v>188</v>
      </c>
      <c r="N2758" s="6" t="s">
        <v>188</v>
      </c>
      <c r="O2758" s="6" t="s">
        <v>190</v>
      </c>
      <c r="P2758" s="7" t="s">
        <v>333</v>
      </c>
      <c r="Q2758" s="13"/>
      <c r="R2758" s="13"/>
      <c r="S2758" s="13"/>
      <c r="T2758" s="6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</row>
    <row r="2759">
      <c r="A2759" s="12">
        <v>66.0</v>
      </c>
      <c r="B2759" s="7" t="s">
        <v>602</v>
      </c>
      <c r="C2759" s="7" t="s">
        <v>1812</v>
      </c>
      <c r="I2759" s="13" t="s">
        <v>595</v>
      </c>
      <c r="J2759" s="13" t="s">
        <v>813</v>
      </c>
      <c r="K2759" s="13" t="s">
        <v>303</v>
      </c>
      <c r="L2759" s="13" t="s">
        <v>2626</v>
      </c>
      <c r="M2759" s="6" t="s">
        <v>188</v>
      </c>
      <c r="N2759" s="6" t="s">
        <v>188</v>
      </c>
      <c r="O2759" s="6" t="s">
        <v>190</v>
      </c>
      <c r="P2759" s="7" t="s">
        <v>333</v>
      </c>
      <c r="Q2759" s="13"/>
      <c r="R2759" s="13"/>
      <c r="S2759" s="13"/>
      <c r="T2759" s="6"/>
      <c r="U2759" s="7"/>
      <c r="V2759" s="7"/>
      <c r="W2759" s="7"/>
      <c r="X2759" s="7"/>
      <c r="Y2759" s="7"/>
      <c r="Z2759" s="7"/>
      <c r="AA2759" s="7"/>
      <c r="AB2759" s="7"/>
      <c r="AC2759" s="7"/>
      <c r="AD2759" s="7"/>
      <c r="AE2759" s="7"/>
    </row>
    <row r="2760">
      <c r="A2760" s="12">
        <v>66.0</v>
      </c>
      <c r="B2760" s="7" t="s">
        <v>602</v>
      </c>
      <c r="C2760" s="7" t="s">
        <v>1812</v>
      </c>
      <c r="I2760" s="13" t="s">
        <v>1744</v>
      </c>
      <c r="J2760" s="13" t="s">
        <v>814</v>
      </c>
      <c r="K2760" s="13" t="s">
        <v>303</v>
      </c>
      <c r="L2760" s="13" t="s">
        <v>2626</v>
      </c>
      <c r="M2760" s="6" t="s">
        <v>188</v>
      </c>
      <c r="N2760" s="6" t="s">
        <v>188</v>
      </c>
      <c r="O2760" s="6" t="s">
        <v>190</v>
      </c>
      <c r="P2760" s="7" t="s">
        <v>333</v>
      </c>
      <c r="Q2760" s="13"/>
      <c r="R2760" s="13"/>
      <c r="S2760" s="13"/>
      <c r="T2760" s="6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</row>
    <row r="2761">
      <c r="A2761" s="12">
        <v>66.0</v>
      </c>
      <c r="B2761" s="7" t="s">
        <v>602</v>
      </c>
      <c r="C2761" s="7" t="s">
        <v>1812</v>
      </c>
      <c r="I2761" s="13" t="s">
        <v>1731</v>
      </c>
      <c r="J2761" s="13" t="s">
        <v>815</v>
      </c>
      <c r="K2761" s="13" t="s">
        <v>303</v>
      </c>
      <c r="L2761" s="13" t="s">
        <v>2626</v>
      </c>
      <c r="M2761" s="6" t="s">
        <v>188</v>
      </c>
      <c r="N2761" s="6" t="s">
        <v>188</v>
      </c>
      <c r="O2761" s="6" t="s">
        <v>190</v>
      </c>
      <c r="P2761" s="7" t="s">
        <v>333</v>
      </c>
      <c r="Q2761" s="13"/>
      <c r="R2761" s="13"/>
      <c r="S2761" s="13"/>
      <c r="T2761" s="6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  <c r="AE2761" s="7"/>
    </row>
    <row r="2762">
      <c r="A2762" s="12">
        <v>66.0</v>
      </c>
      <c r="B2762" s="7" t="s">
        <v>602</v>
      </c>
      <c r="C2762" s="7" t="s">
        <v>1812</v>
      </c>
      <c r="I2762" s="13" t="s">
        <v>1924</v>
      </c>
      <c r="J2762" s="13" t="s">
        <v>813</v>
      </c>
      <c r="K2762" s="13" t="s">
        <v>303</v>
      </c>
      <c r="L2762" s="13" t="s">
        <v>2621</v>
      </c>
      <c r="M2762" s="6" t="s">
        <v>188</v>
      </c>
      <c r="N2762" s="6" t="s">
        <v>188</v>
      </c>
      <c r="O2762" s="6" t="s">
        <v>190</v>
      </c>
      <c r="P2762" s="7" t="s">
        <v>333</v>
      </c>
      <c r="Q2762" s="13"/>
      <c r="R2762" s="13"/>
      <c r="S2762" s="13"/>
      <c r="T2762" s="6"/>
      <c r="U2762" s="7"/>
      <c r="V2762" s="7"/>
      <c r="W2762" s="7"/>
      <c r="X2762" s="7"/>
      <c r="Y2762" s="7"/>
      <c r="Z2762" s="7"/>
      <c r="AA2762" s="7"/>
      <c r="AB2762" s="7"/>
      <c r="AC2762" s="7"/>
      <c r="AD2762" s="7"/>
      <c r="AE2762" s="7"/>
    </row>
    <row r="2763">
      <c r="A2763" s="12">
        <v>66.0</v>
      </c>
      <c r="B2763" s="7" t="s">
        <v>602</v>
      </c>
      <c r="C2763" s="7" t="s">
        <v>1812</v>
      </c>
      <c r="I2763" s="13" t="s">
        <v>1116</v>
      </c>
      <c r="J2763" s="13" t="s">
        <v>814</v>
      </c>
      <c r="K2763" s="13" t="s">
        <v>303</v>
      </c>
      <c r="L2763" s="13" t="s">
        <v>2621</v>
      </c>
      <c r="M2763" s="6" t="s">
        <v>188</v>
      </c>
      <c r="N2763" s="6" t="s">
        <v>188</v>
      </c>
      <c r="O2763" s="6" t="s">
        <v>190</v>
      </c>
      <c r="P2763" s="7" t="s">
        <v>333</v>
      </c>
      <c r="Q2763" s="13"/>
      <c r="R2763" s="13"/>
      <c r="S2763" s="13"/>
      <c r="T2763" s="6"/>
      <c r="U2763" s="7"/>
      <c r="V2763" s="7"/>
      <c r="W2763" s="7"/>
      <c r="X2763" s="7"/>
      <c r="Y2763" s="7"/>
      <c r="Z2763" s="7"/>
      <c r="AA2763" s="7"/>
      <c r="AB2763" s="7"/>
      <c r="AC2763" s="7"/>
      <c r="AD2763" s="7"/>
      <c r="AE2763" s="7"/>
    </row>
    <row r="2764">
      <c r="A2764" s="12">
        <v>66.0</v>
      </c>
      <c r="B2764" s="7" t="s">
        <v>602</v>
      </c>
      <c r="C2764" s="7" t="s">
        <v>1812</v>
      </c>
      <c r="I2764" s="13" t="s">
        <v>2080</v>
      </c>
      <c r="J2764" s="13" t="s">
        <v>815</v>
      </c>
      <c r="K2764" s="13" t="s">
        <v>303</v>
      </c>
      <c r="L2764" s="13" t="s">
        <v>2081</v>
      </c>
      <c r="M2764" s="6" t="s">
        <v>188</v>
      </c>
      <c r="N2764" s="6" t="s">
        <v>188</v>
      </c>
      <c r="O2764" s="6" t="s">
        <v>190</v>
      </c>
      <c r="P2764" s="7" t="s">
        <v>624</v>
      </c>
      <c r="Q2764" s="13"/>
      <c r="R2764" s="13"/>
      <c r="S2764" s="13"/>
      <c r="T2764" s="6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</row>
    <row r="2765">
      <c r="A2765" s="12">
        <v>66.0</v>
      </c>
      <c r="B2765" s="7" t="s">
        <v>602</v>
      </c>
      <c r="C2765" s="7" t="s">
        <v>1812</v>
      </c>
      <c r="I2765" s="13" t="s">
        <v>2082</v>
      </c>
      <c r="J2765" s="13" t="s">
        <v>813</v>
      </c>
      <c r="K2765" s="13" t="s">
        <v>303</v>
      </c>
      <c r="L2765" s="13" t="s">
        <v>2081</v>
      </c>
      <c r="M2765" s="6" t="s">
        <v>188</v>
      </c>
      <c r="N2765" s="6" t="s">
        <v>188</v>
      </c>
      <c r="O2765" s="6" t="s">
        <v>190</v>
      </c>
      <c r="P2765" s="7" t="s">
        <v>333</v>
      </c>
      <c r="Q2765" s="13"/>
      <c r="R2765" s="13"/>
      <c r="S2765" s="13"/>
      <c r="T2765" s="6"/>
      <c r="U2765" s="7"/>
      <c r="V2765" s="7"/>
      <c r="W2765" s="7"/>
      <c r="X2765" s="7"/>
      <c r="Y2765" s="7"/>
      <c r="Z2765" s="7"/>
      <c r="AA2765" s="7"/>
      <c r="AB2765" s="7"/>
      <c r="AC2765" s="7"/>
      <c r="AD2765" s="7"/>
      <c r="AE2765" s="7"/>
    </row>
    <row r="2766">
      <c r="A2766" s="12">
        <v>66.0</v>
      </c>
      <c r="B2766" s="7" t="s">
        <v>602</v>
      </c>
      <c r="C2766" s="7" t="s">
        <v>1812</v>
      </c>
      <c r="I2766" s="13" t="s">
        <v>2085</v>
      </c>
      <c r="J2766" s="13" t="s">
        <v>814</v>
      </c>
      <c r="K2766" s="13" t="s">
        <v>303</v>
      </c>
      <c r="L2766" s="13" t="s">
        <v>2081</v>
      </c>
      <c r="M2766" s="6" t="s">
        <v>188</v>
      </c>
      <c r="N2766" s="6" t="s">
        <v>188</v>
      </c>
      <c r="O2766" s="6" t="s">
        <v>190</v>
      </c>
      <c r="P2766" s="7" t="s">
        <v>333</v>
      </c>
      <c r="Q2766" s="13"/>
      <c r="R2766" s="13"/>
      <c r="S2766" s="13"/>
      <c r="T2766" s="6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</row>
    <row r="2767">
      <c r="A2767" s="12">
        <v>66.0</v>
      </c>
      <c r="B2767" s="7" t="s">
        <v>602</v>
      </c>
      <c r="C2767" s="7" t="s">
        <v>1812</v>
      </c>
      <c r="I2767" s="13" t="s">
        <v>2087</v>
      </c>
      <c r="J2767" s="13" t="s">
        <v>815</v>
      </c>
      <c r="K2767" s="13" t="s">
        <v>303</v>
      </c>
      <c r="L2767" s="13" t="s">
        <v>2081</v>
      </c>
      <c r="M2767" s="6" t="s">
        <v>188</v>
      </c>
      <c r="N2767" s="6" t="s">
        <v>188</v>
      </c>
      <c r="O2767" s="6" t="s">
        <v>190</v>
      </c>
      <c r="P2767" s="7" t="s">
        <v>333</v>
      </c>
      <c r="Q2767" s="13"/>
      <c r="R2767" s="13"/>
      <c r="S2767" s="13"/>
      <c r="T2767" s="6"/>
      <c r="U2767" s="7"/>
      <c r="V2767" s="7"/>
      <c r="W2767" s="7"/>
      <c r="X2767" s="7"/>
      <c r="Y2767" s="7"/>
      <c r="Z2767" s="7"/>
      <c r="AA2767" s="7"/>
      <c r="AB2767" s="7"/>
      <c r="AC2767" s="7"/>
      <c r="AD2767" s="7"/>
      <c r="AE2767" s="7"/>
    </row>
    <row r="2768">
      <c r="A2768" s="12">
        <v>66.0</v>
      </c>
      <c r="B2768" s="7" t="s">
        <v>602</v>
      </c>
      <c r="C2768" s="7" t="s">
        <v>1812</v>
      </c>
      <c r="I2768" s="13" t="s">
        <v>2039</v>
      </c>
      <c r="J2768" s="13" t="s">
        <v>813</v>
      </c>
      <c r="K2768" s="13" t="s">
        <v>303</v>
      </c>
      <c r="L2768" s="13" t="s">
        <v>2081</v>
      </c>
      <c r="M2768" s="6" t="s">
        <v>188</v>
      </c>
      <c r="N2768" s="6" t="s">
        <v>188</v>
      </c>
      <c r="O2768" s="6" t="s">
        <v>190</v>
      </c>
      <c r="P2768" s="7" t="s">
        <v>333</v>
      </c>
      <c r="Q2768" s="13"/>
      <c r="R2768" s="13"/>
      <c r="S2768" s="13"/>
      <c r="T2768" s="6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</row>
    <row r="2769">
      <c r="A2769" s="12">
        <v>66.0</v>
      </c>
      <c r="B2769" s="7" t="s">
        <v>602</v>
      </c>
      <c r="C2769" s="7" t="s">
        <v>1812</v>
      </c>
      <c r="I2769" s="13" t="s">
        <v>703</v>
      </c>
      <c r="J2769" s="13" t="s">
        <v>814</v>
      </c>
      <c r="K2769" s="13" t="s">
        <v>303</v>
      </c>
      <c r="L2769" s="13" t="s">
        <v>2081</v>
      </c>
      <c r="M2769" s="6" t="s">
        <v>188</v>
      </c>
      <c r="N2769" s="6" t="s">
        <v>188</v>
      </c>
      <c r="O2769" s="6" t="s">
        <v>190</v>
      </c>
      <c r="P2769" s="7" t="s">
        <v>333</v>
      </c>
      <c r="Q2769" s="13"/>
      <c r="R2769" s="13"/>
      <c r="S2769" s="13"/>
      <c r="T2769" s="6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</row>
    <row r="2770">
      <c r="A2770" s="12">
        <v>66.0</v>
      </c>
      <c r="B2770" s="7" t="s">
        <v>602</v>
      </c>
      <c r="C2770" s="7" t="s">
        <v>1812</v>
      </c>
      <c r="I2770" s="13" t="s">
        <v>2041</v>
      </c>
      <c r="J2770" s="13" t="s">
        <v>815</v>
      </c>
      <c r="K2770" s="13" t="s">
        <v>303</v>
      </c>
      <c r="L2770" s="13" t="s">
        <v>2081</v>
      </c>
      <c r="M2770" s="6" t="s">
        <v>188</v>
      </c>
      <c r="N2770" s="6" t="s">
        <v>188</v>
      </c>
      <c r="O2770" s="6" t="s">
        <v>190</v>
      </c>
      <c r="P2770" s="7" t="s">
        <v>333</v>
      </c>
      <c r="Q2770" s="13"/>
      <c r="R2770" s="13"/>
      <c r="S2770" s="13"/>
      <c r="T2770" s="6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</row>
    <row r="2771">
      <c r="A2771" s="12">
        <v>66.0</v>
      </c>
      <c r="B2771" s="7" t="s">
        <v>602</v>
      </c>
      <c r="C2771" s="7" t="s">
        <v>1812</v>
      </c>
      <c r="I2771" s="13" t="s">
        <v>708</v>
      </c>
      <c r="J2771" s="13" t="s">
        <v>813</v>
      </c>
      <c r="K2771" s="13" t="s">
        <v>303</v>
      </c>
      <c r="L2771" s="13" t="s">
        <v>2081</v>
      </c>
      <c r="M2771" s="6" t="s">
        <v>188</v>
      </c>
      <c r="N2771" s="6" t="s">
        <v>188</v>
      </c>
      <c r="O2771" s="6" t="s">
        <v>190</v>
      </c>
      <c r="P2771" s="7" t="s">
        <v>333</v>
      </c>
      <c r="Q2771" s="13"/>
      <c r="R2771" s="13"/>
      <c r="S2771" s="13"/>
      <c r="T2771" s="6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</row>
    <row r="2772">
      <c r="A2772" s="12">
        <v>66.0</v>
      </c>
      <c r="B2772" s="7" t="s">
        <v>602</v>
      </c>
      <c r="C2772" s="7" t="s">
        <v>1812</v>
      </c>
      <c r="I2772" s="13" t="s">
        <v>2042</v>
      </c>
      <c r="J2772" s="13" t="s">
        <v>814</v>
      </c>
      <c r="K2772" s="13" t="s">
        <v>303</v>
      </c>
      <c r="L2772" s="13" t="s">
        <v>2081</v>
      </c>
      <c r="M2772" s="6" t="s">
        <v>188</v>
      </c>
      <c r="N2772" s="6" t="s">
        <v>188</v>
      </c>
      <c r="O2772" s="6" t="s">
        <v>190</v>
      </c>
      <c r="P2772" s="7" t="s">
        <v>333</v>
      </c>
      <c r="Q2772" s="13"/>
      <c r="R2772" s="13"/>
      <c r="S2772" s="13"/>
      <c r="T2772" s="6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</row>
    <row r="2773">
      <c r="A2773" s="12">
        <v>66.0</v>
      </c>
      <c r="B2773" s="7" t="s">
        <v>602</v>
      </c>
      <c r="C2773" s="7" t="s">
        <v>1812</v>
      </c>
      <c r="I2773" s="13" t="s">
        <v>1857</v>
      </c>
      <c r="J2773" s="13" t="s">
        <v>815</v>
      </c>
      <c r="K2773" s="13" t="s">
        <v>303</v>
      </c>
      <c r="L2773" s="13" t="s">
        <v>2081</v>
      </c>
      <c r="M2773" s="6" t="s">
        <v>188</v>
      </c>
      <c r="N2773" s="6" t="s">
        <v>188</v>
      </c>
      <c r="O2773" s="6" t="s">
        <v>190</v>
      </c>
      <c r="P2773" s="7" t="s">
        <v>333</v>
      </c>
      <c r="Q2773" s="13"/>
      <c r="R2773" s="13"/>
      <c r="S2773" s="13"/>
      <c r="T2773" s="6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</row>
    <row r="2774">
      <c r="A2774" s="12">
        <v>66.0</v>
      </c>
      <c r="B2774" s="7" t="s">
        <v>602</v>
      </c>
      <c r="C2774" s="7" t="s">
        <v>1812</v>
      </c>
      <c r="I2774" s="13" t="s">
        <v>1478</v>
      </c>
      <c r="J2774" s="13" t="s">
        <v>813</v>
      </c>
      <c r="K2774" s="13" t="s">
        <v>303</v>
      </c>
      <c r="L2774" s="13" t="s">
        <v>2081</v>
      </c>
      <c r="M2774" s="6" t="s">
        <v>188</v>
      </c>
      <c r="N2774" s="6" t="s">
        <v>188</v>
      </c>
      <c r="O2774" s="6" t="s">
        <v>190</v>
      </c>
      <c r="P2774" s="7" t="s">
        <v>333</v>
      </c>
      <c r="Q2774" s="13"/>
      <c r="R2774" s="13"/>
      <c r="S2774" s="13"/>
      <c r="T2774" s="6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</row>
    <row r="2775">
      <c r="A2775" s="12">
        <v>66.0</v>
      </c>
      <c r="B2775" s="7" t="s">
        <v>602</v>
      </c>
      <c r="C2775" s="7" t="s">
        <v>1812</v>
      </c>
      <c r="I2775" s="13" t="s">
        <v>687</v>
      </c>
      <c r="J2775" s="13" t="s">
        <v>814</v>
      </c>
      <c r="K2775" s="13" t="s">
        <v>303</v>
      </c>
      <c r="L2775" s="13" t="s">
        <v>2081</v>
      </c>
      <c r="M2775" s="6" t="s">
        <v>188</v>
      </c>
      <c r="N2775" s="6" t="s">
        <v>188</v>
      </c>
      <c r="O2775" s="6" t="s">
        <v>190</v>
      </c>
      <c r="P2775" s="7" t="s">
        <v>333</v>
      </c>
      <c r="Q2775" s="13"/>
      <c r="R2775" s="13"/>
      <c r="S2775" s="13"/>
      <c r="T2775" s="6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</row>
    <row r="2776">
      <c r="A2776" s="12">
        <v>66.0</v>
      </c>
      <c r="B2776" s="7" t="s">
        <v>602</v>
      </c>
      <c r="C2776" s="7" t="s">
        <v>1812</v>
      </c>
      <c r="I2776" s="13" t="s">
        <v>1151</v>
      </c>
      <c r="J2776" s="13" t="s">
        <v>815</v>
      </c>
      <c r="K2776" s="13" t="s">
        <v>303</v>
      </c>
      <c r="L2776" s="13" t="s">
        <v>2081</v>
      </c>
      <c r="M2776" s="6" t="s">
        <v>188</v>
      </c>
      <c r="N2776" s="6" t="s">
        <v>188</v>
      </c>
      <c r="O2776" s="6" t="s">
        <v>190</v>
      </c>
      <c r="P2776" s="7" t="s">
        <v>333</v>
      </c>
      <c r="Q2776" s="13"/>
      <c r="R2776" s="13"/>
      <c r="S2776" s="13"/>
      <c r="T2776" s="6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</row>
    <row r="2777">
      <c r="A2777" s="12">
        <v>66.0</v>
      </c>
      <c r="B2777" s="7" t="s">
        <v>602</v>
      </c>
      <c r="C2777" s="7" t="s">
        <v>1812</v>
      </c>
      <c r="I2777" s="13" t="s">
        <v>2278</v>
      </c>
      <c r="J2777" s="13" t="s">
        <v>813</v>
      </c>
      <c r="K2777" s="13" t="s">
        <v>303</v>
      </c>
      <c r="L2777" s="13" t="s">
        <v>2081</v>
      </c>
      <c r="M2777" s="6" t="s">
        <v>188</v>
      </c>
      <c r="N2777" s="6" t="s">
        <v>188</v>
      </c>
      <c r="O2777" s="6" t="s">
        <v>190</v>
      </c>
      <c r="P2777" s="7" t="s">
        <v>333</v>
      </c>
      <c r="Q2777" s="13"/>
      <c r="R2777" s="13"/>
      <c r="S2777" s="13"/>
      <c r="T2777" s="6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</row>
    <row r="2778">
      <c r="A2778" s="12">
        <v>66.0</v>
      </c>
      <c r="B2778" s="7" t="s">
        <v>602</v>
      </c>
      <c r="C2778" s="7" t="s">
        <v>1812</v>
      </c>
      <c r="I2778" s="13" t="s">
        <v>579</v>
      </c>
      <c r="J2778" s="13" t="s">
        <v>814</v>
      </c>
      <c r="K2778" s="13" t="s">
        <v>303</v>
      </c>
      <c r="L2778" s="13" t="s">
        <v>2081</v>
      </c>
      <c r="M2778" s="6" t="s">
        <v>188</v>
      </c>
      <c r="N2778" s="6" t="s">
        <v>188</v>
      </c>
      <c r="O2778" s="6" t="s">
        <v>190</v>
      </c>
      <c r="P2778" s="7" t="s">
        <v>333</v>
      </c>
      <c r="Q2778" s="13"/>
      <c r="R2778" s="13"/>
      <c r="S2778" s="13"/>
      <c r="T2778" s="6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</row>
    <row r="2779">
      <c r="A2779" s="12">
        <v>66.0</v>
      </c>
      <c r="B2779" s="7" t="s">
        <v>602</v>
      </c>
      <c r="C2779" s="7" t="s">
        <v>1812</v>
      </c>
      <c r="I2779" s="13" t="s">
        <v>1890</v>
      </c>
      <c r="J2779" s="13" t="s">
        <v>815</v>
      </c>
      <c r="K2779" s="13" t="s">
        <v>303</v>
      </c>
      <c r="L2779" s="13" t="s">
        <v>2629</v>
      </c>
      <c r="M2779" s="6" t="s">
        <v>188</v>
      </c>
      <c r="N2779" s="6" t="s">
        <v>188</v>
      </c>
      <c r="O2779" s="6" t="s">
        <v>190</v>
      </c>
      <c r="P2779" s="7" t="s">
        <v>333</v>
      </c>
      <c r="Q2779" s="13"/>
      <c r="R2779" s="13"/>
      <c r="S2779" s="13"/>
      <c r="T2779" s="6"/>
      <c r="U2779" s="7"/>
      <c r="V2779" s="7"/>
      <c r="W2779" s="7"/>
      <c r="X2779" s="7"/>
      <c r="Y2779" s="7"/>
      <c r="Z2779" s="7"/>
      <c r="AA2779" s="7"/>
      <c r="AB2779" s="7"/>
      <c r="AC2779" s="7"/>
      <c r="AD2779" s="7"/>
      <c r="AE2779" s="7"/>
    </row>
    <row r="2780">
      <c r="A2780" s="12">
        <v>66.0</v>
      </c>
      <c r="B2780" s="7" t="s">
        <v>602</v>
      </c>
      <c r="C2780" s="7" t="s">
        <v>1812</v>
      </c>
      <c r="I2780" s="13" t="s">
        <v>1384</v>
      </c>
      <c r="J2780" s="13" t="s">
        <v>813</v>
      </c>
      <c r="K2780" s="13" t="s">
        <v>303</v>
      </c>
      <c r="L2780" s="13" t="s">
        <v>2630</v>
      </c>
      <c r="M2780" s="6" t="s">
        <v>188</v>
      </c>
      <c r="N2780" s="6" t="s">
        <v>188</v>
      </c>
      <c r="O2780" s="6" t="s">
        <v>190</v>
      </c>
      <c r="P2780" s="7" t="s">
        <v>333</v>
      </c>
      <c r="Q2780" s="13"/>
      <c r="R2780" s="13"/>
      <c r="S2780" s="13"/>
      <c r="T2780" s="6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</row>
    <row r="2781">
      <c r="A2781" s="12">
        <v>66.0</v>
      </c>
      <c r="B2781" s="7" t="s">
        <v>602</v>
      </c>
      <c r="C2781" s="7" t="s">
        <v>1812</v>
      </c>
      <c r="I2781" s="13" t="s">
        <v>1754</v>
      </c>
      <c r="J2781" s="13" t="s">
        <v>814</v>
      </c>
      <c r="K2781" s="13" t="s">
        <v>303</v>
      </c>
      <c r="L2781" s="13" t="s">
        <v>2631</v>
      </c>
      <c r="M2781" s="6" t="s">
        <v>188</v>
      </c>
      <c r="N2781" s="6" t="s">
        <v>188</v>
      </c>
      <c r="O2781" s="6" t="s">
        <v>190</v>
      </c>
      <c r="P2781" s="7" t="s">
        <v>333</v>
      </c>
      <c r="Q2781" s="13"/>
      <c r="R2781" s="13"/>
      <c r="S2781" s="13"/>
      <c r="T2781" s="6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</row>
    <row r="2782">
      <c r="A2782" s="12">
        <v>66.0</v>
      </c>
      <c r="B2782" s="7" t="s">
        <v>602</v>
      </c>
      <c r="C2782" s="7" t="s">
        <v>1812</v>
      </c>
      <c r="I2782" s="13" t="s">
        <v>1751</v>
      </c>
      <c r="J2782" s="13" t="s">
        <v>815</v>
      </c>
      <c r="K2782" s="13" t="s">
        <v>303</v>
      </c>
      <c r="L2782" s="13" t="s">
        <v>2631</v>
      </c>
      <c r="M2782" s="6" t="s">
        <v>188</v>
      </c>
      <c r="N2782" s="6" t="s">
        <v>188</v>
      </c>
      <c r="O2782" s="6" t="s">
        <v>190</v>
      </c>
      <c r="P2782" s="7" t="s">
        <v>333</v>
      </c>
      <c r="Q2782" s="13"/>
      <c r="R2782" s="13"/>
      <c r="S2782" s="13"/>
      <c r="T2782" s="6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</row>
    <row r="2783">
      <c r="A2783" s="12">
        <v>66.0</v>
      </c>
      <c r="B2783" s="7" t="s">
        <v>602</v>
      </c>
      <c r="C2783" s="7" t="s">
        <v>1812</v>
      </c>
      <c r="I2783" s="13" t="s">
        <v>1980</v>
      </c>
      <c r="J2783" s="13" t="s">
        <v>813</v>
      </c>
      <c r="K2783" s="13" t="s">
        <v>303</v>
      </c>
      <c r="L2783" s="13" t="s">
        <v>2632</v>
      </c>
      <c r="M2783" s="6" t="s">
        <v>188</v>
      </c>
      <c r="N2783" s="6" t="s">
        <v>188</v>
      </c>
      <c r="O2783" s="6" t="s">
        <v>190</v>
      </c>
      <c r="P2783" s="7" t="s">
        <v>333</v>
      </c>
      <c r="Q2783" s="13"/>
      <c r="R2783" s="13"/>
      <c r="S2783" s="13"/>
      <c r="T2783" s="6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</row>
    <row r="2784">
      <c r="A2784" s="12">
        <v>66.0</v>
      </c>
      <c r="B2784" s="7" t="s">
        <v>602</v>
      </c>
      <c r="C2784" s="7" t="s">
        <v>1812</v>
      </c>
      <c r="I2784" s="13" t="s">
        <v>2633</v>
      </c>
      <c r="J2784" s="13" t="s">
        <v>814</v>
      </c>
      <c r="K2784" s="13" t="s">
        <v>303</v>
      </c>
      <c r="L2784" s="13" t="s">
        <v>2634</v>
      </c>
      <c r="M2784" s="6" t="s">
        <v>188</v>
      </c>
      <c r="N2784" s="6" t="s">
        <v>188</v>
      </c>
      <c r="O2784" s="6" t="s">
        <v>190</v>
      </c>
      <c r="P2784" s="7" t="s">
        <v>333</v>
      </c>
      <c r="Q2784" s="13"/>
      <c r="R2784" s="13"/>
      <c r="S2784" s="13"/>
      <c r="T2784" s="6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  <c r="AE2784" s="7"/>
    </row>
    <row r="2785">
      <c r="A2785" s="12">
        <v>66.0</v>
      </c>
      <c r="B2785" s="7" t="s">
        <v>602</v>
      </c>
      <c r="C2785" s="7" t="s">
        <v>1812</v>
      </c>
      <c r="I2785" s="13" t="s">
        <v>338</v>
      </c>
      <c r="J2785" s="13" t="s">
        <v>815</v>
      </c>
      <c r="K2785" s="13" t="s">
        <v>303</v>
      </c>
      <c r="L2785" s="13" t="s">
        <v>2635</v>
      </c>
      <c r="M2785" s="6" t="s">
        <v>188</v>
      </c>
      <c r="N2785" s="6" t="s">
        <v>188</v>
      </c>
      <c r="O2785" s="6" t="s">
        <v>190</v>
      </c>
      <c r="P2785" s="7" t="s">
        <v>333</v>
      </c>
      <c r="Q2785" s="13"/>
      <c r="R2785" s="13"/>
      <c r="S2785" s="13"/>
      <c r="T2785" s="6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</row>
    <row r="2786">
      <c r="A2786" s="12">
        <v>66.0</v>
      </c>
      <c r="B2786" s="7" t="s">
        <v>602</v>
      </c>
      <c r="C2786" s="7" t="s">
        <v>1812</v>
      </c>
      <c r="I2786" s="13" t="s">
        <v>523</v>
      </c>
      <c r="J2786" s="13" t="s">
        <v>813</v>
      </c>
      <c r="K2786" s="13" t="s">
        <v>303</v>
      </c>
      <c r="L2786" s="13" t="s">
        <v>2093</v>
      </c>
      <c r="M2786" s="6" t="s">
        <v>188</v>
      </c>
      <c r="N2786" s="6" t="s">
        <v>188</v>
      </c>
      <c r="O2786" s="6" t="s">
        <v>190</v>
      </c>
      <c r="P2786" s="7" t="s">
        <v>333</v>
      </c>
      <c r="Q2786" s="13"/>
      <c r="R2786" s="13"/>
      <c r="S2786" s="13"/>
      <c r="T2786" s="6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</row>
    <row r="2787">
      <c r="A2787" s="12">
        <v>66.0</v>
      </c>
      <c r="B2787" s="7" t="s">
        <v>602</v>
      </c>
      <c r="C2787" s="7" t="s">
        <v>1812</v>
      </c>
      <c r="I2787" s="13" t="s">
        <v>700</v>
      </c>
      <c r="J2787" s="13" t="s">
        <v>814</v>
      </c>
      <c r="K2787" s="13" t="s">
        <v>303</v>
      </c>
      <c r="L2787" s="13" t="s">
        <v>2093</v>
      </c>
      <c r="M2787" s="6" t="s">
        <v>188</v>
      </c>
      <c r="N2787" s="6" t="s">
        <v>188</v>
      </c>
      <c r="O2787" s="6" t="s">
        <v>190</v>
      </c>
      <c r="P2787" s="7" t="s">
        <v>333</v>
      </c>
      <c r="Q2787" s="13"/>
      <c r="R2787" s="13"/>
      <c r="S2787" s="13"/>
      <c r="T2787" s="6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</row>
    <row r="2788">
      <c r="A2788" s="12">
        <v>66.0</v>
      </c>
      <c r="B2788" s="7" t="s">
        <v>602</v>
      </c>
      <c r="C2788" s="7" t="s">
        <v>1812</v>
      </c>
      <c r="I2788" s="13" t="s">
        <v>1302</v>
      </c>
      <c r="J2788" s="13" t="s">
        <v>815</v>
      </c>
      <c r="K2788" s="13" t="s">
        <v>303</v>
      </c>
      <c r="L2788" s="13" t="s">
        <v>2093</v>
      </c>
      <c r="M2788" s="6" t="s">
        <v>188</v>
      </c>
      <c r="N2788" s="6" t="s">
        <v>188</v>
      </c>
      <c r="O2788" s="6" t="s">
        <v>190</v>
      </c>
      <c r="P2788" s="7" t="s">
        <v>333</v>
      </c>
      <c r="Q2788" s="13"/>
      <c r="R2788" s="13"/>
      <c r="S2788" s="13"/>
      <c r="T2788" s="6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</row>
    <row r="2789">
      <c r="A2789" s="12">
        <v>66.0</v>
      </c>
      <c r="B2789" s="7" t="s">
        <v>602</v>
      </c>
      <c r="C2789" s="7" t="s">
        <v>1812</v>
      </c>
      <c r="I2789" s="13" t="s">
        <v>1716</v>
      </c>
      <c r="J2789" s="13" t="s">
        <v>813</v>
      </c>
      <c r="K2789" s="13" t="s">
        <v>303</v>
      </c>
      <c r="L2789" s="13" t="s">
        <v>2093</v>
      </c>
      <c r="M2789" s="6" t="s">
        <v>188</v>
      </c>
      <c r="N2789" s="6" t="s">
        <v>188</v>
      </c>
      <c r="O2789" s="6" t="s">
        <v>190</v>
      </c>
      <c r="P2789" s="7" t="s">
        <v>333</v>
      </c>
      <c r="Q2789" s="13"/>
      <c r="R2789" s="13"/>
      <c r="S2789" s="13"/>
      <c r="T2789" s="6"/>
      <c r="U2789" s="7"/>
      <c r="V2789" s="7"/>
      <c r="W2789" s="7"/>
      <c r="X2789" s="7"/>
      <c r="Y2789" s="7"/>
      <c r="Z2789" s="7"/>
      <c r="AA2789" s="7"/>
      <c r="AB2789" s="7"/>
      <c r="AC2789" s="7"/>
      <c r="AD2789" s="7"/>
      <c r="AE2789" s="7"/>
    </row>
    <row r="2790">
      <c r="A2790" s="12">
        <v>66.0</v>
      </c>
      <c r="B2790" s="7" t="s">
        <v>602</v>
      </c>
      <c r="C2790" s="7" t="s">
        <v>1812</v>
      </c>
      <c r="I2790" s="13" t="s">
        <v>623</v>
      </c>
      <c r="J2790" s="13" t="s">
        <v>814</v>
      </c>
      <c r="K2790" s="13" t="s">
        <v>303</v>
      </c>
      <c r="L2790" s="13" t="s">
        <v>2636</v>
      </c>
      <c r="M2790" s="6" t="s">
        <v>188</v>
      </c>
      <c r="N2790" s="6" t="s">
        <v>188</v>
      </c>
      <c r="O2790" s="6" t="s">
        <v>190</v>
      </c>
      <c r="P2790" s="7" t="s">
        <v>624</v>
      </c>
      <c r="Q2790" s="13"/>
      <c r="R2790" s="13"/>
      <c r="S2790" s="13"/>
      <c r="T2790" s="6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  <c r="AE2790" s="7"/>
    </row>
    <row r="2791">
      <c r="A2791" s="12">
        <v>66.0</v>
      </c>
      <c r="B2791" s="7" t="s">
        <v>602</v>
      </c>
      <c r="C2791" s="7" t="s">
        <v>1812</v>
      </c>
      <c r="I2791" s="13" t="s">
        <v>567</v>
      </c>
      <c r="J2791" s="13" t="s">
        <v>815</v>
      </c>
      <c r="K2791" s="13" t="s">
        <v>303</v>
      </c>
      <c r="L2791" s="13" t="s">
        <v>2637</v>
      </c>
      <c r="M2791" s="6" t="s">
        <v>188</v>
      </c>
      <c r="N2791" s="6" t="s">
        <v>188</v>
      </c>
      <c r="O2791" s="6" t="s">
        <v>190</v>
      </c>
      <c r="P2791" s="7" t="s">
        <v>333</v>
      </c>
      <c r="Q2791" s="13"/>
      <c r="R2791" s="13"/>
      <c r="S2791" s="13"/>
      <c r="T2791" s="6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</row>
    <row r="2792">
      <c r="A2792" s="12">
        <v>67.0</v>
      </c>
      <c r="B2792" s="7" t="s">
        <v>605</v>
      </c>
      <c r="C2792" s="7" t="s">
        <v>1812</v>
      </c>
      <c r="D2792" s="26">
        <f>IF(COUNTIF($B$2:$B2792,$B2792)&gt;1,"",COUNTIF($B$2:$B$3400,$B2792))</f>
        <v>100</v>
      </c>
      <c r="E2792" s="26">
        <f>IF(COUNTIF($B$2:$B2792,$B2792)&gt;1,"",COUNTIFS($B$2:$B$3400,$B2792,$K$2:$K$3400,"PHÙ HỢP CAO"))</f>
        <v>2</v>
      </c>
      <c r="F2792" s="26">
        <f>IF(COUNTIF($B$2:$B2792,$B2792)&gt;1,"",COUNTIFS($B$2:$B$3400,$B2792,$K$2:$K$3400,"CÓ THỂ ĐI"))</f>
        <v>3</v>
      </c>
      <c r="G2792" s="26">
        <f>IF(COUNTIF($B$2:$B2792,$B2792)&gt;1,"",COUNTIFS($B$2:$B$3400,$B2792,$K$2:$K$3400,"CẦN SOÁT"))</f>
        <v>95</v>
      </c>
      <c r="H2792" s="27" t="str">
        <f>IFERROR(__xludf.DUMMYFUNCTION("IF(COUNTIF($B$2:$B2792,$B2792)&gt;1,"""",IFERROR(TEXTJOIN(CHAR(10),TRUE,BYROW(QUERY({$B$2:$B$3400,$J$2:$J$3400},""select Col2, count(Col2) where Col1 = '""&amp;$B2792&amp;""' group by Col2 order by count(Col2) desc label count(Col2) ''"",0),LAMBDA(r,INDEX(r,1,1)&amp;"" "&amp;"– ""&amp;INDEX(r,1,2)&amp;"" link""))),""""))"),"bảng tính lãi suất tiết kiệm – 50 link
công cụ tính lãi tiết kiệm – 50 link")</f>
        <v>bảng tính lãi suất tiết kiệm – 50 link
công cụ tính lãi tiết kiệm – 50 link</v>
      </c>
      <c r="I2792" s="10" t="s">
        <v>1828</v>
      </c>
      <c r="J2792" s="13" t="s">
        <v>1830</v>
      </c>
      <c r="K2792" s="13" t="s">
        <v>184</v>
      </c>
      <c r="L2792" s="13" t="s">
        <v>2638</v>
      </c>
      <c r="M2792" s="6" t="s">
        <v>188</v>
      </c>
      <c r="N2792" s="6" t="s">
        <v>188</v>
      </c>
      <c r="O2792" s="6" t="s">
        <v>190</v>
      </c>
      <c r="P2792" s="7"/>
      <c r="Q2792" s="13"/>
      <c r="R2792" s="13"/>
      <c r="S2792" s="13"/>
      <c r="T2792" s="6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</row>
    <row r="2793">
      <c r="A2793" s="12">
        <v>67.0</v>
      </c>
      <c r="B2793" s="7" t="s">
        <v>605</v>
      </c>
      <c r="C2793" s="7" t="s">
        <v>1812</v>
      </c>
      <c r="I2793" s="10" t="s">
        <v>752</v>
      </c>
      <c r="J2793" s="13" t="s">
        <v>1832</v>
      </c>
      <c r="K2793" s="13" t="s">
        <v>184</v>
      </c>
      <c r="L2793" s="13" t="s">
        <v>2639</v>
      </c>
      <c r="M2793" s="6" t="s">
        <v>188</v>
      </c>
      <c r="N2793" s="6" t="s">
        <v>188</v>
      </c>
      <c r="O2793" s="6" t="s">
        <v>190</v>
      </c>
      <c r="P2793" s="7"/>
      <c r="Q2793" s="13"/>
      <c r="R2793" s="13"/>
      <c r="S2793" s="13"/>
      <c r="T2793" s="6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</row>
    <row r="2794">
      <c r="A2794" s="12">
        <v>67.0</v>
      </c>
      <c r="B2794" s="7" t="s">
        <v>605</v>
      </c>
      <c r="C2794" s="7" t="s">
        <v>1812</v>
      </c>
      <c r="I2794" s="10" t="s">
        <v>1833</v>
      </c>
      <c r="J2794" s="13" t="s">
        <v>1830</v>
      </c>
      <c r="K2794" s="13" t="s">
        <v>283</v>
      </c>
      <c r="L2794" s="13" t="s">
        <v>2640</v>
      </c>
      <c r="M2794" s="6" t="s">
        <v>188</v>
      </c>
      <c r="N2794" s="6" t="s">
        <v>188</v>
      </c>
      <c r="O2794" s="6" t="s">
        <v>190</v>
      </c>
      <c r="P2794" s="7"/>
      <c r="Q2794" s="13"/>
      <c r="R2794" s="13"/>
      <c r="S2794" s="13"/>
      <c r="T2794" s="6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</row>
    <row r="2795">
      <c r="A2795" s="12">
        <v>67.0</v>
      </c>
      <c r="B2795" s="7" t="s">
        <v>605</v>
      </c>
      <c r="C2795" s="7" t="s">
        <v>1812</v>
      </c>
      <c r="I2795" s="10" t="s">
        <v>1773</v>
      </c>
      <c r="J2795" s="13" t="s">
        <v>1832</v>
      </c>
      <c r="K2795" s="13" t="s">
        <v>283</v>
      </c>
      <c r="L2795" s="13" t="s">
        <v>2641</v>
      </c>
      <c r="M2795" s="6" t="s">
        <v>188</v>
      </c>
      <c r="N2795" s="6" t="s">
        <v>188</v>
      </c>
      <c r="O2795" s="6" t="s">
        <v>190</v>
      </c>
      <c r="P2795" s="7"/>
      <c r="Q2795" s="13"/>
      <c r="R2795" s="13"/>
      <c r="S2795" s="13"/>
      <c r="T2795" s="6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</row>
    <row r="2796">
      <c r="A2796" s="12">
        <v>67.0</v>
      </c>
      <c r="B2796" s="7" t="s">
        <v>605</v>
      </c>
      <c r="C2796" s="7" t="s">
        <v>1812</v>
      </c>
      <c r="I2796" s="10" t="s">
        <v>1837</v>
      </c>
      <c r="J2796" s="13" t="s">
        <v>1830</v>
      </c>
      <c r="K2796" s="13" t="s">
        <v>283</v>
      </c>
      <c r="L2796" s="13" t="s">
        <v>2642</v>
      </c>
      <c r="M2796" s="6" t="s">
        <v>188</v>
      </c>
      <c r="N2796" s="6" t="s">
        <v>188</v>
      </c>
      <c r="O2796" s="6" t="s">
        <v>190</v>
      </c>
      <c r="P2796" s="7"/>
      <c r="Q2796" s="13"/>
      <c r="R2796" s="13"/>
      <c r="S2796" s="13"/>
      <c r="T2796" s="6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</row>
    <row r="2797">
      <c r="A2797" s="12">
        <v>67.0</v>
      </c>
      <c r="B2797" s="7" t="s">
        <v>605</v>
      </c>
      <c r="C2797" s="7" t="s">
        <v>1812</v>
      </c>
      <c r="I2797" s="10" t="s">
        <v>699</v>
      </c>
      <c r="J2797" s="13" t="s">
        <v>1832</v>
      </c>
      <c r="K2797" s="13" t="s">
        <v>303</v>
      </c>
      <c r="L2797" s="13" t="s">
        <v>2545</v>
      </c>
      <c r="M2797" s="6" t="s">
        <v>188</v>
      </c>
      <c r="N2797" s="6" t="s">
        <v>188</v>
      </c>
      <c r="O2797" s="6" t="s">
        <v>190</v>
      </c>
      <c r="P2797" s="7"/>
      <c r="Q2797" s="13"/>
      <c r="R2797" s="13"/>
      <c r="S2797" s="13"/>
      <c r="T2797" s="6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</row>
    <row r="2798">
      <c r="A2798" s="12">
        <v>67.0</v>
      </c>
      <c r="B2798" s="7" t="s">
        <v>605</v>
      </c>
      <c r="C2798" s="7" t="s">
        <v>1812</v>
      </c>
      <c r="I2798" s="10" t="s">
        <v>1681</v>
      </c>
      <c r="J2798" s="13" t="s">
        <v>1830</v>
      </c>
      <c r="K2798" s="13" t="s">
        <v>303</v>
      </c>
      <c r="L2798" s="13" t="s">
        <v>2545</v>
      </c>
      <c r="M2798" s="6" t="s">
        <v>188</v>
      </c>
      <c r="N2798" s="6" t="s">
        <v>188</v>
      </c>
      <c r="O2798" s="6" t="s">
        <v>190</v>
      </c>
      <c r="P2798" s="7"/>
      <c r="Q2798" s="13"/>
      <c r="R2798" s="13"/>
      <c r="S2798" s="13"/>
      <c r="T2798" s="6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</row>
    <row r="2799">
      <c r="A2799" s="12">
        <v>67.0</v>
      </c>
      <c r="B2799" s="7" t="s">
        <v>605</v>
      </c>
      <c r="C2799" s="7" t="s">
        <v>1812</v>
      </c>
      <c r="I2799" s="10" t="s">
        <v>2378</v>
      </c>
      <c r="J2799" s="13" t="s">
        <v>1832</v>
      </c>
      <c r="K2799" s="13" t="s">
        <v>303</v>
      </c>
      <c r="L2799" s="13" t="s">
        <v>2643</v>
      </c>
      <c r="M2799" s="6" t="s">
        <v>188</v>
      </c>
      <c r="N2799" s="6" t="s">
        <v>188</v>
      </c>
      <c r="O2799" s="6" t="s">
        <v>190</v>
      </c>
      <c r="P2799" s="7"/>
      <c r="Q2799" s="13"/>
      <c r="R2799" s="13"/>
      <c r="S2799" s="13"/>
      <c r="T2799" s="6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</row>
    <row r="2800">
      <c r="A2800" s="12">
        <v>67.0</v>
      </c>
      <c r="B2800" s="7" t="s">
        <v>605</v>
      </c>
      <c r="C2800" s="7" t="s">
        <v>1812</v>
      </c>
      <c r="I2800" s="10" t="s">
        <v>1618</v>
      </c>
      <c r="J2800" s="13" t="s">
        <v>1830</v>
      </c>
      <c r="K2800" s="13" t="s">
        <v>303</v>
      </c>
      <c r="L2800" s="13" t="s">
        <v>2643</v>
      </c>
      <c r="M2800" s="6" t="s">
        <v>188</v>
      </c>
      <c r="N2800" s="6" t="s">
        <v>188</v>
      </c>
      <c r="O2800" s="6" t="s">
        <v>190</v>
      </c>
      <c r="P2800" s="7"/>
      <c r="Q2800" s="13"/>
      <c r="R2800" s="13"/>
      <c r="S2800" s="13"/>
      <c r="T2800" s="6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</row>
    <row r="2801">
      <c r="A2801" s="12">
        <v>67.0</v>
      </c>
      <c r="B2801" s="7" t="s">
        <v>605</v>
      </c>
      <c r="C2801" s="7" t="s">
        <v>1812</v>
      </c>
      <c r="I2801" s="10" t="s">
        <v>2176</v>
      </c>
      <c r="J2801" s="13" t="s">
        <v>1832</v>
      </c>
      <c r="K2801" s="13" t="s">
        <v>303</v>
      </c>
      <c r="L2801" s="13" t="s">
        <v>2644</v>
      </c>
      <c r="M2801" s="6" t="s">
        <v>188</v>
      </c>
      <c r="N2801" s="6" t="s">
        <v>188</v>
      </c>
      <c r="O2801" s="6" t="s">
        <v>190</v>
      </c>
      <c r="P2801" s="7"/>
      <c r="Q2801" s="13"/>
      <c r="R2801" s="13"/>
      <c r="S2801" s="13"/>
      <c r="T2801" s="6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</row>
    <row r="2802">
      <c r="A2802" s="12">
        <v>67.0</v>
      </c>
      <c r="B2802" s="7" t="s">
        <v>605</v>
      </c>
      <c r="C2802" s="7" t="s">
        <v>1812</v>
      </c>
      <c r="I2802" s="10" t="s">
        <v>2177</v>
      </c>
      <c r="J2802" s="13" t="s">
        <v>1830</v>
      </c>
      <c r="K2802" s="13" t="s">
        <v>303</v>
      </c>
      <c r="L2802" s="13" t="s">
        <v>2644</v>
      </c>
      <c r="M2802" s="6" t="s">
        <v>188</v>
      </c>
      <c r="N2802" s="6" t="s">
        <v>188</v>
      </c>
      <c r="O2802" s="6" t="s">
        <v>190</v>
      </c>
      <c r="P2802" s="7"/>
      <c r="Q2802" s="13"/>
      <c r="R2802" s="13"/>
      <c r="S2802" s="13"/>
      <c r="T2802" s="6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</row>
    <row r="2803">
      <c r="A2803" s="12">
        <v>67.0</v>
      </c>
      <c r="B2803" s="7" t="s">
        <v>605</v>
      </c>
      <c r="C2803" s="7" t="s">
        <v>1812</v>
      </c>
      <c r="I2803" s="10" t="s">
        <v>2178</v>
      </c>
      <c r="J2803" s="13" t="s">
        <v>1832</v>
      </c>
      <c r="K2803" s="13" t="s">
        <v>303</v>
      </c>
      <c r="L2803" s="13" t="s">
        <v>2644</v>
      </c>
      <c r="M2803" s="6" t="s">
        <v>188</v>
      </c>
      <c r="N2803" s="6" t="s">
        <v>188</v>
      </c>
      <c r="O2803" s="6" t="s">
        <v>190</v>
      </c>
      <c r="P2803" s="7"/>
      <c r="Q2803" s="13"/>
      <c r="R2803" s="13"/>
      <c r="S2803" s="13"/>
      <c r="T2803" s="6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</row>
    <row r="2804">
      <c r="A2804" s="12">
        <v>67.0</v>
      </c>
      <c r="B2804" s="7" t="s">
        <v>605</v>
      </c>
      <c r="C2804" s="7" t="s">
        <v>1812</v>
      </c>
      <c r="I2804" s="10" t="s">
        <v>1723</v>
      </c>
      <c r="J2804" s="13" t="s">
        <v>1830</v>
      </c>
      <c r="K2804" s="13" t="s">
        <v>303</v>
      </c>
      <c r="L2804" s="13" t="s">
        <v>2175</v>
      </c>
      <c r="M2804" s="6" t="s">
        <v>188</v>
      </c>
      <c r="N2804" s="6" t="s">
        <v>188</v>
      </c>
      <c r="O2804" s="6" t="s">
        <v>190</v>
      </c>
      <c r="P2804" s="7"/>
      <c r="Q2804" s="13"/>
      <c r="R2804" s="13"/>
      <c r="S2804" s="13"/>
      <c r="T2804" s="6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</row>
    <row r="2805">
      <c r="A2805" s="12">
        <v>67.0</v>
      </c>
      <c r="B2805" s="7" t="s">
        <v>605</v>
      </c>
      <c r="C2805" s="7" t="s">
        <v>1812</v>
      </c>
      <c r="I2805" s="10" t="s">
        <v>2079</v>
      </c>
      <c r="J2805" s="13" t="s">
        <v>1832</v>
      </c>
      <c r="K2805" s="13" t="s">
        <v>303</v>
      </c>
      <c r="L2805" s="13" t="s">
        <v>2545</v>
      </c>
      <c r="M2805" s="6" t="s">
        <v>188</v>
      </c>
      <c r="N2805" s="6" t="s">
        <v>188</v>
      </c>
      <c r="O2805" s="6" t="s">
        <v>190</v>
      </c>
      <c r="P2805" s="7"/>
      <c r="Q2805" s="13"/>
      <c r="R2805" s="13"/>
      <c r="S2805" s="13"/>
      <c r="T2805" s="6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  <c r="AE2805" s="7"/>
    </row>
    <row r="2806">
      <c r="A2806" s="12">
        <v>67.0</v>
      </c>
      <c r="B2806" s="7" t="s">
        <v>605</v>
      </c>
      <c r="C2806" s="7" t="s">
        <v>1812</v>
      </c>
      <c r="I2806" s="10" t="s">
        <v>1736</v>
      </c>
      <c r="J2806" s="13" t="s">
        <v>1830</v>
      </c>
      <c r="K2806" s="13" t="s">
        <v>303</v>
      </c>
      <c r="L2806" s="13" t="s">
        <v>2545</v>
      </c>
      <c r="M2806" s="6" t="s">
        <v>188</v>
      </c>
      <c r="N2806" s="6" t="s">
        <v>188</v>
      </c>
      <c r="O2806" s="6" t="s">
        <v>190</v>
      </c>
      <c r="P2806" s="7"/>
      <c r="Q2806" s="13"/>
      <c r="R2806" s="13"/>
      <c r="S2806" s="13"/>
      <c r="T2806" s="6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</row>
    <row r="2807">
      <c r="A2807" s="12">
        <v>67.0</v>
      </c>
      <c r="B2807" s="7" t="s">
        <v>605</v>
      </c>
      <c r="C2807" s="7" t="s">
        <v>1812</v>
      </c>
      <c r="I2807" s="10" t="s">
        <v>529</v>
      </c>
      <c r="J2807" s="13" t="s">
        <v>1832</v>
      </c>
      <c r="K2807" s="13" t="s">
        <v>303</v>
      </c>
      <c r="L2807" s="13" t="s">
        <v>2545</v>
      </c>
      <c r="M2807" s="6" t="s">
        <v>188</v>
      </c>
      <c r="N2807" s="6" t="s">
        <v>188</v>
      </c>
      <c r="O2807" s="6" t="s">
        <v>190</v>
      </c>
      <c r="P2807" s="7"/>
      <c r="Q2807" s="13"/>
      <c r="R2807" s="13"/>
      <c r="S2807" s="13"/>
      <c r="T2807" s="6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</row>
    <row r="2808">
      <c r="A2808" s="12">
        <v>67.0</v>
      </c>
      <c r="B2808" s="7" t="s">
        <v>605</v>
      </c>
      <c r="C2808" s="7" t="s">
        <v>1812</v>
      </c>
      <c r="I2808" s="10" t="s">
        <v>1746</v>
      </c>
      <c r="J2808" s="13" t="s">
        <v>1830</v>
      </c>
      <c r="K2808" s="13" t="s">
        <v>303</v>
      </c>
      <c r="L2808" s="13" t="s">
        <v>2545</v>
      </c>
      <c r="M2808" s="6" t="s">
        <v>188</v>
      </c>
      <c r="N2808" s="6" t="s">
        <v>188</v>
      </c>
      <c r="O2808" s="6" t="s">
        <v>190</v>
      </c>
      <c r="P2808" s="7"/>
      <c r="Q2808" s="13"/>
      <c r="R2808" s="13"/>
      <c r="S2808" s="13"/>
      <c r="T2808" s="6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  <c r="AE2808" s="7"/>
    </row>
    <row r="2809">
      <c r="A2809" s="12">
        <v>67.0</v>
      </c>
      <c r="B2809" s="7" t="s">
        <v>605</v>
      </c>
      <c r="C2809" s="7" t="s">
        <v>1812</v>
      </c>
      <c r="I2809" s="10" t="s">
        <v>1384</v>
      </c>
      <c r="J2809" s="13" t="s">
        <v>1832</v>
      </c>
      <c r="K2809" s="13" t="s">
        <v>303</v>
      </c>
      <c r="L2809" s="13" t="s">
        <v>2545</v>
      </c>
      <c r="M2809" s="6" t="s">
        <v>188</v>
      </c>
      <c r="N2809" s="6" t="s">
        <v>188</v>
      </c>
      <c r="O2809" s="6" t="s">
        <v>190</v>
      </c>
      <c r="P2809" s="7"/>
      <c r="Q2809" s="13"/>
      <c r="R2809" s="13"/>
      <c r="S2809" s="13"/>
      <c r="T2809" s="6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</row>
    <row r="2810">
      <c r="A2810" s="12">
        <v>67.0</v>
      </c>
      <c r="B2810" s="7" t="s">
        <v>605</v>
      </c>
      <c r="C2810" s="7" t="s">
        <v>1812</v>
      </c>
      <c r="I2810" s="10" t="s">
        <v>1727</v>
      </c>
      <c r="J2810" s="13" t="s">
        <v>1830</v>
      </c>
      <c r="K2810" s="13" t="s">
        <v>303</v>
      </c>
      <c r="L2810" s="13" t="s">
        <v>2175</v>
      </c>
      <c r="M2810" s="6" t="s">
        <v>188</v>
      </c>
      <c r="N2810" s="6" t="s">
        <v>188</v>
      </c>
      <c r="O2810" s="6" t="s">
        <v>190</v>
      </c>
      <c r="P2810" s="7"/>
      <c r="Q2810" s="13"/>
      <c r="R2810" s="13"/>
      <c r="S2810" s="13"/>
      <c r="T2810" s="6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</row>
    <row r="2811">
      <c r="A2811" s="12">
        <v>67.0</v>
      </c>
      <c r="B2811" s="7" t="s">
        <v>605</v>
      </c>
      <c r="C2811" s="7" t="s">
        <v>1812</v>
      </c>
      <c r="I2811" s="10" t="s">
        <v>594</v>
      </c>
      <c r="J2811" s="13" t="s">
        <v>1832</v>
      </c>
      <c r="K2811" s="13" t="s">
        <v>303</v>
      </c>
      <c r="L2811" s="13" t="s">
        <v>2546</v>
      </c>
      <c r="M2811" s="6" t="s">
        <v>188</v>
      </c>
      <c r="N2811" s="6" t="s">
        <v>188</v>
      </c>
      <c r="O2811" s="6" t="s">
        <v>190</v>
      </c>
      <c r="P2811" s="7"/>
      <c r="Q2811" s="13"/>
      <c r="R2811" s="13"/>
      <c r="S2811" s="13"/>
      <c r="T2811" s="6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</row>
    <row r="2812">
      <c r="A2812" s="12">
        <v>67.0</v>
      </c>
      <c r="B2812" s="7" t="s">
        <v>605</v>
      </c>
      <c r="C2812" s="7" t="s">
        <v>1812</v>
      </c>
      <c r="I2812" s="10" t="s">
        <v>1797</v>
      </c>
      <c r="J2812" s="13" t="s">
        <v>1830</v>
      </c>
      <c r="K2812" s="13" t="s">
        <v>303</v>
      </c>
      <c r="L2812" s="13" t="s">
        <v>2175</v>
      </c>
      <c r="M2812" s="6" t="s">
        <v>188</v>
      </c>
      <c r="N2812" s="6" t="s">
        <v>188</v>
      </c>
      <c r="O2812" s="6" t="s">
        <v>190</v>
      </c>
      <c r="P2812" s="7"/>
      <c r="Q2812" s="13"/>
      <c r="R2812" s="13"/>
      <c r="S2812" s="13"/>
      <c r="T2812" s="6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  <c r="AE2812" s="7"/>
    </row>
    <row r="2813">
      <c r="A2813" s="12">
        <v>67.0</v>
      </c>
      <c r="B2813" s="7" t="s">
        <v>605</v>
      </c>
      <c r="C2813" s="7" t="s">
        <v>1812</v>
      </c>
      <c r="I2813" s="10" t="s">
        <v>2184</v>
      </c>
      <c r="J2813" s="13" t="s">
        <v>1832</v>
      </c>
      <c r="K2813" s="13" t="s">
        <v>303</v>
      </c>
      <c r="L2813" s="13" t="s">
        <v>2175</v>
      </c>
      <c r="M2813" s="6" t="s">
        <v>188</v>
      </c>
      <c r="N2813" s="6" t="s">
        <v>188</v>
      </c>
      <c r="O2813" s="6" t="s">
        <v>190</v>
      </c>
      <c r="P2813" s="7"/>
      <c r="Q2813" s="13"/>
      <c r="R2813" s="13"/>
      <c r="S2813" s="13"/>
      <c r="T2813" s="6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</row>
    <row r="2814">
      <c r="A2814" s="12">
        <v>67.0</v>
      </c>
      <c r="B2814" s="7" t="s">
        <v>605</v>
      </c>
      <c r="C2814" s="7" t="s">
        <v>1812</v>
      </c>
      <c r="I2814" s="10" t="s">
        <v>1806</v>
      </c>
      <c r="J2814" s="13" t="s">
        <v>1830</v>
      </c>
      <c r="K2814" s="13" t="s">
        <v>303</v>
      </c>
      <c r="L2814" s="13" t="s">
        <v>2175</v>
      </c>
      <c r="M2814" s="6" t="s">
        <v>188</v>
      </c>
      <c r="N2814" s="6" t="s">
        <v>188</v>
      </c>
      <c r="O2814" s="6" t="s">
        <v>190</v>
      </c>
      <c r="P2814" s="7"/>
      <c r="Q2814" s="13"/>
      <c r="R2814" s="13"/>
      <c r="S2814" s="13"/>
      <c r="T2814" s="6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  <c r="AE2814" s="7"/>
    </row>
    <row r="2815">
      <c r="A2815" s="12">
        <v>67.0</v>
      </c>
      <c r="B2815" s="7" t="s">
        <v>605</v>
      </c>
      <c r="C2815" s="7" t="s">
        <v>1812</v>
      </c>
      <c r="I2815" s="10" t="s">
        <v>1115</v>
      </c>
      <c r="J2815" s="13" t="s">
        <v>1832</v>
      </c>
      <c r="K2815" s="13" t="s">
        <v>303</v>
      </c>
      <c r="L2815" s="13" t="s">
        <v>2175</v>
      </c>
      <c r="M2815" s="6" t="s">
        <v>188</v>
      </c>
      <c r="N2815" s="6" t="s">
        <v>188</v>
      </c>
      <c r="O2815" s="6" t="s">
        <v>190</v>
      </c>
      <c r="P2815" s="7"/>
      <c r="Q2815" s="13"/>
      <c r="R2815" s="13"/>
      <c r="S2815" s="13"/>
      <c r="T2815" s="6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</row>
    <row r="2816">
      <c r="A2816" s="12">
        <v>67.0</v>
      </c>
      <c r="B2816" s="7" t="s">
        <v>605</v>
      </c>
      <c r="C2816" s="7" t="s">
        <v>1812</v>
      </c>
      <c r="I2816" s="10" t="s">
        <v>2186</v>
      </c>
      <c r="J2816" s="13" t="s">
        <v>1830</v>
      </c>
      <c r="K2816" s="13" t="s">
        <v>303</v>
      </c>
      <c r="L2816" s="13" t="s">
        <v>2193</v>
      </c>
      <c r="M2816" s="6" t="s">
        <v>188</v>
      </c>
      <c r="N2816" s="6" t="s">
        <v>188</v>
      </c>
      <c r="O2816" s="6" t="s">
        <v>190</v>
      </c>
      <c r="P2816" s="7"/>
      <c r="Q2816" s="13"/>
      <c r="R2816" s="13"/>
      <c r="S2816" s="13"/>
      <c r="T2816" s="6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</row>
    <row r="2817">
      <c r="A2817" s="12">
        <v>67.0</v>
      </c>
      <c r="B2817" s="7" t="s">
        <v>605</v>
      </c>
      <c r="C2817" s="7" t="s">
        <v>1812</v>
      </c>
      <c r="I2817" s="10" t="s">
        <v>1718</v>
      </c>
      <c r="J2817" s="13" t="s">
        <v>1832</v>
      </c>
      <c r="K2817" s="13" t="s">
        <v>303</v>
      </c>
      <c r="L2817" s="13" t="s">
        <v>2175</v>
      </c>
      <c r="M2817" s="6" t="s">
        <v>188</v>
      </c>
      <c r="N2817" s="6" t="s">
        <v>188</v>
      </c>
      <c r="O2817" s="6" t="s">
        <v>190</v>
      </c>
      <c r="P2817" s="7"/>
      <c r="Q2817" s="13"/>
      <c r="R2817" s="13"/>
      <c r="S2817" s="13"/>
      <c r="T2817" s="6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</row>
    <row r="2818">
      <c r="A2818" s="12">
        <v>67.0</v>
      </c>
      <c r="B2818" s="7" t="s">
        <v>605</v>
      </c>
      <c r="C2818" s="7" t="s">
        <v>1812</v>
      </c>
      <c r="I2818" s="10" t="s">
        <v>1154</v>
      </c>
      <c r="J2818" s="13" t="s">
        <v>1830</v>
      </c>
      <c r="K2818" s="13" t="s">
        <v>303</v>
      </c>
      <c r="L2818" s="13" t="s">
        <v>2643</v>
      </c>
      <c r="M2818" s="6" t="s">
        <v>188</v>
      </c>
      <c r="N2818" s="6" t="s">
        <v>188</v>
      </c>
      <c r="O2818" s="6" t="s">
        <v>190</v>
      </c>
      <c r="P2818" s="7"/>
      <c r="Q2818" s="13"/>
      <c r="R2818" s="13"/>
      <c r="S2818" s="13"/>
      <c r="T2818" s="6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</row>
    <row r="2819">
      <c r="A2819" s="12">
        <v>67.0</v>
      </c>
      <c r="B2819" s="7" t="s">
        <v>605</v>
      </c>
      <c r="C2819" s="7" t="s">
        <v>1812</v>
      </c>
      <c r="I2819" s="10" t="s">
        <v>1301</v>
      </c>
      <c r="J2819" s="13" t="s">
        <v>1832</v>
      </c>
      <c r="K2819" s="13" t="s">
        <v>303</v>
      </c>
      <c r="L2819" s="13" t="s">
        <v>2545</v>
      </c>
      <c r="M2819" s="6" t="s">
        <v>188</v>
      </c>
      <c r="N2819" s="6" t="s">
        <v>188</v>
      </c>
      <c r="O2819" s="6" t="s">
        <v>190</v>
      </c>
      <c r="P2819" s="7"/>
      <c r="Q2819" s="13"/>
      <c r="R2819" s="13"/>
      <c r="S2819" s="13"/>
      <c r="T2819" s="6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</row>
    <row r="2820">
      <c r="A2820" s="12">
        <v>67.0</v>
      </c>
      <c r="B2820" s="7" t="s">
        <v>605</v>
      </c>
      <c r="C2820" s="7" t="s">
        <v>1812</v>
      </c>
      <c r="I2820" s="10" t="s">
        <v>1546</v>
      </c>
      <c r="J2820" s="13" t="s">
        <v>1830</v>
      </c>
      <c r="K2820" s="13" t="s">
        <v>303</v>
      </c>
      <c r="L2820" s="13" t="s">
        <v>2643</v>
      </c>
      <c r="M2820" s="6" t="s">
        <v>188</v>
      </c>
      <c r="N2820" s="6" t="s">
        <v>188</v>
      </c>
      <c r="O2820" s="6" t="s">
        <v>190</v>
      </c>
      <c r="P2820" s="7"/>
      <c r="Q2820" s="13"/>
      <c r="R2820" s="13"/>
      <c r="S2820" s="13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</row>
    <row r="2821">
      <c r="A2821" s="12">
        <v>67.0</v>
      </c>
      <c r="B2821" s="7" t="s">
        <v>605</v>
      </c>
      <c r="C2821" s="7" t="s">
        <v>1812</v>
      </c>
      <c r="I2821" s="10" t="s">
        <v>404</v>
      </c>
      <c r="J2821" s="13" t="s">
        <v>1832</v>
      </c>
      <c r="K2821" s="13" t="s">
        <v>303</v>
      </c>
      <c r="L2821" s="13" t="s">
        <v>2545</v>
      </c>
      <c r="M2821" s="6" t="s">
        <v>188</v>
      </c>
      <c r="N2821" s="6" t="s">
        <v>188</v>
      </c>
      <c r="O2821" s="6" t="s">
        <v>190</v>
      </c>
      <c r="P2821" s="7"/>
      <c r="Q2821" s="13"/>
      <c r="R2821" s="13"/>
      <c r="S2821" s="13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</row>
    <row r="2822">
      <c r="A2822" s="12">
        <v>67.0</v>
      </c>
      <c r="B2822" s="7" t="s">
        <v>605</v>
      </c>
      <c r="C2822" s="7" t="s">
        <v>1812</v>
      </c>
      <c r="I2822" s="10" t="s">
        <v>1740</v>
      </c>
      <c r="J2822" s="13" t="s">
        <v>1830</v>
      </c>
      <c r="K2822" s="13" t="s">
        <v>303</v>
      </c>
      <c r="L2822" s="13" t="s">
        <v>2175</v>
      </c>
      <c r="M2822" s="6" t="s">
        <v>188</v>
      </c>
      <c r="N2822" s="6" t="s">
        <v>188</v>
      </c>
      <c r="O2822" s="6" t="s">
        <v>190</v>
      </c>
      <c r="P2822" s="7"/>
      <c r="Q2822" s="13"/>
      <c r="R2822" s="13"/>
      <c r="S2822" s="13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</row>
    <row r="2823">
      <c r="A2823" s="12">
        <v>67.0</v>
      </c>
      <c r="B2823" s="7" t="s">
        <v>605</v>
      </c>
      <c r="C2823" s="7" t="s">
        <v>1812</v>
      </c>
      <c r="I2823" s="10" t="s">
        <v>601</v>
      </c>
      <c r="J2823" s="13" t="s">
        <v>1832</v>
      </c>
      <c r="K2823" s="13" t="s">
        <v>303</v>
      </c>
      <c r="L2823" s="13" t="s">
        <v>2175</v>
      </c>
      <c r="M2823" s="6" t="s">
        <v>188</v>
      </c>
      <c r="N2823" s="6" t="s">
        <v>188</v>
      </c>
      <c r="O2823" s="6" t="s">
        <v>190</v>
      </c>
      <c r="P2823" s="7"/>
      <c r="Q2823" s="13"/>
      <c r="R2823" s="13"/>
      <c r="S2823" s="13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</row>
    <row r="2824">
      <c r="A2824" s="12">
        <v>67.0</v>
      </c>
      <c r="B2824" s="7" t="s">
        <v>605</v>
      </c>
      <c r="C2824" s="7" t="s">
        <v>1812</v>
      </c>
      <c r="I2824" s="10" t="s">
        <v>2484</v>
      </c>
      <c r="J2824" s="13" t="s">
        <v>1830</v>
      </c>
      <c r="K2824" s="13" t="s">
        <v>303</v>
      </c>
      <c r="L2824" s="13" t="s">
        <v>2643</v>
      </c>
      <c r="M2824" s="6" t="s">
        <v>188</v>
      </c>
      <c r="N2824" s="6" t="s">
        <v>188</v>
      </c>
      <c r="O2824" s="6" t="s">
        <v>190</v>
      </c>
      <c r="P2824" s="7"/>
      <c r="Q2824" s="13"/>
      <c r="R2824" s="13"/>
      <c r="S2824" s="13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</row>
    <row r="2825">
      <c r="A2825" s="12">
        <v>67.0</v>
      </c>
      <c r="B2825" s="7" t="s">
        <v>605</v>
      </c>
      <c r="C2825" s="7" t="s">
        <v>1812</v>
      </c>
      <c r="I2825" s="10" t="s">
        <v>595</v>
      </c>
      <c r="J2825" s="13" t="s">
        <v>1832</v>
      </c>
      <c r="K2825" s="13" t="s">
        <v>303</v>
      </c>
      <c r="L2825" s="13" t="s">
        <v>2645</v>
      </c>
      <c r="M2825" s="6" t="s">
        <v>188</v>
      </c>
      <c r="N2825" s="6" t="s">
        <v>188</v>
      </c>
      <c r="O2825" s="6" t="s">
        <v>190</v>
      </c>
      <c r="P2825" s="7"/>
      <c r="Q2825" s="13"/>
      <c r="R2825" s="13"/>
      <c r="S2825" s="13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</row>
    <row r="2826">
      <c r="A2826" s="12">
        <v>67.0</v>
      </c>
      <c r="B2826" s="7" t="s">
        <v>605</v>
      </c>
      <c r="C2826" s="7" t="s">
        <v>1812</v>
      </c>
      <c r="I2826" s="10" t="s">
        <v>1678</v>
      </c>
      <c r="J2826" s="13" t="s">
        <v>1830</v>
      </c>
      <c r="K2826" s="13" t="s">
        <v>303</v>
      </c>
      <c r="L2826" s="13" t="s">
        <v>2545</v>
      </c>
      <c r="M2826" s="6" t="s">
        <v>188</v>
      </c>
      <c r="N2826" s="6" t="s">
        <v>188</v>
      </c>
      <c r="O2826" s="6" t="s">
        <v>190</v>
      </c>
      <c r="P2826" s="7"/>
      <c r="Q2826" s="13"/>
      <c r="R2826" s="13"/>
      <c r="S2826" s="13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</row>
    <row r="2827">
      <c r="A2827" s="12">
        <v>67.0</v>
      </c>
      <c r="B2827" s="7" t="s">
        <v>605</v>
      </c>
      <c r="C2827" s="7" t="s">
        <v>1812</v>
      </c>
      <c r="I2827" s="10" t="s">
        <v>1356</v>
      </c>
      <c r="J2827" s="13" t="s">
        <v>1832</v>
      </c>
      <c r="K2827" s="13" t="s">
        <v>303</v>
      </c>
      <c r="L2827" s="13" t="s">
        <v>2545</v>
      </c>
      <c r="M2827" s="6" t="s">
        <v>188</v>
      </c>
      <c r="N2827" s="6" t="s">
        <v>188</v>
      </c>
      <c r="O2827" s="6" t="s">
        <v>190</v>
      </c>
      <c r="P2827" s="7"/>
      <c r="Q2827" s="13"/>
      <c r="R2827" s="13"/>
      <c r="S2827" s="13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</row>
    <row r="2828">
      <c r="A2828" s="12">
        <v>67.0</v>
      </c>
      <c r="B2828" s="7" t="s">
        <v>605</v>
      </c>
      <c r="C2828" s="7" t="s">
        <v>1812</v>
      </c>
      <c r="I2828" s="10" t="s">
        <v>2194</v>
      </c>
      <c r="J2828" s="13" t="s">
        <v>1830</v>
      </c>
      <c r="K2828" s="13" t="s">
        <v>303</v>
      </c>
      <c r="L2828" s="13" t="s">
        <v>2193</v>
      </c>
      <c r="M2828" s="6" t="s">
        <v>188</v>
      </c>
      <c r="N2828" s="6" t="s">
        <v>188</v>
      </c>
      <c r="O2828" s="6" t="s">
        <v>190</v>
      </c>
      <c r="P2828" s="7"/>
      <c r="Q2828" s="13"/>
      <c r="R2828" s="13"/>
      <c r="S2828" s="13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</row>
    <row r="2829">
      <c r="A2829" s="12">
        <v>67.0</v>
      </c>
      <c r="B2829" s="7" t="s">
        <v>605</v>
      </c>
      <c r="C2829" s="7" t="s">
        <v>1812</v>
      </c>
      <c r="I2829" s="10" t="s">
        <v>1360</v>
      </c>
      <c r="J2829" s="13" t="s">
        <v>1832</v>
      </c>
      <c r="K2829" s="13" t="s">
        <v>303</v>
      </c>
      <c r="L2829" s="13" t="s">
        <v>2175</v>
      </c>
      <c r="M2829" s="6" t="s">
        <v>188</v>
      </c>
      <c r="N2829" s="6" t="s">
        <v>188</v>
      </c>
      <c r="O2829" s="6" t="s">
        <v>190</v>
      </c>
      <c r="P2829" s="7"/>
      <c r="Q2829" s="13"/>
      <c r="R2829" s="13"/>
      <c r="S2829" s="13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</row>
    <row r="2830">
      <c r="A2830" s="12">
        <v>67.0</v>
      </c>
      <c r="B2830" s="7" t="s">
        <v>605</v>
      </c>
      <c r="C2830" s="7" t="s">
        <v>1812</v>
      </c>
      <c r="I2830" s="10" t="s">
        <v>2075</v>
      </c>
      <c r="J2830" s="13" t="s">
        <v>1830</v>
      </c>
      <c r="K2830" s="13" t="s">
        <v>303</v>
      </c>
      <c r="L2830" s="13" t="s">
        <v>2545</v>
      </c>
      <c r="M2830" s="6" t="s">
        <v>188</v>
      </c>
      <c r="N2830" s="6" t="s">
        <v>188</v>
      </c>
      <c r="O2830" s="6" t="s">
        <v>190</v>
      </c>
      <c r="P2830" s="7"/>
      <c r="Q2830" s="13"/>
      <c r="R2830" s="13"/>
      <c r="S2830" s="13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</row>
    <row r="2831">
      <c r="A2831" s="12">
        <v>67.0</v>
      </c>
      <c r="B2831" s="7" t="s">
        <v>605</v>
      </c>
      <c r="C2831" s="7" t="s">
        <v>1812</v>
      </c>
      <c r="I2831" s="10" t="s">
        <v>1808</v>
      </c>
      <c r="J2831" s="13" t="s">
        <v>1832</v>
      </c>
      <c r="K2831" s="13" t="s">
        <v>303</v>
      </c>
      <c r="L2831" s="13" t="s">
        <v>2175</v>
      </c>
      <c r="M2831" s="6" t="s">
        <v>188</v>
      </c>
      <c r="N2831" s="6" t="s">
        <v>188</v>
      </c>
      <c r="O2831" s="6" t="s">
        <v>190</v>
      </c>
      <c r="P2831" s="7"/>
      <c r="Q2831" s="13"/>
      <c r="R2831" s="13"/>
      <c r="S2831" s="13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</row>
    <row r="2832">
      <c r="A2832" s="12">
        <v>67.0</v>
      </c>
      <c r="B2832" s="7" t="s">
        <v>605</v>
      </c>
      <c r="C2832" s="7" t="s">
        <v>1812</v>
      </c>
      <c r="I2832" s="10" t="s">
        <v>1744</v>
      </c>
      <c r="J2832" s="13" t="s">
        <v>1830</v>
      </c>
      <c r="K2832" s="13" t="s">
        <v>303</v>
      </c>
      <c r="L2832" s="13" t="s">
        <v>2646</v>
      </c>
      <c r="M2832" s="6" t="s">
        <v>188</v>
      </c>
      <c r="N2832" s="6" t="s">
        <v>188</v>
      </c>
      <c r="O2832" s="6" t="s">
        <v>190</v>
      </c>
      <c r="P2832" s="7"/>
      <c r="Q2832" s="13"/>
      <c r="R2832" s="13"/>
      <c r="S2832" s="13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</row>
    <row r="2833">
      <c r="A2833" s="12">
        <v>67.0</v>
      </c>
      <c r="B2833" s="7" t="s">
        <v>605</v>
      </c>
      <c r="C2833" s="7" t="s">
        <v>1812</v>
      </c>
      <c r="I2833" s="10" t="s">
        <v>600</v>
      </c>
      <c r="J2833" s="13" t="s">
        <v>1832</v>
      </c>
      <c r="K2833" s="13" t="s">
        <v>303</v>
      </c>
      <c r="L2833" s="13" t="s">
        <v>2643</v>
      </c>
      <c r="M2833" s="6" t="s">
        <v>188</v>
      </c>
      <c r="N2833" s="6" t="s">
        <v>188</v>
      </c>
      <c r="O2833" s="6" t="s">
        <v>190</v>
      </c>
      <c r="P2833" s="7"/>
      <c r="Q2833" s="13"/>
      <c r="R2833" s="13"/>
      <c r="S2833" s="13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  <c r="AE2833" s="7"/>
    </row>
    <row r="2834">
      <c r="A2834" s="12">
        <v>67.0</v>
      </c>
      <c r="B2834" s="7" t="s">
        <v>605</v>
      </c>
      <c r="C2834" s="7" t="s">
        <v>1812</v>
      </c>
      <c r="I2834" s="10" t="s">
        <v>1878</v>
      </c>
      <c r="J2834" s="13" t="s">
        <v>1830</v>
      </c>
      <c r="K2834" s="13" t="s">
        <v>303</v>
      </c>
      <c r="L2834" s="13" t="s">
        <v>2545</v>
      </c>
      <c r="M2834" s="6" t="s">
        <v>188</v>
      </c>
      <c r="N2834" s="6" t="s">
        <v>188</v>
      </c>
      <c r="O2834" s="6" t="s">
        <v>190</v>
      </c>
      <c r="P2834" s="7"/>
      <c r="Q2834" s="13"/>
      <c r="R2834" s="13"/>
      <c r="S2834" s="13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</row>
    <row r="2835">
      <c r="A2835" s="12">
        <v>67.0</v>
      </c>
      <c r="B2835" s="7" t="s">
        <v>605</v>
      </c>
      <c r="C2835" s="7" t="s">
        <v>1812</v>
      </c>
      <c r="I2835" s="10" t="s">
        <v>2109</v>
      </c>
      <c r="J2835" s="13" t="s">
        <v>1832</v>
      </c>
      <c r="K2835" s="13" t="s">
        <v>303</v>
      </c>
      <c r="L2835" s="13" t="s">
        <v>2643</v>
      </c>
      <c r="M2835" s="6" t="s">
        <v>188</v>
      </c>
      <c r="N2835" s="6" t="s">
        <v>188</v>
      </c>
      <c r="O2835" s="6" t="s">
        <v>190</v>
      </c>
      <c r="P2835" s="7"/>
      <c r="Q2835" s="13"/>
      <c r="R2835" s="13"/>
      <c r="S2835" s="13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7"/>
      <c r="AE2835" s="7"/>
    </row>
    <row r="2836">
      <c r="A2836" s="12">
        <v>67.0</v>
      </c>
      <c r="B2836" s="7" t="s">
        <v>605</v>
      </c>
      <c r="C2836" s="7" t="s">
        <v>1812</v>
      </c>
      <c r="I2836" s="10" t="s">
        <v>365</v>
      </c>
      <c r="J2836" s="13" t="s">
        <v>1830</v>
      </c>
      <c r="K2836" s="13" t="s">
        <v>303</v>
      </c>
      <c r="L2836" s="13" t="s">
        <v>2545</v>
      </c>
      <c r="M2836" s="6" t="s">
        <v>188</v>
      </c>
      <c r="N2836" s="6" t="s">
        <v>188</v>
      </c>
      <c r="O2836" s="6" t="s">
        <v>190</v>
      </c>
      <c r="P2836" s="7"/>
      <c r="Q2836" s="13"/>
      <c r="R2836" s="13"/>
      <c r="S2836" s="13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</row>
    <row r="2837">
      <c r="A2837" s="12">
        <v>67.0</v>
      </c>
      <c r="B2837" s="7" t="s">
        <v>605</v>
      </c>
      <c r="C2837" s="7" t="s">
        <v>1812</v>
      </c>
      <c r="I2837" s="10" t="s">
        <v>1800</v>
      </c>
      <c r="J2837" s="13" t="s">
        <v>1832</v>
      </c>
      <c r="K2837" s="13" t="s">
        <v>303</v>
      </c>
      <c r="L2837" s="13" t="s">
        <v>2175</v>
      </c>
      <c r="M2837" s="6" t="s">
        <v>188</v>
      </c>
      <c r="N2837" s="6" t="s">
        <v>188</v>
      </c>
      <c r="O2837" s="6" t="s">
        <v>190</v>
      </c>
      <c r="P2837" s="7"/>
      <c r="Q2837" s="13"/>
      <c r="R2837" s="13"/>
      <c r="S2837" s="13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</row>
    <row r="2838">
      <c r="A2838" s="12">
        <v>67.0</v>
      </c>
      <c r="B2838" s="7" t="s">
        <v>605</v>
      </c>
      <c r="C2838" s="7" t="s">
        <v>1812</v>
      </c>
      <c r="I2838" s="10" t="s">
        <v>1804</v>
      </c>
      <c r="J2838" s="13" t="s">
        <v>1830</v>
      </c>
      <c r="K2838" s="13" t="s">
        <v>303</v>
      </c>
      <c r="L2838" s="13" t="s">
        <v>2175</v>
      </c>
      <c r="M2838" s="6" t="s">
        <v>188</v>
      </c>
      <c r="N2838" s="6" t="s">
        <v>188</v>
      </c>
      <c r="O2838" s="6" t="s">
        <v>190</v>
      </c>
      <c r="P2838" s="7"/>
      <c r="Q2838" s="13"/>
      <c r="R2838" s="13"/>
      <c r="S2838" s="13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</row>
    <row r="2839">
      <c r="A2839" s="12">
        <v>67.0</v>
      </c>
      <c r="B2839" s="7" t="s">
        <v>605</v>
      </c>
      <c r="C2839" s="7" t="s">
        <v>1812</v>
      </c>
      <c r="I2839" s="10" t="s">
        <v>511</v>
      </c>
      <c r="J2839" s="13" t="s">
        <v>1832</v>
      </c>
      <c r="K2839" s="13" t="s">
        <v>303</v>
      </c>
      <c r="L2839" s="13" t="s">
        <v>2545</v>
      </c>
      <c r="M2839" s="6" t="s">
        <v>188</v>
      </c>
      <c r="N2839" s="6" t="s">
        <v>188</v>
      </c>
      <c r="O2839" s="6" t="s">
        <v>190</v>
      </c>
      <c r="P2839" s="7"/>
      <c r="Q2839" s="13"/>
      <c r="R2839" s="13"/>
      <c r="S2839" s="13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</row>
    <row r="2840">
      <c r="A2840" s="12">
        <v>67.0</v>
      </c>
      <c r="B2840" s="7" t="s">
        <v>605</v>
      </c>
      <c r="C2840" s="7" t="s">
        <v>1812</v>
      </c>
      <c r="I2840" s="10" t="s">
        <v>614</v>
      </c>
      <c r="J2840" s="13" t="s">
        <v>1830</v>
      </c>
      <c r="K2840" s="13" t="s">
        <v>303</v>
      </c>
      <c r="L2840" s="13" t="s">
        <v>2545</v>
      </c>
      <c r="M2840" s="6" t="s">
        <v>188</v>
      </c>
      <c r="N2840" s="6" t="s">
        <v>188</v>
      </c>
      <c r="O2840" s="6" t="s">
        <v>190</v>
      </c>
      <c r="P2840" s="7"/>
      <c r="Q2840" s="13"/>
      <c r="R2840" s="13"/>
      <c r="S2840" s="13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</row>
    <row r="2841">
      <c r="A2841" s="12">
        <v>67.0</v>
      </c>
      <c r="B2841" s="7" t="s">
        <v>605</v>
      </c>
      <c r="C2841" s="7" t="s">
        <v>1812</v>
      </c>
      <c r="I2841" s="10" t="s">
        <v>1754</v>
      </c>
      <c r="J2841" s="13" t="s">
        <v>1832</v>
      </c>
      <c r="K2841" s="13" t="s">
        <v>303</v>
      </c>
      <c r="L2841" s="13" t="s">
        <v>2175</v>
      </c>
      <c r="M2841" s="6" t="s">
        <v>188</v>
      </c>
      <c r="N2841" s="6" t="s">
        <v>188</v>
      </c>
      <c r="O2841" s="6" t="s">
        <v>190</v>
      </c>
      <c r="P2841" s="7"/>
      <c r="Q2841" s="13"/>
      <c r="R2841" s="13"/>
      <c r="S2841" s="13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</row>
    <row r="2842">
      <c r="A2842" s="12">
        <v>67.0</v>
      </c>
      <c r="B2842" s="7" t="s">
        <v>605</v>
      </c>
      <c r="C2842" s="7" t="s">
        <v>1812</v>
      </c>
      <c r="I2842" s="10" t="s">
        <v>2471</v>
      </c>
      <c r="J2842" s="13" t="s">
        <v>1830</v>
      </c>
      <c r="K2842" s="13" t="s">
        <v>303</v>
      </c>
      <c r="L2842" s="13" t="s">
        <v>2175</v>
      </c>
      <c r="M2842" s="6" t="s">
        <v>188</v>
      </c>
      <c r="N2842" s="6" t="s">
        <v>188</v>
      </c>
      <c r="O2842" s="6" t="s">
        <v>190</v>
      </c>
      <c r="P2842" s="7"/>
      <c r="Q2842" s="13"/>
      <c r="R2842" s="13"/>
      <c r="S2842" s="13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</row>
    <row r="2843">
      <c r="A2843" s="12">
        <v>67.0</v>
      </c>
      <c r="B2843" s="7" t="s">
        <v>605</v>
      </c>
      <c r="C2843" s="7" t="s">
        <v>1812</v>
      </c>
      <c r="I2843" s="10" t="s">
        <v>1398</v>
      </c>
      <c r="J2843" s="13" t="s">
        <v>1832</v>
      </c>
      <c r="K2843" s="13" t="s">
        <v>303</v>
      </c>
      <c r="L2843" s="13" t="s">
        <v>2175</v>
      </c>
      <c r="M2843" s="6" t="s">
        <v>188</v>
      </c>
      <c r="N2843" s="6" t="s">
        <v>188</v>
      </c>
      <c r="O2843" s="6" t="s">
        <v>190</v>
      </c>
      <c r="P2843" s="7"/>
      <c r="Q2843" s="13"/>
      <c r="R2843" s="13"/>
      <c r="S2843" s="13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</row>
    <row r="2844">
      <c r="A2844" s="12">
        <v>67.0</v>
      </c>
      <c r="B2844" s="7" t="s">
        <v>605</v>
      </c>
      <c r="C2844" s="7" t="s">
        <v>1812</v>
      </c>
      <c r="I2844" s="10" t="s">
        <v>1621</v>
      </c>
      <c r="J2844" s="13" t="s">
        <v>1830</v>
      </c>
      <c r="K2844" s="13" t="s">
        <v>303</v>
      </c>
      <c r="L2844" s="13" t="s">
        <v>2643</v>
      </c>
      <c r="M2844" s="6" t="s">
        <v>188</v>
      </c>
      <c r="N2844" s="6" t="s">
        <v>188</v>
      </c>
      <c r="O2844" s="6" t="s">
        <v>190</v>
      </c>
      <c r="P2844" s="7"/>
      <c r="Q2844" s="13"/>
      <c r="R2844" s="13"/>
      <c r="S2844" s="13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</row>
    <row r="2845">
      <c r="A2845" s="12">
        <v>67.0</v>
      </c>
      <c r="B2845" s="7" t="s">
        <v>605</v>
      </c>
      <c r="C2845" s="7" t="s">
        <v>1812</v>
      </c>
      <c r="I2845" s="10" t="s">
        <v>1733</v>
      </c>
      <c r="J2845" s="13" t="s">
        <v>1832</v>
      </c>
      <c r="K2845" s="13" t="s">
        <v>303</v>
      </c>
      <c r="L2845" s="13" t="s">
        <v>2175</v>
      </c>
      <c r="M2845" s="6" t="s">
        <v>188</v>
      </c>
      <c r="N2845" s="6" t="s">
        <v>188</v>
      </c>
      <c r="O2845" s="6" t="s">
        <v>190</v>
      </c>
      <c r="P2845" s="7"/>
      <c r="Q2845" s="13"/>
      <c r="R2845" s="13"/>
      <c r="S2845" s="13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</row>
    <row r="2846">
      <c r="A2846" s="12">
        <v>67.0</v>
      </c>
      <c r="B2846" s="7" t="s">
        <v>605</v>
      </c>
      <c r="C2846" s="7" t="s">
        <v>1812</v>
      </c>
      <c r="I2846" s="10" t="s">
        <v>380</v>
      </c>
      <c r="J2846" s="13" t="s">
        <v>1830</v>
      </c>
      <c r="K2846" s="13" t="s">
        <v>303</v>
      </c>
      <c r="L2846" s="13" t="s">
        <v>2545</v>
      </c>
      <c r="M2846" s="6" t="s">
        <v>188</v>
      </c>
      <c r="N2846" s="6" t="s">
        <v>188</v>
      </c>
      <c r="O2846" s="6" t="s">
        <v>190</v>
      </c>
      <c r="P2846" s="7"/>
      <c r="Q2846" s="13"/>
      <c r="R2846" s="13"/>
      <c r="S2846" s="13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</row>
    <row r="2847">
      <c r="A2847" s="12">
        <v>67.0</v>
      </c>
      <c r="B2847" s="7" t="s">
        <v>605</v>
      </c>
      <c r="C2847" s="7" t="s">
        <v>1812</v>
      </c>
      <c r="I2847" s="10" t="s">
        <v>2199</v>
      </c>
      <c r="J2847" s="13" t="s">
        <v>1832</v>
      </c>
      <c r="K2847" s="13" t="s">
        <v>303</v>
      </c>
      <c r="L2847" s="13" t="s">
        <v>2175</v>
      </c>
      <c r="M2847" s="6" t="s">
        <v>188</v>
      </c>
      <c r="N2847" s="6" t="s">
        <v>188</v>
      </c>
      <c r="O2847" s="6" t="s">
        <v>190</v>
      </c>
      <c r="P2847" s="7"/>
      <c r="Q2847" s="13"/>
      <c r="R2847" s="13"/>
      <c r="S2847" s="13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</row>
    <row r="2848">
      <c r="A2848" s="12">
        <v>67.0</v>
      </c>
      <c r="B2848" s="7" t="s">
        <v>605</v>
      </c>
      <c r="C2848" s="7" t="s">
        <v>1812</v>
      </c>
      <c r="I2848" s="10" t="s">
        <v>2078</v>
      </c>
      <c r="J2848" s="13" t="s">
        <v>1830</v>
      </c>
      <c r="K2848" s="13" t="s">
        <v>303</v>
      </c>
      <c r="L2848" s="13" t="s">
        <v>2545</v>
      </c>
      <c r="M2848" s="6" t="s">
        <v>188</v>
      </c>
      <c r="N2848" s="6" t="s">
        <v>188</v>
      </c>
      <c r="O2848" s="6" t="s">
        <v>190</v>
      </c>
      <c r="P2848" s="7"/>
      <c r="Q2848" s="13"/>
      <c r="R2848" s="13"/>
      <c r="S2848" s="13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</row>
    <row r="2849">
      <c r="A2849" s="12">
        <v>67.0</v>
      </c>
      <c r="B2849" s="7" t="s">
        <v>605</v>
      </c>
      <c r="C2849" s="7" t="s">
        <v>1812</v>
      </c>
      <c r="I2849" s="10" t="s">
        <v>1898</v>
      </c>
      <c r="J2849" s="13" t="s">
        <v>1832</v>
      </c>
      <c r="K2849" s="13" t="s">
        <v>303</v>
      </c>
      <c r="L2849" s="13" t="s">
        <v>2545</v>
      </c>
      <c r="M2849" s="6" t="s">
        <v>188</v>
      </c>
      <c r="N2849" s="6" t="s">
        <v>188</v>
      </c>
      <c r="O2849" s="6" t="s">
        <v>190</v>
      </c>
      <c r="P2849" s="7"/>
      <c r="Q2849" s="13"/>
      <c r="R2849" s="13"/>
      <c r="S2849" s="13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</row>
    <row r="2850">
      <c r="A2850" s="12">
        <v>67.0</v>
      </c>
      <c r="B2850" s="7" t="s">
        <v>605</v>
      </c>
      <c r="C2850" s="7" t="s">
        <v>1812</v>
      </c>
      <c r="I2850" s="10" t="s">
        <v>1414</v>
      </c>
      <c r="J2850" s="13" t="s">
        <v>1830</v>
      </c>
      <c r="K2850" s="13" t="s">
        <v>303</v>
      </c>
      <c r="L2850" s="13" t="s">
        <v>2643</v>
      </c>
      <c r="M2850" s="6" t="s">
        <v>188</v>
      </c>
      <c r="N2850" s="6" t="s">
        <v>188</v>
      </c>
      <c r="O2850" s="6" t="s">
        <v>190</v>
      </c>
      <c r="P2850" s="7"/>
      <c r="Q2850" s="13"/>
      <c r="R2850" s="13"/>
      <c r="S2850" s="13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7"/>
      <c r="AE2850" s="7"/>
    </row>
    <row r="2851">
      <c r="A2851" s="12">
        <v>67.0</v>
      </c>
      <c r="B2851" s="7" t="s">
        <v>605</v>
      </c>
      <c r="C2851" s="7" t="s">
        <v>1812</v>
      </c>
      <c r="I2851" s="10" t="s">
        <v>1731</v>
      </c>
      <c r="J2851" s="13" t="s">
        <v>1832</v>
      </c>
      <c r="K2851" s="13" t="s">
        <v>303</v>
      </c>
      <c r="L2851" s="13" t="s">
        <v>2545</v>
      </c>
      <c r="M2851" s="6" t="s">
        <v>188</v>
      </c>
      <c r="N2851" s="6" t="s">
        <v>188</v>
      </c>
      <c r="O2851" s="6" t="s">
        <v>190</v>
      </c>
      <c r="P2851" s="7"/>
      <c r="Q2851" s="13"/>
      <c r="R2851" s="13"/>
      <c r="S2851" s="13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7"/>
      <c r="AE2851" s="7"/>
    </row>
    <row r="2852">
      <c r="A2852" s="12">
        <v>67.0</v>
      </c>
      <c r="B2852" s="7" t="s">
        <v>605</v>
      </c>
      <c r="C2852" s="7" t="s">
        <v>1812</v>
      </c>
      <c r="I2852" s="10" t="s">
        <v>1459</v>
      </c>
      <c r="J2852" s="13" t="s">
        <v>1830</v>
      </c>
      <c r="K2852" s="13" t="s">
        <v>303</v>
      </c>
      <c r="L2852" s="13" t="s">
        <v>2175</v>
      </c>
      <c r="M2852" s="6" t="s">
        <v>188</v>
      </c>
      <c r="N2852" s="6" t="s">
        <v>188</v>
      </c>
      <c r="O2852" s="6" t="s">
        <v>190</v>
      </c>
      <c r="P2852" s="7"/>
      <c r="Q2852" s="13"/>
      <c r="R2852" s="13"/>
      <c r="S2852" s="13"/>
      <c r="T2852" s="6"/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  <c r="AE2852" s="7"/>
    </row>
    <row r="2853">
      <c r="A2853" s="12">
        <v>67.0</v>
      </c>
      <c r="B2853" s="7" t="s">
        <v>605</v>
      </c>
      <c r="C2853" s="7" t="s">
        <v>1812</v>
      </c>
      <c r="I2853" s="10" t="s">
        <v>2236</v>
      </c>
      <c r="J2853" s="13" t="s">
        <v>1832</v>
      </c>
      <c r="K2853" s="13" t="s">
        <v>303</v>
      </c>
      <c r="L2853" s="13" t="s">
        <v>2175</v>
      </c>
      <c r="M2853" s="6" t="s">
        <v>188</v>
      </c>
      <c r="N2853" s="6" t="s">
        <v>188</v>
      </c>
      <c r="O2853" s="6" t="s">
        <v>190</v>
      </c>
      <c r="P2853" s="7"/>
      <c r="Q2853" s="13"/>
      <c r="R2853" s="13"/>
      <c r="S2853" s="13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</row>
    <row r="2854">
      <c r="A2854" s="12">
        <v>67.0</v>
      </c>
      <c r="B2854" s="7" t="s">
        <v>605</v>
      </c>
      <c r="C2854" s="7" t="s">
        <v>1812</v>
      </c>
      <c r="I2854" s="13" t="s">
        <v>598</v>
      </c>
      <c r="J2854" s="13" t="s">
        <v>1830</v>
      </c>
      <c r="K2854" s="13" t="s">
        <v>303</v>
      </c>
      <c r="L2854" s="13" t="s">
        <v>2475</v>
      </c>
      <c r="M2854" s="6" t="s">
        <v>188</v>
      </c>
      <c r="N2854" s="6" t="s">
        <v>188</v>
      </c>
      <c r="O2854" s="6" t="s">
        <v>190</v>
      </c>
      <c r="P2854" s="7" t="s">
        <v>333</v>
      </c>
      <c r="Q2854" s="13"/>
      <c r="R2854" s="13"/>
      <c r="S2854" s="13"/>
      <c r="T2854" s="6"/>
      <c r="U2854" s="7"/>
      <c r="V2854" s="7"/>
      <c r="W2854" s="7"/>
      <c r="X2854" s="7"/>
      <c r="Y2854" s="7"/>
      <c r="Z2854" s="7"/>
      <c r="AA2854" s="7"/>
      <c r="AB2854" s="7"/>
      <c r="AC2854" s="7"/>
      <c r="AD2854" s="7"/>
      <c r="AE2854" s="7"/>
    </row>
    <row r="2855">
      <c r="A2855" s="12">
        <v>67.0</v>
      </c>
      <c r="B2855" s="7" t="s">
        <v>605</v>
      </c>
      <c r="C2855" s="7" t="s">
        <v>1812</v>
      </c>
      <c r="I2855" s="13" t="s">
        <v>551</v>
      </c>
      <c r="J2855" s="13" t="s">
        <v>1832</v>
      </c>
      <c r="K2855" s="13" t="s">
        <v>303</v>
      </c>
      <c r="L2855" s="13" t="s">
        <v>2475</v>
      </c>
      <c r="M2855" s="6" t="s">
        <v>188</v>
      </c>
      <c r="N2855" s="6" t="s">
        <v>188</v>
      </c>
      <c r="O2855" s="6" t="s">
        <v>190</v>
      </c>
      <c r="P2855" s="7" t="s">
        <v>333</v>
      </c>
      <c r="Q2855" s="13"/>
      <c r="R2855" s="13"/>
      <c r="S2855" s="13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</row>
    <row r="2856">
      <c r="A2856" s="12">
        <v>67.0</v>
      </c>
      <c r="B2856" s="7" t="s">
        <v>605</v>
      </c>
      <c r="C2856" s="7" t="s">
        <v>1812</v>
      </c>
      <c r="I2856" s="13" t="s">
        <v>2476</v>
      </c>
      <c r="J2856" s="13" t="s">
        <v>1830</v>
      </c>
      <c r="K2856" s="13" t="s">
        <v>303</v>
      </c>
      <c r="L2856" s="13" t="s">
        <v>2477</v>
      </c>
      <c r="M2856" s="6" t="s">
        <v>188</v>
      </c>
      <c r="N2856" s="6" t="s">
        <v>188</v>
      </c>
      <c r="O2856" s="6" t="s">
        <v>190</v>
      </c>
      <c r="P2856" s="7" t="s">
        <v>333</v>
      </c>
      <c r="Q2856" s="13"/>
      <c r="R2856" s="13"/>
      <c r="S2856" s="13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</row>
    <row r="2857">
      <c r="A2857" s="12">
        <v>67.0</v>
      </c>
      <c r="B2857" s="7" t="s">
        <v>605</v>
      </c>
      <c r="C2857" s="7" t="s">
        <v>1812</v>
      </c>
      <c r="I2857" s="13" t="s">
        <v>1136</v>
      </c>
      <c r="J2857" s="13" t="s">
        <v>1832</v>
      </c>
      <c r="K2857" s="13" t="s">
        <v>303</v>
      </c>
      <c r="L2857" s="13" t="s">
        <v>2200</v>
      </c>
      <c r="M2857" s="6" t="s">
        <v>188</v>
      </c>
      <c r="N2857" s="6" t="s">
        <v>188</v>
      </c>
      <c r="O2857" s="6" t="s">
        <v>190</v>
      </c>
      <c r="P2857" s="7" t="s">
        <v>333</v>
      </c>
      <c r="Q2857" s="13"/>
      <c r="R2857" s="13"/>
      <c r="S2857" s="13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7"/>
      <c r="AE2857" s="7"/>
    </row>
    <row r="2858">
      <c r="A2858" s="12">
        <v>67.0</v>
      </c>
      <c r="B2858" s="7" t="s">
        <v>605</v>
      </c>
      <c r="C2858" s="7" t="s">
        <v>1812</v>
      </c>
      <c r="I2858" s="13" t="s">
        <v>1751</v>
      </c>
      <c r="J2858" s="13" t="s">
        <v>1830</v>
      </c>
      <c r="K2858" s="13" t="s">
        <v>303</v>
      </c>
      <c r="L2858" s="13" t="s">
        <v>2200</v>
      </c>
      <c r="M2858" s="6" t="s">
        <v>188</v>
      </c>
      <c r="N2858" s="6" t="s">
        <v>188</v>
      </c>
      <c r="O2858" s="6" t="s">
        <v>190</v>
      </c>
      <c r="P2858" s="7" t="s">
        <v>333</v>
      </c>
      <c r="Q2858" s="13"/>
      <c r="R2858" s="13"/>
      <c r="S2858" s="13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</row>
    <row r="2859">
      <c r="A2859" s="12">
        <v>67.0</v>
      </c>
      <c r="B2859" s="7" t="s">
        <v>605</v>
      </c>
      <c r="C2859" s="7" t="s">
        <v>1812</v>
      </c>
      <c r="I2859" s="13" t="s">
        <v>2015</v>
      </c>
      <c r="J2859" s="13" t="s">
        <v>1832</v>
      </c>
      <c r="K2859" s="13" t="s">
        <v>303</v>
      </c>
      <c r="L2859" s="13" t="s">
        <v>2200</v>
      </c>
      <c r="M2859" s="6" t="s">
        <v>188</v>
      </c>
      <c r="N2859" s="6" t="s">
        <v>188</v>
      </c>
      <c r="O2859" s="6" t="s">
        <v>190</v>
      </c>
      <c r="P2859" s="7" t="s">
        <v>333</v>
      </c>
      <c r="Q2859" s="13"/>
      <c r="R2859" s="13"/>
      <c r="S2859" s="13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7"/>
      <c r="AE2859" s="7"/>
    </row>
    <row r="2860">
      <c r="A2860" s="12">
        <v>67.0</v>
      </c>
      <c r="B2860" s="7" t="s">
        <v>605</v>
      </c>
      <c r="C2860" s="7" t="s">
        <v>1812</v>
      </c>
      <c r="I2860" s="13" t="s">
        <v>550</v>
      </c>
      <c r="J2860" s="13" t="s">
        <v>1830</v>
      </c>
      <c r="K2860" s="13" t="s">
        <v>303</v>
      </c>
      <c r="L2860" s="13" t="s">
        <v>2478</v>
      </c>
      <c r="M2860" s="6" t="s">
        <v>188</v>
      </c>
      <c r="N2860" s="6" t="s">
        <v>188</v>
      </c>
      <c r="O2860" s="6" t="s">
        <v>190</v>
      </c>
      <c r="P2860" s="7" t="s">
        <v>333</v>
      </c>
      <c r="Q2860" s="13"/>
      <c r="R2860" s="13"/>
      <c r="S2860" s="13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</row>
    <row r="2861">
      <c r="A2861" s="12">
        <v>67.0</v>
      </c>
      <c r="B2861" s="7" t="s">
        <v>605</v>
      </c>
      <c r="C2861" s="7" t="s">
        <v>1812</v>
      </c>
      <c r="I2861" s="13" t="s">
        <v>2479</v>
      </c>
      <c r="J2861" s="13" t="s">
        <v>1832</v>
      </c>
      <c r="K2861" s="13" t="s">
        <v>303</v>
      </c>
      <c r="L2861" s="13" t="s">
        <v>2480</v>
      </c>
      <c r="M2861" s="6" t="s">
        <v>188</v>
      </c>
      <c r="N2861" s="6" t="s">
        <v>188</v>
      </c>
      <c r="O2861" s="6" t="s">
        <v>190</v>
      </c>
      <c r="P2861" s="7" t="s">
        <v>333</v>
      </c>
      <c r="Q2861" s="13"/>
      <c r="R2861" s="13"/>
      <c r="S2861" s="13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</row>
    <row r="2862">
      <c r="A2862" s="12">
        <v>67.0</v>
      </c>
      <c r="B2862" s="7" t="s">
        <v>605</v>
      </c>
      <c r="C2862" s="7" t="s">
        <v>1812</v>
      </c>
      <c r="I2862" s="13" t="s">
        <v>2481</v>
      </c>
      <c r="J2862" s="13" t="s">
        <v>1830</v>
      </c>
      <c r="K2862" s="13" t="s">
        <v>303</v>
      </c>
      <c r="L2862" s="13" t="s">
        <v>2482</v>
      </c>
      <c r="M2862" s="6" t="s">
        <v>188</v>
      </c>
      <c r="N2862" s="6" t="s">
        <v>188</v>
      </c>
      <c r="O2862" s="6" t="s">
        <v>190</v>
      </c>
      <c r="P2862" s="7" t="s">
        <v>333</v>
      </c>
      <c r="Q2862" s="13"/>
      <c r="R2862" s="13"/>
      <c r="S2862" s="13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</row>
    <row r="2863">
      <c r="A2863" s="12">
        <v>67.0</v>
      </c>
      <c r="B2863" s="7" t="s">
        <v>605</v>
      </c>
      <c r="C2863" s="7" t="s">
        <v>1812</v>
      </c>
      <c r="I2863" s="13" t="s">
        <v>2483</v>
      </c>
      <c r="J2863" s="13" t="s">
        <v>1832</v>
      </c>
      <c r="K2863" s="13" t="s">
        <v>303</v>
      </c>
      <c r="L2863" s="13" t="s">
        <v>2482</v>
      </c>
      <c r="M2863" s="6" t="s">
        <v>188</v>
      </c>
      <c r="N2863" s="6" t="s">
        <v>188</v>
      </c>
      <c r="O2863" s="6" t="s">
        <v>190</v>
      </c>
      <c r="P2863" s="7" t="s">
        <v>333</v>
      </c>
      <c r="Q2863" s="13"/>
      <c r="R2863" s="13"/>
      <c r="S2863" s="13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</row>
    <row r="2864">
      <c r="A2864" s="12">
        <v>67.0</v>
      </c>
      <c r="B2864" s="7" t="s">
        <v>605</v>
      </c>
      <c r="C2864" s="7" t="s">
        <v>1812</v>
      </c>
      <c r="I2864" s="13" t="s">
        <v>2202</v>
      </c>
      <c r="J2864" s="13" t="s">
        <v>1830</v>
      </c>
      <c r="K2864" s="13" t="s">
        <v>303</v>
      </c>
      <c r="L2864" s="13" t="s">
        <v>2203</v>
      </c>
      <c r="M2864" s="6" t="s">
        <v>188</v>
      </c>
      <c r="N2864" s="6" t="s">
        <v>188</v>
      </c>
      <c r="O2864" s="6" t="s">
        <v>190</v>
      </c>
      <c r="P2864" s="7" t="s">
        <v>333</v>
      </c>
      <c r="Q2864" s="13"/>
      <c r="R2864" s="13"/>
      <c r="S2864" s="13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/>
      <c r="AE2864" s="7"/>
    </row>
    <row r="2865">
      <c r="A2865" s="12">
        <v>67.0</v>
      </c>
      <c r="B2865" s="7" t="s">
        <v>605</v>
      </c>
      <c r="C2865" s="7" t="s">
        <v>1812</v>
      </c>
      <c r="I2865" s="13" t="s">
        <v>2204</v>
      </c>
      <c r="J2865" s="13" t="s">
        <v>1832</v>
      </c>
      <c r="K2865" s="13" t="s">
        <v>303</v>
      </c>
      <c r="L2865" s="13" t="s">
        <v>2203</v>
      </c>
      <c r="M2865" s="6" t="s">
        <v>188</v>
      </c>
      <c r="N2865" s="6" t="s">
        <v>188</v>
      </c>
      <c r="O2865" s="6" t="s">
        <v>190</v>
      </c>
      <c r="P2865" s="7" t="s">
        <v>333</v>
      </c>
      <c r="Q2865" s="13"/>
      <c r="R2865" s="13"/>
      <c r="S2865" s="13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</row>
    <row r="2866">
      <c r="A2866" s="12">
        <v>67.0</v>
      </c>
      <c r="B2866" s="7" t="s">
        <v>605</v>
      </c>
      <c r="C2866" s="7" t="s">
        <v>1812</v>
      </c>
      <c r="I2866" s="13" t="s">
        <v>1293</v>
      </c>
      <c r="J2866" s="13" t="s">
        <v>1830</v>
      </c>
      <c r="K2866" s="13" t="s">
        <v>303</v>
      </c>
      <c r="L2866" s="13" t="s">
        <v>2205</v>
      </c>
      <c r="M2866" s="6" t="s">
        <v>188</v>
      </c>
      <c r="N2866" s="6" t="s">
        <v>188</v>
      </c>
      <c r="O2866" s="6" t="s">
        <v>190</v>
      </c>
      <c r="P2866" s="7" t="s">
        <v>333</v>
      </c>
      <c r="Q2866" s="13"/>
      <c r="R2866" s="13"/>
      <c r="S2866" s="13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/>
      <c r="AE2866" s="7"/>
    </row>
    <row r="2867">
      <c r="A2867" s="12">
        <v>67.0</v>
      </c>
      <c r="B2867" s="7" t="s">
        <v>605</v>
      </c>
      <c r="C2867" s="7" t="s">
        <v>1812</v>
      </c>
      <c r="I2867" s="13" t="s">
        <v>1765</v>
      </c>
      <c r="J2867" s="13" t="s">
        <v>1832</v>
      </c>
      <c r="K2867" s="13" t="s">
        <v>303</v>
      </c>
      <c r="L2867" s="13" t="s">
        <v>2548</v>
      </c>
      <c r="M2867" s="6" t="s">
        <v>188</v>
      </c>
      <c r="N2867" s="6" t="s">
        <v>188</v>
      </c>
      <c r="O2867" s="6" t="s">
        <v>190</v>
      </c>
      <c r="P2867" s="7" t="s">
        <v>333</v>
      </c>
      <c r="Q2867" s="13"/>
      <c r="R2867" s="13"/>
      <c r="S2867" s="13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</row>
    <row r="2868">
      <c r="A2868" s="12">
        <v>67.0</v>
      </c>
      <c r="B2868" s="7" t="s">
        <v>605</v>
      </c>
      <c r="C2868" s="7" t="s">
        <v>1812</v>
      </c>
      <c r="I2868" s="13" t="s">
        <v>746</v>
      </c>
      <c r="J2868" s="13" t="s">
        <v>1830</v>
      </c>
      <c r="K2868" s="13" t="s">
        <v>303</v>
      </c>
      <c r="L2868" s="13" t="s">
        <v>2203</v>
      </c>
      <c r="M2868" s="6" t="s">
        <v>188</v>
      </c>
      <c r="N2868" s="6" t="s">
        <v>188</v>
      </c>
      <c r="O2868" s="6" t="s">
        <v>190</v>
      </c>
      <c r="P2868" s="7" t="s">
        <v>333</v>
      </c>
      <c r="Q2868" s="13"/>
      <c r="R2868" s="13"/>
      <c r="S2868" s="13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</row>
    <row r="2869">
      <c r="A2869" s="12">
        <v>67.0</v>
      </c>
      <c r="B2869" s="7" t="s">
        <v>605</v>
      </c>
      <c r="C2869" s="7" t="s">
        <v>1812</v>
      </c>
      <c r="I2869" s="13" t="s">
        <v>2073</v>
      </c>
      <c r="J2869" s="13" t="s">
        <v>1832</v>
      </c>
      <c r="K2869" s="13" t="s">
        <v>303</v>
      </c>
      <c r="L2869" s="13" t="s">
        <v>2207</v>
      </c>
      <c r="M2869" s="6" t="s">
        <v>188</v>
      </c>
      <c r="N2869" s="6" t="s">
        <v>188</v>
      </c>
      <c r="O2869" s="6" t="s">
        <v>190</v>
      </c>
      <c r="P2869" s="7" t="s">
        <v>333</v>
      </c>
      <c r="Q2869" s="13"/>
      <c r="R2869" s="13"/>
      <c r="S2869" s="13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</row>
    <row r="2870">
      <c r="A2870" s="12">
        <v>67.0</v>
      </c>
      <c r="B2870" s="7" t="s">
        <v>605</v>
      </c>
      <c r="C2870" s="7" t="s">
        <v>1812</v>
      </c>
      <c r="I2870" s="13" t="s">
        <v>460</v>
      </c>
      <c r="J2870" s="13" t="s">
        <v>1830</v>
      </c>
      <c r="K2870" s="13" t="s">
        <v>303</v>
      </c>
      <c r="L2870" s="13" t="s">
        <v>2487</v>
      </c>
      <c r="M2870" s="6" t="s">
        <v>188</v>
      </c>
      <c r="N2870" s="6" t="s">
        <v>188</v>
      </c>
      <c r="O2870" s="6" t="s">
        <v>190</v>
      </c>
      <c r="P2870" s="7" t="s">
        <v>333</v>
      </c>
      <c r="Q2870" s="13"/>
      <c r="R2870" s="13"/>
      <c r="S2870" s="13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</row>
    <row r="2871">
      <c r="A2871" s="12">
        <v>67.0</v>
      </c>
      <c r="B2871" s="7" t="s">
        <v>605</v>
      </c>
      <c r="C2871" s="7" t="s">
        <v>1812</v>
      </c>
      <c r="I2871" s="13" t="s">
        <v>2488</v>
      </c>
      <c r="J2871" s="13" t="s">
        <v>1832</v>
      </c>
      <c r="K2871" s="13" t="s">
        <v>303</v>
      </c>
      <c r="L2871" s="13" t="s">
        <v>2489</v>
      </c>
      <c r="M2871" s="6" t="s">
        <v>188</v>
      </c>
      <c r="N2871" s="6" t="s">
        <v>188</v>
      </c>
      <c r="O2871" s="6" t="s">
        <v>190</v>
      </c>
      <c r="P2871" s="7" t="s">
        <v>333</v>
      </c>
      <c r="Q2871" s="13"/>
      <c r="R2871" s="13"/>
      <c r="S2871" s="13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</row>
    <row r="2872">
      <c r="A2872" s="12">
        <v>67.0</v>
      </c>
      <c r="B2872" s="7" t="s">
        <v>605</v>
      </c>
      <c r="C2872" s="7" t="s">
        <v>1812</v>
      </c>
      <c r="I2872" s="13" t="s">
        <v>2490</v>
      </c>
      <c r="J2872" s="13" t="s">
        <v>1830</v>
      </c>
      <c r="K2872" s="13" t="s">
        <v>303</v>
      </c>
      <c r="L2872" s="13" t="s">
        <v>2491</v>
      </c>
      <c r="M2872" s="6" t="s">
        <v>188</v>
      </c>
      <c r="N2872" s="6" t="s">
        <v>188</v>
      </c>
      <c r="O2872" s="6" t="s">
        <v>190</v>
      </c>
      <c r="P2872" s="7" t="s">
        <v>333</v>
      </c>
      <c r="Q2872" s="13"/>
      <c r="R2872" s="13"/>
      <c r="S2872" s="13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</row>
    <row r="2873">
      <c r="A2873" s="12">
        <v>67.0</v>
      </c>
      <c r="B2873" s="7" t="s">
        <v>605</v>
      </c>
      <c r="C2873" s="7" t="s">
        <v>1812</v>
      </c>
      <c r="I2873" s="13" t="s">
        <v>596</v>
      </c>
      <c r="J2873" s="13" t="s">
        <v>1832</v>
      </c>
      <c r="K2873" s="13" t="s">
        <v>303</v>
      </c>
      <c r="L2873" s="13" t="s">
        <v>2492</v>
      </c>
      <c r="M2873" s="6" t="s">
        <v>188</v>
      </c>
      <c r="N2873" s="6" t="s">
        <v>188</v>
      </c>
      <c r="O2873" s="6" t="s">
        <v>190</v>
      </c>
      <c r="P2873" s="7" t="s">
        <v>333</v>
      </c>
      <c r="Q2873" s="13"/>
      <c r="R2873" s="13"/>
      <c r="S2873" s="13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</row>
    <row r="2874">
      <c r="A2874" s="12">
        <v>67.0</v>
      </c>
      <c r="B2874" s="7" t="s">
        <v>605</v>
      </c>
      <c r="C2874" s="7" t="s">
        <v>1812</v>
      </c>
      <c r="I2874" s="13" t="s">
        <v>1861</v>
      </c>
      <c r="J2874" s="13" t="s">
        <v>1830</v>
      </c>
      <c r="K2874" s="13" t="s">
        <v>303</v>
      </c>
      <c r="L2874" s="13" t="s">
        <v>2493</v>
      </c>
      <c r="M2874" s="6" t="s">
        <v>188</v>
      </c>
      <c r="N2874" s="6" t="s">
        <v>188</v>
      </c>
      <c r="O2874" s="6" t="s">
        <v>190</v>
      </c>
      <c r="P2874" s="7" t="s">
        <v>333</v>
      </c>
      <c r="Q2874" s="13"/>
      <c r="R2874" s="13"/>
      <c r="S2874" s="13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7"/>
      <c r="AE2874" s="7"/>
    </row>
    <row r="2875">
      <c r="A2875" s="12">
        <v>67.0</v>
      </c>
      <c r="B2875" s="7" t="s">
        <v>605</v>
      </c>
      <c r="C2875" s="7" t="s">
        <v>1812</v>
      </c>
      <c r="I2875" s="13" t="s">
        <v>899</v>
      </c>
      <c r="J2875" s="13" t="s">
        <v>1832</v>
      </c>
      <c r="K2875" s="13" t="s">
        <v>303</v>
      </c>
      <c r="L2875" s="13" t="s">
        <v>2493</v>
      </c>
      <c r="M2875" s="6" t="s">
        <v>188</v>
      </c>
      <c r="N2875" s="6" t="s">
        <v>188</v>
      </c>
      <c r="O2875" s="6" t="s">
        <v>190</v>
      </c>
      <c r="P2875" s="7" t="s">
        <v>333</v>
      </c>
      <c r="Q2875" s="13"/>
      <c r="R2875" s="13"/>
      <c r="S2875" s="13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</row>
    <row r="2876">
      <c r="A2876" s="12">
        <v>67.0</v>
      </c>
      <c r="B2876" s="7" t="s">
        <v>605</v>
      </c>
      <c r="C2876" s="7" t="s">
        <v>1812</v>
      </c>
      <c r="I2876" s="13" t="s">
        <v>620</v>
      </c>
      <c r="J2876" s="13" t="s">
        <v>1830</v>
      </c>
      <c r="K2876" s="13" t="s">
        <v>303</v>
      </c>
      <c r="L2876" s="13" t="s">
        <v>2494</v>
      </c>
      <c r="M2876" s="6" t="s">
        <v>188</v>
      </c>
      <c r="N2876" s="6" t="s">
        <v>188</v>
      </c>
      <c r="O2876" s="6" t="s">
        <v>190</v>
      </c>
      <c r="P2876" s="7" t="s">
        <v>333</v>
      </c>
      <c r="Q2876" s="13"/>
      <c r="R2876" s="13"/>
      <c r="S2876" s="13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/>
      <c r="AE2876" s="7"/>
    </row>
    <row r="2877">
      <c r="A2877" s="12">
        <v>67.0</v>
      </c>
      <c r="B2877" s="7" t="s">
        <v>605</v>
      </c>
      <c r="C2877" s="7" t="s">
        <v>1812</v>
      </c>
      <c r="I2877" s="13" t="s">
        <v>2438</v>
      </c>
      <c r="J2877" s="13" t="s">
        <v>1832</v>
      </c>
      <c r="K2877" s="13" t="s">
        <v>303</v>
      </c>
      <c r="L2877" s="13" t="s">
        <v>2493</v>
      </c>
      <c r="M2877" s="6" t="s">
        <v>188</v>
      </c>
      <c r="N2877" s="6" t="s">
        <v>188</v>
      </c>
      <c r="O2877" s="6" t="s">
        <v>190</v>
      </c>
      <c r="P2877" s="7" t="s">
        <v>333</v>
      </c>
      <c r="Q2877" s="13"/>
      <c r="R2877" s="13"/>
      <c r="S2877" s="13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</row>
    <row r="2878">
      <c r="A2878" s="12">
        <v>67.0</v>
      </c>
      <c r="B2878" s="7" t="s">
        <v>605</v>
      </c>
      <c r="C2878" s="7" t="s">
        <v>1812</v>
      </c>
      <c r="I2878" s="13" t="s">
        <v>1412</v>
      </c>
      <c r="J2878" s="13" t="s">
        <v>1830</v>
      </c>
      <c r="K2878" s="13" t="s">
        <v>303</v>
      </c>
      <c r="L2878" s="13" t="s">
        <v>2495</v>
      </c>
      <c r="M2878" s="6" t="s">
        <v>188</v>
      </c>
      <c r="N2878" s="6" t="s">
        <v>188</v>
      </c>
      <c r="O2878" s="6" t="s">
        <v>190</v>
      </c>
      <c r="P2878" s="7" t="s">
        <v>333</v>
      </c>
      <c r="Q2878" s="13"/>
      <c r="R2878" s="13"/>
      <c r="S2878" s="13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</row>
    <row r="2879">
      <c r="A2879" s="12">
        <v>67.0</v>
      </c>
      <c r="B2879" s="7" t="s">
        <v>605</v>
      </c>
      <c r="C2879" s="7" t="s">
        <v>1812</v>
      </c>
      <c r="I2879" s="13" t="s">
        <v>2064</v>
      </c>
      <c r="J2879" s="13" t="s">
        <v>1832</v>
      </c>
      <c r="K2879" s="13" t="s">
        <v>303</v>
      </c>
      <c r="L2879" s="13" t="s">
        <v>2493</v>
      </c>
      <c r="M2879" s="6" t="s">
        <v>188</v>
      </c>
      <c r="N2879" s="6" t="s">
        <v>188</v>
      </c>
      <c r="O2879" s="6" t="s">
        <v>190</v>
      </c>
      <c r="P2879" s="7" t="s">
        <v>333</v>
      </c>
      <c r="Q2879" s="13"/>
      <c r="R2879" s="13"/>
      <c r="S2879" s="13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</row>
    <row r="2880">
      <c r="A2880" s="12">
        <v>67.0</v>
      </c>
      <c r="B2880" s="7" t="s">
        <v>605</v>
      </c>
      <c r="C2880" s="7" t="s">
        <v>1812</v>
      </c>
      <c r="I2880" s="13" t="s">
        <v>704</v>
      </c>
      <c r="J2880" s="13" t="s">
        <v>1830</v>
      </c>
      <c r="K2880" s="13" t="s">
        <v>303</v>
      </c>
      <c r="L2880" s="13" t="s">
        <v>2493</v>
      </c>
      <c r="M2880" s="6" t="s">
        <v>188</v>
      </c>
      <c r="N2880" s="6" t="s">
        <v>188</v>
      </c>
      <c r="O2880" s="6" t="s">
        <v>190</v>
      </c>
      <c r="P2880" s="7" t="s">
        <v>333</v>
      </c>
      <c r="Q2880" s="13"/>
      <c r="R2880" s="13"/>
      <c r="S2880" s="13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</row>
    <row r="2881">
      <c r="A2881" s="12">
        <v>67.0</v>
      </c>
      <c r="B2881" s="7" t="s">
        <v>605</v>
      </c>
      <c r="C2881" s="7" t="s">
        <v>1812</v>
      </c>
      <c r="I2881" s="13" t="s">
        <v>2449</v>
      </c>
      <c r="J2881" s="13" t="s">
        <v>1832</v>
      </c>
      <c r="K2881" s="13" t="s">
        <v>303</v>
      </c>
      <c r="L2881" s="13" t="s">
        <v>2493</v>
      </c>
      <c r="M2881" s="6" t="s">
        <v>188</v>
      </c>
      <c r="N2881" s="6" t="s">
        <v>188</v>
      </c>
      <c r="O2881" s="6" t="s">
        <v>190</v>
      </c>
      <c r="P2881" s="7" t="s">
        <v>333</v>
      </c>
      <c r="Q2881" s="13"/>
      <c r="R2881" s="13"/>
      <c r="S2881" s="13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</row>
    <row r="2882">
      <c r="A2882" s="12">
        <v>67.0</v>
      </c>
      <c r="B2882" s="7" t="s">
        <v>605</v>
      </c>
      <c r="C2882" s="7" t="s">
        <v>1812</v>
      </c>
      <c r="I2882" s="13" t="s">
        <v>1555</v>
      </c>
      <c r="J2882" s="13" t="s">
        <v>1830</v>
      </c>
      <c r="K2882" s="13" t="s">
        <v>303</v>
      </c>
      <c r="L2882" s="13" t="s">
        <v>2493</v>
      </c>
      <c r="M2882" s="6" t="s">
        <v>188</v>
      </c>
      <c r="N2882" s="6" t="s">
        <v>188</v>
      </c>
      <c r="O2882" s="6" t="s">
        <v>190</v>
      </c>
      <c r="P2882" s="7" t="s">
        <v>333</v>
      </c>
      <c r="Q2882" s="13"/>
      <c r="R2882" s="13"/>
      <c r="S2882" s="13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</row>
    <row r="2883">
      <c r="A2883" s="12">
        <v>67.0</v>
      </c>
      <c r="B2883" s="7" t="s">
        <v>605</v>
      </c>
      <c r="C2883" s="7" t="s">
        <v>1812</v>
      </c>
      <c r="I2883" s="13" t="s">
        <v>707</v>
      </c>
      <c r="J2883" s="13" t="s">
        <v>1832</v>
      </c>
      <c r="K2883" s="13" t="s">
        <v>303</v>
      </c>
      <c r="L2883" s="13" t="s">
        <v>2493</v>
      </c>
      <c r="M2883" s="6" t="s">
        <v>188</v>
      </c>
      <c r="N2883" s="6" t="s">
        <v>188</v>
      </c>
      <c r="O2883" s="6" t="s">
        <v>190</v>
      </c>
      <c r="P2883" s="7" t="s">
        <v>333</v>
      </c>
      <c r="Q2883" s="13"/>
      <c r="R2883" s="13"/>
      <c r="S2883" s="13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7"/>
      <c r="AE2883" s="7"/>
    </row>
    <row r="2884">
      <c r="A2884" s="12">
        <v>67.0</v>
      </c>
      <c r="B2884" s="7" t="s">
        <v>605</v>
      </c>
      <c r="C2884" s="7" t="s">
        <v>1812</v>
      </c>
      <c r="I2884" s="13" t="s">
        <v>1602</v>
      </c>
      <c r="J2884" s="13" t="s">
        <v>1830</v>
      </c>
      <c r="K2884" s="13" t="s">
        <v>303</v>
      </c>
      <c r="L2884" s="13" t="s">
        <v>2493</v>
      </c>
      <c r="M2884" s="6" t="s">
        <v>188</v>
      </c>
      <c r="N2884" s="6" t="s">
        <v>188</v>
      </c>
      <c r="O2884" s="6" t="s">
        <v>190</v>
      </c>
      <c r="P2884" s="7" t="s">
        <v>333</v>
      </c>
      <c r="Q2884" s="13"/>
      <c r="R2884" s="13"/>
      <c r="S2884" s="13"/>
      <c r="T2884" s="6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</row>
    <row r="2885">
      <c r="A2885" s="12">
        <v>67.0</v>
      </c>
      <c r="B2885" s="7" t="s">
        <v>605</v>
      </c>
      <c r="C2885" s="7" t="s">
        <v>1812</v>
      </c>
      <c r="I2885" s="13" t="s">
        <v>2067</v>
      </c>
      <c r="J2885" s="13" t="s">
        <v>1832</v>
      </c>
      <c r="K2885" s="13" t="s">
        <v>303</v>
      </c>
      <c r="L2885" s="13" t="s">
        <v>2493</v>
      </c>
      <c r="M2885" s="6" t="s">
        <v>188</v>
      </c>
      <c r="N2885" s="6" t="s">
        <v>188</v>
      </c>
      <c r="O2885" s="6" t="s">
        <v>190</v>
      </c>
      <c r="P2885" s="7" t="s">
        <v>333</v>
      </c>
      <c r="Q2885" s="13"/>
      <c r="R2885" s="13"/>
      <c r="S2885" s="13"/>
      <c r="T2885" s="6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</row>
    <row r="2886">
      <c r="A2886" s="12">
        <v>67.0</v>
      </c>
      <c r="B2886" s="7" t="s">
        <v>605</v>
      </c>
      <c r="C2886" s="7" t="s">
        <v>1812</v>
      </c>
      <c r="I2886" s="13" t="s">
        <v>1854</v>
      </c>
      <c r="J2886" s="13" t="s">
        <v>1830</v>
      </c>
      <c r="K2886" s="13" t="s">
        <v>303</v>
      </c>
      <c r="L2886" s="13" t="s">
        <v>2493</v>
      </c>
      <c r="M2886" s="6" t="s">
        <v>188</v>
      </c>
      <c r="N2886" s="6" t="s">
        <v>188</v>
      </c>
      <c r="O2886" s="6" t="s">
        <v>190</v>
      </c>
      <c r="P2886" s="7" t="s">
        <v>333</v>
      </c>
      <c r="Q2886" s="13"/>
      <c r="R2886" s="13"/>
      <c r="S2886" s="13"/>
      <c r="T2886" s="6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</row>
    <row r="2887">
      <c r="A2887" s="12">
        <v>67.0</v>
      </c>
      <c r="B2887" s="7" t="s">
        <v>605</v>
      </c>
      <c r="C2887" s="7" t="s">
        <v>1812</v>
      </c>
      <c r="I2887" s="13" t="s">
        <v>1872</v>
      </c>
      <c r="J2887" s="13" t="s">
        <v>1832</v>
      </c>
      <c r="K2887" s="13" t="s">
        <v>303</v>
      </c>
      <c r="L2887" s="13" t="s">
        <v>2493</v>
      </c>
      <c r="M2887" s="6" t="s">
        <v>188</v>
      </c>
      <c r="N2887" s="6" t="s">
        <v>188</v>
      </c>
      <c r="O2887" s="6" t="s">
        <v>190</v>
      </c>
      <c r="P2887" s="7" t="s">
        <v>333</v>
      </c>
      <c r="Q2887" s="13"/>
      <c r="R2887" s="13"/>
      <c r="S2887" s="13"/>
      <c r="T2887" s="6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</row>
    <row r="2888">
      <c r="A2888" s="12">
        <v>67.0</v>
      </c>
      <c r="B2888" s="7" t="s">
        <v>605</v>
      </c>
      <c r="C2888" s="7" t="s">
        <v>1812</v>
      </c>
      <c r="I2888" s="13" t="s">
        <v>418</v>
      </c>
      <c r="J2888" s="13" t="s">
        <v>1830</v>
      </c>
      <c r="K2888" s="13" t="s">
        <v>303</v>
      </c>
      <c r="L2888" s="13" t="s">
        <v>2493</v>
      </c>
      <c r="M2888" s="6" t="s">
        <v>188</v>
      </c>
      <c r="N2888" s="6" t="s">
        <v>188</v>
      </c>
      <c r="O2888" s="6" t="s">
        <v>190</v>
      </c>
      <c r="P2888" s="7" t="s">
        <v>333</v>
      </c>
      <c r="Q2888" s="13"/>
      <c r="R2888" s="13"/>
      <c r="S2888" s="13"/>
      <c r="T2888" s="6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</row>
    <row r="2889">
      <c r="A2889" s="12">
        <v>67.0</v>
      </c>
      <c r="B2889" s="7" t="s">
        <v>605</v>
      </c>
      <c r="C2889" s="7" t="s">
        <v>1812</v>
      </c>
      <c r="I2889" s="13" t="s">
        <v>1269</v>
      </c>
      <c r="J2889" s="13" t="s">
        <v>1832</v>
      </c>
      <c r="K2889" s="13" t="s">
        <v>303</v>
      </c>
      <c r="L2889" s="13" t="s">
        <v>2493</v>
      </c>
      <c r="M2889" s="6" t="s">
        <v>188</v>
      </c>
      <c r="N2889" s="6" t="s">
        <v>188</v>
      </c>
      <c r="O2889" s="6" t="s">
        <v>190</v>
      </c>
      <c r="P2889" s="7" t="s">
        <v>333</v>
      </c>
      <c r="Q2889" s="13"/>
      <c r="R2889" s="13"/>
      <c r="S2889" s="13"/>
      <c r="T2889" s="6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</row>
    <row r="2890">
      <c r="A2890" s="12">
        <v>67.0</v>
      </c>
      <c r="B2890" s="7" t="s">
        <v>605</v>
      </c>
      <c r="C2890" s="7" t="s">
        <v>1812</v>
      </c>
      <c r="I2890" s="13" t="s">
        <v>1690</v>
      </c>
      <c r="J2890" s="13" t="s">
        <v>1830</v>
      </c>
      <c r="K2890" s="13" t="s">
        <v>303</v>
      </c>
      <c r="L2890" s="13" t="s">
        <v>2493</v>
      </c>
      <c r="M2890" s="6" t="s">
        <v>188</v>
      </c>
      <c r="N2890" s="6" t="s">
        <v>188</v>
      </c>
      <c r="O2890" s="6" t="s">
        <v>190</v>
      </c>
      <c r="P2890" s="7" t="s">
        <v>333</v>
      </c>
      <c r="Q2890" s="13"/>
      <c r="R2890" s="13"/>
      <c r="S2890" s="13"/>
      <c r="T2890" s="6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</row>
    <row r="2891">
      <c r="A2891" s="12">
        <v>67.0</v>
      </c>
      <c r="B2891" s="7" t="s">
        <v>605</v>
      </c>
      <c r="C2891" s="7" t="s">
        <v>1812</v>
      </c>
      <c r="I2891" s="13" t="s">
        <v>1722</v>
      </c>
      <c r="J2891" s="13" t="s">
        <v>1832</v>
      </c>
      <c r="K2891" s="13" t="s">
        <v>303</v>
      </c>
      <c r="L2891" s="13" t="s">
        <v>2493</v>
      </c>
      <c r="M2891" s="6" t="s">
        <v>188</v>
      </c>
      <c r="N2891" s="6" t="s">
        <v>188</v>
      </c>
      <c r="O2891" s="6" t="s">
        <v>190</v>
      </c>
      <c r="P2891" s="7" t="s">
        <v>333</v>
      </c>
      <c r="Q2891" s="13"/>
      <c r="R2891" s="13"/>
      <c r="S2891" s="13"/>
      <c r="T2891" s="6"/>
      <c r="U2891" s="7"/>
      <c r="V2891" s="7"/>
      <c r="W2891" s="7"/>
      <c r="X2891" s="7"/>
      <c r="Y2891" s="7"/>
      <c r="Z2891" s="7"/>
      <c r="AA2891" s="7"/>
      <c r="AB2891" s="7"/>
      <c r="AC2891" s="7"/>
      <c r="AD2891" s="7"/>
      <c r="AE2891" s="7"/>
    </row>
    <row r="2892">
      <c r="A2892" s="12">
        <v>68.0</v>
      </c>
      <c r="B2892" s="7" t="s">
        <v>607</v>
      </c>
      <c r="C2892" s="7" t="s">
        <v>1842</v>
      </c>
      <c r="D2892" s="26">
        <f>IF(COUNTIF($B$2:$B2892,$B2892)&gt;1,"",COUNTIF($B$2:$B$3400,$B2892))</f>
        <v>193</v>
      </c>
      <c r="E2892" s="26">
        <f>IF(COUNTIF($B$2:$B2892,$B2892)&gt;1,"",COUNTIFS($B$2:$B$3400,$B2892,$K$2:$K$3400,"PHÙ HỢP CAO"))</f>
        <v>4</v>
      </c>
      <c r="F2892" s="26">
        <f>IF(COUNTIF($B$2:$B2892,$B2892)&gt;1,"",COUNTIFS($B$2:$B$3400,$B2892,$K$2:$K$3400,"CÓ THỂ ĐI"))</f>
        <v>1</v>
      </c>
      <c r="G2892" s="26">
        <f>IF(COUNTIF($B$2:$B2892,$B2892)&gt;1,"",COUNTIFS($B$2:$B$3400,$B2892,$K$2:$K$3400,"CẦN SOÁT"))</f>
        <v>188</v>
      </c>
      <c r="H2892" s="27" t="str">
        <f>IFERROR(__xludf.DUMMYFUNCTION("IF(COUNTIF($B$2:$B2892,$B2892)&gt;1,"""",IFERROR(TEXTJOIN(CHAR(10),TRUE,BYROW(QUERY({$B$2:$B$3400,$J$2:$J$3400},""select Col2, count(Col2) where Col1 = '""&amp;$B2892&amp;""' group by Col2 order by count(Col2) desc label count(Col2) ''"",0),LAMBDA(r,INDEX(r,1,1)&amp;"" "&amp;"– ""&amp;INDEX(r,1,2)&amp;"" link""))),""""))"),"vay – 22 link
vay nhanh – 22 link
vay tiền – 22 link
vay tiền online chuyển khoản ngay – 22 link
app vay – 21 link
app vay nhanh – 21 link
app vay tiền – 21 link
app vay tiền nhanh – 21 link
vay tiền app – 21 link")</f>
        <v>vay – 22 link
vay nhanh – 22 link
vay tiền – 22 link
vay tiền online chuyển khoản ngay – 22 link
app vay – 21 link
app vay nhanh – 21 link
app vay tiền – 21 link
app vay tiền nhanh – 21 link
vay tiền app – 21 link</v>
      </c>
      <c r="I2892" s="10" t="s">
        <v>1151</v>
      </c>
      <c r="J2892" s="13" t="s">
        <v>781</v>
      </c>
      <c r="K2892" s="13" t="s">
        <v>184</v>
      </c>
      <c r="L2892" s="13" t="s">
        <v>2647</v>
      </c>
      <c r="M2892" s="6" t="s">
        <v>188</v>
      </c>
      <c r="N2892" s="6" t="s">
        <v>188</v>
      </c>
      <c r="O2892" s="6" t="s">
        <v>190</v>
      </c>
      <c r="P2892" s="13" t="s">
        <v>2648</v>
      </c>
      <c r="Q2892" s="13"/>
      <c r="R2892" s="13"/>
      <c r="S2892" s="13"/>
      <c r="T2892" s="6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</row>
    <row r="2893">
      <c r="A2893" s="12">
        <v>68.0</v>
      </c>
      <c r="B2893" s="7" t="s">
        <v>607</v>
      </c>
      <c r="C2893" s="7" t="s">
        <v>1842</v>
      </c>
      <c r="I2893" s="10" t="s">
        <v>1846</v>
      </c>
      <c r="J2893" s="13" t="s">
        <v>797</v>
      </c>
      <c r="K2893" s="13" t="s">
        <v>184</v>
      </c>
      <c r="L2893" s="13" t="s">
        <v>2649</v>
      </c>
      <c r="M2893" s="6" t="s">
        <v>188</v>
      </c>
      <c r="N2893" s="6" t="s">
        <v>188</v>
      </c>
      <c r="O2893" s="6" t="s">
        <v>190</v>
      </c>
      <c r="P2893" s="7"/>
      <c r="Q2893" s="13"/>
      <c r="R2893" s="13"/>
      <c r="S2893" s="13"/>
      <c r="T2893" s="6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</row>
    <row r="2894">
      <c r="A2894" s="12">
        <v>68.0</v>
      </c>
      <c r="B2894" s="7" t="s">
        <v>607</v>
      </c>
      <c r="C2894" s="7" t="s">
        <v>1842</v>
      </c>
      <c r="I2894" s="10" t="s">
        <v>466</v>
      </c>
      <c r="J2894" s="13" t="s">
        <v>798</v>
      </c>
      <c r="K2894" s="13" t="s">
        <v>184</v>
      </c>
      <c r="L2894" s="13" t="s">
        <v>2650</v>
      </c>
      <c r="M2894" s="6" t="s">
        <v>188</v>
      </c>
      <c r="N2894" s="6" t="s">
        <v>188</v>
      </c>
      <c r="O2894" s="6" t="s">
        <v>190</v>
      </c>
      <c r="P2894" s="7"/>
      <c r="Q2894" s="13"/>
      <c r="R2894" s="13"/>
      <c r="S2894" s="13"/>
      <c r="T2894" s="6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</row>
    <row r="2895">
      <c r="A2895" s="12">
        <v>68.0</v>
      </c>
      <c r="B2895" s="7" t="s">
        <v>607</v>
      </c>
      <c r="C2895" s="7" t="s">
        <v>1842</v>
      </c>
      <c r="I2895" s="10" t="s">
        <v>1854</v>
      </c>
      <c r="J2895" s="13" t="s">
        <v>799</v>
      </c>
      <c r="K2895" s="13" t="s">
        <v>184</v>
      </c>
      <c r="L2895" s="13" t="s">
        <v>2651</v>
      </c>
      <c r="M2895" s="6" t="s">
        <v>188</v>
      </c>
      <c r="N2895" s="6" t="s">
        <v>188</v>
      </c>
      <c r="O2895" s="6" t="s">
        <v>190</v>
      </c>
      <c r="P2895" s="7"/>
      <c r="Q2895" s="13"/>
      <c r="R2895" s="13"/>
      <c r="S2895" s="13"/>
      <c r="T2895" s="6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</row>
    <row r="2896">
      <c r="A2896" s="12">
        <v>68.0</v>
      </c>
      <c r="B2896" s="7" t="s">
        <v>607</v>
      </c>
      <c r="C2896" s="7" t="s">
        <v>1842</v>
      </c>
      <c r="I2896" s="10" t="s">
        <v>1857</v>
      </c>
      <c r="J2896" s="13" t="s">
        <v>800</v>
      </c>
      <c r="K2896" s="13" t="s">
        <v>283</v>
      </c>
      <c r="L2896" s="13" t="s">
        <v>2652</v>
      </c>
      <c r="M2896" s="6" t="s">
        <v>188</v>
      </c>
      <c r="N2896" s="6" t="s">
        <v>188</v>
      </c>
      <c r="O2896" s="6" t="s">
        <v>190</v>
      </c>
      <c r="P2896" s="7"/>
      <c r="Q2896" s="13"/>
      <c r="R2896" s="13"/>
      <c r="S2896" s="13"/>
      <c r="T2896" s="6"/>
      <c r="U2896" s="7"/>
      <c r="V2896" s="7"/>
      <c r="W2896" s="7"/>
      <c r="X2896" s="7"/>
      <c r="Y2896" s="7"/>
      <c r="Z2896" s="7"/>
      <c r="AA2896" s="7"/>
      <c r="AB2896" s="7"/>
      <c r="AC2896" s="7"/>
      <c r="AD2896" s="7"/>
      <c r="AE2896" s="7"/>
    </row>
    <row r="2897">
      <c r="A2897" s="12">
        <v>68.0</v>
      </c>
      <c r="B2897" s="7" t="s">
        <v>607</v>
      </c>
      <c r="C2897" s="7" t="s">
        <v>1842</v>
      </c>
      <c r="I2897" s="10" t="s">
        <v>2403</v>
      </c>
      <c r="J2897" s="13" t="s">
        <v>801</v>
      </c>
      <c r="K2897" s="13" t="s">
        <v>303</v>
      </c>
      <c r="L2897" s="13" t="s">
        <v>2653</v>
      </c>
      <c r="M2897" s="6" t="s">
        <v>188</v>
      </c>
      <c r="N2897" s="6" t="s">
        <v>188</v>
      </c>
      <c r="O2897" s="6" t="s">
        <v>190</v>
      </c>
      <c r="P2897" s="7"/>
      <c r="Q2897" s="13"/>
      <c r="R2897" s="13"/>
      <c r="S2897" s="13"/>
      <c r="T2897" s="6"/>
      <c r="U2897" s="7"/>
      <c r="V2897" s="7"/>
      <c r="W2897" s="7"/>
      <c r="X2897" s="7"/>
      <c r="Y2897" s="7"/>
      <c r="Z2897" s="7"/>
      <c r="AA2897" s="7"/>
      <c r="AB2897" s="7"/>
      <c r="AC2897" s="7"/>
      <c r="AD2897" s="7"/>
      <c r="AE2897" s="7"/>
    </row>
    <row r="2898">
      <c r="A2898" s="12">
        <v>68.0</v>
      </c>
      <c r="B2898" s="7" t="s">
        <v>607</v>
      </c>
      <c r="C2898" s="7" t="s">
        <v>1842</v>
      </c>
      <c r="I2898" s="10" t="s">
        <v>1116</v>
      </c>
      <c r="J2898" s="13" t="s">
        <v>802</v>
      </c>
      <c r="K2898" s="13" t="s">
        <v>303</v>
      </c>
      <c r="L2898" s="13" t="s">
        <v>2654</v>
      </c>
      <c r="M2898" s="6" t="s">
        <v>188</v>
      </c>
      <c r="N2898" s="6" t="s">
        <v>188</v>
      </c>
      <c r="O2898" s="6" t="s">
        <v>190</v>
      </c>
      <c r="P2898" s="7"/>
      <c r="Q2898" s="13"/>
      <c r="R2898" s="13"/>
      <c r="S2898" s="13"/>
      <c r="T2898" s="6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</row>
    <row r="2899">
      <c r="A2899" s="12">
        <v>68.0</v>
      </c>
      <c r="B2899" s="7" t="s">
        <v>607</v>
      </c>
      <c r="C2899" s="7" t="s">
        <v>1842</v>
      </c>
      <c r="I2899" s="10" t="s">
        <v>2107</v>
      </c>
      <c r="J2899" s="13" t="s">
        <v>803</v>
      </c>
      <c r="K2899" s="13" t="s">
        <v>303</v>
      </c>
      <c r="L2899" s="13" t="s">
        <v>2655</v>
      </c>
      <c r="M2899" s="6" t="s">
        <v>188</v>
      </c>
      <c r="N2899" s="6" t="s">
        <v>188</v>
      </c>
      <c r="O2899" s="6" t="s">
        <v>190</v>
      </c>
      <c r="P2899" s="7"/>
      <c r="Q2899" s="13"/>
      <c r="R2899" s="13"/>
      <c r="S2899" s="13"/>
      <c r="T2899" s="6"/>
      <c r="U2899" s="7"/>
      <c r="V2899" s="7"/>
      <c r="W2899" s="7"/>
      <c r="X2899" s="7"/>
      <c r="Y2899" s="7"/>
      <c r="Z2899" s="7"/>
      <c r="AA2899" s="7"/>
      <c r="AB2899" s="7"/>
      <c r="AC2899" s="7"/>
      <c r="AD2899" s="7"/>
      <c r="AE2899" s="7"/>
    </row>
    <row r="2900">
      <c r="A2900" s="12">
        <v>68.0</v>
      </c>
      <c r="B2900" s="7" t="s">
        <v>607</v>
      </c>
      <c r="C2900" s="7" t="s">
        <v>1842</v>
      </c>
      <c r="I2900" s="10" t="s">
        <v>1907</v>
      </c>
      <c r="J2900" s="13" t="s">
        <v>804</v>
      </c>
      <c r="K2900" s="13" t="s">
        <v>303</v>
      </c>
      <c r="L2900" s="13" t="s">
        <v>2654</v>
      </c>
      <c r="M2900" s="6" t="s">
        <v>188</v>
      </c>
      <c r="N2900" s="6" t="s">
        <v>188</v>
      </c>
      <c r="O2900" s="6" t="s">
        <v>190</v>
      </c>
      <c r="P2900" s="7"/>
      <c r="Q2900" s="13"/>
      <c r="R2900" s="13"/>
      <c r="S2900" s="13"/>
      <c r="T2900" s="6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</row>
    <row r="2901">
      <c r="A2901" s="12">
        <v>68.0</v>
      </c>
      <c r="B2901" s="7" t="s">
        <v>607</v>
      </c>
      <c r="C2901" s="7" t="s">
        <v>1842</v>
      </c>
      <c r="I2901" s="10" t="s">
        <v>2077</v>
      </c>
      <c r="J2901" s="13" t="s">
        <v>781</v>
      </c>
      <c r="K2901" s="13" t="s">
        <v>303</v>
      </c>
      <c r="L2901" s="13" t="s">
        <v>2654</v>
      </c>
      <c r="M2901" s="6" t="s">
        <v>188</v>
      </c>
      <c r="N2901" s="6" t="s">
        <v>188</v>
      </c>
      <c r="O2901" s="6" t="s">
        <v>190</v>
      </c>
      <c r="P2901" s="7"/>
      <c r="Q2901" s="13"/>
      <c r="R2901" s="13"/>
      <c r="S2901" s="13"/>
      <c r="T2901" s="6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</row>
    <row r="2902">
      <c r="A2902" s="12">
        <v>68.0</v>
      </c>
      <c r="B2902" s="7" t="s">
        <v>607</v>
      </c>
      <c r="C2902" s="7" t="s">
        <v>1842</v>
      </c>
      <c r="I2902" s="10" t="s">
        <v>614</v>
      </c>
      <c r="J2902" s="13" t="s">
        <v>797</v>
      </c>
      <c r="K2902" s="13" t="s">
        <v>303</v>
      </c>
      <c r="L2902" s="13" t="s">
        <v>2654</v>
      </c>
      <c r="M2902" s="6" t="s">
        <v>188</v>
      </c>
      <c r="N2902" s="6" t="s">
        <v>188</v>
      </c>
      <c r="O2902" s="6" t="s">
        <v>190</v>
      </c>
      <c r="P2902" s="7"/>
      <c r="Q2902" s="13"/>
      <c r="R2902" s="13"/>
      <c r="S2902" s="13"/>
      <c r="T2902" s="6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</row>
    <row r="2903">
      <c r="A2903" s="12">
        <v>68.0</v>
      </c>
      <c r="B2903" s="7" t="s">
        <v>607</v>
      </c>
      <c r="C2903" s="7" t="s">
        <v>1842</v>
      </c>
      <c r="I2903" s="10" t="s">
        <v>1825</v>
      </c>
      <c r="J2903" s="13" t="s">
        <v>798</v>
      </c>
      <c r="K2903" s="13" t="s">
        <v>303</v>
      </c>
      <c r="L2903" s="13" t="s">
        <v>2655</v>
      </c>
      <c r="M2903" s="6" t="s">
        <v>188</v>
      </c>
      <c r="N2903" s="6" t="s">
        <v>188</v>
      </c>
      <c r="O2903" s="6" t="s">
        <v>190</v>
      </c>
      <c r="P2903" s="7"/>
      <c r="Q2903" s="13"/>
      <c r="R2903" s="13"/>
      <c r="S2903" s="13"/>
      <c r="T2903" s="6"/>
      <c r="U2903" s="7"/>
      <c r="V2903" s="7"/>
      <c r="W2903" s="7"/>
      <c r="X2903" s="7"/>
      <c r="Y2903" s="7"/>
      <c r="Z2903" s="7"/>
      <c r="AA2903" s="7"/>
      <c r="AB2903" s="7"/>
      <c r="AC2903" s="7"/>
      <c r="AD2903" s="7"/>
      <c r="AE2903" s="7"/>
    </row>
    <row r="2904">
      <c r="A2904" s="12">
        <v>68.0</v>
      </c>
      <c r="B2904" s="7" t="s">
        <v>607</v>
      </c>
      <c r="C2904" s="7" t="s">
        <v>1842</v>
      </c>
      <c r="I2904" s="10" t="s">
        <v>519</v>
      </c>
      <c r="J2904" s="13" t="s">
        <v>799</v>
      </c>
      <c r="K2904" s="13" t="s">
        <v>303</v>
      </c>
      <c r="L2904" s="13" t="s">
        <v>2654</v>
      </c>
      <c r="M2904" s="6" t="s">
        <v>188</v>
      </c>
      <c r="N2904" s="6" t="s">
        <v>188</v>
      </c>
      <c r="O2904" s="6" t="s">
        <v>190</v>
      </c>
      <c r="P2904" s="7"/>
      <c r="Q2904" s="13"/>
      <c r="R2904" s="13"/>
      <c r="S2904" s="13"/>
      <c r="T2904" s="6"/>
      <c r="U2904" s="7"/>
      <c r="V2904" s="7"/>
      <c r="W2904" s="7"/>
      <c r="X2904" s="7"/>
      <c r="Y2904" s="7"/>
      <c r="Z2904" s="7"/>
      <c r="AA2904" s="7"/>
      <c r="AB2904" s="7"/>
      <c r="AC2904" s="7"/>
      <c r="AD2904" s="7"/>
      <c r="AE2904" s="7"/>
    </row>
    <row r="2905">
      <c r="A2905" s="12">
        <v>68.0</v>
      </c>
      <c r="B2905" s="7" t="s">
        <v>607</v>
      </c>
      <c r="C2905" s="7" t="s">
        <v>1842</v>
      </c>
      <c r="I2905" s="10" t="s">
        <v>2072</v>
      </c>
      <c r="J2905" s="13" t="s">
        <v>800</v>
      </c>
      <c r="K2905" s="13" t="s">
        <v>303</v>
      </c>
      <c r="L2905" s="13" t="s">
        <v>2654</v>
      </c>
      <c r="M2905" s="6" t="s">
        <v>188</v>
      </c>
      <c r="N2905" s="6" t="s">
        <v>188</v>
      </c>
      <c r="O2905" s="6" t="s">
        <v>190</v>
      </c>
      <c r="P2905" s="7"/>
      <c r="Q2905" s="13"/>
      <c r="R2905" s="13"/>
      <c r="S2905" s="13"/>
      <c r="T2905" s="6"/>
      <c r="U2905" s="7"/>
      <c r="V2905" s="7"/>
      <c r="W2905" s="7"/>
      <c r="X2905" s="7"/>
      <c r="Y2905" s="7"/>
      <c r="Z2905" s="7"/>
      <c r="AA2905" s="7"/>
      <c r="AB2905" s="7"/>
      <c r="AC2905" s="7"/>
      <c r="AD2905" s="7"/>
      <c r="AE2905" s="7"/>
    </row>
    <row r="2906">
      <c r="A2906" s="12">
        <v>68.0</v>
      </c>
      <c r="B2906" s="7" t="s">
        <v>607</v>
      </c>
      <c r="C2906" s="7" t="s">
        <v>1842</v>
      </c>
      <c r="I2906" s="10" t="s">
        <v>1599</v>
      </c>
      <c r="J2906" s="13" t="s">
        <v>801</v>
      </c>
      <c r="K2906" s="13" t="s">
        <v>303</v>
      </c>
      <c r="L2906" s="13" t="s">
        <v>2654</v>
      </c>
      <c r="M2906" s="6" t="s">
        <v>188</v>
      </c>
      <c r="N2906" s="6" t="s">
        <v>188</v>
      </c>
      <c r="O2906" s="6" t="s">
        <v>190</v>
      </c>
      <c r="P2906" s="7"/>
      <c r="Q2906" s="13"/>
      <c r="R2906" s="13"/>
      <c r="S2906" s="13"/>
      <c r="T2906" s="6"/>
      <c r="U2906" s="7"/>
      <c r="V2906" s="7"/>
      <c r="W2906" s="7"/>
      <c r="X2906" s="7"/>
      <c r="Y2906" s="7"/>
      <c r="Z2906" s="7"/>
      <c r="AA2906" s="7"/>
      <c r="AB2906" s="7"/>
      <c r="AC2906" s="7"/>
      <c r="AD2906" s="7"/>
      <c r="AE2906" s="7"/>
    </row>
    <row r="2907">
      <c r="A2907" s="12">
        <v>68.0</v>
      </c>
      <c r="B2907" s="7" t="s">
        <v>607</v>
      </c>
      <c r="C2907" s="7" t="s">
        <v>1842</v>
      </c>
      <c r="I2907" s="10" t="s">
        <v>2070</v>
      </c>
      <c r="J2907" s="13" t="s">
        <v>802</v>
      </c>
      <c r="K2907" s="13" t="s">
        <v>303</v>
      </c>
      <c r="L2907" s="13" t="s">
        <v>2656</v>
      </c>
      <c r="M2907" s="6" t="s">
        <v>188</v>
      </c>
      <c r="N2907" s="6" t="s">
        <v>188</v>
      </c>
      <c r="O2907" s="6" t="s">
        <v>190</v>
      </c>
      <c r="P2907" s="7"/>
      <c r="Q2907" s="13"/>
      <c r="R2907" s="13"/>
      <c r="S2907" s="13"/>
      <c r="T2907" s="6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</row>
    <row r="2908">
      <c r="A2908" s="12">
        <v>68.0</v>
      </c>
      <c r="B2908" s="7" t="s">
        <v>607</v>
      </c>
      <c r="C2908" s="7" t="s">
        <v>1842</v>
      </c>
      <c r="I2908" s="10" t="s">
        <v>2278</v>
      </c>
      <c r="J2908" s="13" t="s">
        <v>803</v>
      </c>
      <c r="K2908" s="13" t="s">
        <v>303</v>
      </c>
      <c r="L2908" s="13" t="s">
        <v>2654</v>
      </c>
      <c r="M2908" s="6" t="s">
        <v>188</v>
      </c>
      <c r="N2908" s="6" t="s">
        <v>188</v>
      </c>
      <c r="O2908" s="6" t="s">
        <v>190</v>
      </c>
      <c r="P2908" s="7"/>
      <c r="Q2908" s="13"/>
      <c r="R2908" s="13"/>
      <c r="S2908" s="13"/>
      <c r="T2908" s="6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</row>
    <row r="2909">
      <c r="A2909" s="12">
        <v>68.0</v>
      </c>
      <c r="B2909" s="7" t="s">
        <v>607</v>
      </c>
      <c r="C2909" s="7" t="s">
        <v>1842</v>
      </c>
      <c r="I2909" s="13" t="s">
        <v>247</v>
      </c>
      <c r="J2909" s="13" t="s">
        <v>804</v>
      </c>
      <c r="K2909" s="13" t="s">
        <v>303</v>
      </c>
      <c r="L2909" s="13" t="s">
        <v>2657</v>
      </c>
      <c r="M2909" s="6" t="s">
        <v>188</v>
      </c>
      <c r="N2909" s="6" t="s">
        <v>188</v>
      </c>
      <c r="O2909" s="6" t="s">
        <v>190</v>
      </c>
      <c r="P2909" s="7" t="s">
        <v>333</v>
      </c>
      <c r="Q2909" s="13"/>
      <c r="R2909" s="13"/>
      <c r="S2909" s="13"/>
      <c r="T2909" s="6"/>
      <c r="U2909" s="7"/>
      <c r="V2909" s="7"/>
      <c r="W2909" s="7"/>
      <c r="X2909" s="7"/>
      <c r="Y2909" s="7"/>
      <c r="Z2909" s="7"/>
      <c r="AA2909" s="7"/>
      <c r="AB2909" s="7"/>
      <c r="AC2909" s="7"/>
      <c r="AD2909" s="7"/>
      <c r="AE2909" s="7"/>
    </row>
    <row r="2910">
      <c r="A2910" s="12">
        <v>68.0</v>
      </c>
      <c r="B2910" s="7" t="s">
        <v>607</v>
      </c>
      <c r="C2910" s="7" t="s">
        <v>1842</v>
      </c>
      <c r="I2910" s="13" t="s">
        <v>43</v>
      </c>
      <c r="J2910" s="13" t="s">
        <v>781</v>
      </c>
      <c r="K2910" s="13" t="s">
        <v>303</v>
      </c>
      <c r="L2910" s="13" t="s">
        <v>2658</v>
      </c>
      <c r="M2910" s="6" t="s">
        <v>188</v>
      </c>
      <c r="N2910" s="6" t="s">
        <v>188</v>
      </c>
      <c r="O2910" s="6" t="s">
        <v>190</v>
      </c>
      <c r="P2910" s="7" t="s">
        <v>333</v>
      </c>
      <c r="Q2910" s="13"/>
      <c r="R2910" s="13"/>
      <c r="S2910" s="13"/>
      <c r="T2910" s="6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</row>
    <row r="2911">
      <c r="A2911" s="12">
        <v>68.0</v>
      </c>
      <c r="B2911" s="7" t="s">
        <v>607</v>
      </c>
      <c r="C2911" s="7" t="s">
        <v>1842</v>
      </c>
      <c r="I2911" s="13" t="s">
        <v>347</v>
      </c>
      <c r="J2911" s="13" t="s">
        <v>797</v>
      </c>
      <c r="K2911" s="13" t="s">
        <v>303</v>
      </c>
      <c r="L2911" s="13" t="s">
        <v>2604</v>
      </c>
      <c r="M2911" s="6" t="s">
        <v>188</v>
      </c>
      <c r="N2911" s="6" t="s">
        <v>188</v>
      </c>
      <c r="O2911" s="6" t="s">
        <v>190</v>
      </c>
      <c r="P2911" s="7" t="s">
        <v>333</v>
      </c>
      <c r="Q2911" s="13"/>
      <c r="R2911" s="13"/>
      <c r="S2911" s="13"/>
      <c r="T2911" s="6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</row>
    <row r="2912">
      <c r="A2912" s="12">
        <v>68.0</v>
      </c>
      <c r="B2912" s="7" t="s">
        <v>607</v>
      </c>
      <c r="C2912" s="7" t="s">
        <v>1842</v>
      </c>
      <c r="I2912" s="13" t="s">
        <v>356</v>
      </c>
      <c r="J2912" s="13" t="s">
        <v>798</v>
      </c>
      <c r="K2912" s="13" t="s">
        <v>303</v>
      </c>
      <c r="L2912" s="13" t="s">
        <v>2659</v>
      </c>
      <c r="M2912" s="6" t="s">
        <v>188</v>
      </c>
      <c r="N2912" s="6" t="s">
        <v>188</v>
      </c>
      <c r="O2912" s="6" t="s">
        <v>190</v>
      </c>
      <c r="P2912" s="7" t="s">
        <v>333</v>
      </c>
      <c r="Q2912" s="13"/>
      <c r="R2912" s="13"/>
      <c r="S2912" s="13"/>
      <c r="T2912" s="6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  <c r="AE2912" s="7"/>
    </row>
    <row r="2913">
      <c r="A2913" s="12">
        <v>68.0</v>
      </c>
      <c r="B2913" s="7" t="s">
        <v>607</v>
      </c>
      <c r="C2913" s="7" t="s">
        <v>1842</v>
      </c>
      <c r="I2913" s="13" t="s">
        <v>270</v>
      </c>
      <c r="J2913" s="13" t="s">
        <v>799</v>
      </c>
      <c r="K2913" s="13" t="s">
        <v>303</v>
      </c>
      <c r="L2913" s="13" t="s">
        <v>2605</v>
      </c>
      <c r="M2913" s="6" t="s">
        <v>188</v>
      </c>
      <c r="N2913" s="6" t="s">
        <v>188</v>
      </c>
      <c r="O2913" s="6" t="s">
        <v>190</v>
      </c>
      <c r="P2913" s="7" t="s">
        <v>333</v>
      </c>
      <c r="Q2913" s="13"/>
      <c r="R2913" s="13"/>
      <c r="S2913" s="13"/>
      <c r="T2913" s="6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</row>
    <row r="2914">
      <c r="A2914" s="12">
        <v>68.0</v>
      </c>
      <c r="B2914" s="7" t="s">
        <v>607</v>
      </c>
      <c r="C2914" s="7" t="s">
        <v>1842</v>
      </c>
      <c r="I2914" s="13" t="s">
        <v>365</v>
      </c>
      <c r="J2914" s="13" t="s">
        <v>800</v>
      </c>
      <c r="K2914" s="13" t="s">
        <v>303</v>
      </c>
      <c r="L2914" s="13" t="s">
        <v>2660</v>
      </c>
      <c r="M2914" s="6" t="s">
        <v>188</v>
      </c>
      <c r="N2914" s="6" t="s">
        <v>188</v>
      </c>
      <c r="O2914" s="6" t="s">
        <v>190</v>
      </c>
      <c r="P2914" s="7" t="s">
        <v>333</v>
      </c>
      <c r="Q2914" s="13"/>
      <c r="R2914" s="13"/>
      <c r="S2914" s="13"/>
      <c r="T2914" s="6"/>
      <c r="U2914" s="7"/>
      <c r="V2914" s="7"/>
      <c r="W2914" s="7"/>
      <c r="X2914" s="7"/>
      <c r="Y2914" s="7"/>
      <c r="Z2914" s="7"/>
      <c r="AA2914" s="7"/>
      <c r="AB2914" s="7"/>
      <c r="AC2914" s="7"/>
      <c r="AD2914" s="7"/>
      <c r="AE2914" s="7"/>
    </row>
    <row r="2915">
      <c r="A2915" s="12">
        <v>68.0</v>
      </c>
      <c r="B2915" s="7" t="s">
        <v>607</v>
      </c>
      <c r="C2915" s="7" t="s">
        <v>1842</v>
      </c>
      <c r="I2915" s="13" t="s">
        <v>373</v>
      </c>
      <c r="J2915" s="13" t="s">
        <v>801</v>
      </c>
      <c r="K2915" s="13" t="s">
        <v>303</v>
      </c>
      <c r="L2915" s="13" t="s">
        <v>2606</v>
      </c>
      <c r="M2915" s="6" t="s">
        <v>188</v>
      </c>
      <c r="N2915" s="6" t="s">
        <v>188</v>
      </c>
      <c r="O2915" s="6" t="s">
        <v>190</v>
      </c>
      <c r="P2915" s="7" t="s">
        <v>333</v>
      </c>
      <c r="Q2915" s="13"/>
      <c r="R2915" s="13"/>
      <c r="S2915" s="13"/>
      <c r="T2915" s="6"/>
      <c r="U2915" s="7"/>
      <c r="V2915" s="7"/>
      <c r="W2915" s="7"/>
      <c r="X2915" s="7"/>
      <c r="Y2915" s="7"/>
      <c r="Z2915" s="7"/>
      <c r="AA2915" s="7"/>
      <c r="AB2915" s="7"/>
      <c r="AC2915" s="7"/>
      <c r="AD2915" s="7"/>
      <c r="AE2915" s="7"/>
    </row>
    <row r="2916">
      <c r="A2916" s="12">
        <v>68.0</v>
      </c>
      <c r="B2916" s="7" t="s">
        <v>607</v>
      </c>
      <c r="C2916" s="7" t="s">
        <v>1842</v>
      </c>
      <c r="I2916" s="13" t="s">
        <v>380</v>
      </c>
      <c r="J2916" s="13" t="s">
        <v>802</v>
      </c>
      <c r="K2916" s="13" t="s">
        <v>303</v>
      </c>
      <c r="L2916" s="13" t="s">
        <v>2661</v>
      </c>
      <c r="M2916" s="6" t="s">
        <v>188</v>
      </c>
      <c r="N2916" s="6" t="s">
        <v>188</v>
      </c>
      <c r="O2916" s="6" t="s">
        <v>190</v>
      </c>
      <c r="P2916" s="7" t="s">
        <v>333</v>
      </c>
      <c r="Q2916" s="13"/>
      <c r="R2916" s="13"/>
      <c r="S2916" s="13"/>
      <c r="T2916" s="6"/>
      <c r="U2916" s="7"/>
      <c r="V2916" s="7"/>
      <c r="W2916" s="7"/>
      <c r="X2916" s="7"/>
      <c r="Y2916" s="7"/>
      <c r="Z2916" s="7"/>
      <c r="AA2916" s="7"/>
      <c r="AB2916" s="7"/>
      <c r="AC2916" s="7"/>
      <c r="AD2916" s="7"/>
      <c r="AE2916" s="7"/>
    </row>
    <row r="2917">
      <c r="A2917" s="12">
        <v>68.0</v>
      </c>
      <c r="B2917" s="7" t="s">
        <v>607</v>
      </c>
      <c r="C2917" s="7" t="s">
        <v>1842</v>
      </c>
      <c r="I2917" s="13" t="s">
        <v>387</v>
      </c>
      <c r="J2917" s="13" t="s">
        <v>803</v>
      </c>
      <c r="K2917" s="13" t="s">
        <v>303</v>
      </c>
      <c r="L2917" s="13" t="s">
        <v>2662</v>
      </c>
      <c r="M2917" s="6" t="s">
        <v>188</v>
      </c>
      <c r="N2917" s="6" t="s">
        <v>188</v>
      </c>
      <c r="O2917" s="6" t="s">
        <v>190</v>
      </c>
      <c r="P2917" s="7" t="s">
        <v>333</v>
      </c>
      <c r="Q2917" s="13"/>
      <c r="R2917" s="13"/>
      <c r="S2917" s="13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</row>
    <row r="2918">
      <c r="A2918" s="12">
        <v>68.0</v>
      </c>
      <c r="B2918" s="7" t="s">
        <v>607</v>
      </c>
      <c r="C2918" s="7" t="s">
        <v>1842</v>
      </c>
      <c r="I2918" s="13" t="s">
        <v>395</v>
      </c>
      <c r="J2918" s="13" t="s">
        <v>804</v>
      </c>
      <c r="K2918" s="13" t="s">
        <v>303</v>
      </c>
      <c r="L2918" s="13" t="s">
        <v>2606</v>
      </c>
      <c r="M2918" s="6" t="s">
        <v>188</v>
      </c>
      <c r="N2918" s="6" t="s">
        <v>188</v>
      </c>
      <c r="O2918" s="6" t="s">
        <v>190</v>
      </c>
      <c r="P2918" s="7" t="s">
        <v>333</v>
      </c>
      <c r="Q2918" s="13"/>
      <c r="R2918" s="13"/>
      <c r="S2918" s="13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</row>
    <row r="2919">
      <c r="A2919" s="12">
        <v>68.0</v>
      </c>
      <c r="B2919" s="7" t="s">
        <v>607</v>
      </c>
      <c r="C2919" s="7" t="s">
        <v>1842</v>
      </c>
      <c r="I2919" s="13" t="s">
        <v>404</v>
      </c>
      <c r="J2919" s="13" t="s">
        <v>781</v>
      </c>
      <c r="K2919" s="13" t="s">
        <v>303</v>
      </c>
      <c r="L2919" s="13" t="s">
        <v>2658</v>
      </c>
      <c r="M2919" s="6" t="s">
        <v>188</v>
      </c>
      <c r="N2919" s="6" t="s">
        <v>188</v>
      </c>
      <c r="O2919" s="6" t="s">
        <v>190</v>
      </c>
      <c r="P2919" s="7" t="s">
        <v>333</v>
      </c>
      <c r="Q2919" s="13"/>
      <c r="R2919" s="13"/>
      <c r="S2919" s="13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</row>
    <row r="2920">
      <c r="A2920" s="12">
        <v>68.0</v>
      </c>
      <c r="B2920" s="7" t="s">
        <v>607</v>
      </c>
      <c r="C2920" s="7" t="s">
        <v>1842</v>
      </c>
      <c r="I2920" s="13" t="s">
        <v>408</v>
      </c>
      <c r="J2920" s="13" t="s">
        <v>797</v>
      </c>
      <c r="K2920" s="13" t="s">
        <v>303</v>
      </c>
      <c r="L2920" s="13" t="s">
        <v>2663</v>
      </c>
      <c r="M2920" s="6" t="s">
        <v>188</v>
      </c>
      <c r="N2920" s="6" t="s">
        <v>188</v>
      </c>
      <c r="O2920" s="6" t="s">
        <v>190</v>
      </c>
      <c r="P2920" s="7" t="s">
        <v>333</v>
      </c>
      <c r="Q2920" s="13"/>
      <c r="R2920" s="13"/>
      <c r="S2920" s="13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7"/>
      <c r="AE2920" s="7"/>
    </row>
    <row r="2921">
      <c r="A2921" s="12">
        <v>68.0</v>
      </c>
      <c r="B2921" s="7" t="s">
        <v>607</v>
      </c>
      <c r="C2921" s="7" t="s">
        <v>1842</v>
      </c>
      <c r="I2921" s="13" t="s">
        <v>437</v>
      </c>
      <c r="J2921" s="13" t="s">
        <v>798</v>
      </c>
      <c r="K2921" s="13" t="s">
        <v>303</v>
      </c>
      <c r="L2921" s="13" t="s">
        <v>2663</v>
      </c>
      <c r="M2921" s="6" t="s">
        <v>188</v>
      </c>
      <c r="N2921" s="6" t="s">
        <v>188</v>
      </c>
      <c r="O2921" s="6" t="s">
        <v>190</v>
      </c>
      <c r="P2921" s="7" t="s">
        <v>333</v>
      </c>
      <c r="Q2921" s="13"/>
      <c r="R2921" s="13"/>
      <c r="S2921" s="13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</row>
    <row r="2922">
      <c r="A2922" s="12">
        <v>68.0</v>
      </c>
      <c r="B2922" s="7" t="s">
        <v>607</v>
      </c>
      <c r="C2922" s="7" t="s">
        <v>1842</v>
      </c>
      <c r="I2922" s="13" t="s">
        <v>505</v>
      </c>
      <c r="J2922" s="13" t="s">
        <v>799</v>
      </c>
      <c r="K2922" s="13" t="s">
        <v>303</v>
      </c>
      <c r="L2922" s="13" t="s">
        <v>2664</v>
      </c>
      <c r="M2922" s="6" t="s">
        <v>188</v>
      </c>
      <c r="N2922" s="6" t="s">
        <v>188</v>
      </c>
      <c r="O2922" s="6" t="s">
        <v>190</v>
      </c>
      <c r="P2922" s="7" t="s">
        <v>333</v>
      </c>
      <c r="Q2922" s="13"/>
      <c r="R2922" s="13"/>
      <c r="S2922" s="13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7"/>
      <c r="AE2922" s="7"/>
    </row>
    <row r="2923">
      <c r="A2923" s="12">
        <v>68.0</v>
      </c>
      <c r="B2923" s="7" t="s">
        <v>607</v>
      </c>
      <c r="C2923" s="7" t="s">
        <v>1842</v>
      </c>
      <c r="I2923" s="13" t="s">
        <v>330</v>
      </c>
      <c r="J2923" s="13" t="s">
        <v>800</v>
      </c>
      <c r="K2923" s="13" t="s">
        <v>303</v>
      </c>
      <c r="L2923" s="13" t="s">
        <v>2665</v>
      </c>
      <c r="M2923" s="6" t="s">
        <v>188</v>
      </c>
      <c r="N2923" s="6" t="s">
        <v>188</v>
      </c>
      <c r="O2923" s="6" t="s">
        <v>190</v>
      </c>
      <c r="P2923" s="7" t="s">
        <v>333</v>
      </c>
      <c r="Q2923" s="13"/>
      <c r="R2923" s="13"/>
      <c r="S2923" s="13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</row>
    <row r="2924">
      <c r="A2924" s="12">
        <v>68.0</v>
      </c>
      <c r="B2924" s="7" t="s">
        <v>607</v>
      </c>
      <c r="C2924" s="7" t="s">
        <v>1842</v>
      </c>
      <c r="I2924" s="13" t="s">
        <v>445</v>
      </c>
      <c r="J2924" s="13" t="s">
        <v>801</v>
      </c>
      <c r="K2924" s="13" t="s">
        <v>303</v>
      </c>
      <c r="L2924" s="13" t="s">
        <v>2666</v>
      </c>
      <c r="M2924" s="6" t="s">
        <v>188</v>
      </c>
      <c r="N2924" s="6" t="s">
        <v>188</v>
      </c>
      <c r="O2924" s="6" t="s">
        <v>190</v>
      </c>
      <c r="P2924" s="7" t="s">
        <v>333</v>
      </c>
      <c r="Q2924" s="13"/>
      <c r="R2924" s="13"/>
      <c r="S2924" s="13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7"/>
      <c r="AE2924" s="7"/>
    </row>
    <row r="2925">
      <c r="A2925" s="12">
        <v>68.0</v>
      </c>
      <c r="B2925" s="7" t="s">
        <v>607</v>
      </c>
      <c r="C2925" s="7" t="s">
        <v>1842</v>
      </c>
      <c r="I2925" s="13" t="s">
        <v>418</v>
      </c>
      <c r="J2925" s="13" t="s">
        <v>802</v>
      </c>
      <c r="K2925" s="13" t="s">
        <v>303</v>
      </c>
      <c r="L2925" s="13" t="s">
        <v>2604</v>
      </c>
      <c r="M2925" s="6" t="s">
        <v>188</v>
      </c>
      <c r="N2925" s="6" t="s">
        <v>188</v>
      </c>
      <c r="O2925" s="6" t="s">
        <v>190</v>
      </c>
      <c r="P2925" s="7" t="s">
        <v>333</v>
      </c>
      <c r="Q2925" s="13"/>
      <c r="R2925" s="13"/>
      <c r="S2925" s="13"/>
      <c r="T2925" s="7"/>
      <c r="U2925" s="7"/>
      <c r="V2925" s="7"/>
      <c r="W2925" s="7"/>
      <c r="X2925" s="7"/>
      <c r="Y2925" s="7"/>
      <c r="Z2925" s="7"/>
      <c r="AA2925" s="7"/>
      <c r="AB2925" s="7"/>
      <c r="AC2925" s="7"/>
      <c r="AD2925" s="7"/>
      <c r="AE2925" s="7"/>
    </row>
    <row r="2926">
      <c r="A2926" s="12">
        <v>68.0</v>
      </c>
      <c r="B2926" s="7" t="s">
        <v>607</v>
      </c>
      <c r="C2926" s="7" t="s">
        <v>1842</v>
      </c>
      <c r="I2926" s="13" t="s">
        <v>627</v>
      </c>
      <c r="J2926" s="13" t="s">
        <v>803</v>
      </c>
      <c r="K2926" s="13" t="s">
        <v>303</v>
      </c>
      <c r="L2926" s="13" t="s">
        <v>2667</v>
      </c>
      <c r="M2926" s="6" t="s">
        <v>188</v>
      </c>
      <c r="N2926" s="6" t="s">
        <v>188</v>
      </c>
      <c r="O2926" s="6" t="s">
        <v>190</v>
      </c>
      <c r="P2926" s="7" t="s">
        <v>333</v>
      </c>
      <c r="Q2926" s="13"/>
      <c r="R2926" s="13"/>
      <c r="S2926" s="13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</row>
    <row r="2927">
      <c r="A2927" s="12">
        <v>68.0</v>
      </c>
      <c r="B2927" s="7" t="s">
        <v>607</v>
      </c>
      <c r="C2927" s="7" t="s">
        <v>1842</v>
      </c>
      <c r="I2927" s="13" t="s">
        <v>1704</v>
      </c>
      <c r="J2927" s="13" t="s">
        <v>804</v>
      </c>
      <c r="K2927" s="13" t="s">
        <v>303</v>
      </c>
      <c r="L2927" s="13" t="s">
        <v>2668</v>
      </c>
      <c r="M2927" s="6" t="s">
        <v>188</v>
      </c>
      <c r="N2927" s="6" t="s">
        <v>188</v>
      </c>
      <c r="O2927" s="6" t="s">
        <v>190</v>
      </c>
      <c r="P2927" s="7" t="s">
        <v>333</v>
      </c>
      <c r="Q2927" s="13"/>
      <c r="R2927" s="13"/>
      <c r="S2927" s="13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</row>
    <row r="2928">
      <c r="A2928" s="12">
        <v>68.0</v>
      </c>
      <c r="B2928" s="7" t="s">
        <v>607</v>
      </c>
      <c r="C2928" s="7" t="s">
        <v>1842</v>
      </c>
      <c r="I2928" s="13" t="s">
        <v>225</v>
      </c>
      <c r="J2928" s="13" t="s">
        <v>781</v>
      </c>
      <c r="K2928" s="13" t="s">
        <v>303</v>
      </c>
      <c r="L2928" s="13" t="s">
        <v>2665</v>
      </c>
      <c r="M2928" s="6" t="s">
        <v>188</v>
      </c>
      <c r="N2928" s="6" t="s">
        <v>188</v>
      </c>
      <c r="O2928" s="6" t="s">
        <v>190</v>
      </c>
      <c r="P2928" s="7" t="s">
        <v>333</v>
      </c>
      <c r="Q2928" s="13"/>
      <c r="R2928" s="13"/>
      <c r="S2928" s="13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</row>
    <row r="2929">
      <c r="A2929" s="12">
        <v>68.0</v>
      </c>
      <c r="B2929" s="7" t="s">
        <v>607</v>
      </c>
      <c r="C2929" s="7" t="s">
        <v>1842</v>
      </c>
      <c r="I2929" s="13" t="s">
        <v>426</v>
      </c>
      <c r="J2929" s="13" t="s">
        <v>797</v>
      </c>
      <c r="K2929" s="13" t="s">
        <v>303</v>
      </c>
      <c r="L2929" s="13" t="s">
        <v>2607</v>
      </c>
      <c r="M2929" s="6" t="s">
        <v>188</v>
      </c>
      <c r="N2929" s="6" t="s">
        <v>188</v>
      </c>
      <c r="O2929" s="6" t="s">
        <v>190</v>
      </c>
      <c r="P2929" s="7" t="s">
        <v>333</v>
      </c>
      <c r="Q2929" s="13"/>
      <c r="R2929" s="13"/>
      <c r="S2929" s="13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</row>
    <row r="2930">
      <c r="A2930" s="12">
        <v>68.0</v>
      </c>
      <c r="B2930" s="7" t="s">
        <v>607</v>
      </c>
      <c r="C2930" s="7" t="s">
        <v>1842</v>
      </c>
      <c r="I2930" s="13" t="s">
        <v>167</v>
      </c>
      <c r="J2930" s="13" t="s">
        <v>798</v>
      </c>
      <c r="K2930" s="13" t="s">
        <v>303</v>
      </c>
      <c r="L2930" s="13" t="s">
        <v>2665</v>
      </c>
      <c r="M2930" s="6" t="s">
        <v>188</v>
      </c>
      <c r="N2930" s="6" t="s">
        <v>188</v>
      </c>
      <c r="O2930" s="6" t="s">
        <v>190</v>
      </c>
      <c r="P2930" s="7" t="s">
        <v>333</v>
      </c>
      <c r="Q2930" s="13"/>
      <c r="R2930" s="13"/>
      <c r="S2930" s="13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</row>
    <row r="2931">
      <c r="A2931" s="12">
        <v>68.0</v>
      </c>
      <c r="B2931" s="7" t="s">
        <v>607</v>
      </c>
      <c r="C2931" s="7" t="s">
        <v>1842</v>
      </c>
      <c r="I2931" s="13" t="s">
        <v>529</v>
      </c>
      <c r="J2931" s="13" t="s">
        <v>799</v>
      </c>
      <c r="K2931" s="13" t="s">
        <v>303</v>
      </c>
      <c r="L2931" s="13" t="s">
        <v>2660</v>
      </c>
      <c r="M2931" s="6" t="s">
        <v>188</v>
      </c>
      <c r="N2931" s="6" t="s">
        <v>188</v>
      </c>
      <c r="O2931" s="6" t="s">
        <v>190</v>
      </c>
      <c r="P2931" s="7" t="s">
        <v>333</v>
      </c>
      <c r="Q2931" s="13"/>
      <c r="R2931" s="13"/>
      <c r="S2931" s="13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</row>
    <row r="2932">
      <c r="A2932" s="12">
        <v>68.0</v>
      </c>
      <c r="B2932" s="7" t="s">
        <v>607</v>
      </c>
      <c r="C2932" s="7" t="s">
        <v>1842</v>
      </c>
      <c r="I2932" s="13" t="s">
        <v>460</v>
      </c>
      <c r="J2932" s="13" t="s">
        <v>800</v>
      </c>
      <c r="K2932" s="13" t="s">
        <v>303</v>
      </c>
      <c r="L2932" s="13" t="s">
        <v>2666</v>
      </c>
      <c r="M2932" s="6" t="s">
        <v>188</v>
      </c>
      <c r="N2932" s="6" t="s">
        <v>188</v>
      </c>
      <c r="O2932" s="6" t="s">
        <v>190</v>
      </c>
      <c r="P2932" s="7" t="s">
        <v>333</v>
      </c>
      <c r="Q2932" s="13"/>
      <c r="R2932" s="13"/>
      <c r="S2932" s="13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7"/>
      <c r="AE2932" s="7"/>
    </row>
    <row r="2933">
      <c r="A2933" s="12">
        <v>68.0</v>
      </c>
      <c r="B2933" s="7" t="s">
        <v>607</v>
      </c>
      <c r="C2933" s="7" t="s">
        <v>1842</v>
      </c>
      <c r="I2933" s="13" t="s">
        <v>511</v>
      </c>
      <c r="J2933" s="13" t="s">
        <v>801</v>
      </c>
      <c r="K2933" s="13" t="s">
        <v>303</v>
      </c>
      <c r="L2933" s="13" t="s">
        <v>2611</v>
      </c>
      <c r="M2933" s="6" t="s">
        <v>188</v>
      </c>
      <c r="N2933" s="6" t="s">
        <v>188</v>
      </c>
      <c r="O2933" s="6" t="s">
        <v>190</v>
      </c>
      <c r="P2933" s="7" t="s">
        <v>333</v>
      </c>
      <c r="Q2933" s="13"/>
      <c r="R2933" s="13"/>
      <c r="S2933" s="13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  <c r="AE2933" s="7"/>
    </row>
    <row r="2934">
      <c r="A2934" s="12">
        <v>68.0</v>
      </c>
      <c r="B2934" s="7" t="s">
        <v>607</v>
      </c>
      <c r="C2934" s="7" t="s">
        <v>1842</v>
      </c>
      <c r="I2934" s="13" t="s">
        <v>525</v>
      </c>
      <c r="J2934" s="13" t="s">
        <v>802</v>
      </c>
      <c r="K2934" s="13" t="s">
        <v>303</v>
      </c>
      <c r="L2934" s="13" t="s">
        <v>2658</v>
      </c>
      <c r="M2934" s="6" t="s">
        <v>188</v>
      </c>
      <c r="N2934" s="6" t="s">
        <v>188</v>
      </c>
      <c r="O2934" s="6" t="s">
        <v>190</v>
      </c>
      <c r="P2934" s="7" t="s">
        <v>333</v>
      </c>
      <c r="Q2934" s="13"/>
      <c r="R2934" s="13"/>
      <c r="S2934" s="13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</row>
    <row r="2935">
      <c r="A2935" s="12">
        <v>68.0</v>
      </c>
      <c r="B2935" s="7" t="s">
        <v>607</v>
      </c>
      <c r="C2935" s="7" t="s">
        <v>1842</v>
      </c>
      <c r="I2935" s="13" t="s">
        <v>481</v>
      </c>
      <c r="J2935" s="13" t="s">
        <v>803</v>
      </c>
      <c r="K2935" s="13" t="s">
        <v>303</v>
      </c>
      <c r="L2935" s="13" t="s">
        <v>2607</v>
      </c>
      <c r="M2935" s="6" t="s">
        <v>188</v>
      </c>
      <c r="N2935" s="6" t="s">
        <v>188</v>
      </c>
      <c r="O2935" s="6" t="s">
        <v>190</v>
      </c>
      <c r="P2935" s="7" t="s">
        <v>333</v>
      </c>
      <c r="Q2935" s="13"/>
      <c r="R2935" s="13"/>
      <c r="S2935" s="13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  <c r="AD2935" s="7"/>
      <c r="AE2935" s="7"/>
    </row>
    <row r="2936">
      <c r="A2936" s="12">
        <v>68.0</v>
      </c>
      <c r="B2936" s="7" t="s">
        <v>607</v>
      </c>
      <c r="C2936" s="7" t="s">
        <v>1842</v>
      </c>
      <c r="I2936" s="13" t="s">
        <v>2451</v>
      </c>
      <c r="J2936" s="13" t="s">
        <v>804</v>
      </c>
      <c r="K2936" s="13" t="s">
        <v>303</v>
      </c>
      <c r="L2936" s="13" t="s">
        <v>2608</v>
      </c>
      <c r="M2936" s="6" t="s">
        <v>188</v>
      </c>
      <c r="N2936" s="6" t="s">
        <v>188</v>
      </c>
      <c r="O2936" s="6" t="s">
        <v>190</v>
      </c>
      <c r="P2936" s="7" t="s">
        <v>333</v>
      </c>
      <c r="Q2936" s="13"/>
      <c r="R2936" s="13"/>
      <c r="S2936" s="13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7"/>
      <c r="AE2936" s="7"/>
    </row>
    <row r="2937">
      <c r="A2937" s="12">
        <v>68.0</v>
      </c>
      <c r="B2937" s="7" t="s">
        <v>607</v>
      </c>
      <c r="C2937" s="7" t="s">
        <v>1842</v>
      </c>
      <c r="I2937" s="13" t="s">
        <v>2062</v>
      </c>
      <c r="J2937" s="13" t="s">
        <v>781</v>
      </c>
      <c r="K2937" s="13" t="s">
        <v>303</v>
      </c>
      <c r="L2937" s="13" t="s">
        <v>2607</v>
      </c>
      <c r="M2937" s="6" t="s">
        <v>188</v>
      </c>
      <c r="N2937" s="6" t="s">
        <v>188</v>
      </c>
      <c r="O2937" s="6" t="s">
        <v>190</v>
      </c>
      <c r="P2937" s="7" t="s">
        <v>333</v>
      </c>
      <c r="Q2937" s="13"/>
      <c r="R2937" s="13"/>
      <c r="S2937" s="13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7"/>
      <c r="AE2937" s="7"/>
    </row>
    <row r="2938">
      <c r="A2938" s="12">
        <v>68.0</v>
      </c>
      <c r="B2938" s="7" t="s">
        <v>607</v>
      </c>
      <c r="C2938" s="7" t="s">
        <v>1842</v>
      </c>
      <c r="I2938" s="13" t="s">
        <v>1880</v>
      </c>
      <c r="J2938" s="13" t="s">
        <v>797</v>
      </c>
      <c r="K2938" s="13" t="s">
        <v>303</v>
      </c>
      <c r="L2938" s="13" t="s">
        <v>2669</v>
      </c>
      <c r="M2938" s="6" t="s">
        <v>188</v>
      </c>
      <c r="N2938" s="6" t="s">
        <v>188</v>
      </c>
      <c r="O2938" s="6" t="s">
        <v>190</v>
      </c>
      <c r="P2938" s="7" t="s">
        <v>333</v>
      </c>
      <c r="Q2938" s="13"/>
      <c r="R2938" s="13"/>
      <c r="S2938" s="13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</row>
    <row r="2939">
      <c r="A2939" s="12">
        <v>68.0</v>
      </c>
      <c r="B2939" s="7" t="s">
        <v>607</v>
      </c>
      <c r="C2939" s="7" t="s">
        <v>1842</v>
      </c>
      <c r="I2939" s="13" t="s">
        <v>2008</v>
      </c>
      <c r="J2939" s="13" t="s">
        <v>798</v>
      </c>
      <c r="K2939" s="13" t="s">
        <v>303</v>
      </c>
      <c r="L2939" s="13" t="s">
        <v>2670</v>
      </c>
      <c r="M2939" s="6" t="s">
        <v>188</v>
      </c>
      <c r="N2939" s="6" t="s">
        <v>188</v>
      </c>
      <c r="O2939" s="6" t="s">
        <v>190</v>
      </c>
      <c r="P2939" s="7" t="s">
        <v>333</v>
      </c>
      <c r="Q2939" s="13"/>
      <c r="R2939" s="13"/>
      <c r="S2939" s="13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</row>
    <row r="2940">
      <c r="A2940" s="12">
        <v>68.0</v>
      </c>
      <c r="B2940" s="7" t="s">
        <v>607</v>
      </c>
      <c r="C2940" s="7" t="s">
        <v>1842</v>
      </c>
      <c r="I2940" s="13" t="s">
        <v>2453</v>
      </c>
      <c r="J2940" s="13" t="s">
        <v>799</v>
      </c>
      <c r="K2940" s="13" t="s">
        <v>303</v>
      </c>
      <c r="L2940" s="13" t="s">
        <v>2606</v>
      </c>
      <c r="M2940" s="6" t="s">
        <v>188</v>
      </c>
      <c r="N2940" s="6" t="s">
        <v>188</v>
      </c>
      <c r="O2940" s="6" t="s">
        <v>190</v>
      </c>
      <c r="P2940" s="7" t="s">
        <v>333</v>
      </c>
      <c r="Q2940" s="13"/>
      <c r="R2940" s="13"/>
      <c r="S2940" s="13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</row>
    <row r="2941">
      <c r="A2941" s="12">
        <v>68.0</v>
      </c>
      <c r="B2941" s="7" t="s">
        <v>607</v>
      </c>
      <c r="C2941" s="7" t="s">
        <v>1842</v>
      </c>
      <c r="I2941" s="13" t="s">
        <v>1148</v>
      </c>
      <c r="J2941" s="13" t="s">
        <v>800</v>
      </c>
      <c r="K2941" s="13" t="s">
        <v>303</v>
      </c>
      <c r="L2941" s="13" t="s">
        <v>2611</v>
      </c>
      <c r="M2941" s="6" t="s">
        <v>188</v>
      </c>
      <c r="N2941" s="6" t="s">
        <v>188</v>
      </c>
      <c r="O2941" s="6" t="s">
        <v>190</v>
      </c>
      <c r="P2941" s="7" t="s">
        <v>333</v>
      </c>
      <c r="Q2941" s="13"/>
      <c r="R2941" s="13"/>
      <c r="S2941" s="13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</row>
    <row r="2942">
      <c r="A2942" s="12">
        <v>68.0</v>
      </c>
      <c r="B2942" s="7" t="s">
        <v>607</v>
      </c>
      <c r="C2942" s="7" t="s">
        <v>1842</v>
      </c>
      <c r="I2942" s="13" t="s">
        <v>2074</v>
      </c>
      <c r="J2942" s="13" t="s">
        <v>801</v>
      </c>
      <c r="K2942" s="13" t="s">
        <v>303</v>
      </c>
      <c r="L2942" s="13" t="s">
        <v>2659</v>
      </c>
      <c r="M2942" s="6" t="s">
        <v>188</v>
      </c>
      <c r="N2942" s="6" t="s">
        <v>188</v>
      </c>
      <c r="O2942" s="6" t="s">
        <v>190</v>
      </c>
      <c r="P2942" s="7" t="s">
        <v>333</v>
      </c>
      <c r="Q2942" s="13"/>
      <c r="R2942" s="13"/>
      <c r="S2942" s="13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</row>
    <row r="2943">
      <c r="A2943" s="12">
        <v>68.0</v>
      </c>
      <c r="B2943" s="7" t="s">
        <v>607</v>
      </c>
      <c r="C2943" s="7" t="s">
        <v>1842</v>
      </c>
      <c r="I2943" s="13" t="s">
        <v>1284</v>
      </c>
      <c r="J2943" s="13" t="s">
        <v>802</v>
      </c>
      <c r="K2943" s="13" t="s">
        <v>303</v>
      </c>
      <c r="L2943" s="13" t="s">
        <v>2667</v>
      </c>
      <c r="M2943" s="6" t="s">
        <v>188</v>
      </c>
      <c r="N2943" s="6" t="s">
        <v>188</v>
      </c>
      <c r="O2943" s="6" t="s">
        <v>190</v>
      </c>
      <c r="P2943" s="7" t="s">
        <v>333</v>
      </c>
      <c r="Q2943" s="13"/>
      <c r="R2943" s="13"/>
      <c r="S2943" s="13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/>
      <c r="AE2943" s="7"/>
    </row>
    <row r="2944">
      <c r="A2944" s="12">
        <v>68.0</v>
      </c>
      <c r="B2944" s="7" t="s">
        <v>607</v>
      </c>
      <c r="C2944" s="7" t="s">
        <v>1842</v>
      </c>
      <c r="I2944" s="13" t="s">
        <v>2064</v>
      </c>
      <c r="J2944" s="13" t="s">
        <v>803</v>
      </c>
      <c r="K2944" s="13" t="s">
        <v>303</v>
      </c>
      <c r="L2944" s="13" t="s">
        <v>2671</v>
      </c>
      <c r="M2944" s="6" t="s">
        <v>188</v>
      </c>
      <c r="N2944" s="6" t="s">
        <v>188</v>
      </c>
      <c r="O2944" s="6" t="s">
        <v>190</v>
      </c>
      <c r="P2944" s="7" t="s">
        <v>333</v>
      </c>
      <c r="Q2944" s="13"/>
      <c r="R2944" s="13"/>
      <c r="S2944" s="13"/>
      <c r="T2944" s="7"/>
      <c r="U2944" s="7"/>
      <c r="V2944" s="7"/>
      <c r="W2944" s="7"/>
      <c r="X2944" s="7"/>
      <c r="Y2944" s="7"/>
      <c r="Z2944" s="7"/>
      <c r="AA2944" s="7"/>
      <c r="AB2944" s="7"/>
      <c r="AC2944" s="7"/>
      <c r="AD2944" s="7"/>
      <c r="AE2944" s="7"/>
    </row>
    <row r="2945">
      <c r="A2945" s="12">
        <v>68.0</v>
      </c>
      <c r="B2945" s="7" t="s">
        <v>607</v>
      </c>
      <c r="C2945" s="7" t="s">
        <v>1842</v>
      </c>
      <c r="I2945" s="13" t="s">
        <v>2449</v>
      </c>
      <c r="J2945" s="13" t="s">
        <v>804</v>
      </c>
      <c r="K2945" s="13" t="s">
        <v>303</v>
      </c>
      <c r="L2945" s="13" t="s">
        <v>2609</v>
      </c>
      <c r="M2945" s="6" t="s">
        <v>188</v>
      </c>
      <c r="N2945" s="6" t="s">
        <v>188</v>
      </c>
      <c r="O2945" s="6" t="s">
        <v>190</v>
      </c>
      <c r="P2945" s="7" t="s">
        <v>333</v>
      </c>
      <c r="Q2945" s="13"/>
      <c r="R2945" s="13"/>
      <c r="S2945" s="13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/>
      <c r="AE2945" s="7"/>
    </row>
    <row r="2946">
      <c r="A2946" s="12">
        <v>68.0</v>
      </c>
      <c r="B2946" s="7" t="s">
        <v>607</v>
      </c>
      <c r="C2946" s="7" t="s">
        <v>1842</v>
      </c>
      <c r="I2946" s="13" t="s">
        <v>1555</v>
      </c>
      <c r="J2946" s="13" t="s">
        <v>781</v>
      </c>
      <c r="K2946" s="13" t="s">
        <v>303</v>
      </c>
      <c r="L2946" s="13" t="s">
        <v>2610</v>
      </c>
      <c r="M2946" s="6" t="s">
        <v>188</v>
      </c>
      <c r="N2946" s="6" t="s">
        <v>188</v>
      </c>
      <c r="O2946" s="6" t="s">
        <v>190</v>
      </c>
      <c r="P2946" s="7" t="s">
        <v>333</v>
      </c>
      <c r="Q2946" s="13"/>
      <c r="R2946" s="13"/>
      <c r="S2946" s="13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  <c r="AE2946" s="7"/>
    </row>
    <row r="2947">
      <c r="A2947" s="12">
        <v>68.0</v>
      </c>
      <c r="B2947" s="7" t="s">
        <v>607</v>
      </c>
      <c r="C2947" s="7" t="s">
        <v>1842</v>
      </c>
      <c r="I2947" s="13" t="s">
        <v>707</v>
      </c>
      <c r="J2947" s="13" t="s">
        <v>797</v>
      </c>
      <c r="K2947" s="13" t="s">
        <v>303</v>
      </c>
      <c r="L2947" s="13" t="s">
        <v>2610</v>
      </c>
      <c r="M2947" s="6" t="s">
        <v>188</v>
      </c>
      <c r="N2947" s="6" t="s">
        <v>188</v>
      </c>
      <c r="O2947" s="6" t="s">
        <v>190</v>
      </c>
      <c r="P2947" s="7" t="s">
        <v>333</v>
      </c>
      <c r="Q2947" s="13"/>
      <c r="R2947" s="13"/>
      <c r="S2947" s="13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  <c r="AE2947" s="7"/>
    </row>
    <row r="2948">
      <c r="A2948" s="12">
        <v>68.0</v>
      </c>
      <c r="B2948" s="7" t="s">
        <v>607</v>
      </c>
      <c r="C2948" s="7" t="s">
        <v>1842</v>
      </c>
      <c r="I2948" s="13" t="s">
        <v>1277</v>
      </c>
      <c r="J2948" s="13" t="s">
        <v>798</v>
      </c>
      <c r="K2948" s="13" t="s">
        <v>303</v>
      </c>
      <c r="L2948" s="13" t="s">
        <v>2615</v>
      </c>
      <c r="M2948" s="6" t="s">
        <v>188</v>
      </c>
      <c r="N2948" s="6" t="s">
        <v>188</v>
      </c>
      <c r="O2948" s="6" t="s">
        <v>190</v>
      </c>
      <c r="P2948" s="7" t="s">
        <v>333</v>
      </c>
      <c r="Q2948" s="13"/>
      <c r="R2948" s="13"/>
      <c r="S2948" s="13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  <c r="AE2948" s="7"/>
    </row>
    <row r="2949">
      <c r="A2949" s="12">
        <v>68.0</v>
      </c>
      <c r="B2949" s="7" t="s">
        <v>607</v>
      </c>
      <c r="C2949" s="7" t="s">
        <v>1842</v>
      </c>
      <c r="I2949" s="13" t="s">
        <v>2067</v>
      </c>
      <c r="J2949" s="13" t="s">
        <v>799</v>
      </c>
      <c r="K2949" s="13" t="s">
        <v>303</v>
      </c>
      <c r="L2949" s="13" t="s">
        <v>2671</v>
      </c>
      <c r="M2949" s="6" t="s">
        <v>188</v>
      </c>
      <c r="N2949" s="6" t="s">
        <v>188</v>
      </c>
      <c r="O2949" s="6" t="s">
        <v>190</v>
      </c>
      <c r="P2949" s="7" t="s">
        <v>333</v>
      </c>
      <c r="Q2949" s="13"/>
      <c r="R2949" s="13"/>
      <c r="S2949" s="13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  <c r="AE2949" s="7"/>
    </row>
    <row r="2950">
      <c r="A2950" s="12">
        <v>68.0</v>
      </c>
      <c r="B2950" s="7" t="s">
        <v>607</v>
      </c>
      <c r="C2950" s="7" t="s">
        <v>1842</v>
      </c>
      <c r="I2950" s="13" t="s">
        <v>604</v>
      </c>
      <c r="J2950" s="13" t="s">
        <v>800</v>
      </c>
      <c r="K2950" s="13" t="s">
        <v>303</v>
      </c>
      <c r="L2950" s="13" t="s">
        <v>2607</v>
      </c>
      <c r="M2950" s="6" t="s">
        <v>188</v>
      </c>
      <c r="N2950" s="6" t="s">
        <v>188</v>
      </c>
      <c r="O2950" s="6" t="s">
        <v>190</v>
      </c>
      <c r="P2950" s="7" t="s">
        <v>333</v>
      </c>
      <c r="Q2950" s="13"/>
      <c r="R2950" s="13"/>
      <c r="S2950" s="13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  <c r="AE2950" s="7"/>
    </row>
    <row r="2951">
      <c r="A2951" s="12">
        <v>68.0</v>
      </c>
      <c r="B2951" s="7" t="s">
        <v>607</v>
      </c>
      <c r="C2951" s="7" t="s">
        <v>1842</v>
      </c>
      <c r="I2951" s="13" t="s">
        <v>1918</v>
      </c>
      <c r="J2951" s="13" t="s">
        <v>801</v>
      </c>
      <c r="K2951" s="13" t="s">
        <v>303</v>
      </c>
      <c r="L2951" s="13" t="s">
        <v>2670</v>
      </c>
      <c r="M2951" s="6" t="s">
        <v>188</v>
      </c>
      <c r="N2951" s="6" t="s">
        <v>188</v>
      </c>
      <c r="O2951" s="6" t="s">
        <v>190</v>
      </c>
      <c r="P2951" s="7" t="s">
        <v>333</v>
      </c>
      <c r="Q2951" s="13"/>
      <c r="R2951" s="13"/>
      <c r="S2951" s="13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  <c r="AE2951" s="7"/>
    </row>
    <row r="2952">
      <c r="A2952" s="12">
        <v>68.0</v>
      </c>
      <c r="B2952" s="7" t="s">
        <v>607</v>
      </c>
      <c r="C2952" s="7" t="s">
        <v>1842</v>
      </c>
      <c r="I2952" s="13" t="s">
        <v>2078</v>
      </c>
      <c r="J2952" s="13" t="s">
        <v>802</v>
      </c>
      <c r="K2952" s="13" t="s">
        <v>303</v>
      </c>
      <c r="L2952" s="13" t="s">
        <v>2664</v>
      </c>
      <c r="M2952" s="6" t="s">
        <v>188</v>
      </c>
      <c r="N2952" s="6" t="s">
        <v>188</v>
      </c>
      <c r="O2952" s="6" t="s">
        <v>190</v>
      </c>
      <c r="P2952" s="7" t="s">
        <v>333</v>
      </c>
      <c r="Q2952" s="13"/>
      <c r="R2952" s="13"/>
      <c r="S2952" s="13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7"/>
      <c r="AE2952" s="7"/>
    </row>
    <row r="2953">
      <c r="A2953" s="12">
        <v>68.0</v>
      </c>
      <c r="B2953" s="7" t="s">
        <v>607</v>
      </c>
      <c r="C2953" s="7" t="s">
        <v>1842</v>
      </c>
      <c r="I2953" s="13" t="s">
        <v>1269</v>
      </c>
      <c r="J2953" s="13" t="s">
        <v>803</v>
      </c>
      <c r="K2953" s="13" t="s">
        <v>303</v>
      </c>
      <c r="L2953" s="13" t="s">
        <v>2613</v>
      </c>
      <c r="M2953" s="6" t="s">
        <v>188</v>
      </c>
      <c r="N2953" s="6" t="s">
        <v>188</v>
      </c>
      <c r="O2953" s="6" t="s">
        <v>190</v>
      </c>
      <c r="P2953" s="7" t="s">
        <v>333</v>
      </c>
      <c r="Q2953" s="13"/>
      <c r="R2953" s="13"/>
      <c r="S2953" s="13"/>
      <c r="T2953" s="7"/>
      <c r="U2953" s="7"/>
      <c r="V2953" s="7"/>
      <c r="W2953" s="7"/>
      <c r="X2953" s="7"/>
      <c r="Y2953" s="7"/>
      <c r="Z2953" s="7"/>
      <c r="AA2953" s="7"/>
      <c r="AB2953" s="7"/>
      <c r="AC2953" s="7"/>
      <c r="AD2953" s="7"/>
      <c r="AE2953" s="7"/>
    </row>
    <row r="2954">
      <c r="A2954" s="12">
        <v>68.0</v>
      </c>
      <c r="B2954" s="7" t="s">
        <v>607</v>
      </c>
      <c r="C2954" s="7" t="s">
        <v>1842</v>
      </c>
      <c r="I2954" s="13" t="s">
        <v>1690</v>
      </c>
      <c r="J2954" s="13" t="s">
        <v>804</v>
      </c>
      <c r="K2954" s="13" t="s">
        <v>303</v>
      </c>
      <c r="L2954" s="13" t="s">
        <v>2609</v>
      </c>
      <c r="M2954" s="6" t="s">
        <v>188</v>
      </c>
      <c r="N2954" s="6" t="s">
        <v>188</v>
      </c>
      <c r="O2954" s="6" t="s">
        <v>190</v>
      </c>
      <c r="P2954" s="7" t="s">
        <v>333</v>
      </c>
      <c r="Q2954" s="13"/>
      <c r="R2954" s="13"/>
      <c r="S2954" s="13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  <c r="AE2954" s="7"/>
    </row>
    <row r="2955">
      <c r="A2955" s="12">
        <v>68.0</v>
      </c>
      <c r="B2955" s="7" t="s">
        <v>607</v>
      </c>
      <c r="C2955" s="7" t="s">
        <v>1842</v>
      </c>
      <c r="I2955" s="13" t="s">
        <v>1136</v>
      </c>
      <c r="J2955" s="13" t="s">
        <v>781</v>
      </c>
      <c r="K2955" s="13" t="s">
        <v>303</v>
      </c>
      <c r="L2955" s="13" t="s">
        <v>2614</v>
      </c>
      <c r="M2955" s="6" t="s">
        <v>188</v>
      </c>
      <c r="N2955" s="6" t="s">
        <v>188</v>
      </c>
      <c r="O2955" s="6" t="s">
        <v>190</v>
      </c>
      <c r="P2955" s="7" t="s">
        <v>333</v>
      </c>
      <c r="Q2955" s="13"/>
      <c r="R2955" s="13"/>
      <c r="S2955" s="13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  <c r="AE2955" s="7"/>
    </row>
    <row r="2956">
      <c r="A2956" s="12">
        <v>68.0</v>
      </c>
      <c r="B2956" s="7" t="s">
        <v>607</v>
      </c>
      <c r="C2956" s="7" t="s">
        <v>1842</v>
      </c>
      <c r="I2956" s="13" t="s">
        <v>1354</v>
      </c>
      <c r="J2956" s="13" t="s">
        <v>797</v>
      </c>
      <c r="K2956" s="13" t="s">
        <v>303</v>
      </c>
      <c r="L2956" s="13" t="s">
        <v>2610</v>
      </c>
      <c r="M2956" s="6" t="s">
        <v>188</v>
      </c>
      <c r="N2956" s="6" t="s">
        <v>188</v>
      </c>
      <c r="O2956" s="6" t="s">
        <v>190</v>
      </c>
      <c r="P2956" s="7" t="s">
        <v>333</v>
      </c>
      <c r="Q2956" s="13"/>
      <c r="R2956" s="13"/>
      <c r="S2956" s="13"/>
      <c r="T2956" s="7"/>
      <c r="U2956" s="7"/>
      <c r="V2956" s="7"/>
      <c r="W2956" s="7"/>
      <c r="X2956" s="7"/>
      <c r="Y2956" s="7"/>
      <c r="Z2956" s="7"/>
      <c r="AA2956" s="7"/>
      <c r="AB2956" s="7"/>
      <c r="AC2956" s="7"/>
      <c r="AD2956" s="7"/>
      <c r="AE2956" s="7"/>
    </row>
    <row r="2957">
      <c r="A2957" s="12">
        <v>68.0</v>
      </c>
      <c r="B2957" s="7" t="s">
        <v>607</v>
      </c>
      <c r="C2957" s="7" t="s">
        <v>1842</v>
      </c>
      <c r="I2957" s="13" t="s">
        <v>2075</v>
      </c>
      <c r="J2957" s="13" t="s">
        <v>798</v>
      </c>
      <c r="K2957" s="13" t="s">
        <v>303</v>
      </c>
      <c r="L2957" s="13" t="s">
        <v>2672</v>
      </c>
      <c r="M2957" s="6" t="s">
        <v>188</v>
      </c>
      <c r="N2957" s="6" t="s">
        <v>188</v>
      </c>
      <c r="O2957" s="6" t="s">
        <v>190</v>
      </c>
      <c r="P2957" s="7" t="s">
        <v>333</v>
      </c>
      <c r="Q2957" s="13"/>
      <c r="R2957" s="13"/>
      <c r="S2957" s="13"/>
      <c r="T2957" s="7"/>
      <c r="U2957" s="7"/>
      <c r="V2957" s="7"/>
      <c r="W2957" s="7"/>
      <c r="X2957" s="7"/>
      <c r="Y2957" s="7"/>
      <c r="Z2957" s="7"/>
      <c r="AA2957" s="7"/>
      <c r="AB2957" s="7"/>
      <c r="AC2957" s="7"/>
      <c r="AD2957" s="7"/>
      <c r="AE2957" s="7"/>
    </row>
    <row r="2958">
      <c r="A2958" s="12">
        <v>68.0</v>
      </c>
      <c r="B2958" s="7" t="s">
        <v>607</v>
      </c>
      <c r="C2958" s="7" t="s">
        <v>1842</v>
      </c>
      <c r="I2958" s="13" t="s">
        <v>1894</v>
      </c>
      <c r="J2958" s="13" t="s">
        <v>799</v>
      </c>
      <c r="K2958" s="13" t="s">
        <v>303</v>
      </c>
      <c r="L2958" s="13" t="s">
        <v>2617</v>
      </c>
      <c r="M2958" s="6" t="s">
        <v>188</v>
      </c>
      <c r="N2958" s="6" t="s">
        <v>188</v>
      </c>
      <c r="O2958" s="6" t="s">
        <v>190</v>
      </c>
      <c r="P2958" s="7" t="s">
        <v>333</v>
      </c>
      <c r="Q2958" s="13"/>
      <c r="R2958" s="13"/>
      <c r="S2958" s="13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  <c r="AE2958" s="7"/>
    </row>
    <row r="2959">
      <c r="A2959" s="12">
        <v>68.0</v>
      </c>
      <c r="B2959" s="7" t="s">
        <v>607</v>
      </c>
      <c r="C2959" s="7" t="s">
        <v>1842</v>
      </c>
      <c r="I2959" s="13" t="s">
        <v>1898</v>
      </c>
      <c r="J2959" s="13" t="s">
        <v>800</v>
      </c>
      <c r="K2959" s="13" t="s">
        <v>303</v>
      </c>
      <c r="L2959" s="13" t="s">
        <v>2673</v>
      </c>
      <c r="M2959" s="6" t="s">
        <v>188</v>
      </c>
      <c r="N2959" s="6" t="s">
        <v>188</v>
      </c>
      <c r="O2959" s="6" t="s">
        <v>190</v>
      </c>
      <c r="P2959" s="7" t="s">
        <v>333</v>
      </c>
      <c r="Q2959" s="13"/>
      <c r="R2959" s="13"/>
      <c r="S2959" s="13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7"/>
      <c r="AE2959" s="7"/>
    </row>
    <row r="2960">
      <c r="A2960" s="12">
        <v>68.0</v>
      </c>
      <c r="B2960" s="7" t="s">
        <v>607</v>
      </c>
      <c r="C2960" s="7" t="s">
        <v>1842</v>
      </c>
      <c r="I2960" s="13" t="s">
        <v>2073</v>
      </c>
      <c r="J2960" s="13" t="s">
        <v>801</v>
      </c>
      <c r="K2960" s="13" t="s">
        <v>303</v>
      </c>
      <c r="L2960" s="13" t="s">
        <v>2674</v>
      </c>
      <c r="M2960" s="6" t="s">
        <v>188</v>
      </c>
      <c r="N2960" s="6" t="s">
        <v>188</v>
      </c>
      <c r="O2960" s="6" t="s">
        <v>190</v>
      </c>
      <c r="P2960" s="7" t="s">
        <v>333</v>
      </c>
      <c r="Q2960" s="13"/>
      <c r="R2960" s="13"/>
      <c r="S2960" s="13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  <c r="AE2960" s="7"/>
    </row>
    <row r="2961">
      <c r="A2961" s="12">
        <v>68.0</v>
      </c>
      <c r="B2961" s="7" t="s">
        <v>607</v>
      </c>
      <c r="C2961" s="7" t="s">
        <v>1842</v>
      </c>
      <c r="I2961" s="13" t="s">
        <v>1709</v>
      </c>
      <c r="J2961" s="13" t="s">
        <v>802</v>
      </c>
      <c r="K2961" s="13" t="s">
        <v>303</v>
      </c>
      <c r="L2961" s="13" t="s">
        <v>2675</v>
      </c>
      <c r="M2961" s="6" t="s">
        <v>188</v>
      </c>
      <c r="N2961" s="6" t="s">
        <v>188</v>
      </c>
      <c r="O2961" s="6" t="s">
        <v>190</v>
      </c>
      <c r="P2961" s="7" t="s">
        <v>333</v>
      </c>
      <c r="Q2961" s="13"/>
      <c r="R2961" s="13"/>
      <c r="S2961" s="13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  <c r="AE2961" s="7"/>
    </row>
    <row r="2962">
      <c r="A2962" s="12">
        <v>68.0</v>
      </c>
      <c r="B2962" s="7" t="s">
        <v>607</v>
      </c>
      <c r="C2962" s="7" t="s">
        <v>1842</v>
      </c>
      <c r="I2962" s="13" t="s">
        <v>1356</v>
      </c>
      <c r="J2962" s="13" t="s">
        <v>803</v>
      </c>
      <c r="K2962" s="13" t="s">
        <v>303</v>
      </c>
      <c r="L2962" s="13" t="s">
        <v>2676</v>
      </c>
      <c r="M2962" s="6" t="s">
        <v>188</v>
      </c>
      <c r="N2962" s="6" t="s">
        <v>188</v>
      </c>
      <c r="O2962" s="6" t="s">
        <v>190</v>
      </c>
      <c r="P2962" s="7" t="s">
        <v>333</v>
      </c>
      <c r="Q2962" s="13"/>
      <c r="R2962" s="13"/>
      <c r="S2962" s="13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  <c r="AE2962" s="7"/>
    </row>
    <row r="2963">
      <c r="A2963" s="12">
        <v>68.0</v>
      </c>
      <c r="B2963" s="7" t="s">
        <v>607</v>
      </c>
      <c r="C2963" s="7" t="s">
        <v>1842</v>
      </c>
      <c r="I2963" s="13" t="s">
        <v>1377</v>
      </c>
      <c r="J2963" s="13" t="s">
        <v>804</v>
      </c>
      <c r="K2963" s="13" t="s">
        <v>303</v>
      </c>
      <c r="L2963" s="13" t="s">
        <v>2618</v>
      </c>
      <c r="M2963" s="6" t="s">
        <v>188</v>
      </c>
      <c r="N2963" s="6" t="s">
        <v>188</v>
      </c>
      <c r="O2963" s="6" t="s">
        <v>190</v>
      </c>
      <c r="P2963" s="7" t="s">
        <v>333</v>
      </c>
      <c r="Q2963" s="13"/>
      <c r="R2963" s="13"/>
      <c r="S2963" s="13"/>
      <c r="T2963" s="7"/>
      <c r="U2963" s="7"/>
      <c r="V2963" s="7"/>
      <c r="W2963" s="7"/>
      <c r="X2963" s="7"/>
      <c r="Y2963" s="7"/>
      <c r="Z2963" s="7"/>
      <c r="AA2963" s="7"/>
      <c r="AB2963" s="7"/>
      <c r="AC2963" s="7"/>
      <c r="AD2963" s="7"/>
      <c r="AE2963" s="7"/>
    </row>
    <row r="2964">
      <c r="A2964" s="12">
        <v>68.0</v>
      </c>
      <c r="B2964" s="7" t="s">
        <v>607</v>
      </c>
      <c r="C2964" s="7" t="s">
        <v>1842</v>
      </c>
      <c r="I2964" s="13" t="s">
        <v>2345</v>
      </c>
      <c r="J2964" s="13" t="s">
        <v>781</v>
      </c>
      <c r="K2964" s="13" t="s">
        <v>303</v>
      </c>
      <c r="L2964" s="13" t="s">
        <v>2606</v>
      </c>
      <c r="M2964" s="6" t="s">
        <v>188</v>
      </c>
      <c r="N2964" s="6" t="s">
        <v>188</v>
      </c>
      <c r="O2964" s="6" t="s">
        <v>190</v>
      </c>
      <c r="P2964" s="7" t="s">
        <v>333</v>
      </c>
      <c r="Q2964" s="13"/>
      <c r="R2964" s="13"/>
      <c r="S2964" s="13"/>
      <c r="T2964" s="7"/>
      <c r="U2964" s="7"/>
      <c r="V2964" s="7"/>
      <c r="W2964" s="7"/>
      <c r="X2964" s="7"/>
      <c r="Y2964" s="7"/>
      <c r="Z2964" s="7"/>
      <c r="AA2964" s="7"/>
      <c r="AB2964" s="7"/>
      <c r="AC2964" s="7"/>
      <c r="AD2964" s="7"/>
      <c r="AE2964" s="7"/>
    </row>
    <row r="2965">
      <c r="A2965" s="12">
        <v>68.0</v>
      </c>
      <c r="B2965" s="7" t="s">
        <v>607</v>
      </c>
      <c r="C2965" s="7" t="s">
        <v>1842</v>
      </c>
      <c r="I2965" s="13" t="s">
        <v>2079</v>
      </c>
      <c r="J2965" s="13" t="s">
        <v>797</v>
      </c>
      <c r="K2965" s="13" t="s">
        <v>303</v>
      </c>
      <c r="L2965" s="13" t="s">
        <v>2668</v>
      </c>
      <c r="M2965" s="6" t="s">
        <v>188</v>
      </c>
      <c r="N2965" s="6" t="s">
        <v>188</v>
      </c>
      <c r="O2965" s="6" t="s">
        <v>190</v>
      </c>
      <c r="P2965" s="7" t="s">
        <v>333</v>
      </c>
      <c r="Q2965" s="13"/>
      <c r="R2965" s="13"/>
      <c r="S2965" s="13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/>
      <c r="AE2965" s="7"/>
    </row>
    <row r="2966">
      <c r="A2966" s="12">
        <v>68.0</v>
      </c>
      <c r="B2966" s="7" t="s">
        <v>607</v>
      </c>
      <c r="C2966" s="7" t="s">
        <v>1842</v>
      </c>
      <c r="I2966" s="13" t="s">
        <v>699</v>
      </c>
      <c r="J2966" s="13" t="s">
        <v>798</v>
      </c>
      <c r="K2966" s="13" t="s">
        <v>303</v>
      </c>
      <c r="L2966" s="13" t="s">
        <v>2676</v>
      </c>
      <c r="M2966" s="6" t="s">
        <v>188</v>
      </c>
      <c r="N2966" s="6" t="s">
        <v>188</v>
      </c>
      <c r="O2966" s="6" t="s">
        <v>190</v>
      </c>
      <c r="P2966" s="7" t="s">
        <v>333</v>
      </c>
      <c r="Q2966" s="13"/>
      <c r="R2966" s="13"/>
      <c r="S2966" s="13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  <c r="AE2966" s="7"/>
    </row>
    <row r="2967">
      <c r="A2967" s="12">
        <v>68.0</v>
      </c>
      <c r="B2967" s="7" t="s">
        <v>607</v>
      </c>
      <c r="C2967" s="7" t="s">
        <v>1842</v>
      </c>
      <c r="I2967" s="13" t="s">
        <v>621</v>
      </c>
      <c r="J2967" s="13" t="s">
        <v>799</v>
      </c>
      <c r="K2967" s="13" t="s">
        <v>303</v>
      </c>
      <c r="L2967" s="13" t="s">
        <v>2619</v>
      </c>
      <c r="M2967" s="6" t="s">
        <v>188</v>
      </c>
      <c r="N2967" s="6" t="s">
        <v>188</v>
      </c>
      <c r="O2967" s="6" t="s">
        <v>190</v>
      </c>
      <c r="P2967" s="7" t="s">
        <v>333</v>
      </c>
      <c r="Q2967" s="13"/>
      <c r="R2967" s="13"/>
      <c r="S2967" s="13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  <c r="AE2967" s="7"/>
    </row>
    <row r="2968">
      <c r="A2968" s="12">
        <v>68.0</v>
      </c>
      <c r="B2968" s="7" t="s">
        <v>607</v>
      </c>
      <c r="C2968" s="7" t="s">
        <v>1842</v>
      </c>
      <c r="I2968" s="13" t="s">
        <v>663</v>
      </c>
      <c r="J2968" s="13" t="s">
        <v>800</v>
      </c>
      <c r="K2968" s="13" t="s">
        <v>303</v>
      </c>
      <c r="L2968" s="13" t="s">
        <v>2620</v>
      </c>
      <c r="M2968" s="6" t="s">
        <v>188</v>
      </c>
      <c r="N2968" s="6" t="s">
        <v>188</v>
      </c>
      <c r="O2968" s="6" t="s">
        <v>190</v>
      </c>
      <c r="P2968" s="7" t="s">
        <v>333</v>
      </c>
      <c r="Q2968" s="13"/>
      <c r="R2968" s="13"/>
      <c r="S2968" s="13"/>
      <c r="T2968" s="7"/>
      <c r="U2968" s="7"/>
      <c r="V2968" s="7"/>
      <c r="W2968" s="7"/>
      <c r="X2968" s="7"/>
      <c r="Y2968" s="7"/>
      <c r="Z2968" s="7"/>
      <c r="AA2968" s="7"/>
      <c r="AB2968" s="7"/>
      <c r="AC2968" s="7"/>
      <c r="AD2968" s="7"/>
      <c r="AE2968" s="7"/>
    </row>
    <row r="2969">
      <c r="A2969" s="12">
        <v>68.0</v>
      </c>
      <c r="B2969" s="7" t="s">
        <v>607</v>
      </c>
      <c r="C2969" s="7" t="s">
        <v>1842</v>
      </c>
      <c r="I2969" s="13" t="s">
        <v>2447</v>
      </c>
      <c r="J2969" s="13" t="s">
        <v>801</v>
      </c>
      <c r="K2969" s="13" t="s">
        <v>303</v>
      </c>
      <c r="L2969" s="13" t="s">
        <v>2621</v>
      </c>
      <c r="M2969" s="6" t="s">
        <v>188</v>
      </c>
      <c r="N2969" s="6" t="s">
        <v>188</v>
      </c>
      <c r="O2969" s="6" t="s">
        <v>190</v>
      </c>
      <c r="P2969" s="7" t="s">
        <v>333</v>
      </c>
      <c r="Q2969" s="13"/>
      <c r="R2969" s="13"/>
      <c r="S2969" s="13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  <c r="AE2969" s="7"/>
    </row>
    <row r="2970">
      <c r="A2970" s="12">
        <v>68.0</v>
      </c>
      <c r="B2970" s="7" t="s">
        <v>607</v>
      </c>
      <c r="C2970" s="7" t="s">
        <v>1842</v>
      </c>
      <c r="I2970" s="13" t="s">
        <v>2622</v>
      </c>
      <c r="J2970" s="13" t="s">
        <v>802</v>
      </c>
      <c r="K2970" s="13" t="s">
        <v>303</v>
      </c>
      <c r="L2970" s="13" t="s">
        <v>2620</v>
      </c>
      <c r="M2970" s="6" t="s">
        <v>188</v>
      </c>
      <c r="N2970" s="6" t="s">
        <v>188</v>
      </c>
      <c r="O2970" s="6" t="s">
        <v>190</v>
      </c>
      <c r="P2970" s="7" t="s">
        <v>333</v>
      </c>
      <c r="Q2970" s="13"/>
      <c r="R2970" s="13"/>
      <c r="S2970" s="13"/>
      <c r="T2970" s="7"/>
      <c r="U2970" s="7"/>
      <c r="V2970" s="7"/>
      <c r="W2970" s="7"/>
      <c r="X2970" s="7"/>
      <c r="Y2970" s="7"/>
      <c r="Z2970" s="7"/>
      <c r="AA2970" s="7"/>
      <c r="AB2970" s="7"/>
      <c r="AC2970" s="7"/>
      <c r="AD2970" s="7"/>
      <c r="AE2970" s="7"/>
    </row>
    <row r="2971">
      <c r="A2971" s="12">
        <v>68.0</v>
      </c>
      <c r="B2971" s="7" t="s">
        <v>607</v>
      </c>
      <c r="C2971" s="7" t="s">
        <v>1842</v>
      </c>
      <c r="I2971" s="13" t="s">
        <v>2030</v>
      </c>
      <c r="J2971" s="13" t="s">
        <v>803</v>
      </c>
      <c r="K2971" s="13" t="s">
        <v>303</v>
      </c>
      <c r="L2971" s="13" t="s">
        <v>2677</v>
      </c>
      <c r="M2971" s="6" t="s">
        <v>188</v>
      </c>
      <c r="N2971" s="6" t="s">
        <v>188</v>
      </c>
      <c r="O2971" s="6" t="s">
        <v>190</v>
      </c>
      <c r="P2971" s="7" t="s">
        <v>333</v>
      </c>
      <c r="Q2971" s="13"/>
      <c r="R2971" s="13"/>
      <c r="S2971" s="13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  <c r="AE2971" s="7"/>
    </row>
    <row r="2972">
      <c r="A2972" s="12">
        <v>68.0</v>
      </c>
      <c r="B2972" s="7" t="s">
        <v>607</v>
      </c>
      <c r="C2972" s="7" t="s">
        <v>1842</v>
      </c>
      <c r="I2972" s="13" t="s">
        <v>1593</v>
      </c>
      <c r="J2972" s="13" t="s">
        <v>804</v>
      </c>
      <c r="K2972" s="13" t="s">
        <v>303</v>
      </c>
      <c r="L2972" s="13" t="s">
        <v>2624</v>
      </c>
      <c r="M2972" s="6" t="s">
        <v>188</v>
      </c>
      <c r="N2972" s="6" t="s">
        <v>188</v>
      </c>
      <c r="O2972" s="6" t="s">
        <v>190</v>
      </c>
      <c r="P2972" s="7" t="s">
        <v>333</v>
      </c>
      <c r="Q2972" s="13"/>
      <c r="R2972" s="13"/>
      <c r="S2972" s="13"/>
      <c r="T2972" s="7"/>
      <c r="U2972" s="7"/>
      <c r="V2972" s="7"/>
      <c r="W2972" s="7"/>
      <c r="X2972" s="7"/>
      <c r="Y2972" s="7"/>
      <c r="Z2972" s="7"/>
      <c r="AA2972" s="7"/>
      <c r="AB2972" s="7"/>
      <c r="AC2972" s="7"/>
      <c r="AD2972" s="7"/>
      <c r="AE2972" s="7"/>
    </row>
    <row r="2973">
      <c r="A2973" s="12">
        <v>68.0</v>
      </c>
      <c r="B2973" s="7" t="s">
        <v>607</v>
      </c>
      <c r="C2973" s="7" t="s">
        <v>1842</v>
      </c>
      <c r="I2973" s="13" t="s">
        <v>1903</v>
      </c>
      <c r="J2973" s="13" t="s">
        <v>781</v>
      </c>
      <c r="K2973" s="13" t="s">
        <v>303</v>
      </c>
      <c r="L2973" s="13" t="s">
        <v>2620</v>
      </c>
      <c r="M2973" s="6" t="s">
        <v>188</v>
      </c>
      <c r="N2973" s="6" t="s">
        <v>188</v>
      </c>
      <c r="O2973" s="6" t="s">
        <v>190</v>
      </c>
      <c r="P2973" s="7" t="s">
        <v>333</v>
      </c>
      <c r="Q2973" s="13"/>
      <c r="R2973" s="13"/>
      <c r="S2973" s="13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  <c r="AE2973" s="7"/>
    </row>
    <row r="2974">
      <c r="A2974" s="12">
        <v>68.0</v>
      </c>
      <c r="B2974" s="7" t="s">
        <v>607</v>
      </c>
      <c r="C2974" s="7" t="s">
        <v>1842</v>
      </c>
      <c r="I2974" s="13" t="s">
        <v>1596</v>
      </c>
      <c r="J2974" s="13" t="s">
        <v>797</v>
      </c>
      <c r="K2974" s="13" t="s">
        <v>303</v>
      </c>
      <c r="L2974" s="13" t="s">
        <v>2624</v>
      </c>
      <c r="M2974" s="6" t="s">
        <v>188</v>
      </c>
      <c r="N2974" s="6" t="s">
        <v>188</v>
      </c>
      <c r="O2974" s="6" t="s">
        <v>190</v>
      </c>
      <c r="P2974" s="7" t="s">
        <v>333</v>
      </c>
      <c r="Q2974" s="13"/>
      <c r="R2974" s="13"/>
      <c r="S2974" s="13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  <c r="AE2974" s="7"/>
    </row>
    <row r="2975">
      <c r="A2975" s="12">
        <v>68.0</v>
      </c>
      <c r="B2975" s="7" t="s">
        <v>607</v>
      </c>
      <c r="C2975" s="7" t="s">
        <v>1842</v>
      </c>
      <c r="I2975" s="13" t="s">
        <v>1876</v>
      </c>
      <c r="J2975" s="13" t="s">
        <v>798</v>
      </c>
      <c r="K2975" s="13" t="s">
        <v>303</v>
      </c>
      <c r="L2975" s="13" t="s">
        <v>2619</v>
      </c>
      <c r="M2975" s="6" t="s">
        <v>188</v>
      </c>
      <c r="N2975" s="6" t="s">
        <v>188</v>
      </c>
      <c r="O2975" s="6" t="s">
        <v>190</v>
      </c>
      <c r="P2975" s="7" t="s">
        <v>333</v>
      </c>
      <c r="Q2975" s="13"/>
      <c r="R2975" s="13"/>
      <c r="S2975" s="13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  <c r="AE2975" s="7"/>
    </row>
    <row r="2976">
      <c r="A2976" s="12">
        <v>68.0</v>
      </c>
      <c r="B2976" s="7" t="s">
        <v>607</v>
      </c>
      <c r="C2976" s="7" t="s">
        <v>1842</v>
      </c>
      <c r="I2976" s="13" t="s">
        <v>2068</v>
      </c>
      <c r="J2976" s="13" t="s">
        <v>799</v>
      </c>
      <c r="K2976" s="13" t="s">
        <v>303</v>
      </c>
      <c r="L2976" s="13" t="s">
        <v>2677</v>
      </c>
      <c r="M2976" s="6" t="s">
        <v>188</v>
      </c>
      <c r="N2976" s="6" t="s">
        <v>188</v>
      </c>
      <c r="O2976" s="6" t="s">
        <v>190</v>
      </c>
      <c r="P2976" s="7" t="s">
        <v>333</v>
      </c>
      <c r="Q2976" s="13"/>
      <c r="R2976" s="13"/>
      <c r="S2976" s="13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  <c r="AE2976" s="7"/>
    </row>
    <row r="2977">
      <c r="A2977" s="12">
        <v>68.0</v>
      </c>
      <c r="B2977" s="7" t="s">
        <v>607</v>
      </c>
      <c r="C2977" s="7" t="s">
        <v>1842</v>
      </c>
      <c r="I2977" s="13" t="s">
        <v>2452</v>
      </c>
      <c r="J2977" s="13" t="s">
        <v>800</v>
      </c>
      <c r="K2977" s="13" t="s">
        <v>303</v>
      </c>
      <c r="L2977" s="13" t="s">
        <v>2621</v>
      </c>
      <c r="M2977" s="6" t="s">
        <v>188</v>
      </c>
      <c r="N2977" s="6" t="s">
        <v>188</v>
      </c>
      <c r="O2977" s="6" t="s">
        <v>190</v>
      </c>
      <c r="P2977" s="7" t="s">
        <v>333</v>
      </c>
      <c r="Q2977" s="13"/>
      <c r="R2977" s="13"/>
      <c r="S2977" s="13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  <c r="AE2977" s="7"/>
    </row>
    <row r="2978">
      <c r="A2978" s="12">
        <v>68.0</v>
      </c>
      <c r="B2978" s="7" t="s">
        <v>607</v>
      </c>
      <c r="C2978" s="7" t="s">
        <v>1842</v>
      </c>
      <c r="I2978" s="13" t="s">
        <v>1713</v>
      </c>
      <c r="J2978" s="13" t="s">
        <v>801</v>
      </c>
      <c r="K2978" s="13" t="s">
        <v>303</v>
      </c>
      <c r="L2978" s="13" t="s">
        <v>2621</v>
      </c>
      <c r="M2978" s="6" t="s">
        <v>188</v>
      </c>
      <c r="N2978" s="6" t="s">
        <v>188</v>
      </c>
      <c r="O2978" s="6" t="s">
        <v>190</v>
      </c>
      <c r="P2978" s="7" t="s">
        <v>333</v>
      </c>
      <c r="Q2978" s="13"/>
      <c r="R2978" s="13"/>
      <c r="S2978" s="13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/>
      <c r="AE2978" s="7"/>
    </row>
    <row r="2979">
      <c r="A2979" s="12">
        <v>68.0</v>
      </c>
      <c r="B2979" s="7" t="s">
        <v>607</v>
      </c>
      <c r="C2979" s="7" t="s">
        <v>1842</v>
      </c>
      <c r="I2979" s="13" t="s">
        <v>1143</v>
      </c>
      <c r="J2979" s="13" t="s">
        <v>802</v>
      </c>
      <c r="K2979" s="13" t="s">
        <v>303</v>
      </c>
      <c r="L2979" s="13" t="s">
        <v>2621</v>
      </c>
      <c r="M2979" s="6" t="s">
        <v>188</v>
      </c>
      <c r="N2979" s="6" t="s">
        <v>188</v>
      </c>
      <c r="O2979" s="6" t="s">
        <v>190</v>
      </c>
      <c r="P2979" s="7" t="s">
        <v>333</v>
      </c>
      <c r="Q2979" s="13"/>
      <c r="R2979" s="13"/>
      <c r="S2979" s="13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/>
      <c r="AE2979" s="7"/>
    </row>
    <row r="2980">
      <c r="A2980" s="12">
        <v>68.0</v>
      </c>
      <c r="B2980" s="7" t="s">
        <v>607</v>
      </c>
      <c r="C2980" s="7" t="s">
        <v>1842</v>
      </c>
      <c r="I2980" s="13" t="s">
        <v>1699</v>
      </c>
      <c r="J2980" s="13" t="s">
        <v>803</v>
      </c>
      <c r="K2980" s="13" t="s">
        <v>303</v>
      </c>
      <c r="L2980" s="13" t="s">
        <v>2621</v>
      </c>
      <c r="M2980" s="6" t="s">
        <v>188</v>
      </c>
      <c r="N2980" s="6" t="s">
        <v>188</v>
      </c>
      <c r="O2980" s="6" t="s">
        <v>190</v>
      </c>
      <c r="P2980" s="7" t="s">
        <v>333</v>
      </c>
      <c r="Q2980" s="13"/>
      <c r="R2980" s="13"/>
      <c r="S2980" s="13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  <c r="AE2980" s="7"/>
    </row>
    <row r="2981">
      <c r="A2981" s="12">
        <v>68.0</v>
      </c>
      <c r="B2981" s="7" t="s">
        <v>607</v>
      </c>
      <c r="C2981" s="7" t="s">
        <v>1842</v>
      </c>
      <c r="I2981" s="13" t="s">
        <v>2071</v>
      </c>
      <c r="J2981" s="13" t="s">
        <v>804</v>
      </c>
      <c r="K2981" s="13" t="s">
        <v>303</v>
      </c>
      <c r="L2981" s="13" t="s">
        <v>2678</v>
      </c>
      <c r="M2981" s="6" t="s">
        <v>188</v>
      </c>
      <c r="N2981" s="6" t="s">
        <v>188</v>
      </c>
      <c r="O2981" s="6" t="s">
        <v>190</v>
      </c>
      <c r="P2981" s="7" t="s">
        <v>333</v>
      </c>
      <c r="Q2981" s="13"/>
      <c r="R2981" s="13"/>
      <c r="S2981" s="13"/>
      <c r="T2981" s="7"/>
      <c r="U2981" s="7"/>
      <c r="V2981" s="7"/>
      <c r="W2981" s="7"/>
      <c r="X2981" s="7"/>
      <c r="Y2981" s="7"/>
      <c r="Z2981" s="7"/>
      <c r="AA2981" s="7"/>
      <c r="AB2981" s="7"/>
      <c r="AC2981" s="7"/>
      <c r="AD2981" s="7"/>
      <c r="AE2981" s="7"/>
    </row>
    <row r="2982">
      <c r="A2982" s="12">
        <v>68.0</v>
      </c>
      <c r="B2982" s="7" t="s">
        <v>607</v>
      </c>
      <c r="C2982" s="7" t="s">
        <v>1842</v>
      </c>
      <c r="I2982" s="13" t="s">
        <v>197</v>
      </c>
      <c r="J2982" s="13" t="s">
        <v>781</v>
      </c>
      <c r="K2982" s="13" t="s">
        <v>303</v>
      </c>
      <c r="L2982" s="13" t="s">
        <v>2678</v>
      </c>
      <c r="M2982" s="6" t="s">
        <v>188</v>
      </c>
      <c r="N2982" s="6" t="s">
        <v>188</v>
      </c>
      <c r="O2982" s="6" t="s">
        <v>190</v>
      </c>
      <c r="P2982" s="7" t="s">
        <v>333</v>
      </c>
      <c r="Q2982" s="13"/>
      <c r="R2982" s="13"/>
      <c r="S2982" s="13"/>
      <c r="T2982" s="7"/>
      <c r="U2982" s="7"/>
      <c r="V2982" s="7"/>
      <c r="W2982" s="7"/>
      <c r="X2982" s="7"/>
      <c r="Y2982" s="7"/>
      <c r="Z2982" s="7"/>
      <c r="AA2982" s="7"/>
      <c r="AB2982" s="7"/>
      <c r="AC2982" s="7"/>
      <c r="AD2982" s="7"/>
      <c r="AE2982" s="7"/>
    </row>
    <row r="2983">
      <c r="A2983" s="12">
        <v>68.0</v>
      </c>
      <c r="B2983" s="7" t="s">
        <v>607</v>
      </c>
      <c r="C2983" s="7" t="s">
        <v>1842</v>
      </c>
      <c r="I2983" s="13" t="s">
        <v>2348</v>
      </c>
      <c r="J2983" s="13" t="s">
        <v>797</v>
      </c>
      <c r="K2983" s="13" t="s">
        <v>303</v>
      </c>
      <c r="L2983" s="13" t="s">
        <v>2621</v>
      </c>
      <c r="M2983" s="6" t="s">
        <v>188</v>
      </c>
      <c r="N2983" s="6" t="s">
        <v>188</v>
      </c>
      <c r="O2983" s="6" t="s">
        <v>190</v>
      </c>
      <c r="P2983" s="7" t="s">
        <v>333</v>
      </c>
      <c r="Q2983" s="13"/>
      <c r="R2983" s="13"/>
      <c r="S2983" s="13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  <c r="AE2983" s="7"/>
    </row>
    <row r="2984">
      <c r="A2984" s="12">
        <v>68.0</v>
      </c>
      <c r="B2984" s="7" t="s">
        <v>607</v>
      </c>
      <c r="C2984" s="7" t="s">
        <v>1842</v>
      </c>
      <c r="I2984" s="13" t="s">
        <v>1338</v>
      </c>
      <c r="J2984" s="13" t="s">
        <v>798</v>
      </c>
      <c r="K2984" s="13" t="s">
        <v>303</v>
      </c>
      <c r="L2984" s="13" t="s">
        <v>2621</v>
      </c>
      <c r="M2984" s="6" t="s">
        <v>188</v>
      </c>
      <c r="N2984" s="6" t="s">
        <v>188</v>
      </c>
      <c r="O2984" s="6" t="s">
        <v>190</v>
      </c>
      <c r="P2984" s="7" t="s">
        <v>333</v>
      </c>
      <c r="Q2984" s="13"/>
      <c r="R2984" s="13"/>
      <c r="S2984" s="13"/>
      <c r="T2984" s="7"/>
      <c r="U2984" s="7"/>
      <c r="V2984" s="7"/>
      <c r="W2984" s="7"/>
      <c r="X2984" s="7"/>
      <c r="Y2984" s="7"/>
      <c r="Z2984" s="7"/>
      <c r="AA2984" s="7"/>
      <c r="AB2984" s="7"/>
      <c r="AC2984" s="7"/>
      <c r="AD2984" s="7"/>
      <c r="AE2984" s="7"/>
    </row>
    <row r="2985">
      <c r="A2985" s="12">
        <v>68.0</v>
      </c>
      <c r="B2985" s="7" t="s">
        <v>607</v>
      </c>
      <c r="C2985" s="7" t="s">
        <v>1842</v>
      </c>
      <c r="I2985" s="13" t="s">
        <v>1678</v>
      </c>
      <c r="J2985" s="13" t="s">
        <v>799</v>
      </c>
      <c r="K2985" s="13" t="s">
        <v>303</v>
      </c>
      <c r="L2985" s="13" t="s">
        <v>2625</v>
      </c>
      <c r="M2985" s="6" t="s">
        <v>188</v>
      </c>
      <c r="N2985" s="6" t="s">
        <v>188</v>
      </c>
      <c r="O2985" s="6" t="s">
        <v>190</v>
      </c>
      <c r="P2985" s="7" t="s">
        <v>333</v>
      </c>
      <c r="Q2985" s="13"/>
      <c r="R2985" s="13"/>
      <c r="S2985" s="13"/>
      <c r="T2985" s="7"/>
      <c r="U2985" s="7"/>
      <c r="V2985" s="7"/>
      <c r="W2985" s="7"/>
      <c r="X2985" s="7"/>
      <c r="Y2985" s="7"/>
      <c r="Z2985" s="7"/>
      <c r="AA2985" s="7"/>
      <c r="AB2985" s="7"/>
      <c r="AC2985" s="7"/>
      <c r="AD2985" s="7"/>
      <c r="AE2985" s="7"/>
    </row>
    <row r="2986">
      <c r="A2986" s="12">
        <v>68.0</v>
      </c>
      <c r="B2986" s="7" t="s">
        <v>607</v>
      </c>
      <c r="C2986" s="7" t="s">
        <v>1842</v>
      </c>
      <c r="I2986" s="13" t="s">
        <v>1878</v>
      </c>
      <c r="J2986" s="13" t="s">
        <v>800</v>
      </c>
      <c r="K2986" s="13" t="s">
        <v>303</v>
      </c>
      <c r="L2986" s="13" t="s">
        <v>2619</v>
      </c>
      <c r="M2986" s="6" t="s">
        <v>188</v>
      </c>
      <c r="N2986" s="6" t="s">
        <v>188</v>
      </c>
      <c r="O2986" s="6" t="s">
        <v>190</v>
      </c>
      <c r="P2986" s="7" t="s">
        <v>333</v>
      </c>
      <c r="Q2986" s="13"/>
      <c r="R2986" s="13"/>
      <c r="S2986" s="13"/>
      <c r="T2986" s="7"/>
      <c r="U2986" s="7"/>
      <c r="V2986" s="7"/>
      <c r="W2986" s="7"/>
      <c r="X2986" s="7"/>
      <c r="Y2986" s="7"/>
      <c r="Z2986" s="7"/>
      <c r="AA2986" s="7"/>
      <c r="AB2986" s="7"/>
      <c r="AC2986" s="7"/>
      <c r="AD2986" s="7"/>
      <c r="AE2986" s="7"/>
    </row>
    <row r="2987">
      <c r="A2987" s="12">
        <v>68.0</v>
      </c>
      <c r="B2987" s="7" t="s">
        <v>607</v>
      </c>
      <c r="C2987" s="7" t="s">
        <v>1842</v>
      </c>
      <c r="I2987" s="13" t="s">
        <v>704</v>
      </c>
      <c r="J2987" s="13" t="s">
        <v>801</v>
      </c>
      <c r="K2987" s="13" t="s">
        <v>303</v>
      </c>
      <c r="L2987" s="13" t="s">
        <v>2625</v>
      </c>
      <c r="M2987" s="6" t="s">
        <v>188</v>
      </c>
      <c r="N2987" s="6" t="s">
        <v>188</v>
      </c>
      <c r="O2987" s="6" t="s">
        <v>190</v>
      </c>
      <c r="P2987" s="7" t="s">
        <v>333</v>
      </c>
      <c r="Q2987" s="13"/>
      <c r="R2987" s="13"/>
      <c r="S2987" s="13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  <c r="AE2987" s="7"/>
    </row>
    <row r="2988">
      <c r="A2988" s="12">
        <v>68.0</v>
      </c>
      <c r="B2988" s="7" t="s">
        <v>607</v>
      </c>
      <c r="C2988" s="7" t="s">
        <v>1842</v>
      </c>
      <c r="I2988" s="13" t="s">
        <v>2388</v>
      </c>
      <c r="J2988" s="13" t="s">
        <v>802</v>
      </c>
      <c r="K2988" s="13" t="s">
        <v>303</v>
      </c>
      <c r="L2988" s="13" t="s">
        <v>2620</v>
      </c>
      <c r="M2988" s="6" t="s">
        <v>188</v>
      </c>
      <c r="N2988" s="6" t="s">
        <v>188</v>
      </c>
      <c r="O2988" s="6" t="s">
        <v>190</v>
      </c>
      <c r="P2988" s="7" t="s">
        <v>333</v>
      </c>
      <c r="Q2988" s="13"/>
      <c r="R2988" s="13"/>
      <c r="S2988" s="13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  <c r="AE2988" s="7"/>
    </row>
    <row r="2989">
      <c r="A2989" s="12">
        <v>68.0</v>
      </c>
      <c r="B2989" s="7" t="s">
        <v>607</v>
      </c>
      <c r="C2989" s="7" t="s">
        <v>1842</v>
      </c>
      <c r="I2989" s="13" t="s">
        <v>1281</v>
      </c>
      <c r="J2989" s="13" t="s">
        <v>803</v>
      </c>
      <c r="K2989" s="13" t="s">
        <v>303</v>
      </c>
      <c r="L2989" s="13" t="s">
        <v>2627</v>
      </c>
      <c r="M2989" s="6" t="s">
        <v>188</v>
      </c>
      <c r="N2989" s="6" t="s">
        <v>188</v>
      </c>
      <c r="O2989" s="6" t="s">
        <v>190</v>
      </c>
      <c r="P2989" s="7" t="s">
        <v>333</v>
      </c>
      <c r="Q2989" s="13"/>
      <c r="R2989" s="13"/>
      <c r="S2989" s="13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  <c r="AE2989" s="7"/>
    </row>
    <row r="2990">
      <c r="A2990" s="12">
        <v>68.0</v>
      </c>
      <c r="B2990" s="7" t="s">
        <v>607</v>
      </c>
      <c r="C2990" s="7" t="s">
        <v>1842</v>
      </c>
      <c r="I2990" s="13" t="s">
        <v>660</v>
      </c>
      <c r="J2990" s="13" t="s">
        <v>804</v>
      </c>
      <c r="K2990" s="13" t="s">
        <v>303</v>
      </c>
      <c r="L2990" s="13" t="s">
        <v>2627</v>
      </c>
      <c r="M2990" s="6" t="s">
        <v>188</v>
      </c>
      <c r="N2990" s="6" t="s">
        <v>188</v>
      </c>
      <c r="O2990" s="6" t="s">
        <v>190</v>
      </c>
      <c r="P2990" s="7" t="s">
        <v>333</v>
      </c>
      <c r="Q2990" s="13"/>
      <c r="R2990" s="13"/>
      <c r="S2990" s="13"/>
      <c r="T2990" s="6"/>
      <c r="U2990" s="6"/>
      <c r="V2990" s="7"/>
      <c r="W2990" s="7"/>
      <c r="X2990" s="7"/>
      <c r="Y2990" s="7"/>
      <c r="Z2990" s="7"/>
      <c r="AA2990" s="7"/>
      <c r="AB2990" s="7"/>
      <c r="AC2990" s="7"/>
      <c r="AD2990" s="7"/>
      <c r="AE2990" s="7"/>
    </row>
    <row r="2991">
      <c r="A2991" s="12">
        <v>68.0</v>
      </c>
      <c r="B2991" s="7" t="s">
        <v>607</v>
      </c>
      <c r="C2991" s="7" t="s">
        <v>1842</v>
      </c>
      <c r="I2991" s="13" t="s">
        <v>1602</v>
      </c>
      <c r="J2991" s="13" t="s">
        <v>781</v>
      </c>
      <c r="K2991" s="13" t="s">
        <v>303</v>
      </c>
      <c r="L2991" s="13" t="s">
        <v>2625</v>
      </c>
      <c r="M2991" s="6" t="s">
        <v>188</v>
      </c>
      <c r="N2991" s="6" t="s">
        <v>188</v>
      </c>
      <c r="O2991" s="6" t="s">
        <v>190</v>
      </c>
      <c r="P2991" s="7" t="s">
        <v>333</v>
      </c>
      <c r="Q2991" s="13"/>
      <c r="R2991" s="13"/>
      <c r="S2991" s="13"/>
      <c r="T2991" s="6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  <c r="AE2991" s="7"/>
    </row>
    <row r="2992">
      <c r="A2992" s="12">
        <v>68.0</v>
      </c>
      <c r="B2992" s="7" t="s">
        <v>607</v>
      </c>
      <c r="C2992" s="7" t="s">
        <v>1842</v>
      </c>
      <c r="I2992" s="13" t="s">
        <v>513</v>
      </c>
      <c r="J2992" s="13" t="s">
        <v>797</v>
      </c>
      <c r="K2992" s="13" t="s">
        <v>303</v>
      </c>
      <c r="L2992" s="13" t="s">
        <v>2628</v>
      </c>
      <c r="M2992" s="6" t="s">
        <v>188</v>
      </c>
      <c r="N2992" s="6" t="s">
        <v>188</v>
      </c>
      <c r="O2992" s="6" t="s">
        <v>190</v>
      </c>
      <c r="P2992" s="7" t="s">
        <v>333</v>
      </c>
      <c r="Q2992" s="13"/>
      <c r="R2992" s="13"/>
      <c r="S2992" s="13"/>
      <c r="T2992" s="6"/>
      <c r="U2992" s="7"/>
      <c r="V2992" s="7"/>
      <c r="W2992" s="7"/>
      <c r="X2992" s="7"/>
      <c r="Y2992" s="7"/>
      <c r="Z2992" s="7"/>
      <c r="AA2992" s="7"/>
      <c r="AB2992" s="7"/>
      <c r="AC2992" s="7"/>
      <c r="AD2992" s="7"/>
      <c r="AE2992" s="7"/>
    </row>
    <row r="2993">
      <c r="A2993" s="12">
        <v>68.0</v>
      </c>
      <c r="B2993" s="7" t="s">
        <v>607</v>
      </c>
      <c r="C2993" s="7" t="s">
        <v>1842</v>
      </c>
      <c r="I2993" s="13" t="s">
        <v>1156</v>
      </c>
      <c r="J2993" s="13" t="s">
        <v>798</v>
      </c>
      <c r="K2993" s="13" t="s">
        <v>303</v>
      </c>
      <c r="L2993" s="13" t="s">
        <v>2621</v>
      </c>
      <c r="M2993" s="6" t="s">
        <v>188</v>
      </c>
      <c r="N2993" s="6" t="s">
        <v>188</v>
      </c>
      <c r="O2993" s="6" t="s">
        <v>190</v>
      </c>
      <c r="P2993" s="7" t="s">
        <v>333</v>
      </c>
      <c r="Q2993" s="13"/>
      <c r="R2993" s="13"/>
      <c r="S2993" s="13"/>
      <c r="T2993" s="6"/>
      <c r="U2993" s="7"/>
      <c r="V2993" s="7"/>
      <c r="W2993" s="7"/>
      <c r="X2993" s="7"/>
      <c r="Y2993" s="7"/>
      <c r="Z2993" s="7"/>
      <c r="AA2993" s="7"/>
      <c r="AB2993" s="7"/>
      <c r="AC2993" s="7"/>
      <c r="AD2993" s="7"/>
      <c r="AE2993" s="7"/>
    </row>
    <row r="2994">
      <c r="A2994" s="12">
        <v>68.0</v>
      </c>
      <c r="B2994" s="7" t="s">
        <v>607</v>
      </c>
      <c r="C2994" s="7" t="s">
        <v>1842</v>
      </c>
      <c r="I2994" s="13" t="s">
        <v>1748</v>
      </c>
      <c r="J2994" s="13" t="s">
        <v>799</v>
      </c>
      <c r="K2994" s="13" t="s">
        <v>303</v>
      </c>
      <c r="L2994" s="13" t="s">
        <v>2677</v>
      </c>
      <c r="M2994" s="6" t="s">
        <v>188</v>
      </c>
      <c r="N2994" s="6" t="s">
        <v>188</v>
      </c>
      <c r="O2994" s="6" t="s">
        <v>190</v>
      </c>
      <c r="P2994" s="7" t="s">
        <v>333</v>
      </c>
      <c r="Q2994" s="13"/>
      <c r="R2994" s="13"/>
      <c r="S2994" s="13"/>
      <c r="T2994" s="6"/>
      <c r="U2994" s="7"/>
      <c r="V2994" s="7"/>
      <c r="W2994" s="7"/>
      <c r="X2994" s="7"/>
      <c r="Y2994" s="7"/>
      <c r="Z2994" s="7"/>
      <c r="AA2994" s="7"/>
      <c r="AB2994" s="7"/>
      <c r="AC2994" s="7"/>
      <c r="AD2994" s="7"/>
      <c r="AE2994" s="7"/>
    </row>
    <row r="2995">
      <c r="A2995" s="12">
        <v>68.0</v>
      </c>
      <c r="B2995" s="7" t="s">
        <v>607</v>
      </c>
      <c r="C2995" s="7" t="s">
        <v>1842</v>
      </c>
      <c r="I2995" s="13" t="s">
        <v>1722</v>
      </c>
      <c r="J2995" s="13" t="s">
        <v>800</v>
      </c>
      <c r="K2995" s="13" t="s">
        <v>303</v>
      </c>
      <c r="L2995" s="13" t="s">
        <v>2625</v>
      </c>
      <c r="M2995" s="6" t="s">
        <v>188</v>
      </c>
      <c r="N2995" s="6" t="s">
        <v>188</v>
      </c>
      <c r="O2995" s="6" t="s">
        <v>190</v>
      </c>
      <c r="P2995" s="7" t="s">
        <v>333</v>
      </c>
      <c r="Q2995" s="13"/>
      <c r="R2995" s="13"/>
      <c r="S2995" s="13"/>
      <c r="T2995" s="6"/>
      <c r="U2995" s="7"/>
      <c r="V2995" s="7"/>
      <c r="W2995" s="7"/>
      <c r="X2995" s="7"/>
      <c r="Y2995" s="7"/>
      <c r="Z2995" s="7"/>
      <c r="AA2995" s="7"/>
      <c r="AB2995" s="7"/>
      <c r="AC2995" s="7"/>
      <c r="AD2995" s="7"/>
      <c r="AE2995" s="7"/>
    </row>
    <row r="2996">
      <c r="A2996" s="12">
        <v>68.0</v>
      </c>
      <c r="B2996" s="7" t="s">
        <v>607</v>
      </c>
      <c r="C2996" s="7" t="s">
        <v>1842</v>
      </c>
      <c r="I2996" s="13" t="s">
        <v>1924</v>
      </c>
      <c r="J2996" s="13" t="s">
        <v>801</v>
      </c>
      <c r="K2996" s="13" t="s">
        <v>303</v>
      </c>
      <c r="L2996" s="13" t="s">
        <v>2621</v>
      </c>
      <c r="M2996" s="6" t="s">
        <v>188</v>
      </c>
      <c r="N2996" s="6" t="s">
        <v>188</v>
      </c>
      <c r="O2996" s="6" t="s">
        <v>190</v>
      </c>
      <c r="P2996" s="7" t="s">
        <v>333</v>
      </c>
      <c r="Q2996" s="13"/>
      <c r="R2996" s="13"/>
      <c r="S2996" s="13"/>
      <c r="T2996" s="6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  <c r="AE2996" s="7"/>
    </row>
    <row r="2997">
      <c r="A2997" s="12">
        <v>68.0</v>
      </c>
      <c r="B2997" s="7" t="s">
        <v>607</v>
      </c>
      <c r="C2997" s="7" t="s">
        <v>1842</v>
      </c>
      <c r="I2997" s="13" t="s">
        <v>2080</v>
      </c>
      <c r="J2997" s="13" t="s">
        <v>802</v>
      </c>
      <c r="K2997" s="13" t="s">
        <v>303</v>
      </c>
      <c r="L2997" s="13" t="s">
        <v>2081</v>
      </c>
      <c r="M2997" s="6" t="s">
        <v>188</v>
      </c>
      <c r="N2997" s="6" t="s">
        <v>188</v>
      </c>
      <c r="O2997" s="6" t="s">
        <v>190</v>
      </c>
      <c r="P2997" s="7" t="s">
        <v>624</v>
      </c>
      <c r="Q2997" s="13"/>
      <c r="R2997" s="13"/>
      <c r="S2997" s="13"/>
      <c r="T2997" s="6"/>
      <c r="U2997" s="7"/>
      <c r="V2997" s="7"/>
      <c r="W2997" s="7"/>
      <c r="X2997" s="7"/>
      <c r="Y2997" s="7"/>
      <c r="Z2997" s="7"/>
      <c r="AA2997" s="7"/>
      <c r="AB2997" s="7"/>
      <c r="AC2997" s="7"/>
      <c r="AD2997" s="7"/>
      <c r="AE2997" s="7"/>
    </row>
    <row r="2998">
      <c r="A2998" s="12">
        <v>68.0</v>
      </c>
      <c r="B2998" s="7" t="s">
        <v>607</v>
      </c>
      <c r="C2998" s="7" t="s">
        <v>1842</v>
      </c>
      <c r="I2998" s="13" t="s">
        <v>2082</v>
      </c>
      <c r="J2998" s="13" t="s">
        <v>803</v>
      </c>
      <c r="K2998" s="13" t="s">
        <v>303</v>
      </c>
      <c r="L2998" s="13" t="s">
        <v>2081</v>
      </c>
      <c r="M2998" s="6" t="s">
        <v>188</v>
      </c>
      <c r="N2998" s="6" t="s">
        <v>188</v>
      </c>
      <c r="O2998" s="6" t="s">
        <v>190</v>
      </c>
      <c r="P2998" s="7" t="s">
        <v>333</v>
      </c>
      <c r="Q2998" s="13"/>
      <c r="R2998" s="13"/>
      <c r="S2998" s="13"/>
      <c r="T2998" s="6"/>
      <c r="U2998" s="7"/>
      <c r="V2998" s="7"/>
      <c r="W2998" s="7"/>
      <c r="X2998" s="7"/>
      <c r="Y2998" s="7"/>
      <c r="Z2998" s="7"/>
      <c r="AA2998" s="7"/>
      <c r="AB2998" s="7"/>
      <c r="AC2998" s="7"/>
      <c r="AD2998" s="7"/>
      <c r="AE2998" s="7"/>
    </row>
    <row r="2999">
      <c r="A2999" s="12">
        <v>68.0</v>
      </c>
      <c r="B2999" s="7" t="s">
        <v>607</v>
      </c>
      <c r="C2999" s="7" t="s">
        <v>1842</v>
      </c>
      <c r="I2999" s="13" t="s">
        <v>2085</v>
      </c>
      <c r="J2999" s="13" t="s">
        <v>804</v>
      </c>
      <c r="K2999" s="13" t="s">
        <v>303</v>
      </c>
      <c r="L2999" s="13" t="s">
        <v>2081</v>
      </c>
      <c r="M2999" s="6" t="s">
        <v>188</v>
      </c>
      <c r="N2999" s="6" t="s">
        <v>188</v>
      </c>
      <c r="O2999" s="6" t="s">
        <v>190</v>
      </c>
      <c r="P2999" s="7" t="s">
        <v>333</v>
      </c>
      <c r="Q2999" s="13"/>
      <c r="R2999" s="13"/>
      <c r="S2999" s="13"/>
      <c r="T2999" s="6"/>
      <c r="U2999" s="7"/>
      <c r="V2999" s="7"/>
      <c r="W2999" s="7"/>
      <c r="X2999" s="7"/>
      <c r="Y2999" s="7"/>
      <c r="Z2999" s="7"/>
      <c r="AA2999" s="7"/>
      <c r="AB2999" s="7"/>
      <c r="AC2999" s="7"/>
      <c r="AD2999" s="7"/>
      <c r="AE2999" s="7"/>
    </row>
    <row r="3000">
      <c r="A3000" s="12">
        <v>68.0</v>
      </c>
      <c r="B3000" s="7" t="s">
        <v>607</v>
      </c>
      <c r="C3000" s="7" t="s">
        <v>1842</v>
      </c>
      <c r="I3000" s="13" t="s">
        <v>2087</v>
      </c>
      <c r="J3000" s="13" t="s">
        <v>781</v>
      </c>
      <c r="K3000" s="13" t="s">
        <v>303</v>
      </c>
      <c r="L3000" s="13" t="s">
        <v>2081</v>
      </c>
      <c r="M3000" s="6" t="s">
        <v>188</v>
      </c>
      <c r="N3000" s="6" t="s">
        <v>188</v>
      </c>
      <c r="O3000" s="6" t="s">
        <v>190</v>
      </c>
      <c r="P3000" s="7" t="s">
        <v>333</v>
      </c>
      <c r="Q3000" s="13"/>
      <c r="R3000" s="13"/>
      <c r="S3000" s="13"/>
      <c r="T3000" s="6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  <c r="AE3000" s="7"/>
    </row>
    <row r="3001">
      <c r="A3001" s="12">
        <v>68.0</v>
      </c>
      <c r="B3001" s="7" t="s">
        <v>607</v>
      </c>
      <c r="C3001" s="7" t="s">
        <v>1842</v>
      </c>
      <c r="I3001" s="13" t="s">
        <v>2039</v>
      </c>
      <c r="J3001" s="13" t="s">
        <v>797</v>
      </c>
      <c r="K3001" s="13" t="s">
        <v>303</v>
      </c>
      <c r="L3001" s="13" t="s">
        <v>2081</v>
      </c>
      <c r="M3001" s="6" t="s">
        <v>188</v>
      </c>
      <c r="N3001" s="6" t="s">
        <v>188</v>
      </c>
      <c r="O3001" s="6" t="s">
        <v>190</v>
      </c>
      <c r="P3001" s="7" t="s">
        <v>333</v>
      </c>
      <c r="Q3001" s="13"/>
      <c r="R3001" s="13"/>
      <c r="S3001" s="13"/>
      <c r="T3001" s="6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  <c r="AE3001" s="7"/>
    </row>
    <row r="3002">
      <c r="A3002" s="12">
        <v>68.0</v>
      </c>
      <c r="B3002" s="7" t="s">
        <v>607</v>
      </c>
      <c r="C3002" s="7" t="s">
        <v>1842</v>
      </c>
      <c r="I3002" s="13" t="s">
        <v>703</v>
      </c>
      <c r="J3002" s="13" t="s">
        <v>798</v>
      </c>
      <c r="K3002" s="13" t="s">
        <v>303</v>
      </c>
      <c r="L3002" s="13" t="s">
        <v>2081</v>
      </c>
      <c r="M3002" s="6" t="s">
        <v>188</v>
      </c>
      <c r="N3002" s="6" t="s">
        <v>188</v>
      </c>
      <c r="O3002" s="6" t="s">
        <v>190</v>
      </c>
      <c r="P3002" s="7" t="s">
        <v>333</v>
      </c>
      <c r="Q3002" s="13"/>
      <c r="R3002" s="13"/>
      <c r="S3002" s="13"/>
      <c r="T3002" s="6"/>
      <c r="U3002" s="7"/>
      <c r="V3002" s="7"/>
      <c r="W3002" s="7"/>
      <c r="X3002" s="7"/>
      <c r="Y3002" s="7"/>
      <c r="Z3002" s="7"/>
      <c r="AA3002" s="7"/>
      <c r="AB3002" s="7"/>
      <c r="AC3002" s="7"/>
      <c r="AD3002" s="7"/>
      <c r="AE3002" s="7"/>
    </row>
    <row r="3003">
      <c r="A3003" s="12">
        <v>68.0</v>
      </c>
      <c r="B3003" s="7" t="s">
        <v>607</v>
      </c>
      <c r="C3003" s="7" t="s">
        <v>1842</v>
      </c>
      <c r="I3003" s="13" t="s">
        <v>2041</v>
      </c>
      <c r="J3003" s="13" t="s">
        <v>799</v>
      </c>
      <c r="K3003" s="13" t="s">
        <v>303</v>
      </c>
      <c r="L3003" s="13" t="s">
        <v>2081</v>
      </c>
      <c r="M3003" s="6" t="s">
        <v>188</v>
      </c>
      <c r="N3003" s="6" t="s">
        <v>188</v>
      </c>
      <c r="O3003" s="6" t="s">
        <v>190</v>
      </c>
      <c r="P3003" s="7" t="s">
        <v>333</v>
      </c>
      <c r="Q3003" s="13"/>
      <c r="R3003" s="13"/>
      <c r="S3003" s="13"/>
      <c r="T3003" s="6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  <c r="AE3003" s="7"/>
    </row>
    <row r="3004">
      <c r="A3004" s="12">
        <v>68.0</v>
      </c>
      <c r="B3004" s="7" t="s">
        <v>607</v>
      </c>
      <c r="C3004" s="7" t="s">
        <v>1842</v>
      </c>
      <c r="I3004" s="13" t="s">
        <v>708</v>
      </c>
      <c r="J3004" s="13" t="s">
        <v>800</v>
      </c>
      <c r="K3004" s="13" t="s">
        <v>303</v>
      </c>
      <c r="L3004" s="13" t="s">
        <v>2081</v>
      </c>
      <c r="M3004" s="6" t="s">
        <v>188</v>
      </c>
      <c r="N3004" s="6" t="s">
        <v>188</v>
      </c>
      <c r="O3004" s="6" t="s">
        <v>190</v>
      </c>
      <c r="P3004" s="7" t="s">
        <v>333</v>
      </c>
      <c r="Q3004" s="13"/>
      <c r="R3004" s="13"/>
      <c r="S3004" s="13"/>
      <c r="T3004" s="6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  <c r="AE3004" s="7"/>
    </row>
    <row r="3005">
      <c r="A3005" s="12">
        <v>68.0</v>
      </c>
      <c r="B3005" s="7" t="s">
        <v>607</v>
      </c>
      <c r="C3005" s="7" t="s">
        <v>1842</v>
      </c>
      <c r="I3005" s="13" t="s">
        <v>2042</v>
      </c>
      <c r="J3005" s="13" t="s">
        <v>801</v>
      </c>
      <c r="K3005" s="13" t="s">
        <v>303</v>
      </c>
      <c r="L3005" s="13" t="s">
        <v>2081</v>
      </c>
      <c r="M3005" s="6" t="s">
        <v>188</v>
      </c>
      <c r="N3005" s="6" t="s">
        <v>188</v>
      </c>
      <c r="O3005" s="6" t="s">
        <v>190</v>
      </c>
      <c r="P3005" s="7" t="s">
        <v>333</v>
      </c>
      <c r="Q3005" s="13"/>
      <c r="R3005" s="13"/>
      <c r="S3005" s="13"/>
      <c r="T3005" s="6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  <c r="AE3005" s="7"/>
    </row>
    <row r="3006">
      <c r="A3006" s="12">
        <v>68.0</v>
      </c>
      <c r="B3006" s="7" t="s">
        <v>607</v>
      </c>
      <c r="C3006" s="7" t="s">
        <v>1842</v>
      </c>
      <c r="I3006" s="13" t="s">
        <v>1478</v>
      </c>
      <c r="J3006" s="13" t="s">
        <v>802</v>
      </c>
      <c r="K3006" s="13" t="s">
        <v>303</v>
      </c>
      <c r="L3006" s="13" t="s">
        <v>2081</v>
      </c>
      <c r="M3006" s="6" t="s">
        <v>188</v>
      </c>
      <c r="N3006" s="6" t="s">
        <v>188</v>
      </c>
      <c r="O3006" s="6" t="s">
        <v>190</v>
      </c>
      <c r="P3006" s="7" t="s">
        <v>333</v>
      </c>
      <c r="Q3006" s="13"/>
      <c r="R3006" s="13"/>
      <c r="S3006" s="13"/>
      <c r="T3006" s="6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  <c r="AE3006" s="7"/>
    </row>
    <row r="3007">
      <c r="A3007" s="12">
        <v>68.0</v>
      </c>
      <c r="B3007" s="7" t="s">
        <v>607</v>
      </c>
      <c r="C3007" s="7" t="s">
        <v>1842</v>
      </c>
      <c r="I3007" s="13" t="s">
        <v>732</v>
      </c>
      <c r="J3007" s="13" t="s">
        <v>803</v>
      </c>
      <c r="K3007" s="13" t="s">
        <v>303</v>
      </c>
      <c r="L3007" s="13" t="s">
        <v>2081</v>
      </c>
      <c r="M3007" s="6" t="s">
        <v>188</v>
      </c>
      <c r="N3007" s="6" t="s">
        <v>188</v>
      </c>
      <c r="O3007" s="6" t="s">
        <v>190</v>
      </c>
      <c r="P3007" s="7" t="s">
        <v>333</v>
      </c>
      <c r="Q3007" s="13"/>
      <c r="R3007" s="13"/>
      <c r="S3007" s="13"/>
      <c r="T3007" s="6"/>
      <c r="U3007" s="7"/>
      <c r="V3007" s="7"/>
      <c r="W3007" s="7"/>
      <c r="X3007" s="7"/>
      <c r="Y3007" s="7"/>
      <c r="Z3007" s="7"/>
      <c r="AA3007" s="7"/>
      <c r="AB3007" s="7"/>
      <c r="AC3007" s="7"/>
      <c r="AD3007" s="7"/>
      <c r="AE3007" s="7"/>
    </row>
    <row r="3008">
      <c r="A3008" s="12">
        <v>68.0</v>
      </c>
      <c r="B3008" s="7" t="s">
        <v>607</v>
      </c>
      <c r="C3008" s="7" t="s">
        <v>1842</v>
      </c>
      <c r="I3008" s="13" t="s">
        <v>687</v>
      </c>
      <c r="J3008" s="13" t="s">
        <v>804</v>
      </c>
      <c r="K3008" s="13" t="s">
        <v>303</v>
      </c>
      <c r="L3008" s="13" t="s">
        <v>2081</v>
      </c>
      <c r="M3008" s="6" t="s">
        <v>188</v>
      </c>
      <c r="N3008" s="6" t="s">
        <v>188</v>
      </c>
      <c r="O3008" s="6" t="s">
        <v>190</v>
      </c>
      <c r="P3008" s="7" t="s">
        <v>333</v>
      </c>
      <c r="Q3008" s="13"/>
      <c r="R3008" s="13"/>
      <c r="S3008" s="13"/>
      <c r="T3008" s="6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  <c r="AE3008" s="7"/>
    </row>
    <row r="3009">
      <c r="A3009" s="12">
        <v>68.0</v>
      </c>
      <c r="B3009" s="7" t="s">
        <v>607</v>
      </c>
      <c r="C3009" s="7" t="s">
        <v>1842</v>
      </c>
      <c r="I3009" s="13" t="s">
        <v>2438</v>
      </c>
      <c r="J3009" s="13" t="s">
        <v>781</v>
      </c>
      <c r="K3009" s="13" t="s">
        <v>303</v>
      </c>
      <c r="L3009" s="13" t="s">
        <v>2679</v>
      </c>
      <c r="M3009" s="6" t="s">
        <v>188</v>
      </c>
      <c r="N3009" s="6" t="s">
        <v>188</v>
      </c>
      <c r="O3009" s="6" t="s">
        <v>190</v>
      </c>
      <c r="P3009" s="7" t="s">
        <v>333</v>
      </c>
      <c r="Q3009" s="13"/>
      <c r="R3009" s="13"/>
      <c r="S3009" s="13"/>
      <c r="T3009" s="6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  <c r="AE3009" s="7"/>
    </row>
    <row r="3010">
      <c r="A3010" s="12">
        <v>68.0</v>
      </c>
      <c r="B3010" s="7" t="s">
        <v>607</v>
      </c>
      <c r="C3010" s="7" t="s">
        <v>1842</v>
      </c>
      <c r="I3010" s="13" t="s">
        <v>579</v>
      </c>
      <c r="J3010" s="13" t="s">
        <v>797</v>
      </c>
      <c r="K3010" s="13" t="s">
        <v>303</v>
      </c>
      <c r="L3010" s="13" t="s">
        <v>2081</v>
      </c>
      <c r="M3010" s="6" t="s">
        <v>188</v>
      </c>
      <c r="N3010" s="6" t="s">
        <v>188</v>
      </c>
      <c r="O3010" s="6" t="s">
        <v>190</v>
      </c>
      <c r="P3010" s="7" t="s">
        <v>333</v>
      </c>
      <c r="Q3010" s="13"/>
      <c r="R3010" s="13"/>
      <c r="S3010" s="13"/>
      <c r="T3010" s="6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  <c r="AE3010" s="7"/>
    </row>
    <row r="3011">
      <c r="A3011" s="12">
        <v>68.0</v>
      </c>
      <c r="B3011" s="7" t="s">
        <v>607</v>
      </c>
      <c r="C3011" s="7" t="s">
        <v>1842</v>
      </c>
      <c r="I3011" s="13" t="s">
        <v>1890</v>
      </c>
      <c r="J3011" s="13" t="s">
        <v>798</v>
      </c>
      <c r="K3011" s="13" t="s">
        <v>303</v>
      </c>
      <c r="L3011" s="13" t="s">
        <v>2629</v>
      </c>
      <c r="M3011" s="6" t="s">
        <v>188</v>
      </c>
      <c r="N3011" s="6" t="s">
        <v>188</v>
      </c>
      <c r="O3011" s="6" t="s">
        <v>190</v>
      </c>
      <c r="P3011" s="7" t="s">
        <v>333</v>
      </c>
      <c r="Q3011" s="13"/>
      <c r="R3011" s="13"/>
      <c r="S3011" s="13"/>
      <c r="T3011" s="6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  <c r="AE3011" s="7"/>
    </row>
    <row r="3012">
      <c r="A3012" s="12">
        <v>68.0</v>
      </c>
      <c r="B3012" s="7" t="s">
        <v>607</v>
      </c>
      <c r="C3012" s="7" t="s">
        <v>1842</v>
      </c>
      <c r="I3012" s="13" t="s">
        <v>2003</v>
      </c>
      <c r="J3012" s="13" t="s">
        <v>799</v>
      </c>
      <c r="K3012" s="13" t="s">
        <v>303</v>
      </c>
      <c r="L3012" s="13" t="s">
        <v>2680</v>
      </c>
      <c r="M3012" s="6" t="s">
        <v>188</v>
      </c>
      <c r="N3012" s="6" t="s">
        <v>188</v>
      </c>
      <c r="O3012" s="6" t="s">
        <v>190</v>
      </c>
      <c r="P3012" s="7" t="s">
        <v>333</v>
      </c>
      <c r="Q3012" s="13"/>
      <c r="R3012" s="13"/>
      <c r="S3012" s="13"/>
      <c r="T3012" s="6"/>
      <c r="U3012" s="7"/>
      <c r="V3012" s="7"/>
      <c r="W3012" s="7"/>
      <c r="X3012" s="7"/>
      <c r="Y3012" s="7"/>
      <c r="Z3012" s="7"/>
      <c r="AA3012" s="7"/>
      <c r="AB3012" s="7"/>
      <c r="AC3012" s="7"/>
      <c r="AD3012" s="7"/>
      <c r="AE3012" s="7"/>
    </row>
    <row r="3013">
      <c r="A3013" s="12">
        <v>68.0</v>
      </c>
      <c r="B3013" s="7" t="s">
        <v>607</v>
      </c>
      <c r="C3013" s="7" t="s">
        <v>1842</v>
      </c>
      <c r="I3013" s="13" t="s">
        <v>1754</v>
      </c>
      <c r="J3013" s="13" t="s">
        <v>800</v>
      </c>
      <c r="K3013" s="13" t="s">
        <v>303</v>
      </c>
      <c r="L3013" s="13" t="s">
        <v>2631</v>
      </c>
      <c r="M3013" s="6" t="s">
        <v>188</v>
      </c>
      <c r="N3013" s="6" t="s">
        <v>188</v>
      </c>
      <c r="O3013" s="6" t="s">
        <v>190</v>
      </c>
      <c r="P3013" s="7" t="s">
        <v>333</v>
      </c>
      <c r="Q3013" s="13"/>
      <c r="R3013" s="13"/>
      <c r="S3013" s="13"/>
      <c r="T3013" s="6"/>
      <c r="U3013" s="7"/>
      <c r="V3013" s="7"/>
      <c r="W3013" s="7"/>
      <c r="X3013" s="7"/>
      <c r="Y3013" s="7"/>
      <c r="Z3013" s="7"/>
      <c r="AA3013" s="7"/>
      <c r="AB3013" s="7"/>
      <c r="AC3013" s="7"/>
      <c r="AD3013" s="7"/>
      <c r="AE3013" s="7"/>
    </row>
    <row r="3014">
      <c r="A3014" s="12">
        <v>68.0</v>
      </c>
      <c r="B3014" s="7" t="s">
        <v>607</v>
      </c>
      <c r="C3014" s="7" t="s">
        <v>1842</v>
      </c>
      <c r="I3014" s="13" t="s">
        <v>2013</v>
      </c>
      <c r="J3014" s="13" t="s">
        <v>801</v>
      </c>
      <c r="K3014" s="13" t="s">
        <v>303</v>
      </c>
      <c r="L3014" s="13" t="s">
        <v>2681</v>
      </c>
      <c r="M3014" s="6" t="s">
        <v>188</v>
      </c>
      <c r="N3014" s="6" t="s">
        <v>188</v>
      </c>
      <c r="O3014" s="6" t="s">
        <v>190</v>
      </c>
      <c r="P3014" s="7" t="s">
        <v>333</v>
      </c>
      <c r="Q3014" s="13"/>
      <c r="R3014" s="13"/>
      <c r="S3014" s="13"/>
      <c r="T3014" s="6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  <c r="AE3014" s="7"/>
    </row>
    <row r="3015">
      <c r="A3015" s="12">
        <v>68.0</v>
      </c>
      <c r="B3015" s="7" t="s">
        <v>607</v>
      </c>
      <c r="C3015" s="7" t="s">
        <v>1842</v>
      </c>
      <c r="I3015" s="13" t="s">
        <v>2014</v>
      </c>
      <c r="J3015" s="13" t="s">
        <v>802</v>
      </c>
      <c r="K3015" s="13" t="s">
        <v>303</v>
      </c>
      <c r="L3015" s="13" t="s">
        <v>2681</v>
      </c>
      <c r="M3015" s="6" t="s">
        <v>188</v>
      </c>
      <c r="N3015" s="6" t="s">
        <v>188</v>
      </c>
      <c r="O3015" s="6" t="s">
        <v>190</v>
      </c>
      <c r="P3015" s="7" t="s">
        <v>333</v>
      </c>
      <c r="Q3015" s="13"/>
      <c r="R3015" s="13"/>
      <c r="S3015" s="13"/>
      <c r="T3015" s="6"/>
      <c r="U3015" s="7"/>
      <c r="V3015" s="7"/>
      <c r="W3015" s="7"/>
      <c r="X3015" s="7"/>
      <c r="Y3015" s="7"/>
      <c r="Z3015" s="7"/>
      <c r="AA3015" s="7"/>
      <c r="AB3015" s="7"/>
      <c r="AC3015" s="7"/>
      <c r="AD3015" s="7"/>
      <c r="AE3015" s="7"/>
    </row>
    <row r="3016">
      <c r="A3016" s="12">
        <v>68.0</v>
      </c>
      <c r="B3016" s="7" t="s">
        <v>607</v>
      </c>
      <c r="C3016" s="7" t="s">
        <v>1842</v>
      </c>
      <c r="I3016" s="13" t="s">
        <v>1751</v>
      </c>
      <c r="J3016" s="13" t="s">
        <v>803</v>
      </c>
      <c r="K3016" s="13" t="s">
        <v>303</v>
      </c>
      <c r="L3016" s="13" t="s">
        <v>2631</v>
      </c>
      <c r="M3016" s="6" t="s">
        <v>188</v>
      </c>
      <c r="N3016" s="6" t="s">
        <v>188</v>
      </c>
      <c r="O3016" s="6" t="s">
        <v>190</v>
      </c>
      <c r="P3016" s="7" t="s">
        <v>333</v>
      </c>
      <c r="Q3016" s="13"/>
      <c r="R3016" s="13"/>
      <c r="S3016" s="13"/>
      <c r="T3016" s="6"/>
      <c r="U3016" s="6"/>
      <c r="V3016" s="7"/>
      <c r="W3016" s="7"/>
      <c r="X3016" s="7"/>
      <c r="Y3016" s="7"/>
      <c r="Z3016" s="7"/>
      <c r="AA3016" s="7"/>
      <c r="AB3016" s="7"/>
      <c r="AC3016" s="7"/>
      <c r="AD3016" s="7"/>
      <c r="AE3016" s="7"/>
    </row>
    <row r="3017">
      <c r="A3017" s="12">
        <v>68.0</v>
      </c>
      <c r="B3017" s="7" t="s">
        <v>607</v>
      </c>
      <c r="C3017" s="7" t="s">
        <v>1842</v>
      </c>
      <c r="I3017" s="13" t="s">
        <v>2015</v>
      </c>
      <c r="J3017" s="13" t="s">
        <v>804</v>
      </c>
      <c r="K3017" s="13" t="s">
        <v>303</v>
      </c>
      <c r="L3017" s="13" t="s">
        <v>2681</v>
      </c>
      <c r="M3017" s="6" t="s">
        <v>188</v>
      </c>
      <c r="N3017" s="6" t="s">
        <v>188</v>
      </c>
      <c r="O3017" s="6" t="s">
        <v>190</v>
      </c>
      <c r="P3017" s="7" t="s">
        <v>333</v>
      </c>
      <c r="Q3017" s="13"/>
      <c r="R3017" s="13"/>
      <c r="S3017" s="13"/>
      <c r="T3017" s="6"/>
      <c r="U3017" s="7"/>
      <c r="V3017" s="7"/>
      <c r="W3017" s="7"/>
      <c r="X3017" s="7"/>
      <c r="Y3017" s="7"/>
      <c r="Z3017" s="7"/>
      <c r="AA3017" s="7"/>
      <c r="AB3017" s="7"/>
      <c r="AC3017" s="7"/>
      <c r="AD3017" s="7"/>
      <c r="AE3017" s="7"/>
    </row>
    <row r="3018">
      <c r="A3018" s="12">
        <v>68.0</v>
      </c>
      <c r="B3018" s="7" t="s">
        <v>607</v>
      </c>
      <c r="C3018" s="7" t="s">
        <v>1842</v>
      </c>
      <c r="I3018" s="13" t="s">
        <v>1980</v>
      </c>
      <c r="J3018" s="13" t="s">
        <v>781</v>
      </c>
      <c r="K3018" s="13" t="s">
        <v>303</v>
      </c>
      <c r="L3018" s="13" t="s">
        <v>2632</v>
      </c>
      <c r="M3018" s="6" t="s">
        <v>188</v>
      </c>
      <c r="N3018" s="6" t="s">
        <v>188</v>
      </c>
      <c r="O3018" s="6" t="s">
        <v>190</v>
      </c>
      <c r="P3018" s="7" t="s">
        <v>333</v>
      </c>
      <c r="Q3018" s="13"/>
      <c r="R3018" s="13"/>
      <c r="S3018" s="13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  <c r="AE3018" s="7"/>
    </row>
    <row r="3019">
      <c r="A3019" s="12">
        <v>68.0</v>
      </c>
      <c r="B3019" s="7" t="s">
        <v>607</v>
      </c>
      <c r="C3019" s="7" t="s">
        <v>1842</v>
      </c>
      <c r="I3019" s="13" t="s">
        <v>2633</v>
      </c>
      <c r="J3019" s="13" t="s">
        <v>797</v>
      </c>
      <c r="K3019" s="13" t="s">
        <v>303</v>
      </c>
      <c r="L3019" s="13" t="s">
        <v>2634</v>
      </c>
      <c r="M3019" s="6" t="s">
        <v>188</v>
      </c>
      <c r="N3019" s="6" t="s">
        <v>188</v>
      </c>
      <c r="O3019" s="6" t="s">
        <v>190</v>
      </c>
      <c r="P3019" s="7" t="s">
        <v>333</v>
      </c>
      <c r="Q3019" s="13"/>
      <c r="R3019" s="13"/>
      <c r="S3019" s="13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  <c r="AE3019" s="7"/>
    </row>
    <row r="3020">
      <c r="A3020" s="12">
        <v>68.0</v>
      </c>
      <c r="B3020" s="7" t="s">
        <v>607</v>
      </c>
      <c r="C3020" s="7" t="s">
        <v>1842</v>
      </c>
      <c r="I3020" s="13" t="s">
        <v>338</v>
      </c>
      <c r="J3020" s="13" t="s">
        <v>798</v>
      </c>
      <c r="K3020" s="13" t="s">
        <v>303</v>
      </c>
      <c r="L3020" s="13" t="s">
        <v>2635</v>
      </c>
      <c r="M3020" s="6" t="s">
        <v>188</v>
      </c>
      <c r="N3020" s="6" t="s">
        <v>188</v>
      </c>
      <c r="O3020" s="6" t="s">
        <v>190</v>
      </c>
      <c r="P3020" s="7" t="s">
        <v>333</v>
      </c>
      <c r="Q3020" s="13"/>
      <c r="R3020" s="13"/>
      <c r="S3020" s="13"/>
      <c r="T3020" s="7"/>
      <c r="U3020" s="7"/>
      <c r="V3020" s="7"/>
      <c r="W3020" s="7"/>
      <c r="X3020" s="7"/>
      <c r="Y3020" s="7"/>
      <c r="Z3020" s="7"/>
      <c r="AA3020" s="7"/>
      <c r="AB3020" s="7"/>
      <c r="AC3020" s="7"/>
      <c r="AD3020" s="7"/>
      <c r="AE3020" s="7"/>
    </row>
    <row r="3021">
      <c r="A3021" s="12">
        <v>68.0</v>
      </c>
      <c r="B3021" s="7" t="s">
        <v>607</v>
      </c>
      <c r="C3021" s="7" t="s">
        <v>1842</v>
      </c>
      <c r="I3021" s="13" t="s">
        <v>1298</v>
      </c>
      <c r="J3021" s="13" t="s">
        <v>799</v>
      </c>
      <c r="K3021" s="13" t="s">
        <v>303</v>
      </c>
      <c r="L3021" s="13" t="s">
        <v>2093</v>
      </c>
      <c r="M3021" s="6" t="s">
        <v>188</v>
      </c>
      <c r="N3021" s="6" t="s">
        <v>188</v>
      </c>
      <c r="O3021" s="6" t="s">
        <v>190</v>
      </c>
      <c r="P3021" s="7" t="s">
        <v>333</v>
      </c>
      <c r="Q3021" s="13"/>
      <c r="R3021" s="13"/>
      <c r="S3021" s="13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  <c r="AE3021" s="7"/>
    </row>
    <row r="3022">
      <c r="A3022" s="12">
        <v>68.0</v>
      </c>
      <c r="B3022" s="7" t="s">
        <v>607</v>
      </c>
      <c r="C3022" s="7" t="s">
        <v>1842</v>
      </c>
      <c r="I3022" s="13" t="s">
        <v>2006</v>
      </c>
      <c r="J3022" s="13" t="s">
        <v>800</v>
      </c>
      <c r="K3022" s="13" t="s">
        <v>303</v>
      </c>
      <c r="L3022" s="13" t="s">
        <v>2093</v>
      </c>
      <c r="M3022" s="6" t="s">
        <v>188</v>
      </c>
      <c r="N3022" s="6" t="s">
        <v>188</v>
      </c>
      <c r="O3022" s="6" t="s">
        <v>190</v>
      </c>
      <c r="P3022" s="7" t="s">
        <v>333</v>
      </c>
      <c r="Q3022" s="13"/>
      <c r="R3022" s="13"/>
      <c r="S3022" s="13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/>
      <c r="AE3022" s="7"/>
    </row>
    <row r="3023">
      <c r="A3023" s="12">
        <v>68.0</v>
      </c>
      <c r="B3023" s="7" t="s">
        <v>607</v>
      </c>
      <c r="C3023" s="7" t="s">
        <v>1842</v>
      </c>
      <c r="I3023" s="13" t="s">
        <v>523</v>
      </c>
      <c r="J3023" s="13" t="s">
        <v>801</v>
      </c>
      <c r="K3023" s="13" t="s">
        <v>303</v>
      </c>
      <c r="L3023" s="13" t="s">
        <v>2093</v>
      </c>
      <c r="M3023" s="6" t="s">
        <v>188</v>
      </c>
      <c r="N3023" s="6" t="s">
        <v>188</v>
      </c>
      <c r="O3023" s="6" t="s">
        <v>190</v>
      </c>
      <c r="P3023" s="7" t="s">
        <v>333</v>
      </c>
      <c r="Q3023" s="13"/>
      <c r="R3023" s="13"/>
      <c r="S3023" s="13"/>
      <c r="T3023" s="7"/>
      <c r="U3023" s="7"/>
      <c r="V3023" s="7"/>
      <c r="W3023" s="7"/>
      <c r="X3023" s="7"/>
      <c r="Y3023" s="7"/>
      <c r="Z3023" s="7"/>
      <c r="AA3023" s="7"/>
      <c r="AB3023" s="7"/>
      <c r="AC3023" s="7"/>
      <c r="AD3023" s="7"/>
      <c r="AE3023" s="7"/>
    </row>
    <row r="3024">
      <c r="A3024" s="12">
        <v>68.0</v>
      </c>
      <c r="B3024" s="7" t="s">
        <v>607</v>
      </c>
      <c r="C3024" s="7" t="s">
        <v>1842</v>
      </c>
      <c r="I3024" s="13" t="s">
        <v>1292</v>
      </c>
      <c r="J3024" s="13" t="s">
        <v>802</v>
      </c>
      <c r="K3024" s="13" t="s">
        <v>303</v>
      </c>
      <c r="L3024" s="13" t="s">
        <v>2093</v>
      </c>
      <c r="M3024" s="6" t="s">
        <v>188</v>
      </c>
      <c r="N3024" s="6" t="s">
        <v>188</v>
      </c>
      <c r="O3024" s="6" t="s">
        <v>190</v>
      </c>
      <c r="P3024" s="7" t="s">
        <v>333</v>
      </c>
      <c r="Q3024" s="13"/>
      <c r="R3024" s="13"/>
      <c r="S3024" s="13"/>
      <c r="T3024" s="7"/>
      <c r="U3024" s="7"/>
      <c r="V3024" s="7"/>
      <c r="W3024" s="7"/>
      <c r="X3024" s="7"/>
      <c r="Y3024" s="7"/>
      <c r="Z3024" s="7"/>
      <c r="AA3024" s="7"/>
      <c r="AB3024" s="7"/>
      <c r="AC3024" s="7"/>
      <c r="AD3024" s="7"/>
      <c r="AE3024" s="7"/>
    </row>
    <row r="3025">
      <c r="A3025" s="12">
        <v>68.0</v>
      </c>
      <c r="B3025" s="7" t="s">
        <v>607</v>
      </c>
      <c r="C3025" s="7" t="s">
        <v>1842</v>
      </c>
      <c r="I3025" s="13" t="s">
        <v>700</v>
      </c>
      <c r="J3025" s="13" t="s">
        <v>803</v>
      </c>
      <c r="K3025" s="13" t="s">
        <v>303</v>
      </c>
      <c r="L3025" s="13" t="s">
        <v>2093</v>
      </c>
      <c r="M3025" s="6" t="s">
        <v>188</v>
      </c>
      <c r="N3025" s="6" t="s">
        <v>188</v>
      </c>
      <c r="O3025" s="6" t="s">
        <v>190</v>
      </c>
      <c r="P3025" s="7" t="s">
        <v>333</v>
      </c>
      <c r="Q3025" s="13"/>
      <c r="R3025" s="13"/>
      <c r="S3025" s="13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  <c r="AE3025" s="7"/>
    </row>
    <row r="3026">
      <c r="A3026" s="12">
        <v>68.0</v>
      </c>
      <c r="B3026" s="7" t="s">
        <v>607</v>
      </c>
      <c r="C3026" s="7" t="s">
        <v>1842</v>
      </c>
      <c r="I3026" s="13" t="s">
        <v>1302</v>
      </c>
      <c r="J3026" s="13" t="s">
        <v>804</v>
      </c>
      <c r="K3026" s="13" t="s">
        <v>303</v>
      </c>
      <c r="L3026" s="13" t="s">
        <v>2093</v>
      </c>
      <c r="M3026" s="6" t="s">
        <v>188</v>
      </c>
      <c r="N3026" s="6" t="s">
        <v>188</v>
      </c>
      <c r="O3026" s="6" t="s">
        <v>190</v>
      </c>
      <c r="P3026" s="7" t="s">
        <v>333</v>
      </c>
      <c r="Q3026" s="13"/>
      <c r="R3026" s="13"/>
      <c r="S3026" s="13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  <c r="AE3026" s="7"/>
    </row>
    <row r="3027">
      <c r="A3027" s="12">
        <v>68.0</v>
      </c>
      <c r="B3027" s="7" t="s">
        <v>607</v>
      </c>
      <c r="C3027" s="7" t="s">
        <v>1842</v>
      </c>
      <c r="I3027" s="13" t="s">
        <v>1716</v>
      </c>
      <c r="J3027" s="13" t="s">
        <v>781</v>
      </c>
      <c r="K3027" s="13" t="s">
        <v>303</v>
      </c>
      <c r="L3027" s="13" t="s">
        <v>2093</v>
      </c>
      <c r="M3027" s="6" t="s">
        <v>188</v>
      </c>
      <c r="N3027" s="6" t="s">
        <v>188</v>
      </c>
      <c r="O3027" s="6" t="s">
        <v>190</v>
      </c>
      <c r="P3027" s="7" t="s">
        <v>333</v>
      </c>
      <c r="Q3027" s="13"/>
      <c r="R3027" s="13"/>
      <c r="S3027" s="13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  <c r="AE3027" s="7"/>
    </row>
    <row r="3028">
      <c r="A3028" s="12">
        <v>68.0</v>
      </c>
      <c r="B3028" s="7" t="s">
        <v>607</v>
      </c>
      <c r="C3028" s="7" t="s">
        <v>1842</v>
      </c>
      <c r="I3028" s="13" t="s">
        <v>623</v>
      </c>
      <c r="J3028" s="13" t="s">
        <v>797</v>
      </c>
      <c r="K3028" s="13" t="s">
        <v>303</v>
      </c>
      <c r="L3028" s="13" t="s">
        <v>2636</v>
      </c>
      <c r="M3028" s="6" t="s">
        <v>188</v>
      </c>
      <c r="N3028" s="6" t="s">
        <v>188</v>
      </c>
      <c r="O3028" s="6" t="s">
        <v>190</v>
      </c>
      <c r="P3028" s="7" t="s">
        <v>624</v>
      </c>
      <c r="Q3028" s="13"/>
      <c r="R3028" s="13"/>
      <c r="S3028" s="13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  <c r="AE3028" s="7"/>
    </row>
    <row r="3029">
      <c r="A3029" s="12">
        <v>68.0</v>
      </c>
      <c r="B3029" s="7" t="s">
        <v>607</v>
      </c>
      <c r="C3029" s="7" t="s">
        <v>1842</v>
      </c>
      <c r="I3029" s="13" t="s">
        <v>567</v>
      </c>
      <c r="J3029" s="13" t="s">
        <v>798</v>
      </c>
      <c r="K3029" s="13" t="s">
        <v>303</v>
      </c>
      <c r="L3029" s="13" t="s">
        <v>2637</v>
      </c>
      <c r="M3029" s="6" t="s">
        <v>188</v>
      </c>
      <c r="N3029" s="6" t="s">
        <v>188</v>
      </c>
      <c r="O3029" s="6" t="s">
        <v>190</v>
      </c>
      <c r="P3029" s="7" t="s">
        <v>333</v>
      </c>
      <c r="Q3029" s="13"/>
      <c r="R3029" s="13"/>
      <c r="S3029" s="13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/>
      <c r="AE3029" s="7"/>
    </row>
    <row r="3030">
      <c r="A3030" s="12">
        <v>68.0</v>
      </c>
      <c r="B3030" s="7" t="s">
        <v>607</v>
      </c>
      <c r="C3030" s="7" t="s">
        <v>1842</v>
      </c>
      <c r="I3030" s="13" t="s">
        <v>1999</v>
      </c>
      <c r="J3030" s="13" t="s">
        <v>799</v>
      </c>
      <c r="K3030" s="13" t="s">
        <v>303</v>
      </c>
      <c r="L3030" s="13" t="s">
        <v>2682</v>
      </c>
      <c r="M3030" s="6" t="s">
        <v>188</v>
      </c>
      <c r="N3030" s="6" t="s">
        <v>188</v>
      </c>
      <c r="O3030" s="6" t="s">
        <v>190</v>
      </c>
      <c r="P3030" s="7" t="s">
        <v>333</v>
      </c>
      <c r="Q3030" s="13"/>
      <c r="R3030" s="13"/>
      <c r="S3030" s="13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  <c r="AE3030" s="7"/>
    </row>
    <row r="3031">
      <c r="A3031" s="12">
        <v>68.0</v>
      </c>
      <c r="B3031" s="7" t="s">
        <v>607</v>
      </c>
      <c r="C3031" s="7" t="s">
        <v>1842</v>
      </c>
      <c r="I3031" s="13" t="s">
        <v>1743</v>
      </c>
      <c r="J3031" s="13" t="s">
        <v>800</v>
      </c>
      <c r="K3031" s="13" t="s">
        <v>303</v>
      </c>
      <c r="L3031" s="13" t="s">
        <v>2093</v>
      </c>
      <c r="M3031" s="6" t="s">
        <v>188</v>
      </c>
      <c r="N3031" s="6" t="s">
        <v>188</v>
      </c>
      <c r="O3031" s="6" t="s">
        <v>190</v>
      </c>
      <c r="P3031" s="7" t="s">
        <v>333</v>
      </c>
      <c r="Q3031" s="13"/>
      <c r="R3031" s="13"/>
      <c r="S3031" s="13"/>
      <c r="T3031" s="7"/>
      <c r="U3031" s="7"/>
      <c r="V3031" s="7"/>
      <c r="W3031" s="7"/>
      <c r="X3031" s="7"/>
      <c r="Y3031" s="7"/>
      <c r="Z3031" s="7"/>
      <c r="AA3031" s="7"/>
      <c r="AB3031" s="7"/>
      <c r="AC3031" s="7"/>
      <c r="AD3031" s="7"/>
      <c r="AE3031" s="7"/>
    </row>
    <row r="3032">
      <c r="A3032" s="12">
        <v>68.0</v>
      </c>
      <c r="B3032" s="7" t="s">
        <v>607</v>
      </c>
      <c r="C3032" s="7" t="s">
        <v>1842</v>
      </c>
      <c r="I3032" s="13" t="s">
        <v>1274</v>
      </c>
      <c r="J3032" s="13" t="s">
        <v>801</v>
      </c>
      <c r="K3032" s="13" t="s">
        <v>303</v>
      </c>
      <c r="L3032" s="13" t="s">
        <v>2682</v>
      </c>
      <c r="M3032" s="6" t="s">
        <v>188</v>
      </c>
      <c r="N3032" s="6" t="s">
        <v>188</v>
      </c>
      <c r="O3032" s="6" t="s">
        <v>190</v>
      </c>
      <c r="P3032" s="7" t="s">
        <v>333</v>
      </c>
      <c r="Q3032" s="13"/>
      <c r="R3032" s="13"/>
      <c r="S3032" s="13"/>
      <c r="T3032" s="7"/>
      <c r="U3032" s="7"/>
      <c r="V3032" s="7"/>
      <c r="W3032" s="7"/>
      <c r="X3032" s="7"/>
      <c r="Y3032" s="7"/>
      <c r="Z3032" s="7"/>
      <c r="AA3032" s="7"/>
      <c r="AB3032" s="7"/>
      <c r="AC3032" s="7"/>
      <c r="AD3032" s="7"/>
      <c r="AE3032" s="7"/>
    </row>
    <row r="3033">
      <c r="A3033" s="12">
        <v>68.0</v>
      </c>
      <c r="B3033" s="7" t="s">
        <v>607</v>
      </c>
      <c r="C3033" s="7" t="s">
        <v>1842</v>
      </c>
      <c r="I3033" s="13" t="s">
        <v>550</v>
      </c>
      <c r="J3033" s="13" t="s">
        <v>802</v>
      </c>
      <c r="K3033" s="13" t="s">
        <v>303</v>
      </c>
      <c r="L3033" s="13" t="s">
        <v>2683</v>
      </c>
      <c r="M3033" s="6" t="s">
        <v>188</v>
      </c>
      <c r="N3033" s="6" t="s">
        <v>188</v>
      </c>
      <c r="O3033" s="6" t="s">
        <v>190</v>
      </c>
      <c r="P3033" s="7" t="s">
        <v>333</v>
      </c>
      <c r="Q3033" s="13"/>
      <c r="R3033" s="13"/>
      <c r="S3033" s="13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  <c r="AE3033" s="7"/>
    </row>
    <row r="3034">
      <c r="A3034" s="12">
        <v>68.0</v>
      </c>
      <c r="B3034" s="7" t="s">
        <v>607</v>
      </c>
      <c r="C3034" s="7" t="s">
        <v>1842</v>
      </c>
      <c r="I3034" s="13" t="s">
        <v>1861</v>
      </c>
      <c r="J3034" s="13" t="s">
        <v>803</v>
      </c>
      <c r="K3034" s="13" t="s">
        <v>303</v>
      </c>
      <c r="L3034" s="13" t="s">
        <v>2683</v>
      </c>
      <c r="M3034" s="6" t="s">
        <v>188</v>
      </c>
      <c r="N3034" s="6" t="s">
        <v>188</v>
      </c>
      <c r="O3034" s="6" t="s">
        <v>190</v>
      </c>
      <c r="P3034" s="7" t="s">
        <v>333</v>
      </c>
      <c r="Q3034" s="13"/>
      <c r="R3034" s="13"/>
      <c r="S3034" s="13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  <c r="AE3034" s="7"/>
    </row>
    <row r="3035">
      <c r="A3035" s="12">
        <v>68.0</v>
      </c>
      <c r="B3035" s="7" t="s">
        <v>607</v>
      </c>
      <c r="C3035" s="7" t="s">
        <v>1842</v>
      </c>
      <c r="I3035" s="13" t="s">
        <v>899</v>
      </c>
      <c r="J3035" s="13" t="s">
        <v>804</v>
      </c>
      <c r="K3035" s="13" t="s">
        <v>303</v>
      </c>
      <c r="L3035" s="13" t="s">
        <v>2683</v>
      </c>
      <c r="M3035" s="6" t="s">
        <v>188</v>
      </c>
      <c r="N3035" s="6" t="s">
        <v>188</v>
      </c>
      <c r="O3035" s="6" t="s">
        <v>190</v>
      </c>
      <c r="P3035" s="7" t="s">
        <v>333</v>
      </c>
      <c r="Q3035" s="13"/>
      <c r="R3035" s="13"/>
      <c r="S3035" s="13"/>
      <c r="T3035" s="7"/>
      <c r="U3035" s="7"/>
      <c r="V3035" s="7"/>
      <c r="W3035" s="7"/>
      <c r="X3035" s="7"/>
      <c r="Y3035" s="7"/>
      <c r="Z3035" s="7"/>
      <c r="AA3035" s="7"/>
      <c r="AB3035" s="7"/>
      <c r="AC3035" s="7"/>
      <c r="AD3035" s="7"/>
      <c r="AE3035" s="7"/>
    </row>
    <row r="3036">
      <c r="A3036" s="12">
        <v>68.0</v>
      </c>
      <c r="B3036" s="7" t="s">
        <v>607</v>
      </c>
      <c r="C3036" s="7" t="s">
        <v>1842</v>
      </c>
      <c r="I3036" s="13" t="s">
        <v>1728</v>
      </c>
      <c r="J3036" s="13" t="s">
        <v>781</v>
      </c>
      <c r="K3036" s="13" t="s">
        <v>303</v>
      </c>
      <c r="L3036" s="13" t="s">
        <v>2093</v>
      </c>
      <c r="M3036" s="6" t="s">
        <v>188</v>
      </c>
      <c r="N3036" s="6" t="s">
        <v>188</v>
      </c>
      <c r="O3036" s="6" t="s">
        <v>190</v>
      </c>
      <c r="P3036" s="7" t="s">
        <v>333</v>
      </c>
      <c r="Q3036" s="13"/>
      <c r="R3036" s="13"/>
      <c r="S3036" s="13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  <c r="AE3036" s="7"/>
    </row>
    <row r="3037">
      <c r="A3037" s="12">
        <v>68.0</v>
      </c>
      <c r="B3037" s="7" t="s">
        <v>607</v>
      </c>
      <c r="C3037" s="7" t="s">
        <v>1842</v>
      </c>
      <c r="I3037" s="13" t="s">
        <v>2007</v>
      </c>
      <c r="J3037" s="13" t="s">
        <v>797</v>
      </c>
      <c r="K3037" s="13" t="s">
        <v>303</v>
      </c>
      <c r="L3037" s="13" t="s">
        <v>2093</v>
      </c>
      <c r="M3037" s="6" t="s">
        <v>188</v>
      </c>
      <c r="N3037" s="6" t="s">
        <v>188</v>
      </c>
      <c r="O3037" s="6" t="s">
        <v>190</v>
      </c>
      <c r="P3037" s="7" t="s">
        <v>333</v>
      </c>
      <c r="Q3037" s="13"/>
      <c r="R3037" s="13"/>
      <c r="S3037" s="13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7"/>
      <c r="AE3037" s="7"/>
    </row>
    <row r="3038">
      <c r="A3038" s="12">
        <v>68.0</v>
      </c>
      <c r="B3038" s="7" t="s">
        <v>607</v>
      </c>
      <c r="C3038" s="7" t="s">
        <v>1842</v>
      </c>
      <c r="I3038" s="13" t="s">
        <v>2202</v>
      </c>
      <c r="J3038" s="13" t="s">
        <v>798</v>
      </c>
      <c r="K3038" s="13" t="s">
        <v>303</v>
      </c>
      <c r="L3038" s="13" t="s">
        <v>2683</v>
      </c>
      <c r="M3038" s="6" t="s">
        <v>188</v>
      </c>
      <c r="N3038" s="6" t="s">
        <v>188</v>
      </c>
      <c r="O3038" s="6" t="s">
        <v>190</v>
      </c>
      <c r="P3038" s="7" t="s">
        <v>333</v>
      </c>
      <c r="Q3038" s="13"/>
      <c r="R3038" s="13"/>
      <c r="S3038" s="13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  <c r="AE3038" s="7"/>
    </row>
    <row r="3039">
      <c r="A3039" s="12">
        <v>68.0</v>
      </c>
      <c r="B3039" s="7" t="s">
        <v>607</v>
      </c>
      <c r="C3039" s="7" t="s">
        <v>1842</v>
      </c>
      <c r="I3039" s="13" t="s">
        <v>2010</v>
      </c>
      <c r="J3039" s="13" t="s">
        <v>799</v>
      </c>
      <c r="K3039" s="13" t="s">
        <v>303</v>
      </c>
      <c r="L3039" s="13" t="s">
        <v>2684</v>
      </c>
      <c r="M3039" s="6" t="s">
        <v>188</v>
      </c>
      <c r="N3039" s="6" t="s">
        <v>188</v>
      </c>
      <c r="O3039" s="6" t="s">
        <v>190</v>
      </c>
      <c r="P3039" s="7" t="s">
        <v>333</v>
      </c>
      <c r="Q3039" s="13"/>
      <c r="R3039" s="13"/>
      <c r="S3039" s="13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7"/>
      <c r="AE3039" s="7"/>
    </row>
    <row r="3040">
      <c r="A3040" s="12">
        <v>68.0</v>
      </c>
      <c r="B3040" s="7" t="s">
        <v>607</v>
      </c>
      <c r="C3040" s="7" t="s">
        <v>1842</v>
      </c>
      <c r="I3040" s="13" t="s">
        <v>1427</v>
      </c>
      <c r="J3040" s="13" t="s">
        <v>800</v>
      </c>
      <c r="K3040" s="13" t="s">
        <v>303</v>
      </c>
      <c r="L3040" s="13" t="s">
        <v>2685</v>
      </c>
      <c r="M3040" s="6" t="s">
        <v>188</v>
      </c>
      <c r="N3040" s="6" t="s">
        <v>188</v>
      </c>
      <c r="O3040" s="6" t="s">
        <v>190</v>
      </c>
      <c r="P3040" s="7" t="s">
        <v>333</v>
      </c>
      <c r="Q3040" s="13"/>
      <c r="R3040" s="13"/>
      <c r="S3040" s="13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  <c r="AE3040" s="7"/>
    </row>
    <row r="3041">
      <c r="A3041" s="12">
        <v>68.0</v>
      </c>
      <c r="B3041" s="7" t="s">
        <v>607</v>
      </c>
      <c r="C3041" s="7" t="s">
        <v>1842</v>
      </c>
      <c r="I3041" s="13" t="s">
        <v>2204</v>
      </c>
      <c r="J3041" s="13" t="s">
        <v>801</v>
      </c>
      <c r="K3041" s="13" t="s">
        <v>303</v>
      </c>
      <c r="L3041" s="13" t="s">
        <v>2683</v>
      </c>
      <c r="M3041" s="6" t="s">
        <v>188</v>
      </c>
      <c r="N3041" s="6" t="s">
        <v>188</v>
      </c>
      <c r="O3041" s="6" t="s">
        <v>190</v>
      </c>
      <c r="P3041" s="7" t="s">
        <v>333</v>
      </c>
      <c r="Q3041" s="13"/>
      <c r="R3041" s="13"/>
      <c r="S3041" s="13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  <c r="AE3041" s="7"/>
    </row>
    <row r="3042">
      <c r="A3042" s="12">
        <v>68.0</v>
      </c>
      <c r="B3042" s="7" t="s">
        <v>607</v>
      </c>
      <c r="C3042" s="7" t="s">
        <v>1842</v>
      </c>
      <c r="I3042" s="13" t="s">
        <v>1673</v>
      </c>
      <c r="J3042" s="13" t="s">
        <v>802</v>
      </c>
      <c r="K3042" s="13" t="s">
        <v>303</v>
      </c>
      <c r="L3042" s="13" t="s">
        <v>2686</v>
      </c>
      <c r="M3042" s="6" t="s">
        <v>188</v>
      </c>
      <c r="N3042" s="6" t="s">
        <v>188</v>
      </c>
      <c r="O3042" s="6" t="s">
        <v>190</v>
      </c>
      <c r="P3042" s="7" t="s">
        <v>333</v>
      </c>
      <c r="Q3042" s="13"/>
      <c r="R3042" s="13"/>
      <c r="S3042" s="13"/>
      <c r="T3042" s="6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  <c r="AE3042" s="7"/>
    </row>
    <row r="3043">
      <c r="A3043" s="12">
        <v>68.0</v>
      </c>
      <c r="B3043" s="7" t="s">
        <v>607</v>
      </c>
      <c r="C3043" s="7" t="s">
        <v>1842</v>
      </c>
      <c r="I3043" s="13" t="s">
        <v>1681</v>
      </c>
      <c r="J3043" s="13" t="s">
        <v>803</v>
      </c>
      <c r="K3043" s="13" t="s">
        <v>303</v>
      </c>
      <c r="L3043" s="13" t="s">
        <v>2683</v>
      </c>
      <c r="M3043" s="6" t="s">
        <v>188</v>
      </c>
      <c r="N3043" s="6" t="s">
        <v>188</v>
      </c>
      <c r="O3043" s="6" t="s">
        <v>190</v>
      </c>
      <c r="P3043" s="7" t="s">
        <v>333</v>
      </c>
      <c r="Q3043" s="13"/>
      <c r="R3043" s="13"/>
      <c r="S3043" s="13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7"/>
      <c r="AE3043" s="7"/>
    </row>
    <row r="3044">
      <c r="A3044" s="12">
        <v>68.0</v>
      </c>
      <c r="B3044" s="7" t="s">
        <v>607</v>
      </c>
      <c r="C3044" s="7" t="s">
        <v>1842</v>
      </c>
      <c r="I3044" s="13" t="s">
        <v>598</v>
      </c>
      <c r="J3044" s="13" t="s">
        <v>804</v>
      </c>
      <c r="K3044" s="13" t="s">
        <v>303</v>
      </c>
      <c r="L3044" s="13" t="s">
        <v>2683</v>
      </c>
      <c r="M3044" s="6" t="s">
        <v>188</v>
      </c>
      <c r="N3044" s="6" t="s">
        <v>188</v>
      </c>
      <c r="O3044" s="6" t="s">
        <v>190</v>
      </c>
      <c r="P3044" s="7" t="s">
        <v>333</v>
      </c>
      <c r="Q3044" s="13"/>
      <c r="R3044" s="13"/>
      <c r="S3044" s="13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  <c r="AE3044" s="7"/>
    </row>
    <row r="3045">
      <c r="A3045" s="12">
        <v>68.0</v>
      </c>
      <c r="B3045" s="7" t="s">
        <v>607</v>
      </c>
      <c r="C3045" s="7" t="s">
        <v>1842</v>
      </c>
      <c r="I3045" s="13" t="s">
        <v>1293</v>
      </c>
      <c r="J3045" s="13" t="s">
        <v>781</v>
      </c>
      <c r="K3045" s="13" t="s">
        <v>303</v>
      </c>
      <c r="L3045" s="13" t="s">
        <v>2683</v>
      </c>
      <c r="M3045" s="6" t="s">
        <v>188</v>
      </c>
      <c r="N3045" s="6" t="s">
        <v>188</v>
      </c>
      <c r="O3045" s="6" t="s">
        <v>190</v>
      </c>
      <c r="P3045" s="7" t="s">
        <v>333</v>
      </c>
      <c r="Q3045" s="13"/>
      <c r="R3045" s="13"/>
      <c r="S3045" s="13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  <c r="AE3045" s="7"/>
    </row>
    <row r="3046">
      <c r="A3046" s="12">
        <v>68.0</v>
      </c>
      <c r="B3046" s="7" t="s">
        <v>607</v>
      </c>
      <c r="C3046" s="7" t="s">
        <v>1842</v>
      </c>
      <c r="I3046" s="13" t="s">
        <v>1996</v>
      </c>
      <c r="J3046" s="13" t="s">
        <v>797</v>
      </c>
      <c r="K3046" s="13" t="s">
        <v>303</v>
      </c>
      <c r="L3046" s="13" t="s">
        <v>2687</v>
      </c>
      <c r="M3046" s="6" t="s">
        <v>188</v>
      </c>
      <c r="N3046" s="6" t="s">
        <v>188</v>
      </c>
      <c r="O3046" s="6" t="s">
        <v>190</v>
      </c>
      <c r="P3046" s="7" t="s">
        <v>333</v>
      </c>
      <c r="Q3046" s="13"/>
      <c r="R3046" s="13"/>
      <c r="S3046" s="13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7"/>
      <c r="AE3046" s="7"/>
    </row>
    <row r="3047">
      <c r="A3047" s="12">
        <v>68.0</v>
      </c>
      <c r="B3047" s="7" t="s">
        <v>607</v>
      </c>
      <c r="C3047" s="7" t="s">
        <v>1842</v>
      </c>
      <c r="I3047" s="13" t="s">
        <v>1736</v>
      </c>
      <c r="J3047" s="13" t="s">
        <v>798</v>
      </c>
      <c r="K3047" s="13" t="s">
        <v>303</v>
      </c>
      <c r="L3047" s="13" t="s">
        <v>2683</v>
      </c>
      <c r="M3047" s="6" t="s">
        <v>188</v>
      </c>
      <c r="N3047" s="6" t="s">
        <v>188</v>
      </c>
      <c r="O3047" s="6" t="s">
        <v>190</v>
      </c>
      <c r="P3047" s="7" t="s">
        <v>333</v>
      </c>
      <c r="Q3047" s="13"/>
      <c r="R3047" s="13"/>
      <c r="S3047" s="13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7"/>
      <c r="AE3047" s="7"/>
    </row>
    <row r="3048">
      <c r="A3048" s="12">
        <v>68.0</v>
      </c>
      <c r="B3048" s="7" t="s">
        <v>607</v>
      </c>
      <c r="C3048" s="7" t="s">
        <v>1842</v>
      </c>
      <c r="I3048" s="13" t="s">
        <v>1746</v>
      </c>
      <c r="J3048" s="13" t="s">
        <v>799</v>
      </c>
      <c r="K3048" s="13" t="s">
        <v>303</v>
      </c>
      <c r="L3048" s="13" t="s">
        <v>2683</v>
      </c>
      <c r="M3048" s="6" t="s">
        <v>188</v>
      </c>
      <c r="N3048" s="6" t="s">
        <v>188</v>
      </c>
      <c r="O3048" s="6" t="s">
        <v>190</v>
      </c>
      <c r="P3048" s="7" t="s">
        <v>333</v>
      </c>
      <c r="Q3048" s="13"/>
      <c r="R3048" s="13"/>
      <c r="S3048" s="13"/>
      <c r="T3048" s="7"/>
      <c r="U3048" s="7"/>
      <c r="V3048" s="7"/>
      <c r="W3048" s="7"/>
      <c r="X3048" s="7"/>
      <c r="Y3048" s="7"/>
      <c r="Z3048" s="7"/>
      <c r="AA3048" s="7"/>
      <c r="AB3048" s="7"/>
      <c r="AC3048" s="7"/>
      <c r="AD3048" s="7"/>
      <c r="AE3048" s="7"/>
    </row>
    <row r="3049">
      <c r="A3049" s="12">
        <v>68.0</v>
      </c>
      <c r="B3049" s="7" t="s">
        <v>607</v>
      </c>
      <c r="C3049" s="7" t="s">
        <v>1842</v>
      </c>
      <c r="I3049" s="13" t="s">
        <v>1868</v>
      </c>
      <c r="J3049" s="13" t="s">
        <v>800</v>
      </c>
      <c r="K3049" s="13" t="s">
        <v>303</v>
      </c>
      <c r="L3049" s="13" t="s">
        <v>2684</v>
      </c>
      <c r="M3049" s="6" t="s">
        <v>188</v>
      </c>
      <c r="N3049" s="6" t="s">
        <v>188</v>
      </c>
      <c r="O3049" s="6" t="s">
        <v>190</v>
      </c>
      <c r="P3049" s="7" t="s">
        <v>333</v>
      </c>
      <c r="Q3049" s="13"/>
      <c r="R3049" s="13"/>
      <c r="S3049" s="13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7"/>
      <c r="AE3049" s="7"/>
    </row>
    <row r="3050">
      <c r="A3050" s="12">
        <v>68.0</v>
      </c>
      <c r="B3050" s="7" t="s">
        <v>607</v>
      </c>
      <c r="C3050" s="7" t="s">
        <v>1842</v>
      </c>
      <c r="I3050" s="13" t="s">
        <v>1423</v>
      </c>
      <c r="J3050" s="13" t="s">
        <v>801</v>
      </c>
      <c r="K3050" s="13" t="s">
        <v>303</v>
      </c>
      <c r="L3050" s="13" t="s">
        <v>2685</v>
      </c>
      <c r="M3050" s="6" t="s">
        <v>188</v>
      </c>
      <c r="N3050" s="6" t="s">
        <v>188</v>
      </c>
      <c r="O3050" s="6" t="s">
        <v>190</v>
      </c>
      <c r="P3050" s="7" t="s">
        <v>333</v>
      </c>
      <c r="Q3050" s="13"/>
      <c r="R3050" s="13"/>
      <c r="S3050" s="13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  <c r="AE3050" s="7"/>
    </row>
    <row r="3051">
      <c r="A3051" s="12">
        <v>68.0</v>
      </c>
      <c r="B3051" s="7" t="s">
        <v>607</v>
      </c>
      <c r="C3051" s="7" t="s">
        <v>1842</v>
      </c>
      <c r="I3051" s="13" t="s">
        <v>2194</v>
      </c>
      <c r="J3051" s="13" t="s">
        <v>802</v>
      </c>
      <c r="K3051" s="13" t="s">
        <v>303</v>
      </c>
      <c r="L3051" s="13" t="s">
        <v>2683</v>
      </c>
      <c r="M3051" s="6" t="s">
        <v>188</v>
      </c>
      <c r="N3051" s="6" t="s">
        <v>188</v>
      </c>
      <c r="O3051" s="6" t="s">
        <v>190</v>
      </c>
      <c r="P3051" s="7" t="s">
        <v>333</v>
      </c>
      <c r="Q3051" s="13"/>
      <c r="R3051" s="13"/>
      <c r="S3051" s="13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  <c r="AE3051" s="7"/>
    </row>
    <row r="3052">
      <c r="A3052" s="12">
        <v>68.0</v>
      </c>
      <c r="B3052" s="7" t="s">
        <v>607</v>
      </c>
      <c r="C3052" s="7" t="s">
        <v>1842</v>
      </c>
      <c r="I3052" s="13" t="s">
        <v>1432</v>
      </c>
      <c r="J3052" s="13" t="s">
        <v>803</v>
      </c>
      <c r="K3052" s="13" t="s">
        <v>303</v>
      </c>
      <c r="L3052" s="13" t="s">
        <v>2684</v>
      </c>
      <c r="M3052" s="6" t="s">
        <v>188</v>
      </c>
      <c r="N3052" s="6" t="s">
        <v>188</v>
      </c>
      <c r="O3052" s="6" t="s">
        <v>190</v>
      </c>
      <c r="P3052" s="7" t="s">
        <v>333</v>
      </c>
      <c r="Q3052" s="13"/>
      <c r="R3052" s="13"/>
      <c r="S3052" s="13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  <c r="AE3052" s="7"/>
    </row>
    <row r="3053">
      <c r="A3053" s="12">
        <v>68.0</v>
      </c>
      <c r="B3053" s="7" t="s">
        <v>607</v>
      </c>
      <c r="C3053" s="7" t="s">
        <v>1842</v>
      </c>
      <c r="I3053" s="13" t="s">
        <v>551</v>
      </c>
      <c r="J3053" s="13" t="s">
        <v>804</v>
      </c>
      <c r="K3053" s="13" t="s">
        <v>303</v>
      </c>
      <c r="L3053" s="13" t="s">
        <v>2683</v>
      </c>
      <c r="M3053" s="6" t="s">
        <v>188</v>
      </c>
      <c r="N3053" s="6" t="s">
        <v>188</v>
      </c>
      <c r="O3053" s="6" t="s">
        <v>190</v>
      </c>
      <c r="P3053" s="7" t="s">
        <v>333</v>
      </c>
      <c r="Q3053" s="13"/>
      <c r="R3053" s="13"/>
      <c r="S3053" s="13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7"/>
      <c r="AE3053" s="7"/>
    </row>
    <row r="3054">
      <c r="A3054" s="12">
        <v>68.0</v>
      </c>
      <c r="B3054" s="7" t="s">
        <v>607</v>
      </c>
      <c r="C3054" s="7" t="s">
        <v>1842</v>
      </c>
      <c r="I3054" s="13" t="s">
        <v>1733</v>
      </c>
      <c r="J3054" s="13" t="s">
        <v>781</v>
      </c>
      <c r="K3054" s="13" t="s">
        <v>303</v>
      </c>
      <c r="L3054" s="13" t="s">
        <v>2683</v>
      </c>
      <c r="M3054" s="6" t="s">
        <v>188</v>
      </c>
      <c r="N3054" s="6" t="s">
        <v>188</v>
      </c>
      <c r="O3054" s="6" t="s">
        <v>190</v>
      </c>
      <c r="P3054" s="7" t="s">
        <v>333</v>
      </c>
      <c r="Q3054" s="13"/>
      <c r="R3054" s="13"/>
      <c r="S3054" s="13"/>
      <c r="T3054" s="7"/>
      <c r="U3054" s="7"/>
      <c r="V3054" s="7"/>
      <c r="W3054" s="7"/>
      <c r="X3054" s="7"/>
      <c r="Y3054" s="7"/>
      <c r="Z3054" s="7"/>
      <c r="AA3054" s="7"/>
      <c r="AB3054" s="7"/>
      <c r="AC3054" s="7"/>
      <c r="AD3054" s="7"/>
      <c r="AE3054" s="7"/>
    </row>
    <row r="3055">
      <c r="A3055" s="12">
        <v>68.0</v>
      </c>
      <c r="B3055" s="7" t="s">
        <v>607</v>
      </c>
      <c r="C3055" s="7" t="s">
        <v>1842</v>
      </c>
      <c r="I3055" s="13" t="s">
        <v>2199</v>
      </c>
      <c r="J3055" s="13" t="s">
        <v>797</v>
      </c>
      <c r="K3055" s="13" t="s">
        <v>303</v>
      </c>
      <c r="L3055" s="13" t="s">
        <v>2683</v>
      </c>
      <c r="M3055" s="6" t="s">
        <v>188</v>
      </c>
      <c r="N3055" s="6" t="s">
        <v>188</v>
      </c>
      <c r="O3055" s="6" t="s">
        <v>190</v>
      </c>
      <c r="P3055" s="7" t="s">
        <v>333</v>
      </c>
      <c r="Q3055" s="13"/>
      <c r="R3055" s="13"/>
      <c r="S3055" s="13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  <c r="AE3055" s="7"/>
    </row>
    <row r="3056">
      <c r="A3056" s="12">
        <v>68.0</v>
      </c>
      <c r="B3056" s="7" t="s">
        <v>607</v>
      </c>
      <c r="C3056" s="7" t="s">
        <v>1842</v>
      </c>
      <c r="I3056" s="13" t="s">
        <v>1723</v>
      </c>
      <c r="J3056" s="13" t="s">
        <v>798</v>
      </c>
      <c r="K3056" s="13" t="s">
        <v>303</v>
      </c>
      <c r="L3056" s="13" t="s">
        <v>2683</v>
      </c>
      <c r="M3056" s="6" t="s">
        <v>188</v>
      </c>
      <c r="N3056" s="6" t="s">
        <v>188</v>
      </c>
      <c r="O3056" s="6" t="s">
        <v>190</v>
      </c>
      <c r="P3056" s="7" t="s">
        <v>333</v>
      </c>
      <c r="Q3056" s="13"/>
      <c r="R3056" s="13"/>
      <c r="S3056" s="13"/>
      <c r="T3056" s="7"/>
      <c r="U3056" s="7"/>
      <c r="V3056" s="7"/>
      <c r="W3056" s="7"/>
      <c r="X3056" s="7"/>
      <c r="Y3056" s="7"/>
      <c r="Z3056" s="7"/>
      <c r="AA3056" s="7"/>
      <c r="AB3056" s="7"/>
      <c r="AC3056" s="7"/>
      <c r="AD3056" s="7"/>
      <c r="AE3056" s="7"/>
    </row>
    <row r="3057">
      <c r="A3057" s="12">
        <v>68.0</v>
      </c>
      <c r="B3057" s="7" t="s">
        <v>607</v>
      </c>
      <c r="C3057" s="7" t="s">
        <v>1842</v>
      </c>
      <c r="I3057" s="13" t="s">
        <v>1797</v>
      </c>
      <c r="J3057" s="13" t="s">
        <v>799</v>
      </c>
      <c r="K3057" s="13" t="s">
        <v>303</v>
      </c>
      <c r="L3057" s="13" t="s">
        <v>2683</v>
      </c>
      <c r="M3057" s="6" t="s">
        <v>188</v>
      </c>
      <c r="N3057" s="6" t="s">
        <v>188</v>
      </c>
      <c r="O3057" s="6" t="s">
        <v>190</v>
      </c>
      <c r="P3057" s="7" t="s">
        <v>333</v>
      </c>
      <c r="Q3057" s="13"/>
      <c r="R3057" s="13"/>
      <c r="S3057" s="13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7"/>
      <c r="AE3057" s="7"/>
    </row>
    <row r="3058">
      <c r="A3058" s="12">
        <v>68.0</v>
      </c>
      <c r="B3058" s="7" t="s">
        <v>607</v>
      </c>
      <c r="C3058" s="7" t="s">
        <v>1842</v>
      </c>
      <c r="I3058" s="13" t="s">
        <v>1500</v>
      </c>
      <c r="J3058" s="13" t="s">
        <v>800</v>
      </c>
      <c r="K3058" s="13" t="s">
        <v>303</v>
      </c>
      <c r="L3058" s="13" t="s">
        <v>2687</v>
      </c>
      <c r="M3058" s="6" t="s">
        <v>188</v>
      </c>
      <c r="N3058" s="6" t="s">
        <v>188</v>
      </c>
      <c r="O3058" s="6" t="s">
        <v>190</v>
      </c>
      <c r="P3058" s="7" t="s">
        <v>333</v>
      </c>
      <c r="Q3058" s="13"/>
      <c r="R3058" s="13"/>
      <c r="S3058" s="13"/>
      <c r="T3058" s="7"/>
      <c r="U3058" s="7"/>
      <c r="V3058" s="7"/>
      <c r="W3058" s="7"/>
      <c r="X3058" s="7"/>
      <c r="Y3058" s="7"/>
      <c r="Z3058" s="7"/>
      <c r="AA3058" s="7"/>
      <c r="AB3058" s="7"/>
      <c r="AC3058" s="7"/>
      <c r="AD3058" s="7"/>
      <c r="AE3058" s="7"/>
    </row>
    <row r="3059">
      <c r="A3059" s="12">
        <v>68.0</v>
      </c>
      <c r="B3059" s="7" t="s">
        <v>607</v>
      </c>
      <c r="C3059" s="7" t="s">
        <v>1842</v>
      </c>
      <c r="I3059" s="13" t="s">
        <v>1387</v>
      </c>
      <c r="J3059" s="13" t="s">
        <v>801</v>
      </c>
      <c r="K3059" s="13" t="s">
        <v>303</v>
      </c>
      <c r="L3059" s="13" t="s">
        <v>2686</v>
      </c>
      <c r="M3059" s="6" t="s">
        <v>188</v>
      </c>
      <c r="N3059" s="6" t="s">
        <v>188</v>
      </c>
      <c r="O3059" s="6" t="s">
        <v>190</v>
      </c>
      <c r="P3059" s="7" t="s">
        <v>333</v>
      </c>
      <c r="Q3059" s="13"/>
      <c r="R3059" s="13"/>
      <c r="S3059" s="13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7"/>
      <c r="AE3059" s="7"/>
    </row>
    <row r="3060">
      <c r="A3060" s="12">
        <v>68.0</v>
      </c>
      <c r="B3060" s="7" t="s">
        <v>607</v>
      </c>
      <c r="C3060" s="7" t="s">
        <v>1842</v>
      </c>
      <c r="I3060" s="13" t="s">
        <v>1366</v>
      </c>
      <c r="J3060" s="13" t="s">
        <v>802</v>
      </c>
      <c r="K3060" s="13" t="s">
        <v>303</v>
      </c>
      <c r="L3060" s="13" t="s">
        <v>2687</v>
      </c>
      <c r="M3060" s="6" t="s">
        <v>188</v>
      </c>
      <c r="N3060" s="6" t="s">
        <v>188</v>
      </c>
      <c r="O3060" s="6" t="s">
        <v>190</v>
      </c>
      <c r="P3060" s="7" t="s">
        <v>333</v>
      </c>
      <c r="Q3060" s="13"/>
      <c r="R3060" s="13"/>
      <c r="S3060" s="13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  <c r="AE3060" s="7"/>
    </row>
    <row r="3061">
      <c r="A3061" s="12">
        <v>68.0</v>
      </c>
      <c r="B3061" s="7" t="s">
        <v>607</v>
      </c>
      <c r="C3061" s="7" t="s">
        <v>1842</v>
      </c>
      <c r="I3061" s="13" t="s">
        <v>1391</v>
      </c>
      <c r="J3061" s="13" t="s">
        <v>803</v>
      </c>
      <c r="K3061" s="13" t="s">
        <v>303</v>
      </c>
      <c r="L3061" s="13" t="s">
        <v>2687</v>
      </c>
      <c r="M3061" s="6" t="s">
        <v>188</v>
      </c>
      <c r="N3061" s="6" t="s">
        <v>188</v>
      </c>
      <c r="O3061" s="6" t="s">
        <v>190</v>
      </c>
      <c r="P3061" s="7" t="s">
        <v>333</v>
      </c>
      <c r="Q3061" s="13"/>
      <c r="R3061" s="13"/>
      <c r="S3061" s="13"/>
      <c r="T3061" s="7"/>
      <c r="U3061" s="7"/>
      <c r="V3061" s="7"/>
      <c r="W3061" s="7"/>
      <c r="X3061" s="7"/>
      <c r="Y3061" s="7"/>
      <c r="Z3061" s="7"/>
      <c r="AA3061" s="7"/>
      <c r="AB3061" s="7"/>
      <c r="AC3061" s="7"/>
      <c r="AD3061" s="7"/>
      <c r="AE3061" s="7"/>
    </row>
    <row r="3062">
      <c r="A3062" s="12">
        <v>68.0</v>
      </c>
      <c r="B3062" s="7" t="s">
        <v>607</v>
      </c>
      <c r="C3062" s="7" t="s">
        <v>1842</v>
      </c>
      <c r="I3062" s="13" t="s">
        <v>1872</v>
      </c>
      <c r="J3062" s="13" t="s">
        <v>804</v>
      </c>
      <c r="K3062" s="13" t="s">
        <v>303</v>
      </c>
      <c r="L3062" s="13" t="s">
        <v>2683</v>
      </c>
      <c r="M3062" s="6" t="s">
        <v>188</v>
      </c>
      <c r="N3062" s="6" t="s">
        <v>188</v>
      </c>
      <c r="O3062" s="6" t="s">
        <v>190</v>
      </c>
      <c r="P3062" s="7" t="s">
        <v>333</v>
      </c>
      <c r="Q3062" s="13"/>
      <c r="R3062" s="13"/>
      <c r="S3062" s="13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  <c r="AE3062" s="7"/>
    </row>
    <row r="3063">
      <c r="A3063" s="12">
        <v>68.0</v>
      </c>
      <c r="B3063" s="7" t="s">
        <v>607</v>
      </c>
      <c r="C3063" s="7" t="s">
        <v>1842</v>
      </c>
      <c r="I3063" s="13" t="s">
        <v>1398</v>
      </c>
      <c r="J3063" s="13" t="s">
        <v>781</v>
      </c>
      <c r="K3063" s="13" t="s">
        <v>303</v>
      </c>
      <c r="L3063" s="13" t="s">
        <v>2683</v>
      </c>
      <c r="M3063" s="6" t="s">
        <v>188</v>
      </c>
      <c r="N3063" s="6" t="s">
        <v>188</v>
      </c>
      <c r="O3063" s="6" t="s">
        <v>190</v>
      </c>
      <c r="P3063" s="7" t="s">
        <v>333</v>
      </c>
      <c r="Q3063" s="13"/>
      <c r="R3063" s="13"/>
      <c r="S3063" s="13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7"/>
      <c r="AE3063" s="7"/>
    </row>
    <row r="3064">
      <c r="A3064" s="12">
        <v>68.0</v>
      </c>
      <c r="B3064" s="7" t="s">
        <v>607</v>
      </c>
      <c r="C3064" s="7" t="s">
        <v>1842</v>
      </c>
      <c r="I3064" s="13" t="s">
        <v>1459</v>
      </c>
      <c r="J3064" s="13" t="s">
        <v>797</v>
      </c>
      <c r="K3064" s="13" t="s">
        <v>303</v>
      </c>
      <c r="L3064" s="13" t="s">
        <v>2683</v>
      </c>
      <c r="M3064" s="6" t="s">
        <v>188</v>
      </c>
      <c r="N3064" s="6" t="s">
        <v>188</v>
      </c>
      <c r="O3064" s="6" t="s">
        <v>190</v>
      </c>
      <c r="P3064" s="7" t="s">
        <v>333</v>
      </c>
      <c r="Q3064" s="13"/>
      <c r="R3064" s="13"/>
      <c r="S3064" s="13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  <c r="AE3064" s="7"/>
    </row>
    <row r="3065">
      <c r="A3065" s="12">
        <v>68.0</v>
      </c>
      <c r="B3065" s="7" t="s">
        <v>607</v>
      </c>
      <c r="C3065" s="7" t="s">
        <v>1842</v>
      </c>
      <c r="I3065" s="13" t="s">
        <v>2176</v>
      </c>
      <c r="J3065" s="13" t="s">
        <v>798</v>
      </c>
      <c r="K3065" s="13" t="s">
        <v>303</v>
      </c>
      <c r="L3065" s="13" t="s">
        <v>2683</v>
      </c>
      <c r="M3065" s="6" t="s">
        <v>188</v>
      </c>
      <c r="N3065" s="6" t="s">
        <v>188</v>
      </c>
      <c r="O3065" s="6" t="s">
        <v>190</v>
      </c>
      <c r="P3065" s="7" t="s">
        <v>333</v>
      </c>
      <c r="Q3065" s="13"/>
      <c r="R3065" s="13"/>
      <c r="S3065" s="13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7"/>
      <c r="AE3065" s="7"/>
    </row>
    <row r="3066">
      <c r="A3066" s="12">
        <v>68.0</v>
      </c>
      <c r="B3066" s="7" t="s">
        <v>607</v>
      </c>
      <c r="C3066" s="7" t="s">
        <v>1842</v>
      </c>
      <c r="I3066" s="13" t="s">
        <v>2016</v>
      </c>
      <c r="J3066" s="13" t="s">
        <v>799</v>
      </c>
      <c r="K3066" s="13" t="s">
        <v>303</v>
      </c>
      <c r="L3066" s="13" t="s">
        <v>2093</v>
      </c>
      <c r="M3066" s="6" t="s">
        <v>188</v>
      </c>
      <c r="N3066" s="6" t="s">
        <v>188</v>
      </c>
      <c r="O3066" s="6" t="s">
        <v>190</v>
      </c>
      <c r="P3066" s="7" t="s">
        <v>333</v>
      </c>
      <c r="Q3066" s="13"/>
      <c r="R3066" s="13"/>
      <c r="S3066" s="13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  <c r="AE3066" s="7"/>
    </row>
    <row r="3067">
      <c r="A3067" s="12">
        <v>68.0</v>
      </c>
      <c r="B3067" s="7" t="s">
        <v>607</v>
      </c>
      <c r="C3067" s="7" t="s">
        <v>1842</v>
      </c>
      <c r="I3067" s="13" t="s">
        <v>746</v>
      </c>
      <c r="J3067" s="13" t="s">
        <v>800</v>
      </c>
      <c r="K3067" s="13" t="s">
        <v>303</v>
      </c>
      <c r="L3067" s="13" t="s">
        <v>2683</v>
      </c>
      <c r="M3067" s="6" t="s">
        <v>188</v>
      </c>
      <c r="N3067" s="6" t="s">
        <v>188</v>
      </c>
      <c r="O3067" s="6" t="s">
        <v>190</v>
      </c>
      <c r="P3067" s="7" t="s">
        <v>333</v>
      </c>
      <c r="Q3067" s="13"/>
      <c r="R3067" s="13"/>
      <c r="S3067" s="13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7"/>
      <c r="AE3067" s="7"/>
    </row>
    <row r="3068">
      <c r="A3068" s="12">
        <v>68.0</v>
      </c>
      <c r="B3068" s="7" t="s">
        <v>607</v>
      </c>
      <c r="C3068" s="7" t="s">
        <v>1842</v>
      </c>
      <c r="I3068" s="13" t="s">
        <v>549</v>
      </c>
      <c r="J3068" s="13" t="s">
        <v>801</v>
      </c>
      <c r="K3068" s="13" t="s">
        <v>303</v>
      </c>
      <c r="L3068" s="13" t="s">
        <v>2686</v>
      </c>
      <c r="M3068" s="6" t="s">
        <v>188</v>
      </c>
      <c r="N3068" s="6" t="s">
        <v>188</v>
      </c>
      <c r="O3068" s="6" t="s">
        <v>190</v>
      </c>
      <c r="P3068" s="7" t="s">
        <v>333</v>
      </c>
      <c r="Q3068" s="13"/>
      <c r="R3068" s="13"/>
      <c r="S3068" s="13"/>
      <c r="T3068" s="7"/>
      <c r="U3068" s="7"/>
      <c r="V3068" s="7"/>
      <c r="W3068" s="7"/>
      <c r="X3068" s="7"/>
      <c r="Y3068" s="7"/>
      <c r="Z3068" s="7"/>
      <c r="AA3068" s="7"/>
      <c r="AB3068" s="7"/>
      <c r="AC3068" s="7"/>
      <c r="AD3068" s="7"/>
      <c r="AE3068" s="7"/>
    </row>
    <row r="3069">
      <c r="A3069" s="12">
        <v>68.0</v>
      </c>
      <c r="B3069" s="7" t="s">
        <v>607</v>
      </c>
      <c r="C3069" s="7" t="s">
        <v>1842</v>
      </c>
      <c r="I3069" s="13" t="s">
        <v>2186</v>
      </c>
      <c r="J3069" s="13" t="s">
        <v>802</v>
      </c>
      <c r="K3069" s="13" t="s">
        <v>303</v>
      </c>
      <c r="L3069" s="13" t="s">
        <v>2683</v>
      </c>
      <c r="M3069" s="6" t="s">
        <v>188</v>
      </c>
      <c r="N3069" s="6" t="s">
        <v>188</v>
      </c>
      <c r="O3069" s="6" t="s">
        <v>190</v>
      </c>
      <c r="P3069" s="7" t="s">
        <v>333</v>
      </c>
      <c r="Q3069" s="13"/>
      <c r="R3069" s="13"/>
      <c r="S3069" s="13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  <c r="AE3069" s="7"/>
    </row>
    <row r="3070">
      <c r="A3070" s="12">
        <v>68.0</v>
      </c>
      <c r="B3070" s="7" t="s">
        <v>607</v>
      </c>
      <c r="C3070" s="7" t="s">
        <v>1842</v>
      </c>
      <c r="I3070" s="13" t="s">
        <v>1718</v>
      </c>
      <c r="J3070" s="13" t="s">
        <v>803</v>
      </c>
      <c r="K3070" s="13" t="s">
        <v>303</v>
      </c>
      <c r="L3070" s="13" t="s">
        <v>2683</v>
      </c>
      <c r="M3070" s="6" t="s">
        <v>188</v>
      </c>
      <c r="N3070" s="6" t="s">
        <v>188</v>
      </c>
      <c r="O3070" s="6" t="s">
        <v>190</v>
      </c>
      <c r="P3070" s="7" t="s">
        <v>333</v>
      </c>
      <c r="Q3070" s="13"/>
      <c r="R3070" s="13"/>
      <c r="S3070" s="13"/>
      <c r="T3070" s="7"/>
      <c r="U3070" s="7"/>
      <c r="V3070" s="7"/>
      <c r="W3070" s="7"/>
      <c r="X3070" s="7"/>
      <c r="Y3070" s="7"/>
      <c r="Z3070" s="7"/>
      <c r="AA3070" s="7"/>
      <c r="AB3070" s="7"/>
      <c r="AC3070" s="7"/>
      <c r="AD3070" s="7"/>
      <c r="AE3070" s="7"/>
    </row>
    <row r="3071">
      <c r="A3071" s="12">
        <v>68.0</v>
      </c>
      <c r="B3071" s="7" t="s">
        <v>607</v>
      </c>
      <c r="C3071" s="7" t="s">
        <v>1842</v>
      </c>
      <c r="I3071" s="13" t="s">
        <v>1301</v>
      </c>
      <c r="J3071" s="13" t="s">
        <v>804</v>
      </c>
      <c r="K3071" s="13" t="s">
        <v>303</v>
      </c>
      <c r="L3071" s="13" t="s">
        <v>2683</v>
      </c>
      <c r="M3071" s="6" t="s">
        <v>188</v>
      </c>
      <c r="N3071" s="6" t="s">
        <v>188</v>
      </c>
      <c r="O3071" s="6" t="s">
        <v>190</v>
      </c>
      <c r="P3071" s="7" t="s">
        <v>333</v>
      </c>
      <c r="Q3071" s="13"/>
      <c r="R3071" s="13"/>
      <c r="S3071" s="13"/>
      <c r="T3071" s="7"/>
      <c r="U3071" s="7"/>
      <c r="V3071" s="7"/>
      <c r="W3071" s="7"/>
      <c r="X3071" s="7"/>
      <c r="Y3071" s="7"/>
      <c r="Z3071" s="7"/>
      <c r="AA3071" s="7"/>
      <c r="AB3071" s="7"/>
      <c r="AC3071" s="7"/>
      <c r="AD3071" s="7"/>
      <c r="AE3071" s="7"/>
    </row>
    <row r="3072">
      <c r="A3072" s="12">
        <v>68.0</v>
      </c>
      <c r="B3072" s="7" t="s">
        <v>607</v>
      </c>
      <c r="C3072" s="7" t="s">
        <v>1842</v>
      </c>
      <c r="I3072" s="13" t="s">
        <v>1381</v>
      </c>
      <c r="J3072" s="13" t="s">
        <v>781</v>
      </c>
      <c r="K3072" s="13" t="s">
        <v>303</v>
      </c>
      <c r="L3072" s="13" t="s">
        <v>2687</v>
      </c>
      <c r="M3072" s="6" t="s">
        <v>188</v>
      </c>
      <c r="N3072" s="6" t="s">
        <v>188</v>
      </c>
      <c r="O3072" s="6" t="s">
        <v>190</v>
      </c>
      <c r="P3072" s="7" t="s">
        <v>333</v>
      </c>
      <c r="Q3072" s="13"/>
      <c r="R3072" s="13"/>
      <c r="S3072" s="13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  <c r="AE3072" s="7"/>
    </row>
    <row r="3073">
      <c r="A3073" s="12">
        <v>68.0</v>
      </c>
      <c r="B3073" s="7" t="s">
        <v>607</v>
      </c>
      <c r="C3073" s="7" t="s">
        <v>1842</v>
      </c>
      <c r="I3073" s="13" t="s">
        <v>595</v>
      </c>
      <c r="J3073" s="13" t="s">
        <v>797</v>
      </c>
      <c r="K3073" s="13" t="s">
        <v>303</v>
      </c>
      <c r="L3073" s="13" t="s">
        <v>2683</v>
      </c>
      <c r="M3073" s="6" t="s">
        <v>188</v>
      </c>
      <c r="N3073" s="6" t="s">
        <v>188</v>
      </c>
      <c r="O3073" s="6" t="s">
        <v>190</v>
      </c>
      <c r="P3073" s="7" t="s">
        <v>333</v>
      </c>
      <c r="Q3073" s="13"/>
      <c r="R3073" s="13"/>
      <c r="S3073" s="13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  <c r="AE3073" s="7"/>
    </row>
    <row r="3074">
      <c r="A3074" s="12">
        <v>68.0</v>
      </c>
      <c r="B3074" s="7" t="s">
        <v>607</v>
      </c>
      <c r="C3074" s="7" t="s">
        <v>1842</v>
      </c>
      <c r="I3074" s="13" t="s">
        <v>1360</v>
      </c>
      <c r="J3074" s="13" t="s">
        <v>798</v>
      </c>
      <c r="K3074" s="13" t="s">
        <v>303</v>
      </c>
      <c r="L3074" s="13" t="s">
        <v>2683</v>
      </c>
      <c r="M3074" s="6" t="s">
        <v>188</v>
      </c>
      <c r="N3074" s="6" t="s">
        <v>188</v>
      </c>
      <c r="O3074" s="6" t="s">
        <v>190</v>
      </c>
      <c r="P3074" s="7" t="s">
        <v>333</v>
      </c>
      <c r="Q3074" s="13"/>
      <c r="R3074" s="13"/>
      <c r="S3074" s="13"/>
      <c r="T3074" s="7"/>
      <c r="U3074" s="7"/>
      <c r="V3074" s="7"/>
      <c r="W3074" s="7"/>
      <c r="X3074" s="7"/>
      <c r="Y3074" s="7"/>
      <c r="Z3074" s="7"/>
      <c r="AA3074" s="7"/>
      <c r="AB3074" s="7"/>
      <c r="AC3074" s="7"/>
      <c r="AD3074" s="7"/>
      <c r="AE3074" s="7"/>
    </row>
    <row r="3075">
      <c r="A3075" s="12">
        <v>68.0</v>
      </c>
      <c r="B3075" s="7" t="s">
        <v>607</v>
      </c>
      <c r="C3075" s="7" t="s">
        <v>1842</v>
      </c>
      <c r="I3075" s="13" t="s">
        <v>1744</v>
      </c>
      <c r="J3075" s="13" t="s">
        <v>799</v>
      </c>
      <c r="K3075" s="13" t="s">
        <v>303</v>
      </c>
      <c r="L3075" s="13" t="s">
        <v>2683</v>
      </c>
      <c r="M3075" s="6" t="s">
        <v>188</v>
      </c>
      <c r="N3075" s="6" t="s">
        <v>188</v>
      </c>
      <c r="O3075" s="6" t="s">
        <v>190</v>
      </c>
      <c r="P3075" s="7" t="s">
        <v>333</v>
      </c>
      <c r="Q3075" s="13"/>
      <c r="R3075" s="13"/>
      <c r="S3075" s="13"/>
      <c r="T3075" s="7"/>
      <c r="U3075" s="7"/>
      <c r="V3075" s="7"/>
      <c r="W3075" s="7"/>
      <c r="X3075" s="7"/>
      <c r="Y3075" s="7"/>
      <c r="Z3075" s="7"/>
      <c r="AA3075" s="7"/>
      <c r="AB3075" s="7"/>
      <c r="AC3075" s="7"/>
      <c r="AD3075" s="7"/>
      <c r="AE3075" s="7"/>
    </row>
    <row r="3076">
      <c r="A3076" s="12">
        <v>68.0</v>
      </c>
      <c r="B3076" s="7" t="s">
        <v>607</v>
      </c>
      <c r="C3076" s="7" t="s">
        <v>1842</v>
      </c>
      <c r="I3076" s="13" t="s">
        <v>1731</v>
      </c>
      <c r="J3076" s="13" t="s">
        <v>800</v>
      </c>
      <c r="K3076" s="13" t="s">
        <v>303</v>
      </c>
      <c r="L3076" s="13" t="s">
        <v>2683</v>
      </c>
      <c r="M3076" s="6" t="s">
        <v>188</v>
      </c>
      <c r="N3076" s="6" t="s">
        <v>188</v>
      </c>
      <c r="O3076" s="6" t="s">
        <v>190</v>
      </c>
      <c r="P3076" s="7" t="s">
        <v>333</v>
      </c>
      <c r="Q3076" s="13"/>
      <c r="R3076" s="13"/>
      <c r="S3076" s="13"/>
      <c r="T3076" s="7"/>
      <c r="U3076" s="7"/>
      <c r="V3076" s="7"/>
      <c r="W3076" s="7"/>
      <c r="X3076" s="7"/>
      <c r="Y3076" s="7"/>
      <c r="Z3076" s="7"/>
      <c r="AA3076" s="7"/>
      <c r="AB3076" s="7"/>
      <c r="AC3076" s="7"/>
      <c r="AD3076" s="7"/>
      <c r="AE3076" s="7"/>
    </row>
    <row r="3077">
      <c r="A3077" s="12">
        <v>68.0</v>
      </c>
      <c r="B3077" s="7" t="s">
        <v>607</v>
      </c>
      <c r="C3077" s="7" t="s">
        <v>1842</v>
      </c>
      <c r="I3077" s="13" t="s">
        <v>1493</v>
      </c>
      <c r="J3077" s="13" t="s">
        <v>801</v>
      </c>
      <c r="K3077" s="13" t="s">
        <v>303</v>
      </c>
      <c r="L3077" s="13" t="s">
        <v>2684</v>
      </c>
      <c r="M3077" s="6" t="s">
        <v>188</v>
      </c>
      <c r="N3077" s="6" t="s">
        <v>188</v>
      </c>
      <c r="O3077" s="6" t="s">
        <v>190</v>
      </c>
      <c r="P3077" s="7" t="s">
        <v>333</v>
      </c>
      <c r="Q3077" s="13"/>
      <c r="R3077" s="13"/>
      <c r="S3077" s="13"/>
      <c r="T3077" s="7"/>
      <c r="U3077" s="7"/>
      <c r="V3077" s="7"/>
      <c r="W3077" s="7"/>
      <c r="X3077" s="7"/>
      <c r="Y3077" s="7"/>
      <c r="Z3077" s="7"/>
      <c r="AA3077" s="7"/>
      <c r="AB3077" s="7"/>
      <c r="AC3077" s="7"/>
      <c r="AD3077" s="7"/>
      <c r="AE3077" s="7"/>
    </row>
    <row r="3078">
      <c r="A3078" s="12">
        <v>68.0</v>
      </c>
      <c r="B3078" s="7" t="s">
        <v>607</v>
      </c>
      <c r="C3078" s="7" t="s">
        <v>1842</v>
      </c>
      <c r="I3078" s="13" t="s">
        <v>594</v>
      </c>
      <c r="J3078" s="13" t="s">
        <v>802</v>
      </c>
      <c r="K3078" s="13" t="s">
        <v>303</v>
      </c>
      <c r="L3078" s="13" t="s">
        <v>2683</v>
      </c>
      <c r="M3078" s="6" t="s">
        <v>188</v>
      </c>
      <c r="N3078" s="6" t="s">
        <v>188</v>
      </c>
      <c r="O3078" s="6" t="s">
        <v>190</v>
      </c>
      <c r="P3078" s="7" t="s">
        <v>333</v>
      </c>
      <c r="Q3078" s="13"/>
      <c r="R3078" s="13"/>
      <c r="S3078" s="13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  <c r="AE3078" s="7"/>
    </row>
    <row r="3079">
      <c r="A3079" s="12">
        <v>68.0</v>
      </c>
      <c r="B3079" s="7" t="s">
        <v>607</v>
      </c>
      <c r="C3079" s="7" t="s">
        <v>1842</v>
      </c>
      <c r="I3079" s="13" t="s">
        <v>945</v>
      </c>
      <c r="J3079" s="13" t="s">
        <v>803</v>
      </c>
      <c r="K3079" s="13" t="s">
        <v>303</v>
      </c>
      <c r="L3079" s="13" t="s">
        <v>2093</v>
      </c>
      <c r="M3079" s="6" t="s">
        <v>188</v>
      </c>
      <c r="N3079" s="6" t="s">
        <v>188</v>
      </c>
      <c r="O3079" s="6" t="s">
        <v>190</v>
      </c>
      <c r="P3079" s="7" t="s">
        <v>333</v>
      </c>
      <c r="Q3079" s="13"/>
      <c r="R3079" s="13"/>
      <c r="S3079" s="13"/>
      <c r="T3079" s="7"/>
      <c r="U3079" s="7"/>
      <c r="V3079" s="7"/>
      <c r="W3079" s="7"/>
      <c r="X3079" s="7"/>
      <c r="Y3079" s="7"/>
      <c r="Z3079" s="7"/>
      <c r="AA3079" s="7"/>
      <c r="AB3079" s="7"/>
      <c r="AC3079" s="7"/>
      <c r="AD3079" s="7"/>
      <c r="AE3079" s="7"/>
    </row>
    <row r="3080">
      <c r="A3080" s="12">
        <v>68.0</v>
      </c>
      <c r="B3080" s="7" t="s">
        <v>607</v>
      </c>
      <c r="C3080" s="7" t="s">
        <v>1842</v>
      </c>
      <c r="I3080" s="13" t="s">
        <v>1350</v>
      </c>
      <c r="J3080" s="13" t="s">
        <v>804</v>
      </c>
      <c r="K3080" s="13" t="s">
        <v>303</v>
      </c>
      <c r="L3080" s="13" t="s">
        <v>2684</v>
      </c>
      <c r="M3080" s="6" t="s">
        <v>188</v>
      </c>
      <c r="N3080" s="6" t="s">
        <v>188</v>
      </c>
      <c r="O3080" s="6" t="s">
        <v>190</v>
      </c>
      <c r="P3080" s="7" t="s">
        <v>333</v>
      </c>
      <c r="Q3080" s="13"/>
      <c r="R3080" s="13"/>
      <c r="S3080" s="13"/>
      <c r="T3080" s="7"/>
      <c r="U3080" s="7"/>
      <c r="V3080" s="7"/>
      <c r="W3080" s="7"/>
      <c r="X3080" s="7"/>
      <c r="Y3080" s="7"/>
      <c r="Z3080" s="7"/>
      <c r="AA3080" s="7"/>
      <c r="AB3080" s="7"/>
      <c r="AC3080" s="7"/>
      <c r="AD3080" s="7"/>
      <c r="AE3080" s="7"/>
    </row>
    <row r="3081">
      <c r="A3081" s="12">
        <v>68.0</v>
      </c>
      <c r="B3081" s="7" t="s">
        <v>607</v>
      </c>
      <c r="C3081" s="7" t="s">
        <v>1842</v>
      </c>
      <c r="I3081" s="13" t="s">
        <v>2019</v>
      </c>
      <c r="J3081" s="13" t="s">
        <v>781</v>
      </c>
      <c r="K3081" s="13" t="s">
        <v>303</v>
      </c>
      <c r="L3081" s="13" t="s">
        <v>2684</v>
      </c>
      <c r="M3081" s="6" t="s">
        <v>188</v>
      </c>
      <c r="N3081" s="6" t="s">
        <v>188</v>
      </c>
      <c r="O3081" s="6" t="s">
        <v>190</v>
      </c>
      <c r="P3081" s="7" t="s">
        <v>333</v>
      </c>
      <c r="Q3081" s="13"/>
      <c r="R3081" s="13"/>
      <c r="S3081" s="13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  <c r="AE3081" s="7"/>
    </row>
    <row r="3082">
      <c r="A3082" s="12">
        <v>68.0</v>
      </c>
      <c r="B3082" s="7" t="s">
        <v>607</v>
      </c>
      <c r="C3082" s="7" t="s">
        <v>1842</v>
      </c>
      <c r="I3082" s="13" t="s">
        <v>1626</v>
      </c>
      <c r="J3082" s="13" t="s">
        <v>797</v>
      </c>
      <c r="K3082" s="13" t="s">
        <v>303</v>
      </c>
      <c r="L3082" s="13" t="s">
        <v>2093</v>
      </c>
      <c r="M3082" s="6" t="s">
        <v>188</v>
      </c>
      <c r="N3082" s="6" t="s">
        <v>188</v>
      </c>
      <c r="O3082" s="6" t="s">
        <v>190</v>
      </c>
      <c r="P3082" s="7" t="s">
        <v>333</v>
      </c>
      <c r="Q3082" s="13"/>
      <c r="R3082" s="13"/>
      <c r="S3082" s="13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  <c r="AE3082" s="7"/>
    </row>
    <row r="3083">
      <c r="A3083" s="12">
        <v>68.0</v>
      </c>
      <c r="B3083" s="7" t="s">
        <v>607</v>
      </c>
      <c r="C3083" s="7" t="s">
        <v>1842</v>
      </c>
      <c r="I3083" s="13" t="s">
        <v>1706</v>
      </c>
      <c r="J3083" s="13" t="s">
        <v>798</v>
      </c>
      <c r="K3083" s="13" t="s">
        <v>303</v>
      </c>
      <c r="L3083" s="13" t="s">
        <v>2683</v>
      </c>
      <c r="M3083" s="6" t="s">
        <v>188</v>
      </c>
      <c r="N3083" s="6" t="s">
        <v>188</v>
      </c>
      <c r="O3083" s="6" t="s">
        <v>190</v>
      </c>
      <c r="P3083" s="7" t="s">
        <v>333</v>
      </c>
      <c r="Q3083" s="13"/>
      <c r="R3083" s="13"/>
      <c r="S3083" s="13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  <c r="AE3083" s="7"/>
    </row>
    <row r="3084">
      <c r="A3084" s="12">
        <v>68.0</v>
      </c>
      <c r="B3084" s="7" t="s">
        <v>607</v>
      </c>
      <c r="C3084" s="7" t="s">
        <v>1842</v>
      </c>
      <c r="I3084" s="13" t="s">
        <v>1519</v>
      </c>
      <c r="J3084" s="13" t="s">
        <v>799</v>
      </c>
      <c r="K3084" s="13" t="s">
        <v>303</v>
      </c>
      <c r="L3084" s="13" t="s">
        <v>2093</v>
      </c>
      <c r="M3084" s="6" t="s">
        <v>188</v>
      </c>
      <c r="N3084" s="6" t="s">
        <v>188</v>
      </c>
      <c r="O3084" s="6" t="s">
        <v>190</v>
      </c>
      <c r="P3084" s="7" t="s">
        <v>333</v>
      </c>
      <c r="Q3084" s="13"/>
      <c r="R3084" s="13"/>
      <c r="S3084" s="13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  <c r="AE3084" s="7"/>
    </row>
    <row r="3085">
      <c r="A3085" s="12">
        <v>69.0</v>
      </c>
      <c r="B3085" s="7" t="s">
        <v>614</v>
      </c>
      <c r="C3085" s="7" t="s">
        <v>1842</v>
      </c>
      <c r="D3085" s="26">
        <f>IF(COUNTIF($B$2:$B3085,$B3085)&gt;1,"",COUNTIF($B$2:$B$3400,$B3085))</f>
        <v>100</v>
      </c>
      <c r="E3085" s="26">
        <f>IF(COUNTIF($B$2:$B3085,$B3085)&gt;1,"",COUNTIFS($B$2:$B$3400,$B3085,$K$2:$K$3400,"PHÙ HỢP CAO"))</f>
        <v>3</v>
      </c>
      <c r="F3085" s="26">
        <f>IF(COUNTIF($B$2:$B3085,$B3085)&gt;1,"",COUNTIFS($B$2:$B$3400,$B3085,$K$2:$K$3400,"CÓ THỂ ĐI"))</f>
        <v>2</v>
      </c>
      <c r="G3085" s="26">
        <f>IF(COUNTIF($B$2:$B3085,$B3085)&gt;1,"",COUNTIFS($B$2:$B$3400,$B3085,$K$2:$K$3400,"CẦN SOÁT"))</f>
        <v>95</v>
      </c>
      <c r="H3085" s="27" t="str">
        <f>IFERROR(__xludf.DUMMYFUNCTION("IF(COUNTIF($B$2:$B3085,$B3085)&gt;1,"""",IFERROR(TEXTJOIN(CHAR(10),TRUE,BYROW(QUERY({$B$2:$B$3400,$J$2:$J$3400},""select Col2, count(Col2) where Col1 = '""&amp;$B3085&amp;""' group by Col2 order by count(Col2) desc label count(Col2) ''"",0),LAMBDA(r,INDEX(r,1,1)&amp;"" "&amp;"– ""&amp;INDEX(r,1,2)&amp;"" link""))),""""))"),"lãi suất cho vay ngân hàng – 20 link
lãi suất vay ngân hàng – 20 link
lãi suất vay ngân hàng hiện nay – 20 link
lãi suất vay ngân hàng hôm nay – 20 link
lãi vay ngân hàng hiện nay – 20 link")</f>
        <v>lãi suất cho vay ngân hàng – 20 link
lãi suất vay ngân hàng – 20 link
lãi suất vay ngân hàng hiện nay – 20 link
lãi suất vay ngân hàng hôm nay – 20 link
lãi vay ngân hàng hiện nay – 20 link</v>
      </c>
      <c r="I3085" s="10" t="s">
        <v>1861</v>
      </c>
      <c r="J3085" s="13" t="s">
        <v>820</v>
      </c>
      <c r="K3085" s="13" t="s">
        <v>184</v>
      </c>
      <c r="L3085" s="13" t="s">
        <v>2688</v>
      </c>
      <c r="M3085" s="6" t="s">
        <v>188</v>
      </c>
      <c r="N3085" s="6" t="s">
        <v>188</v>
      </c>
      <c r="O3085" s="6" t="s">
        <v>190</v>
      </c>
      <c r="P3085" s="7"/>
      <c r="Q3085" s="13"/>
      <c r="R3085" s="13"/>
      <c r="S3085" s="13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  <c r="AE3085" s="7"/>
    </row>
    <row r="3086">
      <c r="A3086" s="12">
        <v>69.0</v>
      </c>
      <c r="B3086" s="7" t="s">
        <v>614</v>
      </c>
      <c r="C3086" s="7" t="s">
        <v>1842</v>
      </c>
      <c r="I3086" s="10" t="s">
        <v>1356</v>
      </c>
      <c r="J3086" s="13" t="s">
        <v>821</v>
      </c>
      <c r="K3086" s="13" t="s">
        <v>184</v>
      </c>
      <c r="L3086" s="13" t="s">
        <v>2689</v>
      </c>
      <c r="M3086" s="6" t="s">
        <v>188</v>
      </c>
      <c r="N3086" s="6" t="s">
        <v>188</v>
      </c>
      <c r="O3086" s="6" t="s">
        <v>190</v>
      </c>
      <c r="P3086" s="7"/>
      <c r="Q3086" s="13"/>
      <c r="R3086" s="13"/>
      <c r="S3086" s="13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  <c r="AE3086" s="7"/>
    </row>
    <row r="3087">
      <c r="A3087" s="12">
        <v>69.0</v>
      </c>
      <c r="B3087" s="7" t="s">
        <v>614</v>
      </c>
      <c r="C3087" s="7" t="s">
        <v>1842</v>
      </c>
      <c r="I3087" s="10" t="s">
        <v>380</v>
      </c>
      <c r="J3087" s="13" t="s">
        <v>822</v>
      </c>
      <c r="K3087" s="13" t="s">
        <v>184</v>
      </c>
      <c r="L3087" s="13" t="s">
        <v>2690</v>
      </c>
      <c r="M3087" s="6" t="s">
        <v>188</v>
      </c>
      <c r="N3087" s="6" t="s">
        <v>188</v>
      </c>
      <c r="O3087" s="6" t="s">
        <v>190</v>
      </c>
      <c r="P3087" s="7"/>
      <c r="Q3087" s="13"/>
      <c r="R3087" s="13"/>
      <c r="S3087" s="13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  <c r="AE3087" s="7"/>
    </row>
    <row r="3088">
      <c r="A3088" s="12">
        <v>69.0</v>
      </c>
      <c r="B3088" s="7" t="s">
        <v>614</v>
      </c>
      <c r="C3088" s="7" t="s">
        <v>1842</v>
      </c>
      <c r="I3088" s="10" t="s">
        <v>687</v>
      </c>
      <c r="J3088" s="13" t="s">
        <v>823</v>
      </c>
      <c r="K3088" s="13" t="s">
        <v>283</v>
      </c>
      <c r="L3088" s="13" t="s">
        <v>2691</v>
      </c>
      <c r="M3088" s="6" t="s">
        <v>188</v>
      </c>
      <c r="N3088" s="6" t="s">
        <v>188</v>
      </c>
      <c r="O3088" s="6" t="s">
        <v>190</v>
      </c>
      <c r="P3088" s="7"/>
      <c r="Q3088" s="13"/>
      <c r="R3088" s="13"/>
      <c r="S3088" s="13"/>
      <c r="T3088" s="7"/>
      <c r="U3088" s="7"/>
      <c r="V3088" s="7"/>
      <c r="W3088" s="7"/>
      <c r="X3088" s="7"/>
      <c r="Y3088" s="7"/>
      <c r="Z3088" s="7"/>
      <c r="AA3088" s="7"/>
      <c r="AB3088" s="7"/>
      <c r="AC3088" s="7"/>
      <c r="AD3088" s="7"/>
      <c r="AE3088" s="7"/>
    </row>
    <row r="3089">
      <c r="A3089" s="12">
        <v>69.0</v>
      </c>
      <c r="B3089" s="7" t="s">
        <v>614</v>
      </c>
      <c r="C3089" s="7" t="s">
        <v>1842</v>
      </c>
      <c r="I3089" s="10" t="s">
        <v>1872</v>
      </c>
      <c r="J3089" s="13" t="s">
        <v>824</v>
      </c>
      <c r="K3089" s="13" t="s">
        <v>283</v>
      </c>
      <c r="L3089" s="13" t="s">
        <v>2692</v>
      </c>
      <c r="M3089" s="6" t="s">
        <v>188</v>
      </c>
      <c r="N3089" s="6" t="s">
        <v>188</v>
      </c>
      <c r="O3089" s="6" t="s">
        <v>190</v>
      </c>
      <c r="P3089" s="7"/>
      <c r="Q3089" s="13"/>
      <c r="R3089" s="13"/>
      <c r="S3089" s="13"/>
      <c r="T3089" s="7"/>
      <c r="U3089" s="7"/>
      <c r="V3089" s="7"/>
      <c r="W3089" s="7"/>
      <c r="X3089" s="7"/>
      <c r="Y3089" s="7"/>
      <c r="Z3089" s="7"/>
      <c r="AA3089" s="7"/>
      <c r="AB3089" s="7"/>
      <c r="AC3089" s="7"/>
      <c r="AD3089" s="7"/>
      <c r="AE3089" s="7"/>
    </row>
    <row r="3090">
      <c r="A3090" s="12">
        <v>69.0</v>
      </c>
      <c r="B3090" s="7" t="s">
        <v>614</v>
      </c>
      <c r="C3090" s="7" t="s">
        <v>1842</v>
      </c>
      <c r="I3090" s="10" t="s">
        <v>699</v>
      </c>
      <c r="J3090" s="13" t="s">
        <v>820</v>
      </c>
      <c r="K3090" s="13" t="s">
        <v>303</v>
      </c>
      <c r="L3090" s="13" t="s">
        <v>2434</v>
      </c>
      <c r="M3090" s="6" t="s">
        <v>188</v>
      </c>
      <c r="N3090" s="6" t="s">
        <v>188</v>
      </c>
      <c r="O3090" s="6" t="s">
        <v>190</v>
      </c>
      <c r="P3090" s="7"/>
      <c r="Q3090" s="13"/>
      <c r="R3090" s="13"/>
      <c r="S3090" s="13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  <c r="AE3090" s="7"/>
    </row>
    <row r="3091">
      <c r="A3091" s="12">
        <v>69.0</v>
      </c>
      <c r="B3091" s="7" t="s">
        <v>614</v>
      </c>
      <c r="C3091" s="7" t="s">
        <v>1842</v>
      </c>
      <c r="I3091" s="10" t="s">
        <v>732</v>
      </c>
      <c r="J3091" s="13" t="s">
        <v>821</v>
      </c>
      <c r="K3091" s="13" t="s">
        <v>303</v>
      </c>
      <c r="L3091" s="13" t="s">
        <v>2436</v>
      </c>
      <c r="M3091" s="6" t="s">
        <v>188</v>
      </c>
      <c r="N3091" s="6" t="s">
        <v>188</v>
      </c>
      <c r="O3091" s="6" t="s">
        <v>190</v>
      </c>
      <c r="P3091" s="7"/>
      <c r="Q3091" s="13"/>
      <c r="R3091" s="13"/>
      <c r="S3091" s="13"/>
      <c r="T3091" s="7"/>
      <c r="U3091" s="7"/>
      <c r="V3091" s="7"/>
      <c r="W3091" s="7"/>
      <c r="X3091" s="7"/>
      <c r="Y3091" s="7"/>
      <c r="Z3091" s="7"/>
      <c r="AA3091" s="7"/>
      <c r="AB3091" s="7"/>
      <c r="AC3091" s="7"/>
      <c r="AD3091" s="7"/>
      <c r="AE3091" s="7"/>
    </row>
    <row r="3092">
      <c r="A3092" s="12">
        <v>69.0</v>
      </c>
      <c r="B3092" s="7" t="s">
        <v>614</v>
      </c>
      <c r="C3092" s="7" t="s">
        <v>1842</v>
      </c>
      <c r="I3092" s="10" t="s">
        <v>395</v>
      </c>
      <c r="J3092" s="13" t="s">
        <v>822</v>
      </c>
      <c r="K3092" s="13" t="s">
        <v>303</v>
      </c>
      <c r="L3092" s="13" t="s">
        <v>2434</v>
      </c>
      <c r="M3092" s="6" t="s">
        <v>188</v>
      </c>
      <c r="N3092" s="6" t="s">
        <v>188</v>
      </c>
      <c r="O3092" s="6" t="s">
        <v>190</v>
      </c>
      <c r="P3092" s="7"/>
      <c r="Q3092" s="13"/>
      <c r="R3092" s="13"/>
      <c r="S3092" s="13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  <c r="AE3092" s="7"/>
    </row>
    <row r="3093">
      <c r="A3093" s="12">
        <v>69.0</v>
      </c>
      <c r="B3093" s="7" t="s">
        <v>614</v>
      </c>
      <c r="C3093" s="7" t="s">
        <v>1842</v>
      </c>
      <c r="I3093" s="10" t="s">
        <v>525</v>
      </c>
      <c r="J3093" s="13" t="s">
        <v>823</v>
      </c>
      <c r="K3093" s="13" t="s">
        <v>303</v>
      </c>
      <c r="L3093" s="13" t="s">
        <v>2434</v>
      </c>
      <c r="M3093" s="6" t="s">
        <v>188</v>
      </c>
      <c r="N3093" s="6" t="s">
        <v>188</v>
      </c>
      <c r="O3093" s="6" t="s">
        <v>190</v>
      </c>
      <c r="P3093" s="7"/>
      <c r="Q3093" s="13"/>
      <c r="R3093" s="13"/>
      <c r="S3093" s="13"/>
      <c r="T3093" s="7"/>
      <c r="U3093" s="7"/>
      <c r="V3093" s="7"/>
      <c r="W3093" s="7"/>
      <c r="X3093" s="7"/>
      <c r="Y3093" s="7"/>
      <c r="Z3093" s="7"/>
      <c r="AA3093" s="7"/>
      <c r="AB3093" s="7"/>
      <c r="AC3093" s="7"/>
      <c r="AD3093" s="7"/>
      <c r="AE3093" s="7"/>
    </row>
    <row r="3094">
      <c r="A3094" s="12">
        <v>69.0</v>
      </c>
      <c r="B3094" s="7" t="s">
        <v>614</v>
      </c>
      <c r="C3094" s="7" t="s">
        <v>1842</v>
      </c>
      <c r="I3094" s="10" t="s">
        <v>529</v>
      </c>
      <c r="J3094" s="13" t="s">
        <v>824</v>
      </c>
      <c r="K3094" s="13" t="s">
        <v>303</v>
      </c>
      <c r="L3094" s="13" t="s">
        <v>2434</v>
      </c>
      <c r="M3094" s="6" t="s">
        <v>188</v>
      </c>
      <c r="N3094" s="6" t="s">
        <v>188</v>
      </c>
      <c r="O3094" s="6" t="s">
        <v>190</v>
      </c>
      <c r="P3094" s="7"/>
      <c r="Q3094" s="13"/>
      <c r="R3094" s="13"/>
      <c r="S3094" s="13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  <c r="AE3094" s="7"/>
    </row>
    <row r="3095">
      <c r="A3095" s="12">
        <v>69.0</v>
      </c>
      <c r="B3095" s="7" t="s">
        <v>614</v>
      </c>
      <c r="C3095" s="7" t="s">
        <v>1842</v>
      </c>
      <c r="I3095" s="10" t="s">
        <v>404</v>
      </c>
      <c r="J3095" s="13" t="s">
        <v>820</v>
      </c>
      <c r="K3095" s="13" t="s">
        <v>303</v>
      </c>
      <c r="L3095" s="13" t="s">
        <v>2434</v>
      </c>
      <c r="M3095" s="6" t="s">
        <v>188</v>
      </c>
      <c r="N3095" s="6" t="s">
        <v>188</v>
      </c>
      <c r="O3095" s="6" t="s">
        <v>190</v>
      </c>
      <c r="P3095" s="7"/>
      <c r="Q3095" s="13"/>
      <c r="R3095" s="13"/>
      <c r="S3095" s="13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  <c r="AE3095" s="7"/>
    </row>
    <row r="3096">
      <c r="A3096" s="12">
        <v>69.0</v>
      </c>
      <c r="B3096" s="7" t="s">
        <v>614</v>
      </c>
      <c r="C3096" s="7" t="s">
        <v>1842</v>
      </c>
      <c r="I3096" s="10" t="s">
        <v>2075</v>
      </c>
      <c r="J3096" s="13" t="s">
        <v>821</v>
      </c>
      <c r="K3096" s="13" t="s">
        <v>303</v>
      </c>
      <c r="L3096" s="13" t="s">
        <v>2693</v>
      </c>
      <c r="M3096" s="6" t="s">
        <v>188</v>
      </c>
      <c r="N3096" s="6" t="s">
        <v>188</v>
      </c>
      <c r="O3096" s="6" t="s">
        <v>190</v>
      </c>
      <c r="P3096" s="7"/>
      <c r="Q3096" s="13"/>
      <c r="R3096" s="13"/>
      <c r="S3096" s="13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  <c r="AE3096" s="7"/>
    </row>
    <row r="3097">
      <c r="A3097" s="12">
        <v>69.0</v>
      </c>
      <c r="B3097" s="7" t="s">
        <v>614</v>
      </c>
      <c r="C3097" s="7" t="s">
        <v>1842</v>
      </c>
      <c r="I3097" s="10" t="s">
        <v>365</v>
      </c>
      <c r="J3097" s="13" t="s">
        <v>822</v>
      </c>
      <c r="K3097" s="13" t="s">
        <v>303</v>
      </c>
      <c r="L3097" s="13" t="s">
        <v>2434</v>
      </c>
      <c r="M3097" s="6" t="s">
        <v>188</v>
      </c>
      <c r="N3097" s="6" t="s">
        <v>188</v>
      </c>
      <c r="O3097" s="6" t="s">
        <v>190</v>
      </c>
      <c r="P3097" s="7"/>
      <c r="Q3097" s="13"/>
      <c r="R3097" s="13"/>
      <c r="S3097" s="13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  <c r="AE3097" s="7"/>
    </row>
    <row r="3098">
      <c r="A3098" s="12">
        <v>69.0</v>
      </c>
      <c r="B3098" s="7" t="s">
        <v>614</v>
      </c>
      <c r="C3098" s="7" t="s">
        <v>1842</v>
      </c>
      <c r="I3098" s="10" t="s">
        <v>43</v>
      </c>
      <c r="J3098" s="13" t="s">
        <v>823</v>
      </c>
      <c r="K3098" s="13" t="s">
        <v>303</v>
      </c>
      <c r="L3098" s="13" t="s">
        <v>2434</v>
      </c>
      <c r="M3098" s="6" t="s">
        <v>188</v>
      </c>
      <c r="N3098" s="6" t="s">
        <v>188</v>
      </c>
      <c r="O3098" s="6" t="s">
        <v>190</v>
      </c>
      <c r="P3098" s="7"/>
      <c r="Q3098" s="13"/>
      <c r="R3098" s="13"/>
      <c r="S3098" s="13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7"/>
      <c r="AE3098" s="7"/>
    </row>
    <row r="3099">
      <c r="A3099" s="12">
        <v>69.0</v>
      </c>
      <c r="B3099" s="7" t="s">
        <v>614</v>
      </c>
      <c r="C3099" s="7" t="s">
        <v>1842</v>
      </c>
      <c r="I3099" s="10" t="s">
        <v>1898</v>
      </c>
      <c r="J3099" s="13" t="s">
        <v>824</v>
      </c>
      <c r="K3099" s="13" t="s">
        <v>303</v>
      </c>
      <c r="L3099" s="13" t="s">
        <v>2436</v>
      </c>
      <c r="M3099" s="6" t="s">
        <v>188</v>
      </c>
      <c r="N3099" s="6" t="s">
        <v>188</v>
      </c>
      <c r="O3099" s="6" t="s">
        <v>190</v>
      </c>
      <c r="P3099" s="7"/>
      <c r="Q3099" s="13"/>
      <c r="R3099" s="13"/>
      <c r="S3099" s="13"/>
      <c r="T3099" s="7"/>
      <c r="U3099" s="7"/>
      <c r="V3099" s="7"/>
      <c r="W3099" s="7"/>
      <c r="X3099" s="7"/>
      <c r="Y3099" s="7"/>
      <c r="Z3099" s="7"/>
      <c r="AA3099" s="7"/>
      <c r="AB3099" s="7"/>
      <c r="AC3099" s="7"/>
      <c r="AD3099" s="7"/>
      <c r="AE3099" s="7"/>
    </row>
    <row r="3100">
      <c r="A3100" s="12">
        <v>69.0</v>
      </c>
      <c r="B3100" s="7" t="s">
        <v>614</v>
      </c>
      <c r="C3100" s="7" t="s">
        <v>1842</v>
      </c>
      <c r="I3100" s="10" t="s">
        <v>2073</v>
      </c>
      <c r="J3100" s="13" t="s">
        <v>820</v>
      </c>
      <c r="K3100" s="13" t="s">
        <v>303</v>
      </c>
      <c r="L3100" s="13" t="s">
        <v>2693</v>
      </c>
      <c r="M3100" s="6" t="s">
        <v>188</v>
      </c>
      <c r="N3100" s="6" t="s">
        <v>188</v>
      </c>
      <c r="O3100" s="6" t="s">
        <v>190</v>
      </c>
      <c r="P3100" s="7"/>
      <c r="Q3100" s="13"/>
      <c r="R3100" s="13"/>
      <c r="S3100" s="13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7"/>
      <c r="AE3100" s="7"/>
    </row>
    <row r="3101">
      <c r="A3101" s="12">
        <v>69.0</v>
      </c>
      <c r="B3101" s="7" t="s">
        <v>614</v>
      </c>
      <c r="C3101" s="7" t="s">
        <v>1842</v>
      </c>
      <c r="I3101" s="13" t="s">
        <v>247</v>
      </c>
      <c r="J3101" s="13" t="s">
        <v>821</v>
      </c>
      <c r="K3101" s="13" t="s">
        <v>303</v>
      </c>
      <c r="L3101" s="13" t="s">
        <v>2694</v>
      </c>
      <c r="M3101" s="6" t="s">
        <v>188</v>
      </c>
      <c r="N3101" s="6" t="s">
        <v>188</v>
      </c>
      <c r="O3101" s="6" t="s">
        <v>190</v>
      </c>
      <c r="P3101" s="7" t="s">
        <v>333</v>
      </c>
      <c r="Q3101" s="13"/>
      <c r="R3101" s="13"/>
      <c r="S3101" s="13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  <c r="AE3101" s="7"/>
    </row>
    <row r="3102">
      <c r="A3102" s="12">
        <v>69.0</v>
      </c>
      <c r="B3102" s="7" t="s">
        <v>614</v>
      </c>
      <c r="C3102" s="7" t="s">
        <v>1842</v>
      </c>
      <c r="I3102" s="13" t="s">
        <v>347</v>
      </c>
      <c r="J3102" s="13" t="s">
        <v>822</v>
      </c>
      <c r="K3102" s="13" t="s">
        <v>303</v>
      </c>
      <c r="L3102" s="13" t="s">
        <v>2695</v>
      </c>
      <c r="M3102" s="6" t="s">
        <v>188</v>
      </c>
      <c r="N3102" s="6" t="s">
        <v>188</v>
      </c>
      <c r="O3102" s="6" t="s">
        <v>190</v>
      </c>
      <c r="P3102" s="7" t="s">
        <v>333</v>
      </c>
      <c r="Q3102" s="13"/>
      <c r="R3102" s="13"/>
      <c r="S3102" s="13"/>
      <c r="T3102" s="7"/>
      <c r="U3102" s="7"/>
      <c r="V3102" s="7"/>
      <c r="W3102" s="7"/>
      <c r="X3102" s="7"/>
      <c r="Y3102" s="7"/>
      <c r="Z3102" s="7"/>
      <c r="AA3102" s="7"/>
      <c r="AB3102" s="7"/>
      <c r="AC3102" s="7"/>
      <c r="AD3102" s="7"/>
      <c r="AE3102" s="7"/>
    </row>
    <row r="3103">
      <c r="A3103" s="12">
        <v>69.0</v>
      </c>
      <c r="B3103" s="7" t="s">
        <v>614</v>
      </c>
      <c r="C3103" s="7" t="s">
        <v>1842</v>
      </c>
      <c r="I3103" s="13" t="s">
        <v>356</v>
      </c>
      <c r="J3103" s="13" t="s">
        <v>823</v>
      </c>
      <c r="K3103" s="13" t="s">
        <v>303</v>
      </c>
      <c r="L3103" s="13" t="s">
        <v>2696</v>
      </c>
      <c r="M3103" s="6" t="s">
        <v>188</v>
      </c>
      <c r="N3103" s="6" t="s">
        <v>188</v>
      </c>
      <c r="O3103" s="6" t="s">
        <v>190</v>
      </c>
      <c r="P3103" s="7" t="s">
        <v>333</v>
      </c>
      <c r="Q3103" s="13"/>
      <c r="R3103" s="13"/>
      <c r="S3103" s="13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7"/>
      <c r="AE3103" s="7"/>
    </row>
    <row r="3104">
      <c r="A3104" s="12">
        <v>69.0</v>
      </c>
      <c r="B3104" s="7" t="s">
        <v>614</v>
      </c>
      <c r="C3104" s="7" t="s">
        <v>1842</v>
      </c>
      <c r="I3104" s="13" t="s">
        <v>270</v>
      </c>
      <c r="J3104" s="13" t="s">
        <v>824</v>
      </c>
      <c r="K3104" s="13" t="s">
        <v>303</v>
      </c>
      <c r="L3104" s="13" t="s">
        <v>2694</v>
      </c>
      <c r="M3104" s="6" t="s">
        <v>188</v>
      </c>
      <c r="N3104" s="6" t="s">
        <v>188</v>
      </c>
      <c r="O3104" s="6" t="s">
        <v>190</v>
      </c>
      <c r="P3104" s="7" t="s">
        <v>333</v>
      </c>
      <c r="Q3104" s="13"/>
      <c r="R3104" s="13"/>
      <c r="S3104" s="13"/>
      <c r="T3104" s="7"/>
      <c r="U3104" s="7"/>
      <c r="V3104" s="7"/>
      <c r="W3104" s="7"/>
      <c r="X3104" s="7"/>
      <c r="Y3104" s="7"/>
      <c r="Z3104" s="7"/>
      <c r="AA3104" s="7"/>
      <c r="AB3104" s="7"/>
      <c r="AC3104" s="7"/>
      <c r="AD3104" s="7"/>
      <c r="AE3104" s="7"/>
    </row>
    <row r="3105">
      <c r="A3105" s="12">
        <v>69.0</v>
      </c>
      <c r="B3105" s="7" t="s">
        <v>614</v>
      </c>
      <c r="C3105" s="7" t="s">
        <v>1842</v>
      </c>
      <c r="I3105" s="13" t="s">
        <v>466</v>
      </c>
      <c r="J3105" s="13" t="s">
        <v>820</v>
      </c>
      <c r="K3105" s="13" t="s">
        <v>303</v>
      </c>
      <c r="L3105" s="13" t="s">
        <v>2696</v>
      </c>
      <c r="M3105" s="6" t="s">
        <v>188</v>
      </c>
      <c r="N3105" s="6" t="s">
        <v>188</v>
      </c>
      <c r="O3105" s="6" t="s">
        <v>190</v>
      </c>
      <c r="P3105" s="7" t="s">
        <v>333</v>
      </c>
      <c r="Q3105" s="13"/>
      <c r="R3105" s="13"/>
      <c r="S3105" s="13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7"/>
      <c r="AE3105" s="7"/>
    </row>
    <row r="3106">
      <c r="A3106" s="12">
        <v>69.0</v>
      </c>
      <c r="B3106" s="7" t="s">
        <v>614</v>
      </c>
      <c r="C3106" s="7" t="s">
        <v>1842</v>
      </c>
      <c r="I3106" s="13" t="s">
        <v>330</v>
      </c>
      <c r="J3106" s="13" t="s">
        <v>821</v>
      </c>
      <c r="K3106" s="13" t="s">
        <v>303</v>
      </c>
      <c r="L3106" s="13" t="s">
        <v>2696</v>
      </c>
      <c r="M3106" s="6" t="s">
        <v>188</v>
      </c>
      <c r="N3106" s="6" t="s">
        <v>188</v>
      </c>
      <c r="O3106" s="6" t="s">
        <v>190</v>
      </c>
      <c r="P3106" s="7" t="s">
        <v>333</v>
      </c>
      <c r="Q3106" s="13"/>
      <c r="R3106" s="13"/>
      <c r="S3106" s="13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  <c r="AE3106" s="7"/>
    </row>
    <row r="3107">
      <c r="A3107" s="12">
        <v>69.0</v>
      </c>
      <c r="B3107" s="7" t="s">
        <v>614</v>
      </c>
      <c r="C3107" s="7" t="s">
        <v>1842</v>
      </c>
      <c r="I3107" s="13" t="s">
        <v>445</v>
      </c>
      <c r="J3107" s="13" t="s">
        <v>822</v>
      </c>
      <c r="K3107" s="13" t="s">
        <v>303</v>
      </c>
      <c r="L3107" s="13" t="s">
        <v>2696</v>
      </c>
      <c r="M3107" s="6" t="s">
        <v>188</v>
      </c>
      <c r="N3107" s="6" t="s">
        <v>188</v>
      </c>
      <c r="O3107" s="6" t="s">
        <v>190</v>
      </c>
      <c r="P3107" s="7" t="s">
        <v>333</v>
      </c>
      <c r="Q3107" s="13"/>
      <c r="R3107" s="13"/>
      <c r="S3107" s="13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  <c r="AE3107" s="7"/>
    </row>
    <row r="3108">
      <c r="A3108" s="12">
        <v>69.0</v>
      </c>
      <c r="B3108" s="7" t="s">
        <v>614</v>
      </c>
      <c r="C3108" s="7" t="s">
        <v>1842</v>
      </c>
      <c r="I3108" s="13" t="s">
        <v>418</v>
      </c>
      <c r="J3108" s="13" t="s">
        <v>823</v>
      </c>
      <c r="K3108" s="13" t="s">
        <v>303</v>
      </c>
      <c r="L3108" s="13" t="s">
        <v>2695</v>
      </c>
      <c r="M3108" s="6" t="s">
        <v>188</v>
      </c>
      <c r="N3108" s="6" t="s">
        <v>188</v>
      </c>
      <c r="O3108" s="6" t="s">
        <v>190</v>
      </c>
      <c r="P3108" s="7" t="s">
        <v>333</v>
      </c>
      <c r="Q3108" s="13"/>
      <c r="R3108" s="13"/>
      <c r="S3108" s="13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  <c r="AE3108" s="7"/>
    </row>
    <row r="3109">
      <c r="A3109" s="12">
        <v>69.0</v>
      </c>
      <c r="B3109" s="7" t="s">
        <v>614</v>
      </c>
      <c r="C3109" s="7" t="s">
        <v>1842</v>
      </c>
      <c r="I3109" s="13" t="s">
        <v>225</v>
      </c>
      <c r="J3109" s="13" t="s">
        <v>824</v>
      </c>
      <c r="K3109" s="13" t="s">
        <v>303</v>
      </c>
      <c r="L3109" s="13" t="s">
        <v>2696</v>
      </c>
      <c r="M3109" s="6" t="s">
        <v>188</v>
      </c>
      <c r="N3109" s="6" t="s">
        <v>188</v>
      </c>
      <c r="O3109" s="6" t="s">
        <v>190</v>
      </c>
      <c r="P3109" s="7" t="s">
        <v>333</v>
      </c>
      <c r="Q3109" s="13"/>
      <c r="R3109" s="13"/>
      <c r="S3109" s="13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  <c r="AE3109" s="7"/>
    </row>
    <row r="3110">
      <c r="A3110" s="12">
        <v>69.0</v>
      </c>
      <c r="B3110" s="7" t="s">
        <v>614</v>
      </c>
      <c r="C3110" s="7" t="s">
        <v>1842</v>
      </c>
      <c r="I3110" s="13" t="s">
        <v>426</v>
      </c>
      <c r="J3110" s="13" t="s">
        <v>820</v>
      </c>
      <c r="K3110" s="13" t="s">
        <v>303</v>
      </c>
      <c r="L3110" s="13" t="s">
        <v>2694</v>
      </c>
      <c r="M3110" s="6" t="s">
        <v>188</v>
      </c>
      <c r="N3110" s="6" t="s">
        <v>188</v>
      </c>
      <c r="O3110" s="6" t="s">
        <v>190</v>
      </c>
      <c r="P3110" s="7" t="s">
        <v>333</v>
      </c>
      <c r="Q3110" s="13"/>
      <c r="R3110" s="13"/>
      <c r="S3110" s="13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  <c r="AE3110" s="7"/>
    </row>
    <row r="3111">
      <c r="A3111" s="12">
        <v>69.0</v>
      </c>
      <c r="B3111" s="7" t="s">
        <v>614</v>
      </c>
      <c r="C3111" s="7" t="s">
        <v>1842</v>
      </c>
      <c r="I3111" s="13" t="s">
        <v>167</v>
      </c>
      <c r="J3111" s="13" t="s">
        <v>821</v>
      </c>
      <c r="K3111" s="13" t="s">
        <v>303</v>
      </c>
      <c r="L3111" s="13" t="s">
        <v>2696</v>
      </c>
      <c r="M3111" s="6" t="s">
        <v>188</v>
      </c>
      <c r="N3111" s="6" t="s">
        <v>188</v>
      </c>
      <c r="O3111" s="6" t="s">
        <v>190</v>
      </c>
      <c r="P3111" s="7" t="s">
        <v>333</v>
      </c>
      <c r="Q3111" s="13"/>
      <c r="R3111" s="13"/>
      <c r="S3111" s="13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  <c r="AE3111" s="7"/>
    </row>
    <row r="3112">
      <c r="A3112" s="12">
        <v>69.0</v>
      </c>
      <c r="B3112" s="7" t="s">
        <v>614</v>
      </c>
      <c r="C3112" s="7" t="s">
        <v>1842</v>
      </c>
      <c r="I3112" s="13" t="s">
        <v>460</v>
      </c>
      <c r="J3112" s="13" t="s">
        <v>822</v>
      </c>
      <c r="K3112" s="13" t="s">
        <v>303</v>
      </c>
      <c r="L3112" s="13" t="s">
        <v>2696</v>
      </c>
      <c r="M3112" s="6" t="s">
        <v>188</v>
      </c>
      <c r="N3112" s="6" t="s">
        <v>188</v>
      </c>
      <c r="O3112" s="6" t="s">
        <v>190</v>
      </c>
      <c r="P3112" s="7" t="s">
        <v>333</v>
      </c>
      <c r="Q3112" s="13"/>
      <c r="R3112" s="13"/>
      <c r="S3112" s="13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  <c r="AE3112" s="7"/>
    </row>
    <row r="3113">
      <c r="A3113" s="12">
        <v>69.0</v>
      </c>
      <c r="B3113" s="7" t="s">
        <v>614</v>
      </c>
      <c r="C3113" s="7" t="s">
        <v>1842</v>
      </c>
      <c r="I3113" s="13" t="s">
        <v>511</v>
      </c>
      <c r="J3113" s="13" t="s">
        <v>823</v>
      </c>
      <c r="K3113" s="13" t="s">
        <v>303</v>
      </c>
      <c r="L3113" s="13" t="s">
        <v>2697</v>
      </c>
      <c r="M3113" s="6" t="s">
        <v>188</v>
      </c>
      <c r="N3113" s="6" t="s">
        <v>188</v>
      </c>
      <c r="O3113" s="6" t="s">
        <v>190</v>
      </c>
      <c r="P3113" s="7" t="s">
        <v>333</v>
      </c>
      <c r="Q3113" s="13"/>
      <c r="R3113" s="13"/>
      <c r="S3113" s="13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  <c r="AE3113" s="7"/>
    </row>
    <row r="3114">
      <c r="A3114" s="12">
        <v>69.0</v>
      </c>
      <c r="B3114" s="7" t="s">
        <v>614</v>
      </c>
      <c r="C3114" s="7" t="s">
        <v>1842</v>
      </c>
      <c r="I3114" s="13" t="s">
        <v>481</v>
      </c>
      <c r="J3114" s="13" t="s">
        <v>824</v>
      </c>
      <c r="K3114" s="13" t="s">
        <v>303</v>
      </c>
      <c r="L3114" s="13" t="s">
        <v>2694</v>
      </c>
      <c r="M3114" s="6" t="s">
        <v>188</v>
      </c>
      <c r="N3114" s="6" t="s">
        <v>188</v>
      </c>
      <c r="O3114" s="6" t="s">
        <v>190</v>
      </c>
      <c r="P3114" s="7" t="s">
        <v>333</v>
      </c>
      <c r="Q3114" s="13"/>
      <c r="R3114" s="13"/>
      <c r="S3114" s="13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  <c r="AE3114" s="7"/>
    </row>
    <row r="3115">
      <c r="A3115" s="12">
        <v>69.0</v>
      </c>
      <c r="B3115" s="7" t="s">
        <v>614</v>
      </c>
      <c r="C3115" s="7" t="s">
        <v>1842</v>
      </c>
      <c r="I3115" s="13" t="s">
        <v>2107</v>
      </c>
      <c r="J3115" s="13" t="s">
        <v>820</v>
      </c>
      <c r="K3115" s="13" t="s">
        <v>303</v>
      </c>
      <c r="L3115" s="13" t="s">
        <v>2698</v>
      </c>
      <c r="M3115" s="6" t="s">
        <v>188</v>
      </c>
      <c r="N3115" s="6" t="s">
        <v>188</v>
      </c>
      <c r="O3115" s="6" t="s">
        <v>190</v>
      </c>
      <c r="P3115" s="7" t="s">
        <v>333</v>
      </c>
      <c r="Q3115" s="13"/>
      <c r="R3115" s="13"/>
      <c r="S3115" s="13"/>
      <c r="T3115" s="7"/>
      <c r="U3115" s="7"/>
      <c r="V3115" s="7"/>
      <c r="W3115" s="7"/>
      <c r="X3115" s="7"/>
      <c r="Y3115" s="7"/>
      <c r="Z3115" s="7"/>
      <c r="AA3115" s="7"/>
      <c r="AB3115" s="7"/>
      <c r="AC3115" s="7"/>
      <c r="AD3115" s="7"/>
      <c r="AE3115" s="7"/>
    </row>
    <row r="3116">
      <c r="A3116" s="12">
        <v>69.0</v>
      </c>
      <c r="B3116" s="7" t="s">
        <v>614</v>
      </c>
      <c r="C3116" s="7" t="s">
        <v>1842</v>
      </c>
      <c r="I3116" s="13" t="s">
        <v>2064</v>
      </c>
      <c r="J3116" s="13" t="s">
        <v>821</v>
      </c>
      <c r="K3116" s="13" t="s">
        <v>303</v>
      </c>
      <c r="L3116" s="13" t="s">
        <v>2696</v>
      </c>
      <c r="M3116" s="6" t="s">
        <v>188</v>
      </c>
      <c r="N3116" s="6" t="s">
        <v>188</v>
      </c>
      <c r="O3116" s="6" t="s">
        <v>190</v>
      </c>
      <c r="P3116" s="7" t="s">
        <v>333</v>
      </c>
      <c r="Q3116" s="13"/>
      <c r="R3116" s="13"/>
      <c r="S3116" s="13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7"/>
      <c r="AE3116" s="7"/>
    </row>
    <row r="3117">
      <c r="A3117" s="12">
        <v>69.0</v>
      </c>
      <c r="B3117" s="7" t="s">
        <v>614</v>
      </c>
      <c r="C3117" s="7" t="s">
        <v>1842</v>
      </c>
      <c r="I3117" s="13" t="s">
        <v>2449</v>
      </c>
      <c r="J3117" s="13" t="s">
        <v>822</v>
      </c>
      <c r="K3117" s="13" t="s">
        <v>303</v>
      </c>
      <c r="L3117" s="13" t="s">
        <v>2694</v>
      </c>
      <c r="M3117" s="6" t="s">
        <v>188</v>
      </c>
      <c r="N3117" s="6" t="s">
        <v>188</v>
      </c>
      <c r="O3117" s="6" t="s">
        <v>190</v>
      </c>
      <c r="P3117" s="7" t="s">
        <v>333</v>
      </c>
      <c r="Q3117" s="13"/>
      <c r="R3117" s="13"/>
      <c r="S3117" s="13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  <c r="AE3117" s="7"/>
    </row>
    <row r="3118">
      <c r="A3118" s="12">
        <v>69.0</v>
      </c>
      <c r="B3118" s="7" t="s">
        <v>614</v>
      </c>
      <c r="C3118" s="7" t="s">
        <v>1842</v>
      </c>
      <c r="I3118" s="13" t="s">
        <v>1555</v>
      </c>
      <c r="J3118" s="13" t="s">
        <v>823</v>
      </c>
      <c r="K3118" s="13" t="s">
        <v>303</v>
      </c>
      <c r="L3118" s="13" t="s">
        <v>2699</v>
      </c>
      <c r="M3118" s="6" t="s">
        <v>188</v>
      </c>
      <c r="N3118" s="6" t="s">
        <v>188</v>
      </c>
      <c r="O3118" s="6" t="s">
        <v>190</v>
      </c>
      <c r="P3118" s="7" t="s">
        <v>333</v>
      </c>
      <c r="Q3118" s="13"/>
      <c r="R3118" s="13"/>
      <c r="S3118" s="13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  <c r="AE3118" s="7"/>
    </row>
    <row r="3119">
      <c r="A3119" s="12">
        <v>69.0</v>
      </c>
      <c r="B3119" s="7" t="s">
        <v>614</v>
      </c>
      <c r="C3119" s="7" t="s">
        <v>1842</v>
      </c>
      <c r="I3119" s="13" t="s">
        <v>707</v>
      </c>
      <c r="J3119" s="13" t="s">
        <v>824</v>
      </c>
      <c r="K3119" s="13" t="s">
        <v>303</v>
      </c>
      <c r="L3119" s="13" t="s">
        <v>2699</v>
      </c>
      <c r="M3119" s="6" t="s">
        <v>188</v>
      </c>
      <c r="N3119" s="6" t="s">
        <v>188</v>
      </c>
      <c r="O3119" s="6" t="s">
        <v>190</v>
      </c>
      <c r="P3119" s="7" t="s">
        <v>333</v>
      </c>
      <c r="Q3119" s="13"/>
      <c r="R3119" s="13"/>
      <c r="S3119" s="13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/>
      <c r="AE3119" s="7"/>
    </row>
    <row r="3120">
      <c r="A3120" s="12">
        <v>69.0</v>
      </c>
      <c r="B3120" s="7" t="s">
        <v>614</v>
      </c>
      <c r="C3120" s="7" t="s">
        <v>1842</v>
      </c>
      <c r="I3120" s="13" t="s">
        <v>2067</v>
      </c>
      <c r="J3120" s="13" t="s">
        <v>820</v>
      </c>
      <c r="K3120" s="13" t="s">
        <v>303</v>
      </c>
      <c r="L3120" s="13" t="s">
        <v>2696</v>
      </c>
      <c r="M3120" s="6" t="s">
        <v>188</v>
      </c>
      <c r="N3120" s="6" t="s">
        <v>188</v>
      </c>
      <c r="O3120" s="6" t="s">
        <v>190</v>
      </c>
      <c r="P3120" s="7" t="s">
        <v>333</v>
      </c>
      <c r="Q3120" s="13"/>
      <c r="R3120" s="13"/>
      <c r="S3120" s="13"/>
      <c r="T3120" s="7"/>
      <c r="U3120" s="7"/>
      <c r="V3120" s="7"/>
      <c r="W3120" s="7"/>
      <c r="X3120" s="7"/>
      <c r="Y3120" s="7"/>
      <c r="Z3120" s="7"/>
      <c r="AA3120" s="7"/>
      <c r="AB3120" s="7"/>
      <c r="AC3120" s="7"/>
      <c r="AD3120" s="7"/>
      <c r="AE3120" s="7"/>
    </row>
    <row r="3121">
      <c r="A3121" s="12">
        <v>69.0</v>
      </c>
      <c r="B3121" s="7" t="s">
        <v>614</v>
      </c>
      <c r="C3121" s="7" t="s">
        <v>1842</v>
      </c>
      <c r="I3121" s="13" t="s">
        <v>1269</v>
      </c>
      <c r="J3121" s="13" t="s">
        <v>821</v>
      </c>
      <c r="K3121" s="13" t="s">
        <v>303</v>
      </c>
      <c r="L3121" s="13" t="s">
        <v>2700</v>
      </c>
      <c r="M3121" s="6" t="s">
        <v>188</v>
      </c>
      <c r="N3121" s="6" t="s">
        <v>188</v>
      </c>
      <c r="O3121" s="6" t="s">
        <v>190</v>
      </c>
      <c r="P3121" s="7" t="s">
        <v>333</v>
      </c>
      <c r="Q3121" s="13"/>
      <c r="R3121" s="13"/>
      <c r="S3121" s="13"/>
      <c r="T3121" s="7"/>
      <c r="U3121" s="7"/>
      <c r="V3121" s="7"/>
      <c r="W3121" s="7"/>
      <c r="X3121" s="7"/>
      <c r="Y3121" s="7"/>
      <c r="Z3121" s="7"/>
      <c r="AA3121" s="7"/>
      <c r="AB3121" s="7"/>
      <c r="AC3121" s="7"/>
      <c r="AD3121" s="7"/>
      <c r="AE3121" s="7"/>
    </row>
    <row r="3122">
      <c r="A3122" s="12">
        <v>69.0</v>
      </c>
      <c r="B3122" s="7" t="s">
        <v>614</v>
      </c>
      <c r="C3122" s="7" t="s">
        <v>1842</v>
      </c>
      <c r="I3122" s="13" t="s">
        <v>1690</v>
      </c>
      <c r="J3122" s="13" t="s">
        <v>822</v>
      </c>
      <c r="K3122" s="13" t="s">
        <v>303</v>
      </c>
      <c r="L3122" s="13" t="s">
        <v>2694</v>
      </c>
      <c r="M3122" s="6" t="s">
        <v>188</v>
      </c>
      <c r="N3122" s="6" t="s">
        <v>188</v>
      </c>
      <c r="O3122" s="6" t="s">
        <v>190</v>
      </c>
      <c r="P3122" s="7" t="s">
        <v>333</v>
      </c>
      <c r="Q3122" s="13"/>
      <c r="R3122" s="13"/>
      <c r="S3122" s="13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  <c r="AE3122" s="7"/>
    </row>
    <row r="3123">
      <c r="A3123" s="12">
        <v>69.0</v>
      </c>
      <c r="B3123" s="7" t="s">
        <v>614</v>
      </c>
      <c r="C3123" s="7" t="s">
        <v>1842</v>
      </c>
      <c r="I3123" s="13" t="s">
        <v>1136</v>
      </c>
      <c r="J3123" s="13" t="s">
        <v>823</v>
      </c>
      <c r="K3123" s="13" t="s">
        <v>303</v>
      </c>
      <c r="L3123" s="13" t="s">
        <v>2701</v>
      </c>
      <c r="M3123" s="6" t="s">
        <v>188</v>
      </c>
      <c r="N3123" s="6" t="s">
        <v>188</v>
      </c>
      <c r="O3123" s="6" t="s">
        <v>190</v>
      </c>
      <c r="P3123" s="7" t="s">
        <v>333</v>
      </c>
      <c r="Q3123" s="13"/>
      <c r="R3123" s="13"/>
      <c r="S3123" s="13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  <c r="AD3123" s="7"/>
      <c r="AE3123" s="7"/>
    </row>
    <row r="3124">
      <c r="A3124" s="12">
        <v>69.0</v>
      </c>
      <c r="B3124" s="7" t="s">
        <v>614</v>
      </c>
      <c r="C3124" s="7" t="s">
        <v>1842</v>
      </c>
      <c r="I3124" s="13" t="s">
        <v>1354</v>
      </c>
      <c r="J3124" s="13" t="s">
        <v>824</v>
      </c>
      <c r="K3124" s="13" t="s">
        <v>303</v>
      </c>
      <c r="L3124" s="13" t="s">
        <v>2699</v>
      </c>
      <c r="M3124" s="6" t="s">
        <v>188</v>
      </c>
      <c r="N3124" s="6" t="s">
        <v>188</v>
      </c>
      <c r="O3124" s="6" t="s">
        <v>190</v>
      </c>
      <c r="P3124" s="7" t="s">
        <v>333</v>
      </c>
      <c r="Q3124" s="13"/>
      <c r="R3124" s="13"/>
      <c r="S3124" s="13"/>
      <c r="T3124" s="7"/>
      <c r="U3124" s="7"/>
      <c r="V3124" s="7"/>
      <c r="W3124" s="7"/>
      <c r="X3124" s="7"/>
      <c r="Y3124" s="7"/>
      <c r="Z3124" s="7"/>
      <c r="AA3124" s="7"/>
      <c r="AB3124" s="7"/>
      <c r="AC3124" s="7"/>
      <c r="AD3124" s="7"/>
      <c r="AE3124" s="7"/>
    </row>
    <row r="3125">
      <c r="A3125" s="12">
        <v>69.0</v>
      </c>
      <c r="B3125" s="7" t="s">
        <v>614</v>
      </c>
      <c r="C3125" s="7" t="s">
        <v>1842</v>
      </c>
      <c r="I3125" s="13" t="s">
        <v>373</v>
      </c>
      <c r="J3125" s="13" t="s">
        <v>820</v>
      </c>
      <c r="K3125" s="13" t="s">
        <v>303</v>
      </c>
      <c r="L3125" s="13" t="s">
        <v>2606</v>
      </c>
      <c r="M3125" s="6" t="s">
        <v>188</v>
      </c>
      <c r="N3125" s="6" t="s">
        <v>188</v>
      </c>
      <c r="O3125" s="6" t="s">
        <v>190</v>
      </c>
      <c r="P3125" s="7" t="s">
        <v>333</v>
      </c>
      <c r="Q3125" s="13"/>
      <c r="R3125" s="13"/>
      <c r="S3125" s="13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  <c r="AE3125" s="7"/>
    </row>
    <row r="3126">
      <c r="A3126" s="12">
        <v>69.0</v>
      </c>
      <c r="B3126" s="7" t="s">
        <v>614</v>
      </c>
      <c r="C3126" s="7" t="s">
        <v>1842</v>
      </c>
      <c r="I3126" s="13" t="s">
        <v>387</v>
      </c>
      <c r="J3126" s="13" t="s">
        <v>821</v>
      </c>
      <c r="K3126" s="13" t="s">
        <v>303</v>
      </c>
      <c r="L3126" s="13" t="s">
        <v>2662</v>
      </c>
      <c r="M3126" s="6" t="s">
        <v>188</v>
      </c>
      <c r="N3126" s="6" t="s">
        <v>188</v>
      </c>
      <c r="O3126" s="6" t="s">
        <v>190</v>
      </c>
      <c r="P3126" s="7" t="s">
        <v>333</v>
      </c>
      <c r="Q3126" s="13"/>
      <c r="R3126" s="13"/>
      <c r="S3126" s="13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7"/>
      <c r="AE3126" s="7"/>
    </row>
    <row r="3127">
      <c r="A3127" s="12">
        <v>69.0</v>
      </c>
      <c r="B3127" s="7" t="s">
        <v>614</v>
      </c>
      <c r="C3127" s="7" t="s">
        <v>1842</v>
      </c>
      <c r="I3127" s="13" t="s">
        <v>408</v>
      </c>
      <c r="J3127" s="13" t="s">
        <v>822</v>
      </c>
      <c r="K3127" s="13" t="s">
        <v>303</v>
      </c>
      <c r="L3127" s="13" t="s">
        <v>2663</v>
      </c>
      <c r="M3127" s="6" t="s">
        <v>188</v>
      </c>
      <c r="N3127" s="6" t="s">
        <v>188</v>
      </c>
      <c r="O3127" s="6" t="s">
        <v>190</v>
      </c>
      <c r="P3127" s="7" t="s">
        <v>333</v>
      </c>
      <c r="Q3127" s="13"/>
      <c r="R3127" s="13"/>
      <c r="S3127" s="13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  <c r="AE3127" s="7"/>
    </row>
    <row r="3128">
      <c r="A3128" s="12">
        <v>69.0</v>
      </c>
      <c r="B3128" s="7" t="s">
        <v>614</v>
      </c>
      <c r="C3128" s="7" t="s">
        <v>1842</v>
      </c>
      <c r="I3128" s="13" t="s">
        <v>1678</v>
      </c>
      <c r="J3128" s="13" t="s">
        <v>823</v>
      </c>
      <c r="K3128" s="13" t="s">
        <v>303</v>
      </c>
      <c r="L3128" s="13" t="s">
        <v>2702</v>
      </c>
      <c r="M3128" s="6" t="s">
        <v>188</v>
      </c>
      <c r="N3128" s="6" t="s">
        <v>188</v>
      </c>
      <c r="O3128" s="6" t="s">
        <v>190</v>
      </c>
      <c r="P3128" s="7" t="s">
        <v>333</v>
      </c>
      <c r="Q3128" s="13"/>
      <c r="R3128" s="13"/>
      <c r="S3128" s="13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7"/>
      <c r="AE3128" s="7"/>
    </row>
    <row r="3129">
      <c r="A3129" s="12">
        <v>69.0</v>
      </c>
      <c r="B3129" s="7" t="s">
        <v>614</v>
      </c>
      <c r="C3129" s="7" t="s">
        <v>1842</v>
      </c>
      <c r="I3129" s="13" t="s">
        <v>1854</v>
      </c>
      <c r="J3129" s="13" t="s">
        <v>824</v>
      </c>
      <c r="K3129" s="13" t="s">
        <v>303</v>
      </c>
      <c r="L3129" s="13" t="s">
        <v>2702</v>
      </c>
      <c r="M3129" s="6" t="s">
        <v>188</v>
      </c>
      <c r="N3129" s="6" t="s">
        <v>188</v>
      </c>
      <c r="O3129" s="6" t="s">
        <v>190</v>
      </c>
      <c r="P3129" s="7" t="s">
        <v>333</v>
      </c>
      <c r="Q3129" s="13"/>
      <c r="R3129" s="13"/>
      <c r="S3129" s="13"/>
      <c r="T3129" s="7"/>
      <c r="U3129" s="7"/>
      <c r="V3129" s="7"/>
      <c r="W3129" s="7"/>
      <c r="X3129" s="7"/>
      <c r="Y3129" s="7"/>
      <c r="Z3129" s="7"/>
      <c r="AA3129" s="7"/>
      <c r="AB3129" s="7"/>
      <c r="AC3129" s="7"/>
      <c r="AD3129" s="7"/>
      <c r="AE3129" s="7"/>
    </row>
    <row r="3130">
      <c r="A3130" s="12">
        <v>69.0</v>
      </c>
      <c r="B3130" s="7" t="s">
        <v>614</v>
      </c>
      <c r="C3130" s="7" t="s">
        <v>1842</v>
      </c>
      <c r="I3130" s="13" t="s">
        <v>437</v>
      </c>
      <c r="J3130" s="13" t="s">
        <v>820</v>
      </c>
      <c r="K3130" s="13" t="s">
        <v>303</v>
      </c>
      <c r="L3130" s="13" t="s">
        <v>2663</v>
      </c>
      <c r="M3130" s="6" t="s">
        <v>188</v>
      </c>
      <c r="N3130" s="6" t="s">
        <v>188</v>
      </c>
      <c r="O3130" s="6" t="s">
        <v>190</v>
      </c>
      <c r="P3130" s="7" t="s">
        <v>333</v>
      </c>
      <c r="Q3130" s="13"/>
      <c r="R3130" s="13"/>
      <c r="S3130" s="13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  <c r="AE3130" s="7"/>
    </row>
    <row r="3131">
      <c r="A3131" s="12">
        <v>69.0</v>
      </c>
      <c r="B3131" s="7" t="s">
        <v>614</v>
      </c>
      <c r="C3131" s="7" t="s">
        <v>1842</v>
      </c>
      <c r="I3131" s="13" t="s">
        <v>607</v>
      </c>
      <c r="J3131" s="13" t="s">
        <v>821</v>
      </c>
      <c r="K3131" s="13" t="s">
        <v>303</v>
      </c>
      <c r="L3131" s="13" t="s">
        <v>2702</v>
      </c>
      <c r="M3131" s="6" t="s">
        <v>188</v>
      </c>
      <c r="N3131" s="6" t="s">
        <v>188</v>
      </c>
      <c r="O3131" s="6" t="s">
        <v>190</v>
      </c>
      <c r="P3131" s="7" t="s">
        <v>333</v>
      </c>
      <c r="Q3131" s="13"/>
      <c r="R3131" s="13"/>
      <c r="S3131" s="13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7"/>
      <c r="AE3131" s="7"/>
    </row>
    <row r="3132">
      <c r="A3132" s="12">
        <v>69.0</v>
      </c>
      <c r="B3132" s="7" t="s">
        <v>614</v>
      </c>
      <c r="C3132" s="7" t="s">
        <v>1842</v>
      </c>
      <c r="I3132" s="13" t="s">
        <v>519</v>
      </c>
      <c r="J3132" s="13" t="s">
        <v>822</v>
      </c>
      <c r="K3132" s="13" t="s">
        <v>303</v>
      </c>
      <c r="L3132" s="13" t="s">
        <v>2606</v>
      </c>
      <c r="M3132" s="6" t="s">
        <v>188</v>
      </c>
      <c r="N3132" s="6" t="s">
        <v>188</v>
      </c>
      <c r="O3132" s="6" t="s">
        <v>190</v>
      </c>
      <c r="P3132" s="7" t="s">
        <v>333</v>
      </c>
      <c r="Q3132" s="13"/>
      <c r="R3132" s="13"/>
      <c r="S3132" s="13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  <c r="AE3132" s="7"/>
    </row>
    <row r="3133">
      <c r="A3133" s="12">
        <v>69.0</v>
      </c>
      <c r="B3133" s="7" t="s">
        <v>614</v>
      </c>
      <c r="C3133" s="7" t="s">
        <v>1842</v>
      </c>
      <c r="I3133" s="13" t="s">
        <v>704</v>
      </c>
      <c r="J3133" s="13" t="s">
        <v>823</v>
      </c>
      <c r="K3133" s="13" t="s">
        <v>303</v>
      </c>
      <c r="L3133" s="13" t="s">
        <v>2702</v>
      </c>
      <c r="M3133" s="6" t="s">
        <v>188</v>
      </c>
      <c r="N3133" s="6" t="s">
        <v>188</v>
      </c>
      <c r="O3133" s="6" t="s">
        <v>190</v>
      </c>
      <c r="P3133" s="7" t="s">
        <v>333</v>
      </c>
      <c r="Q3133" s="13"/>
      <c r="R3133" s="13"/>
      <c r="S3133" s="13"/>
      <c r="T3133" s="7"/>
      <c r="U3133" s="7"/>
      <c r="V3133" s="7"/>
      <c r="W3133" s="7"/>
      <c r="X3133" s="7"/>
      <c r="Y3133" s="7"/>
      <c r="Z3133" s="7"/>
      <c r="AA3133" s="7"/>
      <c r="AB3133" s="7"/>
      <c r="AC3133" s="7"/>
      <c r="AD3133" s="7"/>
      <c r="AE3133" s="7"/>
    </row>
    <row r="3134">
      <c r="A3134" s="12">
        <v>69.0</v>
      </c>
      <c r="B3134" s="7" t="s">
        <v>614</v>
      </c>
      <c r="C3134" s="7" t="s">
        <v>1842</v>
      </c>
      <c r="I3134" s="13" t="s">
        <v>1602</v>
      </c>
      <c r="J3134" s="13" t="s">
        <v>824</v>
      </c>
      <c r="K3134" s="13" t="s">
        <v>303</v>
      </c>
      <c r="L3134" s="13" t="s">
        <v>2702</v>
      </c>
      <c r="M3134" s="6" t="s">
        <v>188</v>
      </c>
      <c r="N3134" s="6" t="s">
        <v>188</v>
      </c>
      <c r="O3134" s="6" t="s">
        <v>190</v>
      </c>
      <c r="P3134" s="7" t="s">
        <v>333</v>
      </c>
      <c r="Q3134" s="13"/>
      <c r="R3134" s="13"/>
      <c r="S3134" s="13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7"/>
      <c r="AE3134" s="7"/>
    </row>
    <row r="3135">
      <c r="A3135" s="12">
        <v>69.0</v>
      </c>
      <c r="B3135" s="7" t="s">
        <v>614</v>
      </c>
      <c r="C3135" s="7" t="s">
        <v>1842</v>
      </c>
      <c r="I3135" s="13" t="s">
        <v>505</v>
      </c>
      <c r="J3135" s="13" t="s">
        <v>820</v>
      </c>
      <c r="K3135" s="13" t="s">
        <v>303</v>
      </c>
      <c r="L3135" s="13" t="s">
        <v>2664</v>
      </c>
      <c r="M3135" s="6" t="s">
        <v>188</v>
      </c>
      <c r="N3135" s="6" t="s">
        <v>188</v>
      </c>
      <c r="O3135" s="6" t="s">
        <v>190</v>
      </c>
      <c r="P3135" s="7" t="s">
        <v>333</v>
      </c>
      <c r="Q3135" s="13"/>
      <c r="R3135" s="13"/>
      <c r="S3135" s="13"/>
      <c r="T3135" s="7"/>
      <c r="U3135" s="7"/>
      <c r="V3135" s="7"/>
      <c r="W3135" s="7"/>
      <c r="X3135" s="7"/>
      <c r="Y3135" s="7"/>
      <c r="Z3135" s="7"/>
      <c r="AA3135" s="7"/>
      <c r="AB3135" s="7"/>
      <c r="AC3135" s="7"/>
      <c r="AD3135" s="7"/>
      <c r="AE3135" s="7"/>
    </row>
    <row r="3136">
      <c r="A3136" s="12">
        <v>69.0</v>
      </c>
      <c r="B3136" s="7" t="s">
        <v>614</v>
      </c>
      <c r="C3136" s="7" t="s">
        <v>1842</v>
      </c>
      <c r="I3136" s="13" t="s">
        <v>627</v>
      </c>
      <c r="J3136" s="13" t="s">
        <v>821</v>
      </c>
      <c r="K3136" s="13" t="s">
        <v>303</v>
      </c>
      <c r="L3136" s="13" t="s">
        <v>2667</v>
      </c>
      <c r="M3136" s="6" t="s">
        <v>188</v>
      </c>
      <c r="N3136" s="6" t="s">
        <v>188</v>
      </c>
      <c r="O3136" s="6" t="s">
        <v>190</v>
      </c>
      <c r="P3136" s="7" t="s">
        <v>333</v>
      </c>
      <c r="Q3136" s="13"/>
      <c r="R3136" s="13"/>
      <c r="S3136" s="13"/>
      <c r="T3136" s="7"/>
      <c r="U3136" s="7"/>
      <c r="V3136" s="7"/>
      <c r="W3136" s="7"/>
      <c r="X3136" s="7"/>
      <c r="Y3136" s="7"/>
      <c r="Z3136" s="7"/>
      <c r="AA3136" s="7"/>
      <c r="AB3136" s="7"/>
      <c r="AC3136" s="7"/>
      <c r="AD3136" s="7"/>
      <c r="AE3136" s="7"/>
    </row>
    <row r="3137">
      <c r="A3137" s="12">
        <v>69.0</v>
      </c>
      <c r="B3137" s="7" t="s">
        <v>614</v>
      </c>
      <c r="C3137" s="7" t="s">
        <v>1842</v>
      </c>
      <c r="I3137" s="13" t="s">
        <v>1704</v>
      </c>
      <c r="J3137" s="13" t="s">
        <v>822</v>
      </c>
      <c r="K3137" s="13" t="s">
        <v>303</v>
      </c>
      <c r="L3137" s="13" t="s">
        <v>2668</v>
      </c>
      <c r="M3137" s="6" t="s">
        <v>188</v>
      </c>
      <c r="N3137" s="6" t="s">
        <v>188</v>
      </c>
      <c r="O3137" s="6" t="s">
        <v>190</v>
      </c>
      <c r="P3137" s="7" t="s">
        <v>333</v>
      </c>
      <c r="Q3137" s="13"/>
      <c r="R3137" s="13"/>
      <c r="S3137" s="13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  <c r="AE3137" s="7"/>
    </row>
    <row r="3138">
      <c r="A3138" s="12">
        <v>69.0</v>
      </c>
      <c r="B3138" s="7" t="s">
        <v>614</v>
      </c>
      <c r="C3138" s="7" t="s">
        <v>1842</v>
      </c>
      <c r="I3138" s="13" t="s">
        <v>1722</v>
      </c>
      <c r="J3138" s="13" t="s">
        <v>823</v>
      </c>
      <c r="K3138" s="13" t="s">
        <v>303</v>
      </c>
      <c r="L3138" s="13" t="s">
        <v>2702</v>
      </c>
      <c r="M3138" s="6" t="s">
        <v>188</v>
      </c>
      <c r="N3138" s="6" t="s">
        <v>188</v>
      </c>
      <c r="O3138" s="6" t="s">
        <v>190</v>
      </c>
      <c r="P3138" s="7" t="s">
        <v>333</v>
      </c>
      <c r="Q3138" s="13"/>
      <c r="R3138" s="13"/>
      <c r="S3138" s="13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  <c r="AE3138" s="7"/>
    </row>
    <row r="3139">
      <c r="A3139" s="12">
        <v>69.0</v>
      </c>
      <c r="B3139" s="7" t="s">
        <v>614</v>
      </c>
      <c r="C3139" s="7" t="s">
        <v>1842</v>
      </c>
      <c r="I3139" s="13" t="s">
        <v>2070</v>
      </c>
      <c r="J3139" s="13" t="s">
        <v>824</v>
      </c>
      <c r="K3139" s="13" t="s">
        <v>303</v>
      </c>
      <c r="L3139" s="13" t="s">
        <v>2668</v>
      </c>
      <c r="M3139" s="6" t="s">
        <v>188</v>
      </c>
      <c r="N3139" s="6" t="s">
        <v>188</v>
      </c>
      <c r="O3139" s="6" t="s">
        <v>190</v>
      </c>
      <c r="P3139" s="7" t="s">
        <v>333</v>
      </c>
      <c r="Q3139" s="13"/>
      <c r="R3139" s="13"/>
      <c r="S3139" s="13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7"/>
      <c r="AE3139" s="7"/>
    </row>
    <row r="3140">
      <c r="A3140" s="12">
        <v>69.0</v>
      </c>
      <c r="B3140" s="7" t="s">
        <v>614</v>
      </c>
      <c r="C3140" s="7" t="s">
        <v>1842</v>
      </c>
      <c r="I3140" s="13" t="s">
        <v>2451</v>
      </c>
      <c r="J3140" s="13" t="s">
        <v>820</v>
      </c>
      <c r="K3140" s="13" t="s">
        <v>303</v>
      </c>
      <c r="L3140" s="13" t="s">
        <v>2608</v>
      </c>
      <c r="M3140" s="6" t="s">
        <v>188</v>
      </c>
      <c r="N3140" s="6" t="s">
        <v>188</v>
      </c>
      <c r="O3140" s="6" t="s">
        <v>190</v>
      </c>
      <c r="P3140" s="7" t="s">
        <v>333</v>
      </c>
      <c r="Q3140" s="13"/>
      <c r="R3140" s="13"/>
      <c r="S3140" s="13"/>
      <c r="T3140" s="7"/>
      <c r="U3140" s="7"/>
      <c r="V3140" s="7"/>
      <c r="W3140" s="7"/>
      <c r="X3140" s="7"/>
      <c r="Y3140" s="7"/>
      <c r="Z3140" s="7"/>
      <c r="AA3140" s="7"/>
      <c r="AB3140" s="7"/>
      <c r="AC3140" s="7"/>
      <c r="AD3140" s="7"/>
      <c r="AE3140" s="7"/>
    </row>
    <row r="3141">
      <c r="A3141" s="12">
        <v>69.0</v>
      </c>
      <c r="B3141" s="7" t="s">
        <v>614</v>
      </c>
      <c r="C3141" s="7" t="s">
        <v>1842</v>
      </c>
      <c r="I3141" s="13" t="s">
        <v>2062</v>
      </c>
      <c r="J3141" s="13" t="s">
        <v>821</v>
      </c>
      <c r="K3141" s="13" t="s">
        <v>303</v>
      </c>
      <c r="L3141" s="13" t="s">
        <v>2607</v>
      </c>
      <c r="M3141" s="6" t="s">
        <v>188</v>
      </c>
      <c r="N3141" s="6" t="s">
        <v>188</v>
      </c>
      <c r="O3141" s="6" t="s">
        <v>190</v>
      </c>
      <c r="P3141" s="7" t="s">
        <v>333</v>
      </c>
      <c r="Q3141" s="13"/>
      <c r="R3141" s="13"/>
      <c r="S3141" s="13"/>
      <c r="T3141" s="7"/>
      <c r="U3141" s="7"/>
      <c r="V3141" s="7"/>
      <c r="W3141" s="7"/>
      <c r="X3141" s="7"/>
      <c r="Y3141" s="7"/>
      <c r="Z3141" s="7"/>
      <c r="AA3141" s="7"/>
      <c r="AB3141" s="7"/>
      <c r="AC3141" s="7"/>
      <c r="AD3141" s="7"/>
      <c r="AE3141" s="7"/>
    </row>
    <row r="3142">
      <c r="A3142" s="12">
        <v>69.0</v>
      </c>
      <c r="B3142" s="7" t="s">
        <v>614</v>
      </c>
      <c r="C3142" s="7" t="s">
        <v>1842</v>
      </c>
      <c r="I3142" s="13" t="s">
        <v>1880</v>
      </c>
      <c r="J3142" s="13" t="s">
        <v>822</v>
      </c>
      <c r="K3142" s="13" t="s">
        <v>303</v>
      </c>
      <c r="L3142" s="13" t="s">
        <v>2669</v>
      </c>
      <c r="M3142" s="6" t="s">
        <v>188</v>
      </c>
      <c r="N3142" s="6" t="s">
        <v>188</v>
      </c>
      <c r="O3142" s="6" t="s">
        <v>190</v>
      </c>
      <c r="P3142" s="7" t="s">
        <v>333</v>
      </c>
      <c r="Q3142" s="13"/>
      <c r="R3142" s="13"/>
      <c r="S3142" s="13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  <c r="AE3142" s="7"/>
    </row>
    <row r="3143">
      <c r="A3143" s="12">
        <v>69.0</v>
      </c>
      <c r="B3143" s="7" t="s">
        <v>614</v>
      </c>
      <c r="C3143" s="7" t="s">
        <v>1842</v>
      </c>
      <c r="I3143" s="13" t="s">
        <v>1907</v>
      </c>
      <c r="J3143" s="13" t="s">
        <v>823</v>
      </c>
      <c r="K3143" s="13" t="s">
        <v>303</v>
      </c>
      <c r="L3143" s="13" t="s">
        <v>2612</v>
      </c>
      <c r="M3143" s="6" t="s">
        <v>188</v>
      </c>
      <c r="N3143" s="6" t="s">
        <v>188</v>
      </c>
      <c r="O3143" s="6" t="s">
        <v>190</v>
      </c>
      <c r="P3143" s="7" t="s">
        <v>333</v>
      </c>
      <c r="Q3143" s="13"/>
      <c r="R3143" s="13"/>
      <c r="S3143" s="13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/>
      <c r="AE3143" s="7"/>
    </row>
    <row r="3144">
      <c r="A3144" s="12">
        <v>69.0</v>
      </c>
      <c r="B3144" s="7" t="s">
        <v>614</v>
      </c>
      <c r="C3144" s="7" t="s">
        <v>1842</v>
      </c>
      <c r="I3144" s="13" t="s">
        <v>2077</v>
      </c>
      <c r="J3144" s="13" t="s">
        <v>824</v>
      </c>
      <c r="K3144" s="13" t="s">
        <v>303</v>
      </c>
      <c r="L3144" s="13" t="s">
        <v>2703</v>
      </c>
      <c r="M3144" s="6" t="s">
        <v>188</v>
      </c>
      <c r="N3144" s="6" t="s">
        <v>188</v>
      </c>
      <c r="O3144" s="6" t="s">
        <v>190</v>
      </c>
      <c r="P3144" s="7" t="s">
        <v>333</v>
      </c>
      <c r="Q3144" s="13"/>
      <c r="R3144" s="13"/>
      <c r="S3144" s="13"/>
      <c r="T3144" s="6"/>
      <c r="U3144" s="6"/>
      <c r="V3144" s="7"/>
      <c r="W3144" s="7"/>
      <c r="X3144" s="7"/>
      <c r="Y3144" s="7"/>
      <c r="Z3144" s="7"/>
      <c r="AA3144" s="7"/>
      <c r="AB3144" s="7"/>
      <c r="AC3144" s="7"/>
      <c r="AD3144" s="7"/>
      <c r="AE3144" s="7"/>
    </row>
    <row r="3145">
      <c r="A3145" s="12">
        <v>69.0</v>
      </c>
      <c r="B3145" s="7" t="s">
        <v>614</v>
      </c>
      <c r="C3145" s="7" t="s">
        <v>1842</v>
      </c>
      <c r="I3145" s="13" t="s">
        <v>2008</v>
      </c>
      <c r="J3145" s="13" t="s">
        <v>820</v>
      </c>
      <c r="K3145" s="13" t="s">
        <v>303</v>
      </c>
      <c r="L3145" s="13" t="s">
        <v>2670</v>
      </c>
      <c r="M3145" s="6" t="s">
        <v>188</v>
      </c>
      <c r="N3145" s="6" t="s">
        <v>188</v>
      </c>
      <c r="O3145" s="6" t="s">
        <v>190</v>
      </c>
      <c r="P3145" s="7" t="s">
        <v>333</v>
      </c>
      <c r="Q3145" s="13"/>
      <c r="R3145" s="13"/>
      <c r="S3145" s="13"/>
      <c r="T3145" s="6"/>
      <c r="U3145" s="7"/>
      <c r="V3145" s="7"/>
      <c r="W3145" s="7"/>
      <c r="X3145" s="7"/>
      <c r="Y3145" s="7"/>
      <c r="Z3145" s="7"/>
      <c r="AA3145" s="7"/>
      <c r="AB3145" s="7"/>
      <c r="AC3145" s="7"/>
      <c r="AD3145" s="7"/>
      <c r="AE3145" s="7"/>
    </row>
    <row r="3146">
      <c r="A3146" s="12">
        <v>69.0</v>
      </c>
      <c r="B3146" s="7" t="s">
        <v>614</v>
      </c>
      <c r="C3146" s="7" t="s">
        <v>1842</v>
      </c>
      <c r="I3146" s="13" t="s">
        <v>2453</v>
      </c>
      <c r="J3146" s="13" t="s">
        <v>821</v>
      </c>
      <c r="K3146" s="13" t="s">
        <v>303</v>
      </c>
      <c r="L3146" s="13" t="s">
        <v>2606</v>
      </c>
      <c r="M3146" s="6" t="s">
        <v>188</v>
      </c>
      <c r="N3146" s="6" t="s">
        <v>188</v>
      </c>
      <c r="O3146" s="6" t="s">
        <v>190</v>
      </c>
      <c r="P3146" s="7" t="s">
        <v>333</v>
      </c>
      <c r="Q3146" s="13"/>
      <c r="R3146" s="13"/>
      <c r="S3146" s="13"/>
      <c r="T3146" s="6"/>
      <c r="U3146" s="7"/>
      <c r="V3146" s="7"/>
      <c r="W3146" s="7"/>
      <c r="X3146" s="7"/>
      <c r="Y3146" s="7"/>
      <c r="Z3146" s="7"/>
      <c r="AA3146" s="7"/>
      <c r="AB3146" s="7"/>
      <c r="AC3146" s="7"/>
      <c r="AD3146" s="7"/>
      <c r="AE3146" s="7"/>
    </row>
    <row r="3147">
      <c r="A3147" s="12">
        <v>69.0</v>
      </c>
      <c r="B3147" s="7" t="s">
        <v>614</v>
      </c>
      <c r="C3147" s="7" t="s">
        <v>1842</v>
      </c>
      <c r="I3147" s="13" t="s">
        <v>1599</v>
      </c>
      <c r="J3147" s="13" t="s">
        <v>822</v>
      </c>
      <c r="K3147" s="13" t="s">
        <v>303</v>
      </c>
      <c r="L3147" s="13" t="s">
        <v>2703</v>
      </c>
      <c r="M3147" s="6" t="s">
        <v>188</v>
      </c>
      <c r="N3147" s="6" t="s">
        <v>188</v>
      </c>
      <c r="O3147" s="6" t="s">
        <v>190</v>
      </c>
      <c r="P3147" s="7" t="s">
        <v>333</v>
      </c>
      <c r="Q3147" s="13"/>
      <c r="R3147" s="13"/>
      <c r="S3147" s="13"/>
      <c r="T3147" s="6"/>
      <c r="U3147" s="7"/>
      <c r="V3147" s="7"/>
      <c r="W3147" s="7"/>
      <c r="X3147" s="7"/>
      <c r="Y3147" s="7"/>
      <c r="Z3147" s="7"/>
      <c r="AA3147" s="7"/>
      <c r="AB3147" s="7"/>
      <c r="AC3147" s="7"/>
      <c r="AD3147" s="7"/>
      <c r="AE3147" s="7"/>
    </row>
    <row r="3148">
      <c r="A3148" s="12">
        <v>69.0</v>
      </c>
      <c r="B3148" s="7" t="s">
        <v>614</v>
      </c>
      <c r="C3148" s="7" t="s">
        <v>1842</v>
      </c>
      <c r="I3148" s="13" t="s">
        <v>1148</v>
      </c>
      <c r="J3148" s="13" t="s">
        <v>823</v>
      </c>
      <c r="K3148" s="13" t="s">
        <v>303</v>
      </c>
      <c r="L3148" s="13" t="s">
        <v>2611</v>
      </c>
      <c r="M3148" s="6" t="s">
        <v>188</v>
      </c>
      <c r="N3148" s="6" t="s">
        <v>188</v>
      </c>
      <c r="O3148" s="6" t="s">
        <v>190</v>
      </c>
      <c r="P3148" s="7" t="s">
        <v>333</v>
      </c>
      <c r="Q3148" s="13"/>
      <c r="R3148" s="13"/>
      <c r="S3148" s="13"/>
      <c r="T3148" s="6"/>
      <c r="U3148" s="7"/>
      <c r="V3148" s="7"/>
      <c r="W3148" s="7"/>
      <c r="X3148" s="7"/>
      <c r="Y3148" s="7"/>
      <c r="Z3148" s="7"/>
      <c r="AA3148" s="7"/>
      <c r="AB3148" s="7"/>
      <c r="AC3148" s="7"/>
      <c r="AD3148" s="7"/>
      <c r="AE3148" s="7"/>
    </row>
    <row r="3149">
      <c r="A3149" s="12">
        <v>69.0</v>
      </c>
      <c r="B3149" s="7" t="s">
        <v>614</v>
      </c>
      <c r="C3149" s="7" t="s">
        <v>1842</v>
      </c>
      <c r="I3149" s="13" t="s">
        <v>2074</v>
      </c>
      <c r="J3149" s="13" t="s">
        <v>824</v>
      </c>
      <c r="K3149" s="13" t="s">
        <v>303</v>
      </c>
      <c r="L3149" s="13" t="s">
        <v>2659</v>
      </c>
      <c r="M3149" s="6" t="s">
        <v>188</v>
      </c>
      <c r="N3149" s="6" t="s">
        <v>188</v>
      </c>
      <c r="O3149" s="6" t="s">
        <v>190</v>
      </c>
      <c r="P3149" s="7" t="s">
        <v>333</v>
      </c>
      <c r="Q3149" s="13"/>
      <c r="R3149" s="13"/>
      <c r="S3149" s="13"/>
      <c r="T3149" s="6"/>
      <c r="U3149" s="7"/>
      <c r="V3149" s="7"/>
      <c r="W3149" s="7"/>
      <c r="X3149" s="7"/>
      <c r="Y3149" s="7"/>
      <c r="Z3149" s="7"/>
      <c r="AA3149" s="7"/>
      <c r="AB3149" s="7"/>
      <c r="AC3149" s="7"/>
      <c r="AD3149" s="7"/>
      <c r="AE3149" s="7"/>
    </row>
    <row r="3150">
      <c r="A3150" s="12">
        <v>69.0</v>
      </c>
      <c r="B3150" s="7" t="s">
        <v>614</v>
      </c>
      <c r="C3150" s="7" t="s">
        <v>1842</v>
      </c>
      <c r="I3150" s="13" t="s">
        <v>2438</v>
      </c>
      <c r="J3150" s="13" t="s">
        <v>820</v>
      </c>
      <c r="K3150" s="13" t="s">
        <v>303</v>
      </c>
      <c r="L3150" s="13" t="s">
        <v>2704</v>
      </c>
      <c r="M3150" s="6" t="s">
        <v>188</v>
      </c>
      <c r="N3150" s="6" t="s">
        <v>188</v>
      </c>
      <c r="O3150" s="6" t="s">
        <v>190</v>
      </c>
      <c r="P3150" s="7" t="s">
        <v>333</v>
      </c>
      <c r="Q3150" s="13"/>
      <c r="R3150" s="13"/>
      <c r="S3150" s="13"/>
      <c r="T3150" s="6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  <c r="AE3150" s="7"/>
    </row>
    <row r="3151">
      <c r="A3151" s="12">
        <v>69.0</v>
      </c>
      <c r="B3151" s="7" t="s">
        <v>614</v>
      </c>
      <c r="C3151" s="7" t="s">
        <v>1842</v>
      </c>
      <c r="I3151" s="13" t="s">
        <v>1284</v>
      </c>
      <c r="J3151" s="13" t="s">
        <v>821</v>
      </c>
      <c r="K3151" s="13" t="s">
        <v>303</v>
      </c>
      <c r="L3151" s="13" t="s">
        <v>2667</v>
      </c>
      <c r="M3151" s="6" t="s">
        <v>188</v>
      </c>
      <c r="N3151" s="6" t="s">
        <v>188</v>
      </c>
      <c r="O3151" s="6" t="s">
        <v>190</v>
      </c>
      <c r="P3151" s="7" t="s">
        <v>333</v>
      </c>
      <c r="Q3151" s="13"/>
      <c r="R3151" s="13"/>
      <c r="S3151" s="13"/>
      <c r="T3151" s="6"/>
      <c r="U3151" s="7"/>
      <c r="V3151" s="7"/>
      <c r="W3151" s="7"/>
      <c r="X3151" s="7"/>
      <c r="Y3151" s="7"/>
      <c r="Z3151" s="7"/>
      <c r="AA3151" s="7"/>
      <c r="AB3151" s="7"/>
      <c r="AC3151" s="7"/>
      <c r="AD3151" s="7"/>
      <c r="AE3151" s="7"/>
    </row>
    <row r="3152">
      <c r="A3152" s="12">
        <v>69.0</v>
      </c>
      <c r="B3152" s="7" t="s">
        <v>614</v>
      </c>
      <c r="C3152" s="7" t="s">
        <v>1842</v>
      </c>
      <c r="I3152" s="13" t="s">
        <v>1277</v>
      </c>
      <c r="J3152" s="13" t="s">
        <v>822</v>
      </c>
      <c r="K3152" s="13" t="s">
        <v>303</v>
      </c>
      <c r="L3152" s="13" t="s">
        <v>2615</v>
      </c>
      <c r="M3152" s="6" t="s">
        <v>188</v>
      </c>
      <c r="N3152" s="6" t="s">
        <v>188</v>
      </c>
      <c r="O3152" s="6" t="s">
        <v>190</v>
      </c>
      <c r="P3152" s="7" t="s">
        <v>333</v>
      </c>
      <c r="Q3152" s="13"/>
      <c r="R3152" s="13"/>
      <c r="S3152" s="13"/>
      <c r="T3152" s="6"/>
      <c r="U3152" s="7"/>
      <c r="V3152" s="7"/>
      <c r="W3152" s="7"/>
      <c r="X3152" s="7"/>
      <c r="Y3152" s="7"/>
      <c r="Z3152" s="7"/>
      <c r="AA3152" s="7"/>
      <c r="AB3152" s="7"/>
      <c r="AC3152" s="7"/>
      <c r="AD3152" s="7"/>
      <c r="AE3152" s="7"/>
    </row>
    <row r="3153">
      <c r="A3153" s="12">
        <v>69.0</v>
      </c>
      <c r="B3153" s="7" t="s">
        <v>614</v>
      </c>
      <c r="C3153" s="7" t="s">
        <v>1842</v>
      </c>
      <c r="I3153" s="13" t="s">
        <v>604</v>
      </c>
      <c r="J3153" s="13" t="s">
        <v>823</v>
      </c>
      <c r="K3153" s="13" t="s">
        <v>303</v>
      </c>
      <c r="L3153" s="13" t="s">
        <v>2607</v>
      </c>
      <c r="M3153" s="6" t="s">
        <v>188</v>
      </c>
      <c r="N3153" s="6" t="s">
        <v>188</v>
      </c>
      <c r="O3153" s="6" t="s">
        <v>190</v>
      </c>
      <c r="P3153" s="7" t="s">
        <v>333</v>
      </c>
      <c r="Q3153" s="13"/>
      <c r="R3153" s="13"/>
      <c r="S3153" s="13"/>
      <c r="T3153" s="6"/>
      <c r="U3153" s="7"/>
      <c r="V3153" s="7"/>
      <c r="W3153" s="7"/>
      <c r="X3153" s="7"/>
      <c r="Y3153" s="7"/>
      <c r="Z3153" s="7"/>
      <c r="AA3153" s="7"/>
      <c r="AB3153" s="7"/>
      <c r="AC3153" s="7"/>
      <c r="AD3153" s="7"/>
      <c r="AE3153" s="7"/>
    </row>
    <row r="3154">
      <c r="A3154" s="12">
        <v>69.0</v>
      </c>
      <c r="B3154" s="7" t="s">
        <v>614</v>
      </c>
      <c r="C3154" s="7" t="s">
        <v>1842</v>
      </c>
      <c r="I3154" s="13" t="s">
        <v>1918</v>
      </c>
      <c r="J3154" s="13" t="s">
        <v>824</v>
      </c>
      <c r="K3154" s="13" t="s">
        <v>303</v>
      </c>
      <c r="L3154" s="13" t="s">
        <v>2670</v>
      </c>
      <c r="M3154" s="6" t="s">
        <v>188</v>
      </c>
      <c r="N3154" s="6" t="s">
        <v>188</v>
      </c>
      <c r="O3154" s="6" t="s">
        <v>190</v>
      </c>
      <c r="P3154" s="7" t="s">
        <v>333</v>
      </c>
      <c r="Q3154" s="13"/>
      <c r="R3154" s="13"/>
      <c r="S3154" s="13"/>
      <c r="T3154" s="6"/>
      <c r="U3154" s="7"/>
      <c r="V3154" s="7"/>
      <c r="W3154" s="7"/>
      <c r="X3154" s="7"/>
      <c r="Y3154" s="7"/>
      <c r="Z3154" s="7"/>
      <c r="AA3154" s="7"/>
      <c r="AB3154" s="7"/>
      <c r="AC3154" s="7"/>
      <c r="AD3154" s="7"/>
      <c r="AE3154" s="7"/>
    </row>
    <row r="3155">
      <c r="A3155" s="12">
        <v>69.0</v>
      </c>
      <c r="B3155" s="7" t="s">
        <v>614</v>
      </c>
      <c r="C3155" s="7" t="s">
        <v>1842</v>
      </c>
      <c r="I3155" s="13" t="s">
        <v>2078</v>
      </c>
      <c r="J3155" s="13" t="s">
        <v>820</v>
      </c>
      <c r="K3155" s="13" t="s">
        <v>303</v>
      </c>
      <c r="L3155" s="13" t="s">
        <v>2664</v>
      </c>
      <c r="M3155" s="6" t="s">
        <v>188</v>
      </c>
      <c r="N3155" s="6" t="s">
        <v>188</v>
      </c>
      <c r="O3155" s="6" t="s">
        <v>190</v>
      </c>
      <c r="P3155" s="7" t="s">
        <v>333</v>
      </c>
      <c r="Q3155" s="13"/>
      <c r="R3155" s="13"/>
      <c r="S3155" s="13"/>
      <c r="T3155" s="6"/>
      <c r="U3155" s="7"/>
      <c r="V3155" s="7"/>
      <c r="W3155" s="7"/>
      <c r="X3155" s="7"/>
      <c r="Y3155" s="7"/>
      <c r="Z3155" s="7"/>
      <c r="AA3155" s="7"/>
      <c r="AB3155" s="7"/>
      <c r="AC3155" s="7"/>
      <c r="AD3155" s="7"/>
      <c r="AE3155" s="7"/>
    </row>
    <row r="3156">
      <c r="A3156" s="12">
        <v>69.0</v>
      </c>
      <c r="B3156" s="7" t="s">
        <v>614</v>
      </c>
      <c r="C3156" s="7" t="s">
        <v>1842</v>
      </c>
      <c r="I3156" s="13" t="s">
        <v>1894</v>
      </c>
      <c r="J3156" s="13" t="s">
        <v>821</v>
      </c>
      <c r="K3156" s="13" t="s">
        <v>303</v>
      </c>
      <c r="L3156" s="13" t="s">
        <v>2617</v>
      </c>
      <c r="M3156" s="6" t="s">
        <v>188</v>
      </c>
      <c r="N3156" s="6" t="s">
        <v>188</v>
      </c>
      <c r="O3156" s="6" t="s">
        <v>190</v>
      </c>
      <c r="P3156" s="7" t="s">
        <v>333</v>
      </c>
      <c r="Q3156" s="13"/>
      <c r="R3156" s="13"/>
      <c r="S3156" s="13"/>
      <c r="T3156" s="6"/>
      <c r="U3156" s="7"/>
      <c r="V3156" s="7"/>
      <c r="W3156" s="7"/>
      <c r="X3156" s="7"/>
      <c r="Y3156" s="7"/>
      <c r="Z3156" s="7"/>
      <c r="AA3156" s="7"/>
      <c r="AB3156" s="7"/>
      <c r="AC3156" s="7"/>
      <c r="AD3156" s="7"/>
      <c r="AE3156" s="7"/>
    </row>
    <row r="3157">
      <c r="A3157" s="12">
        <v>69.0</v>
      </c>
      <c r="B3157" s="7" t="s">
        <v>614</v>
      </c>
      <c r="C3157" s="7" t="s">
        <v>1842</v>
      </c>
      <c r="I3157" s="13" t="s">
        <v>1709</v>
      </c>
      <c r="J3157" s="13" t="s">
        <v>822</v>
      </c>
      <c r="K3157" s="13" t="s">
        <v>303</v>
      </c>
      <c r="L3157" s="13" t="s">
        <v>2675</v>
      </c>
      <c r="M3157" s="6" t="s">
        <v>188</v>
      </c>
      <c r="N3157" s="6" t="s">
        <v>188</v>
      </c>
      <c r="O3157" s="6" t="s">
        <v>190</v>
      </c>
      <c r="P3157" s="7" t="s">
        <v>333</v>
      </c>
      <c r="Q3157" s="13"/>
      <c r="R3157" s="13"/>
      <c r="S3157" s="13"/>
      <c r="T3157" s="6"/>
      <c r="U3157" s="7"/>
      <c r="V3157" s="7"/>
      <c r="W3157" s="7"/>
      <c r="X3157" s="7"/>
      <c r="Y3157" s="7"/>
      <c r="Z3157" s="7"/>
      <c r="AA3157" s="7"/>
      <c r="AB3157" s="7"/>
      <c r="AC3157" s="7"/>
      <c r="AD3157" s="7"/>
      <c r="AE3157" s="7"/>
    </row>
    <row r="3158">
      <c r="A3158" s="12">
        <v>69.0</v>
      </c>
      <c r="B3158" s="7" t="s">
        <v>614</v>
      </c>
      <c r="C3158" s="7" t="s">
        <v>1842</v>
      </c>
      <c r="I3158" s="13" t="s">
        <v>1377</v>
      </c>
      <c r="J3158" s="13" t="s">
        <v>823</v>
      </c>
      <c r="K3158" s="13" t="s">
        <v>303</v>
      </c>
      <c r="L3158" s="13" t="s">
        <v>2618</v>
      </c>
      <c r="M3158" s="6" t="s">
        <v>188</v>
      </c>
      <c r="N3158" s="6" t="s">
        <v>188</v>
      </c>
      <c r="O3158" s="6" t="s">
        <v>190</v>
      </c>
      <c r="P3158" s="7" t="s">
        <v>333</v>
      </c>
      <c r="Q3158" s="13"/>
      <c r="R3158" s="13"/>
      <c r="S3158" s="13"/>
      <c r="T3158" s="6"/>
      <c r="U3158" s="7"/>
      <c r="V3158" s="7"/>
      <c r="W3158" s="7"/>
      <c r="X3158" s="7"/>
      <c r="Y3158" s="7"/>
      <c r="Z3158" s="7"/>
      <c r="AA3158" s="7"/>
      <c r="AB3158" s="7"/>
      <c r="AC3158" s="7"/>
      <c r="AD3158" s="7"/>
      <c r="AE3158" s="7"/>
    </row>
    <row r="3159">
      <c r="A3159" s="12">
        <v>69.0</v>
      </c>
      <c r="B3159" s="7" t="s">
        <v>614</v>
      </c>
      <c r="C3159" s="7" t="s">
        <v>1842</v>
      </c>
      <c r="I3159" s="13" t="s">
        <v>2345</v>
      </c>
      <c r="J3159" s="13" t="s">
        <v>824</v>
      </c>
      <c r="K3159" s="13" t="s">
        <v>303</v>
      </c>
      <c r="L3159" s="13" t="s">
        <v>2606</v>
      </c>
      <c r="M3159" s="6" t="s">
        <v>188</v>
      </c>
      <c r="N3159" s="6" t="s">
        <v>188</v>
      </c>
      <c r="O3159" s="6" t="s">
        <v>190</v>
      </c>
      <c r="P3159" s="7" t="s">
        <v>333</v>
      </c>
      <c r="Q3159" s="13"/>
      <c r="R3159" s="13"/>
      <c r="S3159" s="13"/>
      <c r="T3159" s="6"/>
      <c r="U3159" s="7"/>
      <c r="V3159" s="7"/>
      <c r="W3159" s="7"/>
      <c r="X3159" s="7"/>
      <c r="Y3159" s="7"/>
      <c r="Z3159" s="7"/>
      <c r="AA3159" s="7"/>
      <c r="AB3159" s="7"/>
      <c r="AC3159" s="7"/>
      <c r="AD3159" s="7"/>
      <c r="AE3159" s="7"/>
    </row>
    <row r="3160">
      <c r="A3160" s="12">
        <v>69.0</v>
      </c>
      <c r="B3160" s="7" t="s">
        <v>614</v>
      </c>
      <c r="C3160" s="7" t="s">
        <v>1842</v>
      </c>
      <c r="I3160" s="13" t="s">
        <v>2079</v>
      </c>
      <c r="J3160" s="13" t="s">
        <v>820</v>
      </c>
      <c r="K3160" s="13" t="s">
        <v>303</v>
      </c>
      <c r="L3160" s="13" t="s">
        <v>2668</v>
      </c>
      <c r="M3160" s="6" t="s">
        <v>188</v>
      </c>
      <c r="N3160" s="6" t="s">
        <v>188</v>
      </c>
      <c r="O3160" s="6" t="s">
        <v>190</v>
      </c>
      <c r="P3160" s="7" t="s">
        <v>333</v>
      </c>
      <c r="Q3160" s="13"/>
      <c r="R3160" s="13"/>
      <c r="S3160" s="13"/>
      <c r="T3160" s="6"/>
      <c r="U3160" s="7"/>
      <c r="V3160" s="7"/>
      <c r="W3160" s="7"/>
      <c r="X3160" s="7"/>
      <c r="Y3160" s="7"/>
      <c r="Z3160" s="7"/>
      <c r="AA3160" s="7"/>
      <c r="AB3160" s="7"/>
      <c r="AC3160" s="7"/>
      <c r="AD3160" s="7"/>
      <c r="AE3160" s="7"/>
    </row>
    <row r="3161">
      <c r="A3161" s="12">
        <v>69.0</v>
      </c>
      <c r="B3161" s="7" t="s">
        <v>614</v>
      </c>
      <c r="C3161" s="7" t="s">
        <v>1842</v>
      </c>
      <c r="I3161" s="13" t="s">
        <v>2403</v>
      </c>
      <c r="J3161" s="13" t="s">
        <v>821</v>
      </c>
      <c r="K3161" s="13" t="s">
        <v>303</v>
      </c>
      <c r="L3161" s="13" t="s">
        <v>2623</v>
      </c>
      <c r="M3161" s="6" t="s">
        <v>188</v>
      </c>
      <c r="N3161" s="6" t="s">
        <v>188</v>
      </c>
      <c r="O3161" s="6" t="s">
        <v>190</v>
      </c>
      <c r="P3161" s="7" t="s">
        <v>333</v>
      </c>
      <c r="Q3161" s="13"/>
      <c r="R3161" s="13"/>
      <c r="S3161" s="13"/>
      <c r="T3161" s="6"/>
      <c r="U3161" s="7"/>
      <c r="V3161" s="7"/>
      <c r="W3161" s="7"/>
      <c r="X3161" s="7"/>
      <c r="Y3161" s="7"/>
      <c r="Z3161" s="7"/>
      <c r="AA3161" s="7"/>
      <c r="AB3161" s="7"/>
      <c r="AC3161" s="7"/>
      <c r="AD3161" s="7"/>
      <c r="AE3161" s="7"/>
    </row>
    <row r="3162">
      <c r="A3162" s="12">
        <v>69.0</v>
      </c>
      <c r="B3162" s="7" t="s">
        <v>614</v>
      </c>
      <c r="C3162" s="7" t="s">
        <v>1842</v>
      </c>
      <c r="I3162" s="13" t="s">
        <v>621</v>
      </c>
      <c r="J3162" s="13" t="s">
        <v>822</v>
      </c>
      <c r="K3162" s="13" t="s">
        <v>303</v>
      </c>
      <c r="L3162" s="13" t="s">
        <v>2619</v>
      </c>
      <c r="M3162" s="6" t="s">
        <v>188</v>
      </c>
      <c r="N3162" s="6" t="s">
        <v>188</v>
      </c>
      <c r="O3162" s="6" t="s">
        <v>190</v>
      </c>
      <c r="P3162" s="7" t="s">
        <v>333</v>
      </c>
      <c r="Q3162" s="13"/>
      <c r="R3162" s="13"/>
      <c r="S3162" s="13"/>
      <c r="T3162" s="6"/>
      <c r="U3162" s="7"/>
      <c r="V3162" s="7"/>
      <c r="W3162" s="7"/>
      <c r="X3162" s="7"/>
      <c r="Y3162" s="7"/>
      <c r="Z3162" s="7"/>
      <c r="AA3162" s="7"/>
      <c r="AB3162" s="7"/>
      <c r="AC3162" s="7"/>
      <c r="AD3162" s="7"/>
      <c r="AE3162" s="7"/>
    </row>
    <row r="3163">
      <c r="A3163" s="12">
        <v>69.0</v>
      </c>
      <c r="B3163" s="7" t="s">
        <v>614</v>
      </c>
      <c r="C3163" s="7" t="s">
        <v>1842</v>
      </c>
      <c r="I3163" s="13" t="s">
        <v>663</v>
      </c>
      <c r="J3163" s="13" t="s">
        <v>823</v>
      </c>
      <c r="K3163" s="13" t="s">
        <v>303</v>
      </c>
      <c r="L3163" s="13" t="s">
        <v>2620</v>
      </c>
      <c r="M3163" s="6" t="s">
        <v>188</v>
      </c>
      <c r="N3163" s="6" t="s">
        <v>188</v>
      </c>
      <c r="O3163" s="6" t="s">
        <v>190</v>
      </c>
      <c r="P3163" s="7" t="s">
        <v>333</v>
      </c>
      <c r="Q3163" s="13"/>
      <c r="R3163" s="13"/>
      <c r="S3163" s="13"/>
      <c r="T3163" s="6"/>
      <c r="U3163" s="7"/>
      <c r="V3163" s="7"/>
      <c r="W3163" s="7"/>
      <c r="X3163" s="7"/>
      <c r="Y3163" s="7"/>
      <c r="Z3163" s="7"/>
      <c r="AA3163" s="7"/>
      <c r="AB3163" s="7"/>
      <c r="AC3163" s="7"/>
      <c r="AD3163" s="7"/>
      <c r="AE3163" s="7"/>
    </row>
    <row r="3164">
      <c r="A3164" s="12">
        <v>69.0</v>
      </c>
      <c r="B3164" s="7" t="s">
        <v>614</v>
      </c>
      <c r="C3164" s="7" t="s">
        <v>1842</v>
      </c>
      <c r="I3164" s="13" t="s">
        <v>2447</v>
      </c>
      <c r="J3164" s="13" t="s">
        <v>824</v>
      </c>
      <c r="K3164" s="13" t="s">
        <v>303</v>
      </c>
      <c r="L3164" s="13" t="s">
        <v>2621</v>
      </c>
      <c r="M3164" s="6" t="s">
        <v>188</v>
      </c>
      <c r="N3164" s="6" t="s">
        <v>188</v>
      </c>
      <c r="O3164" s="6" t="s">
        <v>190</v>
      </c>
      <c r="P3164" s="7" t="s">
        <v>333</v>
      </c>
      <c r="Q3164" s="13"/>
      <c r="R3164" s="13"/>
      <c r="S3164" s="13"/>
      <c r="T3164" s="6"/>
      <c r="U3164" s="7"/>
      <c r="V3164" s="7"/>
      <c r="W3164" s="7"/>
      <c r="X3164" s="7"/>
      <c r="Y3164" s="7"/>
      <c r="Z3164" s="7"/>
      <c r="AA3164" s="7"/>
      <c r="AB3164" s="7"/>
      <c r="AC3164" s="7"/>
      <c r="AD3164" s="7"/>
      <c r="AE3164" s="7"/>
    </row>
    <row r="3165">
      <c r="A3165" s="12">
        <v>69.0</v>
      </c>
      <c r="B3165" s="7" t="s">
        <v>614</v>
      </c>
      <c r="C3165" s="7" t="s">
        <v>1842</v>
      </c>
      <c r="I3165" s="13" t="s">
        <v>2622</v>
      </c>
      <c r="J3165" s="13" t="s">
        <v>820</v>
      </c>
      <c r="K3165" s="13" t="s">
        <v>303</v>
      </c>
      <c r="L3165" s="13" t="s">
        <v>2620</v>
      </c>
      <c r="M3165" s="6" t="s">
        <v>188</v>
      </c>
      <c r="N3165" s="6" t="s">
        <v>188</v>
      </c>
      <c r="O3165" s="6" t="s">
        <v>190</v>
      </c>
      <c r="P3165" s="7" t="s">
        <v>333</v>
      </c>
      <c r="Q3165" s="13"/>
      <c r="R3165" s="13"/>
      <c r="S3165" s="13"/>
      <c r="T3165" s="6"/>
      <c r="U3165" s="7"/>
      <c r="V3165" s="7"/>
      <c r="W3165" s="7"/>
      <c r="X3165" s="7"/>
      <c r="Y3165" s="7"/>
      <c r="Z3165" s="7"/>
      <c r="AA3165" s="7"/>
      <c r="AB3165" s="7"/>
      <c r="AC3165" s="7"/>
      <c r="AD3165" s="7"/>
      <c r="AE3165" s="7"/>
    </row>
    <row r="3166">
      <c r="A3166" s="12">
        <v>69.0</v>
      </c>
      <c r="B3166" s="7" t="s">
        <v>614</v>
      </c>
      <c r="C3166" s="7" t="s">
        <v>1842</v>
      </c>
      <c r="I3166" s="13" t="s">
        <v>2030</v>
      </c>
      <c r="J3166" s="13" t="s">
        <v>821</v>
      </c>
      <c r="K3166" s="13" t="s">
        <v>303</v>
      </c>
      <c r="L3166" s="13" t="s">
        <v>2677</v>
      </c>
      <c r="M3166" s="6" t="s">
        <v>188</v>
      </c>
      <c r="N3166" s="6" t="s">
        <v>188</v>
      </c>
      <c r="O3166" s="6" t="s">
        <v>190</v>
      </c>
      <c r="P3166" s="7" t="s">
        <v>333</v>
      </c>
      <c r="Q3166" s="13"/>
      <c r="R3166" s="13"/>
      <c r="S3166" s="13"/>
      <c r="T3166" s="6"/>
      <c r="U3166" s="7"/>
      <c r="V3166" s="7"/>
      <c r="W3166" s="7"/>
      <c r="X3166" s="7"/>
      <c r="Y3166" s="7"/>
      <c r="Z3166" s="7"/>
      <c r="AA3166" s="7"/>
      <c r="AB3166" s="7"/>
      <c r="AC3166" s="7"/>
      <c r="AD3166" s="7"/>
      <c r="AE3166" s="7"/>
    </row>
    <row r="3167">
      <c r="A3167" s="12">
        <v>69.0</v>
      </c>
      <c r="B3167" s="7" t="s">
        <v>614</v>
      </c>
      <c r="C3167" s="7" t="s">
        <v>1842</v>
      </c>
      <c r="I3167" s="13" t="s">
        <v>1593</v>
      </c>
      <c r="J3167" s="13" t="s">
        <v>822</v>
      </c>
      <c r="K3167" s="13" t="s">
        <v>303</v>
      </c>
      <c r="L3167" s="13" t="s">
        <v>2624</v>
      </c>
      <c r="M3167" s="6" t="s">
        <v>188</v>
      </c>
      <c r="N3167" s="6" t="s">
        <v>188</v>
      </c>
      <c r="O3167" s="6" t="s">
        <v>190</v>
      </c>
      <c r="P3167" s="7" t="s">
        <v>333</v>
      </c>
      <c r="Q3167" s="13"/>
      <c r="R3167" s="13"/>
      <c r="S3167" s="13"/>
      <c r="T3167" s="6"/>
      <c r="U3167" s="7"/>
      <c r="V3167" s="7"/>
      <c r="W3167" s="7"/>
      <c r="X3167" s="7"/>
      <c r="Y3167" s="7"/>
      <c r="Z3167" s="7"/>
      <c r="AA3167" s="7"/>
      <c r="AB3167" s="7"/>
      <c r="AC3167" s="7"/>
      <c r="AD3167" s="7"/>
      <c r="AE3167" s="7"/>
    </row>
    <row r="3168">
      <c r="A3168" s="12">
        <v>69.0</v>
      </c>
      <c r="B3168" s="7" t="s">
        <v>614</v>
      </c>
      <c r="C3168" s="7" t="s">
        <v>1842</v>
      </c>
      <c r="I3168" s="13" t="s">
        <v>1903</v>
      </c>
      <c r="J3168" s="13" t="s">
        <v>823</v>
      </c>
      <c r="K3168" s="13" t="s">
        <v>303</v>
      </c>
      <c r="L3168" s="13" t="s">
        <v>2620</v>
      </c>
      <c r="M3168" s="6" t="s">
        <v>188</v>
      </c>
      <c r="N3168" s="6" t="s">
        <v>188</v>
      </c>
      <c r="O3168" s="6" t="s">
        <v>190</v>
      </c>
      <c r="P3168" s="7" t="s">
        <v>333</v>
      </c>
      <c r="Q3168" s="13"/>
      <c r="R3168" s="13"/>
      <c r="S3168" s="13"/>
      <c r="T3168" s="6"/>
      <c r="U3168" s="7"/>
      <c r="V3168" s="7"/>
      <c r="W3168" s="7"/>
      <c r="X3168" s="7"/>
      <c r="Y3168" s="7"/>
      <c r="Z3168" s="7"/>
      <c r="AA3168" s="7"/>
      <c r="AB3168" s="7"/>
      <c r="AC3168" s="7"/>
      <c r="AD3168" s="7"/>
      <c r="AE3168" s="7"/>
    </row>
    <row r="3169">
      <c r="A3169" s="12">
        <v>69.0</v>
      </c>
      <c r="B3169" s="7" t="s">
        <v>614</v>
      </c>
      <c r="C3169" s="7" t="s">
        <v>1842</v>
      </c>
      <c r="I3169" s="13" t="s">
        <v>1596</v>
      </c>
      <c r="J3169" s="13" t="s">
        <v>824</v>
      </c>
      <c r="K3169" s="13" t="s">
        <v>303</v>
      </c>
      <c r="L3169" s="13" t="s">
        <v>2624</v>
      </c>
      <c r="M3169" s="6" t="s">
        <v>188</v>
      </c>
      <c r="N3169" s="6" t="s">
        <v>188</v>
      </c>
      <c r="O3169" s="6" t="s">
        <v>190</v>
      </c>
      <c r="P3169" s="7" t="s">
        <v>333</v>
      </c>
      <c r="Q3169" s="13"/>
      <c r="R3169" s="13"/>
      <c r="S3169" s="13"/>
      <c r="T3169" s="6"/>
      <c r="U3169" s="7"/>
      <c r="V3169" s="7"/>
      <c r="W3169" s="7"/>
      <c r="X3169" s="7"/>
      <c r="Y3169" s="7"/>
      <c r="Z3169" s="7"/>
      <c r="AA3169" s="7"/>
      <c r="AB3169" s="7"/>
      <c r="AC3169" s="7"/>
      <c r="AD3169" s="7"/>
      <c r="AE3169" s="7"/>
    </row>
    <row r="3170">
      <c r="A3170" s="12">
        <v>69.0</v>
      </c>
      <c r="B3170" s="7" t="s">
        <v>614</v>
      </c>
      <c r="C3170" s="7" t="s">
        <v>1842</v>
      </c>
      <c r="I3170" s="13" t="s">
        <v>1876</v>
      </c>
      <c r="J3170" s="13" t="s">
        <v>820</v>
      </c>
      <c r="K3170" s="13" t="s">
        <v>303</v>
      </c>
      <c r="L3170" s="13" t="s">
        <v>2619</v>
      </c>
      <c r="M3170" s="6" t="s">
        <v>188</v>
      </c>
      <c r="N3170" s="6" t="s">
        <v>188</v>
      </c>
      <c r="O3170" s="6" t="s">
        <v>190</v>
      </c>
      <c r="P3170" s="7" t="s">
        <v>333</v>
      </c>
      <c r="Q3170" s="13"/>
      <c r="R3170" s="13"/>
      <c r="S3170" s="13"/>
      <c r="T3170" s="6"/>
      <c r="U3170" s="7"/>
      <c r="V3170" s="7"/>
      <c r="W3170" s="7"/>
      <c r="X3170" s="7"/>
      <c r="Y3170" s="7"/>
      <c r="Z3170" s="7"/>
      <c r="AA3170" s="7"/>
      <c r="AB3170" s="7"/>
      <c r="AC3170" s="7"/>
      <c r="AD3170" s="7"/>
      <c r="AE3170" s="7"/>
    </row>
    <row r="3171">
      <c r="A3171" s="12">
        <v>69.0</v>
      </c>
      <c r="B3171" s="7" t="s">
        <v>614</v>
      </c>
      <c r="C3171" s="7" t="s">
        <v>1842</v>
      </c>
      <c r="I3171" s="13" t="s">
        <v>2068</v>
      </c>
      <c r="J3171" s="13" t="s">
        <v>821</v>
      </c>
      <c r="K3171" s="13" t="s">
        <v>303</v>
      </c>
      <c r="L3171" s="13" t="s">
        <v>2677</v>
      </c>
      <c r="M3171" s="6" t="s">
        <v>188</v>
      </c>
      <c r="N3171" s="6" t="s">
        <v>188</v>
      </c>
      <c r="O3171" s="6" t="s">
        <v>190</v>
      </c>
      <c r="P3171" s="7" t="s">
        <v>333</v>
      </c>
      <c r="Q3171" s="13"/>
      <c r="R3171" s="13"/>
      <c r="S3171" s="13"/>
      <c r="T3171" s="6"/>
      <c r="U3171" s="7"/>
      <c r="V3171" s="7"/>
      <c r="W3171" s="7"/>
      <c r="X3171" s="7"/>
      <c r="Y3171" s="7"/>
      <c r="Z3171" s="7"/>
      <c r="AA3171" s="7"/>
      <c r="AB3171" s="7"/>
      <c r="AC3171" s="7"/>
      <c r="AD3171" s="7"/>
      <c r="AE3171" s="7"/>
    </row>
    <row r="3172">
      <c r="A3172" s="12">
        <v>69.0</v>
      </c>
      <c r="B3172" s="7" t="s">
        <v>614</v>
      </c>
      <c r="C3172" s="7" t="s">
        <v>1842</v>
      </c>
      <c r="I3172" s="13" t="s">
        <v>2452</v>
      </c>
      <c r="J3172" s="13" t="s">
        <v>822</v>
      </c>
      <c r="K3172" s="13" t="s">
        <v>303</v>
      </c>
      <c r="L3172" s="13" t="s">
        <v>2621</v>
      </c>
      <c r="M3172" s="6" t="s">
        <v>188</v>
      </c>
      <c r="N3172" s="6" t="s">
        <v>188</v>
      </c>
      <c r="O3172" s="6" t="s">
        <v>190</v>
      </c>
      <c r="P3172" s="7" t="s">
        <v>333</v>
      </c>
      <c r="Q3172" s="13"/>
      <c r="R3172" s="13"/>
      <c r="S3172" s="13"/>
      <c r="T3172" s="6"/>
      <c r="U3172" s="7"/>
      <c r="V3172" s="7"/>
      <c r="W3172" s="7"/>
      <c r="X3172" s="7"/>
      <c r="Y3172" s="7"/>
      <c r="Z3172" s="7"/>
      <c r="AA3172" s="7"/>
      <c r="AB3172" s="7"/>
      <c r="AC3172" s="7"/>
      <c r="AD3172" s="7"/>
      <c r="AE3172" s="7"/>
    </row>
    <row r="3173">
      <c r="A3173" s="12">
        <v>69.0</v>
      </c>
      <c r="B3173" s="7" t="s">
        <v>614</v>
      </c>
      <c r="C3173" s="7" t="s">
        <v>1842</v>
      </c>
      <c r="I3173" s="13" t="s">
        <v>1713</v>
      </c>
      <c r="J3173" s="13" t="s">
        <v>823</v>
      </c>
      <c r="K3173" s="13" t="s">
        <v>303</v>
      </c>
      <c r="L3173" s="13" t="s">
        <v>2621</v>
      </c>
      <c r="M3173" s="6" t="s">
        <v>188</v>
      </c>
      <c r="N3173" s="6" t="s">
        <v>188</v>
      </c>
      <c r="O3173" s="6" t="s">
        <v>190</v>
      </c>
      <c r="P3173" s="7" t="s">
        <v>333</v>
      </c>
      <c r="Q3173" s="13"/>
      <c r="R3173" s="13"/>
      <c r="S3173" s="13"/>
      <c r="T3173" s="6"/>
      <c r="U3173" s="7"/>
      <c r="V3173" s="7"/>
      <c r="W3173" s="7"/>
      <c r="X3173" s="7"/>
      <c r="Y3173" s="7"/>
      <c r="Z3173" s="7"/>
      <c r="AA3173" s="7"/>
      <c r="AB3173" s="7"/>
      <c r="AC3173" s="7"/>
      <c r="AD3173" s="7"/>
      <c r="AE3173" s="7"/>
    </row>
    <row r="3174">
      <c r="A3174" s="12">
        <v>69.0</v>
      </c>
      <c r="B3174" s="7" t="s">
        <v>614</v>
      </c>
      <c r="C3174" s="7" t="s">
        <v>1842</v>
      </c>
      <c r="I3174" s="13" t="s">
        <v>1143</v>
      </c>
      <c r="J3174" s="13" t="s">
        <v>824</v>
      </c>
      <c r="K3174" s="13" t="s">
        <v>303</v>
      </c>
      <c r="L3174" s="13" t="s">
        <v>2621</v>
      </c>
      <c r="M3174" s="6" t="s">
        <v>188</v>
      </c>
      <c r="N3174" s="6" t="s">
        <v>188</v>
      </c>
      <c r="O3174" s="6" t="s">
        <v>190</v>
      </c>
      <c r="P3174" s="7" t="s">
        <v>333</v>
      </c>
      <c r="Q3174" s="13"/>
      <c r="R3174" s="13"/>
      <c r="S3174" s="13"/>
      <c r="T3174" s="6"/>
      <c r="U3174" s="7"/>
      <c r="V3174" s="7"/>
      <c r="W3174" s="7"/>
      <c r="X3174" s="7"/>
      <c r="Y3174" s="7"/>
      <c r="Z3174" s="7"/>
      <c r="AA3174" s="7"/>
      <c r="AB3174" s="7"/>
      <c r="AC3174" s="7"/>
      <c r="AD3174" s="7"/>
      <c r="AE3174" s="7"/>
    </row>
    <row r="3175">
      <c r="A3175" s="12">
        <v>69.0</v>
      </c>
      <c r="B3175" s="7" t="s">
        <v>614</v>
      </c>
      <c r="C3175" s="7" t="s">
        <v>1842</v>
      </c>
      <c r="I3175" s="13" t="s">
        <v>2072</v>
      </c>
      <c r="J3175" s="13" t="s">
        <v>820</v>
      </c>
      <c r="K3175" s="13" t="s">
        <v>303</v>
      </c>
      <c r="L3175" s="13" t="s">
        <v>2677</v>
      </c>
      <c r="M3175" s="6" t="s">
        <v>188</v>
      </c>
      <c r="N3175" s="6" t="s">
        <v>188</v>
      </c>
      <c r="O3175" s="6" t="s">
        <v>190</v>
      </c>
      <c r="P3175" s="7" t="s">
        <v>333</v>
      </c>
      <c r="Q3175" s="13"/>
      <c r="R3175" s="13"/>
      <c r="S3175" s="13"/>
      <c r="T3175" s="6"/>
      <c r="U3175" s="6"/>
      <c r="V3175" s="7"/>
      <c r="W3175" s="7"/>
      <c r="X3175" s="7"/>
      <c r="Y3175" s="7"/>
      <c r="Z3175" s="7"/>
      <c r="AA3175" s="7"/>
      <c r="AB3175" s="7"/>
      <c r="AC3175" s="7"/>
      <c r="AD3175" s="7"/>
      <c r="AE3175" s="7"/>
    </row>
    <row r="3176">
      <c r="A3176" s="12">
        <v>69.0</v>
      </c>
      <c r="B3176" s="7" t="s">
        <v>614</v>
      </c>
      <c r="C3176" s="7" t="s">
        <v>1842</v>
      </c>
      <c r="I3176" s="13" t="s">
        <v>1699</v>
      </c>
      <c r="J3176" s="13" t="s">
        <v>821</v>
      </c>
      <c r="K3176" s="13" t="s">
        <v>303</v>
      </c>
      <c r="L3176" s="13" t="s">
        <v>2621</v>
      </c>
      <c r="M3176" s="6" t="s">
        <v>188</v>
      </c>
      <c r="N3176" s="6" t="s">
        <v>188</v>
      </c>
      <c r="O3176" s="6" t="s">
        <v>190</v>
      </c>
      <c r="P3176" s="7" t="s">
        <v>333</v>
      </c>
      <c r="Q3176" s="13"/>
      <c r="R3176" s="13"/>
      <c r="S3176" s="13"/>
      <c r="T3176" s="6"/>
      <c r="U3176" s="7"/>
      <c r="V3176" s="7"/>
      <c r="W3176" s="7"/>
      <c r="X3176" s="7"/>
      <c r="Y3176" s="7"/>
      <c r="Z3176" s="7"/>
      <c r="AA3176" s="7"/>
      <c r="AB3176" s="7"/>
      <c r="AC3176" s="7"/>
      <c r="AD3176" s="7"/>
      <c r="AE3176" s="7"/>
    </row>
    <row r="3177">
      <c r="A3177" s="12">
        <v>69.0</v>
      </c>
      <c r="B3177" s="7" t="s">
        <v>614</v>
      </c>
      <c r="C3177" s="7" t="s">
        <v>1842</v>
      </c>
      <c r="I3177" s="13" t="s">
        <v>2071</v>
      </c>
      <c r="J3177" s="13" t="s">
        <v>822</v>
      </c>
      <c r="K3177" s="13" t="s">
        <v>303</v>
      </c>
      <c r="L3177" s="13" t="s">
        <v>2678</v>
      </c>
      <c r="M3177" s="6" t="s">
        <v>188</v>
      </c>
      <c r="N3177" s="6" t="s">
        <v>188</v>
      </c>
      <c r="O3177" s="6" t="s">
        <v>190</v>
      </c>
      <c r="P3177" s="7" t="s">
        <v>333</v>
      </c>
      <c r="Q3177" s="13"/>
      <c r="R3177" s="13"/>
      <c r="S3177" s="13"/>
      <c r="T3177" s="6"/>
      <c r="U3177" s="7"/>
      <c r="V3177" s="7"/>
      <c r="W3177" s="7"/>
      <c r="X3177" s="7"/>
      <c r="Y3177" s="7"/>
      <c r="Z3177" s="7"/>
      <c r="AA3177" s="7"/>
      <c r="AB3177" s="7"/>
      <c r="AC3177" s="7"/>
      <c r="AD3177" s="7"/>
      <c r="AE3177" s="7"/>
    </row>
    <row r="3178">
      <c r="A3178" s="12">
        <v>69.0</v>
      </c>
      <c r="B3178" s="7" t="s">
        <v>614</v>
      </c>
      <c r="C3178" s="7" t="s">
        <v>1842</v>
      </c>
      <c r="I3178" s="13" t="s">
        <v>1825</v>
      </c>
      <c r="J3178" s="13" t="s">
        <v>823</v>
      </c>
      <c r="K3178" s="13" t="s">
        <v>303</v>
      </c>
      <c r="L3178" s="13" t="s">
        <v>2678</v>
      </c>
      <c r="M3178" s="6" t="s">
        <v>188</v>
      </c>
      <c r="N3178" s="6" t="s">
        <v>188</v>
      </c>
      <c r="O3178" s="6" t="s">
        <v>190</v>
      </c>
      <c r="P3178" s="7" t="s">
        <v>333</v>
      </c>
      <c r="Q3178" s="13"/>
      <c r="R3178" s="13"/>
      <c r="S3178" s="13"/>
      <c r="T3178" s="6"/>
      <c r="U3178" s="7"/>
      <c r="V3178" s="7"/>
      <c r="W3178" s="7"/>
      <c r="X3178" s="7"/>
      <c r="Y3178" s="7"/>
      <c r="Z3178" s="7"/>
      <c r="AA3178" s="7"/>
      <c r="AB3178" s="7"/>
      <c r="AC3178" s="7"/>
      <c r="AD3178" s="7"/>
      <c r="AE3178" s="7"/>
    </row>
    <row r="3179">
      <c r="A3179" s="12">
        <v>69.0</v>
      </c>
      <c r="B3179" s="7" t="s">
        <v>614</v>
      </c>
      <c r="C3179" s="7" t="s">
        <v>1842</v>
      </c>
      <c r="I3179" s="13" t="s">
        <v>197</v>
      </c>
      <c r="J3179" s="13" t="s">
        <v>824</v>
      </c>
      <c r="K3179" s="13" t="s">
        <v>303</v>
      </c>
      <c r="L3179" s="13" t="s">
        <v>2678</v>
      </c>
      <c r="M3179" s="6" t="s">
        <v>188</v>
      </c>
      <c r="N3179" s="6" t="s">
        <v>188</v>
      </c>
      <c r="O3179" s="6" t="s">
        <v>190</v>
      </c>
      <c r="P3179" s="7" t="s">
        <v>333</v>
      </c>
      <c r="Q3179" s="13"/>
      <c r="R3179" s="13"/>
      <c r="S3179" s="13"/>
      <c r="T3179" s="6"/>
      <c r="U3179" s="7"/>
      <c r="V3179" s="7"/>
      <c r="W3179" s="7"/>
      <c r="X3179" s="7"/>
      <c r="Y3179" s="7"/>
      <c r="Z3179" s="7"/>
      <c r="AA3179" s="7"/>
      <c r="AB3179" s="7"/>
      <c r="AC3179" s="7"/>
      <c r="AD3179" s="7"/>
      <c r="AE3179" s="7"/>
    </row>
    <row r="3180">
      <c r="A3180" s="12">
        <v>69.0</v>
      </c>
      <c r="B3180" s="7" t="s">
        <v>614</v>
      </c>
      <c r="C3180" s="7" t="s">
        <v>1842</v>
      </c>
      <c r="I3180" s="13" t="s">
        <v>2348</v>
      </c>
      <c r="J3180" s="13" t="s">
        <v>820</v>
      </c>
      <c r="K3180" s="13" t="s">
        <v>303</v>
      </c>
      <c r="L3180" s="13" t="s">
        <v>2621</v>
      </c>
      <c r="M3180" s="6" t="s">
        <v>188</v>
      </c>
      <c r="N3180" s="6" t="s">
        <v>188</v>
      </c>
      <c r="O3180" s="6" t="s">
        <v>190</v>
      </c>
      <c r="P3180" s="7" t="s">
        <v>333</v>
      </c>
      <c r="Q3180" s="13"/>
      <c r="R3180" s="13"/>
      <c r="S3180" s="13"/>
      <c r="T3180" s="6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  <c r="AE3180" s="7"/>
    </row>
    <row r="3181">
      <c r="A3181" s="12">
        <v>69.0</v>
      </c>
      <c r="B3181" s="7" t="s">
        <v>614</v>
      </c>
      <c r="C3181" s="7" t="s">
        <v>1842</v>
      </c>
      <c r="I3181" s="13" t="s">
        <v>1338</v>
      </c>
      <c r="J3181" s="13" t="s">
        <v>821</v>
      </c>
      <c r="K3181" s="13" t="s">
        <v>303</v>
      </c>
      <c r="L3181" s="13" t="s">
        <v>2621</v>
      </c>
      <c r="M3181" s="6" t="s">
        <v>188</v>
      </c>
      <c r="N3181" s="6" t="s">
        <v>188</v>
      </c>
      <c r="O3181" s="6" t="s">
        <v>190</v>
      </c>
      <c r="P3181" s="7" t="s">
        <v>333</v>
      </c>
      <c r="Q3181" s="13"/>
      <c r="R3181" s="13"/>
      <c r="S3181" s="13"/>
      <c r="T3181" s="6"/>
      <c r="U3181" s="7"/>
      <c r="V3181" s="7"/>
      <c r="W3181" s="7"/>
      <c r="X3181" s="7"/>
      <c r="Y3181" s="7"/>
      <c r="Z3181" s="7"/>
      <c r="AA3181" s="7"/>
      <c r="AB3181" s="7"/>
      <c r="AC3181" s="7"/>
      <c r="AD3181" s="7"/>
      <c r="AE3181" s="7"/>
    </row>
    <row r="3182">
      <c r="A3182" s="12">
        <v>69.0</v>
      </c>
      <c r="B3182" s="7" t="s">
        <v>614</v>
      </c>
      <c r="C3182" s="7" t="s">
        <v>1842</v>
      </c>
      <c r="I3182" s="13" t="s">
        <v>1846</v>
      </c>
      <c r="J3182" s="13" t="s">
        <v>822</v>
      </c>
      <c r="K3182" s="13" t="s">
        <v>303</v>
      </c>
      <c r="L3182" s="13" t="s">
        <v>2677</v>
      </c>
      <c r="M3182" s="6" t="s">
        <v>188</v>
      </c>
      <c r="N3182" s="6" t="s">
        <v>188</v>
      </c>
      <c r="O3182" s="6" t="s">
        <v>190</v>
      </c>
      <c r="P3182" s="7" t="s">
        <v>333</v>
      </c>
      <c r="Q3182" s="13"/>
      <c r="R3182" s="13"/>
      <c r="S3182" s="13"/>
      <c r="T3182" s="6"/>
      <c r="U3182" s="7"/>
      <c r="V3182" s="7"/>
      <c r="W3182" s="7"/>
      <c r="X3182" s="7"/>
      <c r="Y3182" s="7"/>
      <c r="Z3182" s="7"/>
      <c r="AA3182" s="7"/>
      <c r="AB3182" s="7"/>
      <c r="AC3182" s="7"/>
      <c r="AD3182" s="7"/>
      <c r="AE3182" s="7"/>
    </row>
    <row r="3183">
      <c r="A3183" s="12">
        <v>69.0</v>
      </c>
      <c r="B3183" s="7" t="s">
        <v>614</v>
      </c>
      <c r="C3183" s="7" t="s">
        <v>1842</v>
      </c>
      <c r="I3183" s="13" t="s">
        <v>1878</v>
      </c>
      <c r="J3183" s="13" t="s">
        <v>823</v>
      </c>
      <c r="K3183" s="13" t="s">
        <v>303</v>
      </c>
      <c r="L3183" s="13" t="s">
        <v>2619</v>
      </c>
      <c r="M3183" s="6" t="s">
        <v>188</v>
      </c>
      <c r="N3183" s="6" t="s">
        <v>188</v>
      </c>
      <c r="O3183" s="6" t="s">
        <v>190</v>
      </c>
      <c r="P3183" s="7" t="s">
        <v>333</v>
      </c>
      <c r="Q3183" s="13"/>
      <c r="R3183" s="13"/>
      <c r="S3183" s="13"/>
      <c r="T3183" s="6"/>
      <c r="U3183" s="7"/>
      <c r="V3183" s="7"/>
      <c r="W3183" s="7"/>
      <c r="X3183" s="7"/>
      <c r="Y3183" s="7"/>
      <c r="Z3183" s="7"/>
      <c r="AA3183" s="7"/>
      <c r="AB3183" s="7"/>
      <c r="AC3183" s="7"/>
      <c r="AD3183" s="7"/>
      <c r="AE3183" s="7"/>
    </row>
    <row r="3184">
      <c r="A3184" s="12">
        <v>69.0</v>
      </c>
      <c r="B3184" s="7" t="s">
        <v>614</v>
      </c>
      <c r="C3184" s="7" t="s">
        <v>1842</v>
      </c>
      <c r="I3184" s="13" t="s">
        <v>2388</v>
      </c>
      <c r="J3184" s="13" t="s">
        <v>824</v>
      </c>
      <c r="K3184" s="13" t="s">
        <v>303</v>
      </c>
      <c r="L3184" s="13" t="s">
        <v>2620</v>
      </c>
      <c r="M3184" s="6" t="s">
        <v>188</v>
      </c>
      <c r="N3184" s="6" t="s">
        <v>188</v>
      </c>
      <c r="O3184" s="6" t="s">
        <v>190</v>
      </c>
      <c r="P3184" s="7" t="s">
        <v>333</v>
      </c>
      <c r="Q3184" s="13"/>
      <c r="R3184" s="13"/>
      <c r="S3184" s="13"/>
      <c r="T3184" s="6"/>
      <c r="U3184" s="7"/>
      <c r="V3184" s="7"/>
      <c r="W3184" s="7"/>
      <c r="X3184" s="7"/>
      <c r="Y3184" s="7"/>
      <c r="Z3184" s="7"/>
      <c r="AA3184" s="7"/>
      <c r="AB3184" s="7"/>
      <c r="AC3184" s="7"/>
      <c r="AD3184" s="7"/>
      <c r="AE3184" s="7"/>
    </row>
    <row r="3185">
      <c r="A3185" s="12">
        <v>70.0</v>
      </c>
      <c r="B3185" s="7" t="s">
        <v>621</v>
      </c>
      <c r="C3185" s="7" t="s">
        <v>1842</v>
      </c>
      <c r="D3185" s="26">
        <f>IF(COUNTIF($B$2:$B3185,$B3185)&gt;1,"",COUNTIF($B$2:$B$3400,$B3185))</f>
        <v>50</v>
      </c>
      <c r="E3185" s="26">
        <f>IF(COUNTIF($B$2:$B3185,$B3185)&gt;1,"",COUNTIFS($B$2:$B$3400,$B3185,$K$2:$K$3400,"PHÙ HỢP CAO"))</f>
        <v>4</v>
      </c>
      <c r="F3185" s="26">
        <f>IF(COUNTIF($B$2:$B3185,$B3185)&gt;1,"",COUNTIFS($B$2:$B$3400,$B3185,$K$2:$K$3400,"CÓ THỂ ĐI"))</f>
        <v>1</v>
      </c>
      <c r="G3185" s="26">
        <f>IF(COUNTIF($B$2:$B3185,$B3185)&gt;1,"",COUNTIFS($B$2:$B$3400,$B3185,$K$2:$K$3400,"CẦN SOÁT"))</f>
        <v>45</v>
      </c>
      <c r="H3185" s="27" t="str">
        <f>IFERROR(__xludf.DUMMYFUNCTION("IF(COUNTIF($B$2:$B3185,$B3185)&gt;1,"""",IFERROR(TEXTJOIN(CHAR(10),TRUE,BYROW(QUERY({$B$2:$B$3400,$J$2:$J$3400},""select Col2, count(Col2) where Col1 = '""&amp;$B3185&amp;""' group by Col2 order by count(Col2) desc label count(Col2) ''"",0),LAMBDA(r,INDEX(r,1,1)&amp;"" "&amp;"– ""&amp;INDEX(r,1,2)&amp;"" link""))),""""))"),"vay thấu chi – 13 link
vay thấu chi là gì – 13 link
thấu chi là gì – 12 link
vay thấu chi là như nào – 12 link")</f>
        <v>vay thấu chi – 13 link
vay thấu chi là gì – 13 link
thấu chi là gì – 12 link
vay thấu chi là như nào – 12 link</v>
      </c>
      <c r="I3185" s="10" t="s">
        <v>1148</v>
      </c>
      <c r="J3185" s="13" t="s">
        <v>826</v>
      </c>
      <c r="K3185" s="13" t="s">
        <v>184</v>
      </c>
      <c r="L3185" s="13" t="s">
        <v>2705</v>
      </c>
      <c r="M3185" s="6" t="s">
        <v>188</v>
      </c>
      <c r="N3185" s="6" t="s">
        <v>188</v>
      </c>
      <c r="O3185" s="6" t="s">
        <v>190</v>
      </c>
      <c r="P3185" s="7"/>
      <c r="Q3185" s="13"/>
      <c r="R3185" s="13"/>
      <c r="S3185" s="13"/>
      <c r="T3185" s="6"/>
      <c r="U3185" s="7"/>
      <c r="V3185" s="7"/>
      <c r="W3185" s="7"/>
      <c r="X3185" s="7"/>
      <c r="Y3185" s="7"/>
      <c r="Z3185" s="7"/>
      <c r="AA3185" s="7"/>
      <c r="AB3185" s="7"/>
      <c r="AC3185" s="7"/>
      <c r="AD3185" s="7"/>
      <c r="AE3185" s="7"/>
    </row>
    <row r="3186">
      <c r="A3186" s="12">
        <v>70.0</v>
      </c>
      <c r="B3186" s="7" t="s">
        <v>621</v>
      </c>
      <c r="C3186" s="7" t="s">
        <v>1842</v>
      </c>
      <c r="I3186" s="10" t="s">
        <v>529</v>
      </c>
      <c r="J3186" s="13" t="s">
        <v>828</v>
      </c>
      <c r="K3186" s="13" t="s">
        <v>184</v>
      </c>
      <c r="L3186" s="13" t="s">
        <v>2706</v>
      </c>
      <c r="M3186" s="6" t="s">
        <v>188</v>
      </c>
      <c r="N3186" s="6" t="s">
        <v>188</v>
      </c>
      <c r="O3186" s="6" t="s">
        <v>190</v>
      </c>
      <c r="P3186" s="7"/>
      <c r="Q3186" s="13"/>
      <c r="R3186" s="13"/>
      <c r="S3186" s="13"/>
      <c r="T3186" s="6"/>
      <c r="U3186" s="7"/>
      <c r="V3186" s="7"/>
      <c r="W3186" s="7"/>
      <c r="X3186" s="7"/>
      <c r="Y3186" s="7"/>
      <c r="Z3186" s="7"/>
      <c r="AA3186" s="7"/>
      <c r="AB3186" s="7"/>
      <c r="AC3186" s="7"/>
      <c r="AD3186" s="7"/>
      <c r="AE3186" s="7"/>
    </row>
    <row r="3187">
      <c r="A3187" s="12">
        <v>70.0</v>
      </c>
      <c r="B3187" s="7" t="s">
        <v>621</v>
      </c>
      <c r="C3187" s="7" t="s">
        <v>1842</v>
      </c>
      <c r="I3187" s="10" t="s">
        <v>1876</v>
      </c>
      <c r="J3187" s="13" t="s">
        <v>829</v>
      </c>
      <c r="K3187" s="13" t="s">
        <v>184</v>
      </c>
      <c r="L3187" s="13" t="s">
        <v>2707</v>
      </c>
      <c r="M3187" s="6" t="s">
        <v>188</v>
      </c>
      <c r="N3187" s="6" t="s">
        <v>188</v>
      </c>
      <c r="O3187" s="6" t="s">
        <v>190</v>
      </c>
      <c r="P3187" s="7"/>
      <c r="Q3187" s="13"/>
      <c r="R3187" s="13"/>
      <c r="S3187" s="13"/>
      <c r="T3187" s="6"/>
      <c r="U3187" s="7"/>
      <c r="V3187" s="7"/>
      <c r="W3187" s="7"/>
      <c r="X3187" s="7"/>
      <c r="Y3187" s="7"/>
      <c r="Z3187" s="7"/>
      <c r="AA3187" s="7"/>
      <c r="AB3187" s="7"/>
      <c r="AC3187" s="7"/>
      <c r="AD3187" s="7"/>
      <c r="AE3187" s="7"/>
    </row>
    <row r="3188">
      <c r="A3188" s="12">
        <v>70.0</v>
      </c>
      <c r="B3188" s="7" t="s">
        <v>621</v>
      </c>
      <c r="C3188" s="7" t="s">
        <v>1842</v>
      </c>
      <c r="I3188" s="10" t="s">
        <v>1878</v>
      </c>
      <c r="J3188" s="13" t="s">
        <v>830</v>
      </c>
      <c r="K3188" s="13" t="s">
        <v>184</v>
      </c>
      <c r="L3188" s="13" t="s">
        <v>2708</v>
      </c>
      <c r="M3188" s="6" t="s">
        <v>188</v>
      </c>
      <c r="N3188" s="6" t="s">
        <v>188</v>
      </c>
      <c r="O3188" s="6" t="s">
        <v>190</v>
      </c>
      <c r="P3188" s="7"/>
      <c r="Q3188" s="13"/>
      <c r="R3188" s="13"/>
      <c r="S3188" s="13"/>
      <c r="T3188" s="6"/>
      <c r="U3188" s="7"/>
      <c r="V3188" s="7"/>
      <c r="W3188" s="7"/>
      <c r="X3188" s="7"/>
      <c r="Y3188" s="7"/>
      <c r="Z3188" s="7"/>
      <c r="AA3188" s="7"/>
      <c r="AB3188" s="7"/>
      <c r="AC3188" s="7"/>
      <c r="AD3188" s="7"/>
      <c r="AE3188" s="7"/>
    </row>
    <row r="3189">
      <c r="A3189" s="12">
        <v>70.0</v>
      </c>
      <c r="B3189" s="7" t="s">
        <v>621</v>
      </c>
      <c r="C3189" s="7" t="s">
        <v>1842</v>
      </c>
      <c r="I3189" s="10" t="s">
        <v>1880</v>
      </c>
      <c r="J3189" s="13" t="s">
        <v>826</v>
      </c>
      <c r="K3189" s="13" t="s">
        <v>283</v>
      </c>
      <c r="L3189" s="13" t="s">
        <v>2709</v>
      </c>
      <c r="M3189" s="6" t="s">
        <v>188</v>
      </c>
      <c r="N3189" s="6" t="s">
        <v>188</v>
      </c>
      <c r="O3189" s="6" t="s">
        <v>190</v>
      </c>
      <c r="P3189" s="7"/>
      <c r="Q3189" s="13"/>
      <c r="R3189" s="13"/>
      <c r="S3189" s="13"/>
      <c r="T3189" s="6"/>
      <c r="U3189" s="7"/>
      <c r="V3189" s="7"/>
      <c r="W3189" s="7"/>
      <c r="X3189" s="7"/>
      <c r="Y3189" s="7"/>
      <c r="Z3189" s="7"/>
      <c r="AA3189" s="7"/>
      <c r="AB3189" s="7"/>
      <c r="AC3189" s="7"/>
      <c r="AD3189" s="7"/>
      <c r="AE3189" s="7"/>
    </row>
    <row r="3190">
      <c r="A3190" s="12">
        <v>70.0</v>
      </c>
      <c r="B3190" s="7" t="s">
        <v>621</v>
      </c>
      <c r="C3190" s="7" t="s">
        <v>1842</v>
      </c>
      <c r="I3190" s="10" t="s">
        <v>387</v>
      </c>
      <c r="J3190" s="13" t="s">
        <v>828</v>
      </c>
      <c r="K3190" s="13" t="s">
        <v>303</v>
      </c>
      <c r="L3190" s="13" t="s">
        <v>2710</v>
      </c>
      <c r="M3190" s="6" t="s">
        <v>188</v>
      </c>
      <c r="N3190" s="6" t="s">
        <v>188</v>
      </c>
      <c r="O3190" s="6" t="s">
        <v>190</v>
      </c>
      <c r="P3190" s="7"/>
      <c r="Q3190" s="13"/>
      <c r="R3190" s="13"/>
      <c r="S3190" s="13"/>
      <c r="T3190" s="6"/>
      <c r="U3190" s="7"/>
      <c r="V3190" s="7"/>
      <c r="W3190" s="7"/>
      <c r="X3190" s="7"/>
      <c r="Y3190" s="7"/>
      <c r="Z3190" s="7"/>
      <c r="AA3190" s="7"/>
      <c r="AB3190" s="7"/>
      <c r="AC3190" s="7"/>
      <c r="AD3190" s="7"/>
      <c r="AE3190" s="7"/>
    </row>
    <row r="3191">
      <c r="A3191" s="12">
        <v>70.0</v>
      </c>
      <c r="B3191" s="7" t="s">
        <v>621</v>
      </c>
      <c r="C3191" s="7" t="s">
        <v>1842</v>
      </c>
      <c r="I3191" s="10" t="s">
        <v>373</v>
      </c>
      <c r="J3191" s="13" t="s">
        <v>829</v>
      </c>
      <c r="K3191" s="13" t="s">
        <v>303</v>
      </c>
      <c r="L3191" s="13" t="s">
        <v>2710</v>
      </c>
      <c r="M3191" s="6" t="s">
        <v>188</v>
      </c>
      <c r="N3191" s="6" t="s">
        <v>188</v>
      </c>
      <c r="O3191" s="6" t="s">
        <v>190</v>
      </c>
      <c r="P3191" s="7"/>
      <c r="Q3191" s="13"/>
      <c r="R3191" s="13"/>
      <c r="S3191" s="13"/>
      <c r="T3191" s="6"/>
      <c r="U3191" s="7"/>
      <c r="V3191" s="7"/>
      <c r="W3191" s="7"/>
      <c r="X3191" s="7"/>
      <c r="Y3191" s="7"/>
      <c r="Z3191" s="7"/>
      <c r="AA3191" s="7"/>
      <c r="AB3191" s="7"/>
      <c r="AC3191" s="7"/>
      <c r="AD3191" s="7"/>
      <c r="AE3191" s="7"/>
    </row>
    <row r="3192">
      <c r="A3192" s="12">
        <v>70.0</v>
      </c>
      <c r="B3192" s="7" t="s">
        <v>621</v>
      </c>
      <c r="C3192" s="7" t="s">
        <v>1842</v>
      </c>
      <c r="I3192" s="10" t="s">
        <v>365</v>
      </c>
      <c r="J3192" s="13" t="s">
        <v>830</v>
      </c>
      <c r="K3192" s="13" t="s">
        <v>303</v>
      </c>
      <c r="L3192" s="13" t="s">
        <v>2710</v>
      </c>
      <c r="M3192" s="6" t="s">
        <v>188</v>
      </c>
      <c r="N3192" s="6" t="s">
        <v>188</v>
      </c>
      <c r="O3192" s="6" t="s">
        <v>190</v>
      </c>
      <c r="P3192" s="7"/>
      <c r="Q3192" s="13"/>
      <c r="R3192" s="13"/>
      <c r="S3192" s="13"/>
      <c r="T3192" s="6"/>
      <c r="U3192" s="7"/>
      <c r="V3192" s="7"/>
      <c r="W3192" s="7"/>
      <c r="X3192" s="7"/>
      <c r="Y3192" s="7"/>
      <c r="Z3192" s="7"/>
      <c r="AA3192" s="7"/>
      <c r="AB3192" s="7"/>
      <c r="AC3192" s="7"/>
      <c r="AD3192" s="7"/>
      <c r="AE3192" s="7"/>
    </row>
    <row r="3193">
      <c r="A3193" s="12">
        <v>70.0</v>
      </c>
      <c r="B3193" s="7" t="s">
        <v>621</v>
      </c>
      <c r="C3193" s="7" t="s">
        <v>1842</v>
      </c>
      <c r="I3193" s="10" t="s">
        <v>511</v>
      </c>
      <c r="J3193" s="13" t="s">
        <v>826</v>
      </c>
      <c r="K3193" s="13" t="s">
        <v>303</v>
      </c>
      <c r="L3193" s="13" t="s">
        <v>2710</v>
      </c>
      <c r="M3193" s="6" t="s">
        <v>188</v>
      </c>
      <c r="N3193" s="6" t="s">
        <v>188</v>
      </c>
      <c r="O3193" s="6" t="s">
        <v>190</v>
      </c>
      <c r="P3193" s="7"/>
      <c r="Q3193" s="13"/>
      <c r="R3193" s="13"/>
      <c r="S3193" s="13"/>
      <c r="T3193" s="6"/>
      <c r="U3193" s="7"/>
      <c r="V3193" s="7"/>
      <c r="W3193" s="7"/>
      <c r="X3193" s="7"/>
      <c r="Y3193" s="7"/>
      <c r="Z3193" s="7"/>
      <c r="AA3193" s="7"/>
      <c r="AB3193" s="7"/>
      <c r="AC3193" s="7"/>
      <c r="AD3193" s="7"/>
      <c r="AE3193" s="7"/>
    </row>
    <row r="3194">
      <c r="A3194" s="12">
        <v>70.0</v>
      </c>
      <c r="B3194" s="7" t="s">
        <v>621</v>
      </c>
      <c r="C3194" s="7" t="s">
        <v>1842</v>
      </c>
      <c r="I3194" s="13" t="s">
        <v>247</v>
      </c>
      <c r="J3194" s="13" t="s">
        <v>828</v>
      </c>
      <c r="K3194" s="13" t="s">
        <v>303</v>
      </c>
      <c r="L3194" s="13" t="s">
        <v>2711</v>
      </c>
      <c r="M3194" s="6" t="s">
        <v>188</v>
      </c>
      <c r="N3194" s="6" t="s">
        <v>188</v>
      </c>
      <c r="O3194" s="6" t="s">
        <v>190</v>
      </c>
      <c r="P3194" s="7" t="s">
        <v>333</v>
      </c>
      <c r="Q3194" s="13"/>
      <c r="R3194" s="13"/>
      <c r="S3194" s="13"/>
      <c r="T3194" s="6"/>
      <c r="U3194" s="7"/>
      <c r="V3194" s="7"/>
      <c r="W3194" s="7"/>
      <c r="X3194" s="7"/>
      <c r="Y3194" s="7"/>
      <c r="Z3194" s="7"/>
      <c r="AA3194" s="7"/>
      <c r="AB3194" s="7"/>
      <c r="AC3194" s="7"/>
      <c r="AD3194" s="7"/>
      <c r="AE3194" s="7"/>
    </row>
    <row r="3195">
      <c r="A3195" s="12">
        <v>70.0</v>
      </c>
      <c r="B3195" s="7" t="s">
        <v>621</v>
      </c>
      <c r="C3195" s="7" t="s">
        <v>1842</v>
      </c>
      <c r="I3195" s="13" t="s">
        <v>347</v>
      </c>
      <c r="J3195" s="13" t="s">
        <v>829</v>
      </c>
      <c r="K3195" s="13" t="s">
        <v>303</v>
      </c>
      <c r="L3195" s="13" t="s">
        <v>2712</v>
      </c>
      <c r="M3195" s="6" t="s">
        <v>188</v>
      </c>
      <c r="N3195" s="6" t="s">
        <v>188</v>
      </c>
      <c r="O3195" s="6" t="s">
        <v>190</v>
      </c>
      <c r="P3195" s="7" t="s">
        <v>333</v>
      </c>
      <c r="Q3195" s="13"/>
      <c r="R3195" s="13"/>
      <c r="S3195" s="13"/>
      <c r="T3195" s="6"/>
      <c r="U3195" s="7"/>
      <c r="V3195" s="7"/>
      <c r="W3195" s="7"/>
      <c r="X3195" s="7"/>
      <c r="Y3195" s="7"/>
      <c r="Z3195" s="7"/>
      <c r="AA3195" s="7"/>
      <c r="AB3195" s="7"/>
      <c r="AC3195" s="7"/>
      <c r="AD3195" s="7"/>
      <c r="AE3195" s="7"/>
    </row>
    <row r="3196">
      <c r="A3196" s="12">
        <v>70.0</v>
      </c>
      <c r="B3196" s="7" t="s">
        <v>621</v>
      </c>
      <c r="C3196" s="7" t="s">
        <v>1842</v>
      </c>
      <c r="I3196" s="13" t="s">
        <v>356</v>
      </c>
      <c r="J3196" s="13" t="s">
        <v>830</v>
      </c>
      <c r="K3196" s="13" t="s">
        <v>303</v>
      </c>
      <c r="L3196" s="13" t="s">
        <v>2713</v>
      </c>
      <c r="M3196" s="6" t="s">
        <v>188</v>
      </c>
      <c r="N3196" s="6" t="s">
        <v>188</v>
      </c>
      <c r="O3196" s="6" t="s">
        <v>190</v>
      </c>
      <c r="P3196" s="7" t="s">
        <v>333</v>
      </c>
      <c r="Q3196" s="13"/>
      <c r="R3196" s="13"/>
      <c r="S3196" s="13"/>
      <c r="T3196" s="6"/>
      <c r="U3196" s="7"/>
      <c r="V3196" s="7"/>
      <c r="W3196" s="7"/>
      <c r="X3196" s="7"/>
      <c r="Y3196" s="7"/>
      <c r="Z3196" s="7"/>
      <c r="AA3196" s="7"/>
      <c r="AB3196" s="7"/>
      <c r="AC3196" s="7"/>
      <c r="AD3196" s="7"/>
      <c r="AE3196" s="7"/>
    </row>
    <row r="3197">
      <c r="A3197" s="12">
        <v>70.0</v>
      </c>
      <c r="B3197" s="7" t="s">
        <v>621</v>
      </c>
      <c r="C3197" s="7" t="s">
        <v>1842</v>
      </c>
      <c r="I3197" s="13" t="s">
        <v>270</v>
      </c>
      <c r="J3197" s="13" t="s">
        <v>826</v>
      </c>
      <c r="K3197" s="13" t="s">
        <v>303</v>
      </c>
      <c r="L3197" s="13" t="s">
        <v>2711</v>
      </c>
      <c r="M3197" s="6" t="s">
        <v>188</v>
      </c>
      <c r="N3197" s="6" t="s">
        <v>188</v>
      </c>
      <c r="O3197" s="6" t="s">
        <v>190</v>
      </c>
      <c r="P3197" s="7" t="s">
        <v>333</v>
      </c>
      <c r="Q3197" s="13"/>
      <c r="R3197" s="13"/>
      <c r="S3197" s="13"/>
      <c r="T3197" s="6"/>
      <c r="U3197" s="7"/>
      <c r="V3197" s="7"/>
      <c r="W3197" s="7"/>
      <c r="X3197" s="7"/>
      <c r="Y3197" s="7"/>
      <c r="Z3197" s="7"/>
      <c r="AA3197" s="7"/>
      <c r="AB3197" s="7"/>
      <c r="AC3197" s="7"/>
      <c r="AD3197" s="7"/>
      <c r="AE3197" s="7"/>
    </row>
    <row r="3198">
      <c r="A3198" s="12">
        <v>70.0</v>
      </c>
      <c r="B3198" s="7" t="s">
        <v>621</v>
      </c>
      <c r="C3198" s="7" t="s">
        <v>1842</v>
      </c>
      <c r="I3198" s="13" t="s">
        <v>404</v>
      </c>
      <c r="J3198" s="13" t="s">
        <v>828</v>
      </c>
      <c r="K3198" s="13" t="s">
        <v>303</v>
      </c>
      <c r="L3198" s="13" t="s">
        <v>2711</v>
      </c>
      <c r="M3198" s="6" t="s">
        <v>188</v>
      </c>
      <c r="N3198" s="6" t="s">
        <v>188</v>
      </c>
      <c r="O3198" s="6" t="s">
        <v>190</v>
      </c>
      <c r="P3198" s="7" t="s">
        <v>333</v>
      </c>
      <c r="Q3198" s="13"/>
      <c r="R3198" s="13"/>
      <c r="S3198" s="13"/>
      <c r="T3198" s="6"/>
      <c r="U3198" s="7"/>
      <c r="V3198" s="7"/>
      <c r="W3198" s="7"/>
      <c r="X3198" s="7"/>
      <c r="Y3198" s="7"/>
      <c r="Z3198" s="7"/>
      <c r="AA3198" s="7"/>
      <c r="AB3198" s="7"/>
      <c r="AC3198" s="7"/>
      <c r="AD3198" s="7"/>
      <c r="AE3198" s="7"/>
    </row>
    <row r="3199">
      <c r="A3199" s="12">
        <v>70.0</v>
      </c>
      <c r="B3199" s="7" t="s">
        <v>621</v>
      </c>
      <c r="C3199" s="7" t="s">
        <v>1842</v>
      </c>
      <c r="I3199" s="13" t="s">
        <v>426</v>
      </c>
      <c r="J3199" s="13" t="s">
        <v>829</v>
      </c>
      <c r="K3199" s="13" t="s">
        <v>303</v>
      </c>
      <c r="L3199" s="13" t="s">
        <v>2711</v>
      </c>
      <c r="M3199" s="6" t="s">
        <v>188</v>
      </c>
      <c r="N3199" s="6" t="s">
        <v>188</v>
      </c>
      <c r="O3199" s="6" t="s">
        <v>190</v>
      </c>
      <c r="P3199" s="7" t="s">
        <v>333</v>
      </c>
      <c r="Q3199" s="13"/>
      <c r="R3199" s="13"/>
      <c r="S3199" s="13"/>
      <c r="T3199" s="6"/>
      <c r="U3199" s="7"/>
      <c r="V3199" s="7"/>
      <c r="W3199" s="7"/>
      <c r="X3199" s="7"/>
      <c r="Y3199" s="7"/>
      <c r="Z3199" s="7"/>
      <c r="AA3199" s="7"/>
      <c r="AB3199" s="7"/>
      <c r="AC3199" s="7"/>
      <c r="AD3199" s="7"/>
      <c r="AE3199" s="7"/>
    </row>
    <row r="3200">
      <c r="A3200" s="12">
        <v>70.0</v>
      </c>
      <c r="B3200" s="7" t="s">
        <v>621</v>
      </c>
      <c r="C3200" s="7" t="s">
        <v>1842</v>
      </c>
      <c r="I3200" s="13" t="s">
        <v>481</v>
      </c>
      <c r="J3200" s="13" t="s">
        <v>830</v>
      </c>
      <c r="K3200" s="13" t="s">
        <v>303</v>
      </c>
      <c r="L3200" s="13" t="s">
        <v>2711</v>
      </c>
      <c r="M3200" s="6" t="s">
        <v>188</v>
      </c>
      <c r="N3200" s="6" t="s">
        <v>188</v>
      </c>
      <c r="O3200" s="6" t="s">
        <v>190</v>
      </c>
      <c r="P3200" s="7" t="s">
        <v>333</v>
      </c>
      <c r="Q3200" s="13"/>
      <c r="R3200" s="13"/>
      <c r="S3200" s="13"/>
      <c r="T3200" s="6"/>
      <c r="U3200" s="7"/>
      <c r="V3200" s="7"/>
      <c r="W3200" s="7"/>
      <c r="X3200" s="7"/>
      <c r="Y3200" s="7"/>
      <c r="Z3200" s="7"/>
      <c r="AA3200" s="7"/>
      <c r="AB3200" s="7"/>
      <c r="AC3200" s="7"/>
      <c r="AD3200" s="7"/>
      <c r="AE3200" s="7"/>
    </row>
    <row r="3201">
      <c r="A3201" s="12">
        <v>70.0</v>
      </c>
      <c r="B3201" s="7" t="s">
        <v>621</v>
      </c>
      <c r="C3201" s="7" t="s">
        <v>1842</v>
      </c>
      <c r="I3201" s="13" t="s">
        <v>2062</v>
      </c>
      <c r="J3201" s="13" t="s">
        <v>826</v>
      </c>
      <c r="K3201" s="13" t="s">
        <v>303</v>
      </c>
      <c r="L3201" s="13" t="s">
        <v>2711</v>
      </c>
      <c r="M3201" s="6" t="s">
        <v>188</v>
      </c>
      <c r="N3201" s="6" t="s">
        <v>188</v>
      </c>
      <c r="O3201" s="6" t="s">
        <v>190</v>
      </c>
      <c r="P3201" s="7" t="s">
        <v>333</v>
      </c>
      <c r="Q3201" s="13"/>
      <c r="R3201" s="13"/>
      <c r="S3201" s="13"/>
      <c r="T3201" s="6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  <c r="AE3201" s="7"/>
    </row>
    <row r="3202">
      <c r="A3202" s="12">
        <v>70.0</v>
      </c>
      <c r="B3202" s="7" t="s">
        <v>621</v>
      </c>
      <c r="C3202" s="7" t="s">
        <v>1842</v>
      </c>
      <c r="I3202" s="13" t="s">
        <v>1907</v>
      </c>
      <c r="J3202" s="13" t="s">
        <v>828</v>
      </c>
      <c r="K3202" s="13" t="s">
        <v>303</v>
      </c>
      <c r="L3202" s="13" t="s">
        <v>2712</v>
      </c>
      <c r="M3202" s="6" t="s">
        <v>188</v>
      </c>
      <c r="N3202" s="6" t="s">
        <v>188</v>
      </c>
      <c r="O3202" s="6" t="s">
        <v>190</v>
      </c>
      <c r="P3202" s="7" t="s">
        <v>333</v>
      </c>
      <c r="Q3202" s="13"/>
      <c r="R3202" s="13"/>
      <c r="S3202" s="13"/>
      <c r="T3202" s="6"/>
      <c r="U3202" s="7"/>
      <c r="V3202" s="7"/>
      <c r="W3202" s="7"/>
      <c r="X3202" s="7"/>
      <c r="Y3202" s="7"/>
      <c r="Z3202" s="7"/>
      <c r="AA3202" s="7"/>
      <c r="AB3202" s="7"/>
      <c r="AC3202" s="7"/>
      <c r="AD3202" s="7"/>
      <c r="AE3202" s="7"/>
    </row>
    <row r="3203">
      <c r="A3203" s="12">
        <v>70.0</v>
      </c>
      <c r="B3203" s="7" t="s">
        <v>621</v>
      </c>
      <c r="C3203" s="7" t="s">
        <v>1842</v>
      </c>
      <c r="I3203" s="13" t="s">
        <v>43</v>
      </c>
      <c r="J3203" s="13" t="s">
        <v>829</v>
      </c>
      <c r="K3203" s="13" t="s">
        <v>303</v>
      </c>
      <c r="L3203" s="13" t="s">
        <v>2658</v>
      </c>
      <c r="M3203" s="6" t="s">
        <v>188</v>
      </c>
      <c r="N3203" s="6" t="s">
        <v>188</v>
      </c>
      <c r="O3203" s="6" t="s">
        <v>190</v>
      </c>
      <c r="P3203" s="7" t="s">
        <v>333</v>
      </c>
      <c r="Q3203" s="13"/>
      <c r="R3203" s="13"/>
      <c r="S3203" s="13"/>
      <c r="T3203" s="6"/>
      <c r="U3203" s="7"/>
      <c r="V3203" s="7"/>
      <c r="W3203" s="7"/>
      <c r="X3203" s="7"/>
      <c r="Y3203" s="7"/>
      <c r="Z3203" s="7"/>
      <c r="AA3203" s="7"/>
      <c r="AB3203" s="7"/>
      <c r="AC3203" s="7"/>
      <c r="AD3203" s="7"/>
      <c r="AE3203" s="7"/>
    </row>
    <row r="3204">
      <c r="A3204" s="12">
        <v>70.0</v>
      </c>
      <c r="B3204" s="7" t="s">
        <v>621</v>
      </c>
      <c r="C3204" s="7" t="s">
        <v>1842</v>
      </c>
      <c r="I3204" s="13" t="s">
        <v>1555</v>
      </c>
      <c r="J3204" s="13" t="s">
        <v>830</v>
      </c>
      <c r="K3204" s="13" t="s">
        <v>303</v>
      </c>
      <c r="L3204" s="13" t="s">
        <v>2714</v>
      </c>
      <c r="M3204" s="6" t="s">
        <v>188</v>
      </c>
      <c r="N3204" s="6" t="s">
        <v>188</v>
      </c>
      <c r="O3204" s="6" t="s">
        <v>190</v>
      </c>
      <c r="P3204" s="7" t="s">
        <v>333</v>
      </c>
      <c r="Q3204" s="13"/>
      <c r="R3204" s="13"/>
      <c r="S3204" s="13"/>
      <c r="T3204" s="6"/>
      <c r="U3204" s="7"/>
      <c r="V3204" s="7"/>
      <c r="W3204" s="7"/>
      <c r="X3204" s="7"/>
      <c r="Y3204" s="7"/>
      <c r="Z3204" s="7"/>
      <c r="AA3204" s="7"/>
      <c r="AB3204" s="7"/>
      <c r="AC3204" s="7"/>
      <c r="AD3204" s="7"/>
      <c r="AE3204" s="7"/>
    </row>
    <row r="3205">
      <c r="A3205" s="12">
        <v>70.0</v>
      </c>
      <c r="B3205" s="7" t="s">
        <v>621</v>
      </c>
      <c r="C3205" s="7" t="s">
        <v>1842</v>
      </c>
      <c r="I3205" s="13" t="s">
        <v>707</v>
      </c>
      <c r="J3205" s="13" t="s">
        <v>826</v>
      </c>
      <c r="K3205" s="13" t="s">
        <v>303</v>
      </c>
      <c r="L3205" s="13" t="s">
        <v>2714</v>
      </c>
      <c r="M3205" s="6" t="s">
        <v>188</v>
      </c>
      <c r="N3205" s="6" t="s">
        <v>188</v>
      </c>
      <c r="O3205" s="6" t="s">
        <v>190</v>
      </c>
      <c r="P3205" s="7" t="s">
        <v>333</v>
      </c>
      <c r="Q3205" s="13"/>
      <c r="R3205" s="13"/>
      <c r="S3205" s="13"/>
      <c r="T3205" s="6"/>
      <c r="U3205" s="7"/>
      <c r="V3205" s="7"/>
      <c r="W3205" s="7"/>
      <c r="X3205" s="7"/>
      <c r="Y3205" s="7"/>
      <c r="Z3205" s="7"/>
      <c r="AA3205" s="7"/>
      <c r="AB3205" s="7"/>
      <c r="AC3205" s="7"/>
      <c r="AD3205" s="7"/>
      <c r="AE3205" s="7"/>
    </row>
    <row r="3206">
      <c r="A3206" s="12">
        <v>70.0</v>
      </c>
      <c r="B3206" s="7" t="s">
        <v>621</v>
      </c>
      <c r="C3206" s="7" t="s">
        <v>1842</v>
      </c>
      <c r="I3206" s="13" t="s">
        <v>604</v>
      </c>
      <c r="J3206" s="13" t="s">
        <v>828</v>
      </c>
      <c r="K3206" s="13" t="s">
        <v>303</v>
      </c>
      <c r="L3206" s="13" t="s">
        <v>2711</v>
      </c>
      <c r="M3206" s="6" t="s">
        <v>188</v>
      </c>
      <c r="N3206" s="6" t="s">
        <v>188</v>
      </c>
      <c r="O3206" s="6" t="s">
        <v>190</v>
      </c>
      <c r="P3206" s="7" t="s">
        <v>333</v>
      </c>
      <c r="Q3206" s="13"/>
      <c r="R3206" s="13"/>
      <c r="S3206" s="13"/>
      <c r="T3206" s="6"/>
      <c r="U3206" s="7"/>
      <c r="V3206" s="7"/>
      <c r="W3206" s="7"/>
      <c r="X3206" s="7"/>
      <c r="Y3206" s="7"/>
      <c r="Z3206" s="7"/>
      <c r="AA3206" s="7"/>
      <c r="AB3206" s="7"/>
      <c r="AC3206" s="7"/>
      <c r="AD3206" s="7"/>
      <c r="AE3206" s="7"/>
    </row>
    <row r="3207">
      <c r="A3207" s="12">
        <v>70.0</v>
      </c>
      <c r="B3207" s="7" t="s">
        <v>621</v>
      </c>
      <c r="C3207" s="7" t="s">
        <v>1842</v>
      </c>
      <c r="I3207" s="13" t="s">
        <v>1354</v>
      </c>
      <c r="J3207" s="13" t="s">
        <v>829</v>
      </c>
      <c r="K3207" s="13" t="s">
        <v>303</v>
      </c>
      <c r="L3207" s="13" t="s">
        <v>2714</v>
      </c>
      <c r="M3207" s="6" t="s">
        <v>188</v>
      </c>
      <c r="N3207" s="6" t="s">
        <v>188</v>
      </c>
      <c r="O3207" s="6" t="s">
        <v>190</v>
      </c>
      <c r="P3207" s="7" t="s">
        <v>333</v>
      </c>
      <c r="Q3207" s="13"/>
      <c r="R3207" s="13"/>
      <c r="S3207" s="13"/>
      <c r="T3207" s="6"/>
      <c r="U3207" s="7"/>
      <c r="V3207" s="7"/>
      <c r="W3207" s="7"/>
      <c r="X3207" s="7"/>
      <c r="Y3207" s="7"/>
      <c r="Z3207" s="7"/>
      <c r="AA3207" s="7"/>
      <c r="AB3207" s="7"/>
      <c r="AC3207" s="7"/>
      <c r="AD3207" s="7"/>
      <c r="AE3207" s="7"/>
    </row>
    <row r="3208">
      <c r="A3208" s="12">
        <v>70.0</v>
      </c>
      <c r="B3208" s="7" t="s">
        <v>621</v>
      </c>
      <c r="C3208" s="7" t="s">
        <v>1842</v>
      </c>
      <c r="I3208" s="13" t="s">
        <v>380</v>
      </c>
      <c r="J3208" s="13" t="s">
        <v>830</v>
      </c>
      <c r="K3208" s="13" t="s">
        <v>303</v>
      </c>
      <c r="L3208" s="13" t="s">
        <v>2661</v>
      </c>
      <c r="M3208" s="6" t="s">
        <v>188</v>
      </c>
      <c r="N3208" s="6" t="s">
        <v>188</v>
      </c>
      <c r="O3208" s="6" t="s">
        <v>190</v>
      </c>
      <c r="P3208" s="7" t="s">
        <v>333</v>
      </c>
      <c r="Q3208" s="13"/>
      <c r="R3208" s="13"/>
      <c r="S3208" s="13"/>
      <c r="T3208" s="6"/>
      <c r="U3208" s="7"/>
      <c r="V3208" s="7"/>
      <c r="W3208" s="7"/>
      <c r="X3208" s="7"/>
      <c r="Y3208" s="7"/>
      <c r="Z3208" s="7"/>
      <c r="AA3208" s="7"/>
      <c r="AB3208" s="7"/>
      <c r="AC3208" s="7"/>
      <c r="AD3208" s="7"/>
      <c r="AE3208" s="7"/>
    </row>
    <row r="3209">
      <c r="A3209" s="12">
        <v>70.0</v>
      </c>
      <c r="B3209" s="7" t="s">
        <v>621</v>
      </c>
      <c r="C3209" s="7" t="s">
        <v>1842</v>
      </c>
      <c r="I3209" s="13" t="s">
        <v>395</v>
      </c>
      <c r="J3209" s="13" t="s">
        <v>826</v>
      </c>
      <c r="K3209" s="13" t="s">
        <v>303</v>
      </c>
      <c r="L3209" s="13" t="s">
        <v>2606</v>
      </c>
      <c r="M3209" s="6" t="s">
        <v>188</v>
      </c>
      <c r="N3209" s="6" t="s">
        <v>188</v>
      </c>
      <c r="O3209" s="6" t="s">
        <v>190</v>
      </c>
      <c r="P3209" s="7" t="s">
        <v>333</v>
      </c>
      <c r="Q3209" s="13"/>
      <c r="R3209" s="13"/>
      <c r="S3209" s="13"/>
      <c r="T3209" s="6"/>
      <c r="U3209" s="7"/>
      <c r="V3209" s="7"/>
      <c r="W3209" s="7"/>
      <c r="X3209" s="7"/>
      <c r="Y3209" s="7"/>
      <c r="Z3209" s="7"/>
      <c r="AA3209" s="7"/>
      <c r="AB3209" s="7"/>
      <c r="AC3209" s="7"/>
      <c r="AD3209" s="7"/>
      <c r="AE3209" s="7"/>
    </row>
    <row r="3210">
      <c r="A3210" s="12">
        <v>70.0</v>
      </c>
      <c r="B3210" s="7" t="s">
        <v>621</v>
      </c>
      <c r="C3210" s="7" t="s">
        <v>1842</v>
      </c>
      <c r="I3210" s="13" t="s">
        <v>408</v>
      </c>
      <c r="J3210" s="13" t="s">
        <v>828</v>
      </c>
      <c r="K3210" s="13" t="s">
        <v>303</v>
      </c>
      <c r="L3210" s="13" t="s">
        <v>2663</v>
      </c>
      <c r="M3210" s="6" t="s">
        <v>188</v>
      </c>
      <c r="N3210" s="6" t="s">
        <v>188</v>
      </c>
      <c r="O3210" s="6" t="s">
        <v>190</v>
      </c>
      <c r="P3210" s="7" t="s">
        <v>333</v>
      </c>
      <c r="Q3210" s="13"/>
      <c r="R3210" s="13"/>
      <c r="S3210" s="13"/>
      <c r="T3210" s="6"/>
      <c r="U3210" s="7"/>
      <c r="V3210" s="7"/>
      <c r="W3210" s="7"/>
      <c r="X3210" s="7"/>
      <c r="Y3210" s="7"/>
      <c r="Z3210" s="7"/>
      <c r="AA3210" s="7"/>
      <c r="AB3210" s="7"/>
      <c r="AC3210" s="7"/>
      <c r="AD3210" s="7"/>
      <c r="AE3210" s="7"/>
    </row>
    <row r="3211">
      <c r="A3211" s="12">
        <v>70.0</v>
      </c>
      <c r="B3211" s="7" t="s">
        <v>621</v>
      </c>
      <c r="C3211" s="7" t="s">
        <v>1842</v>
      </c>
      <c r="I3211" s="13" t="s">
        <v>437</v>
      </c>
      <c r="J3211" s="13" t="s">
        <v>829</v>
      </c>
      <c r="K3211" s="13" t="s">
        <v>303</v>
      </c>
      <c r="L3211" s="13" t="s">
        <v>2663</v>
      </c>
      <c r="M3211" s="6" t="s">
        <v>188</v>
      </c>
      <c r="N3211" s="6" t="s">
        <v>188</v>
      </c>
      <c r="O3211" s="6" t="s">
        <v>190</v>
      </c>
      <c r="P3211" s="7" t="s">
        <v>333</v>
      </c>
      <c r="Q3211" s="13"/>
      <c r="R3211" s="13"/>
      <c r="S3211" s="13"/>
      <c r="T3211" s="6"/>
      <c r="U3211" s="7"/>
      <c r="V3211" s="7"/>
      <c r="W3211" s="7"/>
      <c r="X3211" s="7"/>
      <c r="Y3211" s="7"/>
      <c r="Z3211" s="7"/>
      <c r="AA3211" s="7"/>
      <c r="AB3211" s="7"/>
      <c r="AC3211" s="7"/>
      <c r="AD3211" s="7"/>
      <c r="AE3211" s="7"/>
    </row>
    <row r="3212">
      <c r="A3212" s="12">
        <v>70.0</v>
      </c>
      <c r="B3212" s="7" t="s">
        <v>621</v>
      </c>
      <c r="C3212" s="7" t="s">
        <v>1842</v>
      </c>
      <c r="I3212" s="13" t="s">
        <v>519</v>
      </c>
      <c r="J3212" s="13" t="s">
        <v>830</v>
      </c>
      <c r="K3212" s="13" t="s">
        <v>303</v>
      </c>
      <c r="L3212" s="13" t="s">
        <v>2606</v>
      </c>
      <c r="M3212" s="6" t="s">
        <v>188</v>
      </c>
      <c r="N3212" s="6" t="s">
        <v>188</v>
      </c>
      <c r="O3212" s="6" t="s">
        <v>190</v>
      </c>
      <c r="P3212" s="7" t="s">
        <v>333</v>
      </c>
      <c r="Q3212" s="13"/>
      <c r="R3212" s="13"/>
      <c r="S3212" s="13"/>
      <c r="T3212" s="6"/>
      <c r="U3212" s="7"/>
      <c r="V3212" s="7"/>
      <c r="W3212" s="7"/>
      <c r="X3212" s="7"/>
      <c r="Y3212" s="7"/>
      <c r="Z3212" s="7"/>
      <c r="AA3212" s="7"/>
      <c r="AB3212" s="7"/>
      <c r="AC3212" s="7"/>
      <c r="AD3212" s="7"/>
      <c r="AE3212" s="7"/>
    </row>
    <row r="3213">
      <c r="A3213" s="12">
        <v>70.0</v>
      </c>
      <c r="B3213" s="7" t="s">
        <v>621</v>
      </c>
      <c r="C3213" s="7" t="s">
        <v>1842</v>
      </c>
      <c r="I3213" s="13" t="s">
        <v>466</v>
      </c>
      <c r="J3213" s="13" t="s">
        <v>826</v>
      </c>
      <c r="K3213" s="13" t="s">
        <v>303</v>
      </c>
      <c r="L3213" s="13" t="s">
        <v>2666</v>
      </c>
      <c r="M3213" s="6" t="s">
        <v>188</v>
      </c>
      <c r="N3213" s="6" t="s">
        <v>188</v>
      </c>
      <c r="O3213" s="6" t="s">
        <v>190</v>
      </c>
      <c r="P3213" s="7" t="s">
        <v>333</v>
      </c>
      <c r="Q3213" s="13"/>
      <c r="R3213" s="13"/>
      <c r="S3213" s="13"/>
      <c r="T3213" s="6"/>
      <c r="U3213" s="7"/>
      <c r="V3213" s="7"/>
      <c r="W3213" s="7"/>
      <c r="X3213" s="7"/>
      <c r="Y3213" s="7"/>
      <c r="Z3213" s="7"/>
      <c r="AA3213" s="7"/>
      <c r="AB3213" s="7"/>
      <c r="AC3213" s="7"/>
      <c r="AD3213" s="7"/>
      <c r="AE3213" s="7"/>
    </row>
    <row r="3214">
      <c r="A3214" s="12">
        <v>70.0</v>
      </c>
      <c r="B3214" s="7" t="s">
        <v>621</v>
      </c>
      <c r="C3214" s="7" t="s">
        <v>1842</v>
      </c>
      <c r="I3214" s="13" t="s">
        <v>505</v>
      </c>
      <c r="J3214" s="13" t="s">
        <v>828</v>
      </c>
      <c r="K3214" s="13" t="s">
        <v>303</v>
      </c>
      <c r="L3214" s="13" t="s">
        <v>2664</v>
      </c>
      <c r="M3214" s="6" t="s">
        <v>188</v>
      </c>
      <c r="N3214" s="6" t="s">
        <v>188</v>
      </c>
      <c r="O3214" s="6" t="s">
        <v>190</v>
      </c>
      <c r="P3214" s="7" t="s">
        <v>333</v>
      </c>
      <c r="Q3214" s="13"/>
      <c r="R3214" s="13"/>
      <c r="S3214" s="13"/>
      <c r="T3214" s="6"/>
      <c r="U3214" s="7"/>
      <c r="V3214" s="7"/>
      <c r="W3214" s="7"/>
      <c r="X3214" s="7"/>
      <c r="Y3214" s="7"/>
      <c r="Z3214" s="7"/>
      <c r="AA3214" s="7"/>
      <c r="AB3214" s="7"/>
      <c r="AC3214" s="7"/>
      <c r="AD3214" s="7"/>
      <c r="AE3214" s="7"/>
    </row>
    <row r="3215">
      <c r="A3215" s="12">
        <v>70.0</v>
      </c>
      <c r="B3215" s="7" t="s">
        <v>621</v>
      </c>
      <c r="C3215" s="7" t="s">
        <v>1842</v>
      </c>
      <c r="I3215" s="13" t="s">
        <v>330</v>
      </c>
      <c r="J3215" s="13" t="s">
        <v>829</v>
      </c>
      <c r="K3215" s="13" t="s">
        <v>303</v>
      </c>
      <c r="L3215" s="13" t="s">
        <v>2665</v>
      </c>
      <c r="M3215" s="6" t="s">
        <v>188</v>
      </c>
      <c r="N3215" s="6" t="s">
        <v>188</v>
      </c>
      <c r="O3215" s="6" t="s">
        <v>190</v>
      </c>
      <c r="P3215" s="7" t="s">
        <v>333</v>
      </c>
      <c r="Q3215" s="13"/>
      <c r="R3215" s="13"/>
      <c r="S3215" s="13"/>
      <c r="T3215" s="6"/>
      <c r="U3215" s="7"/>
      <c r="V3215" s="7"/>
      <c r="W3215" s="7"/>
      <c r="X3215" s="7"/>
      <c r="Y3215" s="7"/>
      <c r="Z3215" s="7"/>
      <c r="AA3215" s="7"/>
      <c r="AB3215" s="7"/>
      <c r="AC3215" s="7"/>
      <c r="AD3215" s="7"/>
      <c r="AE3215" s="7"/>
    </row>
    <row r="3216">
      <c r="A3216" s="12">
        <v>70.0</v>
      </c>
      <c r="B3216" s="7" t="s">
        <v>621</v>
      </c>
      <c r="C3216" s="7" t="s">
        <v>1842</v>
      </c>
      <c r="I3216" s="13" t="s">
        <v>445</v>
      </c>
      <c r="J3216" s="13" t="s">
        <v>830</v>
      </c>
      <c r="K3216" s="13" t="s">
        <v>303</v>
      </c>
      <c r="L3216" s="13" t="s">
        <v>2666</v>
      </c>
      <c r="M3216" s="6" t="s">
        <v>188</v>
      </c>
      <c r="N3216" s="6" t="s">
        <v>188</v>
      </c>
      <c r="O3216" s="6" t="s">
        <v>190</v>
      </c>
      <c r="P3216" s="7" t="s">
        <v>333</v>
      </c>
      <c r="Q3216" s="13"/>
      <c r="R3216" s="13"/>
      <c r="S3216" s="13"/>
      <c r="T3216" s="6"/>
      <c r="U3216" s="7"/>
      <c r="V3216" s="7"/>
      <c r="W3216" s="7"/>
      <c r="X3216" s="7"/>
      <c r="Y3216" s="7"/>
      <c r="Z3216" s="7"/>
      <c r="AA3216" s="7"/>
      <c r="AB3216" s="7"/>
      <c r="AC3216" s="7"/>
      <c r="AD3216" s="7"/>
      <c r="AE3216" s="7"/>
    </row>
    <row r="3217">
      <c r="A3217" s="12">
        <v>70.0</v>
      </c>
      <c r="B3217" s="7" t="s">
        <v>621</v>
      </c>
      <c r="C3217" s="7" t="s">
        <v>1842</v>
      </c>
      <c r="I3217" s="13" t="s">
        <v>418</v>
      </c>
      <c r="J3217" s="13" t="s">
        <v>826</v>
      </c>
      <c r="K3217" s="13" t="s">
        <v>303</v>
      </c>
      <c r="L3217" s="13" t="s">
        <v>2604</v>
      </c>
      <c r="M3217" s="6" t="s">
        <v>188</v>
      </c>
      <c r="N3217" s="6" t="s">
        <v>188</v>
      </c>
      <c r="O3217" s="6" t="s">
        <v>190</v>
      </c>
      <c r="P3217" s="7" t="s">
        <v>333</v>
      </c>
      <c r="Q3217" s="13"/>
      <c r="R3217" s="13"/>
      <c r="S3217" s="13"/>
      <c r="T3217" s="6"/>
      <c r="U3217" s="7"/>
      <c r="V3217" s="7"/>
      <c r="W3217" s="7"/>
      <c r="X3217" s="7"/>
      <c r="Y3217" s="7"/>
      <c r="Z3217" s="7"/>
      <c r="AA3217" s="7"/>
      <c r="AB3217" s="7"/>
      <c r="AC3217" s="7"/>
      <c r="AD3217" s="7"/>
      <c r="AE3217" s="7"/>
    </row>
    <row r="3218">
      <c r="A3218" s="12">
        <v>70.0</v>
      </c>
      <c r="B3218" s="7" t="s">
        <v>621</v>
      </c>
      <c r="C3218" s="7" t="s">
        <v>1842</v>
      </c>
      <c r="I3218" s="13" t="s">
        <v>627</v>
      </c>
      <c r="J3218" s="13" t="s">
        <v>828</v>
      </c>
      <c r="K3218" s="13" t="s">
        <v>303</v>
      </c>
      <c r="L3218" s="13" t="s">
        <v>2667</v>
      </c>
      <c r="M3218" s="6" t="s">
        <v>188</v>
      </c>
      <c r="N3218" s="6" t="s">
        <v>188</v>
      </c>
      <c r="O3218" s="6" t="s">
        <v>190</v>
      </c>
      <c r="P3218" s="7" t="s">
        <v>333</v>
      </c>
      <c r="Q3218" s="13"/>
      <c r="R3218" s="13"/>
      <c r="S3218" s="13"/>
      <c r="T3218" s="6"/>
      <c r="U3218" s="7"/>
      <c r="V3218" s="7"/>
      <c r="W3218" s="7"/>
      <c r="X3218" s="7"/>
      <c r="Y3218" s="7"/>
      <c r="Z3218" s="7"/>
      <c r="AA3218" s="7"/>
      <c r="AB3218" s="7"/>
      <c r="AC3218" s="7"/>
      <c r="AD3218" s="7"/>
      <c r="AE3218" s="7"/>
    </row>
    <row r="3219">
      <c r="A3219" s="12">
        <v>70.0</v>
      </c>
      <c r="B3219" s="7" t="s">
        <v>621</v>
      </c>
      <c r="C3219" s="7" t="s">
        <v>1842</v>
      </c>
      <c r="I3219" s="13" t="s">
        <v>1704</v>
      </c>
      <c r="J3219" s="13" t="s">
        <v>829</v>
      </c>
      <c r="K3219" s="13" t="s">
        <v>303</v>
      </c>
      <c r="L3219" s="13" t="s">
        <v>2668</v>
      </c>
      <c r="M3219" s="6" t="s">
        <v>188</v>
      </c>
      <c r="N3219" s="6" t="s">
        <v>188</v>
      </c>
      <c r="O3219" s="6" t="s">
        <v>190</v>
      </c>
      <c r="P3219" s="7" t="s">
        <v>333</v>
      </c>
      <c r="Q3219" s="13"/>
      <c r="R3219" s="13"/>
      <c r="S3219" s="13"/>
      <c r="T3219" s="6"/>
      <c r="U3219" s="7"/>
      <c r="V3219" s="7"/>
      <c r="W3219" s="7"/>
      <c r="X3219" s="7"/>
      <c r="Y3219" s="7"/>
      <c r="Z3219" s="7"/>
      <c r="AA3219" s="7"/>
      <c r="AB3219" s="7"/>
      <c r="AC3219" s="7"/>
      <c r="AD3219" s="7"/>
      <c r="AE3219" s="7"/>
    </row>
    <row r="3220">
      <c r="A3220" s="12">
        <v>70.0</v>
      </c>
      <c r="B3220" s="7" t="s">
        <v>621</v>
      </c>
      <c r="C3220" s="7" t="s">
        <v>1842</v>
      </c>
      <c r="I3220" s="13" t="s">
        <v>225</v>
      </c>
      <c r="J3220" s="13" t="s">
        <v>830</v>
      </c>
      <c r="K3220" s="13" t="s">
        <v>303</v>
      </c>
      <c r="L3220" s="13" t="s">
        <v>2665</v>
      </c>
      <c r="M3220" s="6" t="s">
        <v>188</v>
      </c>
      <c r="N3220" s="6" t="s">
        <v>188</v>
      </c>
      <c r="O3220" s="6" t="s">
        <v>190</v>
      </c>
      <c r="P3220" s="7" t="s">
        <v>333</v>
      </c>
      <c r="Q3220" s="13"/>
      <c r="R3220" s="13"/>
      <c r="S3220" s="13"/>
      <c r="T3220" s="6"/>
      <c r="U3220" s="7"/>
      <c r="V3220" s="7"/>
      <c r="W3220" s="7"/>
      <c r="X3220" s="7"/>
      <c r="Y3220" s="7"/>
      <c r="Z3220" s="7"/>
      <c r="AA3220" s="7"/>
      <c r="AB3220" s="7"/>
      <c r="AC3220" s="7"/>
      <c r="AD3220" s="7"/>
      <c r="AE3220" s="7"/>
    </row>
    <row r="3221">
      <c r="A3221" s="12">
        <v>70.0</v>
      </c>
      <c r="B3221" s="7" t="s">
        <v>621</v>
      </c>
      <c r="C3221" s="7" t="s">
        <v>1842</v>
      </c>
      <c r="I3221" s="13" t="s">
        <v>525</v>
      </c>
      <c r="J3221" s="13" t="s">
        <v>826</v>
      </c>
      <c r="K3221" s="13" t="s">
        <v>303</v>
      </c>
      <c r="L3221" s="13" t="s">
        <v>2658</v>
      </c>
      <c r="M3221" s="6" t="s">
        <v>188</v>
      </c>
      <c r="N3221" s="6" t="s">
        <v>188</v>
      </c>
      <c r="O3221" s="6" t="s">
        <v>190</v>
      </c>
      <c r="P3221" s="7" t="s">
        <v>333</v>
      </c>
      <c r="Q3221" s="13"/>
      <c r="R3221" s="13"/>
      <c r="S3221" s="13"/>
      <c r="T3221" s="6"/>
      <c r="U3221" s="7"/>
      <c r="V3221" s="7"/>
      <c r="W3221" s="7"/>
      <c r="X3221" s="7"/>
      <c r="Y3221" s="7"/>
      <c r="Z3221" s="7"/>
      <c r="AA3221" s="7"/>
      <c r="AB3221" s="7"/>
      <c r="AC3221" s="7"/>
      <c r="AD3221" s="7"/>
      <c r="AE3221" s="7"/>
    </row>
    <row r="3222">
      <c r="A3222" s="12">
        <v>70.0</v>
      </c>
      <c r="B3222" s="7" t="s">
        <v>621</v>
      </c>
      <c r="C3222" s="7" t="s">
        <v>1842</v>
      </c>
      <c r="I3222" s="13" t="s">
        <v>167</v>
      </c>
      <c r="J3222" s="13" t="s">
        <v>828</v>
      </c>
      <c r="K3222" s="13" t="s">
        <v>303</v>
      </c>
      <c r="L3222" s="13" t="s">
        <v>2665</v>
      </c>
      <c r="M3222" s="6" t="s">
        <v>188</v>
      </c>
      <c r="N3222" s="6" t="s">
        <v>188</v>
      </c>
      <c r="O3222" s="6" t="s">
        <v>190</v>
      </c>
      <c r="P3222" s="7" t="s">
        <v>333</v>
      </c>
      <c r="Q3222" s="13"/>
      <c r="R3222" s="13"/>
      <c r="S3222" s="13"/>
      <c r="T3222" s="6"/>
      <c r="U3222" s="7"/>
      <c r="V3222" s="7"/>
      <c r="W3222" s="7"/>
      <c r="X3222" s="7"/>
      <c r="Y3222" s="7"/>
      <c r="Z3222" s="7"/>
      <c r="AA3222" s="7"/>
      <c r="AB3222" s="7"/>
      <c r="AC3222" s="7"/>
      <c r="AD3222" s="7"/>
      <c r="AE3222" s="7"/>
    </row>
    <row r="3223">
      <c r="A3223" s="12">
        <v>70.0</v>
      </c>
      <c r="B3223" s="7" t="s">
        <v>621</v>
      </c>
      <c r="C3223" s="7" t="s">
        <v>1842</v>
      </c>
      <c r="I3223" s="13" t="s">
        <v>460</v>
      </c>
      <c r="J3223" s="13" t="s">
        <v>829</v>
      </c>
      <c r="K3223" s="13" t="s">
        <v>303</v>
      </c>
      <c r="L3223" s="13" t="s">
        <v>2666</v>
      </c>
      <c r="M3223" s="6" t="s">
        <v>188</v>
      </c>
      <c r="N3223" s="6" t="s">
        <v>188</v>
      </c>
      <c r="O3223" s="6" t="s">
        <v>190</v>
      </c>
      <c r="P3223" s="7" t="s">
        <v>333</v>
      </c>
      <c r="Q3223" s="13"/>
      <c r="R3223" s="13"/>
      <c r="S3223" s="13"/>
      <c r="T3223" s="6"/>
      <c r="U3223" s="7"/>
      <c r="V3223" s="7"/>
      <c r="W3223" s="7"/>
      <c r="X3223" s="7"/>
      <c r="Y3223" s="7"/>
      <c r="Z3223" s="7"/>
      <c r="AA3223" s="7"/>
      <c r="AB3223" s="7"/>
      <c r="AC3223" s="7"/>
      <c r="AD3223" s="7"/>
      <c r="AE3223" s="7"/>
    </row>
    <row r="3224">
      <c r="A3224" s="12">
        <v>70.0</v>
      </c>
      <c r="B3224" s="7" t="s">
        <v>621</v>
      </c>
      <c r="C3224" s="7" t="s">
        <v>1842</v>
      </c>
      <c r="I3224" s="13" t="s">
        <v>2070</v>
      </c>
      <c r="J3224" s="13" t="s">
        <v>830</v>
      </c>
      <c r="K3224" s="13" t="s">
        <v>303</v>
      </c>
      <c r="L3224" s="13" t="s">
        <v>2668</v>
      </c>
      <c r="M3224" s="6" t="s">
        <v>188</v>
      </c>
      <c r="N3224" s="6" t="s">
        <v>188</v>
      </c>
      <c r="O3224" s="6" t="s">
        <v>190</v>
      </c>
      <c r="P3224" s="7" t="s">
        <v>333</v>
      </c>
      <c r="Q3224" s="13"/>
      <c r="R3224" s="13"/>
      <c r="S3224" s="13"/>
      <c r="T3224" s="6"/>
      <c r="U3224" s="7"/>
      <c r="V3224" s="7"/>
      <c r="W3224" s="7"/>
      <c r="X3224" s="7"/>
      <c r="Y3224" s="7"/>
      <c r="Z3224" s="7"/>
      <c r="AA3224" s="7"/>
      <c r="AB3224" s="7"/>
      <c r="AC3224" s="7"/>
      <c r="AD3224" s="7"/>
      <c r="AE3224" s="7"/>
    </row>
    <row r="3225">
      <c r="A3225" s="12">
        <v>70.0</v>
      </c>
      <c r="B3225" s="7" t="s">
        <v>621</v>
      </c>
      <c r="C3225" s="7" t="s">
        <v>1842</v>
      </c>
      <c r="I3225" s="13" t="s">
        <v>2451</v>
      </c>
      <c r="J3225" s="13" t="s">
        <v>826</v>
      </c>
      <c r="K3225" s="13" t="s">
        <v>303</v>
      </c>
      <c r="L3225" s="13" t="s">
        <v>2608</v>
      </c>
      <c r="M3225" s="6" t="s">
        <v>188</v>
      </c>
      <c r="N3225" s="6" t="s">
        <v>188</v>
      </c>
      <c r="O3225" s="6" t="s">
        <v>190</v>
      </c>
      <c r="P3225" s="7" t="s">
        <v>333</v>
      </c>
      <c r="Q3225" s="13"/>
      <c r="R3225" s="13"/>
      <c r="S3225" s="13"/>
      <c r="T3225" s="6"/>
      <c r="U3225" s="7"/>
      <c r="V3225" s="7"/>
      <c r="W3225" s="7"/>
      <c r="X3225" s="7"/>
      <c r="Y3225" s="7"/>
      <c r="Z3225" s="7"/>
      <c r="AA3225" s="7"/>
      <c r="AB3225" s="7"/>
      <c r="AC3225" s="7"/>
      <c r="AD3225" s="7"/>
      <c r="AE3225" s="7"/>
    </row>
    <row r="3226">
      <c r="A3226" s="12">
        <v>70.0</v>
      </c>
      <c r="B3226" s="7" t="s">
        <v>621</v>
      </c>
      <c r="C3226" s="7" t="s">
        <v>1842</v>
      </c>
      <c r="I3226" s="13" t="s">
        <v>2077</v>
      </c>
      <c r="J3226" s="13" t="s">
        <v>828</v>
      </c>
      <c r="K3226" s="13" t="s">
        <v>303</v>
      </c>
      <c r="L3226" s="13" t="s">
        <v>2703</v>
      </c>
      <c r="M3226" s="6" t="s">
        <v>188</v>
      </c>
      <c r="N3226" s="6" t="s">
        <v>188</v>
      </c>
      <c r="O3226" s="6" t="s">
        <v>190</v>
      </c>
      <c r="P3226" s="7" t="s">
        <v>333</v>
      </c>
      <c r="Q3226" s="13"/>
      <c r="R3226" s="13"/>
      <c r="S3226" s="13"/>
      <c r="T3226" s="6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  <c r="AE3226" s="7"/>
    </row>
    <row r="3227">
      <c r="A3227" s="12">
        <v>70.0</v>
      </c>
      <c r="B3227" s="7" t="s">
        <v>621</v>
      </c>
      <c r="C3227" s="7" t="s">
        <v>1842</v>
      </c>
      <c r="I3227" s="13" t="s">
        <v>2008</v>
      </c>
      <c r="J3227" s="13" t="s">
        <v>829</v>
      </c>
      <c r="K3227" s="13" t="s">
        <v>303</v>
      </c>
      <c r="L3227" s="13" t="s">
        <v>2670</v>
      </c>
      <c r="M3227" s="6" t="s">
        <v>188</v>
      </c>
      <c r="N3227" s="6" t="s">
        <v>188</v>
      </c>
      <c r="O3227" s="6" t="s">
        <v>190</v>
      </c>
      <c r="P3227" s="7" t="s">
        <v>333</v>
      </c>
      <c r="Q3227" s="13"/>
      <c r="R3227" s="13"/>
      <c r="S3227" s="13"/>
      <c r="T3227" s="6"/>
      <c r="U3227" s="7"/>
      <c r="V3227" s="7"/>
      <c r="W3227" s="7"/>
      <c r="X3227" s="7"/>
      <c r="Y3227" s="7"/>
      <c r="Z3227" s="7"/>
      <c r="AA3227" s="7"/>
      <c r="AB3227" s="7"/>
      <c r="AC3227" s="7"/>
      <c r="AD3227" s="7"/>
      <c r="AE3227" s="7"/>
    </row>
    <row r="3228">
      <c r="A3228" s="12">
        <v>70.0</v>
      </c>
      <c r="B3228" s="7" t="s">
        <v>621</v>
      </c>
      <c r="C3228" s="7" t="s">
        <v>1842</v>
      </c>
      <c r="I3228" s="13" t="s">
        <v>2453</v>
      </c>
      <c r="J3228" s="13" t="s">
        <v>830</v>
      </c>
      <c r="K3228" s="13" t="s">
        <v>303</v>
      </c>
      <c r="L3228" s="13" t="s">
        <v>2606</v>
      </c>
      <c r="M3228" s="6" t="s">
        <v>188</v>
      </c>
      <c r="N3228" s="6" t="s">
        <v>188</v>
      </c>
      <c r="O3228" s="6" t="s">
        <v>190</v>
      </c>
      <c r="P3228" s="7" t="s">
        <v>333</v>
      </c>
      <c r="Q3228" s="13"/>
      <c r="R3228" s="13"/>
      <c r="S3228" s="13"/>
      <c r="T3228" s="6"/>
      <c r="U3228" s="7"/>
      <c r="V3228" s="7"/>
      <c r="W3228" s="7"/>
      <c r="X3228" s="7"/>
      <c r="Y3228" s="7"/>
      <c r="Z3228" s="7"/>
      <c r="AA3228" s="7"/>
      <c r="AB3228" s="7"/>
      <c r="AC3228" s="7"/>
      <c r="AD3228" s="7"/>
      <c r="AE3228" s="7"/>
    </row>
    <row r="3229">
      <c r="A3229" s="12">
        <v>70.0</v>
      </c>
      <c r="B3229" s="7" t="s">
        <v>621</v>
      </c>
      <c r="C3229" s="7" t="s">
        <v>1842</v>
      </c>
      <c r="I3229" s="13" t="s">
        <v>1599</v>
      </c>
      <c r="J3229" s="13" t="s">
        <v>826</v>
      </c>
      <c r="K3229" s="13" t="s">
        <v>303</v>
      </c>
      <c r="L3229" s="13" t="s">
        <v>2703</v>
      </c>
      <c r="M3229" s="6" t="s">
        <v>188</v>
      </c>
      <c r="N3229" s="6" t="s">
        <v>188</v>
      </c>
      <c r="O3229" s="6" t="s">
        <v>190</v>
      </c>
      <c r="P3229" s="7" t="s">
        <v>333</v>
      </c>
      <c r="Q3229" s="13"/>
      <c r="R3229" s="13"/>
      <c r="S3229" s="13"/>
      <c r="T3229" s="6"/>
      <c r="U3229" s="7"/>
      <c r="V3229" s="7"/>
      <c r="W3229" s="7"/>
      <c r="X3229" s="7"/>
      <c r="Y3229" s="7"/>
      <c r="Z3229" s="7"/>
      <c r="AA3229" s="7"/>
      <c r="AB3229" s="7"/>
      <c r="AC3229" s="7"/>
      <c r="AD3229" s="7"/>
      <c r="AE3229" s="7"/>
    </row>
    <row r="3230">
      <c r="A3230" s="12">
        <v>70.0</v>
      </c>
      <c r="B3230" s="7" t="s">
        <v>621</v>
      </c>
      <c r="C3230" s="7" t="s">
        <v>1842</v>
      </c>
      <c r="I3230" s="13" t="s">
        <v>2074</v>
      </c>
      <c r="J3230" s="13" t="s">
        <v>828</v>
      </c>
      <c r="K3230" s="13" t="s">
        <v>303</v>
      </c>
      <c r="L3230" s="13" t="s">
        <v>2659</v>
      </c>
      <c r="M3230" s="6" t="s">
        <v>188</v>
      </c>
      <c r="N3230" s="6" t="s">
        <v>188</v>
      </c>
      <c r="O3230" s="6" t="s">
        <v>190</v>
      </c>
      <c r="P3230" s="7" t="s">
        <v>333</v>
      </c>
      <c r="Q3230" s="13"/>
      <c r="R3230" s="13"/>
      <c r="S3230" s="13"/>
      <c r="T3230" s="6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  <c r="AE3230" s="7"/>
    </row>
    <row r="3231">
      <c r="A3231" s="12">
        <v>70.0</v>
      </c>
      <c r="B3231" s="7" t="s">
        <v>621</v>
      </c>
      <c r="C3231" s="7" t="s">
        <v>1842</v>
      </c>
      <c r="I3231" s="13" t="s">
        <v>2107</v>
      </c>
      <c r="J3231" s="13" t="s">
        <v>829</v>
      </c>
      <c r="K3231" s="13" t="s">
        <v>303</v>
      </c>
      <c r="L3231" s="13" t="s">
        <v>2616</v>
      </c>
      <c r="M3231" s="6" t="s">
        <v>188</v>
      </c>
      <c r="N3231" s="6" t="s">
        <v>188</v>
      </c>
      <c r="O3231" s="6" t="s">
        <v>190</v>
      </c>
      <c r="P3231" s="7" t="s">
        <v>333</v>
      </c>
      <c r="Q3231" s="13"/>
      <c r="R3231" s="13"/>
      <c r="S3231" s="13"/>
      <c r="T3231" s="6"/>
      <c r="U3231" s="7"/>
      <c r="V3231" s="7"/>
      <c r="W3231" s="7"/>
      <c r="X3231" s="7"/>
      <c r="Y3231" s="7"/>
      <c r="Z3231" s="7"/>
      <c r="AA3231" s="7"/>
      <c r="AB3231" s="7"/>
      <c r="AC3231" s="7"/>
      <c r="AD3231" s="7"/>
      <c r="AE3231" s="7"/>
    </row>
    <row r="3232">
      <c r="A3232" s="12">
        <v>70.0</v>
      </c>
      <c r="B3232" s="7" t="s">
        <v>621</v>
      </c>
      <c r="C3232" s="7" t="s">
        <v>1842</v>
      </c>
      <c r="I3232" s="13" t="s">
        <v>1284</v>
      </c>
      <c r="J3232" s="13" t="s">
        <v>830</v>
      </c>
      <c r="K3232" s="13" t="s">
        <v>303</v>
      </c>
      <c r="L3232" s="13" t="s">
        <v>2667</v>
      </c>
      <c r="M3232" s="6" t="s">
        <v>188</v>
      </c>
      <c r="N3232" s="6" t="s">
        <v>188</v>
      </c>
      <c r="O3232" s="6" t="s">
        <v>190</v>
      </c>
      <c r="P3232" s="7" t="s">
        <v>333</v>
      </c>
      <c r="Q3232" s="13"/>
      <c r="R3232" s="13"/>
      <c r="S3232" s="13"/>
      <c r="T3232" s="7"/>
      <c r="U3232" s="7"/>
      <c r="V3232" s="7"/>
      <c r="W3232" s="7"/>
      <c r="X3232" s="7"/>
      <c r="Y3232" s="7"/>
      <c r="Z3232" s="7"/>
      <c r="AA3232" s="7"/>
      <c r="AB3232" s="7"/>
      <c r="AC3232" s="7"/>
      <c r="AD3232" s="7"/>
      <c r="AE3232" s="7"/>
    </row>
    <row r="3233">
      <c r="A3233" s="12">
        <v>70.0</v>
      </c>
      <c r="B3233" s="7" t="s">
        <v>621</v>
      </c>
      <c r="C3233" s="7" t="s">
        <v>1842</v>
      </c>
      <c r="I3233" s="13" t="s">
        <v>2064</v>
      </c>
      <c r="J3233" s="13" t="s">
        <v>826</v>
      </c>
      <c r="K3233" s="13" t="s">
        <v>303</v>
      </c>
      <c r="L3233" s="13" t="s">
        <v>2671</v>
      </c>
      <c r="M3233" s="6" t="s">
        <v>188</v>
      </c>
      <c r="N3233" s="6" t="s">
        <v>188</v>
      </c>
      <c r="O3233" s="6" t="s">
        <v>190</v>
      </c>
      <c r="P3233" s="7" t="s">
        <v>333</v>
      </c>
      <c r="Q3233" s="13"/>
      <c r="R3233" s="13"/>
      <c r="S3233" s="13"/>
      <c r="T3233" s="7"/>
      <c r="U3233" s="7"/>
      <c r="V3233" s="7"/>
      <c r="W3233" s="7"/>
      <c r="X3233" s="7"/>
      <c r="Y3233" s="7"/>
      <c r="Z3233" s="7"/>
      <c r="AA3233" s="7"/>
      <c r="AB3233" s="7"/>
      <c r="AC3233" s="7"/>
      <c r="AD3233" s="7"/>
      <c r="AE3233" s="7"/>
    </row>
    <row r="3234">
      <c r="A3234" s="12">
        <v>70.0</v>
      </c>
      <c r="B3234" s="7" t="s">
        <v>621</v>
      </c>
      <c r="C3234" s="7" t="s">
        <v>1842</v>
      </c>
      <c r="I3234" s="13" t="s">
        <v>2449</v>
      </c>
      <c r="J3234" s="13" t="s">
        <v>828</v>
      </c>
      <c r="K3234" s="13" t="s">
        <v>303</v>
      </c>
      <c r="L3234" s="13" t="s">
        <v>2609</v>
      </c>
      <c r="M3234" s="6" t="s">
        <v>188</v>
      </c>
      <c r="N3234" s="6" t="s">
        <v>188</v>
      </c>
      <c r="O3234" s="6" t="s">
        <v>190</v>
      </c>
      <c r="P3234" s="7" t="s">
        <v>333</v>
      </c>
      <c r="Q3234" s="13"/>
      <c r="R3234" s="13"/>
      <c r="S3234" s="13"/>
      <c r="T3234" s="7"/>
      <c r="U3234" s="7"/>
      <c r="V3234" s="7"/>
      <c r="W3234" s="7"/>
      <c r="X3234" s="7"/>
      <c r="Y3234" s="7"/>
      <c r="Z3234" s="7"/>
      <c r="AA3234" s="7"/>
      <c r="AB3234" s="7"/>
      <c r="AC3234" s="7"/>
      <c r="AD3234" s="7"/>
      <c r="AE3234" s="7"/>
    </row>
    <row r="3235">
      <c r="A3235" s="12">
        <v>71.0</v>
      </c>
      <c r="B3235" s="7" t="s">
        <v>627</v>
      </c>
      <c r="C3235" s="7" t="s">
        <v>1842</v>
      </c>
      <c r="D3235" s="26">
        <f>IF(COUNTIF($B$2:$B3235,$B3235)&gt;1,"",COUNTIF($B$2:$B$3400,$B3235))</f>
        <v>30</v>
      </c>
      <c r="E3235" s="26">
        <f>IF(COUNTIF($B$2:$B3235,$B3235)&gt;1,"",COUNTIFS($B$2:$B$3400,$B3235,$K$2:$K$3400,"PHÙ HỢP CAO"))</f>
        <v>4</v>
      </c>
      <c r="F3235" s="26">
        <f>IF(COUNTIF($B$2:$B3235,$B3235)&gt;1,"",COUNTIFS($B$2:$B$3400,$B3235,$K$2:$K$3400,"CÓ THỂ ĐI"))</f>
        <v>1</v>
      </c>
      <c r="G3235" s="26">
        <f>IF(COUNTIF($B$2:$B3235,$B3235)&gt;1,"",COUNTIFS($B$2:$B$3400,$B3235,$K$2:$K$3400,"CẦN SOÁT"))</f>
        <v>25</v>
      </c>
      <c r="H3235" s="27" t="str">
        <f>IFERROR(__xludf.DUMMYFUNCTION("IF(COUNTIF($B$2:$B3235,$B3235)&gt;1,"""",IFERROR(TEXTJOIN(CHAR(10),TRUE,BYROW(QUERY({$B$2:$B$3400,$J$2:$J$3400},""select Col2, count(Col2) where Col1 = '""&amp;$B3235&amp;""' group by Col2 order by count(Col2) desc label count(Col2) ''"",0),LAMBDA(r,INDEX(r,1,1)&amp;"" "&amp;"– ""&amp;INDEX(r,1,2)&amp;"" link""))),""""))"),"kiểm tra nợ xấu – 15 link
tra cứu nợ xấu – 15 link")</f>
        <v>kiểm tra nợ xấu – 15 link
tra cứu nợ xấu – 15 link</v>
      </c>
      <c r="I3235" s="10" t="s">
        <v>1500</v>
      </c>
      <c r="J3235" s="13" t="s">
        <v>1888</v>
      </c>
      <c r="K3235" s="13" t="s">
        <v>184</v>
      </c>
      <c r="L3235" s="13" t="s">
        <v>2715</v>
      </c>
      <c r="M3235" s="6" t="s">
        <v>188</v>
      </c>
      <c r="N3235" s="6" t="s">
        <v>188</v>
      </c>
      <c r="O3235" s="6" t="s">
        <v>190</v>
      </c>
      <c r="P3235" s="7"/>
      <c r="Q3235" s="13"/>
      <c r="R3235" s="13"/>
      <c r="S3235" s="13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7"/>
      <c r="AE3235" s="7"/>
    </row>
    <row r="3236">
      <c r="A3236" s="12">
        <v>71.0</v>
      </c>
      <c r="B3236" s="7" t="s">
        <v>627</v>
      </c>
      <c r="C3236" s="7" t="s">
        <v>1842</v>
      </c>
      <c r="I3236" s="10" t="s">
        <v>1890</v>
      </c>
      <c r="J3236" s="13" t="s">
        <v>1893</v>
      </c>
      <c r="K3236" s="13" t="s">
        <v>184</v>
      </c>
      <c r="L3236" s="13" t="s">
        <v>2716</v>
      </c>
      <c r="M3236" s="6" t="s">
        <v>188</v>
      </c>
      <c r="N3236" s="6" t="s">
        <v>188</v>
      </c>
      <c r="O3236" s="6" t="s">
        <v>190</v>
      </c>
      <c r="P3236" s="7"/>
      <c r="Q3236" s="13"/>
      <c r="R3236" s="13"/>
      <c r="S3236" s="13"/>
      <c r="T3236" s="7"/>
      <c r="U3236" s="7"/>
      <c r="V3236" s="7"/>
      <c r="W3236" s="7"/>
      <c r="X3236" s="7"/>
      <c r="Y3236" s="7"/>
      <c r="Z3236" s="7"/>
      <c r="AA3236" s="7"/>
      <c r="AB3236" s="7"/>
      <c r="AC3236" s="7"/>
      <c r="AD3236" s="7"/>
      <c r="AE3236" s="7"/>
    </row>
    <row r="3237">
      <c r="A3237" s="12">
        <v>71.0</v>
      </c>
      <c r="B3237" s="7" t="s">
        <v>627</v>
      </c>
      <c r="C3237" s="7" t="s">
        <v>1842</v>
      </c>
      <c r="I3237" s="10" t="s">
        <v>1894</v>
      </c>
      <c r="J3237" s="13" t="s">
        <v>1888</v>
      </c>
      <c r="K3237" s="13" t="s">
        <v>184</v>
      </c>
      <c r="L3237" s="13" t="s">
        <v>2717</v>
      </c>
      <c r="M3237" s="6" t="s">
        <v>188</v>
      </c>
      <c r="N3237" s="6" t="s">
        <v>188</v>
      </c>
      <c r="O3237" s="6" t="s">
        <v>190</v>
      </c>
      <c r="P3237" s="7"/>
      <c r="Q3237" s="13"/>
      <c r="R3237" s="13"/>
      <c r="S3237" s="13"/>
      <c r="T3237" s="7"/>
      <c r="U3237" s="7"/>
      <c r="V3237" s="7"/>
      <c r="W3237" s="7"/>
      <c r="X3237" s="7"/>
      <c r="Y3237" s="7"/>
      <c r="Z3237" s="7"/>
      <c r="AA3237" s="7"/>
      <c r="AB3237" s="7"/>
      <c r="AC3237" s="7"/>
      <c r="AD3237" s="7"/>
      <c r="AE3237" s="7"/>
    </row>
    <row r="3238">
      <c r="A3238" s="12">
        <v>71.0</v>
      </c>
      <c r="B3238" s="7" t="s">
        <v>627</v>
      </c>
      <c r="C3238" s="7" t="s">
        <v>1842</v>
      </c>
      <c r="I3238" s="10" t="s">
        <v>1377</v>
      </c>
      <c r="J3238" s="13" t="s">
        <v>1893</v>
      </c>
      <c r="K3238" s="13" t="s">
        <v>184</v>
      </c>
      <c r="L3238" s="13" t="s">
        <v>2718</v>
      </c>
      <c r="M3238" s="6" t="s">
        <v>188</v>
      </c>
      <c r="N3238" s="6" t="s">
        <v>188</v>
      </c>
      <c r="O3238" s="6" t="s">
        <v>190</v>
      </c>
      <c r="P3238" s="7"/>
      <c r="Q3238" s="13"/>
      <c r="R3238" s="13"/>
      <c r="S3238" s="13"/>
      <c r="T3238" s="7"/>
      <c r="U3238" s="7"/>
      <c r="V3238" s="7"/>
      <c r="W3238" s="7"/>
      <c r="X3238" s="7"/>
      <c r="Y3238" s="7"/>
      <c r="Z3238" s="7"/>
      <c r="AA3238" s="7"/>
      <c r="AB3238" s="7"/>
      <c r="AC3238" s="7"/>
      <c r="AD3238" s="7"/>
      <c r="AE3238" s="7"/>
    </row>
    <row r="3239">
      <c r="A3239" s="12">
        <v>71.0</v>
      </c>
      <c r="B3239" s="7" t="s">
        <v>627</v>
      </c>
      <c r="C3239" s="7" t="s">
        <v>1842</v>
      </c>
      <c r="I3239" s="10" t="s">
        <v>1284</v>
      </c>
      <c r="J3239" s="13" t="s">
        <v>1888</v>
      </c>
      <c r="K3239" s="13" t="s">
        <v>283</v>
      </c>
      <c r="L3239" s="13" t="s">
        <v>2719</v>
      </c>
      <c r="M3239" s="6" t="s">
        <v>188</v>
      </c>
      <c r="N3239" s="6" t="s">
        <v>188</v>
      </c>
      <c r="O3239" s="6" t="s">
        <v>190</v>
      </c>
      <c r="P3239" s="7"/>
      <c r="Q3239" s="13"/>
      <c r="R3239" s="13"/>
      <c r="S3239" s="13"/>
      <c r="T3239" s="7"/>
      <c r="U3239" s="7"/>
      <c r="V3239" s="7"/>
      <c r="W3239" s="7"/>
      <c r="X3239" s="7"/>
      <c r="Y3239" s="7"/>
      <c r="Z3239" s="7"/>
      <c r="AA3239" s="7"/>
      <c r="AB3239" s="7"/>
      <c r="AC3239" s="7"/>
      <c r="AD3239" s="7"/>
      <c r="AE3239" s="7"/>
    </row>
    <row r="3240">
      <c r="A3240" s="12">
        <v>71.0</v>
      </c>
      <c r="B3240" s="7" t="s">
        <v>627</v>
      </c>
      <c r="C3240" s="7" t="s">
        <v>1842</v>
      </c>
      <c r="I3240" s="10" t="s">
        <v>1281</v>
      </c>
      <c r="J3240" s="13" t="s">
        <v>1893</v>
      </c>
      <c r="K3240" s="13" t="s">
        <v>303</v>
      </c>
      <c r="L3240" s="13" t="s">
        <v>2720</v>
      </c>
      <c r="M3240" s="6" t="s">
        <v>188</v>
      </c>
      <c r="N3240" s="6" t="s">
        <v>188</v>
      </c>
      <c r="O3240" s="6" t="s">
        <v>190</v>
      </c>
      <c r="P3240" s="7"/>
      <c r="Q3240" s="13"/>
      <c r="R3240" s="13"/>
      <c r="S3240" s="13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/>
      <c r="AE3240" s="7"/>
    </row>
    <row r="3241">
      <c r="A3241" s="12">
        <v>71.0</v>
      </c>
      <c r="B3241" s="7" t="s">
        <v>627</v>
      </c>
      <c r="C3241" s="7" t="s">
        <v>1842</v>
      </c>
      <c r="I3241" s="10" t="s">
        <v>1269</v>
      </c>
      <c r="J3241" s="13" t="s">
        <v>1888</v>
      </c>
      <c r="K3241" s="13" t="s">
        <v>303</v>
      </c>
      <c r="L3241" s="13" t="s">
        <v>2000</v>
      </c>
      <c r="M3241" s="6" t="s">
        <v>188</v>
      </c>
      <c r="N3241" s="6" t="s">
        <v>188</v>
      </c>
      <c r="O3241" s="6" t="s">
        <v>190</v>
      </c>
      <c r="P3241" s="7"/>
      <c r="Q3241" s="13"/>
      <c r="R3241" s="13"/>
      <c r="S3241" s="13"/>
      <c r="T3241" s="7"/>
      <c r="U3241" s="7"/>
      <c r="V3241" s="7"/>
      <c r="W3241" s="7"/>
      <c r="X3241" s="7"/>
      <c r="Y3241" s="7"/>
      <c r="Z3241" s="7"/>
      <c r="AA3241" s="7"/>
      <c r="AB3241" s="7"/>
      <c r="AC3241" s="7"/>
      <c r="AD3241" s="7"/>
      <c r="AE3241" s="7"/>
    </row>
    <row r="3242">
      <c r="A3242" s="12">
        <v>71.0</v>
      </c>
      <c r="B3242" s="7" t="s">
        <v>627</v>
      </c>
      <c r="C3242" s="7" t="s">
        <v>1842</v>
      </c>
      <c r="I3242" s="10" t="s">
        <v>1996</v>
      </c>
      <c r="J3242" s="13" t="s">
        <v>1893</v>
      </c>
      <c r="K3242" s="13" t="s">
        <v>303</v>
      </c>
      <c r="L3242" s="13" t="s">
        <v>1997</v>
      </c>
      <c r="M3242" s="6" t="s">
        <v>188</v>
      </c>
      <c r="N3242" s="6" t="s">
        <v>188</v>
      </c>
      <c r="O3242" s="6" t="s">
        <v>190</v>
      </c>
      <c r="P3242" s="7"/>
      <c r="Q3242" s="13"/>
      <c r="R3242" s="13"/>
      <c r="S3242" s="13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  <c r="AE3242" s="7"/>
    </row>
    <row r="3243">
      <c r="A3243" s="12">
        <v>71.0</v>
      </c>
      <c r="B3243" s="7" t="s">
        <v>627</v>
      </c>
      <c r="C3243" s="7" t="s">
        <v>1842</v>
      </c>
      <c r="I3243" s="10" t="s">
        <v>660</v>
      </c>
      <c r="J3243" s="13" t="s">
        <v>1888</v>
      </c>
      <c r="K3243" s="13" t="s">
        <v>303</v>
      </c>
      <c r="L3243" s="13" t="s">
        <v>1997</v>
      </c>
      <c r="M3243" s="6" t="s">
        <v>188</v>
      </c>
      <c r="N3243" s="6" t="s">
        <v>188</v>
      </c>
      <c r="O3243" s="6" t="s">
        <v>190</v>
      </c>
      <c r="P3243" s="7"/>
      <c r="Q3243" s="13"/>
      <c r="R3243" s="13"/>
      <c r="S3243" s="13"/>
      <c r="T3243" s="7"/>
      <c r="U3243" s="7"/>
      <c r="V3243" s="7"/>
      <c r="W3243" s="7"/>
      <c r="X3243" s="7"/>
      <c r="Y3243" s="7"/>
      <c r="Z3243" s="7"/>
      <c r="AA3243" s="7"/>
      <c r="AB3243" s="7"/>
      <c r="AC3243" s="7"/>
      <c r="AD3243" s="7"/>
      <c r="AE3243" s="7"/>
    </row>
    <row r="3244">
      <c r="A3244" s="12">
        <v>71.0</v>
      </c>
      <c r="B3244" s="7" t="s">
        <v>627</v>
      </c>
      <c r="C3244" s="7" t="s">
        <v>1842</v>
      </c>
      <c r="I3244" s="10" t="s">
        <v>1381</v>
      </c>
      <c r="J3244" s="13" t="s">
        <v>1893</v>
      </c>
      <c r="K3244" s="13" t="s">
        <v>303</v>
      </c>
      <c r="L3244" s="13" t="s">
        <v>1997</v>
      </c>
      <c r="M3244" s="6" t="s">
        <v>188</v>
      </c>
      <c r="N3244" s="6" t="s">
        <v>188</v>
      </c>
      <c r="O3244" s="6" t="s">
        <v>190</v>
      </c>
      <c r="P3244" s="7"/>
      <c r="Q3244" s="13"/>
      <c r="R3244" s="13"/>
      <c r="S3244" s="13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/>
      <c r="AE3244" s="7"/>
    </row>
    <row r="3245">
      <c r="A3245" s="12">
        <v>71.0</v>
      </c>
      <c r="B3245" s="7" t="s">
        <v>627</v>
      </c>
      <c r="C3245" s="7" t="s">
        <v>1842</v>
      </c>
      <c r="I3245" s="10" t="s">
        <v>1999</v>
      </c>
      <c r="J3245" s="13" t="s">
        <v>1888</v>
      </c>
      <c r="K3245" s="13" t="s">
        <v>303</v>
      </c>
      <c r="L3245" s="13" t="s">
        <v>2000</v>
      </c>
      <c r="M3245" s="6" t="s">
        <v>188</v>
      </c>
      <c r="N3245" s="6" t="s">
        <v>188</v>
      </c>
      <c r="O3245" s="6" t="s">
        <v>190</v>
      </c>
      <c r="P3245" s="7"/>
      <c r="Q3245" s="13"/>
      <c r="R3245" s="13"/>
      <c r="S3245" s="13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7"/>
      <c r="AE3245" s="7"/>
    </row>
    <row r="3246">
      <c r="A3246" s="12">
        <v>71.0</v>
      </c>
      <c r="B3246" s="7" t="s">
        <v>627</v>
      </c>
      <c r="C3246" s="7" t="s">
        <v>1842</v>
      </c>
      <c r="I3246" s="10" t="s">
        <v>1277</v>
      </c>
      <c r="J3246" s="13" t="s">
        <v>1893</v>
      </c>
      <c r="K3246" s="13" t="s">
        <v>303</v>
      </c>
      <c r="L3246" s="13" t="s">
        <v>2721</v>
      </c>
      <c r="M3246" s="6" t="s">
        <v>188</v>
      </c>
      <c r="N3246" s="6" t="s">
        <v>188</v>
      </c>
      <c r="O3246" s="6" t="s">
        <v>190</v>
      </c>
      <c r="P3246" s="7"/>
      <c r="Q3246" s="13"/>
      <c r="R3246" s="13"/>
      <c r="S3246" s="13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7"/>
      <c r="AE3246" s="7"/>
    </row>
    <row r="3247">
      <c r="A3247" s="12">
        <v>71.0</v>
      </c>
      <c r="B3247" s="7" t="s">
        <v>627</v>
      </c>
      <c r="C3247" s="7" t="s">
        <v>1842</v>
      </c>
      <c r="I3247" s="10" t="s">
        <v>513</v>
      </c>
      <c r="J3247" s="13" t="s">
        <v>1888</v>
      </c>
      <c r="K3247" s="13" t="s">
        <v>303</v>
      </c>
      <c r="L3247" s="13" t="s">
        <v>2000</v>
      </c>
      <c r="M3247" s="6" t="s">
        <v>188</v>
      </c>
      <c r="N3247" s="6" t="s">
        <v>188</v>
      </c>
      <c r="O3247" s="6" t="s">
        <v>190</v>
      </c>
      <c r="P3247" s="7"/>
      <c r="Q3247" s="13"/>
      <c r="R3247" s="13"/>
      <c r="S3247" s="13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7"/>
      <c r="AE3247" s="7"/>
    </row>
    <row r="3248">
      <c r="A3248" s="12">
        <v>71.0</v>
      </c>
      <c r="B3248" s="7" t="s">
        <v>627</v>
      </c>
      <c r="C3248" s="7" t="s">
        <v>1842</v>
      </c>
      <c r="I3248" s="10" t="s">
        <v>1366</v>
      </c>
      <c r="J3248" s="13" t="s">
        <v>1893</v>
      </c>
      <c r="K3248" s="13" t="s">
        <v>303</v>
      </c>
      <c r="L3248" s="13" t="s">
        <v>1997</v>
      </c>
      <c r="M3248" s="6" t="s">
        <v>188</v>
      </c>
      <c r="N3248" s="6" t="s">
        <v>188</v>
      </c>
      <c r="O3248" s="6" t="s">
        <v>190</v>
      </c>
      <c r="P3248" s="7"/>
      <c r="Q3248" s="13"/>
      <c r="R3248" s="13"/>
      <c r="S3248" s="13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7"/>
      <c r="AE3248" s="7"/>
    </row>
    <row r="3249">
      <c r="A3249" s="12">
        <v>71.0</v>
      </c>
      <c r="B3249" s="7" t="s">
        <v>627</v>
      </c>
      <c r="C3249" s="7" t="s">
        <v>1842</v>
      </c>
      <c r="I3249" s="10" t="s">
        <v>1391</v>
      </c>
      <c r="J3249" s="13" t="s">
        <v>1888</v>
      </c>
      <c r="K3249" s="13" t="s">
        <v>303</v>
      </c>
      <c r="L3249" s="13" t="s">
        <v>1997</v>
      </c>
      <c r="M3249" s="6" t="s">
        <v>188</v>
      </c>
      <c r="N3249" s="6" t="s">
        <v>188</v>
      </c>
      <c r="O3249" s="6" t="s">
        <v>190</v>
      </c>
      <c r="P3249" s="7"/>
      <c r="Q3249" s="13"/>
      <c r="R3249" s="13"/>
      <c r="S3249" s="13"/>
      <c r="T3249" s="7"/>
      <c r="U3249" s="7"/>
      <c r="V3249" s="7"/>
      <c r="W3249" s="7"/>
      <c r="X3249" s="7"/>
      <c r="Y3249" s="7"/>
      <c r="Z3249" s="7"/>
      <c r="AA3249" s="7"/>
      <c r="AB3249" s="7"/>
      <c r="AC3249" s="7"/>
      <c r="AD3249" s="7"/>
      <c r="AE3249" s="7"/>
    </row>
    <row r="3250">
      <c r="A3250" s="12">
        <v>71.0</v>
      </c>
      <c r="B3250" s="7" t="s">
        <v>627</v>
      </c>
      <c r="C3250" s="7" t="s">
        <v>1842</v>
      </c>
      <c r="I3250" s="10" t="s">
        <v>1274</v>
      </c>
      <c r="J3250" s="13" t="s">
        <v>1893</v>
      </c>
      <c r="K3250" s="13" t="s">
        <v>303</v>
      </c>
      <c r="L3250" s="13" t="s">
        <v>2000</v>
      </c>
      <c r="M3250" s="6" t="s">
        <v>188</v>
      </c>
      <c r="N3250" s="6" t="s">
        <v>188</v>
      </c>
      <c r="O3250" s="6" t="s">
        <v>190</v>
      </c>
      <c r="P3250" s="7"/>
      <c r="Q3250" s="13"/>
      <c r="R3250" s="13"/>
      <c r="S3250" s="13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/>
      <c r="AE3250" s="7"/>
    </row>
    <row r="3251">
      <c r="A3251" s="12">
        <v>71.0</v>
      </c>
      <c r="B3251" s="7" t="s">
        <v>627</v>
      </c>
      <c r="C3251" s="7" t="s">
        <v>1842</v>
      </c>
      <c r="I3251" s="13" t="s">
        <v>1148</v>
      </c>
      <c r="J3251" s="13" t="s">
        <v>1888</v>
      </c>
      <c r="K3251" s="13" t="s">
        <v>303</v>
      </c>
      <c r="L3251" s="13" t="s">
        <v>2722</v>
      </c>
      <c r="M3251" s="6" t="s">
        <v>188</v>
      </c>
      <c r="N3251" s="6" t="s">
        <v>188</v>
      </c>
      <c r="O3251" s="6" t="s">
        <v>190</v>
      </c>
      <c r="P3251" s="7" t="s">
        <v>333</v>
      </c>
      <c r="Q3251" s="13"/>
      <c r="R3251" s="13"/>
      <c r="S3251" s="13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7"/>
      <c r="AE3251" s="7"/>
    </row>
    <row r="3252">
      <c r="A3252" s="12">
        <v>71.0</v>
      </c>
      <c r="B3252" s="7" t="s">
        <v>627</v>
      </c>
      <c r="C3252" s="7" t="s">
        <v>1842</v>
      </c>
      <c r="I3252" s="13" t="s">
        <v>2008</v>
      </c>
      <c r="J3252" s="13" t="s">
        <v>1893</v>
      </c>
      <c r="K3252" s="13" t="s">
        <v>303</v>
      </c>
      <c r="L3252" s="13" t="s">
        <v>2723</v>
      </c>
      <c r="M3252" s="6" t="s">
        <v>188</v>
      </c>
      <c r="N3252" s="6" t="s">
        <v>188</v>
      </c>
      <c r="O3252" s="6" t="s">
        <v>190</v>
      </c>
      <c r="P3252" s="7" t="s">
        <v>333</v>
      </c>
      <c r="Q3252" s="13"/>
      <c r="R3252" s="13"/>
      <c r="S3252" s="13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7"/>
      <c r="AE3252" s="7"/>
    </row>
    <row r="3253">
      <c r="A3253" s="12">
        <v>71.0</v>
      </c>
      <c r="B3253" s="7" t="s">
        <v>627</v>
      </c>
      <c r="C3253" s="7" t="s">
        <v>1842</v>
      </c>
      <c r="I3253" s="13" t="s">
        <v>1918</v>
      </c>
      <c r="J3253" s="13" t="s">
        <v>1888</v>
      </c>
      <c r="K3253" s="13" t="s">
        <v>303</v>
      </c>
      <c r="L3253" s="13" t="s">
        <v>2723</v>
      </c>
      <c r="M3253" s="6" t="s">
        <v>188</v>
      </c>
      <c r="N3253" s="6" t="s">
        <v>188</v>
      </c>
      <c r="O3253" s="6" t="s">
        <v>190</v>
      </c>
      <c r="P3253" s="7" t="s">
        <v>333</v>
      </c>
      <c r="Q3253" s="13"/>
      <c r="R3253" s="13"/>
      <c r="S3253" s="13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7"/>
      <c r="AE3253" s="7"/>
    </row>
    <row r="3254">
      <c r="A3254" s="12">
        <v>71.0</v>
      </c>
      <c r="B3254" s="7" t="s">
        <v>627</v>
      </c>
      <c r="C3254" s="7" t="s">
        <v>1842</v>
      </c>
      <c r="I3254" s="13" t="s">
        <v>604</v>
      </c>
      <c r="J3254" s="13" t="s">
        <v>1893</v>
      </c>
      <c r="K3254" s="13" t="s">
        <v>303</v>
      </c>
      <c r="L3254" s="13" t="s">
        <v>2724</v>
      </c>
      <c r="M3254" s="6" t="s">
        <v>188</v>
      </c>
      <c r="N3254" s="6" t="s">
        <v>188</v>
      </c>
      <c r="O3254" s="6" t="s">
        <v>190</v>
      </c>
      <c r="P3254" s="7" t="s">
        <v>333</v>
      </c>
      <c r="Q3254" s="13"/>
      <c r="R3254" s="13"/>
      <c r="S3254" s="13"/>
      <c r="T3254" s="7"/>
      <c r="U3254" s="7"/>
      <c r="V3254" s="7"/>
      <c r="W3254" s="7"/>
      <c r="X3254" s="7"/>
      <c r="Y3254" s="7"/>
      <c r="Z3254" s="7"/>
      <c r="AA3254" s="7"/>
      <c r="AB3254" s="7"/>
      <c r="AC3254" s="7"/>
      <c r="AD3254" s="7"/>
      <c r="AE3254" s="7"/>
    </row>
    <row r="3255">
      <c r="A3255" s="12">
        <v>71.0</v>
      </c>
      <c r="B3255" s="7" t="s">
        <v>627</v>
      </c>
      <c r="C3255" s="7" t="s">
        <v>1842</v>
      </c>
      <c r="I3255" s="13" t="s">
        <v>247</v>
      </c>
      <c r="J3255" s="13" t="s">
        <v>1888</v>
      </c>
      <c r="K3255" s="13" t="s">
        <v>303</v>
      </c>
      <c r="L3255" s="13" t="s">
        <v>2725</v>
      </c>
      <c r="M3255" s="6" t="s">
        <v>188</v>
      </c>
      <c r="N3255" s="6" t="s">
        <v>188</v>
      </c>
      <c r="O3255" s="6" t="s">
        <v>190</v>
      </c>
      <c r="P3255" s="7" t="s">
        <v>333</v>
      </c>
      <c r="Q3255" s="13"/>
      <c r="R3255" s="13"/>
      <c r="S3255" s="13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7"/>
      <c r="AE3255" s="7"/>
    </row>
    <row r="3256">
      <c r="A3256" s="12">
        <v>71.0</v>
      </c>
      <c r="B3256" s="7" t="s">
        <v>627</v>
      </c>
      <c r="C3256" s="7" t="s">
        <v>1842</v>
      </c>
      <c r="I3256" s="13" t="s">
        <v>2003</v>
      </c>
      <c r="J3256" s="13" t="s">
        <v>1893</v>
      </c>
      <c r="K3256" s="13" t="s">
        <v>303</v>
      </c>
      <c r="L3256" s="13" t="s">
        <v>2726</v>
      </c>
      <c r="M3256" s="6" t="s">
        <v>188</v>
      </c>
      <c r="N3256" s="6" t="s">
        <v>188</v>
      </c>
      <c r="O3256" s="6" t="s">
        <v>190</v>
      </c>
      <c r="P3256" s="7" t="s">
        <v>333</v>
      </c>
      <c r="Q3256" s="13"/>
      <c r="R3256" s="13"/>
      <c r="S3256" s="13"/>
      <c r="T3256" s="7"/>
      <c r="U3256" s="7"/>
      <c r="V3256" s="7"/>
      <c r="W3256" s="7"/>
      <c r="X3256" s="7"/>
      <c r="Y3256" s="7"/>
      <c r="Z3256" s="7"/>
      <c r="AA3256" s="7"/>
      <c r="AB3256" s="7"/>
      <c r="AC3256" s="7"/>
      <c r="AD3256" s="7"/>
      <c r="AE3256" s="7"/>
    </row>
    <row r="3257">
      <c r="A3257" s="12">
        <v>71.0</v>
      </c>
      <c r="B3257" s="7" t="s">
        <v>627</v>
      </c>
      <c r="C3257" s="7" t="s">
        <v>1842</v>
      </c>
      <c r="I3257" s="13" t="s">
        <v>2030</v>
      </c>
      <c r="J3257" s="13" t="s">
        <v>1888</v>
      </c>
      <c r="K3257" s="13" t="s">
        <v>303</v>
      </c>
      <c r="L3257" s="13" t="s">
        <v>2723</v>
      </c>
      <c r="M3257" s="6" t="s">
        <v>188</v>
      </c>
      <c r="N3257" s="6" t="s">
        <v>188</v>
      </c>
      <c r="O3257" s="6" t="s">
        <v>190</v>
      </c>
      <c r="P3257" s="7" t="s">
        <v>333</v>
      </c>
      <c r="Q3257" s="13"/>
      <c r="R3257" s="13"/>
      <c r="S3257" s="13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  <c r="AE3257" s="7"/>
    </row>
    <row r="3258">
      <c r="A3258" s="12">
        <v>71.0</v>
      </c>
      <c r="B3258" s="7" t="s">
        <v>627</v>
      </c>
      <c r="C3258" s="7" t="s">
        <v>1842</v>
      </c>
      <c r="I3258" s="13" t="s">
        <v>1156</v>
      </c>
      <c r="J3258" s="13" t="s">
        <v>1893</v>
      </c>
      <c r="K3258" s="13" t="s">
        <v>303</v>
      </c>
      <c r="L3258" s="13" t="s">
        <v>2724</v>
      </c>
      <c r="M3258" s="6" t="s">
        <v>188</v>
      </c>
      <c r="N3258" s="6" t="s">
        <v>188</v>
      </c>
      <c r="O3258" s="6" t="s">
        <v>190</v>
      </c>
      <c r="P3258" s="7" t="s">
        <v>333</v>
      </c>
      <c r="Q3258" s="13"/>
      <c r="R3258" s="13"/>
      <c r="S3258" s="13"/>
      <c r="T3258" s="7"/>
      <c r="U3258" s="7"/>
      <c r="V3258" s="7"/>
      <c r="W3258" s="7"/>
      <c r="X3258" s="7"/>
      <c r="Y3258" s="7"/>
      <c r="Z3258" s="7"/>
      <c r="AA3258" s="7"/>
      <c r="AB3258" s="7"/>
      <c r="AC3258" s="7"/>
      <c r="AD3258" s="7"/>
      <c r="AE3258" s="7"/>
    </row>
    <row r="3259">
      <c r="A3259" s="12">
        <v>71.0</v>
      </c>
      <c r="B3259" s="7" t="s">
        <v>627</v>
      </c>
      <c r="C3259" s="7" t="s">
        <v>1842</v>
      </c>
      <c r="I3259" s="13" t="s">
        <v>2013</v>
      </c>
      <c r="J3259" s="13" t="s">
        <v>1888</v>
      </c>
      <c r="K3259" s="13" t="s">
        <v>303</v>
      </c>
      <c r="L3259" s="13" t="s">
        <v>2727</v>
      </c>
      <c r="M3259" s="6" t="s">
        <v>188</v>
      </c>
      <c r="N3259" s="6" t="s">
        <v>188</v>
      </c>
      <c r="O3259" s="6" t="s">
        <v>190</v>
      </c>
      <c r="P3259" s="7" t="s">
        <v>333</v>
      </c>
      <c r="Q3259" s="13"/>
      <c r="R3259" s="13"/>
      <c r="S3259" s="13"/>
      <c r="T3259" s="7"/>
      <c r="U3259" s="7"/>
      <c r="V3259" s="7"/>
      <c r="W3259" s="7"/>
      <c r="X3259" s="7"/>
      <c r="Y3259" s="7"/>
      <c r="Z3259" s="7"/>
      <c r="AA3259" s="7"/>
      <c r="AB3259" s="7"/>
      <c r="AC3259" s="7"/>
      <c r="AD3259" s="7"/>
      <c r="AE3259" s="7"/>
    </row>
    <row r="3260">
      <c r="A3260" s="12">
        <v>71.0</v>
      </c>
      <c r="B3260" s="7" t="s">
        <v>627</v>
      </c>
      <c r="C3260" s="7" t="s">
        <v>1842</v>
      </c>
      <c r="I3260" s="13" t="s">
        <v>2014</v>
      </c>
      <c r="J3260" s="13" t="s">
        <v>1893</v>
      </c>
      <c r="K3260" s="13" t="s">
        <v>303</v>
      </c>
      <c r="L3260" s="13" t="s">
        <v>2727</v>
      </c>
      <c r="M3260" s="6" t="s">
        <v>188</v>
      </c>
      <c r="N3260" s="6" t="s">
        <v>188</v>
      </c>
      <c r="O3260" s="6" t="s">
        <v>190</v>
      </c>
      <c r="P3260" s="7" t="s">
        <v>333</v>
      </c>
      <c r="Q3260" s="13"/>
      <c r="R3260" s="13"/>
      <c r="S3260" s="13"/>
      <c r="T3260" s="7"/>
      <c r="U3260" s="7"/>
      <c r="V3260" s="7"/>
      <c r="W3260" s="7"/>
      <c r="X3260" s="7"/>
      <c r="Y3260" s="7"/>
      <c r="Z3260" s="7"/>
      <c r="AA3260" s="7"/>
      <c r="AB3260" s="7"/>
      <c r="AC3260" s="7"/>
      <c r="AD3260" s="7"/>
      <c r="AE3260" s="7"/>
    </row>
    <row r="3261">
      <c r="A3261" s="12">
        <v>71.0</v>
      </c>
      <c r="B3261" s="7" t="s">
        <v>627</v>
      </c>
      <c r="C3261" s="7" t="s">
        <v>1842</v>
      </c>
      <c r="I3261" s="13" t="s">
        <v>43</v>
      </c>
      <c r="J3261" s="13" t="s">
        <v>1888</v>
      </c>
      <c r="K3261" s="13" t="s">
        <v>303</v>
      </c>
      <c r="L3261" s="13" t="s">
        <v>405</v>
      </c>
      <c r="M3261" s="6" t="s">
        <v>188</v>
      </c>
      <c r="N3261" s="6" t="s">
        <v>188</v>
      </c>
      <c r="O3261" s="6" t="s">
        <v>190</v>
      </c>
      <c r="P3261" s="7" t="s">
        <v>333</v>
      </c>
      <c r="Q3261" s="13"/>
      <c r="R3261" s="13"/>
      <c r="S3261" s="13"/>
      <c r="T3261" s="7"/>
      <c r="U3261" s="7"/>
      <c r="V3261" s="7"/>
      <c r="W3261" s="7"/>
      <c r="X3261" s="7"/>
      <c r="Y3261" s="7"/>
      <c r="Z3261" s="7"/>
      <c r="AA3261" s="7"/>
      <c r="AB3261" s="7"/>
      <c r="AC3261" s="7"/>
      <c r="AD3261" s="7"/>
      <c r="AE3261" s="7"/>
    </row>
    <row r="3262">
      <c r="A3262" s="12">
        <v>71.0</v>
      </c>
      <c r="B3262" s="7" t="s">
        <v>627</v>
      </c>
      <c r="C3262" s="7" t="s">
        <v>1842</v>
      </c>
      <c r="I3262" s="13" t="s">
        <v>1924</v>
      </c>
      <c r="J3262" s="13" t="s">
        <v>1893</v>
      </c>
      <c r="K3262" s="13" t="s">
        <v>303</v>
      </c>
      <c r="L3262" s="13" t="s">
        <v>2724</v>
      </c>
      <c r="M3262" s="6" t="s">
        <v>188</v>
      </c>
      <c r="N3262" s="6" t="s">
        <v>188</v>
      </c>
      <c r="O3262" s="6" t="s">
        <v>190</v>
      </c>
      <c r="P3262" s="7" t="s">
        <v>333</v>
      </c>
      <c r="Q3262" s="13"/>
      <c r="R3262" s="13"/>
      <c r="S3262" s="13"/>
      <c r="T3262" s="7"/>
      <c r="U3262" s="7"/>
      <c r="V3262" s="7"/>
      <c r="W3262" s="7"/>
      <c r="X3262" s="7"/>
      <c r="Y3262" s="7"/>
      <c r="Z3262" s="7"/>
      <c r="AA3262" s="7"/>
      <c r="AB3262" s="7"/>
      <c r="AC3262" s="7"/>
      <c r="AD3262" s="7"/>
      <c r="AE3262" s="7"/>
    </row>
    <row r="3263">
      <c r="A3263" s="12">
        <v>71.0</v>
      </c>
      <c r="B3263" s="7" t="s">
        <v>627</v>
      </c>
      <c r="C3263" s="7" t="s">
        <v>1842</v>
      </c>
      <c r="I3263" s="13" t="s">
        <v>365</v>
      </c>
      <c r="J3263" s="13" t="s">
        <v>1888</v>
      </c>
      <c r="K3263" s="13" t="s">
        <v>303</v>
      </c>
      <c r="L3263" s="13" t="s">
        <v>367</v>
      </c>
      <c r="M3263" s="6" t="s">
        <v>188</v>
      </c>
      <c r="N3263" s="6" t="s">
        <v>188</v>
      </c>
      <c r="O3263" s="6" t="s">
        <v>190</v>
      </c>
      <c r="P3263" s="7" t="s">
        <v>333</v>
      </c>
      <c r="Q3263" s="13"/>
      <c r="R3263" s="13"/>
      <c r="S3263" s="13"/>
      <c r="T3263" s="7"/>
      <c r="U3263" s="7"/>
      <c r="V3263" s="7"/>
      <c r="W3263" s="7"/>
      <c r="X3263" s="7"/>
      <c r="Y3263" s="7"/>
      <c r="Z3263" s="7"/>
      <c r="AA3263" s="7"/>
      <c r="AB3263" s="7"/>
      <c r="AC3263" s="7"/>
      <c r="AD3263" s="7"/>
      <c r="AE3263" s="7"/>
    </row>
    <row r="3264">
      <c r="A3264" s="12">
        <v>71.0</v>
      </c>
      <c r="B3264" s="7" t="s">
        <v>627</v>
      </c>
      <c r="C3264" s="7" t="s">
        <v>1842</v>
      </c>
      <c r="I3264" s="13" t="s">
        <v>347</v>
      </c>
      <c r="J3264" s="13" t="s">
        <v>1893</v>
      </c>
      <c r="K3264" s="13" t="s">
        <v>303</v>
      </c>
      <c r="L3264" s="13" t="s">
        <v>349</v>
      </c>
      <c r="M3264" s="6" t="s">
        <v>188</v>
      </c>
      <c r="N3264" s="6" t="s">
        <v>188</v>
      </c>
      <c r="O3264" s="6" t="s">
        <v>190</v>
      </c>
      <c r="P3264" s="7" t="s">
        <v>333</v>
      </c>
      <c r="Q3264" s="13"/>
      <c r="R3264" s="13"/>
      <c r="S3264" s="13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/>
      <c r="AE3264" s="7"/>
    </row>
    <row r="3265">
      <c r="A3265" s="12">
        <v>72.0</v>
      </c>
      <c r="B3265" s="7" t="s">
        <v>418</v>
      </c>
      <c r="C3265" s="7" t="s">
        <v>1842</v>
      </c>
      <c r="D3265" s="26">
        <f>IF(COUNTIF($B$2:$B3265,$B3265)&gt;1,"",COUNTIF($B$2:$B$3400,$B3265))</f>
        <v>30</v>
      </c>
      <c r="E3265" s="26">
        <f>IF(COUNTIF($B$2:$B3265,$B3265)&gt;1,"",COUNTIFS($B$2:$B$3400,$B3265,$K$2:$K$3400,"PHÙ HỢP CAO"))</f>
        <v>5</v>
      </c>
      <c r="F3265" s="26">
        <f>IF(COUNTIF($B$2:$B3265,$B3265)&gt;1,"",COUNTIFS($B$2:$B$3400,$B3265,$K$2:$K$3400,"CÓ THỂ ĐI"))</f>
        <v>0</v>
      </c>
      <c r="G3265" s="26">
        <f>IF(COUNTIF($B$2:$B3265,$B3265)&gt;1,"",COUNTIFS($B$2:$B$3400,$B3265,$K$2:$K$3400,"CẦN SOÁT"))</f>
        <v>25</v>
      </c>
      <c r="H3265" s="27" t="str">
        <f>IFERROR(__xludf.DUMMYFUNCTION("IF(COUNTIF($B$2:$B3265,$B3265)&gt;1,"""",IFERROR(TEXTJOIN(CHAR(10),TRUE,BYROW(QUERY({$B$2:$B$3400,$J$2:$J$3400},""select Col2, count(Col2) where Col1 = '""&amp;$B3265&amp;""' group by Col2 order by count(Col2) desc label count(Col2) ''"",0),LAMBDA(r,INDEX(r,1,1)&amp;"" "&amp;"– ""&amp;INDEX(r,1,2)&amp;"" link""))),""""))"),"nên vay tín chấp ở đâu – 30 link")</f>
        <v>nên vay tín chấp ở đâu – 30 link</v>
      </c>
      <c r="I3265" s="10" t="s">
        <v>1898</v>
      </c>
      <c r="J3265" s="13" t="s">
        <v>1901</v>
      </c>
      <c r="K3265" s="13" t="s">
        <v>184</v>
      </c>
      <c r="L3265" s="13" t="s">
        <v>2728</v>
      </c>
      <c r="M3265" s="6" t="s">
        <v>188</v>
      </c>
      <c r="N3265" s="6" t="s">
        <v>188</v>
      </c>
      <c r="O3265" s="6" t="s">
        <v>190</v>
      </c>
      <c r="P3265" s="7"/>
      <c r="Q3265" s="13"/>
      <c r="R3265" s="13"/>
      <c r="S3265" s="13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7"/>
      <c r="AE3265" s="7"/>
    </row>
    <row r="3266">
      <c r="A3266" s="12">
        <v>72.0</v>
      </c>
      <c r="B3266" s="7" t="s">
        <v>418</v>
      </c>
      <c r="C3266" s="7" t="s">
        <v>1842</v>
      </c>
      <c r="I3266" s="10" t="s">
        <v>1903</v>
      </c>
      <c r="J3266" s="13" t="s">
        <v>1901</v>
      </c>
      <c r="K3266" s="13" t="s">
        <v>184</v>
      </c>
      <c r="L3266" s="13" t="s">
        <v>2729</v>
      </c>
      <c r="M3266" s="6" t="s">
        <v>188</v>
      </c>
      <c r="N3266" s="6" t="s">
        <v>188</v>
      </c>
      <c r="O3266" s="6" t="s">
        <v>190</v>
      </c>
      <c r="P3266" s="7"/>
      <c r="Q3266" s="13"/>
      <c r="R3266" s="13"/>
      <c r="S3266" s="13"/>
      <c r="T3266" s="7"/>
      <c r="U3266" s="7"/>
      <c r="V3266" s="7"/>
      <c r="W3266" s="7"/>
      <c r="X3266" s="7"/>
      <c r="Y3266" s="7"/>
      <c r="Z3266" s="7"/>
      <c r="AA3266" s="7"/>
      <c r="AB3266" s="7"/>
      <c r="AC3266" s="7"/>
      <c r="AD3266" s="7"/>
      <c r="AE3266" s="7"/>
    </row>
    <row r="3267">
      <c r="A3267" s="12">
        <v>72.0</v>
      </c>
      <c r="B3267" s="7" t="s">
        <v>418</v>
      </c>
      <c r="C3267" s="7" t="s">
        <v>1842</v>
      </c>
      <c r="I3267" s="10" t="s">
        <v>1907</v>
      </c>
      <c r="J3267" s="13" t="s">
        <v>1901</v>
      </c>
      <c r="K3267" s="13" t="s">
        <v>184</v>
      </c>
      <c r="L3267" s="13" t="s">
        <v>2730</v>
      </c>
      <c r="M3267" s="6" t="s">
        <v>188</v>
      </c>
      <c r="N3267" s="6" t="s">
        <v>188</v>
      </c>
      <c r="O3267" s="6" t="s">
        <v>190</v>
      </c>
      <c r="P3267" s="7"/>
      <c r="Q3267" s="13"/>
      <c r="R3267" s="13"/>
      <c r="S3267" s="13"/>
      <c r="T3267" s="7"/>
      <c r="U3267" s="7"/>
      <c r="V3267" s="7"/>
      <c r="W3267" s="7"/>
      <c r="X3267" s="7"/>
      <c r="Y3267" s="7"/>
      <c r="Z3267" s="7"/>
      <c r="AA3267" s="7"/>
      <c r="AB3267" s="7"/>
      <c r="AC3267" s="7"/>
      <c r="AD3267" s="7"/>
      <c r="AE3267" s="7"/>
    </row>
    <row r="3268">
      <c r="A3268" s="12">
        <v>72.0</v>
      </c>
      <c r="B3268" s="7" t="s">
        <v>418</v>
      </c>
      <c r="C3268" s="7" t="s">
        <v>1842</v>
      </c>
      <c r="I3268" s="10" t="s">
        <v>395</v>
      </c>
      <c r="J3268" s="13" t="s">
        <v>1901</v>
      </c>
      <c r="K3268" s="13" t="s">
        <v>184</v>
      </c>
      <c r="L3268" s="13" t="s">
        <v>2731</v>
      </c>
      <c r="M3268" s="6" t="s">
        <v>188</v>
      </c>
      <c r="N3268" s="6" t="s">
        <v>188</v>
      </c>
      <c r="O3268" s="6" t="s">
        <v>190</v>
      </c>
      <c r="P3268" s="7"/>
      <c r="Q3268" s="13"/>
      <c r="R3268" s="13"/>
      <c r="S3268" s="13"/>
      <c r="T3268" s="7"/>
      <c r="U3268" s="7"/>
      <c r="V3268" s="7"/>
      <c r="W3268" s="7"/>
      <c r="X3268" s="7"/>
      <c r="Y3268" s="7"/>
      <c r="Z3268" s="7"/>
      <c r="AA3268" s="7"/>
      <c r="AB3268" s="7"/>
      <c r="AC3268" s="7"/>
      <c r="AD3268" s="7"/>
      <c r="AE3268" s="7"/>
    </row>
    <row r="3269">
      <c r="A3269" s="12">
        <v>72.0</v>
      </c>
      <c r="B3269" s="7" t="s">
        <v>418</v>
      </c>
      <c r="C3269" s="7" t="s">
        <v>1842</v>
      </c>
      <c r="I3269" s="10" t="s">
        <v>380</v>
      </c>
      <c r="J3269" s="13" t="s">
        <v>1901</v>
      </c>
      <c r="K3269" s="13" t="s">
        <v>184</v>
      </c>
      <c r="L3269" s="13" t="s">
        <v>2732</v>
      </c>
      <c r="M3269" s="6" t="s">
        <v>188</v>
      </c>
      <c r="N3269" s="6" t="s">
        <v>188</v>
      </c>
      <c r="O3269" s="6" t="s">
        <v>190</v>
      </c>
      <c r="P3269" s="7"/>
      <c r="Q3269" s="13"/>
      <c r="R3269" s="13"/>
      <c r="S3269" s="13"/>
      <c r="T3269" s="7"/>
      <c r="U3269" s="7"/>
      <c r="V3269" s="7"/>
      <c r="W3269" s="7"/>
      <c r="X3269" s="7"/>
      <c r="Y3269" s="7"/>
      <c r="Z3269" s="7"/>
      <c r="AA3269" s="7"/>
      <c r="AB3269" s="7"/>
      <c r="AC3269" s="7"/>
      <c r="AD3269" s="7"/>
      <c r="AE3269" s="7"/>
    </row>
    <row r="3270">
      <c r="A3270" s="12">
        <v>72.0</v>
      </c>
      <c r="B3270" s="7" t="s">
        <v>418</v>
      </c>
      <c r="C3270" s="7" t="s">
        <v>1842</v>
      </c>
      <c r="I3270" s="10" t="s">
        <v>2388</v>
      </c>
      <c r="J3270" s="13" t="s">
        <v>1901</v>
      </c>
      <c r="K3270" s="13" t="s">
        <v>303</v>
      </c>
      <c r="L3270" s="13" t="s">
        <v>2733</v>
      </c>
      <c r="M3270" s="6" t="s">
        <v>188</v>
      </c>
      <c r="N3270" s="6" t="s">
        <v>188</v>
      </c>
      <c r="O3270" s="6" t="s">
        <v>190</v>
      </c>
      <c r="P3270" s="7"/>
      <c r="Q3270" s="13"/>
      <c r="R3270" s="13"/>
      <c r="S3270" s="13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  <c r="AE3270" s="7"/>
    </row>
    <row r="3271">
      <c r="A3271" s="12">
        <v>72.0</v>
      </c>
      <c r="B3271" s="7" t="s">
        <v>418</v>
      </c>
      <c r="C3271" s="7" t="s">
        <v>1842</v>
      </c>
      <c r="I3271" s="10" t="s">
        <v>2622</v>
      </c>
      <c r="J3271" s="13" t="s">
        <v>1901</v>
      </c>
      <c r="K3271" s="13" t="s">
        <v>303</v>
      </c>
      <c r="L3271" s="13" t="s">
        <v>2733</v>
      </c>
      <c r="M3271" s="6" t="s">
        <v>188</v>
      </c>
      <c r="N3271" s="6" t="s">
        <v>188</v>
      </c>
      <c r="O3271" s="6" t="s">
        <v>190</v>
      </c>
      <c r="P3271" s="7"/>
      <c r="Q3271" s="13"/>
      <c r="R3271" s="13"/>
      <c r="S3271" s="13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/>
      <c r="AE3271" s="7"/>
    </row>
    <row r="3272">
      <c r="A3272" s="12">
        <v>72.0</v>
      </c>
      <c r="B3272" s="7" t="s">
        <v>418</v>
      </c>
      <c r="C3272" s="7" t="s">
        <v>1842</v>
      </c>
      <c r="I3272" s="10" t="s">
        <v>2345</v>
      </c>
      <c r="J3272" s="13" t="s">
        <v>1901</v>
      </c>
      <c r="K3272" s="13" t="s">
        <v>303</v>
      </c>
      <c r="L3272" s="13" t="s">
        <v>2733</v>
      </c>
      <c r="M3272" s="6" t="s">
        <v>188</v>
      </c>
      <c r="N3272" s="6" t="s">
        <v>188</v>
      </c>
      <c r="O3272" s="6" t="s">
        <v>190</v>
      </c>
      <c r="P3272" s="7"/>
      <c r="Q3272" s="13"/>
      <c r="R3272" s="13"/>
      <c r="S3272" s="13"/>
      <c r="T3272" s="7"/>
      <c r="U3272" s="7"/>
      <c r="V3272" s="7"/>
      <c r="W3272" s="7"/>
      <c r="X3272" s="7"/>
      <c r="Y3272" s="7"/>
      <c r="Z3272" s="7"/>
      <c r="AA3272" s="7"/>
      <c r="AB3272" s="7"/>
      <c r="AC3272" s="7"/>
      <c r="AD3272" s="7"/>
      <c r="AE3272" s="7"/>
    </row>
    <row r="3273">
      <c r="A3273" s="12">
        <v>72.0</v>
      </c>
      <c r="B3273" s="7" t="s">
        <v>418</v>
      </c>
      <c r="C3273" s="7" t="s">
        <v>1842</v>
      </c>
      <c r="I3273" s="10" t="s">
        <v>387</v>
      </c>
      <c r="J3273" s="13" t="s">
        <v>1901</v>
      </c>
      <c r="K3273" s="13" t="s">
        <v>303</v>
      </c>
      <c r="L3273" s="13" t="s">
        <v>2733</v>
      </c>
      <c r="M3273" s="6" t="s">
        <v>188</v>
      </c>
      <c r="N3273" s="6" t="s">
        <v>188</v>
      </c>
      <c r="O3273" s="6" t="s">
        <v>190</v>
      </c>
      <c r="P3273" s="7"/>
      <c r="Q3273" s="13"/>
      <c r="R3273" s="13"/>
      <c r="S3273" s="13"/>
      <c r="T3273" s="7"/>
      <c r="U3273" s="7"/>
      <c r="V3273" s="7"/>
      <c r="W3273" s="7"/>
      <c r="X3273" s="7"/>
      <c r="Y3273" s="7"/>
      <c r="Z3273" s="7"/>
      <c r="AA3273" s="7"/>
      <c r="AB3273" s="7"/>
      <c r="AC3273" s="7"/>
      <c r="AD3273" s="7"/>
      <c r="AE3273" s="7"/>
    </row>
    <row r="3274">
      <c r="A3274" s="12">
        <v>72.0</v>
      </c>
      <c r="B3274" s="7" t="s">
        <v>418</v>
      </c>
      <c r="C3274" s="7" t="s">
        <v>1842</v>
      </c>
      <c r="I3274" s="10" t="s">
        <v>373</v>
      </c>
      <c r="J3274" s="13" t="s">
        <v>1901</v>
      </c>
      <c r="K3274" s="13" t="s">
        <v>303</v>
      </c>
      <c r="L3274" s="13" t="s">
        <v>2733</v>
      </c>
      <c r="M3274" s="6" t="s">
        <v>188</v>
      </c>
      <c r="N3274" s="6" t="s">
        <v>188</v>
      </c>
      <c r="O3274" s="6" t="s">
        <v>190</v>
      </c>
      <c r="P3274" s="7"/>
      <c r="Q3274" s="13"/>
      <c r="R3274" s="13"/>
      <c r="S3274" s="13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/>
      <c r="AE3274" s="7"/>
    </row>
    <row r="3275">
      <c r="A3275" s="12">
        <v>72.0</v>
      </c>
      <c r="B3275" s="7" t="s">
        <v>418</v>
      </c>
      <c r="C3275" s="7" t="s">
        <v>1842</v>
      </c>
      <c r="I3275" s="10" t="s">
        <v>347</v>
      </c>
      <c r="J3275" s="13" t="s">
        <v>1901</v>
      </c>
      <c r="K3275" s="13" t="s">
        <v>303</v>
      </c>
      <c r="L3275" s="13" t="s">
        <v>2733</v>
      </c>
      <c r="M3275" s="6" t="s">
        <v>188</v>
      </c>
      <c r="N3275" s="6" t="s">
        <v>188</v>
      </c>
      <c r="O3275" s="6" t="s">
        <v>190</v>
      </c>
      <c r="P3275" s="7"/>
      <c r="Q3275" s="13"/>
      <c r="R3275" s="13"/>
      <c r="S3275" s="13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/>
      <c r="AE3275" s="7"/>
    </row>
    <row r="3276">
      <c r="A3276" s="12">
        <v>72.0</v>
      </c>
      <c r="B3276" s="7" t="s">
        <v>418</v>
      </c>
      <c r="C3276" s="7" t="s">
        <v>1842</v>
      </c>
      <c r="I3276" s="10" t="s">
        <v>1722</v>
      </c>
      <c r="J3276" s="13" t="s">
        <v>1901</v>
      </c>
      <c r="K3276" s="13" t="s">
        <v>303</v>
      </c>
      <c r="L3276" s="13" t="s">
        <v>2734</v>
      </c>
      <c r="M3276" s="6" t="s">
        <v>188</v>
      </c>
      <c r="N3276" s="6" t="s">
        <v>188</v>
      </c>
      <c r="O3276" s="6" t="s">
        <v>190</v>
      </c>
      <c r="P3276" s="7"/>
      <c r="Q3276" s="13"/>
      <c r="R3276" s="13"/>
      <c r="S3276" s="13"/>
      <c r="T3276" s="7"/>
      <c r="U3276" s="7"/>
      <c r="V3276" s="7"/>
      <c r="W3276" s="7"/>
      <c r="X3276" s="7"/>
      <c r="Y3276" s="7"/>
      <c r="Z3276" s="7"/>
      <c r="AA3276" s="7"/>
      <c r="AB3276" s="7"/>
      <c r="AC3276" s="7"/>
      <c r="AD3276" s="7"/>
      <c r="AE3276" s="7"/>
    </row>
    <row r="3277">
      <c r="A3277" s="12">
        <v>72.0</v>
      </c>
      <c r="B3277" s="7" t="s">
        <v>418</v>
      </c>
      <c r="C3277" s="7" t="s">
        <v>1842</v>
      </c>
      <c r="I3277" s="10" t="s">
        <v>1116</v>
      </c>
      <c r="J3277" s="13" t="s">
        <v>1901</v>
      </c>
      <c r="K3277" s="13" t="s">
        <v>303</v>
      </c>
      <c r="L3277" s="13" t="s">
        <v>2654</v>
      </c>
      <c r="M3277" s="6" t="s">
        <v>188</v>
      </c>
      <c r="N3277" s="6" t="s">
        <v>188</v>
      </c>
      <c r="O3277" s="6" t="s">
        <v>190</v>
      </c>
      <c r="P3277" s="7"/>
      <c r="Q3277" s="13"/>
      <c r="R3277" s="13"/>
      <c r="S3277" s="13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7"/>
      <c r="AE3277" s="7"/>
    </row>
    <row r="3278">
      <c r="A3278" s="12">
        <v>72.0</v>
      </c>
      <c r="B3278" s="7" t="s">
        <v>418</v>
      </c>
      <c r="C3278" s="7" t="s">
        <v>1842</v>
      </c>
      <c r="I3278" s="10" t="s">
        <v>1846</v>
      </c>
      <c r="J3278" s="13" t="s">
        <v>1901</v>
      </c>
      <c r="K3278" s="13" t="s">
        <v>303</v>
      </c>
      <c r="L3278" s="13" t="s">
        <v>2654</v>
      </c>
      <c r="M3278" s="6" t="s">
        <v>188</v>
      </c>
      <c r="N3278" s="6" t="s">
        <v>188</v>
      </c>
      <c r="O3278" s="6" t="s">
        <v>190</v>
      </c>
      <c r="P3278" s="7"/>
      <c r="Q3278" s="13"/>
      <c r="R3278" s="13"/>
      <c r="S3278" s="13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  <c r="AE3278" s="7"/>
    </row>
    <row r="3279">
      <c r="A3279" s="12">
        <v>72.0</v>
      </c>
      <c r="B3279" s="7" t="s">
        <v>418</v>
      </c>
      <c r="C3279" s="7" t="s">
        <v>1842</v>
      </c>
      <c r="I3279" s="10" t="s">
        <v>2042</v>
      </c>
      <c r="J3279" s="13" t="s">
        <v>1901</v>
      </c>
      <c r="K3279" s="13" t="s">
        <v>303</v>
      </c>
      <c r="L3279" s="13" t="s">
        <v>2734</v>
      </c>
      <c r="M3279" s="6" t="s">
        <v>188</v>
      </c>
      <c r="N3279" s="6" t="s">
        <v>188</v>
      </c>
      <c r="O3279" s="6" t="s">
        <v>190</v>
      </c>
      <c r="P3279" s="7"/>
      <c r="Q3279" s="13"/>
      <c r="R3279" s="13"/>
      <c r="S3279" s="13"/>
      <c r="T3279" s="7"/>
      <c r="U3279" s="7"/>
      <c r="V3279" s="7"/>
      <c r="W3279" s="7"/>
      <c r="X3279" s="7"/>
      <c r="Y3279" s="7"/>
      <c r="Z3279" s="7"/>
      <c r="AA3279" s="7"/>
      <c r="AB3279" s="7"/>
      <c r="AC3279" s="7"/>
      <c r="AD3279" s="7"/>
      <c r="AE3279" s="7"/>
    </row>
    <row r="3280">
      <c r="A3280" s="12">
        <v>72.0</v>
      </c>
      <c r="B3280" s="7" t="s">
        <v>418</v>
      </c>
      <c r="C3280" s="7" t="s">
        <v>1842</v>
      </c>
      <c r="I3280" s="10" t="s">
        <v>1356</v>
      </c>
      <c r="J3280" s="13" t="s">
        <v>1901</v>
      </c>
      <c r="K3280" s="13" t="s">
        <v>303</v>
      </c>
      <c r="L3280" s="13" t="s">
        <v>2734</v>
      </c>
      <c r="M3280" s="6" t="s">
        <v>188</v>
      </c>
      <c r="N3280" s="6" t="s">
        <v>188</v>
      </c>
      <c r="O3280" s="6" t="s">
        <v>190</v>
      </c>
      <c r="P3280" s="7"/>
      <c r="Q3280" s="13"/>
      <c r="R3280" s="13"/>
      <c r="S3280" s="13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7"/>
      <c r="AE3280" s="7"/>
    </row>
    <row r="3281">
      <c r="A3281" s="12">
        <v>72.0</v>
      </c>
      <c r="B3281" s="7" t="s">
        <v>418</v>
      </c>
      <c r="C3281" s="7" t="s">
        <v>1842</v>
      </c>
      <c r="I3281" s="10" t="s">
        <v>2107</v>
      </c>
      <c r="J3281" s="13" t="s">
        <v>1901</v>
      </c>
      <c r="K3281" s="13" t="s">
        <v>303</v>
      </c>
      <c r="L3281" s="13" t="s">
        <v>2654</v>
      </c>
      <c r="M3281" s="6" t="s">
        <v>188</v>
      </c>
      <c r="N3281" s="6" t="s">
        <v>188</v>
      </c>
      <c r="O3281" s="6" t="s">
        <v>190</v>
      </c>
      <c r="P3281" s="7"/>
      <c r="Q3281" s="13"/>
      <c r="R3281" s="13"/>
      <c r="S3281" s="13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7"/>
      <c r="AE3281" s="7"/>
    </row>
    <row r="3282">
      <c r="A3282" s="12">
        <v>72.0</v>
      </c>
      <c r="B3282" s="7" t="s">
        <v>418</v>
      </c>
      <c r="C3282" s="7" t="s">
        <v>1842</v>
      </c>
      <c r="I3282" s="10" t="s">
        <v>505</v>
      </c>
      <c r="J3282" s="13" t="s">
        <v>1901</v>
      </c>
      <c r="K3282" s="13" t="s">
        <v>303</v>
      </c>
      <c r="L3282" s="13" t="s">
        <v>2733</v>
      </c>
      <c r="M3282" s="6" t="s">
        <v>188</v>
      </c>
      <c r="N3282" s="6" t="s">
        <v>188</v>
      </c>
      <c r="O3282" s="6" t="s">
        <v>190</v>
      </c>
      <c r="P3282" s="7"/>
      <c r="Q3282" s="13"/>
      <c r="R3282" s="13"/>
      <c r="S3282" s="13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7"/>
      <c r="AE3282" s="7"/>
    </row>
    <row r="3283">
      <c r="A3283" s="12">
        <v>72.0</v>
      </c>
      <c r="B3283" s="7" t="s">
        <v>418</v>
      </c>
      <c r="C3283" s="7" t="s">
        <v>1842</v>
      </c>
      <c r="I3283" s="10" t="s">
        <v>2077</v>
      </c>
      <c r="J3283" s="13" t="s">
        <v>1901</v>
      </c>
      <c r="K3283" s="13" t="s">
        <v>303</v>
      </c>
      <c r="L3283" s="13" t="s">
        <v>2654</v>
      </c>
      <c r="M3283" s="6" t="s">
        <v>188</v>
      </c>
      <c r="N3283" s="6" t="s">
        <v>188</v>
      </c>
      <c r="O3283" s="6" t="s">
        <v>190</v>
      </c>
      <c r="P3283" s="7"/>
      <c r="Q3283" s="13"/>
      <c r="R3283" s="13"/>
      <c r="S3283" s="13"/>
      <c r="T3283" s="7"/>
      <c r="U3283" s="7"/>
      <c r="V3283" s="7"/>
      <c r="W3283" s="7"/>
      <c r="X3283" s="7"/>
      <c r="Y3283" s="7"/>
      <c r="Z3283" s="7"/>
      <c r="AA3283" s="7"/>
      <c r="AB3283" s="7"/>
      <c r="AC3283" s="7"/>
      <c r="AD3283" s="7"/>
      <c r="AE3283" s="7"/>
    </row>
    <row r="3284">
      <c r="A3284" s="12">
        <v>72.0</v>
      </c>
      <c r="B3284" s="7" t="s">
        <v>418</v>
      </c>
      <c r="C3284" s="7" t="s">
        <v>1842</v>
      </c>
      <c r="I3284" s="10" t="s">
        <v>1151</v>
      </c>
      <c r="J3284" s="13" t="s">
        <v>1901</v>
      </c>
      <c r="K3284" s="13" t="s">
        <v>303</v>
      </c>
      <c r="L3284" s="13" t="s">
        <v>2654</v>
      </c>
      <c r="M3284" s="6" t="s">
        <v>188</v>
      </c>
      <c r="N3284" s="6" t="s">
        <v>188</v>
      </c>
      <c r="O3284" s="6" t="s">
        <v>190</v>
      </c>
      <c r="P3284" s="7"/>
      <c r="Q3284" s="13"/>
      <c r="R3284" s="13"/>
      <c r="S3284" s="13"/>
      <c r="T3284" s="7"/>
      <c r="U3284" s="7"/>
      <c r="V3284" s="7"/>
      <c r="W3284" s="7"/>
      <c r="X3284" s="7"/>
      <c r="Y3284" s="7"/>
      <c r="Z3284" s="7"/>
      <c r="AA3284" s="7"/>
      <c r="AB3284" s="7"/>
      <c r="AC3284" s="7"/>
      <c r="AD3284" s="7"/>
      <c r="AE3284" s="7"/>
    </row>
    <row r="3285">
      <c r="A3285" s="12">
        <v>72.0</v>
      </c>
      <c r="B3285" s="7" t="s">
        <v>418</v>
      </c>
      <c r="C3285" s="7" t="s">
        <v>1842</v>
      </c>
      <c r="I3285" s="10" t="s">
        <v>1894</v>
      </c>
      <c r="J3285" s="13" t="s">
        <v>1901</v>
      </c>
      <c r="K3285" s="13" t="s">
        <v>303</v>
      </c>
      <c r="L3285" s="13" t="s">
        <v>2733</v>
      </c>
      <c r="M3285" s="6" t="s">
        <v>188</v>
      </c>
      <c r="N3285" s="6" t="s">
        <v>188</v>
      </c>
      <c r="O3285" s="6" t="s">
        <v>190</v>
      </c>
      <c r="P3285" s="7"/>
      <c r="Q3285" s="13"/>
      <c r="R3285" s="13"/>
      <c r="S3285" s="13"/>
      <c r="T3285" s="7"/>
      <c r="U3285" s="7"/>
      <c r="V3285" s="7"/>
      <c r="W3285" s="7"/>
      <c r="X3285" s="7"/>
      <c r="Y3285" s="7"/>
      <c r="Z3285" s="7"/>
      <c r="AA3285" s="7"/>
      <c r="AB3285" s="7"/>
      <c r="AC3285" s="7"/>
      <c r="AD3285" s="7"/>
      <c r="AE3285" s="7"/>
    </row>
    <row r="3286">
      <c r="A3286" s="12">
        <v>72.0</v>
      </c>
      <c r="B3286" s="7" t="s">
        <v>418</v>
      </c>
      <c r="C3286" s="7" t="s">
        <v>1842</v>
      </c>
      <c r="I3286" s="10" t="s">
        <v>614</v>
      </c>
      <c r="J3286" s="13" t="s">
        <v>1901</v>
      </c>
      <c r="K3286" s="13" t="s">
        <v>303</v>
      </c>
      <c r="L3286" s="13" t="s">
        <v>2654</v>
      </c>
      <c r="M3286" s="6" t="s">
        <v>188</v>
      </c>
      <c r="N3286" s="6" t="s">
        <v>188</v>
      </c>
      <c r="O3286" s="6" t="s">
        <v>190</v>
      </c>
      <c r="P3286" s="7"/>
      <c r="Q3286" s="13"/>
      <c r="R3286" s="13"/>
      <c r="S3286" s="13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7"/>
      <c r="AE3286" s="7"/>
    </row>
    <row r="3287">
      <c r="A3287" s="12">
        <v>72.0</v>
      </c>
      <c r="B3287" s="7" t="s">
        <v>418</v>
      </c>
      <c r="C3287" s="7" t="s">
        <v>1842</v>
      </c>
      <c r="I3287" s="10" t="s">
        <v>2453</v>
      </c>
      <c r="J3287" s="13" t="s">
        <v>1901</v>
      </c>
      <c r="K3287" s="13" t="s">
        <v>303</v>
      </c>
      <c r="L3287" s="13" t="s">
        <v>2735</v>
      </c>
      <c r="M3287" s="6" t="s">
        <v>188</v>
      </c>
      <c r="N3287" s="6" t="s">
        <v>188</v>
      </c>
      <c r="O3287" s="6" t="s">
        <v>190</v>
      </c>
      <c r="P3287" s="7"/>
      <c r="Q3287" s="13"/>
      <c r="R3287" s="13"/>
      <c r="S3287" s="13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7"/>
      <c r="AE3287" s="7"/>
    </row>
    <row r="3288">
      <c r="A3288" s="12">
        <v>72.0</v>
      </c>
      <c r="B3288" s="7" t="s">
        <v>418</v>
      </c>
      <c r="C3288" s="7" t="s">
        <v>1842</v>
      </c>
      <c r="I3288" s="10" t="s">
        <v>1825</v>
      </c>
      <c r="J3288" s="13" t="s">
        <v>1901</v>
      </c>
      <c r="K3288" s="13" t="s">
        <v>303</v>
      </c>
      <c r="L3288" s="13" t="s">
        <v>2654</v>
      </c>
      <c r="M3288" s="6" t="s">
        <v>188</v>
      </c>
      <c r="N3288" s="6" t="s">
        <v>188</v>
      </c>
      <c r="O3288" s="6" t="s">
        <v>190</v>
      </c>
      <c r="P3288" s="7"/>
      <c r="Q3288" s="13"/>
      <c r="R3288" s="13"/>
      <c r="S3288" s="13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7"/>
      <c r="AE3288" s="7"/>
    </row>
    <row r="3289">
      <c r="A3289" s="12">
        <v>72.0</v>
      </c>
      <c r="B3289" s="7" t="s">
        <v>418</v>
      </c>
      <c r="C3289" s="7" t="s">
        <v>1842</v>
      </c>
      <c r="I3289" s="10" t="s">
        <v>607</v>
      </c>
      <c r="J3289" s="13" t="s">
        <v>1901</v>
      </c>
      <c r="K3289" s="13" t="s">
        <v>303</v>
      </c>
      <c r="L3289" s="13" t="s">
        <v>2654</v>
      </c>
      <c r="M3289" s="6" t="s">
        <v>188</v>
      </c>
      <c r="N3289" s="6" t="s">
        <v>188</v>
      </c>
      <c r="O3289" s="6" t="s">
        <v>190</v>
      </c>
      <c r="P3289" s="7"/>
      <c r="Q3289" s="13"/>
      <c r="R3289" s="13"/>
      <c r="S3289" s="13"/>
      <c r="T3289" s="7"/>
      <c r="U3289" s="7"/>
      <c r="V3289" s="7"/>
      <c r="W3289" s="7"/>
      <c r="X3289" s="7"/>
      <c r="Y3289" s="7"/>
      <c r="Z3289" s="7"/>
      <c r="AA3289" s="7"/>
      <c r="AB3289" s="7"/>
      <c r="AC3289" s="7"/>
      <c r="AD3289" s="7"/>
      <c r="AE3289" s="7"/>
    </row>
    <row r="3290">
      <c r="A3290" s="12">
        <v>72.0</v>
      </c>
      <c r="B3290" s="7" t="s">
        <v>418</v>
      </c>
      <c r="C3290" s="7" t="s">
        <v>1842</v>
      </c>
      <c r="I3290" s="10" t="s">
        <v>519</v>
      </c>
      <c r="J3290" s="13" t="s">
        <v>1901</v>
      </c>
      <c r="K3290" s="13" t="s">
        <v>303</v>
      </c>
      <c r="L3290" s="13" t="s">
        <v>2736</v>
      </c>
      <c r="M3290" s="6" t="s">
        <v>188</v>
      </c>
      <c r="N3290" s="6" t="s">
        <v>188</v>
      </c>
      <c r="O3290" s="6" t="s">
        <v>190</v>
      </c>
      <c r="P3290" s="7"/>
      <c r="Q3290" s="13"/>
      <c r="R3290" s="13"/>
      <c r="S3290" s="13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7"/>
      <c r="AE3290" s="7"/>
    </row>
    <row r="3291">
      <c r="A3291" s="12">
        <v>72.0</v>
      </c>
      <c r="B3291" s="7" t="s">
        <v>418</v>
      </c>
      <c r="C3291" s="7" t="s">
        <v>1842</v>
      </c>
      <c r="I3291" s="10" t="s">
        <v>2072</v>
      </c>
      <c r="J3291" s="13" t="s">
        <v>1901</v>
      </c>
      <c r="K3291" s="13" t="s">
        <v>303</v>
      </c>
      <c r="L3291" s="13" t="s">
        <v>2737</v>
      </c>
      <c r="M3291" s="6" t="s">
        <v>188</v>
      </c>
      <c r="N3291" s="6" t="s">
        <v>188</v>
      </c>
      <c r="O3291" s="6" t="s">
        <v>190</v>
      </c>
      <c r="P3291" s="7"/>
      <c r="Q3291" s="13"/>
      <c r="R3291" s="13"/>
      <c r="S3291" s="13"/>
      <c r="T3291" s="7"/>
      <c r="U3291" s="7"/>
      <c r="V3291" s="7"/>
      <c r="W3291" s="7"/>
      <c r="X3291" s="7"/>
      <c r="Y3291" s="7"/>
      <c r="Z3291" s="7"/>
      <c r="AA3291" s="7"/>
      <c r="AB3291" s="7"/>
      <c r="AC3291" s="7"/>
      <c r="AD3291" s="7"/>
      <c r="AE3291" s="7"/>
    </row>
    <row r="3292">
      <c r="A3292" s="12">
        <v>72.0</v>
      </c>
      <c r="B3292" s="7" t="s">
        <v>418</v>
      </c>
      <c r="C3292" s="7" t="s">
        <v>1842</v>
      </c>
      <c r="I3292" s="10" t="s">
        <v>2078</v>
      </c>
      <c r="J3292" s="13" t="s">
        <v>1901</v>
      </c>
      <c r="K3292" s="13" t="s">
        <v>303</v>
      </c>
      <c r="L3292" s="13" t="s">
        <v>2733</v>
      </c>
      <c r="M3292" s="6" t="s">
        <v>188</v>
      </c>
      <c r="N3292" s="6" t="s">
        <v>188</v>
      </c>
      <c r="O3292" s="6" t="s">
        <v>190</v>
      </c>
      <c r="P3292" s="7"/>
      <c r="Q3292" s="13"/>
      <c r="R3292" s="13"/>
      <c r="S3292" s="13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7"/>
      <c r="AE3292" s="7"/>
    </row>
    <row r="3293">
      <c r="A3293" s="12">
        <v>72.0</v>
      </c>
      <c r="B3293" s="7" t="s">
        <v>418</v>
      </c>
      <c r="C3293" s="7" t="s">
        <v>1842</v>
      </c>
      <c r="I3293" s="10" t="s">
        <v>1599</v>
      </c>
      <c r="J3293" s="13" t="s">
        <v>1901</v>
      </c>
      <c r="K3293" s="13" t="s">
        <v>303</v>
      </c>
      <c r="L3293" s="13" t="s">
        <v>2654</v>
      </c>
      <c r="M3293" s="6" t="s">
        <v>188</v>
      </c>
      <c r="N3293" s="6" t="s">
        <v>188</v>
      </c>
      <c r="O3293" s="6" t="s">
        <v>190</v>
      </c>
      <c r="P3293" s="7"/>
      <c r="Q3293" s="13"/>
      <c r="R3293" s="13"/>
      <c r="S3293" s="13"/>
      <c r="T3293" s="7"/>
      <c r="U3293" s="7"/>
      <c r="V3293" s="7"/>
      <c r="W3293" s="7"/>
      <c r="X3293" s="7"/>
      <c r="Y3293" s="7"/>
      <c r="Z3293" s="7"/>
      <c r="AA3293" s="7"/>
      <c r="AB3293" s="7"/>
      <c r="AC3293" s="7"/>
      <c r="AD3293" s="7"/>
      <c r="AE3293" s="7"/>
    </row>
    <row r="3294">
      <c r="A3294" s="12">
        <v>72.0</v>
      </c>
      <c r="B3294" s="7" t="s">
        <v>418</v>
      </c>
      <c r="C3294" s="7" t="s">
        <v>1842</v>
      </c>
      <c r="I3294" s="10" t="s">
        <v>663</v>
      </c>
      <c r="J3294" s="13" t="s">
        <v>1901</v>
      </c>
      <c r="K3294" s="13" t="s">
        <v>303</v>
      </c>
      <c r="L3294" s="13" t="s">
        <v>2733</v>
      </c>
      <c r="M3294" s="6" t="s">
        <v>188</v>
      </c>
      <c r="N3294" s="6" t="s">
        <v>188</v>
      </c>
      <c r="O3294" s="6" t="s">
        <v>190</v>
      </c>
      <c r="P3294" s="7"/>
      <c r="Q3294" s="13"/>
      <c r="R3294" s="13"/>
      <c r="S3294" s="13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7"/>
      <c r="AE3294" s="7"/>
    </row>
    <row r="3295">
      <c r="A3295" s="12">
        <v>73.0</v>
      </c>
      <c r="B3295" s="7" t="s">
        <v>660</v>
      </c>
      <c r="C3295" s="7" t="s">
        <v>1842</v>
      </c>
      <c r="D3295" s="26">
        <f>IF(COUNTIF($B$2:$B3295,$B3295)&gt;1,"",COUNTIF($B$2:$B$3400,$B3295))</f>
        <v>30</v>
      </c>
      <c r="E3295" s="26">
        <f>IF(COUNTIF($B$2:$B3295,$B3295)&gt;1,"",COUNTIFS($B$2:$B$3400,$B3295,$K$2:$K$3400,"PHÙ HỢP CAO"))</f>
        <v>2</v>
      </c>
      <c r="F3295" s="26">
        <f>IF(COUNTIF($B$2:$B3295,$B3295)&gt;1,"",COUNTIFS($B$2:$B$3400,$B3295,$K$2:$K$3400,"CÓ THỂ ĐI"))</f>
        <v>3</v>
      </c>
      <c r="G3295" s="26">
        <f>IF(COUNTIF($B$2:$B3295,$B3295)&gt;1,"",COUNTIFS($B$2:$B$3400,$B3295,$K$2:$K$3400,"CẦN SOÁT"))</f>
        <v>25</v>
      </c>
      <c r="H3295" s="27" t="str">
        <f>IFERROR(__xludf.DUMMYFUNCTION("IF(COUNTIF($B$2:$B3295,$B3295)&gt;1,"""",IFERROR(TEXTJOIN(CHAR(10),TRUE,BYROW(QUERY({$B$2:$B$3400,$J$2:$J$3400},""select Col2, count(Col2) where Col1 = '""&amp;$B3295&amp;""' group by Col2 order by count(Col2) desc label count(Col2) ''"",0),LAMBDA(r,INDEX(r,1,1)&amp;"" "&amp;"– ""&amp;INDEX(r,1,2)&amp;"" link""))),""""))"),"nợ xấu – 15 link
nợ xấu là gì – 15 link")</f>
        <v>nợ xấu – 15 link
nợ xấu là gì – 15 link</v>
      </c>
      <c r="I3295" s="10" t="s">
        <v>1281</v>
      </c>
      <c r="J3295" s="13" t="s">
        <v>1915</v>
      </c>
      <c r="K3295" s="13" t="s">
        <v>184</v>
      </c>
      <c r="L3295" s="13" t="s">
        <v>2738</v>
      </c>
      <c r="M3295" s="6" t="s">
        <v>188</v>
      </c>
      <c r="N3295" s="6" t="s">
        <v>188</v>
      </c>
      <c r="O3295" s="6" t="s">
        <v>190</v>
      </c>
      <c r="P3295" s="7"/>
      <c r="Q3295" s="13"/>
      <c r="R3295" s="13"/>
      <c r="S3295" s="13"/>
      <c r="T3295" s="7"/>
      <c r="U3295" s="7"/>
      <c r="V3295" s="7"/>
      <c r="W3295" s="7"/>
      <c r="X3295" s="7"/>
      <c r="Y3295" s="7"/>
      <c r="Z3295" s="7"/>
      <c r="AA3295" s="7"/>
      <c r="AB3295" s="7"/>
      <c r="AC3295" s="7"/>
      <c r="AD3295" s="7"/>
      <c r="AE3295" s="7"/>
    </row>
    <row r="3296">
      <c r="A3296" s="12">
        <v>73.0</v>
      </c>
      <c r="B3296" s="7" t="s">
        <v>660</v>
      </c>
      <c r="C3296" s="7" t="s">
        <v>1842</v>
      </c>
      <c r="I3296" s="10" t="s">
        <v>1277</v>
      </c>
      <c r="J3296" s="13" t="s">
        <v>1917</v>
      </c>
      <c r="K3296" s="13" t="s">
        <v>184</v>
      </c>
      <c r="L3296" s="13" t="s">
        <v>2739</v>
      </c>
      <c r="M3296" s="6" t="s">
        <v>188</v>
      </c>
      <c r="N3296" s="6" t="s">
        <v>188</v>
      </c>
      <c r="O3296" s="6" t="s">
        <v>190</v>
      </c>
      <c r="P3296" s="7"/>
      <c r="Q3296" s="13"/>
      <c r="R3296" s="13"/>
      <c r="S3296" s="13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7"/>
      <c r="AE3296" s="7"/>
    </row>
    <row r="3297">
      <c r="A3297" s="12">
        <v>73.0</v>
      </c>
      <c r="B3297" s="7" t="s">
        <v>660</v>
      </c>
      <c r="C3297" s="7" t="s">
        <v>1842</v>
      </c>
      <c r="I3297" s="10" t="s">
        <v>1918</v>
      </c>
      <c r="J3297" s="13" t="s">
        <v>1915</v>
      </c>
      <c r="K3297" s="13" t="s">
        <v>283</v>
      </c>
      <c r="L3297" s="13" t="s">
        <v>2740</v>
      </c>
      <c r="M3297" s="6" t="s">
        <v>188</v>
      </c>
      <c r="N3297" s="6" t="s">
        <v>188</v>
      </c>
      <c r="O3297" s="6" t="s">
        <v>190</v>
      </c>
      <c r="P3297" s="7"/>
      <c r="Q3297" s="13"/>
      <c r="R3297" s="13"/>
      <c r="S3297" s="13"/>
      <c r="T3297" s="7"/>
      <c r="U3297" s="7"/>
      <c r="V3297" s="7"/>
      <c r="W3297" s="7"/>
      <c r="X3297" s="7"/>
      <c r="Y3297" s="7"/>
      <c r="Z3297" s="7"/>
      <c r="AA3297" s="7"/>
      <c r="AB3297" s="7"/>
      <c r="AC3297" s="7"/>
      <c r="AD3297" s="7"/>
      <c r="AE3297" s="7"/>
    </row>
    <row r="3298">
      <c r="A3298" s="12">
        <v>73.0</v>
      </c>
      <c r="B3298" s="7" t="s">
        <v>660</v>
      </c>
      <c r="C3298" s="7" t="s">
        <v>1842</v>
      </c>
      <c r="I3298" s="10" t="s">
        <v>1391</v>
      </c>
      <c r="J3298" s="13" t="s">
        <v>1917</v>
      </c>
      <c r="K3298" s="13" t="s">
        <v>283</v>
      </c>
      <c r="L3298" s="13" t="s">
        <v>2741</v>
      </c>
      <c r="M3298" s="6" t="s">
        <v>188</v>
      </c>
      <c r="N3298" s="6" t="s">
        <v>188</v>
      </c>
      <c r="O3298" s="6" t="s">
        <v>190</v>
      </c>
      <c r="P3298" s="7"/>
      <c r="Q3298" s="13"/>
      <c r="R3298" s="13"/>
      <c r="S3298" s="13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7"/>
      <c r="AE3298" s="7"/>
    </row>
    <row r="3299">
      <c r="A3299" s="12">
        <v>73.0</v>
      </c>
      <c r="B3299" s="7" t="s">
        <v>660</v>
      </c>
      <c r="C3299" s="7" t="s">
        <v>1842</v>
      </c>
      <c r="I3299" s="10" t="s">
        <v>1996</v>
      </c>
      <c r="J3299" s="13" t="s">
        <v>1915</v>
      </c>
      <c r="K3299" s="13" t="s">
        <v>283</v>
      </c>
      <c r="L3299" s="13" t="s">
        <v>2742</v>
      </c>
      <c r="M3299" s="6" t="s">
        <v>188</v>
      </c>
      <c r="N3299" s="6" t="s">
        <v>188</v>
      </c>
      <c r="O3299" s="6" t="s">
        <v>190</v>
      </c>
      <c r="P3299" s="7"/>
      <c r="Q3299" s="13"/>
      <c r="R3299" s="13"/>
      <c r="S3299" s="13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7"/>
      <c r="AE3299" s="7"/>
    </row>
    <row r="3300">
      <c r="A3300" s="12">
        <v>73.0</v>
      </c>
      <c r="B3300" s="7" t="s">
        <v>660</v>
      </c>
      <c r="C3300" s="7" t="s">
        <v>1842</v>
      </c>
      <c r="I3300" s="10" t="s">
        <v>1673</v>
      </c>
      <c r="J3300" s="13" t="s">
        <v>1917</v>
      </c>
      <c r="K3300" s="13" t="s">
        <v>303</v>
      </c>
      <c r="L3300" s="13" t="s">
        <v>2743</v>
      </c>
      <c r="M3300" s="6" t="s">
        <v>188</v>
      </c>
      <c r="N3300" s="6" t="s">
        <v>188</v>
      </c>
      <c r="O3300" s="6" t="s">
        <v>190</v>
      </c>
      <c r="P3300" s="7"/>
      <c r="Q3300" s="13"/>
      <c r="R3300" s="13"/>
      <c r="S3300" s="13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/>
      <c r="AE3300" s="7"/>
    </row>
    <row r="3301">
      <c r="A3301" s="12">
        <v>73.0</v>
      </c>
      <c r="B3301" s="7" t="s">
        <v>660</v>
      </c>
      <c r="C3301" s="7" t="s">
        <v>1842</v>
      </c>
      <c r="I3301" s="10" t="s">
        <v>627</v>
      </c>
      <c r="J3301" s="13" t="s">
        <v>1915</v>
      </c>
      <c r="K3301" s="13" t="s">
        <v>303</v>
      </c>
      <c r="L3301" s="13" t="s">
        <v>1997</v>
      </c>
      <c r="M3301" s="6" t="s">
        <v>188</v>
      </c>
      <c r="N3301" s="6" t="s">
        <v>188</v>
      </c>
      <c r="O3301" s="6" t="s">
        <v>190</v>
      </c>
      <c r="P3301" s="7"/>
      <c r="Q3301" s="13"/>
      <c r="R3301" s="13"/>
      <c r="S3301" s="13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7"/>
      <c r="AE3301" s="7"/>
    </row>
    <row r="3302">
      <c r="A3302" s="12">
        <v>73.0</v>
      </c>
      <c r="B3302" s="7" t="s">
        <v>660</v>
      </c>
      <c r="C3302" s="7" t="s">
        <v>1842</v>
      </c>
      <c r="I3302" s="10" t="s">
        <v>1384</v>
      </c>
      <c r="J3302" s="13" t="s">
        <v>1917</v>
      </c>
      <c r="K3302" s="13" t="s">
        <v>303</v>
      </c>
      <c r="L3302" s="13" t="s">
        <v>2743</v>
      </c>
      <c r="M3302" s="6" t="s">
        <v>188</v>
      </c>
      <c r="N3302" s="6" t="s">
        <v>188</v>
      </c>
      <c r="O3302" s="6" t="s">
        <v>190</v>
      </c>
      <c r="P3302" s="7"/>
      <c r="Q3302" s="13"/>
      <c r="R3302" s="13"/>
      <c r="S3302" s="13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7"/>
      <c r="AE3302" s="7"/>
    </row>
    <row r="3303">
      <c r="A3303" s="12">
        <v>73.0</v>
      </c>
      <c r="B3303" s="7" t="s">
        <v>660</v>
      </c>
      <c r="C3303" s="7" t="s">
        <v>1842</v>
      </c>
      <c r="I3303" s="10" t="s">
        <v>1500</v>
      </c>
      <c r="J3303" s="13" t="s">
        <v>1915</v>
      </c>
      <c r="K3303" s="13" t="s">
        <v>303</v>
      </c>
      <c r="L3303" s="13" t="s">
        <v>1997</v>
      </c>
      <c r="M3303" s="6" t="s">
        <v>188</v>
      </c>
      <c r="N3303" s="6" t="s">
        <v>188</v>
      </c>
      <c r="O3303" s="6" t="s">
        <v>190</v>
      </c>
      <c r="P3303" s="7"/>
      <c r="Q3303" s="13"/>
      <c r="R3303" s="13"/>
      <c r="S3303" s="13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  <c r="AD3303" s="7"/>
      <c r="AE3303" s="7"/>
    </row>
    <row r="3304">
      <c r="A3304" s="12">
        <v>73.0</v>
      </c>
      <c r="B3304" s="7" t="s">
        <v>660</v>
      </c>
      <c r="C3304" s="7" t="s">
        <v>1842</v>
      </c>
      <c r="I3304" s="10" t="s">
        <v>1381</v>
      </c>
      <c r="J3304" s="13" t="s">
        <v>1917</v>
      </c>
      <c r="K3304" s="13" t="s">
        <v>303</v>
      </c>
      <c r="L3304" s="13" t="s">
        <v>1997</v>
      </c>
      <c r="M3304" s="6" t="s">
        <v>188</v>
      </c>
      <c r="N3304" s="6" t="s">
        <v>188</v>
      </c>
      <c r="O3304" s="6" t="s">
        <v>190</v>
      </c>
      <c r="P3304" s="7"/>
      <c r="Q3304" s="13"/>
      <c r="R3304" s="13"/>
      <c r="S3304" s="13"/>
      <c r="T3304" s="7"/>
      <c r="U3304" s="7"/>
      <c r="V3304" s="7"/>
      <c r="W3304" s="7"/>
      <c r="X3304" s="7"/>
      <c r="Y3304" s="7"/>
      <c r="Z3304" s="7"/>
      <c r="AA3304" s="7"/>
      <c r="AB3304" s="7"/>
      <c r="AC3304" s="7"/>
      <c r="AD3304" s="7"/>
      <c r="AE3304" s="7"/>
    </row>
    <row r="3305">
      <c r="A3305" s="12">
        <v>73.0</v>
      </c>
      <c r="B3305" s="7" t="s">
        <v>660</v>
      </c>
      <c r="C3305" s="7" t="s">
        <v>1842</v>
      </c>
      <c r="I3305" s="10" t="s">
        <v>1366</v>
      </c>
      <c r="J3305" s="13" t="s">
        <v>1915</v>
      </c>
      <c r="K3305" s="13" t="s">
        <v>303</v>
      </c>
      <c r="L3305" s="13" t="s">
        <v>1997</v>
      </c>
      <c r="M3305" s="6" t="s">
        <v>188</v>
      </c>
      <c r="N3305" s="6" t="s">
        <v>188</v>
      </c>
      <c r="O3305" s="6" t="s">
        <v>190</v>
      </c>
      <c r="P3305" s="7"/>
      <c r="Q3305" s="13"/>
      <c r="R3305" s="13"/>
      <c r="S3305" s="13"/>
      <c r="T3305" s="7"/>
      <c r="U3305" s="7"/>
      <c r="V3305" s="7"/>
      <c r="W3305" s="7"/>
      <c r="X3305" s="7"/>
      <c r="Y3305" s="7"/>
      <c r="Z3305" s="7"/>
      <c r="AA3305" s="7"/>
      <c r="AB3305" s="7"/>
      <c r="AC3305" s="7"/>
      <c r="AD3305" s="7"/>
      <c r="AE3305" s="7"/>
    </row>
    <row r="3306">
      <c r="A3306" s="12">
        <v>73.0</v>
      </c>
      <c r="B3306" s="7" t="s">
        <v>660</v>
      </c>
      <c r="C3306" s="7" t="s">
        <v>1842</v>
      </c>
      <c r="I3306" s="10" t="s">
        <v>1890</v>
      </c>
      <c r="J3306" s="13" t="s">
        <v>1917</v>
      </c>
      <c r="K3306" s="13" t="s">
        <v>303</v>
      </c>
      <c r="L3306" s="13" t="s">
        <v>1997</v>
      </c>
      <c r="M3306" s="6" t="s">
        <v>188</v>
      </c>
      <c r="N3306" s="6" t="s">
        <v>188</v>
      </c>
      <c r="O3306" s="6" t="s">
        <v>190</v>
      </c>
      <c r="P3306" s="7"/>
      <c r="Q3306" s="13"/>
      <c r="R3306" s="13"/>
      <c r="S3306" s="13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7"/>
      <c r="AE3306" s="7"/>
    </row>
    <row r="3307">
      <c r="A3307" s="12">
        <v>73.0</v>
      </c>
      <c r="B3307" s="7" t="s">
        <v>660</v>
      </c>
      <c r="C3307" s="7" t="s">
        <v>1842</v>
      </c>
      <c r="I3307" s="10" t="s">
        <v>1377</v>
      </c>
      <c r="J3307" s="13" t="s">
        <v>1915</v>
      </c>
      <c r="K3307" s="13" t="s">
        <v>303</v>
      </c>
      <c r="L3307" s="13" t="s">
        <v>1997</v>
      </c>
      <c r="M3307" s="6" t="s">
        <v>188</v>
      </c>
      <c r="N3307" s="6" t="s">
        <v>188</v>
      </c>
      <c r="O3307" s="6" t="s">
        <v>190</v>
      </c>
      <c r="P3307" s="7"/>
      <c r="Q3307" s="13"/>
      <c r="R3307" s="13"/>
      <c r="S3307" s="13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7"/>
      <c r="AE3307" s="7"/>
    </row>
    <row r="3308">
      <c r="A3308" s="12">
        <v>73.0</v>
      </c>
      <c r="B3308" s="7" t="s">
        <v>660</v>
      </c>
      <c r="C3308" s="7" t="s">
        <v>1842</v>
      </c>
      <c r="I3308" s="10" t="s">
        <v>1894</v>
      </c>
      <c r="J3308" s="13" t="s">
        <v>1917</v>
      </c>
      <c r="K3308" s="13" t="s">
        <v>303</v>
      </c>
      <c r="L3308" s="13" t="s">
        <v>1997</v>
      </c>
      <c r="M3308" s="6" t="s">
        <v>188</v>
      </c>
      <c r="N3308" s="6" t="s">
        <v>188</v>
      </c>
      <c r="O3308" s="6" t="s">
        <v>190</v>
      </c>
      <c r="P3308" s="7"/>
      <c r="Q3308" s="13"/>
      <c r="R3308" s="13"/>
      <c r="S3308" s="13"/>
      <c r="T3308" s="7"/>
      <c r="U3308" s="7"/>
      <c r="V3308" s="7"/>
      <c r="W3308" s="7"/>
      <c r="X3308" s="7"/>
      <c r="Y3308" s="7"/>
      <c r="Z3308" s="7"/>
      <c r="AA3308" s="7"/>
      <c r="AB3308" s="7"/>
      <c r="AC3308" s="7"/>
      <c r="AD3308" s="7"/>
      <c r="AE3308" s="7"/>
    </row>
    <row r="3309">
      <c r="A3309" s="12">
        <v>73.0</v>
      </c>
      <c r="B3309" s="7" t="s">
        <v>660</v>
      </c>
      <c r="C3309" s="7" t="s">
        <v>1842</v>
      </c>
      <c r="I3309" s="10" t="s">
        <v>1872</v>
      </c>
      <c r="J3309" s="13" t="s">
        <v>1915</v>
      </c>
      <c r="K3309" s="13" t="s">
        <v>303</v>
      </c>
      <c r="L3309" s="13" t="s">
        <v>2743</v>
      </c>
      <c r="M3309" s="6" t="s">
        <v>188</v>
      </c>
      <c r="N3309" s="6" t="s">
        <v>188</v>
      </c>
      <c r="O3309" s="6" t="s">
        <v>190</v>
      </c>
      <c r="P3309" s="7"/>
      <c r="Q3309" s="13"/>
      <c r="R3309" s="13"/>
      <c r="S3309" s="13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7"/>
      <c r="AE3309" s="7"/>
    </row>
    <row r="3310">
      <c r="A3310" s="12">
        <v>73.0</v>
      </c>
      <c r="B3310" s="7" t="s">
        <v>660</v>
      </c>
      <c r="C3310" s="7" t="s">
        <v>1842</v>
      </c>
      <c r="I3310" s="10" t="s">
        <v>1284</v>
      </c>
      <c r="J3310" s="13" t="s">
        <v>1917</v>
      </c>
      <c r="K3310" s="13" t="s">
        <v>303</v>
      </c>
      <c r="L3310" s="13" t="s">
        <v>1997</v>
      </c>
      <c r="M3310" s="6" t="s">
        <v>188</v>
      </c>
      <c r="N3310" s="6" t="s">
        <v>188</v>
      </c>
      <c r="O3310" s="6" t="s">
        <v>190</v>
      </c>
      <c r="P3310" s="7"/>
      <c r="Q3310" s="13"/>
      <c r="R3310" s="13"/>
      <c r="S3310" s="13"/>
      <c r="T3310" s="7"/>
      <c r="U3310" s="7"/>
      <c r="V3310" s="7"/>
      <c r="W3310" s="7"/>
      <c r="X3310" s="7"/>
      <c r="Y3310" s="7"/>
      <c r="Z3310" s="7"/>
      <c r="AA3310" s="7"/>
      <c r="AB3310" s="7"/>
      <c r="AC3310" s="7"/>
      <c r="AD3310" s="7"/>
      <c r="AE3310" s="7"/>
    </row>
    <row r="3311">
      <c r="A3311" s="12">
        <v>73.0</v>
      </c>
      <c r="B3311" s="7" t="s">
        <v>660</v>
      </c>
      <c r="C3311" s="7" t="s">
        <v>1842</v>
      </c>
      <c r="I3311" s="13" t="s">
        <v>1269</v>
      </c>
      <c r="J3311" s="13" t="s">
        <v>1915</v>
      </c>
      <c r="K3311" s="13" t="s">
        <v>303</v>
      </c>
      <c r="L3311" s="13" t="s">
        <v>2744</v>
      </c>
      <c r="M3311" s="6" t="s">
        <v>188</v>
      </c>
      <c r="N3311" s="6" t="s">
        <v>188</v>
      </c>
      <c r="O3311" s="6" t="s">
        <v>190</v>
      </c>
      <c r="P3311" s="7" t="s">
        <v>333</v>
      </c>
      <c r="Q3311" s="13"/>
      <c r="R3311" s="13"/>
      <c r="S3311" s="13"/>
      <c r="T3311" s="7"/>
      <c r="U3311" s="7"/>
      <c r="V3311" s="7"/>
      <c r="W3311" s="7"/>
      <c r="X3311" s="7"/>
      <c r="Y3311" s="7"/>
      <c r="Z3311" s="7"/>
      <c r="AA3311" s="7"/>
      <c r="AB3311" s="7"/>
      <c r="AC3311" s="7"/>
      <c r="AD3311" s="7"/>
      <c r="AE3311" s="7"/>
    </row>
    <row r="3312">
      <c r="A3312" s="12">
        <v>73.0</v>
      </c>
      <c r="B3312" s="7" t="s">
        <v>660</v>
      </c>
      <c r="C3312" s="7" t="s">
        <v>1842</v>
      </c>
      <c r="I3312" s="13" t="s">
        <v>513</v>
      </c>
      <c r="J3312" s="13" t="s">
        <v>1917</v>
      </c>
      <c r="K3312" s="13" t="s">
        <v>303</v>
      </c>
      <c r="L3312" s="13" t="s">
        <v>2744</v>
      </c>
      <c r="M3312" s="6" t="s">
        <v>188</v>
      </c>
      <c r="N3312" s="6" t="s">
        <v>188</v>
      </c>
      <c r="O3312" s="6" t="s">
        <v>190</v>
      </c>
      <c r="P3312" s="7" t="s">
        <v>333</v>
      </c>
      <c r="Q3312" s="13"/>
      <c r="R3312" s="13"/>
      <c r="S3312" s="13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7"/>
      <c r="AE3312" s="7"/>
    </row>
    <row r="3313">
      <c r="A3313" s="12">
        <v>73.0</v>
      </c>
      <c r="B3313" s="7" t="s">
        <v>660</v>
      </c>
      <c r="C3313" s="7" t="s">
        <v>1842</v>
      </c>
      <c r="I3313" s="13" t="s">
        <v>1274</v>
      </c>
      <c r="J3313" s="13" t="s">
        <v>1915</v>
      </c>
      <c r="K3313" s="13" t="s">
        <v>303</v>
      </c>
      <c r="L3313" s="13" t="s">
        <v>2745</v>
      </c>
      <c r="M3313" s="6" t="s">
        <v>188</v>
      </c>
      <c r="N3313" s="6" t="s">
        <v>188</v>
      </c>
      <c r="O3313" s="6" t="s">
        <v>190</v>
      </c>
      <c r="P3313" s="7" t="s">
        <v>333</v>
      </c>
      <c r="Q3313" s="13"/>
      <c r="R3313" s="13"/>
      <c r="S3313" s="13"/>
      <c r="T3313" s="7"/>
      <c r="U3313" s="7"/>
      <c r="V3313" s="7"/>
      <c r="W3313" s="7"/>
      <c r="X3313" s="7"/>
      <c r="Y3313" s="7"/>
      <c r="Z3313" s="7"/>
      <c r="AA3313" s="7"/>
      <c r="AB3313" s="7"/>
      <c r="AC3313" s="7"/>
      <c r="AD3313" s="7"/>
      <c r="AE3313" s="7"/>
    </row>
    <row r="3314">
      <c r="A3314" s="12">
        <v>73.0</v>
      </c>
      <c r="B3314" s="7" t="s">
        <v>660</v>
      </c>
      <c r="C3314" s="7" t="s">
        <v>1842</v>
      </c>
      <c r="I3314" s="13" t="s">
        <v>1148</v>
      </c>
      <c r="J3314" s="13" t="s">
        <v>1917</v>
      </c>
      <c r="K3314" s="13" t="s">
        <v>303</v>
      </c>
      <c r="L3314" s="13" t="s">
        <v>2722</v>
      </c>
      <c r="M3314" s="6" t="s">
        <v>188</v>
      </c>
      <c r="N3314" s="6" t="s">
        <v>188</v>
      </c>
      <c r="O3314" s="6" t="s">
        <v>190</v>
      </c>
      <c r="P3314" s="7" t="s">
        <v>333</v>
      </c>
      <c r="Q3314" s="13"/>
      <c r="R3314" s="13"/>
      <c r="S3314" s="13"/>
      <c r="T3314" s="7"/>
      <c r="U3314" s="7"/>
      <c r="V3314" s="7"/>
      <c r="W3314" s="7"/>
      <c r="X3314" s="7"/>
      <c r="Y3314" s="7"/>
      <c r="Z3314" s="7"/>
      <c r="AA3314" s="7"/>
      <c r="AB3314" s="7"/>
      <c r="AC3314" s="7"/>
      <c r="AD3314" s="7"/>
      <c r="AE3314" s="7"/>
    </row>
    <row r="3315">
      <c r="A3315" s="12">
        <v>73.0</v>
      </c>
      <c r="B3315" s="7" t="s">
        <v>660</v>
      </c>
      <c r="C3315" s="7" t="s">
        <v>1842</v>
      </c>
      <c r="I3315" s="13" t="s">
        <v>2008</v>
      </c>
      <c r="J3315" s="13" t="s">
        <v>1915</v>
      </c>
      <c r="K3315" s="13" t="s">
        <v>303</v>
      </c>
      <c r="L3315" s="13" t="s">
        <v>2723</v>
      </c>
      <c r="M3315" s="6" t="s">
        <v>188</v>
      </c>
      <c r="N3315" s="6" t="s">
        <v>188</v>
      </c>
      <c r="O3315" s="6" t="s">
        <v>190</v>
      </c>
      <c r="P3315" s="7" t="s">
        <v>333</v>
      </c>
      <c r="Q3315" s="13"/>
      <c r="R3315" s="13"/>
      <c r="S3315" s="13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7"/>
      <c r="AE3315" s="7"/>
    </row>
    <row r="3316">
      <c r="A3316" s="12">
        <v>73.0</v>
      </c>
      <c r="B3316" s="7" t="s">
        <v>660</v>
      </c>
      <c r="C3316" s="7" t="s">
        <v>1842</v>
      </c>
      <c r="I3316" s="13" t="s">
        <v>604</v>
      </c>
      <c r="J3316" s="13" t="s">
        <v>1917</v>
      </c>
      <c r="K3316" s="13" t="s">
        <v>303</v>
      </c>
      <c r="L3316" s="13" t="s">
        <v>2724</v>
      </c>
      <c r="M3316" s="6" t="s">
        <v>188</v>
      </c>
      <c r="N3316" s="6" t="s">
        <v>188</v>
      </c>
      <c r="O3316" s="6" t="s">
        <v>190</v>
      </c>
      <c r="P3316" s="7" t="s">
        <v>333</v>
      </c>
      <c r="Q3316" s="13"/>
      <c r="R3316" s="13"/>
      <c r="S3316" s="13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7"/>
      <c r="AE3316" s="7"/>
    </row>
    <row r="3317">
      <c r="A3317" s="12">
        <v>73.0</v>
      </c>
      <c r="B3317" s="7" t="s">
        <v>660</v>
      </c>
      <c r="C3317" s="7" t="s">
        <v>1842</v>
      </c>
      <c r="I3317" s="13" t="s">
        <v>247</v>
      </c>
      <c r="J3317" s="13" t="s">
        <v>1915</v>
      </c>
      <c r="K3317" s="13" t="s">
        <v>303</v>
      </c>
      <c r="L3317" s="13" t="s">
        <v>2725</v>
      </c>
      <c r="M3317" s="6" t="s">
        <v>188</v>
      </c>
      <c r="N3317" s="6" t="s">
        <v>188</v>
      </c>
      <c r="O3317" s="6" t="s">
        <v>190</v>
      </c>
      <c r="P3317" s="7" t="s">
        <v>333</v>
      </c>
      <c r="Q3317" s="13"/>
      <c r="R3317" s="13"/>
      <c r="S3317" s="13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  <c r="AD3317" s="7"/>
      <c r="AE3317" s="7"/>
    </row>
    <row r="3318">
      <c r="A3318" s="12">
        <v>73.0</v>
      </c>
      <c r="B3318" s="7" t="s">
        <v>660</v>
      </c>
      <c r="C3318" s="7" t="s">
        <v>1842</v>
      </c>
      <c r="I3318" s="13" t="s">
        <v>2003</v>
      </c>
      <c r="J3318" s="13" t="s">
        <v>1917</v>
      </c>
      <c r="K3318" s="13" t="s">
        <v>303</v>
      </c>
      <c r="L3318" s="13" t="s">
        <v>2726</v>
      </c>
      <c r="M3318" s="6" t="s">
        <v>188</v>
      </c>
      <c r="N3318" s="6" t="s">
        <v>188</v>
      </c>
      <c r="O3318" s="6" t="s">
        <v>190</v>
      </c>
      <c r="P3318" s="7" t="s">
        <v>333</v>
      </c>
      <c r="Q3318" s="13"/>
      <c r="R3318" s="13"/>
      <c r="S3318" s="13"/>
      <c r="T3318" s="7"/>
      <c r="U3318" s="7"/>
      <c r="V3318" s="7"/>
      <c r="W3318" s="7"/>
      <c r="X3318" s="7"/>
      <c r="Y3318" s="7"/>
      <c r="Z3318" s="7"/>
      <c r="AA3318" s="7"/>
      <c r="AB3318" s="7"/>
      <c r="AC3318" s="7"/>
      <c r="AD3318" s="7"/>
      <c r="AE3318" s="7"/>
    </row>
    <row r="3319">
      <c r="A3319" s="12">
        <v>73.0</v>
      </c>
      <c r="B3319" s="7" t="s">
        <v>660</v>
      </c>
      <c r="C3319" s="7" t="s">
        <v>1842</v>
      </c>
      <c r="I3319" s="13" t="s">
        <v>2030</v>
      </c>
      <c r="J3319" s="13" t="s">
        <v>1915</v>
      </c>
      <c r="K3319" s="13" t="s">
        <v>303</v>
      </c>
      <c r="L3319" s="13" t="s">
        <v>2723</v>
      </c>
      <c r="M3319" s="6" t="s">
        <v>188</v>
      </c>
      <c r="N3319" s="6" t="s">
        <v>188</v>
      </c>
      <c r="O3319" s="6" t="s">
        <v>190</v>
      </c>
      <c r="P3319" s="7" t="s">
        <v>333</v>
      </c>
      <c r="Q3319" s="13"/>
      <c r="R3319" s="13"/>
      <c r="S3319" s="13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7"/>
      <c r="AE3319" s="7"/>
    </row>
    <row r="3320">
      <c r="A3320" s="12">
        <v>73.0</v>
      </c>
      <c r="B3320" s="7" t="s">
        <v>660</v>
      </c>
      <c r="C3320" s="7" t="s">
        <v>1842</v>
      </c>
      <c r="I3320" s="13" t="s">
        <v>1156</v>
      </c>
      <c r="J3320" s="13" t="s">
        <v>1917</v>
      </c>
      <c r="K3320" s="13" t="s">
        <v>303</v>
      </c>
      <c r="L3320" s="13" t="s">
        <v>2724</v>
      </c>
      <c r="M3320" s="6" t="s">
        <v>188</v>
      </c>
      <c r="N3320" s="6" t="s">
        <v>188</v>
      </c>
      <c r="O3320" s="6" t="s">
        <v>190</v>
      </c>
      <c r="P3320" s="7" t="s">
        <v>333</v>
      </c>
      <c r="Q3320" s="13"/>
      <c r="R3320" s="13"/>
      <c r="S3320" s="13"/>
      <c r="T3320" s="7"/>
      <c r="U3320" s="7"/>
      <c r="V3320" s="7"/>
      <c r="W3320" s="7"/>
      <c r="X3320" s="7"/>
      <c r="Y3320" s="7"/>
      <c r="Z3320" s="7"/>
      <c r="AA3320" s="7"/>
      <c r="AB3320" s="7"/>
      <c r="AC3320" s="7"/>
      <c r="AD3320" s="7"/>
      <c r="AE3320" s="7"/>
    </row>
    <row r="3321">
      <c r="A3321" s="12">
        <v>73.0</v>
      </c>
      <c r="B3321" s="7" t="s">
        <v>660</v>
      </c>
      <c r="C3321" s="7" t="s">
        <v>1842</v>
      </c>
      <c r="I3321" s="13" t="s">
        <v>2013</v>
      </c>
      <c r="J3321" s="13" t="s">
        <v>1915</v>
      </c>
      <c r="K3321" s="13" t="s">
        <v>303</v>
      </c>
      <c r="L3321" s="13" t="s">
        <v>2727</v>
      </c>
      <c r="M3321" s="6" t="s">
        <v>188</v>
      </c>
      <c r="N3321" s="6" t="s">
        <v>188</v>
      </c>
      <c r="O3321" s="6" t="s">
        <v>190</v>
      </c>
      <c r="P3321" s="7" t="s">
        <v>333</v>
      </c>
      <c r="Q3321" s="13"/>
      <c r="R3321" s="13"/>
      <c r="S3321" s="13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7"/>
      <c r="AE3321" s="7"/>
    </row>
    <row r="3322">
      <c r="A3322" s="12">
        <v>73.0</v>
      </c>
      <c r="B3322" s="7" t="s">
        <v>660</v>
      </c>
      <c r="C3322" s="7" t="s">
        <v>1842</v>
      </c>
      <c r="I3322" s="13" t="s">
        <v>2014</v>
      </c>
      <c r="J3322" s="13" t="s">
        <v>1917</v>
      </c>
      <c r="K3322" s="13" t="s">
        <v>303</v>
      </c>
      <c r="L3322" s="13" t="s">
        <v>2727</v>
      </c>
      <c r="M3322" s="6" t="s">
        <v>188</v>
      </c>
      <c r="N3322" s="6" t="s">
        <v>188</v>
      </c>
      <c r="O3322" s="6" t="s">
        <v>190</v>
      </c>
      <c r="P3322" s="7" t="s">
        <v>333</v>
      </c>
      <c r="Q3322" s="13"/>
      <c r="R3322" s="13"/>
      <c r="S3322" s="13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/>
      <c r="AE3322" s="7"/>
    </row>
    <row r="3323">
      <c r="A3323" s="12">
        <v>73.0</v>
      </c>
      <c r="B3323" s="7" t="s">
        <v>660</v>
      </c>
      <c r="C3323" s="7" t="s">
        <v>1842</v>
      </c>
      <c r="I3323" s="13" t="s">
        <v>43</v>
      </c>
      <c r="J3323" s="13" t="s">
        <v>1915</v>
      </c>
      <c r="K3323" s="13" t="s">
        <v>303</v>
      </c>
      <c r="L3323" s="13" t="s">
        <v>405</v>
      </c>
      <c r="M3323" s="6" t="s">
        <v>188</v>
      </c>
      <c r="N3323" s="6" t="s">
        <v>188</v>
      </c>
      <c r="O3323" s="6" t="s">
        <v>190</v>
      </c>
      <c r="P3323" s="7" t="s">
        <v>333</v>
      </c>
      <c r="Q3323" s="13"/>
      <c r="R3323" s="13"/>
      <c r="S3323" s="13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7"/>
      <c r="AE3323" s="7"/>
    </row>
    <row r="3324">
      <c r="A3324" s="12">
        <v>73.0</v>
      </c>
      <c r="B3324" s="7" t="s">
        <v>660</v>
      </c>
      <c r="C3324" s="7" t="s">
        <v>1842</v>
      </c>
      <c r="I3324" s="13" t="s">
        <v>1924</v>
      </c>
      <c r="J3324" s="13" t="s">
        <v>1917</v>
      </c>
      <c r="K3324" s="13" t="s">
        <v>303</v>
      </c>
      <c r="L3324" s="13" t="s">
        <v>2724</v>
      </c>
      <c r="M3324" s="6" t="s">
        <v>188</v>
      </c>
      <c r="N3324" s="6" t="s">
        <v>188</v>
      </c>
      <c r="O3324" s="6" t="s">
        <v>190</v>
      </c>
      <c r="P3324" s="7" t="s">
        <v>333</v>
      </c>
      <c r="Q3324" s="13"/>
      <c r="R3324" s="13"/>
      <c r="S3324" s="13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/>
      <c r="AE3324" s="7"/>
    </row>
    <row r="3325">
      <c r="A3325" s="12">
        <v>74.0</v>
      </c>
      <c r="B3325" s="7" t="s">
        <v>663</v>
      </c>
      <c r="C3325" s="7" t="s">
        <v>1842</v>
      </c>
      <c r="D3325" s="26">
        <f>IF(COUNTIF($B$2:$B3325,$B3325)&gt;1,"",COUNTIF($B$2:$B$3400,$B3325))</f>
        <v>30</v>
      </c>
      <c r="E3325" s="26">
        <f>IF(COUNTIF($B$2:$B3325,$B3325)&gt;1,"",COUNTIFS($B$2:$B$3400,$B3325,$K$2:$K$3400,"PHÙ HỢP CAO"))</f>
        <v>2</v>
      </c>
      <c r="F3325" s="26">
        <f>IF(COUNTIF($B$2:$B3325,$B3325)&gt;1,"",COUNTIFS($B$2:$B$3400,$B3325,$K$2:$K$3400,"CÓ THỂ ĐI"))</f>
        <v>3</v>
      </c>
      <c r="G3325" s="26">
        <f>IF(COUNTIF($B$2:$B3325,$B3325)&gt;1,"",COUNTIFS($B$2:$B$3400,$B3325,$K$2:$K$3400,"CẦN SOÁT"))</f>
        <v>25</v>
      </c>
      <c r="H3325" s="27" t="str">
        <f>IFERROR(__xludf.DUMMYFUNCTION("IF(COUNTIF($B$2:$B3325,$B3325)&gt;1,"""",IFERROR(TEXTJOIN(CHAR(10),TRUE,BYROW(QUERY({$B$2:$B$3400,$J$2:$J$3400},""select Col2, count(Col2) where Col1 = '""&amp;$B3325&amp;""' group by Col2 order by count(Col2) desc label count(Col2) ''"",0),LAMBDA(r,INDEX(r,1,1)&amp;"" "&amp;"– ""&amp;INDEX(r,1,2)&amp;"" link""))),""""))"),"vay tín chấp không trả được có sao không – 30 link")</f>
        <v>vay tín chấp không trả được có sao không – 30 link</v>
      </c>
      <c r="I3325" s="10" t="s">
        <v>1924</v>
      </c>
      <c r="J3325" s="13" t="s">
        <v>1927</v>
      </c>
      <c r="K3325" s="13" t="s">
        <v>184</v>
      </c>
      <c r="L3325" s="13" t="s">
        <v>2746</v>
      </c>
      <c r="M3325" s="6" t="s">
        <v>188</v>
      </c>
      <c r="N3325" s="6" t="s">
        <v>188</v>
      </c>
      <c r="O3325" s="6" t="s">
        <v>190</v>
      </c>
      <c r="P3325" s="7"/>
      <c r="Q3325" s="13"/>
      <c r="R3325" s="13"/>
      <c r="S3325" s="13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7"/>
      <c r="AE3325" s="7"/>
    </row>
    <row r="3326">
      <c r="A3326" s="12">
        <v>74.0</v>
      </c>
      <c r="B3326" s="7" t="s">
        <v>663</v>
      </c>
      <c r="C3326" s="7" t="s">
        <v>1842</v>
      </c>
      <c r="I3326" s="10" t="s">
        <v>1872</v>
      </c>
      <c r="J3326" s="13" t="s">
        <v>1927</v>
      </c>
      <c r="K3326" s="13" t="s">
        <v>184</v>
      </c>
      <c r="L3326" s="13" t="s">
        <v>2747</v>
      </c>
      <c r="M3326" s="6" t="s">
        <v>188</v>
      </c>
      <c r="N3326" s="6" t="s">
        <v>188</v>
      </c>
      <c r="O3326" s="6" t="s">
        <v>190</v>
      </c>
      <c r="P3326" s="7"/>
      <c r="Q3326" s="13"/>
      <c r="R3326" s="13"/>
      <c r="S3326" s="13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7"/>
      <c r="AE3326" s="7"/>
    </row>
    <row r="3327">
      <c r="A3327" s="12">
        <v>74.0</v>
      </c>
      <c r="B3327" s="7" t="s">
        <v>663</v>
      </c>
      <c r="C3327" s="7" t="s">
        <v>1842</v>
      </c>
      <c r="I3327" s="10" t="s">
        <v>1391</v>
      </c>
      <c r="J3327" s="13" t="s">
        <v>1927</v>
      </c>
      <c r="K3327" s="13" t="s">
        <v>283</v>
      </c>
      <c r="L3327" s="13" t="s">
        <v>2748</v>
      </c>
      <c r="M3327" s="6" t="s">
        <v>188</v>
      </c>
      <c r="N3327" s="6" t="s">
        <v>188</v>
      </c>
      <c r="O3327" s="6" t="s">
        <v>190</v>
      </c>
      <c r="P3327" s="7"/>
      <c r="Q3327" s="13"/>
      <c r="R3327" s="13"/>
      <c r="S3327" s="13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7"/>
      <c r="AE3327" s="7"/>
    </row>
    <row r="3328">
      <c r="A3328" s="12">
        <v>74.0</v>
      </c>
      <c r="B3328" s="7" t="s">
        <v>663</v>
      </c>
      <c r="C3328" s="7" t="s">
        <v>1842</v>
      </c>
      <c r="I3328" s="10" t="s">
        <v>1898</v>
      </c>
      <c r="J3328" s="13" t="s">
        <v>1927</v>
      </c>
      <c r="K3328" s="13" t="s">
        <v>283</v>
      </c>
      <c r="L3328" s="13" t="s">
        <v>2749</v>
      </c>
      <c r="M3328" s="6" t="s">
        <v>188</v>
      </c>
      <c r="N3328" s="6" t="s">
        <v>188</v>
      </c>
      <c r="O3328" s="6" t="s">
        <v>190</v>
      </c>
      <c r="P3328" s="7"/>
      <c r="Q3328" s="13"/>
      <c r="R3328" s="13"/>
      <c r="S3328" s="13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/>
      <c r="AE3328" s="7"/>
    </row>
    <row r="3329">
      <c r="A3329" s="12">
        <v>74.0</v>
      </c>
      <c r="B3329" s="7" t="s">
        <v>663</v>
      </c>
      <c r="C3329" s="7" t="s">
        <v>1842</v>
      </c>
      <c r="I3329" s="10" t="s">
        <v>1709</v>
      </c>
      <c r="J3329" s="13" t="s">
        <v>1927</v>
      </c>
      <c r="K3329" s="13" t="s">
        <v>283</v>
      </c>
      <c r="L3329" s="13" t="s">
        <v>2750</v>
      </c>
      <c r="M3329" s="6" t="s">
        <v>188</v>
      </c>
      <c r="N3329" s="6" t="s">
        <v>188</v>
      </c>
      <c r="O3329" s="6" t="s">
        <v>190</v>
      </c>
      <c r="P3329" s="7"/>
      <c r="Q3329" s="13"/>
      <c r="R3329" s="13"/>
      <c r="S3329" s="13"/>
      <c r="T3329" s="7"/>
      <c r="U3329" s="7"/>
      <c r="V3329" s="7"/>
      <c r="W3329" s="7"/>
      <c r="X3329" s="7"/>
      <c r="Y3329" s="7"/>
      <c r="Z3329" s="7"/>
      <c r="AA3329" s="7"/>
      <c r="AB3329" s="7"/>
      <c r="AC3329" s="7"/>
      <c r="AD3329" s="7"/>
      <c r="AE3329" s="7"/>
    </row>
    <row r="3330">
      <c r="A3330" s="12">
        <v>74.0</v>
      </c>
      <c r="B3330" s="7" t="s">
        <v>663</v>
      </c>
      <c r="C3330" s="7" t="s">
        <v>1842</v>
      </c>
      <c r="I3330" s="10" t="s">
        <v>1673</v>
      </c>
      <c r="J3330" s="13" t="s">
        <v>1927</v>
      </c>
      <c r="K3330" s="13" t="s">
        <v>303</v>
      </c>
      <c r="L3330" s="13" t="s">
        <v>2743</v>
      </c>
      <c r="M3330" s="6" t="s">
        <v>188</v>
      </c>
      <c r="N3330" s="6" t="s">
        <v>188</v>
      </c>
      <c r="O3330" s="6" t="s">
        <v>190</v>
      </c>
      <c r="P3330" s="7"/>
      <c r="Q3330" s="13"/>
      <c r="R3330" s="13"/>
      <c r="S3330" s="13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  <c r="AE3330" s="7"/>
    </row>
    <row r="3331">
      <c r="A3331" s="12">
        <v>74.0</v>
      </c>
      <c r="B3331" s="7" t="s">
        <v>663</v>
      </c>
      <c r="C3331" s="7" t="s">
        <v>1842</v>
      </c>
      <c r="I3331" s="10" t="s">
        <v>2388</v>
      </c>
      <c r="J3331" s="13" t="s">
        <v>1927</v>
      </c>
      <c r="K3331" s="13" t="s">
        <v>303</v>
      </c>
      <c r="L3331" s="13" t="s">
        <v>2733</v>
      </c>
      <c r="M3331" s="6" t="s">
        <v>188</v>
      </c>
      <c r="N3331" s="6" t="s">
        <v>188</v>
      </c>
      <c r="O3331" s="6" t="s">
        <v>190</v>
      </c>
      <c r="P3331" s="7"/>
      <c r="Q3331" s="13"/>
      <c r="R3331" s="13"/>
      <c r="S3331" s="13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7"/>
      <c r="AE3331" s="7"/>
    </row>
    <row r="3332">
      <c r="A3332" s="12">
        <v>74.0</v>
      </c>
      <c r="B3332" s="7" t="s">
        <v>663</v>
      </c>
      <c r="C3332" s="7" t="s">
        <v>1842</v>
      </c>
      <c r="I3332" s="10" t="s">
        <v>2622</v>
      </c>
      <c r="J3332" s="13" t="s">
        <v>1927</v>
      </c>
      <c r="K3332" s="13" t="s">
        <v>303</v>
      </c>
      <c r="L3332" s="13" t="s">
        <v>2733</v>
      </c>
      <c r="M3332" s="6" t="s">
        <v>188</v>
      </c>
      <c r="N3332" s="6" t="s">
        <v>188</v>
      </c>
      <c r="O3332" s="6" t="s">
        <v>190</v>
      </c>
      <c r="P3332" s="7"/>
      <c r="Q3332" s="13"/>
      <c r="R3332" s="13"/>
      <c r="S3332" s="13"/>
      <c r="T3332" s="7"/>
      <c r="U3332" s="7"/>
      <c r="V3332" s="7"/>
      <c r="W3332" s="7"/>
      <c r="X3332" s="7"/>
      <c r="Y3332" s="7"/>
      <c r="Z3332" s="7"/>
      <c r="AA3332" s="7"/>
      <c r="AB3332" s="7"/>
      <c r="AC3332" s="7"/>
      <c r="AD3332" s="7"/>
      <c r="AE3332" s="7"/>
    </row>
    <row r="3333">
      <c r="A3333" s="12">
        <v>74.0</v>
      </c>
      <c r="B3333" s="7" t="s">
        <v>663</v>
      </c>
      <c r="C3333" s="7" t="s">
        <v>1842</v>
      </c>
      <c r="I3333" s="10" t="s">
        <v>2345</v>
      </c>
      <c r="J3333" s="13" t="s">
        <v>1927</v>
      </c>
      <c r="K3333" s="13" t="s">
        <v>303</v>
      </c>
      <c r="L3333" s="13" t="s">
        <v>2733</v>
      </c>
      <c r="M3333" s="6" t="s">
        <v>188</v>
      </c>
      <c r="N3333" s="6" t="s">
        <v>188</v>
      </c>
      <c r="O3333" s="6" t="s">
        <v>190</v>
      </c>
      <c r="P3333" s="7"/>
      <c r="Q3333" s="13"/>
      <c r="R3333" s="13"/>
      <c r="S3333" s="13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7"/>
      <c r="AE3333" s="7"/>
    </row>
    <row r="3334">
      <c r="A3334" s="12">
        <v>74.0</v>
      </c>
      <c r="B3334" s="7" t="s">
        <v>663</v>
      </c>
      <c r="C3334" s="7" t="s">
        <v>1842</v>
      </c>
      <c r="I3334" s="10" t="s">
        <v>387</v>
      </c>
      <c r="J3334" s="13" t="s">
        <v>1927</v>
      </c>
      <c r="K3334" s="13" t="s">
        <v>303</v>
      </c>
      <c r="L3334" s="13" t="s">
        <v>2733</v>
      </c>
      <c r="M3334" s="6" t="s">
        <v>188</v>
      </c>
      <c r="N3334" s="6" t="s">
        <v>188</v>
      </c>
      <c r="O3334" s="6" t="s">
        <v>190</v>
      </c>
      <c r="P3334" s="7"/>
      <c r="Q3334" s="13"/>
      <c r="R3334" s="13"/>
      <c r="S3334" s="13"/>
      <c r="T3334" s="7"/>
      <c r="U3334" s="7"/>
      <c r="V3334" s="7"/>
      <c r="W3334" s="7"/>
      <c r="X3334" s="7"/>
      <c r="Y3334" s="7"/>
      <c r="Z3334" s="7"/>
      <c r="AA3334" s="7"/>
      <c r="AB3334" s="7"/>
      <c r="AC3334" s="7"/>
      <c r="AD3334" s="7"/>
      <c r="AE3334" s="7"/>
    </row>
    <row r="3335">
      <c r="A3335" s="12">
        <v>74.0</v>
      </c>
      <c r="B3335" s="7" t="s">
        <v>663</v>
      </c>
      <c r="C3335" s="7" t="s">
        <v>1842</v>
      </c>
      <c r="I3335" s="10" t="s">
        <v>373</v>
      </c>
      <c r="J3335" s="13" t="s">
        <v>1927</v>
      </c>
      <c r="K3335" s="13" t="s">
        <v>303</v>
      </c>
      <c r="L3335" s="13" t="s">
        <v>2733</v>
      </c>
      <c r="M3335" s="6" t="s">
        <v>188</v>
      </c>
      <c r="N3335" s="6" t="s">
        <v>188</v>
      </c>
      <c r="O3335" s="6" t="s">
        <v>190</v>
      </c>
      <c r="P3335" s="7"/>
      <c r="Q3335" s="13"/>
      <c r="R3335" s="13"/>
      <c r="S3335" s="13"/>
      <c r="T3335" s="7"/>
      <c r="U3335" s="7"/>
      <c r="V3335" s="7"/>
      <c r="W3335" s="7"/>
      <c r="X3335" s="7"/>
      <c r="Y3335" s="7"/>
      <c r="Z3335" s="7"/>
      <c r="AA3335" s="7"/>
      <c r="AB3335" s="7"/>
      <c r="AC3335" s="7"/>
      <c r="AD3335" s="7"/>
      <c r="AE3335" s="7"/>
    </row>
    <row r="3336">
      <c r="A3336" s="12">
        <v>74.0</v>
      </c>
      <c r="B3336" s="7" t="s">
        <v>663</v>
      </c>
      <c r="C3336" s="7" t="s">
        <v>1842</v>
      </c>
      <c r="I3336" s="10" t="s">
        <v>347</v>
      </c>
      <c r="J3336" s="13" t="s">
        <v>1927</v>
      </c>
      <c r="K3336" s="13" t="s">
        <v>303</v>
      </c>
      <c r="L3336" s="13" t="s">
        <v>2733</v>
      </c>
      <c r="M3336" s="6" t="s">
        <v>188</v>
      </c>
      <c r="N3336" s="6" t="s">
        <v>188</v>
      </c>
      <c r="O3336" s="6" t="s">
        <v>190</v>
      </c>
      <c r="P3336" s="7"/>
      <c r="Q3336" s="13"/>
      <c r="R3336" s="13"/>
      <c r="S3336" s="13"/>
      <c r="T3336" s="7"/>
      <c r="U3336" s="7"/>
      <c r="V3336" s="7"/>
      <c r="W3336" s="7"/>
      <c r="X3336" s="7"/>
      <c r="Y3336" s="7"/>
      <c r="Z3336" s="7"/>
      <c r="AA3336" s="7"/>
      <c r="AB3336" s="7"/>
      <c r="AC3336" s="7"/>
      <c r="AD3336" s="7"/>
      <c r="AE3336" s="7"/>
    </row>
    <row r="3337">
      <c r="A3337" s="12">
        <v>74.0</v>
      </c>
      <c r="B3337" s="7" t="s">
        <v>663</v>
      </c>
      <c r="C3337" s="7" t="s">
        <v>1842</v>
      </c>
      <c r="I3337" s="10" t="s">
        <v>418</v>
      </c>
      <c r="J3337" s="13" t="s">
        <v>1927</v>
      </c>
      <c r="K3337" s="13" t="s">
        <v>303</v>
      </c>
      <c r="L3337" s="13" t="s">
        <v>2733</v>
      </c>
      <c r="M3337" s="6" t="s">
        <v>188</v>
      </c>
      <c r="N3337" s="6" t="s">
        <v>188</v>
      </c>
      <c r="O3337" s="6" t="s">
        <v>190</v>
      </c>
      <c r="P3337" s="7"/>
      <c r="Q3337" s="13"/>
      <c r="R3337" s="13"/>
      <c r="S3337" s="13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7"/>
      <c r="AE3337" s="7"/>
    </row>
    <row r="3338">
      <c r="A3338" s="12">
        <v>74.0</v>
      </c>
      <c r="B3338" s="7" t="s">
        <v>663</v>
      </c>
      <c r="C3338" s="7" t="s">
        <v>1842</v>
      </c>
      <c r="I3338" s="10" t="s">
        <v>1281</v>
      </c>
      <c r="J3338" s="13" t="s">
        <v>1927</v>
      </c>
      <c r="K3338" s="13" t="s">
        <v>303</v>
      </c>
      <c r="L3338" s="13" t="s">
        <v>1997</v>
      </c>
      <c r="M3338" s="6" t="s">
        <v>188</v>
      </c>
      <c r="N3338" s="6" t="s">
        <v>188</v>
      </c>
      <c r="O3338" s="6" t="s">
        <v>190</v>
      </c>
      <c r="P3338" s="7"/>
      <c r="Q3338" s="13"/>
      <c r="R3338" s="13"/>
      <c r="S3338" s="13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7"/>
      <c r="AE3338" s="7"/>
    </row>
    <row r="3339">
      <c r="A3339" s="12">
        <v>74.0</v>
      </c>
      <c r="B3339" s="7" t="s">
        <v>663</v>
      </c>
      <c r="C3339" s="7" t="s">
        <v>1842</v>
      </c>
      <c r="I3339" s="10" t="s">
        <v>627</v>
      </c>
      <c r="J3339" s="13" t="s">
        <v>1927</v>
      </c>
      <c r="K3339" s="13" t="s">
        <v>303</v>
      </c>
      <c r="L3339" s="13" t="s">
        <v>1997</v>
      </c>
      <c r="M3339" s="6" t="s">
        <v>188</v>
      </c>
      <c r="N3339" s="6" t="s">
        <v>188</v>
      </c>
      <c r="O3339" s="6" t="s">
        <v>190</v>
      </c>
      <c r="P3339" s="7"/>
      <c r="Q3339" s="13"/>
      <c r="R3339" s="13"/>
      <c r="S3339" s="13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  <c r="AD3339" s="7"/>
      <c r="AE3339" s="7"/>
    </row>
    <row r="3340">
      <c r="A3340" s="12">
        <v>74.0</v>
      </c>
      <c r="B3340" s="7" t="s">
        <v>663</v>
      </c>
      <c r="C3340" s="7" t="s">
        <v>1842</v>
      </c>
      <c r="I3340" s="10" t="s">
        <v>1996</v>
      </c>
      <c r="J3340" s="13" t="s">
        <v>1927</v>
      </c>
      <c r="K3340" s="13" t="s">
        <v>303</v>
      </c>
      <c r="L3340" s="13" t="s">
        <v>1997</v>
      </c>
      <c r="M3340" s="6" t="s">
        <v>188</v>
      </c>
      <c r="N3340" s="6" t="s">
        <v>188</v>
      </c>
      <c r="O3340" s="6" t="s">
        <v>190</v>
      </c>
      <c r="P3340" s="7"/>
      <c r="Q3340" s="13"/>
      <c r="R3340" s="13"/>
      <c r="S3340" s="13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7"/>
      <c r="AE3340" s="7"/>
    </row>
    <row r="3341">
      <c r="A3341" s="12">
        <v>74.0</v>
      </c>
      <c r="B3341" s="7" t="s">
        <v>663</v>
      </c>
      <c r="C3341" s="7" t="s">
        <v>1842</v>
      </c>
      <c r="I3341" s="10" t="s">
        <v>395</v>
      </c>
      <c r="J3341" s="13" t="s">
        <v>1927</v>
      </c>
      <c r="K3341" s="13" t="s">
        <v>303</v>
      </c>
      <c r="L3341" s="13" t="s">
        <v>2733</v>
      </c>
      <c r="M3341" s="6" t="s">
        <v>188</v>
      </c>
      <c r="N3341" s="6" t="s">
        <v>188</v>
      </c>
      <c r="O3341" s="6" t="s">
        <v>190</v>
      </c>
      <c r="P3341" s="7"/>
      <c r="Q3341" s="13"/>
      <c r="R3341" s="13"/>
      <c r="S3341" s="13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  <c r="AD3341" s="7"/>
      <c r="AE3341" s="7"/>
    </row>
    <row r="3342">
      <c r="A3342" s="12">
        <v>74.0</v>
      </c>
      <c r="B3342" s="7" t="s">
        <v>663</v>
      </c>
      <c r="C3342" s="7" t="s">
        <v>1842</v>
      </c>
      <c r="I3342" s="10" t="s">
        <v>660</v>
      </c>
      <c r="J3342" s="13" t="s">
        <v>1927</v>
      </c>
      <c r="K3342" s="13" t="s">
        <v>303</v>
      </c>
      <c r="L3342" s="13" t="s">
        <v>1997</v>
      </c>
      <c r="M3342" s="6" t="s">
        <v>188</v>
      </c>
      <c r="N3342" s="6" t="s">
        <v>188</v>
      </c>
      <c r="O3342" s="6" t="s">
        <v>190</v>
      </c>
      <c r="P3342" s="7"/>
      <c r="Q3342" s="13"/>
      <c r="R3342" s="13"/>
      <c r="S3342" s="13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  <c r="AD3342" s="7"/>
      <c r="AE3342" s="7"/>
    </row>
    <row r="3343">
      <c r="A3343" s="12">
        <v>74.0</v>
      </c>
      <c r="B3343" s="7" t="s">
        <v>663</v>
      </c>
      <c r="C3343" s="7" t="s">
        <v>1842</v>
      </c>
      <c r="I3343" s="10" t="s">
        <v>1384</v>
      </c>
      <c r="J3343" s="13" t="s">
        <v>1927</v>
      </c>
      <c r="K3343" s="13" t="s">
        <v>303</v>
      </c>
      <c r="L3343" s="13" t="s">
        <v>2743</v>
      </c>
      <c r="M3343" s="6" t="s">
        <v>188</v>
      </c>
      <c r="N3343" s="6" t="s">
        <v>188</v>
      </c>
      <c r="O3343" s="6" t="s">
        <v>190</v>
      </c>
      <c r="P3343" s="7"/>
      <c r="Q3343" s="13"/>
      <c r="R3343" s="13"/>
      <c r="S3343" s="13"/>
      <c r="T3343" s="7"/>
      <c r="U3343" s="7"/>
      <c r="V3343" s="7"/>
      <c r="W3343" s="7"/>
      <c r="X3343" s="7"/>
      <c r="Y3343" s="7"/>
      <c r="Z3343" s="7"/>
      <c r="AA3343" s="7"/>
      <c r="AB3343" s="7"/>
      <c r="AC3343" s="7"/>
      <c r="AD3343" s="7"/>
      <c r="AE3343" s="7"/>
    </row>
    <row r="3344">
      <c r="A3344" s="12">
        <v>74.0</v>
      </c>
      <c r="B3344" s="7" t="s">
        <v>663</v>
      </c>
      <c r="C3344" s="7" t="s">
        <v>1842</v>
      </c>
      <c r="I3344" s="10" t="s">
        <v>1500</v>
      </c>
      <c r="J3344" s="13" t="s">
        <v>1927</v>
      </c>
      <c r="K3344" s="13" t="s">
        <v>303</v>
      </c>
      <c r="L3344" s="13" t="s">
        <v>1997</v>
      </c>
      <c r="M3344" s="6" t="s">
        <v>188</v>
      </c>
      <c r="N3344" s="6" t="s">
        <v>188</v>
      </c>
      <c r="O3344" s="6" t="s">
        <v>190</v>
      </c>
      <c r="P3344" s="7"/>
      <c r="Q3344" s="13"/>
      <c r="R3344" s="13"/>
      <c r="S3344" s="13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  <c r="AE3344" s="7"/>
    </row>
    <row r="3345">
      <c r="A3345" s="12">
        <v>74.0</v>
      </c>
      <c r="B3345" s="7" t="s">
        <v>663</v>
      </c>
      <c r="C3345" s="7" t="s">
        <v>1842</v>
      </c>
      <c r="I3345" s="10" t="s">
        <v>1903</v>
      </c>
      <c r="J3345" s="13" t="s">
        <v>1927</v>
      </c>
      <c r="K3345" s="13" t="s">
        <v>303</v>
      </c>
      <c r="L3345" s="13" t="s">
        <v>2733</v>
      </c>
      <c r="M3345" s="6" t="s">
        <v>188</v>
      </c>
      <c r="N3345" s="6" t="s">
        <v>188</v>
      </c>
      <c r="O3345" s="6" t="s">
        <v>190</v>
      </c>
      <c r="P3345" s="7"/>
      <c r="Q3345" s="13"/>
      <c r="R3345" s="13"/>
      <c r="S3345" s="13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  <c r="AD3345" s="7"/>
      <c r="AE3345" s="7"/>
    </row>
    <row r="3346">
      <c r="A3346" s="12">
        <v>74.0</v>
      </c>
      <c r="B3346" s="7" t="s">
        <v>663</v>
      </c>
      <c r="C3346" s="7" t="s">
        <v>1842</v>
      </c>
      <c r="I3346" s="10" t="s">
        <v>1381</v>
      </c>
      <c r="J3346" s="13" t="s">
        <v>1927</v>
      </c>
      <c r="K3346" s="13" t="s">
        <v>303</v>
      </c>
      <c r="L3346" s="13" t="s">
        <v>1997</v>
      </c>
      <c r="M3346" s="6" t="s">
        <v>188</v>
      </c>
      <c r="N3346" s="6" t="s">
        <v>188</v>
      </c>
      <c r="O3346" s="6" t="s">
        <v>190</v>
      </c>
      <c r="P3346" s="7"/>
      <c r="Q3346" s="13"/>
      <c r="R3346" s="13"/>
      <c r="S3346" s="13"/>
      <c r="T3346" s="7"/>
      <c r="U3346" s="7"/>
      <c r="V3346" s="7"/>
      <c r="W3346" s="7"/>
      <c r="X3346" s="7"/>
      <c r="Y3346" s="7"/>
      <c r="Z3346" s="7"/>
      <c r="AA3346" s="7"/>
      <c r="AB3346" s="7"/>
      <c r="AC3346" s="7"/>
      <c r="AD3346" s="7"/>
      <c r="AE3346" s="7"/>
    </row>
    <row r="3347">
      <c r="A3347" s="12">
        <v>74.0</v>
      </c>
      <c r="B3347" s="7" t="s">
        <v>663</v>
      </c>
      <c r="C3347" s="7" t="s">
        <v>1842</v>
      </c>
      <c r="I3347" s="10" t="s">
        <v>1277</v>
      </c>
      <c r="J3347" s="13" t="s">
        <v>1927</v>
      </c>
      <c r="K3347" s="13" t="s">
        <v>303</v>
      </c>
      <c r="L3347" s="13" t="s">
        <v>1997</v>
      </c>
      <c r="M3347" s="6" t="s">
        <v>188</v>
      </c>
      <c r="N3347" s="6" t="s">
        <v>188</v>
      </c>
      <c r="O3347" s="6" t="s">
        <v>190</v>
      </c>
      <c r="P3347" s="7"/>
      <c r="Q3347" s="13"/>
      <c r="R3347" s="13"/>
      <c r="S3347" s="13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  <c r="AD3347" s="7"/>
      <c r="AE3347" s="7"/>
    </row>
    <row r="3348">
      <c r="A3348" s="12">
        <v>74.0</v>
      </c>
      <c r="B3348" s="7" t="s">
        <v>663</v>
      </c>
      <c r="C3348" s="7" t="s">
        <v>1842</v>
      </c>
      <c r="I3348" s="10" t="s">
        <v>1907</v>
      </c>
      <c r="J3348" s="13" t="s">
        <v>1927</v>
      </c>
      <c r="K3348" s="13" t="s">
        <v>303</v>
      </c>
      <c r="L3348" s="13" t="s">
        <v>2733</v>
      </c>
      <c r="M3348" s="6" t="s">
        <v>188</v>
      </c>
      <c r="N3348" s="6" t="s">
        <v>188</v>
      </c>
      <c r="O3348" s="6" t="s">
        <v>190</v>
      </c>
      <c r="P3348" s="7"/>
      <c r="Q3348" s="13"/>
      <c r="R3348" s="13"/>
      <c r="S3348" s="13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/>
      <c r="AE3348" s="7"/>
    </row>
    <row r="3349">
      <c r="A3349" s="12">
        <v>74.0</v>
      </c>
      <c r="B3349" s="7" t="s">
        <v>663</v>
      </c>
      <c r="C3349" s="7" t="s">
        <v>1842</v>
      </c>
      <c r="I3349" s="10" t="s">
        <v>505</v>
      </c>
      <c r="J3349" s="13" t="s">
        <v>1927</v>
      </c>
      <c r="K3349" s="13" t="s">
        <v>303</v>
      </c>
      <c r="L3349" s="13" t="s">
        <v>2733</v>
      </c>
      <c r="M3349" s="6" t="s">
        <v>188</v>
      </c>
      <c r="N3349" s="6" t="s">
        <v>188</v>
      </c>
      <c r="O3349" s="6" t="s">
        <v>190</v>
      </c>
      <c r="P3349" s="7"/>
      <c r="Q3349" s="13"/>
      <c r="R3349" s="13"/>
      <c r="S3349" s="13"/>
      <c r="T3349" s="7"/>
      <c r="U3349" s="7"/>
      <c r="V3349" s="7"/>
      <c r="W3349" s="7"/>
      <c r="X3349" s="7"/>
      <c r="Y3349" s="7"/>
      <c r="Z3349" s="7"/>
      <c r="AA3349" s="7"/>
      <c r="AB3349" s="7"/>
      <c r="AC3349" s="7"/>
      <c r="AD3349" s="7"/>
      <c r="AE3349" s="7"/>
    </row>
    <row r="3350">
      <c r="A3350" s="12">
        <v>74.0</v>
      </c>
      <c r="B3350" s="7" t="s">
        <v>663</v>
      </c>
      <c r="C3350" s="7" t="s">
        <v>1842</v>
      </c>
      <c r="I3350" s="10" t="s">
        <v>1366</v>
      </c>
      <c r="J3350" s="13" t="s">
        <v>1927</v>
      </c>
      <c r="K3350" s="13" t="s">
        <v>303</v>
      </c>
      <c r="L3350" s="13" t="s">
        <v>1997</v>
      </c>
      <c r="M3350" s="6" t="s">
        <v>188</v>
      </c>
      <c r="N3350" s="6" t="s">
        <v>188</v>
      </c>
      <c r="O3350" s="6" t="s">
        <v>190</v>
      </c>
      <c r="P3350" s="7"/>
      <c r="Q3350" s="13"/>
      <c r="R3350" s="13"/>
      <c r="S3350" s="13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/>
      <c r="AE3350" s="7"/>
    </row>
    <row r="3351">
      <c r="A3351" s="12">
        <v>74.0</v>
      </c>
      <c r="B3351" s="7" t="s">
        <v>663</v>
      </c>
      <c r="C3351" s="7" t="s">
        <v>1842</v>
      </c>
      <c r="I3351" s="10" t="s">
        <v>1890</v>
      </c>
      <c r="J3351" s="13" t="s">
        <v>1927</v>
      </c>
      <c r="K3351" s="13" t="s">
        <v>303</v>
      </c>
      <c r="L3351" s="13" t="s">
        <v>1997</v>
      </c>
      <c r="M3351" s="6" t="s">
        <v>188</v>
      </c>
      <c r="N3351" s="6" t="s">
        <v>188</v>
      </c>
      <c r="O3351" s="6" t="s">
        <v>190</v>
      </c>
      <c r="P3351" s="7"/>
      <c r="Q3351" s="13"/>
      <c r="R3351" s="13"/>
      <c r="S3351" s="13"/>
      <c r="T3351" s="7"/>
      <c r="U3351" s="7"/>
      <c r="V3351" s="7"/>
      <c r="W3351" s="7"/>
      <c r="X3351" s="7"/>
      <c r="Y3351" s="7"/>
      <c r="Z3351" s="7"/>
      <c r="AA3351" s="7"/>
      <c r="AB3351" s="7"/>
      <c r="AC3351" s="7"/>
      <c r="AD3351" s="7"/>
      <c r="AE3351" s="7"/>
    </row>
    <row r="3352">
      <c r="A3352" s="12">
        <v>74.0</v>
      </c>
      <c r="B3352" s="7" t="s">
        <v>663</v>
      </c>
      <c r="C3352" s="7" t="s">
        <v>1842</v>
      </c>
      <c r="I3352" s="10" t="s">
        <v>1377</v>
      </c>
      <c r="J3352" s="13" t="s">
        <v>1927</v>
      </c>
      <c r="K3352" s="13" t="s">
        <v>303</v>
      </c>
      <c r="L3352" s="13" t="s">
        <v>1997</v>
      </c>
      <c r="M3352" s="6" t="s">
        <v>188</v>
      </c>
      <c r="N3352" s="6" t="s">
        <v>188</v>
      </c>
      <c r="O3352" s="6" t="s">
        <v>190</v>
      </c>
      <c r="P3352" s="7"/>
      <c r="Q3352" s="13"/>
      <c r="R3352" s="13"/>
      <c r="S3352" s="13"/>
      <c r="T3352" s="7"/>
      <c r="U3352" s="7"/>
      <c r="V3352" s="7"/>
      <c r="W3352" s="7"/>
      <c r="X3352" s="7"/>
      <c r="Y3352" s="7"/>
      <c r="Z3352" s="7"/>
      <c r="AA3352" s="7"/>
      <c r="AB3352" s="7"/>
      <c r="AC3352" s="7"/>
      <c r="AD3352" s="7"/>
      <c r="AE3352" s="7"/>
    </row>
    <row r="3353">
      <c r="A3353" s="12">
        <v>74.0</v>
      </c>
      <c r="B3353" s="7" t="s">
        <v>663</v>
      </c>
      <c r="C3353" s="7" t="s">
        <v>1842</v>
      </c>
      <c r="I3353" s="10" t="s">
        <v>1894</v>
      </c>
      <c r="J3353" s="13" t="s">
        <v>1927</v>
      </c>
      <c r="K3353" s="13" t="s">
        <v>303</v>
      </c>
      <c r="L3353" s="13" t="s">
        <v>2751</v>
      </c>
      <c r="M3353" s="6" t="s">
        <v>188</v>
      </c>
      <c r="N3353" s="6" t="s">
        <v>188</v>
      </c>
      <c r="O3353" s="6" t="s">
        <v>190</v>
      </c>
      <c r="P3353" s="7"/>
      <c r="Q3353" s="13"/>
      <c r="R3353" s="13"/>
      <c r="S3353" s="13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  <c r="AD3353" s="7"/>
      <c r="AE3353" s="7"/>
    </row>
    <row r="3354">
      <c r="A3354" s="12">
        <v>74.0</v>
      </c>
      <c r="B3354" s="7" t="s">
        <v>663</v>
      </c>
      <c r="C3354" s="7" t="s">
        <v>1842</v>
      </c>
      <c r="I3354" s="10" t="s">
        <v>2453</v>
      </c>
      <c r="J3354" s="13" t="s">
        <v>1927</v>
      </c>
      <c r="K3354" s="13" t="s">
        <v>303</v>
      </c>
      <c r="L3354" s="13" t="s">
        <v>2733</v>
      </c>
      <c r="M3354" s="6" t="s">
        <v>188</v>
      </c>
      <c r="N3354" s="6" t="s">
        <v>188</v>
      </c>
      <c r="O3354" s="6" t="s">
        <v>190</v>
      </c>
      <c r="P3354" s="7"/>
      <c r="Q3354" s="13"/>
      <c r="R3354" s="13"/>
      <c r="S3354" s="13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  <c r="AD3354" s="7"/>
      <c r="AE3354" s="7"/>
    </row>
    <row r="3355">
      <c r="A3355" s="12">
        <v>75.0</v>
      </c>
      <c r="B3355" s="7" t="s">
        <v>669</v>
      </c>
      <c r="C3355" s="7" t="s">
        <v>1933</v>
      </c>
      <c r="D3355" s="26">
        <f>IF(COUNTIF($B$2:$B3355,$B3355)&gt;1,"",COUNTIF($B$2:$B$3400,$B3355))</f>
        <v>30</v>
      </c>
      <c r="E3355" s="26">
        <f>IF(COUNTIF($B$2:$B3355,$B3355)&gt;1,"",COUNTIFS($B$2:$B$3400,$B3355,$K$2:$K$3400,"PHÙ HỢP CAO"))</f>
        <v>5</v>
      </c>
      <c r="F3355" s="26">
        <f>IF(COUNTIF($B$2:$B3355,$B3355)&gt;1,"",COUNTIFS($B$2:$B$3400,$B3355,$K$2:$K$3400,"CÓ THỂ ĐI"))</f>
        <v>0</v>
      </c>
      <c r="G3355" s="26">
        <f>IF(COUNTIF($B$2:$B3355,$B3355)&gt;1,"",COUNTIFS($B$2:$B$3400,$B3355,$K$2:$K$3400,"CẦN SOÁT"))</f>
        <v>25</v>
      </c>
      <c r="H3355" s="27" t="str">
        <f>IFERROR(__xludf.DUMMYFUNCTION("IF(COUNTIF($B$2:$B3355,$B3355)&gt;1,"""",IFERROR(TEXTJOIN(CHAR(10),TRUE,BYROW(QUERY({$B$2:$B$3400,$J$2:$J$3400},""select Col2, count(Col2) where Col1 = '""&amp;$B3355&amp;""' group by Col2 order by count(Col2) desc label count(Col2) ''"",0),LAMBDA(r,INDEX(r,1,1)&amp;"" "&amp;"– ""&amp;INDEX(r,1,2)&amp;"" link""))),""""))"),"cách đầu tư chứng chỉ quỹ – 10 link
phương pháp đầu tư chứng chỉ quỹ – 10 link
đầu tư chứng chỉ quỹ cho người mới – 10 link")</f>
        <v>cách đầu tư chứng chỉ quỹ – 10 link
phương pháp đầu tư chứng chỉ quỹ – 10 link
đầu tư chứng chỉ quỹ cho người mới – 10 link</v>
      </c>
      <c r="I3355" s="10" t="s">
        <v>1935</v>
      </c>
      <c r="J3355" s="13" t="s">
        <v>1938</v>
      </c>
      <c r="K3355" s="13" t="s">
        <v>184</v>
      </c>
      <c r="L3355" s="13" t="s">
        <v>2752</v>
      </c>
      <c r="M3355" s="6" t="s">
        <v>188</v>
      </c>
      <c r="N3355" s="6" t="s">
        <v>188</v>
      </c>
      <c r="O3355" s="6" t="s">
        <v>190</v>
      </c>
      <c r="P3355" s="7"/>
      <c r="Q3355" s="13"/>
      <c r="R3355" s="13"/>
      <c r="S3355" s="13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7"/>
      <c r="AE3355" s="7"/>
    </row>
    <row r="3356">
      <c r="A3356" s="12">
        <v>75.0</v>
      </c>
      <c r="B3356" s="7" t="s">
        <v>669</v>
      </c>
      <c r="C3356" s="7" t="s">
        <v>1933</v>
      </c>
      <c r="I3356" s="10" t="s">
        <v>749</v>
      </c>
      <c r="J3356" s="13" t="s">
        <v>1940</v>
      </c>
      <c r="K3356" s="13" t="s">
        <v>184</v>
      </c>
      <c r="L3356" s="13" t="s">
        <v>2753</v>
      </c>
      <c r="M3356" s="6" t="s">
        <v>188</v>
      </c>
      <c r="N3356" s="6" t="s">
        <v>188</v>
      </c>
      <c r="O3356" s="6" t="s">
        <v>190</v>
      </c>
      <c r="P3356" s="7"/>
      <c r="Q3356" s="13"/>
      <c r="R3356" s="13"/>
      <c r="S3356" s="13"/>
      <c r="T3356" s="7"/>
      <c r="U3356" s="7"/>
      <c r="V3356" s="7"/>
      <c r="W3356" s="7"/>
      <c r="X3356" s="7"/>
      <c r="Y3356" s="7"/>
      <c r="Z3356" s="7"/>
      <c r="AA3356" s="7"/>
      <c r="AB3356" s="7"/>
      <c r="AC3356" s="7"/>
      <c r="AD3356" s="7"/>
      <c r="AE3356" s="7"/>
    </row>
    <row r="3357">
      <c r="A3357" s="12">
        <v>75.0</v>
      </c>
      <c r="B3357" s="7" t="s">
        <v>669</v>
      </c>
      <c r="C3357" s="7" t="s">
        <v>1933</v>
      </c>
      <c r="I3357" s="10" t="s">
        <v>1941</v>
      </c>
      <c r="J3357" s="13" t="s">
        <v>1943</v>
      </c>
      <c r="K3357" s="13" t="s">
        <v>184</v>
      </c>
      <c r="L3357" s="13" t="s">
        <v>2754</v>
      </c>
      <c r="M3357" s="6" t="s">
        <v>188</v>
      </c>
      <c r="N3357" s="6" t="s">
        <v>188</v>
      </c>
      <c r="O3357" s="6" t="s">
        <v>190</v>
      </c>
      <c r="P3357" s="7"/>
      <c r="Q3357" s="13"/>
      <c r="R3357" s="13"/>
      <c r="S3357" s="13"/>
      <c r="T3357" s="7"/>
      <c r="U3357" s="7"/>
      <c r="V3357" s="7"/>
      <c r="W3357" s="7"/>
      <c r="X3357" s="7"/>
      <c r="Y3357" s="7"/>
      <c r="Z3357" s="7"/>
      <c r="AA3357" s="7"/>
      <c r="AB3357" s="7"/>
      <c r="AC3357" s="7"/>
      <c r="AD3357" s="7"/>
      <c r="AE3357" s="7"/>
    </row>
    <row r="3358">
      <c r="A3358" s="12">
        <v>75.0</v>
      </c>
      <c r="B3358" s="7" t="s">
        <v>669</v>
      </c>
      <c r="C3358" s="7" t="s">
        <v>1933</v>
      </c>
      <c r="I3358" s="10" t="s">
        <v>1944</v>
      </c>
      <c r="J3358" s="13" t="s">
        <v>1938</v>
      </c>
      <c r="K3358" s="13" t="s">
        <v>184</v>
      </c>
      <c r="L3358" s="13" t="s">
        <v>2756</v>
      </c>
      <c r="M3358" s="6" t="s">
        <v>188</v>
      </c>
      <c r="N3358" s="6" t="s">
        <v>188</v>
      </c>
      <c r="O3358" s="6" t="s">
        <v>190</v>
      </c>
      <c r="P3358" s="7"/>
      <c r="Q3358" s="13"/>
      <c r="R3358" s="13"/>
      <c r="S3358" s="13"/>
      <c r="T3358" s="7"/>
      <c r="U3358" s="7"/>
      <c r="V3358" s="7"/>
      <c r="W3358" s="7"/>
      <c r="X3358" s="7"/>
      <c r="Y3358" s="7"/>
      <c r="Z3358" s="7"/>
      <c r="AA3358" s="7"/>
      <c r="AB3358" s="7"/>
      <c r="AC3358" s="7"/>
      <c r="AD3358" s="7"/>
      <c r="AE3358" s="7"/>
    </row>
    <row r="3359">
      <c r="A3359" s="12">
        <v>75.0</v>
      </c>
      <c r="B3359" s="7" t="s">
        <v>669</v>
      </c>
      <c r="C3359" s="7" t="s">
        <v>1933</v>
      </c>
      <c r="I3359" s="10" t="s">
        <v>1946</v>
      </c>
      <c r="J3359" s="13" t="s">
        <v>1940</v>
      </c>
      <c r="K3359" s="13" t="s">
        <v>184</v>
      </c>
      <c r="L3359" s="13" t="s">
        <v>2757</v>
      </c>
      <c r="M3359" s="6" t="s">
        <v>188</v>
      </c>
      <c r="N3359" s="6" t="s">
        <v>188</v>
      </c>
      <c r="O3359" s="6" t="s">
        <v>190</v>
      </c>
      <c r="P3359" s="7"/>
      <c r="Q3359" s="13"/>
      <c r="R3359" s="13"/>
      <c r="S3359" s="13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7"/>
      <c r="AE3359" s="7"/>
    </row>
    <row r="3360">
      <c r="A3360" s="12">
        <v>75.0</v>
      </c>
      <c r="B3360" s="7" t="s">
        <v>669</v>
      </c>
      <c r="C3360" s="7" t="s">
        <v>1933</v>
      </c>
      <c r="I3360" s="10" t="s">
        <v>2758</v>
      </c>
      <c r="J3360" s="13" t="s">
        <v>1943</v>
      </c>
      <c r="K3360" s="13" t="s">
        <v>303</v>
      </c>
      <c r="L3360" s="13" t="s">
        <v>2759</v>
      </c>
      <c r="M3360" s="6" t="s">
        <v>188</v>
      </c>
      <c r="N3360" s="6" t="s">
        <v>188</v>
      </c>
      <c r="O3360" s="6" t="s">
        <v>190</v>
      </c>
      <c r="P3360" s="7"/>
      <c r="Q3360" s="13"/>
      <c r="R3360" s="13"/>
      <c r="S3360" s="13"/>
      <c r="T3360" s="7"/>
      <c r="U3360" s="7"/>
      <c r="V3360" s="7"/>
      <c r="W3360" s="7"/>
      <c r="X3360" s="7"/>
      <c r="Y3360" s="7"/>
      <c r="Z3360" s="7"/>
      <c r="AA3360" s="7"/>
      <c r="AB3360" s="7"/>
      <c r="AC3360" s="7"/>
      <c r="AD3360" s="7"/>
      <c r="AE3360" s="7"/>
    </row>
    <row r="3361">
      <c r="A3361" s="12">
        <v>75.0</v>
      </c>
      <c r="B3361" s="7" t="s">
        <v>669</v>
      </c>
      <c r="C3361" s="7" t="s">
        <v>1933</v>
      </c>
      <c r="I3361" s="10" t="s">
        <v>2204</v>
      </c>
      <c r="J3361" s="13" t="s">
        <v>1938</v>
      </c>
      <c r="K3361" s="13" t="s">
        <v>303</v>
      </c>
      <c r="L3361" s="13" t="s">
        <v>2759</v>
      </c>
      <c r="M3361" s="6" t="s">
        <v>188</v>
      </c>
      <c r="N3361" s="6" t="s">
        <v>188</v>
      </c>
      <c r="O3361" s="6" t="s">
        <v>190</v>
      </c>
      <c r="P3361" s="7"/>
      <c r="Q3361" s="13"/>
      <c r="R3361" s="13"/>
      <c r="S3361" s="13"/>
      <c r="T3361" s="6"/>
      <c r="U3361" s="7"/>
      <c r="V3361" s="7"/>
      <c r="W3361" s="7"/>
      <c r="X3361" s="7"/>
      <c r="Y3361" s="7"/>
      <c r="Z3361" s="7"/>
      <c r="AA3361" s="7"/>
      <c r="AB3361" s="7"/>
      <c r="AC3361" s="7"/>
      <c r="AD3361" s="7"/>
      <c r="AE3361" s="7"/>
    </row>
    <row r="3362">
      <c r="A3362" s="12">
        <v>75.0</v>
      </c>
      <c r="B3362" s="7" t="s">
        <v>669</v>
      </c>
      <c r="C3362" s="7" t="s">
        <v>1933</v>
      </c>
      <c r="I3362" s="10" t="s">
        <v>2760</v>
      </c>
      <c r="J3362" s="13" t="s">
        <v>1940</v>
      </c>
      <c r="K3362" s="13" t="s">
        <v>303</v>
      </c>
      <c r="L3362" s="13" t="s">
        <v>2759</v>
      </c>
      <c r="M3362" s="6" t="s">
        <v>188</v>
      </c>
      <c r="N3362" s="6" t="s">
        <v>188</v>
      </c>
      <c r="O3362" s="6" t="s">
        <v>190</v>
      </c>
      <c r="P3362" s="7"/>
      <c r="Q3362" s="13"/>
      <c r="R3362" s="13"/>
      <c r="S3362" s="13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7"/>
      <c r="AE3362" s="7"/>
    </row>
    <row r="3363">
      <c r="A3363" s="12">
        <v>75.0</v>
      </c>
      <c r="B3363" s="7" t="s">
        <v>669</v>
      </c>
      <c r="C3363" s="7" t="s">
        <v>1933</v>
      </c>
      <c r="I3363" s="10" t="s">
        <v>974</v>
      </c>
      <c r="J3363" s="13" t="s">
        <v>1943</v>
      </c>
      <c r="K3363" s="13" t="s">
        <v>303</v>
      </c>
      <c r="L3363" s="13" t="s">
        <v>2759</v>
      </c>
      <c r="M3363" s="6" t="s">
        <v>188</v>
      </c>
      <c r="N3363" s="6" t="s">
        <v>188</v>
      </c>
      <c r="O3363" s="6" t="s">
        <v>190</v>
      </c>
      <c r="P3363" s="7"/>
      <c r="Q3363" s="13"/>
      <c r="R3363" s="13"/>
      <c r="S3363" s="13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  <c r="AD3363" s="7"/>
      <c r="AE3363" s="7"/>
    </row>
    <row r="3364">
      <c r="A3364" s="12">
        <v>75.0</v>
      </c>
      <c r="B3364" s="7" t="s">
        <v>669</v>
      </c>
      <c r="C3364" s="7" t="s">
        <v>1933</v>
      </c>
      <c r="I3364" s="10" t="s">
        <v>682</v>
      </c>
      <c r="J3364" s="13" t="s">
        <v>1938</v>
      </c>
      <c r="K3364" s="13" t="s">
        <v>303</v>
      </c>
      <c r="L3364" s="13" t="s">
        <v>2759</v>
      </c>
      <c r="M3364" s="6" t="s">
        <v>188</v>
      </c>
      <c r="N3364" s="6" t="s">
        <v>188</v>
      </c>
      <c r="O3364" s="6" t="s">
        <v>190</v>
      </c>
      <c r="P3364" s="7"/>
      <c r="Q3364" s="13"/>
      <c r="R3364" s="13"/>
      <c r="S3364" s="13"/>
      <c r="T3364" s="7"/>
      <c r="U3364" s="7"/>
      <c r="V3364" s="7"/>
      <c r="W3364" s="7"/>
      <c r="X3364" s="7"/>
      <c r="Y3364" s="7"/>
      <c r="Z3364" s="7"/>
      <c r="AA3364" s="7"/>
      <c r="AB3364" s="7"/>
      <c r="AC3364" s="7"/>
      <c r="AD3364" s="7"/>
      <c r="AE3364" s="7"/>
    </row>
    <row r="3365">
      <c r="A3365" s="12">
        <v>75.0</v>
      </c>
      <c r="B3365" s="7" t="s">
        <v>669</v>
      </c>
      <c r="C3365" s="7" t="s">
        <v>1933</v>
      </c>
      <c r="I3365" s="10" t="s">
        <v>1968</v>
      </c>
      <c r="J3365" s="13" t="s">
        <v>1940</v>
      </c>
      <c r="K3365" s="13" t="s">
        <v>303</v>
      </c>
      <c r="L3365" s="13" t="s">
        <v>2759</v>
      </c>
      <c r="M3365" s="6" t="s">
        <v>188</v>
      </c>
      <c r="N3365" s="6" t="s">
        <v>188</v>
      </c>
      <c r="O3365" s="6" t="s">
        <v>190</v>
      </c>
      <c r="P3365" s="7"/>
      <c r="Q3365" s="13"/>
      <c r="R3365" s="13"/>
      <c r="S3365" s="13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  <c r="AD3365" s="7"/>
      <c r="AE3365" s="7"/>
    </row>
    <row r="3366">
      <c r="A3366" s="12">
        <v>75.0</v>
      </c>
      <c r="B3366" s="7" t="s">
        <v>669</v>
      </c>
      <c r="C3366" s="7" t="s">
        <v>1933</v>
      </c>
      <c r="I3366" s="10" t="s">
        <v>2514</v>
      </c>
      <c r="J3366" s="13" t="s">
        <v>1943</v>
      </c>
      <c r="K3366" s="13" t="s">
        <v>303</v>
      </c>
      <c r="L3366" s="13" t="s">
        <v>2759</v>
      </c>
      <c r="M3366" s="6" t="s">
        <v>188</v>
      </c>
      <c r="N3366" s="6" t="s">
        <v>188</v>
      </c>
      <c r="O3366" s="6" t="s">
        <v>190</v>
      </c>
      <c r="P3366" s="7"/>
      <c r="Q3366" s="13"/>
      <c r="R3366" s="13"/>
      <c r="S3366" s="13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7"/>
      <c r="AE3366" s="7"/>
    </row>
    <row r="3367">
      <c r="A3367" s="12">
        <v>75.0</v>
      </c>
      <c r="B3367" s="7" t="s">
        <v>669</v>
      </c>
      <c r="C3367" s="7" t="s">
        <v>1933</v>
      </c>
      <c r="I3367" s="10" t="s">
        <v>741</v>
      </c>
      <c r="J3367" s="13" t="s">
        <v>1938</v>
      </c>
      <c r="K3367" s="13" t="s">
        <v>303</v>
      </c>
      <c r="L3367" s="13" t="s">
        <v>2759</v>
      </c>
      <c r="M3367" s="6" t="s">
        <v>188</v>
      </c>
      <c r="N3367" s="6" t="s">
        <v>188</v>
      </c>
      <c r="O3367" s="6" t="s">
        <v>190</v>
      </c>
      <c r="P3367" s="7"/>
      <c r="Q3367" s="13"/>
      <c r="R3367" s="13"/>
      <c r="S3367" s="13"/>
      <c r="T3367" s="6"/>
      <c r="U3367" s="7"/>
      <c r="V3367" s="7"/>
      <c r="W3367" s="7"/>
      <c r="X3367" s="7"/>
      <c r="Y3367" s="7"/>
      <c r="Z3367" s="7"/>
      <c r="AA3367" s="7"/>
      <c r="AB3367" s="7"/>
      <c r="AC3367" s="7"/>
      <c r="AD3367" s="7"/>
      <c r="AE3367" s="7"/>
    </row>
    <row r="3368">
      <c r="A3368" s="12">
        <v>75.0</v>
      </c>
      <c r="B3368" s="7" t="s">
        <v>669</v>
      </c>
      <c r="C3368" s="7" t="s">
        <v>1933</v>
      </c>
      <c r="I3368" s="10" t="s">
        <v>2523</v>
      </c>
      <c r="J3368" s="13" t="s">
        <v>1940</v>
      </c>
      <c r="K3368" s="13" t="s">
        <v>303</v>
      </c>
      <c r="L3368" s="13" t="s">
        <v>2759</v>
      </c>
      <c r="M3368" s="6" t="s">
        <v>188</v>
      </c>
      <c r="N3368" s="6" t="s">
        <v>188</v>
      </c>
      <c r="O3368" s="6" t="s">
        <v>190</v>
      </c>
      <c r="P3368" s="7"/>
      <c r="Q3368" s="13"/>
      <c r="R3368" s="13"/>
      <c r="S3368" s="13"/>
      <c r="T3368" s="7"/>
      <c r="U3368" s="7"/>
      <c r="V3368" s="7"/>
      <c r="W3368" s="7"/>
      <c r="X3368" s="7"/>
      <c r="Y3368" s="7"/>
      <c r="Z3368" s="7"/>
      <c r="AA3368" s="7"/>
      <c r="AB3368" s="7"/>
      <c r="AC3368" s="7"/>
      <c r="AD3368" s="7"/>
      <c r="AE3368" s="7"/>
    </row>
    <row r="3369">
      <c r="A3369" s="12">
        <v>75.0</v>
      </c>
      <c r="B3369" s="7" t="s">
        <v>669</v>
      </c>
      <c r="C3369" s="7" t="s">
        <v>1933</v>
      </c>
      <c r="I3369" s="10" t="s">
        <v>742</v>
      </c>
      <c r="J3369" s="13" t="s">
        <v>1943</v>
      </c>
      <c r="K3369" s="13" t="s">
        <v>303</v>
      </c>
      <c r="L3369" s="13" t="s">
        <v>2759</v>
      </c>
      <c r="M3369" s="6" t="s">
        <v>188</v>
      </c>
      <c r="N3369" s="6" t="s">
        <v>188</v>
      </c>
      <c r="O3369" s="6" t="s">
        <v>190</v>
      </c>
      <c r="P3369" s="7"/>
      <c r="Q3369" s="13"/>
      <c r="R3369" s="13"/>
      <c r="S3369" s="13"/>
      <c r="T3369" s="6"/>
      <c r="U3369" s="7"/>
      <c r="V3369" s="7"/>
      <c r="W3369" s="7"/>
      <c r="X3369" s="7"/>
      <c r="Y3369" s="7"/>
      <c r="Z3369" s="7"/>
      <c r="AA3369" s="7"/>
      <c r="AB3369" s="7"/>
      <c r="AC3369" s="7"/>
      <c r="AD3369" s="7"/>
      <c r="AE3369" s="7"/>
    </row>
    <row r="3370">
      <c r="A3370" s="12">
        <v>75.0</v>
      </c>
      <c r="B3370" s="7" t="s">
        <v>669</v>
      </c>
      <c r="C3370" s="7" t="s">
        <v>1933</v>
      </c>
      <c r="I3370" s="10" t="s">
        <v>2521</v>
      </c>
      <c r="J3370" s="13" t="s">
        <v>1938</v>
      </c>
      <c r="K3370" s="13" t="s">
        <v>303</v>
      </c>
      <c r="L3370" s="13" t="s">
        <v>2759</v>
      </c>
      <c r="M3370" s="6" t="s">
        <v>188</v>
      </c>
      <c r="N3370" s="6" t="s">
        <v>188</v>
      </c>
      <c r="O3370" s="6" t="s">
        <v>190</v>
      </c>
      <c r="P3370" s="7"/>
      <c r="Q3370" s="13"/>
      <c r="R3370" s="13"/>
      <c r="S3370" s="13"/>
      <c r="T3370" s="6"/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  <c r="AE3370" s="7"/>
    </row>
    <row r="3371">
      <c r="A3371" s="12">
        <v>75.0</v>
      </c>
      <c r="B3371" s="7" t="s">
        <v>669</v>
      </c>
      <c r="C3371" s="7" t="s">
        <v>1933</v>
      </c>
      <c r="I3371" s="10" t="s">
        <v>2761</v>
      </c>
      <c r="J3371" s="13" t="s">
        <v>1940</v>
      </c>
      <c r="K3371" s="13" t="s">
        <v>303</v>
      </c>
      <c r="L3371" s="13" t="s">
        <v>2759</v>
      </c>
      <c r="M3371" s="6" t="s">
        <v>188</v>
      </c>
      <c r="N3371" s="6" t="s">
        <v>188</v>
      </c>
      <c r="O3371" s="6" t="s">
        <v>190</v>
      </c>
      <c r="P3371" s="7"/>
      <c r="Q3371" s="13"/>
      <c r="R3371" s="13"/>
      <c r="S3371" s="13"/>
      <c r="T3371" s="7"/>
      <c r="U3371" s="7"/>
      <c r="V3371" s="7"/>
      <c r="W3371" s="7"/>
      <c r="X3371" s="7"/>
      <c r="Y3371" s="7"/>
      <c r="Z3371" s="7"/>
      <c r="AA3371" s="7"/>
      <c r="AB3371" s="7"/>
      <c r="AC3371" s="7"/>
      <c r="AD3371" s="7"/>
      <c r="AE3371" s="7"/>
    </row>
    <row r="3372">
      <c r="A3372" s="12">
        <v>75.0</v>
      </c>
      <c r="B3372" s="7" t="s">
        <v>669</v>
      </c>
      <c r="C3372" s="7" t="s">
        <v>1933</v>
      </c>
      <c r="I3372" s="10" t="s">
        <v>2762</v>
      </c>
      <c r="J3372" s="13" t="s">
        <v>1943</v>
      </c>
      <c r="K3372" s="13" t="s">
        <v>303</v>
      </c>
      <c r="L3372" s="13" t="s">
        <v>2759</v>
      </c>
      <c r="M3372" s="6" t="s">
        <v>188</v>
      </c>
      <c r="N3372" s="6" t="s">
        <v>188</v>
      </c>
      <c r="O3372" s="6" t="s">
        <v>190</v>
      </c>
      <c r="P3372" s="7"/>
      <c r="Q3372" s="13"/>
      <c r="R3372" s="13"/>
      <c r="S3372" s="13"/>
      <c r="T3372" s="7"/>
      <c r="U3372" s="7"/>
      <c r="V3372" s="7"/>
      <c r="W3372" s="7"/>
      <c r="X3372" s="7"/>
      <c r="Y3372" s="7"/>
      <c r="Z3372" s="7"/>
      <c r="AA3372" s="7"/>
      <c r="AB3372" s="7"/>
      <c r="AC3372" s="7"/>
      <c r="AD3372" s="7"/>
      <c r="AE3372" s="7"/>
    </row>
    <row r="3373">
      <c r="A3373" s="12">
        <v>75.0</v>
      </c>
      <c r="B3373" s="7" t="s">
        <v>669</v>
      </c>
      <c r="C3373" s="7" t="s">
        <v>1933</v>
      </c>
      <c r="I3373" s="10" t="s">
        <v>1981</v>
      </c>
      <c r="J3373" s="13" t="s">
        <v>1938</v>
      </c>
      <c r="K3373" s="13" t="s">
        <v>303</v>
      </c>
      <c r="L3373" s="13" t="s">
        <v>2759</v>
      </c>
      <c r="M3373" s="6" t="s">
        <v>188</v>
      </c>
      <c r="N3373" s="6" t="s">
        <v>188</v>
      </c>
      <c r="O3373" s="6" t="s">
        <v>190</v>
      </c>
      <c r="P3373" s="7"/>
      <c r="Q3373" s="13"/>
      <c r="R3373" s="13"/>
      <c r="S3373" s="13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7"/>
      <c r="AE3373" s="7"/>
    </row>
    <row r="3374">
      <c r="A3374" s="12">
        <v>75.0</v>
      </c>
      <c r="B3374" s="7" t="s">
        <v>669</v>
      </c>
      <c r="C3374" s="7" t="s">
        <v>1933</v>
      </c>
      <c r="I3374" s="10" t="s">
        <v>2763</v>
      </c>
      <c r="J3374" s="13" t="s">
        <v>1940</v>
      </c>
      <c r="K3374" s="13" t="s">
        <v>303</v>
      </c>
      <c r="L3374" s="13" t="s">
        <v>2764</v>
      </c>
      <c r="M3374" s="6" t="s">
        <v>188</v>
      </c>
      <c r="N3374" s="6" t="s">
        <v>188</v>
      </c>
      <c r="O3374" s="6" t="s">
        <v>190</v>
      </c>
      <c r="P3374" s="7"/>
      <c r="Q3374" s="13"/>
      <c r="R3374" s="13"/>
      <c r="S3374" s="13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7"/>
      <c r="AE3374" s="7"/>
    </row>
    <row r="3375">
      <c r="A3375" s="12">
        <v>75.0</v>
      </c>
      <c r="B3375" s="7" t="s">
        <v>669</v>
      </c>
      <c r="C3375" s="7" t="s">
        <v>1933</v>
      </c>
      <c r="I3375" s="10" t="s">
        <v>744</v>
      </c>
      <c r="J3375" s="13" t="s">
        <v>1943</v>
      </c>
      <c r="K3375" s="13" t="s">
        <v>303</v>
      </c>
      <c r="L3375" s="13" t="s">
        <v>2759</v>
      </c>
      <c r="M3375" s="6" t="s">
        <v>188</v>
      </c>
      <c r="N3375" s="6" t="s">
        <v>188</v>
      </c>
      <c r="O3375" s="6" t="s">
        <v>190</v>
      </c>
      <c r="P3375" s="7"/>
      <c r="Q3375" s="13"/>
      <c r="R3375" s="13"/>
      <c r="S3375" s="13"/>
      <c r="T3375" s="7"/>
      <c r="U3375" s="7"/>
      <c r="V3375" s="7"/>
      <c r="W3375" s="7"/>
      <c r="X3375" s="7"/>
      <c r="Y3375" s="7"/>
      <c r="Z3375" s="7"/>
      <c r="AA3375" s="7"/>
      <c r="AB3375" s="7"/>
      <c r="AC3375" s="7"/>
      <c r="AD3375" s="7"/>
      <c r="AE3375" s="7"/>
    </row>
    <row r="3376">
      <c r="A3376" s="12">
        <v>75.0</v>
      </c>
      <c r="B3376" s="7" t="s">
        <v>669</v>
      </c>
      <c r="C3376" s="7" t="s">
        <v>1933</v>
      </c>
      <c r="I3376" s="10" t="s">
        <v>2765</v>
      </c>
      <c r="J3376" s="13" t="s">
        <v>1938</v>
      </c>
      <c r="K3376" s="13" t="s">
        <v>303</v>
      </c>
      <c r="L3376" s="13" t="s">
        <v>2759</v>
      </c>
      <c r="M3376" s="6" t="s">
        <v>188</v>
      </c>
      <c r="N3376" s="6" t="s">
        <v>188</v>
      </c>
      <c r="O3376" s="6" t="s">
        <v>190</v>
      </c>
      <c r="P3376" s="7"/>
      <c r="Q3376" s="13"/>
      <c r="R3376" s="13"/>
      <c r="S3376" s="13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  <c r="AE3376" s="7"/>
    </row>
    <row r="3377">
      <c r="A3377" s="12">
        <v>75.0</v>
      </c>
      <c r="B3377" s="7" t="s">
        <v>669</v>
      </c>
      <c r="C3377" s="7" t="s">
        <v>1933</v>
      </c>
      <c r="I3377" s="10" t="s">
        <v>745</v>
      </c>
      <c r="J3377" s="13" t="s">
        <v>1940</v>
      </c>
      <c r="K3377" s="13" t="s">
        <v>303</v>
      </c>
      <c r="L3377" s="13" t="s">
        <v>2766</v>
      </c>
      <c r="M3377" s="6" t="s">
        <v>188</v>
      </c>
      <c r="N3377" s="6" t="s">
        <v>188</v>
      </c>
      <c r="O3377" s="6" t="s">
        <v>190</v>
      </c>
      <c r="P3377" s="7"/>
      <c r="Q3377" s="13"/>
      <c r="R3377" s="13"/>
      <c r="S3377" s="13"/>
      <c r="T3377" s="6"/>
      <c r="U3377" s="7"/>
      <c r="V3377" s="7"/>
      <c r="W3377" s="7"/>
      <c r="X3377" s="7"/>
      <c r="Y3377" s="7"/>
      <c r="Z3377" s="7"/>
      <c r="AA3377" s="7"/>
      <c r="AB3377" s="7"/>
      <c r="AC3377" s="7"/>
      <c r="AD3377" s="7"/>
      <c r="AE3377" s="7"/>
    </row>
    <row r="3378">
      <c r="A3378" s="12">
        <v>75.0</v>
      </c>
      <c r="B3378" s="7" t="s">
        <v>669</v>
      </c>
      <c r="C3378" s="7" t="s">
        <v>1933</v>
      </c>
      <c r="I3378" s="10" t="s">
        <v>2518</v>
      </c>
      <c r="J3378" s="13" t="s">
        <v>1943</v>
      </c>
      <c r="K3378" s="13" t="s">
        <v>303</v>
      </c>
      <c r="L3378" s="13" t="s">
        <v>2759</v>
      </c>
      <c r="M3378" s="6" t="s">
        <v>188</v>
      </c>
      <c r="N3378" s="6" t="s">
        <v>188</v>
      </c>
      <c r="O3378" s="6" t="s">
        <v>190</v>
      </c>
      <c r="P3378" s="7"/>
      <c r="Q3378" s="13"/>
      <c r="R3378" s="13"/>
      <c r="S3378" s="13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  <c r="AD3378" s="7"/>
      <c r="AE3378" s="7"/>
    </row>
    <row r="3379">
      <c r="A3379" s="12">
        <v>75.0</v>
      </c>
      <c r="B3379" s="7" t="s">
        <v>669</v>
      </c>
      <c r="C3379" s="7" t="s">
        <v>1933</v>
      </c>
      <c r="I3379" s="10" t="s">
        <v>2182</v>
      </c>
      <c r="J3379" s="13" t="s">
        <v>1938</v>
      </c>
      <c r="K3379" s="13" t="s">
        <v>303</v>
      </c>
      <c r="L3379" s="13" t="s">
        <v>2766</v>
      </c>
      <c r="M3379" s="6" t="s">
        <v>188</v>
      </c>
      <c r="N3379" s="6" t="s">
        <v>188</v>
      </c>
      <c r="O3379" s="6" t="s">
        <v>190</v>
      </c>
      <c r="P3379" s="7"/>
      <c r="Q3379" s="13"/>
      <c r="R3379" s="13"/>
      <c r="S3379" s="13"/>
      <c r="T3379" s="7"/>
      <c r="U3379" s="7"/>
      <c r="V3379" s="7"/>
      <c r="W3379" s="7"/>
      <c r="X3379" s="7"/>
      <c r="Y3379" s="7"/>
      <c r="Z3379" s="7"/>
      <c r="AA3379" s="7"/>
      <c r="AB3379" s="7"/>
      <c r="AC3379" s="7"/>
      <c r="AD3379" s="7"/>
      <c r="AE3379" s="7"/>
    </row>
    <row r="3380">
      <c r="A3380" s="12">
        <v>75.0</v>
      </c>
      <c r="B3380" s="7" t="s">
        <v>669</v>
      </c>
      <c r="C3380" s="7" t="s">
        <v>1933</v>
      </c>
      <c r="I3380" s="10" t="s">
        <v>746</v>
      </c>
      <c r="J3380" s="13" t="s">
        <v>1940</v>
      </c>
      <c r="K3380" s="13" t="s">
        <v>303</v>
      </c>
      <c r="L3380" s="13" t="s">
        <v>2766</v>
      </c>
      <c r="M3380" s="6" t="s">
        <v>188</v>
      </c>
      <c r="N3380" s="6" t="s">
        <v>188</v>
      </c>
      <c r="O3380" s="6" t="s">
        <v>190</v>
      </c>
      <c r="P3380" s="7"/>
      <c r="Q3380" s="13"/>
      <c r="R3380" s="13"/>
      <c r="S3380" s="13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7"/>
      <c r="AE3380" s="7"/>
    </row>
    <row r="3381">
      <c r="A3381" s="12">
        <v>75.0</v>
      </c>
      <c r="B3381" s="7" t="s">
        <v>669</v>
      </c>
      <c r="C3381" s="7" t="s">
        <v>1933</v>
      </c>
      <c r="I3381" s="10" t="s">
        <v>2184</v>
      </c>
      <c r="J3381" s="13" t="s">
        <v>1943</v>
      </c>
      <c r="K3381" s="13" t="s">
        <v>303</v>
      </c>
      <c r="L3381" s="13" t="s">
        <v>2759</v>
      </c>
      <c r="M3381" s="6" t="s">
        <v>188</v>
      </c>
      <c r="N3381" s="6" t="s">
        <v>188</v>
      </c>
      <c r="O3381" s="6" t="s">
        <v>190</v>
      </c>
      <c r="P3381" s="7"/>
      <c r="Q3381" s="13"/>
      <c r="R3381" s="13"/>
      <c r="S3381" s="13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  <c r="AD3381" s="7"/>
      <c r="AE3381" s="7"/>
    </row>
    <row r="3382">
      <c r="A3382" s="12">
        <v>75.0</v>
      </c>
      <c r="B3382" s="7" t="s">
        <v>669</v>
      </c>
      <c r="C3382" s="7" t="s">
        <v>1933</v>
      </c>
      <c r="I3382" s="10" t="s">
        <v>1408</v>
      </c>
      <c r="J3382" s="13" t="s">
        <v>1938</v>
      </c>
      <c r="K3382" s="13" t="s">
        <v>303</v>
      </c>
      <c r="L3382" s="13" t="s">
        <v>2759</v>
      </c>
      <c r="M3382" s="6" t="s">
        <v>188</v>
      </c>
      <c r="N3382" s="6" t="s">
        <v>188</v>
      </c>
      <c r="O3382" s="6" t="s">
        <v>190</v>
      </c>
      <c r="P3382" s="7"/>
      <c r="Q3382" s="13"/>
      <c r="R3382" s="13"/>
      <c r="S3382" s="13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7"/>
      <c r="AE3382" s="7"/>
    </row>
    <row r="3383">
      <c r="A3383" s="12">
        <v>75.0</v>
      </c>
      <c r="B3383" s="7" t="s">
        <v>669</v>
      </c>
      <c r="C3383" s="7" t="s">
        <v>1933</v>
      </c>
      <c r="I3383" s="10" t="s">
        <v>2186</v>
      </c>
      <c r="J3383" s="13" t="s">
        <v>1940</v>
      </c>
      <c r="K3383" s="13" t="s">
        <v>303</v>
      </c>
      <c r="L3383" s="13" t="s">
        <v>2759</v>
      </c>
      <c r="M3383" s="6" t="s">
        <v>188</v>
      </c>
      <c r="N3383" s="6" t="s">
        <v>188</v>
      </c>
      <c r="O3383" s="6" t="s">
        <v>190</v>
      </c>
      <c r="P3383" s="7"/>
      <c r="Q3383" s="13"/>
      <c r="R3383" s="13"/>
      <c r="S3383" s="13"/>
      <c r="T3383" s="6"/>
      <c r="U3383" s="7"/>
      <c r="V3383" s="7"/>
      <c r="W3383" s="7"/>
      <c r="X3383" s="7"/>
      <c r="Y3383" s="7"/>
      <c r="Z3383" s="7"/>
      <c r="AA3383" s="7"/>
      <c r="AB3383" s="7"/>
      <c r="AC3383" s="7"/>
      <c r="AD3383" s="7"/>
      <c r="AE3383" s="7"/>
    </row>
    <row r="3384">
      <c r="A3384" s="12">
        <v>75.0</v>
      </c>
      <c r="B3384" s="7" t="s">
        <v>669</v>
      </c>
      <c r="C3384" s="7" t="s">
        <v>1933</v>
      </c>
      <c r="I3384" s="10" t="s">
        <v>1724</v>
      </c>
      <c r="J3384" s="13" t="s">
        <v>1943</v>
      </c>
      <c r="K3384" s="13" t="s">
        <v>303</v>
      </c>
      <c r="L3384" s="13" t="s">
        <v>2759</v>
      </c>
      <c r="M3384" s="6" t="s">
        <v>188</v>
      </c>
      <c r="N3384" s="6" t="s">
        <v>188</v>
      </c>
      <c r="O3384" s="6" t="s">
        <v>190</v>
      </c>
      <c r="P3384" s="7"/>
      <c r="Q3384" s="13"/>
      <c r="R3384" s="13"/>
      <c r="S3384" s="13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7"/>
      <c r="AE3384" s="7"/>
    </row>
    <row r="3385">
      <c r="A3385" s="11"/>
      <c r="B3385" s="29"/>
      <c r="C3385" s="29"/>
      <c r="D3385" s="29"/>
      <c r="E3385" s="29"/>
      <c r="F3385" s="29"/>
      <c r="G3385" s="29"/>
      <c r="H3385" s="29"/>
      <c r="I3385" s="29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  <c r="AC3385" s="7"/>
      <c r="AD3385" s="7"/>
      <c r="AE3385" s="7"/>
    </row>
    <row r="3386">
      <c r="A3386" s="11"/>
      <c r="B3386" s="29"/>
      <c r="C3386" s="29"/>
      <c r="D3386" s="29"/>
      <c r="E3386" s="29"/>
      <c r="F3386" s="29"/>
      <c r="G3386" s="29"/>
      <c r="H3386" s="29"/>
      <c r="I3386" s="29"/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  <c r="AA3386" s="7"/>
      <c r="AB3386" s="7"/>
      <c r="AC3386" s="7"/>
      <c r="AD3386" s="7"/>
      <c r="AE3386" s="7"/>
    </row>
    <row r="3387">
      <c r="A3387" s="11"/>
      <c r="B3387" s="29"/>
      <c r="C3387" s="29"/>
      <c r="D3387" s="29"/>
      <c r="E3387" s="29"/>
      <c r="F3387" s="29"/>
      <c r="G3387" s="29"/>
      <c r="H3387" s="29"/>
      <c r="I3387" s="29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  <c r="AD3387" s="7"/>
      <c r="AE3387" s="7"/>
    </row>
    <row r="3388">
      <c r="A3388" s="11"/>
      <c r="B3388" s="29"/>
      <c r="C3388" s="29"/>
      <c r="D3388" s="29"/>
      <c r="E3388" s="29"/>
      <c r="F3388" s="29"/>
      <c r="G3388" s="29"/>
      <c r="H3388" s="29"/>
      <c r="I3388" s="29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7"/>
      <c r="AE3388" s="7"/>
    </row>
    <row r="3389">
      <c r="A3389" s="11"/>
      <c r="B3389" s="29"/>
      <c r="C3389" s="29"/>
      <c r="D3389" s="29"/>
      <c r="E3389" s="29"/>
      <c r="F3389" s="29"/>
      <c r="G3389" s="29"/>
      <c r="H3389" s="29"/>
      <c r="I3389" s="29"/>
      <c r="J3389" s="7"/>
      <c r="K3389" s="7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  <c r="AA3389" s="7"/>
      <c r="AB3389" s="7"/>
      <c r="AC3389" s="7"/>
      <c r="AD3389" s="7"/>
      <c r="AE3389" s="7"/>
    </row>
    <row r="3390">
      <c r="A3390" s="11"/>
      <c r="B3390" s="29"/>
      <c r="C3390" s="29"/>
      <c r="D3390" s="29"/>
      <c r="E3390" s="29"/>
      <c r="F3390" s="29"/>
      <c r="G3390" s="29"/>
      <c r="H3390" s="29"/>
      <c r="I3390" s="29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/>
      <c r="AE3390" s="7"/>
    </row>
    <row r="3391">
      <c r="A3391" s="11"/>
      <c r="B3391" s="29"/>
      <c r="C3391" s="29"/>
      <c r="D3391" s="29"/>
      <c r="E3391" s="29"/>
      <c r="F3391" s="29"/>
      <c r="G3391" s="29"/>
      <c r="H3391" s="29"/>
      <c r="I3391" s="29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7"/>
      <c r="AE3391" s="7"/>
    </row>
    <row r="3392">
      <c r="A3392" s="11"/>
      <c r="B3392" s="29"/>
      <c r="C3392" s="29"/>
      <c r="D3392" s="29"/>
      <c r="E3392" s="29"/>
      <c r="F3392" s="29"/>
      <c r="G3392" s="29"/>
      <c r="H3392" s="29"/>
      <c r="I3392" s="29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7"/>
      <c r="AE3392" s="7"/>
    </row>
    <row r="3393">
      <c r="A3393" s="11"/>
      <c r="B3393" s="29"/>
      <c r="C3393" s="29"/>
      <c r="D3393" s="29"/>
      <c r="E3393" s="29"/>
      <c r="F3393" s="29"/>
      <c r="G3393" s="29"/>
      <c r="H3393" s="29"/>
      <c r="I3393" s="29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  <c r="AD3393" s="7"/>
      <c r="AE3393" s="7"/>
    </row>
    <row r="3394">
      <c r="A3394" s="11"/>
      <c r="B3394" s="29"/>
      <c r="C3394" s="29"/>
      <c r="D3394" s="29"/>
      <c r="E3394" s="29"/>
      <c r="F3394" s="29"/>
      <c r="G3394" s="29"/>
      <c r="H3394" s="29"/>
      <c r="I3394" s="29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7"/>
      <c r="AE3394" s="7"/>
    </row>
    <row r="3395">
      <c r="A3395" s="11"/>
      <c r="B3395" s="29"/>
      <c r="C3395" s="29"/>
      <c r="D3395" s="29"/>
      <c r="E3395" s="29"/>
      <c r="F3395" s="29"/>
      <c r="G3395" s="29"/>
      <c r="H3395" s="29"/>
      <c r="I3395" s="29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  <c r="AD3395" s="7"/>
      <c r="AE3395" s="7"/>
    </row>
    <row r="3396">
      <c r="A3396" s="11"/>
      <c r="B3396" s="29"/>
      <c r="C3396" s="29"/>
      <c r="D3396" s="29"/>
      <c r="E3396" s="29"/>
      <c r="F3396" s="29"/>
      <c r="G3396" s="29"/>
      <c r="H3396" s="29"/>
      <c r="I3396" s="29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  <c r="AD3396" s="7"/>
      <c r="AE3396" s="7"/>
    </row>
    <row r="3397">
      <c r="A3397" s="11"/>
      <c r="B3397" s="29"/>
      <c r="C3397" s="29"/>
      <c r="D3397" s="29"/>
      <c r="E3397" s="29"/>
      <c r="F3397" s="29"/>
      <c r="G3397" s="29"/>
      <c r="H3397" s="29"/>
      <c r="I3397" s="29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  <c r="AD3397" s="7"/>
      <c r="AE3397" s="7"/>
    </row>
    <row r="3398">
      <c r="A3398" s="11"/>
      <c r="B3398" s="29"/>
      <c r="C3398" s="29"/>
      <c r="D3398" s="29"/>
      <c r="E3398" s="29"/>
      <c r="F3398" s="29"/>
      <c r="G3398" s="29"/>
      <c r="H3398" s="29"/>
      <c r="I3398" s="29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  <c r="AA3398" s="7"/>
      <c r="AB3398" s="7"/>
      <c r="AC3398" s="7"/>
      <c r="AD3398" s="7"/>
      <c r="AE3398" s="7"/>
    </row>
    <row r="3399">
      <c r="A3399" s="11"/>
      <c r="B3399" s="29"/>
      <c r="C3399" s="29"/>
      <c r="D3399" s="29"/>
      <c r="E3399" s="29"/>
      <c r="F3399" s="29"/>
      <c r="G3399" s="29"/>
      <c r="H3399" s="29"/>
      <c r="I3399" s="29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  <c r="AD3399" s="7"/>
      <c r="AE3399" s="7"/>
    </row>
    <row r="3400">
      <c r="A3400" s="11"/>
      <c r="B3400" s="29"/>
      <c r="C3400" s="29"/>
      <c r="D3400" s="29"/>
      <c r="E3400" s="29"/>
      <c r="F3400" s="29"/>
      <c r="G3400" s="29"/>
      <c r="H3400" s="29"/>
      <c r="I3400" s="29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7"/>
      <c r="AE3400" s="7"/>
    </row>
    <row r="3401">
      <c r="A3401" s="11"/>
      <c r="B3401" s="29"/>
      <c r="C3401" s="29"/>
      <c r="D3401" s="29"/>
      <c r="E3401" s="29"/>
      <c r="F3401" s="29"/>
      <c r="G3401" s="29"/>
      <c r="H3401" s="29"/>
      <c r="I3401" s="29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  <c r="AD3401" s="7"/>
      <c r="AE3401" s="7"/>
    </row>
    <row r="3402">
      <c r="A3402" s="11"/>
      <c r="B3402" s="29"/>
      <c r="C3402" s="29"/>
      <c r="D3402" s="29"/>
      <c r="E3402" s="29"/>
      <c r="F3402" s="29"/>
      <c r="G3402" s="29"/>
      <c r="H3402" s="29"/>
      <c r="I3402" s="29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  <c r="AA3402" s="7"/>
      <c r="AB3402" s="7"/>
      <c r="AC3402" s="7"/>
      <c r="AD3402" s="7"/>
      <c r="AE3402" s="7"/>
    </row>
    <row r="3403">
      <c r="A3403" s="11"/>
      <c r="B3403" s="29"/>
      <c r="C3403" s="29"/>
      <c r="D3403" s="29"/>
      <c r="E3403" s="29"/>
      <c r="F3403" s="29"/>
      <c r="G3403" s="29"/>
      <c r="H3403" s="29"/>
      <c r="I3403" s="29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  <c r="AD3403" s="7"/>
      <c r="AE3403" s="7"/>
    </row>
    <row r="3404">
      <c r="A3404" s="11"/>
      <c r="B3404" s="29"/>
      <c r="C3404" s="29"/>
      <c r="D3404" s="29"/>
      <c r="E3404" s="29"/>
      <c r="F3404" s="29"/>
      <c r="G3404" s="29"/>
      <c r="H3404" s="29"/>
      <c r="I3404" s="29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  <c r="AA3404" s="7"/>
      <c r="AB3404" s="7"/>
      <c r="AC3404" s="7"/>
      <c r="AD3404" s="7"/>
      <c r="AE3404" s="7"/>
    </row>
    <row r="3405">
      <c r="A3405" s="11"/>
      <c r="B3405" s="29"/>
      <c r="C3405" s="29"/>
      <c r="D3405" s="29"/>
      <c r="E3405" s="29"/>
      <c r="F3405" s="29"/>
      <c r="G3405" s="29"/>
      <c r="H3405" s="29"/>
      <c r="I3405" s="29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  <c r="AA3405" s="7"/>
      <c r="AB3405" s="7"/>
      <c r="AC3405" s="7"/>
      <c r="AD3405" s="7"/>
      <c r="AE3405" s="7"/>
    </row>
    <row r="3406">
      <c r="A3406" s="11"/>
      <c r="B3406" s="29"/>
      <c r="C3406" s="29"/>
      <c r="D3406" s="29"/>
      <c r="E3406" s="29"/>
      <c r="F3406" s="29"/>
      <c r="G3406" s="29"/>
      <c r="H3406" s="29"/>
      <c r="I3406" s="29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7"/>
      <c r="AE3406" s="7"/>
    </row>
    <row r="3407">
      <c r="A3407" s="11"/>
      <c r="B3407" s="29"/>
      <c r="C3407" s="29"/>
      <c r="D3407" s="29"/>
      <c r="E3407" s="29"/>
      <c r="F3407" s="29"/>
      <c r="G3407" s="29"/>
      <c r="H3407" s="29"/>
      <c r="I3407" s="29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  <c r="AD3407" s="7"/>
      <c r="AE3407" s="7"/>
    </row>
    <row r="3408">
      <c r="A3408" s="11"/>
      <c r="B3408" s="29"/>
      <c r="C3408" s="29"/>
      <c r="D3408" s="29"/>
      <c r="E3408" s="29"/>
      <c r="F3408" s="29"/>
      <c r="G3408" s="29"/>
      <c r="H3408" s="29"/>
      <c r="I3408" s="29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7"/>
      <c r="AE3408" s="7"/>
    </row>
    <row r="3409">
      <c r="A3409" s="11"/>
      <c r="B3409" s="29"/>
      <c r="C3409" s="29"/>
      <c r="D3409" s="29"/>
      <c r="E3409" s="29"/>
      <c r="F3409" s="29"/>
      <c r="G3409" s="29"/>
      <c r="H3409" s="29"/>
      <c r="I3409" s="29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  <c r="AC3409" s="7"/>
      <c r="AD3409" s="7"/>
      <c r="AE3409" s="7"/>
    </row>
    <row r="3410">
      <c r="A3410" s="11"/>
      <c r="B3410" s="29"/>
      <c r="C3410" s="29"/>
      <c r="D3410" s="29"/>
      <c r="E3410" s="29"/>
      <c r="F3410" s="29"/>
      <c r="G3410" s="29"/>
      <c r="H3410" s="29"/>
      <c r="I3410" s="29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7"/>
      <c r="AE3410" s="7"/>
    </row>
    <row r="3411">
      <c r="A3411" s="11"/>
      <c r="B3411" s="29"/>
      <c r="C3411" s="29"/>
      <c r="D3411" s="29"/>
      <c r="E3411" s="29"/>
      <c r="F3411" s="29"/>
      <c r="G3411" s="29"/>
      <c r="H3411" s="29"/>
      <c r="I3411" s="29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7"/>
      <c r="AE3411" s="7"/>
    </row>
    <row r="3412">
      <c r="A3412" s="11"/>
      <c r="B3412" s="29"/>
      <c r="C3412" s="29"/>
      <c r="D3412" s="29"/>
      <c r="E3412" s="29"/>
      <c r="F3412" s="29"/>
      <c r="G3412" s="29"/>
      <c r="H3412" s="29"/>
      <c r="I3412" s="29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  <c r="AE3412" s="7"/>
    </row>
    <row r="3413">
      <c r="A3413" s="11"/>
      <c r="B3413" s="29"/>
      <c r="C3413" s="29"/>
      <c r="D3413" s="29"/>
      <c r="E3413" s="29"/>
      <c r="F3413" s="29"/>
      <c r="G3413" s="29"/>
      <c r="H3413" s="29"/>
      <c r="I3413" s="29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  <c r="AD3413" s="7"/>
      <c r="AE3413" s="7"/>
    </row>
    <row r="3414">
      <c r="A3414" s="11"/>
      <c r="B3414" s="29"/>
      <c r="C3414" s="29"/>
      <c r="D3414" s="29"/>
      <c r="E3414" s="29"/>
      <c r="F3414" s="29"/>
      <c r="G3414" s="29"/>
      <c r="H3414" s="29"/>
      <c r="I3414" s="29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7"/>
      <c r="AE3414" s="7"/>
    </row>
    <row r="3415">
      <c r="A3415" s="11"/>
      <c r="B3415" s="29"/>
      <c r="C3415" s="29"/>
      <c r="D3415" s="29"/>
      <c r="E3415" s="29"/>
      <c r="F3415" s="29"/>
      <c r="G3415" s="29"/>
      <c r="H3415" s="29"/>
      <c r="I3415" s="29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  <c r="AD3415" s="7"/>
      <c r="AE3415" s="7"/>
    </row>
    <row r="3416">
      <c r="A3416" s="11"/>
      <c r="B3416" s="29"/>
      <c r="C3416" s="29"/>
      <c r="D3416" s="29"/>
      <c r="E3416" s="29"/>
      <c r="F3416" s="29"/>
      <c r="G3416" s="29"/>
      <c r="H3416" s="29"/>
      <c r="I3416" s="29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  <c r="AD3416" s="7"/>
      <c r="AE3416" s="7"/>
    </row>
    <row r="3417">
      <c r="A3417" s="11"/>
      <c r="B3417" s="29"/>
      <c r="C3417" s="29"/>
      <c r="D3417" s="29"/>
      <c r="E3417" s="29"/>
      <c r="F3417" s="29"/>
      <c r="G3417" s="29"/>
      <c r="H3417" s="29"/>
      <c r="I3417" s="29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  <c r="AD3417" s="7"/>
      <c r="AE3417" s="7"/>
    </row>
    <row r="3418">
      <c r="A3418" s="11"/>
      <c r="B3418" s="29"/>
      <c r="C3418" s="29"/>
      <c r="D3418" s="29"/>
      <c r="E3418" s="29"/>
      <c r="F3418" s="29"/>
      <c r="G3418" s="29"/>
      <c r="H3418" s="29"/>
      <c r="I3418" s="29"/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  <c r="AA3418" s="7"/>
      <c r="AB3418" s="7"/>
      <c r="AC3418" s="7"/>
      <c r="AD3418" s="7"/>
      <c r="AE3418" s="7"/>
    </row>
    <row r="3419">
      <c r="A3419" s="11"/>
      <c r="B3419" s="29"/>
      <c r="C3419" s="29"/>
      <c r="D3419" s="29"/>
      <c r="E3419" s="29"/>
      <c r="F3419" s="29"/>
      <c r="G3419" s="29"/>
      <c r="H3419" s="29"/>
      <c r="I3419" s="29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7"/>
      <c r="AE3419" s="7"/>
    </row>
    <row r="3420">
      <c r="A3420" s="11"/>
      <c r="B3420" s="29"/>
      <c r="C3420" s="29"/>
      <c r="D3420" s="29"/>
      <c r="E3420" s="29"/>
      <c r="F3420" s="29"/>
      <c r="G3420" s="29"/>
      <c r="H3420" s="29"/>
      <c r="I3420" s="29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7"/>
      <c r="AE3420" s="7"/>
    </row>
    <row r="3421">
      <c r="A3421" s="11"/>
      <c r="B3421" s="29"/>
      <c r="C3421" s="29"/>
      <c r="D3421" s="29"/>
      <c r="E3421" s="29"/>
      <c r="F3421" s="29"/>
      <c r="G3421" s="29"/>
      <c r="H3421" s="29"/>
      <c r="I3421" s="29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  <c r="AD3421" s="7"/>
      <c r="AE3421" s="7"/>
    </row>
    <row r="3422">
      <c r="A3422" s="11"/>
      <c r="B3422" s="29"/>
      <c r="C3422" s="29"/>
      <c r="D3422" s="29"/>
      <c r="E3422" s="29"/>
      <c r="F3422" s="29"/>
      <c r="G3422" s="29"/>
      <c r="H3422" s="29"/>
      <c r="I3422" s="29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  <c r="AE3422" s="7"/>
    </row>
    <row r="3423">
      <c r="A3423" s="11"/>
      <c r="B3423" s="29"/>
      <c r="C3423" s="29"/>
      <c r="D3423" s="29"/>
      <c r="E3423" s="29"/>
      <c r="F3423" s="29"/>
      <c r="G3423" s="29"/>
      <c r="H3423" s="29"/>
      <c r="I3423" s="29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  <c r="AD3423" s="7"/>
      <c r="AE3423" s="7"/>
    </row>
    <row r="3424">
      <c r="A3424" s="11"/>
      <c r="B3424" s="29"/>
      <c r="C3424" s="29"/>
      <c r="D3424" s="29"/>
      <c r="E3424" s="29"/>
      <c r="F3424" s="29"/>
      <c r="G3424" s="29"/>
      <c r="H3424" s="29"/>
      <c r="I3424" s="29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  <c r="AD3424" s="7"/>
      <c r="AE3424" s="7"/>
    </row>
    <row r="3425">
      <c r="A3425" s="11"/>
      <c r="B3425" s="29"/>
      <c r="C3425" s="29"/>
      <c r="D3425" s="29"/>
      <c r="E3425" s="29"/>
      <c r="F3425" s="29"/>
      <c r="G3425" s="29"/>
      <c r="H3425" s="29"/>
      <c r="I3425" s="29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7"/>
      <c r="AE3425" s="7"/>
    </row>
    <row r="3426">
      <c r="A3426" s="11"/>
      <c r="B3426" s="29"/>
      <c r="C3426" s="29"/>
      <c r="D3426" s="29"/>
      <c r="E3426" s="29"/>
      <c r="F3426" s="29"/>
      <c r="G3426" s="29"/>
      <c r="H3426" s="29"/>
      <c r="I3426" s="29"/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  <c r="AA3426" s="7"/>
      <c r="AB3426" s="7"/>
      <c r="AC3426" s="7"/>
      <c r="AD3426" s="7"/>
      <c r="AE3426" s="7"/>
    </row>
    <row r="3427">
      <c r="A3427" s="11"/>
      <c r="B3427" s="29"/>
      <c r="C3427" s="29"/>
      <c r="D3427" s="29"/>
      <c r="E3427" s="29"/>
      <c r="F3427" s="29"/>
      <c r="G3427" s="29"/>
      <c r="H3427" s="29"/>
      <c r="I3427" s="29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7"/>
      <c r="AE3427" s="7"/>
    </row>
    <row r="3428">
      <c r="A3428" s="11"/>
      <c r="B3428" s="29"/>
      <c r="C3428" s="29"/>
      <c r="D3428" s="29"/>
      <c r="E3428" s="29"/>
      <c r="F3428" s="29"/>
      <c r="G3428" s="29"/>
      <c r="H3428" s="29"/>
      <c r="I3428" s="29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/>
      <c r="AE3428" s="7"/>
    </row>
    <row r="3429">
      <c r="A3429" s="11"/>
      <c r="B3429" s="29"/>
      <c r="C3429" s="29"/>
      <c r="D3429" s="29"/>
      <c r="E3429" s="29"/>
      <c r="F3429" s="29"/>
      <c r="G3429" s="29"/>
      <c r="H3429" s="29"/>
      <c r="I3429" s="29"/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  <c r="AA3429" s="7"/>
      <c r="AB3429" s="7"/>
      <c r="AC3429" s="7"/>
      <c r="AD3429" s="7"/>
      <c r="AE3429" s="7"/>
    </row>
    <row r="3430">
      <c r="A3430" s="11"/>
      <c r="B3430" s="29"/>
      <c r="C3430" s="29"/>
      <c r="D3430" s="29"/>
      <c r="E3430" s="29"/>
      <c r="F3430" s="29"/>
      <c r="G3430" s="29"/>
      <c r="H3430" s="29"/>
      <c r="I3430" s="29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/>
      <c r="AE3430" s="7"/>
    </row>
    <row r="3431">
      <c r="A3431" s="11"/>
      <c r="B3431" s="29"/>
      <c r="C3431" s="29"/>
      <c r="D3431" s="29"/>
      <c r="E3431" s="29"/>
      <c r="F3431" s="29"/>
      <c r="G3431" s="29"/>
      <c r="H3431" s="29"/>
      <c r="I3431" s="29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7"/>
      <c r="AE3431" s="7"/>
    </row>
    <row r="3432">
      <c r="A3432" s="11"/>
      <c r="B3432" s="29"/>
      <c r="C3432" s="29"/>
      <c r="D3432" s="29"/>
      <c r="E3432" s="29"/>
      <c r="F3432" s="29"/>
      <c r="G3432" s="29"/>
      <c r="H3432" s="29"/>
      <c r="I3432" s="29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  <c r="AA3432" s="7"/>
      <c r="AB3432" s="7"/>
      <c r="AC3432" s="7"/>
      <c r="AD3432" s="7"/>
      <c r="AE3432" s="7"/>
    </row>
    <row r="3433">
      <c r="A3433" s="11"/>
      <c r="B3433" s="29"/>
      <c r="C3433" s="29"/>
      <c r="D3433" s="29"/>
      <c r="E3433" s="29"/>
      <c r="F3433" s="29"/>
      <c r="G3433" s="29"/>
      <c r="H3433" s="29"/>
      <c r="I3433" s="29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/>
      <c r="AE3433" s="7"/>
    </row>
    <row r="3434">
      <c r="A3434" s="11"/>
      <c r="B3434" s="29"/>
      <c r="C3434" s="29"/>
      <c r="D3434" s="29"/>
      <c r="E3434" s="29"/>
      <c r="F3434" s="29"/>
      <c r="G3434" s="29"/>
      <c r="H3434" s="29"/>
      <c r="I3434" s="29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7"/>
      <c r="AE3434" s="7"/>
    </row>
    <row r="3435">
      <c r="A3435" s="11"/>
      <c r="B3435" s="29"/>
      <c r="C3435" s="29"/>
      <c r="D3435" s="29"/>
      <c r="E3435" s="29"/>
      <c r="F3435" s="29"/>
      <c r="G3435" s="29"/>
      <c r="H3435" s="29"/>
      <c r="I3435" s="29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  <c r="AA3435" s="7"/>
      <c r="AB3435" s="7"/>
      <c r="AC3435" s="7"/>
      <c r="AD3435" s="7"/>
      <c r="AE3435" s="7"/>
    </row>
    <row r="3436">
      <c r="A3436" s="11"/>
      <c r="B3436" s="29"/>
      <c r="C3436" s="29"/>
      <c r="D3436" s="29"/>
      <c r="E3436" s="29"/>
      <c r="F3436" s="29"/>
      <c r="G3436" s="29"/>
      <c r="H3436" s="29"/>
      <c r="I3436" s="29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/>
      <c r="AE3436" s="7"/>
    </row>
    <row r="3437">
      <c r="A3437" s="11"/>
      <c r="B3437" s="29"/>
      <c r="C3437" s="29"/>
      <c r="D3437" s="29"/>
      <c r="E3437" s="29"/>
      <c r="F3437" s="29"/>
      <c r="G3437" s="29"/>
      <c r="H3437" s="29"/>
      <c r="I3437" s="29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  <c r="AD3437" s="7"/>
      <c r="AE3437" s="7"/>
    </row>
    <row r="3438">
      <c r="A3438" s="11"/>
      <c r="B3438" s="29"/>
      <c r="C3438" s="29"/>
      <c r="D3438" s="29"/>
      <c r="E3438" s="29"/>
      <c r="F3438" s="29"/>
      <c r="G3438" s="29"/>
      <c r="H3438" s="29"/>
      <c r="I3438" s="29"/>
      <c r="J3438" s="7"/>
      <c r="K3438" s="7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  <c r="AA3438" s="7"/>
      <c r="AB3438" s="7"/>
      <c r="AC3438" s="7"/>
      <c r="AD3438" s="7"/>
      <c r="AE3438" s="7"/>
    </row>
    <row r="3439">
      <c r="A3439" s="11"/>
      <c r="B3439" s="29"/>
      <c r="C3439" s="29"/>
      <c r="D3439" s="29"/>
      <c r="E3439" s="29"/>
      <c r="F3439" s="29"/>
      <c r="G3439" s="29"/>
      <c r="H3439" s="29"/>
      <c r="I3439" s="29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7"/>
      <c r="AE3439" s="7"/>
    </row>
    <row r="3440">
      <c r="A3440" s="11"/>
      <c r="B3440" s="29"/>
      <c r="C3440" s="29"/>
      <c r="D3440" s="29"/>
      <c r="E3440" s="29"/>
      <c r="F3440" s="29"/>
      <c r="G3440" s="29"/>
      <c r="H3440" s="29"/>
      <c r="I3440" s="29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  <c r="AE3440" s="7"/>
    </row>
    <row r="3441">
      <c r="A3441" s="11"/>
      <c r="B3441" s="29"/>
      <c r="C3441" s="29"/>
      <c r="D3441" s="29"/>
      <c r="E3441" s="29"/>
      <c r="F3441" s="29"/>
      <c r="G3441" s="29"/>
      <c r="H3441" s="29"/>
      <c r="I3441" s="29"/>
      <c r="J3441" s="7"/>
      <c r="K3441" s="7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  <c r="AA3441" s="7"/>
      <c r="AB3441" s="7"/>
      <c r="AC3441" s="7"/>
      <c r="AD3441" s="7"/>
      <c r="AE3441" s="7"/>
    </row>
    <row r="3442">
      <c r="A3442" s="11"/>
      <c r="B3442" s="29"/>
      <c r="C3442" s="29"/>
      <c r="D3442" s="29"/>
      <c r="E3442" s="29"/>
      <c r="F3442" s="29"/>
      <c r="G3442" s="29"/>
      <c r="H3442" s="29"/>
      <c r="I3442" s="29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/>
      <c r="AE3442" s="7"/>
    </row>
    <row r="3443">
      <c r="A3443" s="11"/>
      <c r="B3443" s="29"/>
      <c r="C3443" s="29"/>
      <c r="D3443" s="29"/>
      <c r="E3443" s="29"/>
      <c r="F3443" s="29"/>
      <c r="G3443" s="29"/>
      <c r="H3443" s="29"/>
      <c r="I3443" s="29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7"/>
      <c r="AE3443" s="7"/>
    </row>
    <row r="3444">
      <c r="A3444" s="11"/>
      <c r="B3444" s="29"/>
      <c r="C3444" s="29"/>
      <c r="D3444" s="29"/>
      <c r="E3444" s="29"/>
      <c r="F3444" s="29"/>
      <c r="G3444" s="29"/>
      <c r="H3444" s="29"/>
      <c r="I3444" s="29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  <c r="AD3444" s="7"/>
      <c r="AE3444" s="7"/>
    </row>
    <row r="3445">
      <c r="A3445" s="11"/>
      <c r="B3445" s="29"/>
      <c r="C3445" s="29"/>
      <c r="D3445" s="29"/>
      <c r="E3445" s="29"/>
      <c r="F3445" s="29"/>
      <c r="G3445" s="29"/>
      <c r="H3445" s="29"/>
      <c r="I3445" s="29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7"/>
      <c r="AE3445" s="7"/>
    </row>
    <row r="3446">
      <c r="A3446" s="11"/>
      <c r="B3446" s="29"/>
      <c r="C3446" s="29"/>
      <c r="D3446" s="29"/>
      <c r="E3446" s="29"/>
      <c r="F3446" s="29"/>
      <c r="G3446" s="29"/>
      <c r="H3446" s="29"/>
      <c r="I3446" s="29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  <c r="AE3446" s="7"/>
    </row>
    <row r="3447">
      <c r="A3447" s="11"/>
      <c r="B3447" s="29"/>
      <c r="C3447" s="29"/>
      <c r="D3447" s="29"/>
      <c r="E3447" s="29"/>
      <c r="F3447" s="29"/>
      <c r="G3447" s="29"/>
      <c r="H3447" s="29"/>
      <c r="I3447" s="29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7"/>
      <c r="AE3447" s="7"/>
    </row>
    <row r="3448">
      <c r="A3448" s="11"/>
      <c r="B3448" s="29"/>
      <c r="C3448" s="29"/>
      <c r="D3448" s="29"/>
      <c r="E3448" s="29"/>
      <c r="F3448" s="29"/>
      <c r="G3448" s="29"/>
      <c r="H3448" s="29"/>
      <c r="I3448" s="29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/>
      <c r="AE3448" s="7"/>
    </row>
    <row r="3449">
      <c r="A3449" s="11"/>
      <c r="B3449" s="29"/>
      <c r="C3449" s="29"/>
      <c r="D3449" s="29"/>
      <c r="E3449" s="29"/>
      <c r="F3449" s="29"/>
      <c r="G3449" s="29"/>
      <c r="H3449" s="29"/>
      <c r="I3449" s="29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7"/>
      <c r="AE3449" s="7"/>
    </row>
    <row r="3450">
      <c r="A3450" s="11"/>
      <c r="B3450" s="29"/>
      <c r="C3450" s="29"/>
      <c r="D3450" s="29"/>
      <c r="E3450" s="29"/>
      <c r="F3450" s="29"/>
      <c r="G3450" s="29"/>
      <c r="H3450" s="29"/>
      <c r="I3450" s="29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  <c r="AE3450" s="7"/>
    </row>
    <row r="3451">
      <c r="A3451" s="11"/>
      <c r="B3451" s="29"/>
      <c r="C3451" s="29"/>
      <c r="D3451" s="29"/>
      <c r="E3451" s="29"/>
      <c r="F3451" s="29"/>
      <c r="G3451" s="29"/>
      <c r="H3451" s="29"/>
      <c r="I3451" s="29"/>
      <c r="J3451" s="7"/>
      <c r="K3451" s="7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  <c r="AA3451" s="7"/>
      <c r="AB3451" s="7"/>
      <c r="AC3451" s="7"/>
      <c r="AD3451" s="7"/>
      <c r="AE3451" s="7"/>
    </row>
    <row r="3452">
      <c r="A3452" s="11"/>
      <c r="B3452" s="29"/>
      <c r="C3452" s="29"/>
      <c r="D3452" s="29"/>
      <c r="E3452" s="29"/>
      <c r="F3452" s="29"/>
      <c r="G3452" s="29"/>
      <c r="H3452" s="29"/>
      <c r="I3452" s="29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  <c r="AE3452" s="7"/>
    </row>
    <row r="3453">
      <c r="A3453" s="11"/>
      <c r="B3453" s="29"/>
      <c r="C3453" s="29"/>
      <c r="D3453" s="29"/>
      <c r="E3453" s="29"/>
      <c r="F3453" s="29"/>
      <c r="G3453" s="29"/>
      <c r="H3453" s="29"/>
      <c r="I3453" s="29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  <c r="AE3453" s="7"/>
    </row>
    <row r="3454">
      <c r="A3454" s="11"/>
      <c r="B3454" s="29"/>
      <c r="C3454" s="29"/>
      <c r="D3454" s="29"/>
      <c r="E3454" s="29"/>
      <c r="F3454" s="29"/>
      <c r="G3454" s="29"/>
      <c r="H3454" s="29"/>
      <c r="I3454" s="29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7"/>
      <c r="AE3454" s="7"/>
    </row>
    <row r="3455">
      <c r="A3455" s="11"/>
      <c r="B3455" s="29"/>
      <c r="C3455" s="29"/>
      <c r="D3455" s="29"/>
      <c r="E3455" s="29"/>
      <c r="F3455" s="29"/>
      <c r="G3455" s="29"/>
      <c r="H3455" s="29"/>
      <c r="I3455" s="29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  <c r="AD3455" s="7"/>
      <c r="AE3455" s="7"/>
    </row>
    <row r="3456">
      <c r="A3456" s="11"/>
      <c r="B3456" s="29"/>
      <c r="C3456" s="29"/>
      <c r="D3456" s="29"/>
      <c r="E3456" s="29"/>
      <c r="F3456" s="29"/>
      <c r="G3456" s="29"/>
      <c r="H3456" s="29"/>
      <c r="I3456" s="29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/>
      <c r="AE3456" s="7"/>
    </row>
    <row r="3457">
      <c r="A3457" s="11"/>
      <c r="B3457" s="29"/>
      <c r="C3457" s="29"/>
      <c r="D3457" s="29"/>
      <c r="E3457" s="29"/>
      <c r="F3457" s="29"/>
      <c r="G3457" s="29"/>
      <c r="H3457" s="29"/>
      <c r="I3457" s="29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  <c r="AE3457" s="7"/>
    </row>
    <row r="3458">
      <c r="A3458" s="11"/>
      <c r="B3458" s="29"/>
      <c r="C3458" s="29"/>
      <c r="D3458" s="29"/>
      <c r="E3458" s="29"/>
      <c r="F3458" s="29"/>
      <c r="G3458" s="29"/>
      <c r="H3458" s="29"/>
      <c r="I3458" s="29"/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  <c r="AA3458" s="7"/>
      <c r="AB3458" s="7"/>
      <c r="AC3458" s="7"/>
      <c r="AD3458" s="7"/>
      <c r="AE3458" s="7"/>
    </row>
    <row r="3459">
      <c r="A3459" s="11"/>
      <c r="B3459" s="29"/>
      <c r="C3459" s="29"/>
      <c r="D3459" s="29"/>
      <c r="E3459" s="29"/>
      <c r="F3459" s="29"/>
      <c r="G3459" s="29"/>
      <c r="H3459" s="29"/>
      <c r="I3459" s="29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  <c r="AA3459" s="7"/>
      <c r="AB3459" s="7"/>
      <c r="AC3459" s="7"/>
      <c r="AD3459" s="7"/>
      <c r="AE3459" s="7"/>
    </row>
    <row r="3460">
      <c r="A3460" s="11"/>
      <c r="B3460" s="29"/>
      <c r="C3460" s="29"/>
      <c r="D3460" s="29"/>
      <c r="E3460" s="29"/>
      <c r="F3460" s="29"/>
      <c r="G3460" s="29"/>
      <c r="H3460" s="29"/>
      <c r="I3460" s="29"/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  <c r="AA3460" s="7"/>
      <c r="AB3460" s="7"/>
      <c r="AC3460" s="7"/>
      <c r="AD3460" s="7"/>
      <c r="AE3460" s="7"/>
    </row>
    <row r="3461">
      <c r="A3461" s="11"/>
      <c r="B3461" s="29"/>
      <c r="C3461" s="29"/>
      <c r="D3461" s="29"/>
      <c r="E3461" s="29"/>
      <c r="F3461" s="29"/>
      <c r="G3461" s="29"/>
      <c r="H3461" s="29"/>
      <c r="I3461" s="29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  <c r="AE3461" s="7"/>
    </row>
    <row r="3462">
      <c r="A3462" s="11"/>
      <c r="B3462" s="29"/>
      <c r="C3462" s="29"/>
      <c r="D3462" s="29"/>
      <c r="E3462" s="29"/>
      <c r="F3462" s="29"/>
      <c r="G3462" s="29"/>
      <c r="H3462" s="29"/>
      <c r="I3462" s="29"/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  <c r="AA3462" s="7"/>
      <c r="AB3462" s="7"/>
      <c r="AC3462" s="7"/>
      <c r="AD3462" s="7"/>
      <c r="AE3462" s="7"/>
    </row>
    <row r="3463">
      <c r="A3463" s="11"/>
      <c r="B3463" s="29"/>
      <c r="C3463" s="29"/>
      <c r="D3463" s="29"/>
      <c r="E3463" s="29"/>
      <c r="F3463" s="29"/>
      <c r="G3463" s="29"/>
      <c r="H3463" s="29"/>
      <c r="I3463" s="29"/>
      <c r="J3463" s="7"/>
      <c r="K3463" s="7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  <c r="AA3463" s="7"/>
      <c r="AB3463" s="7"/>
      <c r="AC3463" s="7"/>
      <c r="AD3463" s="7"/>
      <c r="AE3463" s="7"/>
    </row>
    <row r="3464">
      <c r="A3464" s="11"/>
      <c r="B3464" s="29"/>
      <c r="C3464" s="29"/>
      <c r="D3464" s="29"/>
      <c r="E3464" s="29"/>
      <c r="F3464" s="29"/>
      <c r="G3464" s="29"/>
      <c r="H3464" s="29"/>
      <c r="I3464" s="29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  <c r="AA3464" s="7"/>
      <c r="AB3464" s="7"/>
      <c r="AC3464" s="7"/>
      <c r="AD3464" s="7"/>
      <c r="AE3464" s="7"/>
    </row>
    <row r="3465">
      <c r="A3465" s="11"/>
      <c r="B3465" s="29"/>
      <c r="C3465" s="29"/>
      <c r="D3465" s="29"/>
      <c r="E3465" s="29"/>
      <c r="F3465" s="29"/>
      <c r="G3465" s="29"/>
      <c r="H3465" s="29"/>
      <c r="I3465" s="29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7"/>
      <c r="AE3465" s="7"/>
    </row>
    <row r="3466">
      <c r="A3466" s="11"/>
      <c r="B3466" s="29"/>
      <c r="C3466" s="29"/>
      <c r="D3466" s="29"/>
      <c r="E3466" s="29"/>
      <c r="F3466" s="29"/>
      <c r="G3466" s="29"/>
      <c r="H3466" s="29"/>
      <c r="I3466" s="29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/>
      <c r="AE3466" s="7"/>
    </row>
    <row r="3467">
      <c r="A3467" s="11"/>
      <c r="B3467" s="29"/>
      <c r="C3467" s="29"/>
      <c r="D3467" s="29"/>
      <c r="E3467" s="29"/>
      <c r="F3467" s="29"/>
      <c r="G3467" s="29"/>
      <c r="H3467" s="29"/>
      <c r="I3467" s="29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7"/>
      <c r="AE3467" s="7"/>
    </row>
    <row r="3468">
      <c r="A3468" s="11"/>
      <c r="B3468" s="29"/>
      <c r="C3468" s="29"/>
      <c r="D3468" s="29"/>
      <c r="E3468" s="29"/>
      <c r="F3468" s="29"/>
      <c r="G3468" s="29"/>
      <c r="H3468" s="29"/>
      <c r="I3468" s="29"/>
      <c r="J3468" s="7"/>
      <c r="K3468" s="7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  <c r="AA3468" s="7"/>
      <c r="AB3468" s="7"/>
      <c r="AC3468" s="7"/>
      <c r="AD3468" s="7"/>
      <c r="AE3468" s="7"/>
    </row>
    <row r="3469">
      <c r="A3469" s="11"/>
      <c r="B3469" s="29"/>
      <c r="C3469" s="29"/>
      <c r="D3469" s="29"/>
      <c r="E3469" s="29"/>
      <c r="F3469" s="29"/>
      <c r="G3469" s="29"/>
      <c r="H3469" s="29"/>
      <c r="I3469" s="29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7"/>
      <c r="AE3469" s="7"/>
    </row>
    <row r="3470">
      <c r="A3470" s="11"/>
      <c r="B3470" s="29"/>
      <c r="C3470" s="29"/>
      <c r="D3470" s="29"/>
      <c r="E3470" s="29"/>
      <c r="F3470" s="29"/>
      <c r="G3470" s="29"/>
      <c r="H3470" s="29"/>
      <c r="I3470" s="29"/>
      <c r="J3470" s="7"/>
      <c r="K3470" s="7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  <c r="AA3470" s="7"/>
      <c r="AB3470" s="7"/>
      <c r="AC3470" s="7"/>
      <c r="AD3470" s="7"/>
      <c r="AE3470" s="7"/>
    </row>
    <row r="3471">
      <c r="A3471" s="11"/>
      <c r="B3471" s="29"/>
      <c r="C3471" s="29"/>
      <c r="D3471" s="29"/>
      <c r="E3471" s="29"/>
      <c r="F3471" s="29"/>
      <c r="G3471" s="29"/>
      <c r="H3471" s="29"/>
      <c r="I3471" s="29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  <c r="AD3471" s="7"/>
      <c r="AE3471" s="7"/>
    </row>
    <row r="3472">
      <c r="A3472" s="11"/>
      <c r="B3472" s="29"/>
      <c r="C3472" s="29"/>
      <c r="D3472" s="29"/>
      <c r="E3472" s="29"/>
      <c r="F3472" s="29"/>
      <c r="G3472" s="29"/>
      <c r="H3472" s="29"/>
      <c r="I3472" s="29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7"/>
      <c r="AE3472" s="7"/>
    </row>
    <row r="3473">
      <c r="A3473" s="11"/>
      <c r="B3473" s="29"/>
      <c r="C3473" s="29"/>
      <c r="D3473" s="29"/>
      <c r="E3473" s="29"/>
      <c r="F3473" s="29"/>
      <c r="G3473" s="29"/>
      <c r="H3473" s="29"/>
      <c r="I3473" s="29"/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  <c r="AA3473" s="7"/>
      <c r="AB3473" s="7"/>
      <c r="AC3473" s="7"/>
      <c r="AD3473" s="7"/>
      <c r="AE3473" s="7"/>
    </row>
    <row r="3474">
      <c r="A3474" s="11"/>
      <c r="B3474" s="29"/>
      <c r="C3474" s="29"/>
      <c r="D3474" s="29"/>
      <c r="E3474" s="29"/>
      <c r="F3474" s="29"/>
      <c r="G3474" s="29"/>
      <c r="H3474" s="29"/>
      <c r="I3474" s="29"/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  <c r="AA3474" s="7"/>
      <c r="AB3474" s="7"/>
      <c r="AC3474" s="7"/>
      <c r="AD3474" s="7"/>
      <c r="AE3474" s="7"/>
    </row>
    <row r="3475">
      <c r="A3475" s="11"/>
      <c r="B3475" s="29"/>
      <c r="C3475" s="29"/>
      <c r="D3475" s="29"/>
      <c r="E3475" s="29"/>
      <c r="F3475" s="29"/>
      <c r="G3475" s="29"/>
      <c r="H3475" s="29"/>
      <c r="I3475" s="29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7"/>
      <c r="AE3475" s="7"/>
    </row>
    <row r="3476">
      <c r="A3476" s="11"/>
      <c r="B3476" s="29"/>
      <c r="C3476" s="29"/>
      <c r="D3476" s="29"/>
      <c r="E3476" s="29"/>
      <c r="F3476" s="29"/>
      <c r="G3476" s="29"/>
      <c r="H3476" s="29"/>
      <c r="I3476" s="29"/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  <c r="AA3476" s="7"/>
      <c r="AB3476" s="7"/>
      <c r="AC3476" s="7"/>
      <c r="AD3476" s="7"/>
      <c r="AE3476" s="7"/>
    </row>
    <row r="3477">
      <c r="A3477" s="11"/>
      <c r="B3477" s="29"/>
      <c r="C3477" s="29"/>
      <c r="D3477" s="29"/>
      <c r="E3477" s="29"/>
      <c r="F3477" s="29"/>
      <c r="G3477" s="29"/>
      <c r="H3477" s="29"/>
      <c r="I3477" s="29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7"/>
      <c r="AE3477" s="7"/>
    </row>
    <row r="3478">
      <c r="A3478" s="11"/>
      <c r="B3478" s="29"/>
      <c r="C3478" s="29"/>
      <c r="D3478" s="29"/>
      <c r="E3478" s="29"/>
      <c r="F3478" s="29"/>
      <c r="G3478" s="29"/>
      <c r="H3478" s="29"/>
      <c r="I3478" s="29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7"/>
      <c r="AE3478" s="7"/>
    </row>
    <row r="3479">
      <c r="A3479" s="11"/>
      <c r="B3479" s="29"/>
      <c r="C3479" s="29"/>
      <c r="D3479" s="29"/>
      <c r="E3479" s="29"/>
      <c r="F3479" s="29"/>
      <c r="G3479" s="29"/>
      <c r="H3479" s="29"/>
      <c r="I3479" s="29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7"/>
      <c r="AE3479" s="7"/>
    </row>
    <row r="3480">
      <c r="A3480" s="11"/>
      <c r="B3480" s="29"/>
      <c r="C3480" s="29"/>
      <c r="D3480" s="29"/>
      <c r="E3480" s="29"/>
      <c r="F3480" s="29"/>
      <c r="G3480" s="29"/>
      <c r="H3480" s="29"/>
      <c r="I3480" s="29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  <c r="AE3480" s="7"/>
    </row>
    <row r="3481">
      <c r="A3481" s="11"/>
      <c r="B3481" s="29"/>
      <c r="C3481" s="29"/>
      <c r="D3481" s="29"/>
      <c r="E3481" s="29"/>
      <c r="F3481" s="29"/>
      <c r="G3481" s="29"/>
      <c r="H3481" s="29"/>
      <c r="I3481" s="29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  <c r="AD3481" s="7"/>
      <c r="AE3481" s="7"/>
    </row>
    <row r="3482">
      <c r="A3482" s="11"/>
      <c r="B3482" s="29"/>
      <c r="C3482" s="29"/>
      <c r="D3482" s="29"/>
      <c r="E3482" s="29"/>
      <c r="F3482" s="29"/>
      <c r="G3482" s="29"/>
      <c r="H3482" s="29"/>
      <c r="I3482" s="29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  <c r="AE3482" s="7"/>
    </row>
    <row r="3483">
      <c r="A3483" s="11"/>
      <c r="B3483" s="29"/>
      <c r="C3483" s="29"/>
      <c r="D3483" s="29"/>
      <c r="E3483" s="29"/>
      <c r="F3483" s="29"/>
      <c r="G3483" s="29"/>
      <c r="H3483" s="29"/>
      <c r="I3483" s="29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  <c r="AD3483" s="7"/>
      <c r="AE3483" s="7"/>
    </row>
    <row r="3484">
      <c r="A3484" s="11"/>
      <c r="B3484" s="29"/>
      <c r="C3484" s="29"/>
      <c r="D3484" s="29"/>
      <c r="E3484" s="29"/>
      <c r="F3484" s="29"/>
      <c r="G3484" s="29"/>
      <c r="H3484" s="29"/>
      <c r="I3484" s="29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/>
      <c r="AE3484" s="7"/>
    </row>
    <row r="3485">
      <c r="A3485" s="11"/>
      <c r="B3485" s="29"/>
      <c r="C3485" s="29"/>
      <c r="D3485" s="29"/>
      <c r="E3485" s="29"/>
      <c r="F3485" s="29"/>
      <c r="G3485" s="29"/>
      <c r="H3485" s="29"/>
      <c r="I3485" s="29"/>
      <c r="J3485" s="7"/>
      <c r="K3485" s="7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  <c r="AA3485" s="7"/>
      <c r="AB3485" s="7"/>
      <c r="AC3485" s="7"/>
      <c r="AD3485" s="7"/>
      <c r="AE3485" s="7"/>
    </row>
    <row r="3486">
      <c r="A3486" s="11"/>
      <c r="B3486" s="29"/>
      <c r="C3486" s="29"/>
      <c r="D3486" s="29"/>
      <c r="E3486" s="29"/>
      <c r="F3486" s="29"/>
      <c r="G3486" s="29"/>
      <c r="H3486" s="29"/>
      <c r="I3486" s="29"/>
      <c r="J3486" s="7"/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  <c r="AA3486" s="7"/>
      <c r="AB3486" s="7"/>
      <c r="AC3486" s="7"/>
      <c r="AD3486" s="7"/>
      <c r="AE3486" s="7"/>
    </row>
    <row r="3487">
      <c r="A3487" s="11"/>
      <c r="B3487" s="29"/>
      <c r="C3487" s="29"/>
      <c r="D3487" s="29"/>
      <c r="E3487" s="29"/>
      <c r="F3487" s="29"/>
      <c r="G3487" s="29"/>
      <c r="H3487" s="29"/>
      <c r="I3487" s="29"/>
      <c r="J3487" s="7"/>
      <c r="K3487" s="7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  <c r="AA3487" s="7"/>
      <c r="AB3487" s="7"/>
      <c r="AC3487" s="7"/>
      <c r="AD3487" s="7"/>
      <c r="AE3487" s="7"/>
    </row>
    <row r="3488">
      <c r="A3488" s="11"/>
      <c r="B3488" s="29"/>
      <c r="C3488" s="29"/>
      <c r="D3488" s="29"/>
      <c r="E3488" s="29"/>
      <c r="F3488" s="29"/>
      <c r="G3488" s="29"/>
      <c r="H3488" s="29"/>
      <c r="I3488" s="29"/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  <c r="AA3488" s="7"/>
      <c r="AB3488" s="7"/>
      <c r="AC3488" s="7"/>
      <c r="AD3488" s="7"/>
      <c r="AE3488" s="7"/>
    </row>
    <row r="3489">
      <c r="A3489" s="11"/>
      <c r="B3489" s="29"/>
      <c r="C3489" s="29"/>
      <c r="D3489" s="29"/>
      <c r="E3489" s="29"/>
      <c r="F3489" s="29"/>
      <c r="G3489" s="29"/>
      <c r="H3489" s="29"/>
      <c r="I3489" s="29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  <c r="AE3489" s="7"/>
    </row>
    <row r="3490">
      <c r="A3490" s="11"/>
      <c r="B3490" s="29"/>
      <c r="C3490" s="29"/>
      <c r="D3490" s="29"/>
      <c r="E3490" s="29"/>
      <c r="F3490" s="29"/>
      <c r="G3490" s="29"/>
      <c r="H3490" s="29"/>
      <c r="I3490" s="29"/>
      <c r="J3490" s="7"/>
      <c r="K3490" s="7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  <c r="AA3490" s="7"/>
      <c r="AB3490" s="7"/>
      <c r="AC3490" s="7"/>
      <c r="AD3490" s="7"/>
      <c r="AE3490" s="7"/>
    </row>
    <row r="3491">
      <c r="A3491" s="11"/>
      <c r="B3491" s="29"/>
      <c r="C3491" s="29"/>
      <c r="D3491" s="29"/>
      <c r="E3491" s="29"/>
      <c r="F3491" s="29"/>
      <c r="G3491" s="29"/>
      <c r="H3491" s="29"/>
      <c r="I3491" s="29"/>
      <c r="J3491" s="7"/>
      <c r="K3491" s="7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  <c r="AA3491" s="7"/>
      <c r="AB3491" s="7"/>
      <c r="AC3491" s="7"/>
      <c r="AD3491" s="7"/>
      <c r="AE3491" s="7"/>
    </row>
    <row r="3492">
      <c r="A3492" s="11"/>
      <c r="B3492" s="29"/>
      <c r="C3492" s="29"/>
      <c r="D3492" s="29"/>
      <c r="E3492" s="29"/>
      <c r="F3492" s="29"/>
      <c r="G3492" s="29"/>
      <c r="H3492" s="29"/>
      <c r="I3492" s="29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  <c r="AE3492" s="7"/>
    </row>
    <row r="3493">
      <c r="A3493" s="11"/>
      <c r="B3493" s="29"/>
      <c r="C3493" s="29"/>
      <c r="D3493" s="29"/>
      <c r="E3493" s="29"/>
      <c r="F3493" s="29"/>
      <c r="G3493" s="29"/>
      <c r="H3493" s="29"/>
      <c r="I3493" s="29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7"/>
      <c r="AE3493" s="7"/>
    </row>
    <row r="3494">
      <c r="A3494" s="11"/>
      <c r="B3494" s="29"/>
      <c r="C3494" s="29"/>
      <c r="D3494" s="29"/>
      <c r="E3494" s="29"/>
      <c r="F3494" s="29"/>
      <c r="G3494" s="29"/>
      <c r="H3494" s="29"/>
      <c r="I3494" s="29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/>
      <c r="AE3494" s="7"/>
    </row>
    <row r="3495">
      <c r="A3495" s="11"/>
      <c r="B3495" s="29"/>
      <c r="C3495" s="29"/>
      <c r="D3495" s="29"/>
      <c r="E3495" s="29"/>
      <c r="F3495" s="29"/>
      <c r="G3495" s="29"/>
      <c r="H3495" s="29"/>
      <c r="I3495" s="29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  <c r="AD3495" s="7"/>
      <c r="AE3495" s="7"/>
    </row>
    <row r="3496">
      <c r="A3496" s="11"/>
      <c r="B3496" s="29"/>
      <c r="C3496" s="29"/>
      <c r="D3496" s="29"/>
      <c r="E3496" s="29"/>
      <c r="F3496" s="29"/>
      <c r="G3496" s="29"/>
      <c r="H3496" s="29"/>
      <c r="I3496" s="29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  <c r="AE3496" s="7"/>
    </row>
    <row r="3497">
      <c r="A3497" s="11"/>
      <c r="B3497" s="29"/>
      <c r="C3497" s="29"/>
      <c r="D3497" s="29"/>
      <c r="E3497" s="29"/>
      <c r="F3497" s="29"/>
      <c r="G3497" s="29"/>
      <c r="H3497" s="29"/>
      <c r="I3497" s="29"/>
      <c r="J3497" s="7"/>
      <c r="K3497" s="7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  <c r="AA3497" s="7"/>
      <c r="AB3497" s="7"/>
      <c r="AC3497" s="7"/>
      <c r="AD3497" s="7"/>
      <c r="AE3497" s="7"/>
    </row>
    <row r="3498">
      <c r="A3498" s="11"/>
      <c r="B3498" s="29"/>
      <c r="C3498" s="29"/>
      <c r="D3498" s="29"/>
      <c r="E3498" s="29"/>
      <c r="F3498" s="29"/>
      <c r="G3498" s="29"/>
      <c r="H3498" s="29"/>
      <c r="I3498" s="29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7"/>
      <c r="AE3498" s="7"/>
    </row>
    <row r="3499">
      <c r="A3499" s="11"/>
      <c r="B3499" s="29"/>
      <c r="C3499" s="29"/>
      <c r="D3499" s="29"/>
      <c r="E3499" s="29"/>
      <c r="F3499" s="29"/>
      <c r="G3499" s="29"/>
      <c r="H3499" s="29"/>
      <c r="I3499" s="29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  <c r="AD3499" s="7"/>
      <c r="AE3499" s="7"/>
    </row>
    <row r="3500">
      <c r="A3500" s="11"/>
      <c r="B3500" s="29"/>
      <c r="C3500" s="29"/>
      <c r="D3500" s="29"/>
      <c r="E3500" s="29"/>
      <c r="F3500" s="29"/>
      <c r="G3500" s="29"/>
      <c r="H3500" s="29"/>
      <c r="I3500" s="29"/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  <c r="AA3500" s="7"/>
      <c r="AB3500" s="7"/>
      <c r="AC3500" s="7"/>
      <c r="AD3500" s="7"/>
      <c r="AE3500" s="7"/>
    </row>
    <row r="3501">
      <c r="A3501" s="11"/>
      <c r="B3501" s="29"/>
      <c r="C3501" s="29"/>
      <c r="D3501" s="29"/>
      <c r="E3501" s="29"/>
      <c r="F3501" s="29"/>
      <c r="G3501" s="29"/>
      <c r="H3501" s="29"/>
      <c r="I3501" s="29"/>
      <c r="J3501" s="7"/>
      <c r="K3501" s="7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  <c r="AA3501" s="7"/>
      <c r="AB3501" s="7"/>
      <c r="AC3501" s="7"/>
      <c r="AD3501" s="7"/>
      <c r="AE3501" s="7"/>
    </row>
    <row r="3502">
      <c r="A3502" s="11"/>
      <c r="B3502" s="29"/>
      <c r="C3502" s="29"/>
      <c r="D3502" s="29"/>
      <c r="E3502" s="29"/>
      <c r="F3502" s="29"/>
      <c r="G3502" s="29"/>
      <c r="H3502" s="29"/>
      <c r="I3502" s="29"/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  <c r="AA3502" s="7"/>
      <c r="AB3502" s="7"/>
      <c r="AC3502" s="7"/>
      <c r="AD3502" s="7"/>
      <c r="AE3502" s="7"/>
    </row>
    <row r="3503">
      <c r="A3503" s="11"/>
      <c r="B3503" s="29"/>
      <c r="C3503" s="29"/>
      <c r="D3503" s="29"/>
      <c r="E3503" s="29"/>
      <c r="F3503" s="29"/>
      <c r="G3503" s="29"/>
      <c r="H3503" s="29"/>
      <c r="I3503" s="29"/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  <c r="AA3503" s="7"/>
      <c r="AB3503" s="7"/>
      <c r="AC3503" s="7"/>
      <c r="AD3503" s="7"/>
      <c r="AE3503" s="7"/>
    </row>
    <row r="3504">
      <c r="A3504" s="11"/>
      <c r="B3504" s="29"/>
      <c r="C3504" s="29"/>
      <c r="D3504" s="29"/>
      <c r="E3504" s="29"/>
      <c r="F3504" s="29"/>
      <c r="G3504" s="29"/>
      <c r="H3504" s="29"/>
      <c r="I3504" s="29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  <c r="AE3504" s="7"/>
    </row>
    <row r="3505">
      <c r="A3505" s="11"/>
      <c r="B3505" s="29"/>
      <c r="C3505" s="29"/>
      <c r="D3505" s="29"/>
      <c r="E3505" s="29"/>
      <c r="F3505" s="29"/>
      <c r="G3505" s="29"/>
      <c r="H3505" s="29"/>
      <c r="I3505" s="29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  <c r="AA3505" s="7"/>
      <c r="AB3505" s="7"/>
      <c r="AC3505" s="7"/>
      <c r="AD3505" s="7"/>
      <c r="AE3505" s="7"/>
    </row>
    <row r="3506">
      <c r="A3506" s="11"/>
      <c r="B3506" s="29"/>
      <c r="C3506" s="29"/>
      <c r="D3506" s="29"/>
      <c r="E3506" s="29"/>
      <c r="F3506" s="29"/>
      <c r="G3506" s="29"/>
      <c r="H3506" s="29"/>
      <c r="I3506" s="29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  <c r="AA3506" s="7"/>
      <c r="AB3506" s="7"/>
      <c r="AC3506" s="7"/>
      <c r="AD3506" s="7"/>
      <c r="AE3506" s="7"/>
    </row>
    <row r="3507">
      <c r="A3507" s="11"/>
      <c r="B3507" s="29"/>
      <c r="C3507" s="29"/>
      <c r="D3507" s="29"/>
      <c r="E3507" s="29"/>
      <c r="F3507" s="29"/>
      <c r="G3507" s="29"/>
      <c r="H3507" s="29"/>
      <c r="I3507" s="29"/>
      <c r="J3507" s="7"/>
      <c r="K3507" s="7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  <c r="AA3507" s="7"/>
      <c r="AB3507" s="7"/>
      <c r="AC3507" s="7"/>
      <c r="AD3507" s="7"/>
      <c r="AE3507" s="7"/>
    </row>
    <row r="3508">
      <c r="A3508" s="11"/>
      <c r="B3508" s="29"/>
      <c r="C3508" s="29"/>
      <c r="D3508" s="29"/>
      <c r="E3508" s="29"/>
      <c r="F3508" s="29"/>
      <c r="G3508" s="29"/>
      <c r="H3508" s="29"/>
      <c r="I3508" s="29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  <c r="AA3508" s="7"/>
      <c r="AB3508" s="7"/>
      <c r="AC3508" s="7"/>
      <c r="AD3508" s="7"/>
      <c r="AE3508" s="7"/>
    </row>
    <row r="3509">
      <c r="A3509" s="11"/>
      <c r="B3509" s="29"/>
      <c r="C3509" s="29"/>
      <c r="D3509" s="29"/>
      <c r="E3509" s="29"/>
      <c r="F3509" s="29"/>
      <c r="G3509" s="29"/>
      <c r="H3509" s="29"/>
      <c r="I3509" s="29"/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  <c r="AA3509" s="7"/>
      <c r="AB3509" s="7"/>
      <c r="AC3509" s="7"/>
      <c r="AD3509" s="7"/>
      <c r="AE3509" s="7"/>
    </row>
    <row r="3510">
      <c r="A3510" s="11"/>
      <c r="B3510" s="29"/>
      <c r="C3510" s="29"/>
      <c r="D3510" s="29"/>
      <c r="E3510" s="29"/>
      <c r="F3510" s="29"/>
      <c r="G3510" s="29"/>
      <c r="H3510" s="29"/>
      <c r="I3510" s="29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  <c r="AA3510" s="7"/>
      <c r="AB3510" s="7"/>
      <c r="AC3510" s="7"/>
      <c r="AD3510" s="7"/>
      <c r="AE3510" s="7"/>
    </row>
    <row r="3511">
      <c r="A3511" s="11"/>
      <c r="B3511" s="29"/>
      <c r="C3511" s="29"/>
      <c r="D3511" s="29"/>
      <c r="E3511" s="29"/>
      <c r="F3511" s="29"/>
      <c r="G3511" s="29"/>
      <c r="H3511" s="29"/>
      <c r="I3511" s="29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  <c r="AA3511" s="7"/>
      <c r="AB3511" s="7"/>
      <c r="AC3511" s="7"/>
      <c r="AD3511" s="7"/>
      <c r="AE3511" s="7"/>
    </row>
    <row r="3512">
      <c r="A3512" s="11"/>
      <c r="B3512" s="29"/>
      <c r="C3512" s="29"/>
      <c r="D3512" s="29"/>
      <c r="E3512" s="29"/>
      <c r="F3512" s="29"/>
      <c r="G3512" s="29"/>
      <c r="H3512" s="29"/>
      <c r="I3512" s="29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  <c r="AA3512" s="7"/>
      <c r="AB3512" s="7"/>
      <c r="AC3512" s="7"/>
      <c r="AD3512" s="7"/>
      <c r="AE3512" s="7"/>
    </row>
    <row r="3513">
      <c r="A3513" s="11"/>
      <c r="B3513" s="29"/>
      <c r="C3513" s="29"/>
      <c r="D3513" s="29"/>
      <c r="E3513" s="29"/>
      <c r="F3513" s="29"/>
      <c r="G3513" s="29"/>
      <c r="H3513" s="29"/>
      <c r="I3513" s="29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  <c r="AA3513" s="7"/>
      <c r="AB3513" s="7"/>
      <c r="AC3513" s="7"/>
      <c r="AD3513" s="7"/>
      <c r="AE3513" s="7"/>
    </row>
    <row r="3514">
      <c r="A3514" s="11"/>
      <c r="B3514" s="29"/>
      <c r="C3514" s="29"/>
      <c r="D3514" s="29"/>
      <c r="E3514" s="29"/>
      <c r="F3514" s="29"/>
      <c r="G3514" s="29"/>
      <c r="H3514" s="29"/>
      <c r="I3514" s="29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  <c r="AA3514" s="7"/>
      <c r="AB3514" s="7"/>
      <c r="AC3514" s="7"/>
      <c r="AD3514" s="7"/>
      <c r="AE3514" s="7"/>
    </row>
    <row r="3515">
      <c r="A3515" s="11"/>
      <c r="B3515" s="29"/>
      <c r="C3515" s="29"/>
      <c r="D3515" s="29"/>
      <c r="E3515" s="29"/>
      <c r="F3515" s="29"/>
      <c r="G3515" s="29"/>
      <c r="H3515" s="29"/>
      <c r="I3515" s="29"/>
      <c r="J3515" s="7"/>
      <c r="K3515" s="7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  <c r="AA3515" s="7"/>
      <c r="AB3515" s="7"/>
      <c r="AC3515" s="7"/>
      <c r="AD3515" s="7"/>
      <c r="AE3515" s="7"/>
    </row>
    <row r="3516">
      <c r="A3516" s="11"/>
      <c r="B3516" s="29"/>
      <c r="C3516" s="29"/>
      <c r="D3516" s="29"/>
      <c r="E3516" s="29"/>
      <c r="F3516" s="29"/>
      <c r="G3516" s="29"/>
      <c r="H3516" s="29"/>
      <c r="I3516" s="29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  <c r="AA3516" s="7"/>
      <c r="AB3516" s="7"/>
      <c r="AC3516" s="7"/>
      <c r="AD3516" s="7"/>
      <c r="AE3516" s="7"/>
    </row>
    <row r="3517">
      <c r="A3517" s="11"/>
      <c r="B3517" s="29"/>
      <c r="C3517" s="29"/>
      <c r="D3517" s="29"/>
      <c r="E3517" s="29"/>
      <c r="F3517" s="29"/>
      <c r="G3517" s="29"/>
      <c r="H3517" s="29"/>
      <c r="I3517" s="29"/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  <c r="AA3517" s="7"/>
      <c r="AB3517" s="7"/>
      <c r="AC3517" s="7"/>
      <c r="AD3517" s="7"/>
      <c r="AE3517" s="7"/>
    </row>
    <row r="3518">
      <c r="A3518" s="11"/>
      <c r="B3518" s="29"/>
      <c r="C3518" s="29"/>
      <c r="D3518" s="29"/>
      <c r="E3518" s="29"/>
      <c r="F3518" s="29"/>
      <c r="G3518" s="29"/>
      <c r="H3518" s="29"/>
      <c r="I3518" s="29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  <c r="AA3518" s="7"/>
      <c r="AB3518" s="7"/>
      <c r="AC3518" s="7"/>
      <c r="AD3518" s="7"/>
      <c r="AE3518" s="7"/>
    </row>
    <row r="3519">
      <c r="A3519" s="11"/>
      <c r="B3519" s="29"/>
      <c r="C3519" s="29"/>
      <c r="D3519" s="29"/>
      <c r="E3519" s="29"/>
      <c r="F3519" s="29"/>
      <c r="G3519" s="29"/>
      <c r="H3519" s="29"/>
      <c r="I3519" s="29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  <c r="AA3519" s="7"/>
      <c r="AB3519" s="7"/>
      <c r="AC3519" s="7"/>
      <c r="AD3519" s="7"/>
      <c r="AE3519" s="7"/>
    </row>
    <row r="3520">
      <c r="A3520" s="11"/>
      <c r="B3520" s="29"/>
      <c r="C3520" s="29"/>
      <c r="D3520" s="29"/>
      <c r="E3520" s="29"/>
      <c r="F3520" s="29"/>
      <c r="G3520" s="29"/>
      <c r="H3520" s="29"/>
      <c r="I3520" s="29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  <c r="AA3520" s="7"/>
      <c r="AB3520" s="7"/>
      <c r="AC3520" s="7"/>
      <c r="AD3520" s="7"/>
      <c r="AE3520" s="7"/>
    </row>
    <row r="3521">
      <c r="A3521" s="11"/>
      <c r="B3521" s="29"/>
      <c r="C3521" s="29"/>
      <c r="D3521" s="29"/>
      <c r="E3521" s="29"/>
      <c r="F3521" s="29"/>
      <c r="G3521" s="29"/>
      <c r="H3521" s="29"/>
      <c r="I3521" s="29"/>
      <c r="J3521" s="7"/>
      <c r="K3521" s="7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  <c r="AA3521" s="7"/>
      <c r="AB3521" s="7"/>
      <c r="AC3521" s="7"/>
      <c r="AD3521" s="7"/>
      <c r="AE3521" s="7"/>
    </row>
    <row r="3522">
      <c r="A3522" s="11"/>
      <c r="B3522" s="29"/>
      <c r="C3522" s="29"/>
      <c r="D3522" s="29"/>
      <c r="E3522" s="29"/>
      <c r="F3522" s="29"/>
      <c r="G3522" s="29"/>
      <c r="H3522" s="29"/>
      <c r="I3522" s="29"/>
      <c r="J3522" s="7"/>
      <c r="K3522" s="7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  <c r="AA3522" s="7"/>
      <c r="AB3522" s="7"/>
      <c r="AC3522" s="7"/>
      <c r="AD3522" s="7"/>
      <c r="AE3522" s="7"/>
    </row>
    <row r="3523">
      <c r="A3523" s="11"/>
      <c r="B3523" s="29"/>
      <c r="C3523" s="29"/>
      <c r="D3523" s="29"/>
      <c r="E3523" s="29"/>
      <c r="F3523" s="29"/>
      <c r="G3523" s="29"/>
      <c r="H3523" s="29"/>
      <c r="I3523" s="29"/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  <c r="AA3523" s="7"/>
      <c r="AB3523" s="7"/>
      <c r="AC3523" s="7"/>
      <c r="AD3523" s="7"/>
      <c r="AE3523" s="7"/>
    </row>
    <row r="3524">
      <c r="A3524" s="11"/>
      <c r="B3524" s="29"/>
      <c r="C3524" s="29"/>
      <c r="D3524" s="29"/>
      <c r="E3524" s="29"/>
      <c r="F3524" s="29"/>
      <c r="G3524" s="29"/>
      <c r="H3524" s="29"/>
      <c r="I3524" s="29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  <c r="AA3524" s="7"/>
      <c r="AB3524" s="7"/>
      <c r="AC3524" s="7"/>
      <c r="AD3524" s="7"/>
      <c r="AE3524" s="7"/>
    </row>
    <row r="3525">
      <c r="A3525" s="11"/>
      <c r="B3525" s="29"/>
      <c r="C3525" s="29"/>
      <c r="D3525" s="29"/>
      <c r="E3525" s="29"/>
      <c r="F3525" s="29"/>
      <c r="G3525" s="29"/>
      <c r="H3525" s="29"/>
      <c r="I3525" s="29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  <c r="AA3525" s="7"/>
      <c r="AB3525" s="7"/>
      <c r="AC3525" s="7"/>
      <c r="AD3525" s="7"/>
      <c r="AE3525" s="7"/>
    </row>
    <row r="3526">
      <c r="A3526" s="11"/>
      <c r="B3526" s="29"/>
      <c r="C3526" s="29"/>
      <c r="D3526" s="29"/>
      <c r="E3526" s="29"/>
      <c r="F3526" s="29"/>
      <c r="G3526" s="29"/>
      <c r="H3526" s="29"/>
      <c r="I3526" s="29"/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  <c r="AA3526" s="7"/>
      <c r="AB3526" s="7"/>
      <c r="AC3526" s="7"/>
      <c r="AD3526" s="7"/>
      <c r="AE3526" s="7"/>
    </row>
    <row r="3527">
      <c r="A3527" s="11"/>
      <c r="B3527" s="29"/>
      <c r="C3527" s="29"/>
      <c r="D3527" s="29"/>
      <c r="E3527" s="29"/>
      <c r="F3527" s="29"/>
      <c r="G3527" s="29"/>
      <c r="H3527" s="29"/>
      <c r="I3527" s="29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  <c r="AA3527" s="7"/>
      <c r="AB3527" s="7"/>
      <c r="AC3527" s="7"/>
      <c r="AD3527" s="7"/>
      <c r="AE3527" s="7"/>
    </row>
    <row r="3528">
      <c r="A3528" s="11"/>
      <c r="B3528" s="29"/>
      <c r="C3528" s="29"/>
      <c r="D3528" s="29"/>
      <c r="E3528" s="29"/>
      <c r="F3528" s="29"/>
      <c r="G3528" s="29"/>
      <c r="H3528" s="29"/>
      <c r="I3528" s="29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  <c r="AA3528" s="7"/>
      <c r="AB3528" s="7"/>
      <c r="AC3528" s="7"/>
      <c r="AD3528" s="7"/>
      <c r="AE3528" s="7"/>
    </row>
    <row r="3529">
      <c r="A3529" s="11"/>
      <c r="B3529" s="29"/>
      <c r="C3529" s="29"/>
      <c r="D3529" s="29"/>
      <c r="E3529" s="29"/>
      <c r="F3529" s="29"/>
      <c r="G3529" s="29"/>
      <c r="H3529" s="29"/>
      <c r="I3529" s="29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  <c r="AA3529" s="7"/>
      <c r="AB3529" s="7"/>
      <c r="AC3529" s="7"/>
      <c r="AD3529" s="7"/>
      <c r="AE3529" s="7"/>
    </row>
    <row r="3530">
      <c r="A3530" s="11"/>
      <c r="B3530" s="29"/>
      <c r="C3530" s="29"/>
      <c r="D3530" s="29"/>
      <c r="E3530" s="29"/>
      <c r="F3530" s="29"/>
      <c r="G3530" s="29"/>
      <c r="H3530" s="29"/>
      <c r="I3530" s="29"/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  <c r="AA3530" s="7"/>
      <c r="AB3530" s="7"/>
      <c r="AC3530" s="7"/>
      <c r="AD3530" s="7"/>
      <c r="AE3530" s="7"/>
    </row>
    <row r="3531">
      <c r="A3531" s="11"/>
      <c r="B3531" s="29"/>
      <c r="C3531" s="29"/>
      <c r="D3531" s="29"/>
      <c r="E3531" s="29"/>
      <c r="F3531" s="29"/>
      <c r="G3531" s="29"/>
      <c r="H3531" s="29"/>
      <c r="I3531" s="29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  <c r="AA3531" s="7"/>
      <c r="AB3531" s="7"/>
      <c r="AC3531" s="7"/>
      <c r="AD3531" s="7"/>
      <c r="AE3531" s="7"/>
    </row>
    <row r="3532">
      <c r="A3532" s="11"/>
      <c r="B3532" s="29"/>
      <c r="C3532" s="29"/>
      <c r="D3532" s="29"/>
      <c r="E3532" s="29"/>
      <c r="F3532" s="29"/>
      <c r="G3532" s="29"/>
      <c r="H3532" s="29"/>
      <c r="I3532" s="29"/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  <c r="AA3532" s="7"/>
      <c r="AB3532" s="7"/>
      <c r="AC3532" s="7"/>
      <c r="AD3532" s="7"/>
      <c r="AE3532" s="7"/>
    </row>
    <row r="3533">
      <c r="A3533" s="11"/>
      <c r="B3533" s="29"/>
      <c r="C3533" s="29"/>
      <c r="D3533" s="29"/>
      <c r="E3533" s="29"/>
      <c r="F3533" s="29"/>
      <c r="G3533" s="29"/>
      <c r="H3533" s="29"/>
      <c r="I3533" s="29"/>
      <c r="J3533" s="7"/>
      <c r="K3533" s="7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  <c r="AA3533" s="7"/>
      <c r="AB3533" s="7"/>
      <c r="AC3533" s="7"/>
      <c r="AD3533" s="7"/>
      <c r="AE3533" s="7"/>
    </row>
    <row r="3534">
      <c r="A3534" s="11"/>
      <c r="B3534" s="29"/>
      <c r="C3534" s="29"/>
      <c r="D3534" s="29"/>
      <c r="E3534" s="29"/>
      <c r="F3534" s="29"/>
      <c r="G3534" s="29"/>
      <c r="H3534" s="29"/>
      <c r="I3534" s="29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  <c r="AA3534" s="7"/>
      <c r="AB3534" s="7"/>
      <c r="AC3534" s="7"/>
      <c r="AD3534" s="7"/>
      <c r="AE3534" s="7"/>
    </row>
  </sheetData>
  <mergeCells count="375">
    <mergeCell ref="D1212:D1241"/>
    <mergeCell ref="D1242:D1271"/>
    <mergeCell ref="E1242:E1271"/>
    <mergeCell ref="F1242:F1271"/>
    <mergeCell ref="G1242:G1271"/>
    <mergeCell ref="H1242:H1271"/>
    <mergeCell ref="D1272:D1301"/>
    <mergeCell ref="E1272:E1301"/>
    <mergeCell ref="F1272:F1301"/>
    <mergeCell ref="D1302:D1351"/>
    <mergeCell ref="E1302:E1351"/>
    <mergeCell ref="F1302:F1351"/>
    <mergeCell ref="G1302:G1351"/>
    <mergeCell ref="H1302:H1351"/>
    <mergeCell ref="D902:D931"/>
    <mergeCell ref="D932:D961"/>
    <mergeCell ref="E932:E961"/>
    <mergeCell ref="F932:F961"/>
    <mergeCell ref="G932:G961"/>
    <mergeCell ref="H932:H961"/>
    <mergeCell ref="D872:D901"/>
    <mergeCell ref="E872:E901"/>
    <mergeCell ref="F872:F901"/>
    <mergeCell ref="G872:G901"/>
    <mergeCell ref="H872:H901"/>
    <mergeCell ref="E902:E931"/>
    <mergeCell ref="H902:H931"/>
    <mergeCell ref="F902:F931"/>
    <mergeCell ref="G902:G931"/>
    <mergeCell ref="D962:D1161"/>
    <mergeCell ref="E962:E1161"/>
    <mergeCell ref="F962:F1161"/>
    <mergeCell ref="G962:G1161"/>
    <mergeCell ref="H962:H1161"/>
    <mergeCell ref="F1212:F1241"/>
    <mergeCell ref="G1212:G1241"/>
    <mergeCell ref="D1162:D1211"/>
    <mergeCell ref="E1162:E1211"/>
    <mergeCell ref="F1162:F1211"/>
    <mergeCell ref="G1162:G1211"/>
    <mergeCell ref="H1162:H1211"/>
    <mergeCell ref="E1212:E1241"/>
    <mergeCell ref="H1212:H1241"/>
    <mergeCell ref="G1272:G1301"/>
    <mergeCell ref="H1272:H1301"/>
    <mergeCell ref="E1442:E1471"/>
    <mergeCell ref="F1442:F1471"/>
    <mergeCell ref="G1942:G1971"/>
    <mergeCell ref="H1942:H1971"/>
    <mergeCell ref="D1862:D1891"/>
    <mergeCell ref="D1892:D1941"/>
    <mergeCell ref="E1892:E1941"/>
    <mergeCell ref="F1892:F1941"/>
    <mergeCell ref="G1892:G1941"/>
    <mergeCell ref="H1892:H1941"/>
    <mergeCell ref="D1942:D1971"/>
    <mergeCell ref="G1682:G1711"/>
    <mergeCell ref="H1682:H1711"/>
    <mergeCell ref="G1712:G1741"/>
    <mergeCell ref="H1712:H1741"/>
    <mergeCell ref="G1742:G1771"/>
    <mergeCell ref="H1742:H1771"/>
    <mergeCell ref="D1622:D1651"/>
    <mergeCell ref="D1652:D1681"/>
    <mergeCell ref="E1652:E1681"/>
    <mergeCell ref="F1652:F1681"/>
    <mergeCell ref="G1652:G1681"/>
    <mergeCell ref="H1652:H1681"/>
    <mergeCell ref="D1682:D1711"/>
    <mergeCell ref="E1682:E1711"/>
    <mergeCell ref="F1682:F1711"/>
    <mergeCell ref="D1712:D1741"/>
    <mergeCell ref="E1712:E1741"/>
    <mergeCell ref="F1712:F1741"/>
    <mergeCell ref="E1742:E1771"/>
    <mergeCell ref="F1742:F1771"/>
    <mergeCell ref="G1802:G1831"/>
    <mergeCell ref="H1802:H1831"/>
    <mergeCell ref="G1832:G1861"/>
    <mergeCell ref="H1832:H1861"/>
    <mergeCell ref="G1862:G1891"/>
    <mergeCell ref="H1862:H1891"/>
    <mergeCell ref="D1742:D1771"/>
    <mergeCell ref="D1772:D1801"/>
    <mergeCell ref="E1772:E1801"/>
    <mergeCell ref="F1772:F1801"/>
    <mergeCell ref="G1772:G1801"/>
    <mergeCell ref="H1772:H1801"/>
    <mergeCell ref="D1802:D1831"/>
    <mergeCell ref="E1802:E1831"/>
    <mergeCell ref="F1802:F1831"/>
    <mergeCell ref="D1832:D1861"/>
    <mergeCell ref="E1832:E1861"/>
    <mergeCell ref="F1832:F1861"/>
    <mergeCell ref="E1862:E1891"/>
    <mergeCell ref="F1862:F1891"/>
    <mergeCell ref="E1942:E1971"/>
    <mergeCell ref="F1942:F1971"/>
    <mergeCell ref="D1972:D2001"/>
    <mergeCell ref="E1972:E2001"/>
    <mergeCell ref="F1972:F2001"/>
    <mergeCell ref="G1972:G2001"/>
    <mergeCell ref="H1972:H2001"/>
    <mergeCell ref="F2522:F2551"/>
    <mergeCell ref="G2522:G2551"/>
    <mergeCell ref="D2372:D2521"/>
    <mergeCell ref="E2372:E2521"/>
    <mergeCell ref="F2372:F2521"/>
    <mergeCell ref="G2372:G2521"/>
    <mergeCell ref="H2372:H2521"/>
    <mergeCell ref="E2522:E2551"/>
    <mergeCell ref="H2522:H2551"/>
    <mergeCell ref="G2582:G2611"/>
    <mergeCell ref="H2582:H2611"/>
    <mergeCell ref="D2522:D2551"/>
    <mergeCell ref="D2552:D2581"/>
    <mergeCell ref="E2552:E2581"/>
    <mergeCell ref="F2552:F2581"/>
    <mergeCell ref="G2552:G2581"/>
    <mergeCell ref="H2552:H2581"/>
    <mergeCell ref="D2582:D2611"/>
    <mergeCell ref="F2032:F2061"/>
    <mergeCell ref="G2032:G2061"/>
    <mergeCell ref="D2002:D2031"/>
    <mergeCell ref="E2002:E2031"/>
    <mergeCell ref="F2002:F2031"/>
    <mergeCell ref="G2002:G2031"/>
    <mergeCell ref="H2002:H2031"/>
    <mergeCell ref="E2032:E2061"/>
    <mergeCell ref="H2032:H2061"/>
    <mergeCell ref="G2112:G2141"/>
    <mergeCell ref="H2112:H2141"/>
    <mergeCell ref="G2142:G2171"/>
    <mergeCell ref="H2142:H2171"/>
    <mergeCell ref="D2032:D2061"/>
    <mergeCell ref="D2062:D2111"/>
    <mergeCell ref="E2062:E2111"/>
    <mergeCell ref="F2062:F2111"/>
    <mergeCell ref="G2062:G2111"/>
    <mergeCell ref="H2062:H2111"/>
    <mergeCell ref="D2112:D2141"/>
    <mergeCell ref="F2172:F2371"/>
    <mergeCell ref="G2172:G2371"/>
    <mergeCell ref="H2172:H2371"/>
    <mergeCell ref="E2112:E2141"/>
    <mergeCell ref="F2112:F2141"/>
    <mergeCell ref="D2142:D2171"/>
    <mergeCell ref="E2142:E2171"/>
    <mergeCell ref="F2142:F2171"/>
    <mergeCell ref="D2172:D2371"/>
    <mergeCell ref="E2172:E2371"/>
    <mergeCell ref="E2582:E2611"/>
    <mergeCell ref="F2582:F2611"/>
    <mergeCell ref="D2612:D2641"/>
    <mergeCell ref="E2612:E2641"/>
    <mergeCell ref="F2612:F2641"/>
    <mergeCell ref="G2612:G2641"/>
    <mergeCell ref="H2612:H2641"/>
    <mergeCell ref="D3185:D3234"/>
    <mergeCell ref="E3185:E3234"/>
    <mergeCell ref="F3185:F3234"/>
    <mergeCell ref="G3185:G3234"/>
    <mergeCell ref="H3185:H3234"/>
    <mergeCell ref="E3235:E3264"/>
    <mergeCell ref="H3235:H3264"/>
    <mergeCell ref="G3295:G3324"/>
    <mergeCell ref="H3295:H3324"/>
    <mergeCell ref="D3235:D3264"/>
    <mergeCell ref="D3265:D3294"/>
    <mergeCell ref="E3265:E3294"/>
    <mergeCell ref="F3265:F3294"/>
    <mergeCell ref="G3265:G3294"/>
    <mergeCell ref="H3265:H3294"/>
    <mergeCell ref="D3295:D3324"/>
    <mergeCell ref="F2792:F2891"/>
    <mergeCell ref="G2792:G2891"/>
    <mergeCell ref="D2642:D2791"/>
    <mergeCell ref="E2642:E2791"/>
    <mergeCell ref="F2642:F2791"/>
    <mergeCell ref="G2642:G2791"/>
    <mergeCell ref="H2642:H2791"/>
    <mergeCell ref="E2792:E2891"/>
    <mergeCell ref="H2792:H2891"/>
    <mergeCell ref="E3085:E3184"/>
    <mergeCell ref="F3085:F3184"/>
    <mergeCell ref="G3085:G3184"/>
    <mergeCell ref="H3085:H3184"/>
    <mergeCell ref="D2792:D2891"/>
    <mergeCell ref="D2892:D3084"/>
    <mergeCell ref="E2892:E3084"/>
    <mergeCell ref="F2892:F3084"/>
    <mergeCell ref="G2892:G3084"/>
    <mergeCell ref="H2892:H3084"/>
    <mergeCell ref="D3085:D3184"/>
    <mergeCell ref="F3235:F3264"/>
    <mergeCell ref="G3235:G3264"/>
    <mergeCell ref="D3355:D3384"/>
    <mergeCell ref="E3355:E3384"/>
    <mergeCell ref="F3355:F3384"/>
    <mergeCell ref="G3355:G3384"/>
    <mergeCell ref="H3355:H3384"/>
    <mergeCell ref="E3295:E3324"/>
    <mergeCell ref="F3295:F3324"/>
    <mergeCell ref="D3325:D3354"/>
    <mergeCell ref="E3325:E3354"/>
    <mergeCell ref="F3325:F3354"/>
    <mergeCell ref="G3325:G3354"/>
    <mergeCell ref="H3325:H3354"/>
    <mergeCell ref="D292:D321"/>
    <mergeCell ref="E292:E321"/>
    <mergeCell ref="F292:F321"/>
    <mergeCell ref="G292:G321"/>
    <mergeCell ref="H292:H321"/>
    <mergeCell ref="E322:E351"/>
    <mergeCell ref="H322:H351"/>
    <mergeCell ref="G382:G411"/>
    <mergeCell ref="H382:H411"/>
    <mergeCell ref="D322:D351"/>
    <mergeCell ref="D352:D381"/>
    <mergeCell ref="E352:E381"/>
    <mergeCell ref="F352:F381"/>
    <mergeCell ref="G352:G381"/>
    <mergeCell ref="H352:H381"/>
    <mergeCell ref="D382:D411"/>
    <mergeCell ref="D2:D31"/>
    <mergeCell ref="E2:E31"/>
    <mergeCell ref="F2:F31"/>
    <mergeCell ref="G2:G31"/>
    <mergeCell ref="H2:H31"/>
    <mergeCell ref="E32:E131"/>
    <mergeCell ref="H32:H131"/>
    <mergeCell ref="F182:F231"/>
    <mergeCell ref="F232:F261"/>
    <mergeCell ref="G232:G261"/>
    <mergeCell ref="H232:H261"/>
    <mergeCell ref="F32:F131"/>
    <mergeCell ref="G32:G131"/>
    <mergeCell ref="F132:F181"/>
    <mergeCell ref="G132:G181"/>
    <mergeCell ref="H132:H181"/>
    <mergeCell ref="G182:G231"/>
    <mergeCell ref="H182:H231"/>
    <mergeCell ref="D262:D291"/>
    <mergeCell ref="E262:E291"/>
    <mergeCell ref="F262:F291"/>
    <mergeCell ref="G262:G291"/>
    <mergeCell ref="H262:H291"/>
    <mergeCell ref="D32:D131"/>
    <mergeCell ref="D132:D181"/>
    <mergeCell ref="E132:E181"/>
    <mergeCell ref="D182:D231"/>
    <mergeCell ref="E182:E231"/>
    <mergeCell ref="D232:D261"/>
    <mergeCell ref="E232:E261"/>
    <mergeCell ref="F322:F351"/>
    <mergeCell ref="G322:G351"/>
    <mergeCell ref="E382:E411"/>
    <mergeCell ref="F382:F411"/>
    <mergeCell ref="D412:D461"/>
    <mergeCell ref="E412:E461"/>
    <mergeCell ref="F412:F461"/>
    <mergeCell ref="G412:G461"/>
    <mergeCell ref="H412:H461"/>
    <mergeCell ref="G692:G721"/>
    <mergeCell ref="H692:H721"/>
    <mergeCell ref="G722:G751"/>
    <mergeCell ref="H722:H751"/>
    <mergeCell ref="G752:G781"/>
    <mergeCell ref="H752:H781"/>
    <mergeCell ref="E692:E721"/>
    <mergeCell ref="F692:F721"/>
    <mergeCell ref="D722:D751"/>
    <mergeCell ref="E722:E751"/>
    <mergeCell ref="F722:F751"/>
    <mergeCell ref="E752:E781"/>
    <mergeCell ref="F752:F781"/>
    <mergeCell ref="G812:G841"/>
    <mergeCell ref="H812:H841"/>
    <mergeCell ref="D752:D781"/>
    <mergeCell ref="D782:D811"/>
    <mergeCell ref="E782:E811"/>
    <mergeCell ref="F782:F811"/>
    <mergeCell ref="G782:G811"/>
    <mergeCell ref="H782:H811"/>
    <mergeCell ref="D812:D841"/>
    <mergeCell ref="F512:F541"/>
    <mergeCell ref="G512:G541"/>
    <mergeCell ref="D462:D511"/>
    <mergeCell ref="E462:E511"/>
    <mergeCell ref="F462:F511"/>
    <mergeCell ref="G462:G511"/>
    <mergeCell ref="H462:H511"/>
    <mergeCell ref="E512:E541"/>
    <mergeCell ref="H512:H541"/>
    <mergeCell ref="G572:G601"/>
    <mergeCell ref="H572:H601"/>
    <mergeCell ref="G602:G631"/>
    <mergeCell ref="H602:H631"/>
    <mergeCell ref="G632:G661"/>
    <mergeCell ref="H632:H661"/>
    <mergeCell ref="D512:D541"/>
    <mergeCell ref="D542:D571"/>
    <mergeCell ref="E542:E571"/>
    <mergeCell ref="F542:F571"/>
    <mergeCell ref="G542:G571"/>
    <mergeCell ref="H542:H571"/>
    <mergeCell ref="D572:D601"/>
    <mergeCell ref="E572:E601"/>
    <mergeCell ref="F572:F601"/>
    <mergeCell ref="D602:D631"/>
    <mergeCell ref="E602:E631"/>
    <mergeCell ref="F602:F631"/>
    <mergeCell ref="E632:E661"/>
    <mergeCell ref="F632:F661"/>
    <mergeCell ref="D632:D661"/>
    <mergeCell ref="D662:D691"/>
    <mergeCell ref="E662:E691"/>
    <mergeCell ref="F662:F691"/>
    <mergeCell ref="G662:G691"/>
    <mergeCell ref="H662:H691"/>
    <mergeCell ref="D692:D721"/>
    <mergeCell ref="E812:E841"/>
    <mergeCell ref="F812:F841"/>
    <mergeCell ref="D842:D871"/>
    <mergeCell ref="E842:E871"/>
    <mergeCell ref="F842:F871"/>
    <mergeCell ref="G842:G871"/>
    <mergeCell ref="H842:H871"/>
    <mergeCell ref="F1382:F1411"/>
    <mergeCell ref="G1382:G1411"/>
    <mergeCell ref="D1352:D1381"/>
    <mergeCell ref="E1352:E1381"/>
    <mergeCell ref="F1352:F1381"/>
    <mergeCell ref="G1352:G1381"/>
    <mergeCell ref="H1352:H1381"/>
    <mergeCell ref="E1382:E1411"/>
    <mergeCell ref="H1382:H1411"/>
    <mergeCell ref="G1442:G1471"/>
    <mergeCell ref="H1442:H1471"/>
    <mergeCell ref="D1382:D1411"/>
    <mergeCell ref="D1412:D1441"/>
    <mergeCell ref="E1412:E1441"/>
    <mergeCell ref="F1412:F1441"/>
    <mergeCell ref="G1412:G1441"/>
    <mergeCell ref="H1412:H1441"/>
    <mergeCell ref="D1442:D1471"/>
    <mergeCell ref="F1502:F1531"/>
    <mergeCell ref="G1502:G1531"/>
    <mergeCell ref="D1472:D1501"/>
    <mergeCell ref="E1472:E1501"/>
    <mergeCell ref="F1472:F1501"/>
    <mergeCell ref="G1472:G1501"/>
    <mergeCell ref="H1472:H1501"/>
    <mergeCell ref="E1502:E1531"/>
    <mergeCell ref="H1502:H1531"/>
    <mergeCell ref="G1562:G1591"/>
    <mergeCell ref="H1562:H1591"/>
    <mergeCell ref="G1592:G1621"/>
    <mergeCell ref="H1592:H1621"/>
    <mergeCell ref="G1622:G1651"/>
    <mergeCell ref="H1622:H1651"/>
    <mergeCell ref="D1502:D1531"/>
    <mergeCell ref="D1532:D1561"/>
    <mergeCell ref="E1532:E1561"/>
    <mergeCell ref="F1532:F1561"/>
    <mergeCell ref="G1532:G1561"/>
    <mergeCell ref="H1532:H1561"/>
    <mergeCell ref="D1562:D1591"/>
    <mergeCell ref="E1562:E1591"/>
    <mergeCell ref="F1562:F1591"/>
    <mergeCell ref="D1592:D1621"/>
    <mergeCell ref="E1592:E1621"/>
    <mergeCell ref="F1592:F1621"/>
    <mergeCell ref="E1622:E1651"/>
    <mergeCell ref="F1622:F1651"/>
  </mergeCells>
  <conditionalFormatting sqref="J2:J3400">
    <cfRule type="expression" dxfId="2" priority="1" stopIfTrue="1">
      <formula>COUNTIFS(INDIRECT("'Trang tính3'!A:A"),$B2,INDIRECT("'Trang tính3'!B:B"),$J2)&gt;0</formula>
    </cfRule>
  </conditionalFormatting>
  <conditionalFormatting sqref="K2:K3400">
    <cfRule type="cellIs" dxfId="3" priority="2" stopIfTrue="1" operator="equal">
      <formula>"CẦN SOÁT"</formula>
    </cfRule>
  </conditionalFormatting>
  <conditionalFormatting sqref="K2:K3400">
    <cfRule type="cellIs" dxfId="0" priority="3" stopIfTrue="1" operator="equal">
      <formula>"CÓ THỂ ĐI"</formula>
    </cfRule>
  </conditionalFormatting>
  <conditionalFormatting sqref="K2:K3400">
    <cfRule type="cellIs" dxfId="1" priority="4" stopIfTrue="1" operator="equal">
      <formula>"PHÙ HỢP CAO"</formula>
    </cfRule>
  </conditionalFormatting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32"/>
    <hyperlink r:id="rId9" ref="I33"/>
    <hyperlink r:id="rId10" ref="I34"/>
    <hyperlink r:id="rId11" ref="I35"/>
    <hyperlink r:id="rId12" ref="I36"/>
    <hyperlink r:id="rId13" ref="I37"/>
    <hyperlink r:id="rId14" ref="I38"/>
    <hyperlink r:id="rId15" ref="I39"/>
    <hyperlink r:id="rId16" ref="I40"/>
    <hyperlink r:id="rId17" ref="I41"/>
    <hyperlink r:id="rId18" ref="I42"/>
    <hyperlink r:id="rId19" ref="I43"/>
    <hyperlink r:id="rId20" ref="I44"/>
    <hyperlink r:id="rId21" ref="I45"/>
    <hyperlink r:id="rId22" ref="I46"/>
    <hyperlink r:id="rId23" ref="I47"/>
    <hyperlink r:id="rId24" ref="I48"/>
    <hyperlink r:id="rId25" ref="I49"/>
    <hyperlink r:id="rId26" ref="I50"/>
    <hyperlink r:id="rId27" ref="I51"/>
    <hyperlink r:id="rId28" ref="I52"/>
    <hyperlink r:id="rId29" ref="I132"/>
    <hyperlink r:id="rId30" ref="I133"/>
    <hyperlink r:id="rId31" ref="I134"/>
    <hyperlink r:id="rId32" ref="I135"/>
    <hyperlink r:id="rId33" ref="I136"/>
    <hyperlink r:id="rId34" ref="I137"/>
    <hyperlink r:id="rId35" ref="I138"/>
    <hyperlink r:id="rId36" ref="I139"/>
    <hyperlink r:id="rId37" ref="I140"/>
    <hyperlink r:id="rId38" ref="I141"/>
    <hyperlink r:id="rId39" ref="I142"/>
    <hyperlink r:id="rId40" ref="I143"/>
    <hyperlink r:id="rId41" ref="I144"/>
    <hyperlink r:id="rId42" ref="I145"/>
    <hyperlink r:id="rId43" ref="I146"/>
    <hyperlink r:id="rId44" ref="I147"/>
    <hyperlink r:id="rId45" ref="I148"/>
    <hyperlink r:id="rId46" ref="I149"/>
    <hyperlink r:id="rId47" ref="I150"/>
    <hyperlink r:id="rId48" ref="I151"/>
    <hyperlink r:id="rId49" ref="I152"/>
    <hyperlink r:id="rId50" ref="I153"/>
    <hyperlink r:id="rId51" ref="I182"/>
    <hyperlink r:id="rId52" ref="I183"/>
    <hyperlink r:id="rId53" ref="I184"/>
    <hyperlink r:id="rId54" ref="I185"/>
    <hyperlink r:id="rId55" ref="I186"/>
    <hyperlink r:id="rId56" ref="I187"/>
    <hyperlink r:id="rId57" ref="I188"/>
    <hyperlink r:id="rId58" ref="I189"/>
    <hyperlink r:id="rId59" ref="I190"/>
    <hyperlink r:id="rId60" ref="I191"/>
    <hyperlink r:id="rId61" ref="I192"/>
    <hyperlink r:id="rId62" ref="I193"/>
    <hyperlink r:id="rId63" ref="I194"/>
    <hyperlink r:id="rId64" ref="I195"/>
    <hyperlink r:id="rId65" ref="I196"/>
    <hyperlink r:id="rId66" ref="I197"/>
    <hyperlink r:id="rId67" ref="I198"/>
    <hyperlink r:id="rId68" ref="I199"/>
    <hyperlink r:id="rId69" ref="I200"/>
    <hyperlink r:id="rId70" ref="I201"/>
    <hyperlink r:id="rId71" ref="I202"/>
    <hyperlink r:id="rId72" ref="I203"/>
    <hyperlink r:id="rId73" ref="I204"/>
    <hyperlink r:id="rId74" ref="I205"/>
    <hyperlink r:id="rId75" ref="I206"/>
    <hyperlink r:id="rId76" ref="I207"/>
    <hyperlink r:id="rId77" ref="I208"/>
    <hyperlink r:id="rId78" ref="I209"/>
    <hyperlink r:id="rId79" ref="I232"/>
    <hyperlink r:id="rId80" ref="I233"/>
    <hyperlink r:id="rId81" ref="I234"/>
    <hyperlink r:id="rId82" ref="I235"/>
    <hyperlink r:id="rId83" ref="I236"/>
    <hyperlink r:id="rId84" ref="I237"/>
    <hyperlink r:id="rId85" ref="I238"/>
    <hyperlink r:id="rId86" ref="I239"/>
    <hyperlink r:id="rId87" ref="I240"/>
    <hyperlink r:id="rId88" ref="I241"/>
    <hyperlink r:id="rId89" ref="I242"/>
    <hyperlink r:id="rId90" ref="I243"/>
    <hyperlink r:id="rId91" ref="I244"/>
    <hyperlink r:id="rId92" ref="I245"/>
    <hyperlink r:id="rId93" ref="I246"/>
    <hyperlink r:id="rId94" ref="I247"/>
    <hyperlink r:id="rId95" ref="I248"/>
    <hyperlink r:id="rId96" ref="I249"/>
    <hyperlink r:id="rId97" ref="I250"/>
    <hyperlink r:id="rId98" ref="I251"/>
    <hyperlink r:id="rId99" ref="I252"/>
    <hyperlink r:id="rId100" ref="I253"/>
    <hyperlink r:id="rId101" ref="I254"/>
    <hyperlink r:id="rId102" ref="I262"/>
    <hyperlink r:id="rId103" ref="I263"/>
    <hyperlink r:id="rId104" ref="I264"/>
    <hyperlink r:id="rId105" ref="I265"/>
    <hyperlink r:id="rId106" ref="I266"/>
    <hyperlink r:id="rId107" ref="I267"/>
    <hyperlink r:id="rId108" ref="I268"/>
    <hyperlink r:id="rId109" ref="I269"/>
    <hyperlink r:id="rId110" ref="I270"/>
    <hyperlink r:id="rId111" ref="I271"/>
    <hyperlink r:id="rId112" ref="I292"/>
    <hyperlink r:id="rId113" ref="I293"/>
    <hyperlink r:id="rId114" ref="I294"/>
    <hyperlink r:id="rId115" ref="I295"/>
    <hyperlink r:id="rId116" ref="I296"/>
    <hyperlink r:id="rId117" ref="I297"/>
    <hyperlink r:id="rId118" ref="I298"/>
    <hyperlink r:id="rId119" ref="I299"/>
    <hyperlink r:id="rId120" ref="I300"/>
    <hyperlink r:id="rId121" ref="I301"/>
    <hyperlink r:id="rId122" ref="I302"/>
    <hyperlink r:id="rId123" ref="I303"/>
    <hyperlink r:id="rId124" ref="I304"/>
    <hyperlink r:id="rId125" ref="I305"/>
    <hyperlink r:id="rId126" ref="I306"/>
    <hyperlink r:id="rId127" ref="I307"/>
    <hyperlink r:id="rId128" ref="I308"/>
    <hyperlink r:id="rId129" ref="I309"/>
    <hyperlink r:id="rId130" ref="I310"/>
    <hyperlink r:id="rId131" ref="I322"/>
    <hyperlink r:id="rId132" ref="I323"/>
    <hyperlink r:id="rId133" ref="I324"/>
    <hyperlink r:id="rId134" ref="I325"/>
    <hyperlink r:id="rId135" ref="I326"/>
    <hyperlink r:id="rId136" ref="I327"/>
    <hyperlink r:id="rId137" ref="I328"/>
    <hyperlink r:id="rId138" ref="I329"/>
    <hyperlink r:id="rId139" ref="I330"/>
    <hyperlink r:id="rId140" ref="I331"/>
    <hyperlink r:id="rId141" ref="I332"/>
    <hyperlink r:id="rId142" ref="I333"/>
    <hyperlink r:id="rId143" ref="I334"/>
    <hyperlink r:id="rId144" ref="I352"/>
    <hyperlink r:id="rId145" ref="I353"/>
    <hyperlink r:id="rId146" ref="I354"/>
    <hyperlink r:id="rId147" ref="I355"/>
    <hyperlink r:id="rId148" ref="I356"/>
    <hyperlink r:id="rId149" ref="I357"/>
    <hyperlink r:id="rId150" ref="I358"/>
    <hyperlink r:id="rId151" ref="I359"/>
    <hyperlink r:id="rId152" ref="I360"/>
    <hyperlink r:id="rId153" ref="I361"/>
    <hyperlink r:id="rId154" ref="I362"/>
    <hyperlink r:id="rId155" ref="I363"/>
    <hyperlink r:id="rId156" ref="I364"/>
    <hyperlink r:id="rId157" ref="I365"/>
    <hyperlink r:id="rId158" ref="I366"/>
    <hyperlink r:id="rId159" ref="I367"/>
    <hyperlink r:id="rId160" ref="I368"/>
    <hyperlink r:id="rId161" ref="I369"/>
    <hyperlink r:id="rId162" ref="I370"/>
    <hyperlink r:id="rId163" ref="I371"/>
    <hyperlink r:id="rId164" ref="I372"/>
    <hyperlink r:id="rId165" ref="I373"/>
    <hyperlink r:id="rId166" ref="I374"/>
    <hyperlink r:id="rId167" ref="I375"/>
    <hyperlink r:id="rId168" ref="I376"/>
    <hyperlink r:id="rId169" ref="I382"/>
    <hyperlink r:id="rId170" ref="I383"/>
    <hyperlink r:id="rId171" ref="I384"/>
    <hyperlink r:id="rId172" ref="I385"/>
    <hyperlink r:id="rId173" ref="I386"/>
    <hyperlink r:id="rId174" ref="I387"/>
    <hyperlink r:id="rId175" ref="I388"/>
    <hyperlink r:id="rId176" ref="I389"/>
    <hyperlink r:id="rId177" ref="I412"/>
    <hyperlink r:id="rId178" ref="I413"/>
    <hyperlink r:id="rId179" ref="I414"/>
    <hyperlink r:id="rId180" ref="I415"/>
    <hyperlink r:id="rId181" ref="I416"/>
    <hyperlink r:id="rId182" ref="I417"/>
    <hyperlink r:id="rId183" ref="I418"/>
    <hyperlink r:id="rId184" ref="I419"/>
    <hyperlink r:id="rId185" ref="I420"/>
    <hyperlink r:id="rId186" ref="I421"/>
    <hyperlink r:id="rId187" ref="I422"/>
    <hyperlink r:id="rId188" ref="I423"/>
    <hyperlink r:id="rId189" ref="I424"/>
    <hyperlink r:id="rId190" ref="I425"/>
    <hyperlink r:id="rId191" ref="I426"/>
    <hyperlink r:id="rId192" ref="I427"/>
    <hyperlink r:id="rId193" ref="I428"/>
    <hyperlink r:id="rId194" ref="I462"/>
    <hyperlink r:id="rId195" ref="I463"/>
    <hyperlink r:id="rId196" ref="I464"/>
    <hyperlink r:id="rId197" ref="I465"/>
    <hyperlink r:id="rId198" ref="I466"/>
    <hyperlink r:id="rId199" ref="I467"/>
    <hyperlink r:id="rId200" ref="I468"/>
    <hyperlink r:id="rId201" ref="I469"/>
    <hyperlink r:id="rId202" ref="I470"/>
    <hyperlink r:id="rId203" ref="I471"/>
    <hyperlink r:id="rId204" ref="I472"/>
    <hyperlink r:id="rId205" ref="I473"/>
    <hyperlink r:id="rId206" ref="I474"/>
    <hyperlink r:id="rId207" ref="I475"/>
    <hyperlink r:id="rId208" ref="I476"/>
    <hyperlink r:id="rId209" ref="I477"/>
    <hyperlink r:id="rId210" ref="I512"/>
    <hyperlink r:id="rId211" ref="I513"/>
    <hyperlink r:id="rId212" ref="I514"/>
    <hyperlink r:id="rId213" ref="I515"/>
    <hyperlink r:id="rId214" ref="I516"/>
    <hyperlink r:id="rId215" ref="I517"/>
    <hyperlink r:id="rId216" ref="I518"/>
    <hyperlink r:id="rId217" ref="I519"/>
    <hyperlink r:id="rId218" ref="I520"/>
    <hyperlink r:id="rId219" ref="I521"/>
    <hyperlink r:id="rId220" ref="I522"/>
    <hyperlink r:id="rId221" ref="I523"/>
    <hyperlink r:id="rId222" ref="I524"/>
    <hyperlink r:id="rId223" ref="I525"/>
    <hyperlink r:id="rId224" ref="I526"/>
    <hyperlink r:id="rId225" ref="I527"/>
    <hyperlink r:id="rId226" ref="I528"/>
    <hyperlink r:id="rId227" ref="I529"/>
    <hyperlink r:id="rId228" ref="I530"/>
    <hyperlink r:id="rId229" ref="I531"/>
    <hyperlink r:id="rId230" ref="I532"/>
    <hyperlink r:id="rId231" ref="I533"/>
    <hyperlink r:id="rId232" ref="I542"/>
    <hyperlink r:id="rId233" ref="I543"/>
    <hyperlink r:id="rId234" ref="I544"/>
    <hyperlink r:id="rId235" ref="I545"/>
    <hyperlink r:id="rId236" ref="I546"/>
    <hyperlink r:id="rId237" ref="I547"/>
    <hyperlink r:id="rId238" ref="I548"/>
    <hyperlink r:id="rId239" ref="I549"/>
    <hyperlink r:id="rId240" ref="I550"/>
    <hyperlink r:id="rId241" ref="I551"/>
    <hyperlink r:id="rId242" ref="I552"/>
    <hyperlink r:id="rId243" ref="I553"/>
    <hyperlink r:id="rId244" ref="I554"/>
    <hyperlink r:id="rId245" ref="I555"/>
    <hyperlink r:id="rId246" ref="I556"/>
    <hyperlink r:id="rId247" ref="I557"/>
    <hyperlink r:id="rId248" ref="I558"/>
    <hyperlink r:id="rId249" ref="I559"/>
    <hyperlink r:id="rId250" ref="I560"/>
    <hyperlink r:id="rId251" ref="I561"/>
    <hyperlink r:id="rId252" ref="I562"/>
    <hyperlink r:id="rId253" ref="I563"/>
    <hyperlink r:id="rId254" ref="I564"/>
    <hyperlink r:id="rId255" ref="I565"/>
    <hyperlink r:id="rId256" ref="I566"/>
    <hyperlink r:id="rId257" ref="I567"/>
    <hyperlink r:id="rId258" ref="I568"/>
    <hyperlink r:id="rId259" ref="I569"/>
    <hyperlink r:id="rId260" ref="I570"/>
    <hyperlink r:id="rId261" ref="I571"/>
    <hyperlink r:id="rId262" ref="I572"/>
    <hyperlink r:id="rId263" ref="I573"/>
    <hyperlink r:id="rId264" ref="I574"/>
    <hyperlink r:id="rId265" ref="I575"/>
    <hyperlink r:id="rId266" ref="I576"/>
    <hyperlink r:id="rId267" ref="I577"/>
    <hyperlink r:id="rId268" ref="I578"/>
    <hyperlink r:id="rId269" ref="I579"/>
    <hyperlink r:id="rId270" ref="I580"/>
    <hyperlink r:id="rId271" ref="I581"/>
    <hyperlink r:id="rId272" ref="I582"/>
    <hyperlink r:id="rId273" ref="I583"/>
    <hyperlink r:id="rId274" ref="I584"/>
    <hyperlink r:id="rId275" ref="I585"/>
    <hyperlink r:id="rId276" ref="I586"/>
    <hyperlink r:id="rId277" ref="I587"/>
    <hyperlink r:id="rId278" ref="I588"/>
    <hyperlink r:id="rId279" ref="I589"/>
    <hyperlink r:id="rId280" ref="I590"/>
    <hyperlink r:id="rId281" ref="I591"/>
    <hyperlink r:id="rId282" ref="I592"/>
    <hyperlink r:id="rId283" ref="I593"/>
    <hyperlink r:id="rId284" ref="I594"/>
    <hyperlink r:id="rId285" ref="I595"/>
    <hyperlink r:id="rId286" ref="I596"/>
    <hyperlink r:id="rId287" ref="I597"/>
    <hyperlink r:id="rId288" ref="I598"/>
    <hyperlink r:id="rId289" ref="I599"/>
    <hyperlink r:id="rId290" ref="I600"/>
    <hyperlink r:id="rId291" ref="I601"/>
    <hyperlink r:id="rId292" ref="I602"/>
    <hyperlink r:id="rId293" ref="I603"/>
    <hyperlink r:id="rId294" ref="I604"/>
    <hyperlink r:id="rId295" ref="I605"/>
    <hyperlink r:id="rId296" ref="I606"/>
    <hyperlink r:id="rId297" ref="I607"/>
    <hyperlink r:id="rId298" ref="I608"/>
    <hyperlink r:id="rId299" ref="I609"/>
    <hyperlink r:id="rId300" ref="I610"/>
    <hyperlink r:id="rId301" ref="I611"/>
    <hyperlink r:id="rId302" ref="I612"/>
    <hyperlink r:id="rId303" ref="I613"/>
    <hyperlink r:id="rId304" ref="I614"/>
    <hyperlink r:id="rId305" ref="I615"/>
    <hyperlink r:id="rId306" ref="I616"/>
    <hyperlink r:id="rId307" ref="I617"/>
    <hyperlink r:id="rId308" ref="I618"/>
    <hyperlink r:id="rId309" ref="I619"/>
    <hyperlink r:id="rId310" ref="I620"/>
    <hyperlink r:id="rId311" ref="I621"/>
    <hyperlink r:id="rId312" ref="I622"/>
    <hyperlink r:id="rId313" ref="I623"/>
    <hyperlink r:id="rId314" ref="I624"/>
    <hyperlink r:id="rId315" ref="I625"/>
    <hyperlink r:id="rId316" ref="I626"/>
    <hyperlink r:id="rId317" ref="I627"/>
    <hyperlink r:id="rId318" ref="I628"/>
    <hyperlink r:id="rId319" ref="I629"/>
    <hyperlink r:id="rId320" ref="I630"/>
    <hyperlink r:id="rId321" ref="I631"/>
    <hyperlink r:id="rId322" ref="I632"/>
    <hyperlink r:id="rId323" ref="I633"/>
    <hyperlink r:id="rId324" ref="I634"/>
    <hyperlink r:id="rId325" ref="I635"/>
    <hyperlink r:id="rId326" ref="I636"/>
    <hyperlink r:id="rId327" ref="I637"/>
    <hyperlink r:id="rId328" ref="I638"/>
    <hyperlink r:id="rId329" ref="I639"/>
    <hyperlink r:id="rId330" ref="I640"/>
    <hyperlink r:id="rId331" ref="I641"/>
    <hyperlink r:id="rId332" ref="I642"/>
    <hyperlink r:id="rId333" ref="I643"/>
    <hyperlink r:id="rId334" ref="I644"/>
    <hyperlink r:id="rId335" ref="I645"/>
    <hyperlink r:id="rId336" ref="I646"/>
    <hyperlink r:id="rId337" ref="I647"/>
    <hyperlink r:id="rId338" ref="I648"/>
    <hyperlink r:id="rId339" ref="I649"/>
    <hyperlink r:id="rId340" ref="I650"/>
    <hyperlink r:id="rId341" ref="I651"/>
    <hyperlink r:id="rId342" ref="I652"/>
    <hyperlink r:id="rId343" ref="I653"/>
    <hyperlink r:id="rId344" ref="I654"/>
    <hyperlink r:id="rId345" ref="I655"/>
    <hyperlink r:id="rId346" ref="I656"/>
    <hyperlink r:id="rId347" ref="I657"/>
    <hyperlink r:id="rId348" ref="I658"/>
    <hyperlink r:id="rId349" ref="I659"/>
    <hyperlink r:id="rId350" ref="I662"/>
    <hyperlink r:id="rId351" ref="I663"/>
    <hyperlink r:id="rId352" ref="I664"/>
    <hyperlink r:id="rId353" ref="I665"/>
    <hyperlink r:id="rId354" ref="I666"/>
    <hyperlink r:id="rId355" ref="I667"/>
    <hyperlink r:id="rId356" ref="I668"/>
    <hyperlink r:id="rId357" ref="I669"/>
    <hyperlink r:id="rId358" ref="I670"/>
    <hyperlink r:id="rId359" ref="I671"/>
    <hyperlink r:id="rId360" ref="I672"/>
    <hyperlink r:id="rId361" ref="I673"/>
    <hyperlink r:id="rId362" ref="I674"/>
    <hyperlink r:id="rId363" ref="I675"/>
    <hyperlink r:id="rId364" ref="I676"/>
    <hyperlink r:id="rId365" ref="I692"/>
    <hyperlink r:id="rId366" ref="I693"/>
    <hyperlink r:id="rId367" ref="I694"/>
    <hyperlink r:id="rId368" ref="I695"/>
    <hyperlink r:id="rId369" ref="I696"/>
    <hyperlink r:id="rId370" ref="I697"/>
    <hyperlink r:id="rId371" ref="I698"/>
    <hyperlink r:id="rId372" ref="I699"/>
    <hyperlink r:id="rId373" ref="I700"/>
    <hyperlink r:id="rId374" ref="I701"/>
    <hyperlink r:id="rId375" ref="I702"/>
    <hyperlink r:id="rId376" ref="I703"/>
    <hyperlink r:id="rId377" ref="I704"/>
    <hyperlink r:id="rId378" ref="I705"/>
    <hyperlink r:id="rId379" ref="I706"/>
    <hyperlink r:id="rId380" ref="I707"/>
    <hyperlink r:id="rId381" ref="I708"/>
    <hyperlink r:id="rId382" ref="I709"/>
    <hyperlink r:id="rId383" ref="I710"/>
    <hyperlink r:id="rId384" ref="I711"/>
    <hyperlink r:id="rId385" ref="I712"/>
    <hyperlink r:id="rId386" ref="I713"/>
    <hyperlink r:id="rId387" ref="I714"/>
    <hyperlink r:id="rId388" ref="I715"/>
    <hyperlink r:id="rId389" ref="I716"/>
    <hyperlink r:id="rId390" ref="I717"/>
    <hyperlink r:id="rId391" ref="I718"/>
    <hyperlink r:id="rId392" ref="I719"/>
    <hyperlink r:id="rId393" ref="I720"/>
    <hyperlink r:id="rId394" ref="I721"/>
    <hyperlink r:id="rId395" ref="I722"/>
    <hyperlink r:id="rId396" ref="I723"/>
    <hyperlink r:id="rId397" ref="I724"/>
    <hyperlink r:id="rId398" ref="I725"/>
    <hyperlink r:id="rId399" ref="I726"/>
    <hyperlink r:id="rId400" ref="I727"/>
    <hyperlink r:id="rId401" ref="I728"/>
    <hyperlink r:id="rId402" ref="I729"/>
    <hyperlink r:id="rId403" ref="I730"/>
    <hyperlink r:id="rId404" ref="I731"/>
    <hyperlink r:id="rId405" ref="I732"/>
    <hyperlink r:id="rId406" ref="I733"/>
    <hyperlink r:id="rId407" ref="I734"/>
    <hyperlink r:id="rId408" ref="I735"/>
    <hyperlink r:id="rId409" ref="I736"/>
    <hyperlink r:id="rId410" ref="I737"/>
    <hyperlink r:id="rId411" ref="I738"/>
    <hyperlink r:id="rId412" ref="I739"/>
    <hyperlink r:id="rId413" ref="I740"/>
    <hyperlink r:id="rId414" ref="I741"/>
    <hyperlink r:id="rId415" ref="I742"/>
    <hyperlink r:id="rId416" ref="I743"/>
    <hyperlink r:id="rId417" ref="I744"/>
    <hyperlink r:id="rId418" ref="I745"/>
    <hyperlink r:id="rId419" ref="I746"/>
    <hyperlink r:id="rId420" ref="I747"/>
    <hyperlink r:id="rId421" ref="I748"/>
    <hyperlink r:id="rId422" ref="I749"/>
    <hyperlink r:id="rId423" ref="I750"/>
    <hyperlink r:id="rId424" ref="I751"/>
    <hyperlink r:id="rId425" ref="I752"/>
    <hyperlink r:id="rId426" ref="I753"/>
    <hyperlink r:id="rId427" ref="I754"/>
    <hyperlink r:id="rId428" ref="I755"/>
    <hyperlink r:id="rId429" ref="I756"/>
    <hyperlink r:id="rId430" ref="I757"/>
    <hyperlink r:id="rId431" ref="I758"/>
    <hyperlink r:id="rId432" ref="I759"/>
    <hyperlink r:id="rId433" ref="I760"/>
    <hyperlink r:id="rId434" ref="I761"/>
    <hyperlink r:id="rId435" ref="I762"/>
    <hyperlink r:id="rId436" ref="I763"/>
    <hyperlink r:id="rId437" ref="I782"/>
    <hyperlink r:id="rId438" ref="I783"/>
    <hyperlink r:id="rId439" ref="I784"/>
    <hyperlink r:id="rId440" ref="I785"/>
    <hyperlink r:id="rId441" ref="I786"/>
    <hyperlink r:id="rId442" ref="I787"/>
    <hyperlink r:id="rId443" ref="I788"/>
    <hyperlink r:id="rId444" ref="I789"/>
    <hyperlink r:id="rId445" ref="I790"/>
    <hyperlink r:id="rId446" ref="I791"/>
    <hyperlink r:id="rId447" ref="I792"/>
    <hyperlink r:id="rId448" ref="I793"/>
    <hyperlink r:id="rId449" ref="I794"/>
    <hyperlink r:id="rId450" ref="I795"/>
    <hyperlink r:id="rId451" ref="I796"/>
    <hyperlink r:id="rId452" ref="I797"/>
    <hyperlink r:id="rId453" ref="I798"/>
    <hyperlink r:id="rId454" ref="I799"/>
    <hyperlink r:id="rId455" ref="I812"/>
    <hyperlink r:id="rId456" ref="I813"/>
    <hyperlink r:id="rId457" ref="I814"/>
    <hyperlink r:id="rId458" ref="I815"/>
    <hyperlink r:id="rId459" ref="I816"/>
    <hyperlink r:id="rId460" ref="I817"/>
    <hyperlink r:id="rId461" ref="I818"/>
    <hyperlink r:id="rId462" ref="I819"/>
    <hyperlink r:id="rId463" ref="I820"/>
    <hyperlink r:id="rId464" ref="I821"/>
    <hyperlink r:id="rId465" ref="I822"/>
    <hyperlink r:id="rId466" ref="I823"/>
    <hyperlink r:id="rId467" ref="I824"/>
    <hyperlink r:id="rId468" ref="I825"/>
    <hyperlink r:id="rId469" ref="I826"/>
    <hyperlink r:id="rId470" ref="I827"/>
    <hyperlink r:id="rId471" ref="I828"/>
    <hyperlink r:id="rId472" ref="I829"/>
    <hyperlink r:id="rId473" ref="I830"/>
    <hyperlink r:id="rId474" ref="I831"/>
    <hyperlink r:id="rId475" ref="I832"/>
    <hyperlink r:id="rId476" ref="I833"/>
    <hyperlink r:id="rId477" ref="I834"/>
    <hyperlink r:id="rId478" ref="I835"/>
    <hyperlink r:id="rId479" ref="I836"/>
    <hyperlink r:id="rId480" ref="I837"/>
    <hyperlink r:id="rId481" ref="I838"/>
    <hyperlink r:id="rId482" ref="I839"/>
    <hyperlink r:id="rId483" ref="I840"/>
    <hyperlink r:id="rId484" ref="I841"/>
    <hyperlink r:id="rId485" ref="I842"/>
    <hyperlink r:id="rId486" ref="I843"/>
    <hyperlink r:id="rId487" ref="I844"/>
    <hyperlink r:id="rId488" ref="I845"/>
    <hyperlink r:id="rId489" ref="I846"/>
    <hyperlink r:id="rId490" ref="I847"/>
    <hyperlink r:id="rId491" ref="I848"/>
    <hyperlink r:id="rId492" ref="I849"/>
    <hyperlink r:id="rId493" ref="I850"/>
    <hyperlink r:id="rId494" ref="I851"/>
    <hyperlink r:id="rId495" ref="I852"/>
    <hyperlink r:id="rId496" ref="I853"/>
    <hyperlink r:id="rId497" ref="I854"/>
    <hyperlink r:id="rId498" ref="I855"/>
    <hyperlink r:id="rId499" ref="I856"/>
    <hyperlink r:id="rId500" ref="I857"/>
    <hyperlink r:id="rId501" ref="I858"/>
    <hyperlink r:id="rId502" ref="I872"/>
    <hyperlink r:id="rId503" ref="I873"/>
    <hyperlink r:id="rId504" ref="I874"/>
    <hyperlink r:id="rId505" ref="I875"/>
    <hyperlink r:id="rId506" ref="I876"/>
    <hyperlink r:id="rId507" ref="I877"/>
    <hyperlink r:id="rId508" ref="I878"/>
    <hyperlink r:id="rId509" ref="I879"/>
    <hyperlink r:id="rId510" ref="I880"/>
    <hyperlink r:id="rId511" ref="I881"/>
    <hyperlink r:id="rId512" ref="I882"/>
    <hyperlink r:id="rId513" ref="I883"/>
    <hyperlink r:id="rId514" ref="I884"/>
    <hyperlink r:id="rId515" ref="I885"/>
    <hyperlink r:id="rId516" ref="I886"/>
    <hyperlink r:id="rId517" ref="I887"/>
    <hyperlink r:id="rId518" ref="I888"/>
    <hyperlink r:id="rId519" ref="I889"/>
    <hyperlink r:id="rId520" ref="I890"/>
    <hyperlink r:id="rId521" ref="I891"/>
    <hyperlink r:id="rId522" ref="I892"/>
    <hyperlink r:id="rId523" ref="I893"/>
    <hyperlink r:id="rId524" ref="I894"/>
    <hyperlink r:id="rId525" ref="I895"/>
    <hyperlink r:id="rId526" ref="I896"/>
    <hyperlink r:id="rId527" ref="I897"/>
    <hyperlink r:id="rId528" ref="I898"/>
    <hyperlink r:id="rId529" ref="I899"/>
    <hyperlink r:id="rId530" ref="I900"/>
    <hyperlink r:id="rId531" ref="I901"/>
    <hyperlink r:id="rId532" ref="I902"/>
    <hyperlink r:id="rId533" ref="I903"/>
    <hyperlink r:id="rId534" ref="I904"/>
    <hyperlink r:id="rId535" ref="I905"/>
    <hyperlink r:id="rId536" ref="I906"/>
    <hyperlink r:id="rId537" ref="I907"/>
    <hyperlink r:id="rId538" ref="I908"/>
    <hyperlink r:id="rId539" ref="I909"/>
    <hyperlink r:id="rId540" ref="I910"/>
    <hyperlink r:id="rId541" ref="I911"/>
    <hyperlink r:id="rId542" ref="I912"/>
    <hyperlink r:id="rId543" ref="I913"/>
    <hyperlink r:id="rId544" ref="I914"/>
    <hyperlink r:id="rId545" ref="I915"/>
    <hyperlink r:id="rId546" ref="I932"/>
    <hyperlink r:id="rId547" ref="I933"/>
    <hyperlink r:id="rId548" ref="I934"/>
    <hyperlink r:id="rId549" ref="I935"/>
    <hyperlink r:id="rId550" ref="I936"/>
    <hyperlink r:id="rId551" ref="I937"/>
    <hyperlink r:id="rId552" ref="I938"/>
    <hyperlink r:id="rId553" ref="I939"/>
    <hyperlink r:id="rId554" ref="I940"/>
    <hyperlink r:id="rId555" ref="I941"/>
    <hyperlink r:id="rId556" ref="I942"/>
    <hyperlink r:id="rId557" ref="I943"/>
    <hyperlink r:id="rId558" ref="I944"/>
    <hyperlink r:id="rId559" ref="I945"/>
    <hyperlink r:id="rId560" ref="I946"/>
    <hyperlink r:id="rId561" ref="I947"/>
    <hyperlink r:id="rId562" ref="I948"/>
    <hyperlink r:id="rId563" ref="I949"/>
    <hyperlink r:id="rId564" ref="I950"/>
    <hyperlink r:id="rId565" ref="I951"/>
    <hyperlink r:id="rId566" ref="I952"/>
    <hyperlink r:id="rId567" ref="I953"/>
    <hyperlink r:id="rId568" ref="I954"/>
    <hyperlink r:id="rId569" ref="I955"/>
    <hyperlink r:id="rId570" ref="I956"/>
    <hyperlink r:id="rId571" ref="I957"/>
    <hyperlink r:id="rId572" ref="I958"/>
    <hyperlink r:id="rId573" ref="I959"/>
    <hyperlink r:id="rId574" ref="I960"/>
    <hyperlink r:id="rId575" ref="I961"/>
    <hyperlink r:id="rId576" ref="I962"/>
    <hyperlink r:id="rId577" ref="I963"/>
    <hyperlink r:id="rId578" ref="I964"/>
    <hyperlink r:id="rId579" ref="I965"/>
    <hyperlink r:id="rId580" ref="I966"/>
    <hyperlink r:id="rId581" ref="I967"/>
    <hyperlink r:id="rId582" ref="I968"/>
    <hyperlink r:id="rId583" ref="I969"/>
    <hyperlink r:id="rId584" ref="I970"/>
    <hyperlink r:id="rId585" ref="I971"/>
    <hyperlink r:id="rId586" ref="I972"/>
    <hyperlink r:id="rId587" ref="I973"/>
    <hyperlink r:id="rId588" ref="I974"/>
    <hyperlink r:id="rId589" ref="I975"/>
    <hyperlink r:id="rId590" ref="I976"/>
    <hyperlink r:id="rId591" ref="I977"/>
    <hyperlink r:id="rId592" ref="I978"/>
    <hyperlink r:id="rId593" ref="I979"/>
    <hyperlink r:id="rId594" ref="I980"/>
    <hyperlink r:id="rId595" ref="I981"/>
    <hyperlink r:id="rId596" ref="I982"/>
    <hyperlink r:id="rId597" ref="I983"/>
    <hyperlink r:id="rId598" ref="I1162"/>
    <hyperlink r:id="rId599" ref="I1163"/>
    <hyperlink r:id="rId600" ref="I1164"/>
    <hyperlink r:id="rId601" ref="I1165"/>
    <hyperlink r:id="rId602" ref="I1166"/>
    <hyperlink r:id="rId603" ref="I1167"/>
    <hyperlink r:id="rId604" ref="I1168"/>
    <hyperlink r:id="rId605" ref="I1169"/>
    <hyperlink r:id="rId606" ref="I1170"/>
    <hyperlink r:id="rId607" ref="I1171"/>
    <hyperlink r:id="rId608" ref="I1172"/>
    <hyperlink r:id="rId609" ref="I1173"/>
    <hyperlink r:id="rId610" ref="I1174"/>
    <hyperlink r:id="rId611" ref="I1175"/>
    <hyperlink r:id="rId612" ref="I1176"/>
    <hyperlink r:id="rId613" ref="I1177"/>
    <hyperlink r:id="rId614" ref="I1178"/>
    <hyperlink r:id="rId615" ref="I1179"/>
    <hyperlink r:id="rId616" ref="I1180"/>
    <hyperlink r:id="rId617" ref="I1181"/>
    <hyperlink r:id="rId618" ref="I1182"/>
    <hyperlink r:id="rId619" ref="I1183"/>
    <hyperlink r:id="rId620" ref="I1184"/>
    <hyperlink r:id="rId621" ref="I1185"/>
    <hyperlink r:id="rId622" ref="I1186"/>
    <hyperlink r:id="rId623" ref="I1187"/>
    <hyperlink r:id="rId624" ref="I1188"/>
    <hyperlink r:id="rId625" ref="I1189"/>
    <hyperlink r:id="rId626" ref="I1190"/>
    <hyperlink r:id="rId627" ref="I1191"/>
    <hyperlink r:id="rId628" ref="I1192"/>
    <hyperlink r:id="rId629" ref="I1193"/>
    <hyperlink r:id="rId630" ref="I1194"/>
    <hyperlink r:id="rId631" ref="I1195"/>
    <hyperlink r:id="rId632" ref="I1196"/>
    <hyperlink r:id="rId633" ref="I1197"/>
    <hyperlink r:id="rId634" ref="I1212"/>
    <hyperlink r:id="rId635" ref="I1213"/>
    <hyperlink r:id="rId636" ref="I1214"/>
    <hyperlink r:id="rId637" ref="I1215"/>
    <hyperlink r:id="rId638" ref="I1216"/>
    <hyperlink r:id="rId639" ref="I1217"/>
    <hyperlink r:id="rId640" ref="I1218"/>
    <hyperlink r:id="rId641" ref="I1219"/>
    <hyperlink r:id="rId642" ref="I1220"/>
    <hyperlink r:id="rId643" ref="I1221"/>
    <hyperlink r:id="rId644" ref="I1222"/>
    <hyperlink r:id="rId645" ref="I1223"/>
    <hyperlink r:id="rId646" ref="I1224"/>
    <hyperlink r:id="rId647" ref="I1225"/>
    <hyperlink r:id="rId648" ref="I1226"/>
    <hyperlink r:id="rId649" ref="I1227"/>
    <hyperlink r:id="rId650" ref="I1228"/>
    <hyperlink r:id="rId651" ref="I1229"/>
    <hyperlink r:id="rId652" ref="I1230"/>
    <hyperlink r:id="rId653" ref="I1231"/>
    <hyperlink r:id="rId654" ref="I1232"/>
    <hyperlink r:id="rId655" ref="I1233"/>
    <hyperlink r:id="rId656" ref="I1234"/>
    <hyperlink r:id="rId657" ref="I1235"/>
    <hyperlink r:id="rId658" ref="I1236"/>
    <hyperlink r:id="rId659" ref="I1237"/>
    <hyperlink r:id="rId660" ref="I1238"/>
    <hyperlink r:id="rId661" ref="I1239"/>
    <hyperlink r:id="rId662" ref="I1240"/>
    <hyperlink r:id="rId663" ref="I1241"/>
    <hyperlink r:id="rId664" ref="I1242"/>
    <hyperlink r:id="rId665" ref="I1243"/>
    <hyperlink r:id="rId666" ref="I1244"/>
    <hyperlink r:id="rId667" ref="I1245"/>
    <hyperlink r:id="rId668" ref="I1246"/>
    <hyperlink r:id="rId669" ref="I1247"/>
    <hyperlink r:id="rId670" ref="I1248"/>
    <hyperlink r:id="rId671" ref="I1249"/>
    <hyperlink r:id="rId672" ref="I1250"/>
    <hyperlink r:id="rId673" ref="I1251"/>
    <hyperlink r:id="rId674" ref="I1252"/>
    <hyperlink r:id="rId675" ref="I1253"/>
    <hyperlink r:id="rId676" ref="I1254"/>
    <hyperlink r:id="rId677" ref="I1255"/>
    <hyperlink r:id="rId678" ref="I1256"/>
    <hyperlink r:id="rId679" ref="I1257"/>
    <hyperlink r:id="rId680" ref="I1258"/>
    <hyperlink r:id="rId681" ref="I1259"/>
    <hyperlink r:id="rId682" ref="I1260"/>
    <hyperlink r:id="rId683" ref="I1261"/>
    <hyperlink r:id="rId684" ref="I1262"/>
    <hyperlink r:id="rId685" ref="I1263"/>
    <hyperlink r:id="rId686" ref="I1264"/>
    <hyperlink r:id="rId687" ref="I1265"/>
    <hyperlink r:id="rId688" ref="I1266"/>
    <hyperlink r:id="rId689" ref="I1267"/>
    <hyperlink r:id="rId690" ref="I1268"/>
    <hyperlink r:id="rId691" ref="I1269"/>
    <hyperlink r:id="rId692" ref="I1270"/>
    <hyperlink r:id="rId693" ref="I1271"/>
    <hyperlink r:id="rId694" ref="I1272"/>
    <hyperlink r:id="rId695" ref="I1273"/>
    <hyperlink r:id="rId696" ref="I1274"/>
    <hyperlink r:id="rId697" ref="I1275"/>
    <hyperlink r:id="rId698" ref="I1276"/>
    <hyperlink r:id="rId699" ref="I1277"/>
    <hyperlink r:id="rId700" ref="I1278"/>
    <hyperlink r:id="rId701" ref="I1279"/>
    <hyperlink r:id="rId702" ref="I1280"/>
    <hyperlink r:id="rId703" ref="I1281"/>
    <hyperlink r:id="rId704" ref="I1282"/>
    <hyperlink r:id="rId705" ref="I1283"/>
    <hyperlink r:id="rId706" ref="I1284"/>
    <hyperlink r:id="rId707" ref="I1285"/>
    <hyperlink r:id="rId708" ref="I1286"/>
    <hyperlink r:id="rId709" ref="I1287"/>
    <hyperlink r:id="rId710" ref="I1288"/>
    <hyperlink r:id="rId711" ref="I1289"/>
    <hyperlink r:id="rId712" ref="I1290"/>
    <hyperlink r:id="rId713" ref="I1291"/>
    <hyperlink r:id="rId714" ref="I1292"/>
    <hyperlink r:id="rId715" ref="I1293"/>
    <hyperlink r:id="rId716" ref="I1294"/>
    <hyperlink r:id="rId717" ref="I1295"/>
    <hyperlink r:id="rId718" ref="I1296"/>
    <hyperlink r:id="rId719" ref="I1297"/>
    <hyperlink r:id="rId720" ref="I1298"/>
    <hyperlink r:id="rId721" ref="I1299"/>
    <hyperlink r:id="rId722" ref="I1300"/>
    <hyperlink r:id="rId723" ref="I1301"/>
    <hyperlink r:id="rId724" ref="I1302"/>
    <hyperlink r:id="rId725" ref="I1303"/>
    <hyperlink r:id="rId726" ref="I1304"/>
    <hyperlink r:id="rId727" ref="I1305"/>
    <hyperlink r:id="rId728" ref="I1306"/>
    <hyperlink r:id="rId729" ref="I1307"/>
    <hyperlink r:id="rId730" ref="I1308"/>
    <hyperlink r:id="rId731" ref="I1309"/>
    <hyperlink r:id="rId732" ref="I1310"/>
    <hyperlink r:id="rId733" ref="I1311"/>
    <hyperlink r:id="rId734" ref="I1312"/>
    <hyperlink r:id="rId735" ref="I1313"/>
    <hyperlink r:id="rId736" ref="I1314"/>
    <hyperlink r:id="rId737" ref="I1315"/>
    <hyperlink r:id="rId738" ref="I1316"/>
    <hyperlink r:id="rId739" ref="I1317"/>
    <hyperlink r:id="rId740" ref="I1318"/>
    <hyperlink r:id="rId741" ref="I1319"/>
    <hyperlink r:id="rId742" ref="I1320"/>
    <hyperlink r:id="rId743" ref="I1321"/>
    <hyperlink r:id="rId744" ref="I1322"/>
    <hyperlink r:id="rId745" ref="I1323"/>
    <hyperlink r:id="rId746" ref="I1324"/>
    <hyperlink r:id="rId747" ref="I1325"/>
    <hyperlink r:id="rId748" ref="I1326"/>
    <hyperlink r:id="rId749" ref="I1327"/>
    <hyperlink r:id="rId750" ref="I1328"/>
    <hyperlink r:id="rId751" ref="I1329"/>
    <hyperlink r:id="rId752" ref="I1330"/>
    <hyperlink r:id="rId753" ref="I1331"/>
    <hyperlink r:id="rId754" ref="I1332"/>
    <hyperlink r:id="rId755" ref="I1333"/>
    <hyperlink r:id="rId756" ref="I1334"/>
    <hyperlink r:id="rId757" ref="I1335"/>
    <hyperlink r:id="rId758" ref="I1336"/>
    <hyperlink r:id="rId759" ref="I1337"/>
    <hyperlink r:id="rId760" ref="I1338"/>
    <hyperlink r:id="rId761" ref="I1339"/>
    <hyperlink r:id="rId762" ref="I1340"/>
    <hyperlink r:id="rId763" ref="I1341"/>
    <hyperlink r:id="rId764" ref="I1342"/>
    <hyperlink r:id="rId765" ref="I1343"/>
    <hyperlink r:id="rId766" ref="I1344"/>
    <hyperlink r:id="rId767" ref="I1345"/>
    <hyperlink r:id="rId768" ref="I1346"/>
    <hyperlink r:id="rId769" ref="I1347"/>
    <hyperlink r:id="rId770" ref="I1348"/>
    <hyperlink r:id="rId771" ref="I1349"/>
    <hyperlink r:id="rId772" ref="I1350"/>
    <hyperlink r:id="rId773" ref="I1351"/>
    <hyperlink r:id="rId774" ref="I1352"/>
    <hyperlink r:id="rId775" ref="I1353"/>
    <hyperlink r:id="rId776" ref="I1354"/>
    <hyperlink r:id="rId777" ref="I1355"/>
    <hyperlink r:id="rId778" ref="I1356"/>
    <hyperlink r:id="rId779" ref="I1357"/>
    <hyperlink r:id="rId780" ref="I1358"/>
    <hyperlink r:id="rId781" ref="I1359"/>
    <hyperlink r:id="rId782" ref="I1360"/>
    <hyperlink r:id="rId783" ref="I1361"/>
    <hyperlink r:id="rId784" ref="I1362"/>
    <hyperlink r:id="rId785" ref="I1363"/>
    <hyperlink r:id="rId786" ref="I1364"/>
    <hyperlink r:id="rId787" ref="I1365"/>
    <hyperlink r:id="rId788" ref="I1366"/>
    <hyperlink r:id="rId789" ref="I1367"/>
    <hyperlink r:id="rId790" ref="I1368"/>
    <hyperlink r:id="rId791" ref="I1369"/>
    <hyperlink r:id="rId792" ref="I1370"/>
    <hyperlink r:id="rId793" ref="I1371"/>
    <hyperlink r:id="rId794" ref="I1372"/>
    <hyperlink r:id="rId795" ref="I1373"/>
    <hyperlink r:id="rId796" ref="I1374"/>
    <hyperlink r:id="rId797" ref="I1375"/>
    <hyperlink r:id="rId798" ref="I1376"/>
    <hyperlink r:id="rId799" ref="I1377"/>
    <hyperlink r:id="rId800" ref="I1378"/>
    <hyperlink r:id="rId801" ref="I1379"/>
    <hyperlink r:id="rId802" ref="I1380"/>
    <hyperlink r:id="rId803" ref="I1381"/>
    <hyperlink r:id="rId804" ref="I1382"/>
    <hyperlink r:id="rId805" ref="I1383"/>
    <hyperlink r:id="rId806" ref="I1384"/>
    <hyperlink r:id="rId807" ref="I1385"/>
    <hyperlink r:id="rId808" ref="I1386"/>
    <hyperlink r:id="rId809" ref="I1387"/>
    <hyperlink r:id="rId810" ref="I1388"/>
    <hyperlink r:id="rId811" ref="I1389"/>
    <hyperlink r:id="rId812" ref="I1390"/>
    <hyperlink r:id="rId813" ref="I1391"/>
    <hyperlink r:id="rId814" ref="I1392"/>
    <hyperlink r:id="rId815" ref="I1393"/>
    <hyperlink r:id="rId816" ref="I1394"/>
    <hyperlink r:id="rId817" ref="I1395"/>
    <hyperlink r:id="rId818" ref="I1396"/>
    <hyperlink r:id="rId819" ref="I1397"/>
    <hyperlink r:id="rId820" ref="I1398"/>
    <hyperlink r:id="rId821" ref="I1399"/>
    <hyperlink r:id="rId822" ref="I1400"/>
    <hyperlink r:id="rId823" ref="I1401"/>
    <hyperlink r:id="rId824" ref="I1402"/>
    <hyperlink r:id="rId825" ref="I1403"/>
    <hyperlink r:id="rId826" ref="I1404"/>
    <hyperlink r:id="rId827" ref="I1405"/>
    <hyperlink r:id="rId828" ref="I1406"/>
    <hyperlink r:id="rId829" ref="I1407"/>
    <hyperlink r:id="rId830" ref="I1408"/>
    <hyperlink r:id="rId831" ref="I1409"/>
    <hyperlink r:id="rId832" ref="I1410"/>
    <hyperlink r:id="rId833" ref="I1411"/>
    <hyperlink r:id="rId834" ref="I1412"/>
    <hyperlink r:id="rId835" ref="I1413"/>
    <hyperlink r:id="rId836" ref="I1414"/>
    <hyperlink r:id="rId837" ref="I1415"/>
    <hyperlink r:id="rId838" ref="I1416"/>
    <hyperlink r:id="rId839" ref="I1417"/>
    <hyperlink r:id="rId840" ref="I1418"/>
    <hyperlink r:id="rId841" ref="I1419"/>
    <hyperlink r:id="rId842" ref="I1420"/>
    <hyperlink r:id="rId843" ref="I1421"/>
    <hyperlink r:id="rId844" ref="I1422"/>
    <hyperlink r:id="rId845" ref="I1423"/>
    <hyperlink r:id="rId846" ref="I1424"/>
    <hyperlink r:id="rId847" ref="I1425"/>
    <hyperlink r:id="rId848" ref="I1426"/>
    <hyperlink r:id="rId849" ref="I1427"/>
    <hyperlink r:id="rId850" ref="I1428"/>
    <hyperlink r:id="rId851" ref="I1429"/>
    <hyperlink r:id="rId852" ref="I1430"/>
    <hyperlink r:id="rId853" ref="I1431"/>
    <hyperlink r:id="rId854" ref="I1432"/>
    <hyperlink r:id="rId855" ref="I1433"/>
    <hyperlink r:id="rId856" ref="I1434"/>
    <hyperlink r:id="rId857" ref="I1435"/>
    <hyperlink r:id="rId858" ref="I1436"/>
    <hyperlink r:id="rId859" ref="I1437"/>
    <hyperlink r:id="rId860" ref="I1438"/>
    <hyperlink r:id="rId861" ref="I1439"/>
    <hyperlink r:id="rId862" ref="I1440"/>
    <hyperlink r:id="rId863" ref="I1441"/>
    <hyperlink r:id="rId864" ref="I1442"/>
    <hyperlink r:id="rId865" ref="I1443"/>
    <hyperlink r:id="rId866" ref="I1444"/>
    <hyperlink r:id="rId867" ref="I1445"/>
    <hyperlink r:id="rId868" ref="I1446"/>
    <hyperlink r:id="rId869" ref="I1447"/>
    <hyperlink r:id="rId870" ref="I1448"/>
    <hyperlink r:id="rId871" ref="I1449"/>
    <hyperlink r:id="rId872" ref="I1450"/>
    <hyperlink r:id="rId873" ref="I1451"/>
    <hyperlink r:id="rId874" ref="I1452"/>
    <hyperlink r:id="rId875" ref="I1453"/>
    <hyperlink r:id="rId876" ref="I1454"/>
    <hyperlink r:id="rId877" ref="I1455"/>
    <hyperlink r:id="rId878" ref="I1472"/>
    <hyperlink r:id="rId879" ref="I1473"/>
    <hyperlink r:id="rId880" ref="I1474"/>
    <hyperlink r:id="rId881" ref="I1475"/>
    <hyperlink r:id="rId882" ref="I1476"/>
    <hyperlink r:id="rId883" ref="I1477"/>
    <hyperlink r:id="rId884" ref="I1478"/>
    <hyperlink r:id="rId885" ref="I1479"/>
    <hyperlink r:id="rId886" ref="I1480"/>
    <hyperlink r:id="rId887" ref="I1481"/>
    <hyperlink r:id="rId888" ref="I1482"/>
    <hyperlink r:id="rId889" ref="I1483"/>
    <hyperlink r:id="rId890" ref="I1484"/>
    <hyperlink r:id="rId891" ref="I1485"/>
    <hyperlink r:id="rId892" ref="I1486"/>
    <hyperlink r:id="rId893" ref="I1487"/>
    <hyperlink r:id="rId894" ref="I1488"/>
    <hyperlink r:id="rId895" ref="I1489"/>
    <hyperlink r:id="rId896" ref="I1490"/>
    <hyperlink r:id="rId897" ref="I1491"/>
    <hyperlink r:id="rId898" ref="I1502"/>
    <hyperlink r:id="rId899" ref="I1503"/>
    <hyperlink r:id="rId900" ref="I1504"/>
    <hyperlink r:id="rId901" ref="I1505"/>
    <hyperlink r:id="rId902" ref="I1506"/>
    <hyperlink r:id="rId903" ref="I1507"/>
    <hyperlink r:id="rId904" ref="I1508"/>
    <hyperlink r:id="rId905" ref="I1509"/>
    <hyperlink r:id="rId906" ref="I1510"/>
    <hyperlink r:id="rId907" ref="I1511"/>
    <hyperlink r:id="rId908" ref="I1512"/>
    <hyperlink r:id="rId909" ref="I1513"/>
    <hyperlink r:id="rId910" ref="I1532"/>
    <hyperlink r:id="rId911" ref="I1533"/>
    <hyperlink r:id="rId912" ref="I1534"/>
    <hyperlink r:id="rId913" ref="I1535"/>
    <hyperlink r:id="rId914" ref="I1536"/>
    <hyperlink r:id="rId915" ref="I1537"/>
    <hyperlink r:id="rId916" ref="I1538"/>
    <hyperlink r:id="rId917" ref="I1539"/>
    <hyperlink r:id="rId918" ref="I1562"/>
    <hyperlink r:id="rId919" ref="I1563"/>
    <hyperlink r:id="rId920" ref="I1564"/>
    <hyperlink r:id="rId921" ref="I1565"/>
    <hyperlink r:id="rId922" ref="I1566"/>
    <hyperlink r:id="rId923" ref="I1567"/>
    <hyperlink r:id="rId924" ref="I1568"/>
    <hyperlink r:id="rId925" ref="I1592"/>
    <hyperlink r:id="rId926" ref="I1593"/>
    <hyperlink r:id="rId927" ref="I1594"/>
    <hyperlink r:id="rId928" ref="I1595"/>
    <hyperlink r:id="rId929" ref="I1596"/>
    <hyperlink r:id="rId930" ref="I1622"/>
    <hyperlink r:id="rId931" ref="I1623"/>
    <hyperlink r:id="rId932" ref="I1624"/>
    <hyperlink r:id="rId933" ref="I1625"/>
    <hyperlink r:id="rId934" ref="I1626"/>
    <hyperlink r:id="rId935" ref="I1652"/>
    <hyperlink r:id="rId936" ref="I1653"/>
    <hyperlink r:id="rId937" ref="I1654"/>
    <hyperlink r:id="rId938" ref="I1655"/>
    <hyperlink r:id="rId939" ref="I1656"/>
    <hyperlink r:id="rId940" ref="I1657"/>
    <hyperlink r:id="rId941" ref="I1658"/>
    <hyperlink r:id="rId942" ref="I1682"/>
    <hyperlink r:id="rId943" ref="I1683"/>
    <hyperlink r:id="rId944" ref="I1684"/>
    <hyperlink r:id="rId945" ref="I1685"/>
    <hyperlink r:id="rId946" ref="I1686"/>
    <hyperlink r:id="rId947" ref="I1712"/>
    <hyperlink r:id="rId948" ref="I1713"/>
    <hyperlink r:id="rId949" ref="I1714"/>
    <hyperlink r:id="rId950" ref="I1715"/>
    <hyperlink r:id="rId951" ref="I1716"/>
    <hyperlink r:id="rId952" ref="I1717"/>
    <hyperlink r:id="rId953" ref="I1718"/>
    <hyperlink r:id="rId954" ref="I1719"/>
    <hyperlink r:id="rId955" ref="I1720"/>
    <hyperlink r:id="rId956" ref="I1721"/>
    <hyperlink r:id="rId957" ref="I1722"/>
    <hyperlink r:id="rId958" ref="I1723"/>
    <hyperlink r:id="rId959" ref="I1724"/>
    <hyperlink r:id="rId960" ref="I1742"/>
    <hyperlink r:id="rId961" ref="I1743"/>
    <hyperlink r:id="rId962" ref="I1744"/>
    <hyperlink r:id="rId963" ref="I1745"/>
    <hyperlink r:id="rId964" ref="I1772"/>
    <hyperlink r:id="rId965" ref="I1773"/>
    <hyperlink r:id="rId966" ref="I1774"/>
    <hyperlink r:id="rId967" ref="I1775"/>
    <hyperlink r:id="rId968" ref="I1776"/>
    <hyperlink r:id="rId969" ref="I1777"/>
    <hyperlink r:id="rId970" ref="I1778"/>
    <hyperlink r:id="rId971" ref="I1779"/>
    <hyperlink r:id="rId972" ref="I1780"/>
    <hyperlink r:id="rId973" ref="I1781"/>
    <hyperlink r:id="rId974" ref="I1782"/>
    <hyperlink r:id="rId975" ref="I1783"/>
    <hyperlink r:id="rId976" ref="I1784"/>
    <hyperlink r:id="rId977" ref="I1785"/>
    <hyperlink r:id="rId978" ref="I1786"/>
    <hyperlink r:id="rId979" ref="I1787"/>
    <hyperlink r:id="rId980" ref="I1788"/>
    <hyperlink r:id="rId981" ref="I1789"/>
    <hyperlink r:id="rId982" ref="I1790"/>
    <hyperlink r:id="rId983" ref="I1791"/>
    <hyperlink r:id="rId984" ref="I1792"/>
    <hyperlink r:id="rId985" ref="I1793"/>
    <hyperlink r:id="rId986" ref="I1794"/>
    <hyperlink r:id="rId987" ref="I1795"/>
    <hyperlink r:id="rId988" ref="I1796"/>
    <hyperlink r:id="rId989" ref="I1797"/>
    <hyperlink r:id="rId990" ref="I1798"/>
    <hyperlink r:id="rId991" ref="I1799"/>
    <hyperlink r:id="rId992" ref="I1800"/>
    <hyperlink r:id="rId993" ref="I1801"/>
    <hyperlink r:id="rId994" ref="I1802"/>
    <hyperlink r:id="rId995" ref="I1803"/>
    <hyperlink r:id="rId996" ref="I1804"/>
    <hyperlink r:id="rId997" ref="I1805"/>
    <hyperlink r:id="rId998" ref="I1806"/>
    <hyperlink r:id="rId999" ref="I1807"/>
    <hyperlink r:id="rId1000" ref="I1808"/>
    <hyperlink r:id="rId1001" ref="I1809"/>
    <hyperlink r:id="rId1002" ref="I1810"/>
    <hyperlink r:id="rId1003" ref="I1811"/>
    <hyperlink r:id="rId1004" ref="I1812"/>
    <hyperlink r:id="rId1005" ref="I1813"/>
    <hyperlink r:id="rId1006" ref="I1814"/>
    <hyperlink r:id="rId1007" ref="I1815"/>
    <hyperlink r:id="rId1008" ref="I1816"/>
    <hyperlink r:id="rId1009" ref="I1817"/>
    <hyperlink r:id="rId1010" ref="I1818"/>
    <hyperlink r:id="rId1011" ref="I1819"/>
    <hyperlink r:id="rId1012" ref="I1820"/>
    <hyperlink r:id="rId1013" ref="I1821"/>
    <hyperlink r:id="rId1014" ref="I1822"/>
    <hyperlink r:id="rId1015" ref="I1823"/>
    <hyperlink r:id="rId1016" ref="I1824"/>
    <hyperlink r:id="rId1017" ref="I1825"/>
    <hyperlink r:id="rId1018" ref="I1826"/>
    <hyperlink r:id="rId1019" ref="I1827"/>
    <hyperlink r:id="rId1020" ref="I1828"/>
    <hyperlink r:id="rId1021" ref="I1829"/>
    <hyperlink r:id="rId1022" ref="I1830"/>
    <hyperlink r:id="rId1023" ref="I1831"/>
    <hyperlink r:id="rId1024" ref="I1832"/>
    <hyperlink r:id="rId1025" ref="I1833"/>
    <hyperlink r:id="rId1026" ref="I1834"/>
    <hyperlink r:id="rId1027" ref="I1835"/>
    <hyperlink r:id="rId1028" ref="I1836"/>
    <hyperlink r:id="rId1029" ref="I1837"/>
    <hyperlink r:id="rId1030" ref="I1838"/>
    <hyperlink r:id="rId1031" ref="I1839"/>
    <hyperlink r:id="rId1032" ref="I1840"/>
    <hyperlink r:id="rId1033" ref="I1841"/>
    <hyperlink r:id="rId1034" ref="I1842"/>
    <hyperlink r:id="rId1035" ref="I1843"/>
    <hyperlink r:id="rId1036" ref="I1844"/>
    <hyperlink r:id="rId1037" ref="I1845"/>
    <hyperlink r:id="rId1038" ref="I1846"/>
    <hyperlink r:id="rId1039" ref="I1847"/>
    <hyperlink r:id="rId1040" ref="I1848"/>
    <hyperlink r:id="rId1041" ref="I1849"/>
    <hyperlink r:id="rId1042" ref="I1850"/>
    <hyperlink r:id="rId1043" ref="I1851"/>
    <hyperlink r:id="rId1044" ref="I1852"/>
    <hyperlink r:id="rId1045" ref="I1853"/>
    <hyperlink r:id="rId1046" ref="I1854"/>
    <hyperlink r:id="rId1047" ref="I1855"/>
    <hyperlink r:id="rId1048" ref="I1856"/>
    <hyperlink r:id="rId1049" ref="I1857"/>
    <hyperlink r:id="rId1050" ref="I1858"/>
    <hyperlink r:id="rId1051" ref="I1859"/>
    <hyperlink r:id="rId1052" ref="I1860"/>
    <hyperlink r:id="rId1053" ref="I1861"/>
    <hyperlink r:id="rId1054" ref="I1862"/>
    <hyperlink r:id="rId1055" ref="I1863"/>
    <hyperlink r:id="rId1056" ref="I1864"/>
    <hyperlink r:id="rId1057" ref="I1865"/>
    <hyperlink r:id="rId1058" ref="I1866"/>
    <hyperlink r:id="rId1059" ref="I1867"/>
    <hyperlink r:id="rId1060" ref="I1868"/>
    <hyperlink r:id="rId1061" ref="I1869"/>
    <hyperlink r:id="rId1062" ref="I1870"/>
    <hyperlink r:id="rId1063" ref="I1871"/>
    <hyperlink r:id="rId1064" ref="I1872"/>
    <hyperlink r:id="rId1065" ref="I1873"/>
    <hyperlink r:id="rId1066" ref="I1874"/>
    <hyperlink r:id="rId1067" ref="I1875"/>
    <hyperlink r:id="rId1068" ref="I1876"/>
    <hyperlink r:id="rId1069" ref="I1877"/>
    <hyperlink r:id="rId1070" ref="I1878"/>
    <hyperlink r:id="rId1071" ref="I1879"/>
    <hyperlink r:id="rId1072" ref="I1880"/>
    <hyperlink r:id="rId1073" ref="I1881"/>
    <hyperlink r:id="rId1074" ref="I1882"/>
    <hyperlink r:id="rId1075" ref="I1883"/>
    <hyperlink r:id="rId1076" ref="I1884"/>
    <hyperlink r:id="rId1077" ref="I1885"/>
    <hyperlink r:id="rId1078" ref="I1886"/>
    <hyperlink r:id="rId1079" ref="I1887"/>
    <hyperlink r:id="rId1080" ref="I1888"/>
    <hyperlink r:id="rId1081" ref="I1889"/>
    <hyperlink r:id="rId1082" ref="I1890"/>
    <hyperlink r:id="rId1083" ref="I1891"/>
    <hyperlink r:id="rId1084" ref="I1892"/>
    <hyperlink r:id="rId1085" ref="I1893"/>
    <hyperlink r:id="rId1086" ref="I1894"/>
    <hyperlink r:id="rId1087" ref="I1895"/>
    <hyperlink r:id="rId1088" ref="I1896"/>
    <hyperlink r:id="rId1089" ref="I1897"/>
    <hyperlink r:id="rId1090" ref="I1898"/>
    <hyperlink r:id="rId1091" ref="I1899"/>
    <hyperlink r:id="rId1092" ref="I1900"/>
    <hyperlink r:id="rId1093" ref="I1901"/>
    <hyperlink r:id="rId1094" ref="I1902"/>
    <hyperlink r:id="rId1095" ref="I1903"/>
    <hyperlink r:id="rId1096" ref="I1904"/>
    <hyperlink r:id="rId1097" ref="I1905"/>
    <hyperlink r:id="rId1098" ref="I1906"/>
    <hyperlink r:id="rId1099" ref="I1907"/>
    <hyperlink r:id="rId1100" ref="I1908"/>
    <hyperlink r:id="rId1101" ref="I1909"/>
    <hyperlink r:id="rId1102" ref="I1910"/>
    <hyperlink r:id="rId1103" ref="I1911"/>
    <hyperlink r:id="rId1104" ref="I1912"/>
    <hyperlink r:id="rId1105" ref="I1913"/>
    <hyperlink r:id="rId1106" ref="I1914"/>
    <hyperlink r:id="rId1107" ref="I1915"/>
    <hyperlink r:id="rId1108" ref="I1916"/>
    <hyperlink r:id="rId1109" ref="I1917"/>
    <hyperlink r:id="rId1110" ref="I1918"/>
    <hyperlink r:id="rId1111" ref="I1919"/>
    <hyperlink r:id="rId1112" ref="I1920"/>
    <hyperlink r:id="rId1113" ref="I1921"/>
    <hyperlink r:id="rId1114" ref="I1922"/>
    <hyperlink r:id="rId1115" ref="I1923"/>
    <hyperlink r:id="rId1116" ref="I1924"/>
    <hyperlink r:id="rId1117" ref="I1925"/>
    <hyperlink r:id="rId1118" ref="I1926"/>
    <hyperlink r:id="rId1119" ref="I1927"/>
    <hyperlink r:id="rId1120" ref="I1928"/>
    <hyperlink r:id="rId1121" ref="I1929"/>
    <hyperlink r:id="rId1122" ref="I1930"/>
    <hyperlink r:id="rId1123" ref="I1931"/>
    <hyperlink r:id="rId1124" ref="I1932"/>
    <hyperlink r:id="rId1125" ref="I1933"/>
    <hyperlink r:id="rId1126" ref="I1934"/>
    <hyperlink r:id="rId1127" ref="I1935"/>
    <hyperlink r:id="rId1128" ref="I1936"/>
    <hyperlink r:id="rId1129" ref="I1937"/>
    <hyperlink r:id="rId1130" ref="I1938"/>
    <hyperlink r:id="rId1131" ref="I1939"/>
    <hyperlink r:id="rId1132" ref="I1940"/>
    <hyperlink r:id="rId1133" ref="I1941"/>
    <hyperlink r:id="rId1134" ref="I1942"/>
    <hyperlink r:id="rId1135" ref="I1943"/>
    <hyperlink r:id="rId1136" ref="I1944"/>
    <hyperlink r:id="rId1137" ref="I1945"/>
    <hyperlink r:id="rId1138" ref="I1946"/>
    <hyperlink r:id="rId1139" ref="I1947"/>
    <hyperlink r:id="rId1140" ref="I1948"/>
    <hyperlink r:id="rId1141" ref="I1949"/>
    <hyperlink r:id="rId1142" ref="I1950"/>
    <hyperlink r:id="rId1143" ref="I1951"/>
    <hyperlink r:id="rId1144" ref="I1952"/>
    <hyperlink r:id="rId1145" ref="I1953"/>
    <hyperlink r:id="rId1146" ref="I1954"/>
    <hyperlink r:id="rId1147" ref="I1955"/>
    <hyperlink r:id="rId1148" ref="I1956"/>
    <hyperlink r:id="rId1149" ref="I1957"/>
    <hyperlink r:id="rId1150" ref="I1958"/>
    <hyperlink r:id="rId1151" ref="I1959"/>
    <hyperlink r:id="rId1152" ref="I1960"/>
    <hyperlink r:id="rId1153" ref="I1972"/>
    <hyperlink r:id="rId1154" ref="I1973"/>
    <hyperlink r:id="rId1155" ref="I1974"/>
    <hyperlink r:id="rId1156" ref="I1975"/>
    <hyperlink r:id="rId1157" ref="I1976"/>
    <hyperlink r:id="rId1158" ref="I1977"/>
    <hyperlink r:id="rId1159" ref="I1978"/>
    <hyperlink r:id="rId1160" ref="I1979"/>
    <hyperlink r:id="rId1161" ref="I1980"/>
    <hyperlink r:id="rId1162" ref="I1981"/>
    <hyperlink r:id="rId1163" ref="I1982"/>
    <hyperlink r:id="rId1164" ref="I1983"/>
    <hyperlink r:id="rId1165" ref="I1984"/>
    <hyperlink r:id="rId1166" ref="I1985"/>
    <hyperlink r:id="rId1167" ref="I1986"/>
    <hyperlink r:id="rId1168" ref="I1987"/>
    <hyperlink r:id="rId1169" ref="I1988"/>
    <hyperlink r:id="rId1170" ref="I1989"/>
    <hyperlink r:id="rId1171" ref="I1990"/>
    <hyperlink r:id="rId1172" ref="I1991"/>
    <hyperlink r:id="rId1173" ref="I1992"/>
    <hyperlink r:id="rId1174" ref="I1993"/>
    <hyperlink r:id="rId1175" ref="I1994"/>
    <hyperlink r:id="rId1176" ref="I1995"/>
    <hyperlink r:id="rId1177" ref="I1996"/>
    <hyperlink r:id="rId1178" ref="I1997"/>
    <hyperlink r:id="rId1179" ref="I2002"/>
    <hyperlink r:id="rId1180" ref="I2003"/>
    <hyperlink r:id="rId1181" ref="I2004"/>
    <hyperlink r:id="rId1182" ref="I2005"/>
    <hyperlink r:id="rId1183" ref="I2006"/>
    <hyperlink r:id="rId1184" ref="I2007"/>
    <hyperlink r:id="rId1185" ref="I2008"/>
    <hyperlink r:id="rId1186" ref="I2009"/>
    <hyperlink r:id="rId1187" ref="I2010"/>
    <hyperlink r:id="rId1188" ref="I2011"/>
    <hyperlink r:id="rId1189" ref="I2012"/>
    <hyperlink r:id="rId1190" ref="I2013"/>
    <hyperlink r:id="rId1191" ref="I2014"/>
    <hyperlink r:id="rId1192" ref="I2015"/>
    <hyperlink r:id="rId1193" ref="I2016"/>
    <hyperlink r:id="rId1194" ref="I2017"/>
    <hyperlink r:id="rId1195" ref="I2018"/>
    <hyperlink r:id="rId1196" ref="I2019"/>
    <hyperlink r:id="rId1197" ref="I2020"/>
    <hyperlink r:id="rId1198" ref="I2021"/>
    <hyperlink r:id="rId1199" ref="I2022"/>
    <hyperlink r:id="rId1200" ref="I2023"/>
    <hyperlink r:id="rId1201" ref="I2024"/>
    <hyperlink r:id="rId1202" ref="I2025"/>
    <hyperlink r:id="rId1203" ref="I2026"/>
    <hyperlink r:id="rId1204" ref="I2027"/>
    <hyperlink r:id="rId1205" ref="I2028"/>
    <hyperlink r:id="rId1206" ref="I2029"/>
    <hyperlink r:id="rId1207" ref="I2030"/>
    <hyperlink r:id="rId1208" ref="I2031"/>
    <hyperlink r:id="rId1209" ref="I2032"/>
    <hyperlink r:id="rId1210" ref="I2033"/>
    <hyperlink r:id="rId1211" ref="I2034"/>
    <hyperlink r:id="rId1212" ref="I2035"/>
    <hyperlink r:id="rId1213" ref="I2036"/>
    <hyperlink r:id="rId1214" ref="I2037"/>
    <hyperlink r:id="rId1215" ref="I2038"/>
    <hyperlink r:id="rId1216" ref="I2039"/>
    <hyperlink r:id="rId1217" ref="I2040"/>
    <hyperlink r:id="rId1218" ref="I2041"/>
    <hyperlink r:id="rId1219" ref="I2042"/>
    <hyperlink r:id="rId1220" ref="I2043"/>
    <hyperlink r:id="rId1221" ref="I2044"/>
    <hyperlink r:id="rId1222" ref="I2045"/>
    <hyperlink r:id="rId1223" ref="I2046"/>
    <hyperlink r:id="rId1224" ref="I2047"/>
    <hyperlink r:id="rId1225" ref="I2048"/>
    <hyperlink r:id="rId1226" ref="I2049"/>
    <hyperlink r:id="rId1227" ref="I2050"/>
    <hyperlink r:id="rId1228" ref="I2051"/>
    <hyperlink r:id="rId1229" ref="I2052"/>
    <hyperlink r:id="rId1230" ref="I2053"/>
    <hyperlink r:id="rId1231" ref="I2054"/>
    <hyperlink r:id="rId1232" ref="I2055"/>
    <hyperlink r:id="rId1233" ref="I2056"/>
    <hyperlink r:id="rId1234" ref="I2057"/>
    <hyperlink r:id="rId1235" ref="I2058"/>
    <hyperlink r:id="rId1236" ref="I2059"/>
    <hyperlink r:id="rId1237" ref="I2060"/>
    <hyperlink r:id="rId1238" ref="I2061"/>
    <hyperlink r:id="rId1239" ref="I2062"/>
    <hyperlink r:id="rId1240" ref="I2063"/>
    <hyperlink r:id="rId1241" ref="I2064"/>
    <hyperlink r:id="rId1242" ref="I2065"/>
    <hyperlink r:id="rId1243" ref="I2066"/>
    <hyperlink r:id="rId1244" ref="I2067"/>
    <hyperlink r:id="rId1245" ref="I2068"/>
    <hyperlink r:id="rId1246" ref="I2069"/>
    <hyperlink r:id="rId1247" ref="I2070"/>
    <hyperlink r:id="rId1248" ref="I2071"/>
    <hyperlink r:id="rId1249" ref="I2072"/>
    <hyperlink r:id="rId1250" ref="I2073"/>
    <hyperlink r:id="rId1251" ref="I2074"/>
    <hyperlink r:id="rId1252" ref="I2075"/>
    <hyperlink r:id="rId1253" ref="I2076"/>
    <hyperlink r:id="rId1254" ref="I2077"/>
    <hyperlink r:id="rId1255" ref="I2078"/>
    <hyperlink r:id="rId1256" ref="I2079"/>
    <hyperlink r:id="rId1257" ref="I2080"/>
    <hyperlink r:id="rId1258" ref="I2081"/>
    <hyperlink r:id="rId1259" ref="I2082"/>
    <hyperlink r:id="rId1260" ref="I2083"/>
    <hyperlink r:id="rId1261" ref="I2084"/>
    <hyperlink r:id="rId1262" ref="I2085"/>
    <hyperlink r:id="rId1263" ref="I2086"/>
    <hyperlink r:id="rId1264" ref="I2087"/>
    <hyperlink r:id="rId1265" ref="I2088"/>
    <hyperlink r:id="rId1266" ref="I2089"/>
    <hyperlink r:id="rId1267" ref="I2090"/>
    <hyperlink r:id="rId1268" ref="I2091"/>
    <hyperlink r:id="rId1269" ref="I2092"/>
    <hyperlink r:id="rId1270" ref="I2093"/>
    <hyperlink r:id="rId1271" ref="I2094"/>
    <hyperlink r:id="rId1272" ref="I2095"/>
    <hyperlink r:id="rId1273" ref="I2096"/>
    <hyperlink r:id="rId1274" ref="I2097"/>
    <hyperlink r:id="rId1275" ref="I2098"/>
    <hyperlink r:id="rId1276" ref="I2099"/>
    <hyperlink r:id="rId1277" ref="I2100"/>
    <hyperlink r:id="rId1278" ref="I2101"/>
    <hyperlink r:id="rId1279" ref="I2102"/>
    <hyperlink r:id="rId1280" ref="I2103"/>
    <hyperlink r:id="rId1281" ref="I2104"/>
    <hyperlink r:id="rId1282" ref="I2105"/>
    <hyperlink r:id="rId1283" ref="I2106"/>
    <hyperlink r:id="rId1284" ref="I2107"/>
    <hyperlink r:id="rId1285" ref="I2108"/>
    <hyperlink r:id="rId1286" ref="I2109"/>
    <hyperlink r:id="rId1287" ref="I2110"/>
    <hyperlink r:id="rId1288" ref="I2111"/>
    <hyperlink r:id="rId1289" ref="I2112"/>
    <hyperlink r:id="rId1290" ref="I2113"/>
    <hyperlink r:id="rId1291" ref="I2114"/>
    <hyperlink r:id="rId1292" ref="I2115"/>
    <hyperlink r:id="rId1293" ref="I2116"/>
    <hyperlink r:id="rId1294" ref="I2117"/>
    <hyperlink r:id="rId1295" ref="I2118"/>
    <hyperlink r:id="rId1296" ref="I2119"/>
    <hyperlink r:id="rId1297" ref="I2120"/>
    <hyperlink r:id="rId1298" ref="I2121"/>
    <hyperlink r:id="rId1299" ref="I2122"/>
    <hyperlink r:id="rId1300" ref="I2123"/>
    <hyperlink r:id="rId1301" ref="I2124"/>
    <hyperlink r:id="rId1302" ref="I2125"/>
    <hyperlink r:id="rId1303" ref="I2126"/>
    <hyperlink r:id="rId1304" ref="I2127"/>
    <hyperlink r:id="rId1305" ref="I2128"/>
    <hyperlink r:id="rId1306" ref="I2129"/>
    <hyperlink r:id="rId1307" ref="I2130"/>
    <hyperlink r:id="rId1308" ref="I2131"/>
    <hyperlink r:id="rId1309" ref="I2132"/>
    <hyperlink r:id="rId1310" ref="I2133"/>
    <hyperlink r:id="rId1311" ref="I2134"/>
    <hyperlink r:id="rId1312" ref="I2135"/>
    <hyperlink r:id="rId1313" ref="I2136"/>
    <hyperlink r:id="rId1314" ref="I2137"/>
    <hyperlink r:id="rId1315" ref="I2138"/>
    <hyperlink r:id="rId1316" ref="I2139"/>
    <hyperlink r:id="rId1317" ref="I2140"/>
    <hyperlink r:id="rId1318" ref="I2141"/>
    <hyperlink r:id="rId1319" ref="I2142"/>
    <hyperlink r:id="rId1320" ref="I2143"/>
    <hyperlink r:id="rId1321" ref="I2144"/>
    <hyperlink r:id="rId1322" ref="I2145"/>
    <hyperlink r:id="rId1323" ref="I2146"/>
    <hyperlink r:id="rId1324" ref="I2147"/>
    <hyperlink r:id="rId1325" ref="I2148"/>
    <hyperlink r:id="rId1326" ref="I2149"/>
    <hyperlink r:id="rId1327" ref="I2150"/>
    <hyperlink r:id="rId1328" ref="I2151"/>
    <hyperlink r:id="rId1329" ref="I2152"/>
    <hyperlink r:id="rId1330" ref="I2153"/>
    <hyperlink r:id="rId1331" ref="I2154"/>
    <hyperlink r:id="rId1332" ref="I2155"/>
    <hyperlink r:id="rId1333" ref="I2156"/>
    <hyperlink r:id="rId1334" ref="I2157"/>
    <hyperlink r:id="rId1335" ref="I2158"/>
    <hyperlink r:id="rId1336" ref="I2159"/>
    <hyperlink r:id="rId1337" ref="I2160"/>
    <hyperlink r:id="rId1338" ref="I2161"/>
    <hyperlink r:id="rId1339" ref="I2162"/>
    <hyperlink r:id="rId1340" ref="I2163"/>
    <hyperlink r:id="rId1341" ref="I2164"/>
    <hyperlink r:id="rId1342" ref="I2165"/>
    <hyperlink r:id="rId1343" ref="I2166"/>
    <hyperlink r:id="rId1344" ref="I2167"/>
    <hyperlink r:id="rId1345" ref="I2168"/>
    <hyperlink r:id="rId1346" ref="I2169"/>
    <hyperlink r:id="rId1347" ref="I2170"/>
    <hyperlink r:id="rId1348" ref="I2171"/>
    <hyperlink r:id="rId1349" ref="I2172"/>
    <hyperlink r:id="rId1350" ref="I2173"/>
    <hyperlink r:id="rId1351" ref="I2174"/>
    <hyperlink r:id="rId1352" ref="I2175"/>
    <hyperlink r:id="rId1353" ref="I2176"/>
    <hyperlink r:id="rId1354" ref="I2177"/>
    <hyperlink r:id="rId1355" ref="I2178"/>
    <hyperlink r:id="rId1356" ref="I2179"/>
    <hyperlink r:id="rId1357" ref="I2180"/>
    <hyperlink r:id="rId1358" ref="I2181"/>
    <hyperlink r:id="rId1359" ref="I2182"/>
    <hyperlink r:id="rId1360" ref="I2183"/>
    <hyperlink r:id="rId1361" ref="I2184"/>
    <hyperlink r:id="rId1362" ref="I2185"/>
    <hyperlink r:id="rId1363" ref="I2186"/>
    <hyperlink r:id="rId1364" ref="I2187"/>
    <hyperlink r:id="rId1365" ref="I2188"/>
    <hyperlink r:id="rId1366" ref="I2189"/>
    <hyperlink r:id="rId1367" ref="I2190"/>
    <hyperlink r:id="rId1368" ref="I2191"/>
    <hyperlink r:id="rId1369" ref="I2192"/>
    <hyperlink r:id="rId1370" ref="I2193"/>
    <hyperlink r:id="rId1371" ref="I2194"/>
    <hyperlink r:id="rId1372" ref="I2195"/>
    <hyperlink r:id="rId1373" ref="I2196"/>
    <hyperlink r:id="rId1374" ref="I2197"/>
    <hyperlink r:id="rId1375" ref="I2198"/>
    <hyperlink r:id="rId1376" ref="I2199"/>
    <hyperlink r:id="rId1377" ref="I2200"/>
    <hyperlink r:id="rId1378" ref="I2201"/>
    <hyperlink r:id="rId1379" ref="I2202"/>
    <hyperlink r:id="rId1380" ref="I2203"/>
    <hyperlink r:id="rId1381" ref="I2204"/>
    <hyperlink r:id="rId1382" ref="I2205"/>
    <hyperlink r:id="rId1383" ref="I2206"/>
    <hyperlink r:id="rId1384" ref="I2207"/>
    <hyperlink r:id="rId1385" ref="I2208"/>
    <hyperlink r:id="rId1386" ref="I2209"/>
    <hyperlink r:id="rId1387" ref="I2210"/>
    <hyperlink r:id="rId1388" ref="I2211"/>
    <hyperlink r:id="rId1389" ref="I2212"/>
    <hyperlink r:id="rId1390" ref="I2213"/>
    <hyperlink r:id="rId1391" ref="I2372"/>
    <hyperlink r:id="rId1392" ref="I2373"/>
    <hyperlink r:id="rId1393" ref="I2374"/>
    <hyperlink r:id="rId1394" ref="I2375"/>
    <hyperlink r:id="rId1395" ref="I2376"/>
    <hyperlink r:id="rId1396" ref="I2377"/>
    <hyperlink r:id="rId1397" ref="I2378"/>
    <hyperlink r:id="rId1398" ref="I2379"/>
    <hyperlink r:id="rId1399" ref="I2380"/>
    <hyperlink r:id="rId1400" ref="I2381"/>
    <hyperlink r:id="rId1401" ref="I2382"/>
    <hyperlink r:id="rId1402" ref="I2383"/>
    <hyperlink r:id="rId1403" ref="I2384"/>
    <hyperlink r:id="rId1404" ref="I2385"/>
    <hyperlink r:id="rId1405" ref="I2386"/>
    <hyperlink r:id="rId1406" ref="I2387"/>
    <hyperlink r:id="rId1407" ref="I2388"/>
    <hyperlink r:id="rId1408" ref="I2389"/>
    <hyperlink r:id="rId1409" ref="I2390"/>
    <hyperlink r:id="rId1410" ref="I2391"/>
    <hyperlink r:id="rId1411" ref="I2392"/>
    <hyperlink r:id="rId1412" ref="I2393"/>
    <hyperlink r:id="rId1413" ref="I2394"/>
    <hyperlink r:id="rId1414" ref="I2395"/>
    <hyperlink r:id="rId1415" ref="I2396"/>
    <hyperlink r:id="rId1416" ref="I2397"/>
    <hyperlink r:id="rId1417" ref="I2398"/>
    <hyperlink r:id="rId1418" ref="I2399"/>
    <hyperlink r:id="rId1419" ref="I2400"/>
    <hyperlink r:id="rId1420" ref="I2401"/>
    <hyperlink r:id="rId1421" ref="I2402"/>
    <hyperlink r:id="rId1422" ref="I2403"/>
    <hyperlink r:id="rId1423" ref="I2404"/>
    <hyperlink r:id="rId1424" ref="I2405"/>
    <hyperlink r:id="rId1425" ref="I2406"/>
    <hyperlink r:id="rId1426" ref="I2407"/>
    <hyperlink r:id="rId1427" ref="I2408"/>
    <hyperlink r:id="rId1428" ref="I2409"/>
    <hyperlink r:id="rId1429" ref="I2410"/>
    <hyperlink r:id="rId1430" ref="I2411"/>
    <hyperlink r:id="rId1431" ref="I2412"/>
    <hyperlink r:id="rId1432" ref="I2413"/>
    <hyperlink r:id="rId1433" ref="I2414"/>
    <hyperlink r:id="rId1434" ref="I2415"/>
    <hyperlink r:id="rId1435" ref="I2416"/>
    <hyperlink r:id="rId1436" ref="I2417"/>
    <hyperlink r:id="rId1437" ref="I2418"/>
    <hyperlink r:id="rId1438" ref="I2419"/>
    <hyperlink r:id="rId1439" ref="I2420"/>
    <hyperlink r:id="rId1440" ref="I2421"/>
    <hyperlink r:id="rId1441" ref="I2422"/>
    <hyperlink r:id="rId1442" ref="I2423"/>
    <hyperlink r:id="rId1443" ref="I2424"/>
    <hyperlink r:id="rId1444" ref="I2522"/>
    <hyperlink r:id="rId1445" ref="I2523"/>
    <hyperlink r:id="rId1446" ref="I2524"/>
    <hyperlink r:id="rId1447" ref="I2525"/>
    <hyperlink r:id="rId1448" ref="I2526"/>
    <hyperlink r:id="rId1449" ref="I2527"/>
    <hyperlink r:id="rId1450" ref="I2528"/>
    <hyperlink r:id="rId1451" ref="I2529"/>
    <hyperlink r:id="rId1452" ref="I2530"/>
    <hyperlink r:id="rId1453" ref="I2531"/>
    <hyperlink r:id="rId1454" ref="I2532"/>
    <hyperlink r:id="rId1455" ref="I2533"/>
    <hyperlink r:id="rId1456" ref="I2534"/>
    <hyperlink r:id="rId1457" ref="I2535"/>
    <hyperlink r:id="rId1458" ref="I2536"/>
    <hyperlink r:id="rId1459" ref="I2537"/>
    <hyperlink r:id="rId1460" ref="I2538"/>
    <hyperlink r:id="rId1461" ref="I2539"/>
    <hyperlink r:id="rId1462" ref="I2540"/>
    <hyperlink r:id="rId1463" ref="I2552"/>
    <hyperlink r:id="rId1464" ref="I2553"/>
    <hyperlink r:id="rId1465" ref="I2554"/>
    <hyperlink r:id="rId1466" ref="I2555"/>
    <hyperlink r:id="rId1467" ref="I2556"/>
    <hyperlink r:id="rId1468" ref="I2557"/>
    <hyperlink r:id="rId1469" ref="I2558"/>
    <hyperlink r:id="rId1470" ref="I2559"/>
    <hyperlink r:id="rId1471" ref="I2560"/>
    <hyperlink r:id="rId1472" ref="I2561"/>
    <hyperlink r:id="rId1473" ref="I2562"/>
    <hyperlink r:id="rId1474" ref="I2563"/>
    <hyperlink r:id="rId1475" ref="I2564"/>
    <hyperlink r:id="rId1476" ref="I2565"/>
    <hyperlink r:id="rId1477" ref="I2566"/>
    <hyperlink r:id="rId1478" ref="I2567"/>
    <hyperlink r:id="rId1479" ref="I2568"/>
    <hyperlink r:id="rId1480" ref="I2569"/>
    <hyperlink r:id="rId1481" ref="I2570"/>
    <hyperlink r:id="rId1482" ref="I2571"/>
    <hyperlink r:id="rId1483" ref="I2572"/>
    <hyperlink r:id="rId1484" ref="I2573"/>
    <hyperlink r:id="rId1485" ref="I2574"/>
    <hyperlink r:id="rId1486" ref="I2575"/>
    <hyperlink r:id="rId1487" ref="I2576"/>
    <hyperlink r:id="rId1488" ref="I2577"/>
    <hyperlink r:id="rId1489" ref="I2578"/>
    <hyperlink r:id="rId1490" ref="I2579"/>
    <hyperlink r:id="rId1491" ref="I2580"/>
    <hyperlink r:id="rId1492" ref="I2581"/>
    <hyperlink r:id="rId1493" ref="I2582"/>
    <hyperlink r:id="rId1494" ref="I2583"/>
    <hyperlink r:id="rId1495" ref="I2584"/>
    <hyperlink r:id="rId1496" ref="I2585"/>
    <hyperlink r:id="rId1497" ref="I2586"/>
    <hyperlink r:id="rId1498" ref="I2587"/>
    <hyperlink r:id="rId1499" ref="I2588"/>
    <hyperlink r:id="rId1500" ref="I2589"/>
    <hyperlink r:id="rId1501" ref="I2590"/>
    <hyperlink r:id="rId1502" ref="I2591"/>
    <hyperlink r:id="rId1503" ref="I2592"/>
    <hyperlink r:id="rId1504" ref="I2593"/>
    <hyperlink r:id="rId1505" ref="I2594"/>
    <hyperlink r:id="rId1506" ref="I2595"/>
    <hyperlink r:id="rId1507" ref="I2596"/>
    <hyperlink r:id="rId1508" ref="I2597"/>
    <hyperlink r:id="rId1509" ref="I2598"/>
    <hyperlink r:id="rId1510" ref="I2599"/>
    <hyperlink r:id="rId1511" ref="I2600"/>
    <hyperlink r:id="rId1512" ref="I2601"/>
    <hyperlink r:id="rId1513" ref="I2602"/>
    <hyperlink r:id="rId1514" ref="I2603"/>
    <hyperlink r:id="rId1515" ref="I2604"/>
    <hyperlink r:id="rId1516" ref="I2605"/>
    <hyperlink r:id="rId1517" ref="I2606"/>
    <hyperlink r:id="rId1518" ref="I2607"/>
    <hyperlink r:id="rId1519" ref="I2608"/>
    <hyperlink r:id="rId1520" ref="I2609"/>
    <hyperlink r:id="rId1521" ref="I2610"/>
    <hyperlink r:id="rId1522" ref="I2611"/>
    <hyperlink r:id="rId1523" ref="I2612"/>
    <hyperlink r:id="rId1524" ref="I2613"/>
    <hyperlink r:id="rId1525" ref="I2614"/>
    <hyperlink r:id="rId1526" ref="I2615"/>
    <hyperlink r:id="rId1527" ref="I2616"/>
    <hyperlink r:id="rId1528" ref="I2617"/>
    <hyperlink r:id="rId1529" ref="I2618"/>
    <hyperlink r:id="rId1530" ref="I2619"/>
    <hyperlink r:id="rId1531" ref="I2620"/>
    <hyperlink r:id="rId1532" ref="I2621"/>
    <hyperlink r:id="rId1533" ref="I2622"/>
    <hyperlink r:id="rId1534" ref="I2623"/>
    <hyperlink r:id="rId1535" ref="I2624"/>
    <hyperlink r:id="rId1536" ref="I2625"/>
    <hyperlink r:id="rId1537" ref="I2626"/>
    <hyperlink r:id="rId1538" ref="I2627"/>
    <hyperlink r:id="rId1539" ref="I2628"/>
    <hyperlink r:id="rId1540" ref="I2629"/>
    <hyperlink r:id="rId1541" ref="I2630"/>
    <hyperlink r:id="rId1542" ref="I2631"/>
    <hyperlink r:id="rId1543" ref="I2632"/>
    <hyperlink r:id="rId1544" ref="I2633"/>
    <hyperlink r:id="rId1545" ref="I2634"/>
    <hyperlink r:id="rId1546" ref="I2635"/>
    <hyperlink r:id="rId1547" ref="I2636"/>
    <hyperlink r:id="rId1548" ref="I2637"/>
    <hyperlink r:id="rId1549" ref="I2638"/>
    <hyperlink r:id="rId1550" ref="I2639"/>
    <hyperlink r:id="rId1551" ref="I2640"/>
    <hyperlink r:id="rId1552" ref="I2641"/>
    <hyperlink r:id="rId1553" ref="I2642"/>
    <hyperlink r:id="rId1554" ref="I2643"/>
    <hyperlink r:id="rId1555" ref="I2644"/>
    <hyperlink r:id="rId1556" ref="I2645"/>
    <hyperlink r:id="rId1557" ref="I2646"/>
    <hyperlink r:id="rId1558" ref="I2647"/>
    <hyperlink r:id="rId1559" ref="I2648"/>
    <hyperlink r:id="rId1560" ref="I2649"/>
    <hyperlink r:id="rId1561" ref="I2650"/>
    <hyperlink r:id="rId1562" ref="I2651"/>
    <hyperlink r:id="rId1563" ref="I2652"/>
    <hyperlink r:id="rId1564" ref="I2653"/>
    <hyperlink r:id="rId1565" ref="I2654"/>
    <hyperlink r:id="rId1566" ref="I2655"/>
    <hyperlink r:id="rId1567" ref="I2656"/>
    <hyperlink r:id="rId1568" ref="I2657"/>
    <hyperlink r:id="rId1569" ref="I2658"/>
    <hyperlink r:id="rId1570" ref="I2659"/>
    <hyperlink r:id="rId1571" ref="I2660"/>
    <hyperlink r:id="rId1572" ref="I2661"/>
    <hyperlink r:id="rId1573" ref="I2662"/>
    <hyperlink r:id="rId1574" ref="I2663"/>
    <hyperlink r:id="rId1575" ref="I2664"/>
    <hyperlink r:id="rId1576" ref="I2665"/>
    <hyperlink r:id="rId1577" ref="I2666"/>
    <hyperlink r:id="rId1578" ref="I2667"/>
    <hyperlink r:id="rId1579" ref="I2668"/>
    <hyperlink r:id="rId1580" ref="I2669"/>
    <hyperlink r:id="rId1581" ref="I2670"/>
    <hyperlink r:id="rId1582" ref="I2671"/>
    <hyperlink r:id="rId1583" ref="I2672"/>
    <hyperlink r:id="rId1584" ref="I2673"/>
    <hyperlink r:id="rId1585" ref="I2674"/>
    <hyperlink r:id="rId1586" ref="I2675"/>
    <hyperlink r:id="rId1587" ref="I2676"/>
    <hyperlink r:id="rId1588" ref="I2677"/>
    <hyperlink r:id="rId1589" ref="I2678"/>
    <hyperlink r:id="rId1590" ref="I2679"/>
    <hyperlink r:id="rId1591" ref="I2680"/>
    <hyperlink r:id="rId1592" ref="I2681"/>
    <hyperlink r:id="rId1593" ref="I2682"/>
    <hyperlink r:id="rId1594" ref="I2683"/>
    <hyperlink r:id="rId1595" ref="I2684"/>
    <hyperlink r:id="rId1596" ref="I2685"/>
    <hyperlink r:id="rId1597" ref="I2686"/>
    <hyperlink r:id="rId1598" ref="I2687"/>
    <hyperlink r:id="rId1599" ref="I2688"/>
    <hyperlink r:id="rId1600" ref="I2689"/>
    <hyperlink r:id="rId1601" ref="I2690"/>
    <hyperlink r:id="rId1602" ref="I2691"/>
    <hyperlink r:id="rId1603" ref="I2692"/>
    <hyperlink r:id="rId1604" ref="I2693"/>
    <hyperlink r:id="rId1605" ref="I2694"/>
    <hyperlink r:id="rId1606" ref="I2695"/>
    <hyperlink r:id="rId1607" ref="I2696"/>
    <hyperlink r:id="rId1608" ref="I2697"/>
    <hyperlink r:id="rId1609" ref="I2698"/>
    <hyperlink r:id="rId1610" ref="I2699"/>
    <hyperlink r:id="rId1611" ref="I2700"/>
    <hyperlink r:id="rId1612" ref="I2701"/>
    <hyperlink r:id="rId1613" ref="I2792"/>
    <hyperlink r:id="rId1614" ref="I2793"/>
    <hyperlink r:id="rId1615" ref="I2794"/>
    <hyperlink r:id="rId1616" ref="I2795"/>
    <hyperlink r:id="rId1617" ref="I2796"/>
    <hyperlink r:id="rId1618" ref="I2797"/>
    <hyperlink r:id="rId1619" ref="I2798"/>
    <hyperlink r:id="rId1620" ref="I2799"/>
    <hyperlink r:id="rId1621" ref="I2800"/>
    <hyperlink r:id="rId1622" ref="I2801"/>
    <hyperlink r:id="rId1623" ref="I2802"/>
    <hyperlink r:id="rId1624" ref="I2803"/>
    <hyperlink r:id="rId1625" ref="I2804"/>
    <hyperlink r:id="rId1626" ref="I2805"/>
    <hyperlink r:id="rId1627" ref="I2806"/>
    <hyperlink r:id="rId1628" ref="I2807"/>
    <hyperlink r:id="rId1629" ref="I2808"/>
    <hyperlink r:id="rId1630" ref="I2809"/>
    <hyperlink r:id="rId1631" ref="I2810"/>
    <hyperlink r:id="rId1632" ref="I2811"/>
    <hyperlink r:id="rId1633" ref="I2812"/>
    <hyperlink r:id="rId1634" ref="I2813"/>
    <hyperlink r:id="rId1635" ref="I2814"/>
    <hyperlink r:id="rId1636" ref="I2815"/>
    <hyperlink r:id="rId1637" ref="I2816"/>
    <hyperlink r:id="rId1638" ref="I2817"/>
    <hyperlink r:id="rId1639" ref="I2818"/>
    <hyperlink r:id="rId1640" ref="I2819"/>
    <hyperlink r:id="rId1641" ref="I2820"/>
    <hyperlink r:id="rId1642" ref="I2821"/>
    <hyperlink r:id="rId1643" ref="I2822"/>
    <hyperlink r:id="rId1644" ref="I2823"/>
    <hyperlink r:id="rId1645" ref="I2824"/>
    <hyperlink r:id="rId1646" ref="I2825"/>
    <hyperlink r:id="rId1647" ref="I2826"/>
    <hyperlink r:id="rId1648" ref="I2827"/>
    <hyperlink r:id="rId1649" ref="I2828"/>
    <hyperlink r:id="rId1650" ref="I2829"/>
    <hyperlink r:id="rId1651" ref="I2830"/>
    <hyperlink r:id="rId1652" ref="I2831"/>
    <hyperlink r:id="rId1653" ref="I2832"/>
    <hyperlink r:id="rId1654" ref="I2833"/>
    <hyperlink r:id="rId1655" ref="I2834"/>
    <hyperlink r:id="rId1656" ref="I2835"/>
    <hyperlink r:id="rId1657" ref="I2836"/>
    <hyperlink r:id="rId1658" ref="I2837"/>
    <hyperlink r:id="rId1659" ref="I2838"/>
    <hyperlink r:id="rId1660" ref="I2839"/>
    <hyperlink r:id="rId1661" ref="I2840"/>
    <hyperlink r:id="rId1662" ref="I2841"/>
    <hyperlink r:id="rId1663" ref="I2842"/>
    <hyperlink r:id="rId1664" ref="I2843"/>
    <hyperlink r:id="rId1665" ref="I2844"/>
    <hyperlink r:id="rId1666" ref="I2845"/>
    <hyperlink r:id="rId1667" ref="I2846"/>
    <hyperlink r:id="rId1668" ref="I2847"/>
    <hyperlink r:id="rId1669" ref="I2848"/>
    <hyperlink r:id="rId1670" ref="I2849"/>
    <hyperlink r:id="rId1671" ref="I2850"/>
    <hyperlink r:id="rId1672" ref="I2851"/>
    <hyperlink r:id="rId1673" ref="I2852"/>
    <hyperlink r:id="rId1674" ref="I2853"/>
    <hyperlink r:id="rId1675" ref="I2892"/>
    <hyperlink r:id="rId1676" ref="I2893"/>
    <hyperlink r:id="rId1677" ref="I2894"/>
    <hyperlink r:id="rId1678" ref="I2895"/>
    <hyperlink r:id="rId1679" ref="I2896"/>
    <hyperlink r:id="rId1680" ref="I2897"/>
    <hyperlink r:id="rId1681" ref="I2898"/>
    <hyperlink r:id="rId1682" ref="I2899"/>
    <hyperlink r:id="rId1683" ref="I2900"/>
    <hyperlink r:id="rId1684" ref="I2901"/>
    <hyperlink r:id="rId1685" ref="I2902"/>
    <hyperlink r:id="rId1686" ref="I2903"/>
    <hyperlink r:id="rId1687" ref="I2904"/>
    <hyperlink r:id="rId1688" ref="I2905"/>
    <hyperlink r:id="rId1689" ref="I2906"/>
    <hyperlink r:id="rId1690" ref="I2907"/>
    <hyperlink r:id="rId1691" ref="I2908"/>
    <hyperlink r:id="rId1692" ref="I3085"/>
    <hyperlink r:id="rId1693" ref="I3086"/>
    <hyperlink r:id="rId1694" ref="I3087"/>
    <hyperlink r:id="rId1695" ref="I3088"/>
    <hyperlink r:id="rId1696" ref="I3089"/>
    <hyperlink r:id="rId1697" ref="I3090"/>
    <hyperlink r:id="rId1698" ref="I3091"/>
    <hyperlink r:id="rId1699" ref="I3092"/>
    <hyperlink r:id="rId1700" ref="I3093"/>
    <hyperlink r:id="rId1701" ref="I3094"/>
    <hyperlink r:id="rId1702" ref="I3095"/>
    <hyperlink r:id="rId1703" ref="I3096"/>
    <hyperlink r:id="rId1704" ref="I3097"/>
    <hyperlink r:id="rId1705" ref="I3098"/>
    <hyperlink r:id="rId1706" ref="I3099"/>
    <hyperlink r:id="rId1707" ref="I3100"/>
    <hyperlink r:id="rId1708" ref="I3185"/>
    <hyperlink r:id="rId1709" ref="I3186"/>
    <hyperlink r:id="rId1710" ref="I3187"/>
    <hyperlink r:id="rId1711" ref="I3188"/>
    <hyperlink r:id="rId1712" ref="I3189"/>
    <hyperlink r:id="rId1713" ref="I3190"/>
    <hyperlink r:id="rId1714" ref="I3191"/>
    <hyperlink r:id="rId1715" ref="I3192"/>
    <hyperlink r:id="rId1716" ref="I3193"/>
    <hyperlink r:id="rId1717" ref="I3235"/>
    <hyperlink r:id="rId1718" ref="I3236"/>
    <hyperlink r:id="rId1719" ref="I3237"/>
    <hyperlink r:id="rId1720" ref="I3238"/>
    <hyperlink r:id="rId1721" ref="I3239"/>
    <hyperlink r:id="rId1722" ref="I3240"/>
    <hyperlink r:id="rId1723" ref="I3241"/>
    <hyperlink r:id="rId1724" ref="I3242"/>
    <hyperlink r:id="rId1725" ref="I3243"/>
    <hyperlink r:id="rId1726" ref="I3244"/>
    <hyperlink r:id="rId1727" ref="I3245"/>
    <hyperlink r:id="rId1728" ref="I3246"/>
    <hyperlink r:id="rId1729" ref="I3247"/>
    <hyperlink r:id="rId1730" ref="I3248"/>
    <hyperlink r:id="rId1731" ref="I3249"/>
    <hyperlink r:id="rId1732" ref="I3250"/>
    <hyperlink r:id="rId1733" ref="I3265"/>
    <hyperlink r:id="rId1734" ref="I3266"/>
    <hyperlink r:id="rId1735" ref="I3267"/>
    <hyperlink r:id="rId1736" ref="I3268"/>
    <hyperlink r:id="rId1737" ref="I3269"/>
    <hyperlink r:id="rId1738" ref="I3270"/>
    <hyperlink r:id="rId1739" ref="I3271"/>
    <hyperlink r:id="rId1740" ref="I3272"/>
    <hyperlink r:id="rId1741" ref="I3273"/>
    <hyperlink r:id="rId1742" ref="I3274"/>
    <hyperlink r:id="rId1743" ref="I3275"/>
    <hyperlink r:id="rId1744" ref="I3276"/>
    <hyperlink r:id="rId1745" ref="I3277"/>
    <hyperlink r:id="rId1746" ref="I3278"/>
    <hyperlink r:id="rId1747" ref="I3279"/>
    <hyperlink r:id="rId1748" ref="I3280"/>
    <hyperlink r:id="rId1749" ref="I3281"/>
    <hyperlink r:id="rId1750" ref="I3282"/>
    <hyperlink r:id="rId1751" ref="I3283"/>
    <hyperlink r:id="rId1752" ref="I3284"/>
    <hyperlink r:id="rId1753" ref="I3285"/>
    <hyperlink r:id="rId1754" ref="I3286"/>
    <hyperlink r:id="rId1755" ref="I3287"/>
    <hyperlink r:id="rId1756" ref="I3288"/>
    <hyperlink r:id="rId1757" ref="I3289"/>
    <hyperlink r:id="rId1758" ref="I3290"/>
    <hyperlink r:id="rId1759" ref="I3291"/>
    <hyperlink r:id="rId1760" ref="I3292"/>
    <hyperlink r:id="rId1761" ref="I3293"/>
    <hyperlink r:id="rId1762" ref="I3294"/>
    <hyperlink r:id="rId1763" ref="I3295"/>
    <hyperlink r:id="rId1764" ref="I3296"/>
    <hyperlink r:id="rId1765" ref="I3297"/>
    <hyperlink r:id="rId1766" ref="I3298"/>
    <hyperlink r:id="rId1767" ref="I3299"/>
    <hyperlink r:id="rId1768" ref="I3300"/>
    <hyperlink r:id="rId1769" ref="I3301"/>
    <hyperlink r:id="rId1770" ref="I3302"/>
    <hyperlink r:id="rId1771" ref="I3303"/>
    <hyperlink r:id="rId1772" ref="I3304"/>
    <hyperlink r:id="rId1773" ref="I3305"/>
    <hyperlink r:id="rId1774" ref="I3306"/>
    <hyperlink r:id="rId1775" ref="I3307"/>
    <hyperlink r:id="rId1776" ref="I3308"/>
    <hyperlink r:id="rId1777" ref="I3309"/>
    <hyperlink r:id="rId1778" ref="I3310"/>
    <hyperlink r:id="rId1779" ref="I3325"/>
    <hyperlink r:id="rId1780" ref="I3326"/>
    <hyperlink r:id="rId1781" ref="I3327"/>
    <hyperlink r:id="rId1782" ref="I3328"/>
    <hyperlink r:id="rId1783" ref="I3329"/>
    <hyperlink r:id="rId1784" ref="I3330"/>
    <hyperlink r:id="rId1785" ref="I3331"/>
    <hyperlink r:id="rId1786" ref="I3332"/>
    <hyperlink r:id="rId1787" ref="I3333"/>
    <hyperlink r:id="rId1788" ref="I3334"/>
    <hyperlink r:id="rId1789" ref="I3335"/>
    <hyperlink r:id="rId1790" ref="I3336"/>
    <hyperlink r:id="rId1791" ref="I3337"/>
    <hyperlink r:id="rId1792" ref="I3338"/>
    <hyperlink r:id="rId1793" ref="I3339"/>
    <hyperlink r:id="rId1794" ref="I3340"/>
    <hyperlink r:id="rId1795" ref="I3341"/>
    <hyperlink r:id="rId1796" ref="I3342"/>
    <hyperlink r:id="rId1797" ref="I3343"/>
    <hyperlink r:id="rId1798" ref="I3344"/>
    <hyperlink r:id="rId1799" ref="I3345"/>
    <hyperlink r:id="rId1800" ref="I3346"/>
    <hyperlink r:id="rId1801" ref="I3347"/>
    <hyperlink r:id="rId1802" ref="I3348"/>
    <hyperlink r:id="rId1803" ref="I3349"/>
    <hyperlink r:id="rId1804" ref="I3350"/>
    <hyperlink r:id="rId1805" ref="I3351"/>
    <hyperlink r:id="rId1806" ref="I3352"/>
    <hyperlink r:id="rId1807" ref="I3353"/>
    <hyperlink r:id="rId1808" ref="I3354"/>
    <hyperlink r:id="rId1809" ref="I3355"/>
    <hyperlink r:id="rId1810" ref="I3356"/>
    <hyperlink r:id="rId1811" ref="I3357"/>
    <hyperlink r:id="rId1812" ref="I3358"/>
    <hyperlink r:id="rId1813" ref="I3359"/>
    <hyperlink r:id="rId1814" ref="I3360"/>
    <hyperlink r:id="rId1815" ref="I3361"/>
    <hyperlink r:id="rId1816" ref="I3362"/>
    <hyperlink r:id="rId1817" ref="I3363"/>
    <hyperlink r:id="rId1818" ref="I3364"/>
    <hyperlink r:id="rId1819" ref="I3365"/>
    <hyperlink r:id="rId1820" ref="I3366"/>
    <hyperlink r:id="rId1821" ref="I3367"/>
    <hyperlink r:id="rId1822" ref="I3368"/>
    <hyperlink r:id="rId1823" ref="I3369"/>
    <hyperlink r:id="rId1824" ref="I3370"/>
    <hyperlink r:id="rId1825" ref="I3371"/>
    <hyperlink r:id="rId1826" ref="I3372"/>
    <hyperlink r:id="rId1827" ref="I3373"/>
    <hyperlink r:id="rId1828" ref="I3374"/>
    <hyperlink r:id="rId1829" ref="I3375"/>
    <hyperlink r:id="rId1830" ref="I3376"/>
    <hyperlink r:id="rId1831" ref="I3377"/>
    <hyperlink r:id="rId1832" ref="I3378"/>
    <hyperlink r:id="rId1833" ref="I3379"/>
    <hyperlink r:id="rId1834" ref="I3380"/>
    <hyperlink r:id="rId1835" ref="I3381"/>
    <hyperlink r:id="rId1836" ref="I3382"/>
    <hyperlink r:id="rId1837" ref="I3383"/>
    <hyperlink r:id="rId1838" ref="I3384"/>
  </hyperlinks>
  <drawing r:id="rId183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2.63"/>
    <col customWidth="1" min="2" max="2" width="17.63"/>
    <col customWidth="1" min="3" max="3" width="52.63"/>
  </cols>
  <sheetData>
    <row r="1">
      <c r="A1" s="2" t="s">
        <v>35</v>
      </c>
      <c r="B1" s="2" t="s">
        <v>36</v>
      </c>
      <c r="C1" s="6" t="s">
        <v>37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10" t="str">
        <f>IFERROR(__xludf.DUMMYFUNCTION("QUERY('Tổng hợp 75 trang đích'!I2:I3400,""select I, count(I) where I &lt;&gt; '' group by I order by count(I) desc label count(I) ''"",0)"),"https://techcombank.com/thong-tin/blog/chuyen-doi-ho-kinh-doanh-len-doanh-nghiep")</f>
        <v>https://techcombank.com/thong-tin/blog/chuyen-doi-ho-kinh-doanh-len-doanh-nghiep</v>
      </c>
      <c r="B2" s="11">
        <f>IFERROR(__xludf.DUMMYFUNCTION("""COMPUTED_VALUE"""),14.0)</f>
        <v>14</v>
      </c>
      <c r="C2" s="7" t="str">
        <f>IFERROR(__xludf.DUMMYFUNCTION("IF(A2="""","""",TEXTJOIN(CHAR(10),TRUE,FILTER('Tổng hợp 75 trang đích'!$B$2:$B$3400,'Tổng hợp 75 trang đích'!$I$2:$I$3400=A2)))"),"https://techcombank.com/thong-tin/blog/nop-thue-dat-qua-ngan-hang
https://techcombank.com/thong-tin/blog/cach-nop-thue-dien-tu
https://techcombank.com/thong-tin/blog/thue-thu-nhap-doanh-nghiep
https://techcombank.com/thong-tin/blog/thue-vat-la-gi
https://"&amp;"techcombank.com/thong-tin/blog/tra-cuu-no-thue-doanh-nghiep
https://techcombank.com/thong-tin/blog/thue-doanh-nghiep
https://techcombank.com/thong-tin/blog/cong-ty-su-dung-tai-khoan-ca-nhan
https://techcombank.com/thong-tin/blog/cach-tinh-thue-thu-nhap-ca"&amp;"-nhan-2025
https://techcombank.com/thong-tin/blog/kiem-tra-thue-thu-nhap-ca-nhan
https://techcombank.com/thong-tin/blog/thue-thu-nhap-ca-nhan
https://techcombank.com/thong-tin/blog/ho-kinh-doanh-dong-thue-nhu-nao
https://techcombank.com/thong-tin/blog/mo-"&amp;"hinh-kinh-doanh-la-gi
https://techcombank.com/thong-tin/blog/mo-tai-khoan-ho-kinh-doanh
https://techcombank.com/thong-tin/blog/cach-tinh-thue-ho-kinh-doanh-nho-le")</f>
        <v>https://techcombank.com/thong-tin/blog/nop-thue-dat-qua-ngan-hang
https://techcombank.com/thong-tin/blog/cach-nop-thue-dien-tu
https://techcombank.com/thong-tin/blog/thue-thu-nhap-doanh-nghiep
https://techcombank.com/thong-tin/blog/thue-vat-la-gi
https://techcombank.com/thong-tin/blog/tra-cuu-no-thue-doanh-nghiep
https://techcombank.com/thong-tin/blog/thue-doanh-nghiep
https://techcombank.com/thong-tin/blog/cong-ty-su-dung-tai-khoan-ca-nhan
https://techcombank.com/thong-tin/blog/cach-tinh-thue-thu-nhap-ca-nhan-2025
https://techcombank.com/thong-tin/blog/kiem-tra-thue-thu-nhap-ca-nhan
https://techcombank.com/thong-tin/blog/thue-thu-nhap-ca-nhan
https://techcombank.com/thong-tin/blog/ho-kinh-doanh-dong-thue-nhu-nao
https://techcombank.com/thong-tin/blog/mo-hinh-kinh-doanh-la-gi
https://techcombank.com/thong-tin/blog/mo-tai-khoan-ho-kinh-doanh
https://techcombank.com/thong-tin/blog/cach-tinh-thue-ho-kinh-doanh-nho-le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10" t="str">
        <f>IFERROR(__xludf.DUMMYFUNCTION("""COMPUTED_VALUE"""),"https://techcombank.com/thong-tin/blog/nen-thanh-lap-ho-kinh-doanh-ke-khai-hay-doanh-nghiep")</f>
        <v>https://techcombank.com/thong-tin/blog/nen-thanh-lap-ho-kinh-doanh-ke-khai-hay-doanh-nghiep</v>
      </c>
      <c r="B3" s="11">
        <f>IFERROR(__xludf.DUMMYFUNCTION("""COMPUTED_VALUE"""),14.0)</f>
        <v>14</v>
      </c>
      <c r="C3" s="7" t="str">
        <f>IFERROR(__xludf.DUMMYFUNCTION("IF(A3="""","""",TEXTJOIN(CHAR(10),TRUE,FILTER('Tổng hợp 75 trang đích'!$B$2:$B$3400,'Tổng hợp 75 trang đích'!$I$2:$I$3400=A3)))"),"https://techcombank.com/thong-tin/blog/nop-thue-dat-qua-ngan-hang
https://techcombank.com/thong-tin/blog/cach-nop-thue-dien-tu
https://techcombank.com/thong-tin/blog/thue-thu-nhap-doanh-nghiep
https://techcombank.com/thong-tin/blog/thue-vat-la-gi
https://"&amp;"techcombank.com/thong-tin/blog/tra-cuu-no-thue-doanh-nghiep
https://techcombank.com/thong-tin/blog/thue-doanh-nghiep
https://techcombank.com/thong-tin/blog/cong-ty-su-dung-tai-khoan-ca-nhan
https://techcombank.com/thong-tin/blog/cach-tinh-thue-thu-nhap-ca"&amp;"-nhan-2025
https://techcombank.com/thong-tin/blog/kiem-tra-thue-thu-nhap-ca-nhan
https://techcombank.com/thong-tin/blog/thue-thu-nhap-ca-nhan
https://techcombank.com/thong-tin/blog/ho-kinh-doanh-dong-thue-nhu-nao
https://techcombank.com/thong-tin/blog/mo-"&amp;"hinh-kinh-doanh-la-gi
https://techcombank.com/thong-tin/blog/mo-tai-khoan-ho-kinh-doanh
https://techcombank.com/thong-tin/blog/cach-tinh-thue-ho-kinh-doanh-nho-le")</f>
        <v>https://techcombank.com/thong-tin/blog/nop-thue-dat-qua-ngan-hang
https://techcombank.com/thong-tin/blog/cach-nop-thue-dien-tu
https://techcombank.com/thong-tin/blog/thue-thu-nhap-doanh-nghiep
https://techcombank.com/thong-tin/blog/thue-vat-la-gi
https://techcombank.com/thong-tin/blog/tra-cuu-no-thue-doanh-nghiep
https://techcombank.com/thong-tin/blog/thue-doanh-nghiep
https://techcombank.com/thong-tin/blog/cong-ty-su-dung-tai-khoan-ca-nhan
https://techcombank.com/thong-tin/blog/cach-tinh-thue-thu-nhap-ca-nhan-2025
https://techcombank.com/thong-tin/blog/kiem-tra-thue-thu-nhap-ca-nhan
https://techcombank.com/thong-tin/blog/thue-thu-nhap-ca-nhan
https://techcombank.com/thong-tin/blog/ho-kinh-doanh-dong-thue-nhu-nao
https://techcombank.com/thong-tin/blog/mo-hinh-kinh-doanh-la-gi
https://techcombank.com/thong-tin/blog/mo-tai-khoan-ho-kinh-doanh
https://techcombank.com/thong-tin/blog/cach-tinh-thue-ho-kinh-doanh-nho-le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10" t="str">
        <f>IFERROR(__xludf.DUMMYFUNCTION("""COMPUTED_VALUE"""),"https://techcombank.com/thong-tin/blog/chuyen-tien-dinh-cu")</f>
        <v>https://techcombank.com/thong-tin/blog/chuyen-tien-dinh-cu</v>
      </c>
      <c r="B4" s="11">
        <f>IFERROR(__xludf.DUMMYFUNCTION("""COMPUTED_VALUE"""),13.0)</f>
        <v>13</v>
      </c>
      <c r="C4" s="7" t="str">
        <f>IFERROR(__xludf.DUMMYFUNCTION("IF(A4="""","""",TEXTJOIN(CHAR(10),TRUE,FILTER('Tổng hợp 75 trang đích'!$B$2:$B$3400,'Tổng hợp 75 trang đích'!$I$2:$I$3400=A4)))"),"https://techcombank.com/thong-tin/blog/chuyen-khoan-thanh-cong-nhung-khong-nhan-duoc-tien
https://techcombank.com/thong-tin/blog/1-te-bang-bao-nhieu-tien-viet-nam
https://techcombank.com/thong-tin/blog/1-dong-do-la-my-bang-bao-nhieu-tien-viet-nam
https://"&amp;"techcombank.com/thong-tin/blog/tien-nhat
https://techcombank.com/thong-tin/blog/1-yen-bang-bao-nhieu-tien-viet-nam
https://techcombank.com/thong-tin/blog/1-won-bang-bao-nhieu-tien-viet
https://techcombank.com/thong-tin/blog/tien-dai-loan
https://techcomba"&amp;"nk.com/thong-tin/blog/1-man-bang-bao-nhieu-tien-viet
https://techcombank.com/thong-tin/blog/tien-thai-lan
https://techcombank.com/thong-tin/blog/1-trieu-do-bang-bao-nhieu-tien-viet
https://techcombank.com/thong-tin/blog/1000-won-bang-bao-nhieu-tien-viet
h"&amp;"ttps://techcombank.com/thong-tin/blog/cach-nhan-tien-tu-nuoc-ngoai-ve-viet-nam
https://techcombank.com/thong-tin/blog/doi-tien-do-o-dau")</f>
        <v>https://techcombank.com/thong-tin/blog/chuyen-khoan-thanh-cong-nhung-khong-nhan-duoc-tien
https://techcombank.com/thong-tin/blog/1-te-bang-bao-nhieu-tien-viet-nam
https://techcombank.com/thong-tin/blog/1-dong-do-la-my-bang-bao-nhieu-tien-viet-nam
https://techcombank.com/thong-tin/blog/tien-nhat
https://techcombank.com/thong-tin/blog/1-yen-bang-bao-nhieu-tien-viet-nam
https://techcombank.com/thong-tin/blog/1-won-bang-bao-nhieu-tien-viet
https://techcombank.com/thong-tin/blog/tien-dai-loan
https://techcombank.com/thong-tin/blog/1-man-bang-bao-nhieu-tien-viet
https://techcombank.com/thong-tin/blog/tien-thai-lan
https://techcombank.com/thong-tin/blog/1-trieu-do-bang-bao-nhieu-tien-viet
https://techcombank.com/thong-tin/blog/1000-won-bang-bao-nhieu-tien-viet
https://techcombank.com/thong-tin/blog/cach-nhan-tien-tu-nuoc-ngoai-ve-viet-nam
https://techcombank.com/thong-tin/blog/doi-tien-do-o-dau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10" t="str">
        <f>IFERROR(__xludf.DUMMYFUNCTION("""COMPUTED_VALUE"""),"https://techcombank.com/thong-tin/blog/gui-tien-du-hoc")</f>
        <v>https://techcombank.com/thong-tin/blog/gui-tien-du-hoc</v>
      </c>
      <c r="B5" s="11">
        <f>IFERROR(__xludf.DUMMYFUNCTION("""COMPUTED_VALUE"""),13.0)</f>
        <v>13</v>
      </c>
      <c r="C5" s="7" t="str">
        <f>IFERROR(__xludf.DUMMYFUNCTION("IF(A5="""","""",TEXTJOIN(CHAR(10),TRUE,FILTER('Tổng hợp 75 trang đích'!$B$2:$B$3400,'Tổng hợp 75 trang đích'!$I$2:$I$3400=A5)))"),"https://techcombank.com/thong-tin/blog/1-te-bang-bao-nhieu-tien-viet-nam
https://techcombank.com/thong-tin/blog/1-dong-do-la-my-bang-bao-nhieu-tien-viet-nam
https://techcombank.com/thong-tin/blog/tien-nhat
https://techcombank.com/thong-tin/blog/1-yen-bang"&amp;"-bao-nhieu-tien-viet-nam
https://techcombank.com/thong-tin/blog/1-won-bang-bao-nhieu-tien-viet
https://techcombank.com/thong-tin/blog/tien-dai-loan
https://techcombank.com/thong-tin/blog/1-man-bang-bao-nhieu-tien-viet
https://techcombank.com/thong-tin/blo"&amp;"g/tien-thai-lan
https://techcombank.com/thong-tin/blog/1-trieu-do-bang-bao-nhieu-tien-viet
https://techcombank.com/thong-tin/blog/1000-won-bang-bao-nhieu-tien-viet
https://techcombank.com/thong-tin/blog/cach-nhan-tien-tu-nuoc-ngoai-ve-viet-nam
https://tec"&amp;"hcombank.com/thong-tin/blog/doi-tien-do-o-dau
https://techcombank.com/thong-tin/blog/lai-suat-tiet-kiem")</f>
        <v>https://techcombank.com/thong-tin/blog/1-te-bang-bao-nhieu-tien-viet-nam
https://techcombank.com/thong-tin/blog/1-dong-do-la-my-bang-bao-nhieu-tien-viet-nam
https://techcombank.com/thong-tin/blog/tien-nhat
https://techcombank.com/thong-tin/blog/1-yen-bang-bao-nhieu-tien-viet-nam
https://techcombank.com/thong-tin/blog/1-won-bang-bao-nhieu-tien-viet
https://techcombank.com/thong-tin/blog/tien-dai-loan
https://techcombank.com/thong-tin/blog/1-man-bang-bao-nhieu-tien-viet
https://techcombank.com/thong-tin/blog/tien-thai-lan
https://techcombank.com/thong-tin/blog/1-trieu-do-bang-bao-nhieu-tien-viet
https://techcombank.com/thong-tin/blog/1000-won-bang-bao-nhieu-tien-viet
https://techcombank.com/thong-tin/blog/cach-nhan-tien-tu-nuoc-ngoai-ve-viet-nam
https://techcombank.com/thong-tin/blog/doi-tien-do-o-dau
https://techcombank.com/thong-tin/blog/lai-suat-tiet-kiem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10" t="str">
        <f>IFERROR(__xludf.DUMMYFUNCTION("""COMPUTED_VALUE"""),"https://techcombank.com/thong-tin/blog/han-muc-mua-ngoai-te-khi-di-du-lich")</f>
        <v>https://techcombank.com/thong-tin/blog/han-muc-mua-ngoai-te-khi-di-du-lich</v>
      </c>
      <c r="B6" s="11">
        <f>IFERROR(__xludf.DUMMYFUNCTION("""COMPUTED_VALUE"""),13.0)</f>
        <v>13</v>
      </c>
      <c r="C6" s="7" t="str">
        <f>IFERROR(__xludf.DUMMYFUNCTION("IF(A6="""","""",TEXTJOIN(CHAR(10),TRUE,FILTER('Tổng hợp 75 trang đích'!$B$2:$B$3400,'Tổng hợp 75 trang đích'!$I$2:$I$3400=A6)))"),"https://techcombank.com/thong-tin/blog/1-te-bang-bao-nhieu-tien-viet-nam
https://techcombank.com/thong-tin/blog/1-dong-do-la-my-bang-bao-nhieu-tien-viet-nam
https://techcombank.com/thong-tin/blog/tien-nhat
https://techcombank.com/thong-tin/blog/1-yen-bang"&amp;"-bao-nhieu-tien-viet-nam
https://techcombank.com/thong-tin/blog/1-won-bang-bao-nhieu-tien-viet
https://techcombank.com/thong-tin/blog/tien-dai-loan
https://techcombank.com/thong-tin/blog/1-man-bang-bao-nhieu-tien-viet
https://techcombank.com/thong-tin/blo"&amp;"g/tien-thai-lan
https://techcombank.com/thong-tin/blog/1-trieu-do-bang-bao-nhieu-tien-viet
https://techcombank.com/thong-tin/blog/1000-won-bang-bao-nhieu-tien-viet
https://techcombank.com/thong-tin/blog/cach-nhan-tien-tu-nuoc-ngoai-ve-viet-nam
https://tec"&amp;"hcombank.com/thong-tin/blog/doi-tien-do-o-dau
https://techcombank.com/thong-tin/blog/app-vay-tien-nhanh")</f>
        <v>https://techcombank.com/thong-tin/blog/1-te-bang-bao-nhieu-tien-viet-nam
https://techcombank.com/thong-tin/blog/1-dong-do-la-my-bang-bao-nhieu-tien-viet-nam
https://techcombank.com/thong-tin/blog/tien-nhat
https://techcombank.com/thong-tin/blog/1-yen-bang-bao-nhieu-tien-viet-nam
https://techcombank.com/thong-tin/blog/1-won-bang-bao-nhieu-tien-viet
https://techcombank.com/thong-tin/blog/tien-dai-loan
https://techcombank.com/thong-tin/blog/1-man-bang-bao-nhieu-tien-viet
https://techcombank.com/thong-tin/blog/tien-thai-lan
https://techcombank.com/thong-tin/blog/1-trieu-do-bang-bao-nhieu-tien-viet
https://techcombank.com/thong-tin/blog/1000-won-bang-bao-nhieu-tien-viet
https://techcombank.com/thong-tin/blog/cach-nhan-tien-tu-nuoc-ngoai-ve-viet-nam
https://techcombank.com/thong-tin/blog/doi-tien-do-o-dau
https://techcombank.com/thong-tin/blog/app-vay-tien-nhanh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10" t="str">
        <f>IFERROR(__xludf.DUMMYFUNCTION("""COMPUTED_VALUE"""),"https://techcombank.com/thong-tin/blog/lai-suat-vay-the-chap-so-do")</f>
        <v>https://techcombank.com/thong-tin/blog/lai-suat-vay-the-chap-so-do</v>
      </c>
      <c r="B7" s="11">
        <f>IFERROR(__xludf.DUMMYFUNCTION("""COMPUTED_VALUE"""),13.0)</f>
        <v>13</v>
      </c>
      <c r="C7" s="7" t="str">
        <f>IFERROR(__xludf.DUMMYFUNCTION("IF(A7="""","""",TEXTJOIN(CHAR(10),TRUE,FILTER('Tổng hợp 75 trang đích'!$B$2:$B$3400,'Tổng hợp 75 trang đích'!$I$2:$I$3400=A7)))"),"https://techcombank.com/thong-tin/blog/lai-suat-vay-mua-o-to
https://techcombank.com/thong-tin/blog/nop-thue-dat-qua-ngan-hang
https://techcombank.com/thong-tin/blog/cic-la-gi
https://techcombank.com/thong-tin/blog/xep-hang-tin-dung
https://techcombank.co"&amp;"m/thong-tin/blog/cach-tinh-lai-vay-ngan-hang
https://techcombank.com/thong-tin/blog/ho-so-thu-tuc-xoa-the-chap
https://techcombank.com/thong-tin/blog/lai-suat-tiet-kiem
https://techcombank.com/thong-tin/blog/cach-tinh-lai-suat-tien-gui-tiet-kiem
https://t"&amp;"echcombank.com/cong-cu-tien-ich/cong-cu-tinh-toan/bang-tinh-lai-suat-vay
https://techcombank.com/cong-cu-tien-ich/cong-cu-tinh-toan/bang-tinh-lai-suat-tiet-kiem
https://techcombank.com/thong-tin/blog/app-vay-tien-nhanh
https://techcombank.com/thong-tin/bl"&amp;"og/lai-suat-vay-ngan-hang
https://techcombank.com/thong-tin/blog/vay-thau-chi-la-gi")</f>
        <v>https://techcombank.com/thong-tin/blog/lai-suat-vay-mua-o-to
https://techcombank.com/thong-tin/blog/nop-thue-dat-qua-ngan-hang
https://techcombank.com/thong-tin/blog/cic-la-gi
https://techcombank.com/thong-tin/blog/xep-hang-tin-dung
https://techcombank.com/thong-tin/blog/cach-tinh-lai-vay-ngan-hang
https://techcombank.com/thong-tin/blog/ho-so-thu-tuc-xoa-the-chap
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
https://techcombank.com/thong-tin/blog/lai-suat-vay-ngan-hang
https://techcombank.com/thong-tin/blog/vay-thau-chi-la-gi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10" t="str">
        <f>IFERROR(__xludf.DUMMYFUNCTION("""COMPUTED_VALUE"""),"https://techcombank.com/thong-tin/blog/nen-mua-xe-tra-gop-hay-tra-thang")</f>
        <v>https://techcombank.com/thong-tin/blog/nen-mua-xe-tra-gop-hay-tra-thang</v>
      </c>
      <c r="B8" s="11">
        <f>IFERROR(__xludf.DUMMYFUNCTION("""COMPUTED_VALUE"""),13.0)</f>
        <v>13</v>
      </c>
      <c r="C8" s="7" t="str">
        <f>IFERROR(__xludf.DUMMYFUNCTION("IF(A8="""","""",TEXTJOIN(CHAR(10),TRUE,FILTER('Tổng hợp 75 trang đích'!$B$2:$B$3400,'Tổng hợp 75 trang đích'!$I$2:$I$3400=A8)))"),"https://techcombank.com/thong-tin/blog/lai-suat-vay-mua-o-to
https://techcombank.com/thong-tin/blog/cic-la-gi
https://techcombank.com/thong-tin/blog/cach-tinh-lai-vay-ngan-hang
https://techcombank.com/thong-tin/blog/lai-suat-vay-the-chap-so-do
https://tec"&amp;"hcombank.com/thong-tin/blog/ho-so-thu-tuc-xoa-the-chap
https://techcombank.com/thong-tin/blog/lai-suat-tiet-kiem
https://techcombank.com/thong-tin/blog/cach-tinh-lai-suat-tien-gui-tiet-kiem
https://techcombank.com/cong-cu-tien-ich/cong-cu-tinh-toan/bang-t"&amp;"inh-lai-suat-vay
https://techcombank.com/thong-tin/blog/app-vay-tien-nhanh
https://techcombank.com/thong-tin/blog/lai-suat-vay-ngan-hang
https://techcombank.com/thong-tin/blog/vay-thau-chi-la-gi
https://techcombank.com/thong-tin/blog/kiem-tra-no-xau
https"&amp;"://techcombank.com/thong-tin/blog/no-xau-la-gi")</f>
        <v>https://techcombank.com/thong-tin/blog/lai-suat-vay-mua-o-to
https://techcombank.com/thong-tin/blog/cic-la-gi
https://techcombank.com/thong-tin/blog/cach-tinh-lai-vay-ngan-hang
https://techcombank.com/thong-tin/blog/lai-suat-vay-the-chap-so-do
https://techcombank.com/thong-tin/blog/ho-so-thu-tuc-xoa-the-chap
https://techcombank.com/thong-tin/blog/lai-suat-tiet-kiem
https://techcombank.com/thong-tin/blog/cach-tinh-lai-suat-tien-gui-tiet-kiem
https://techcombank.com/cong-cu-tien-ich/cong-cu-tinh-toan/bang-tinh-lai-suat-vay
https://techcombank.com/thong-tin/blog/app-vay-tien-nhanh
https://techcombank.com/thong-tin/blog/lai-suat-vay-ngan-hang
https://techcombank.com/thong-tin/blog/vay-thau-chi-la-gi
https://techcombank.com/thong-tin/blog/kiem-tra-no-xau
https://techcombank.com/thong-tin/blog/no-xau-la-gi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10" t="str">
        <f>IFERROR(__xludf.DUMMYFUNCTION("""COMPUTED_VALUE"""),"https://techcombank.com/thong-tin/blog/tim-hieu-ve-chinh-sach-thue-moi")</f>
        <v>https://techcombank.com/thong-tin/blog/tim-hieu-ve-chinh-sach-thue-moi</v>
      </c>
      <c r="B9" s="11">
        <f>IFERROR(__xludf.DUMMYFUNCTION("""COMPUTED_VALUE"""),13.0)</f>
        <v>13</v>
      </c>
      <c r="C9" s="7" t="str">
        <f>IFERROR(__xludf.DUMMYFUNCTION("IF(A9="""","""",TEXTJOIN(CHAR(10),TRUE,FILTER('Tổng hợp 75 trang đích'!$B$2:$B$3400,'Tổng hợp 75 trang đích'!$I$2:$I$3400=A9)))"),"https://techcombank.com/thong-tin/blog/nop-thue-dat-qua-ngan-hang
https://techcombank.com/thong-tin/blog/cach-nop-thue-dien-tu
https://techcombank.com/thong-tin/blog/thue-thu-nhap-doanh-nghiep
https://techcombank.com/thong-tin/blog/thue-vat-la-gi
https://"&amp;"techcombank.com/thong-tin/blog/tra-cuu-no-thue-doanh-nghiep
https://techcombank.com/thong-tin/blog/thue-doanh-nghiep
https://techcombank.com/thong-tin/blog/cong-ty-su-dung-tai-khoan-ca-nhan
https://techcombank.com/thong-tin/blog/cach-tinh-thue-thu-nhap-do"&amp;"anh-nghiep
https://techcombank.com/thong-tin/blog/cach-tinh-tien-dien-sinh-hoat
https://techcombank.com/thong-tin/blog/cach-tinh-thue-thu-nhap-ca-nhan-2025
https://techcombank.com/thong-tin/blog/kiem-tra-thue-thu-nhap-ca-nhan
https://techcombank.com/thong"&amp;"-tin/blog/thue-thu-nhap-ca-nhan
https://techcombank.com/thong-tin/blog/mo-hinh-kinh-doanh-la-gi")</f>
        <v>https://techcombank.com/thong-tin/blog/nop-thue-dat-qua-ngan-hang
https://techcombank.com/thong-tin/blog/cach-nop-thue-dien-tu
https://techcombank.com/thong-tin/blog/thue-thu-nhap-doanh-nghiep
https://techcombank.com/thong-tin/blog/thue-vat-la-gi
https://techcombank.com/thong-tin/blog/tra-cuu-no-thue-doanh-nghiep
https://techcombank.com/thong-tin/blog/thue-doanh-nghiep
https://techcombank.com/thong-tin/blog/cong-ty-su-dung-tai-khoan-ca-nhan
https://techcombank.com/thong-tin/blog/cach-tinh-thue-thu-nhap-doanh-nghiep
https://techcombank.com/thong-tin/blog/cach-tinh-tien-dien-sinh-hoat
https://techcombank.com/thong-tin/blog/cach-tinh-thue-thu-nhap-ca-nhan-2025
https://techcombank.com/thong-tin/blog/kiem-tra-thue-thu-nhap-ca-nhan
https://techcombank.com/thong-tin/blog/thue-thu-nhap-ca-nhan
https://techcombank.com/thong-tin/blog/mo-hinh-kinh-doanh-la-gi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10" t="str">
        <f>IFERROR(__xludf.DUMMYFUNCTION("""COMPUTED_VALUE"""),"https://techcombank.com/thong-tin/blog/vay-the-chap-kinh-doanh")</f>
        <v>https://techcombank.com/thong-tin/blog/vay-the-chap-kinh-doanh</v>
      </c>
      <c r="B10" s="11">
        <f>IFERROR(__xludf.DUMMYFUNCTION("""COMPUTED_VALUE"""),13.0)</f>
        <v>13</v>
      </c>
      <c r="C10" s="7" t="str">
        <f>IFERROR(__xludf.DUMMYFUNCTION("IF(A10="""","""",TEXTJOIN(CHAR(10),TRUE,FILTER('Tổng hợp 75 trang đích'!$B$2:$B$3400,'Tổng hợp 75 trang đích'!$I$2:$I$3400=A10)))"),"https://techcombank.com/thong-tin/blog/lai-suat-vay-mua-o-to
https://techcombank.com/thong-tin/blog/nop-thue-dat-qua-ngan-hang
https://techcombank.com/thong-tin/blog/cic-la-gi
https://techcombank.com/thong-tin/blog/vay-ngan-hang-1-ty-moi-thang-tra-bao-nhi"&amp;"eu
https://techcombank.com/thong-tin/blog/ho-kinh-doanh-dong-thue-nhu-nao
https://techcombank.com/thong-tin/blog/lai-suat-vay-the-chap-so-do
https://techcombank.com/thong-tin/blog/ho-so-thu-tuc-xoa-the-chap
https://techcombank.com/thong-tin/blog/lai-suat-"&amp;"tiet-kiem
https://techcombank.com/thong-tin/blog/cach-tinh-lai-suat-tien-gui-tiet-kiem
https://techcombank.com/cong-cu-tien-ich/cong-cu-tinh-toan/bang-tinh-lai-suat-vay
https://techcombank.com/thong-tin/blog/app-vay-tien-nhanh
https://techcombank.com/thon"&amp;"g-tin/blog/lai-suat-vay-ngan-hang
https://techcombank.com/thong-tin/blog/vay-thau-chi-la-gi")</f>
        <v>https://techcombank.com/thong-tin/blog/lai-suat-vay-mua-o-to
https://techcombank.com/thong-tin/blog/nop-thue-dat-qua-ngan-hang
https://techcombank.com/thong-tin/blog/cic-la-gi
https://techcombank.com/thong-tin/blog/vay-ngan-hang-1-ty-moi-thang-tra-bao-nhieu
https://techcombank.com/thong-tin/blog/ho-kinh-doanh-dong-thue-nhu-nao
https://techcombank.com/thong-tin/blog/lai-suat-vay-the-chap-so-do
https://techcombank.com/thong-tin/blog/ho-so-thu-tuc-xoa-the-chap
https://techcombank.com/thong-tin/blog/lai-suat-tiet-kiem
https://techcombank.com/thong-tin/blog/cach-tinh-lai-suat-tien-gui-tiet-kiem
https://techcombank.com/cong-cu-tien-ich/cong-cu-tinh-toan/bang-tinh-lai-suat-vay
https://techcombank.com/thong-tin/blog/app-vay-tien-nhanh
https://techcombank.com/thong-tin/blog/lai-suat-vay-ngan-hang
https://techcombank.com/thong-tin/blog/vay-thau-chi-la-gi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10" t="str">
        <f>IFERROR(__xludf.DUMMYFUNCTION("""COMPUTED_VALUE"""),"https://techcombank.com/thong-tin/blog/vay-tin-chap-va-vay-the-chap")</f>
        <v>https://techcombank.com/thong-tin/blog/vay-tin-chap-va-vay-the-chap</v>
      </c>
      <c r="B11" s="11">
        <f>IFERROR(__xludf.DUMMYFUNCTION("""COMPUTED_VALUE"""),13.0)</f>
        <v>13</v>
      </c>
      <c r="C11" s="7" t="str">
        <f>IFERROR(__xludf.DUMMYFUNCTION("IF(A11="""","""",TEXTJOIN(CHAR(10),TRUE,FILTER('Tổng hợp 75 trang đích'!$B$2:$B$3400,'Tổng hợp 75 trang đích'!$I$2:$I$3400=A11)))"),"https://techcombank.com/thong-tin/blog/lai-suat-vay-mua-o-to
https://techcombank.com/thong-tin/blog/vay-ngan-hang-1-ty-moi-thang-tra-bao-nhieu
https://techcombank.com/thong-tin/blog/cach-tinh-lai-vay-ngan-hang
https://techcombank.com/thong-tin/blog/lai-su"&amp;"at-vay-the-chap-so-do
https://techcombank.com/thong-tin/blog/ho-so-thu-tuc-xoa-the-chap
https://techcombank.com/thong-tin/blog/lai-suat-tiet-kiem
https://techcombank.com/thong-tin/blog/cach-tinh-lai-suat-tien-gui-tiet-kiem
https://techcombank.com/cong-cu-"&amp;"tien-ich/cong-cu-tinh-toan/bang-tinh-lai-suat-vay
https://techcombank.com/thong-tin/blog/app-vay-tien-nhanh
https://techcombank.com/thong-tin/blog/lai-suat-vay-ngan-hang
https://techcombank.com/thong-tin/blog/vay-thau-chi-la-gi
https://techcombank.com/tho"&amp;"ng-tin/blog/nen-vay-tin-chap-o-dau
https://techcombank.com/thong-tin/blog/vay-tin-chap-khong-tra-duoc-co-sao-khong")</f>
        <v>https://techcombank.com/thong-tin/blog/lai-suat-vay-mua-o-to
https://techcombank.com/thong-tin/blog/vay-ngan-hang-1-ty-moi-thang-tra-bao-nhieu
https://techcombank.com/thong-tin/blog/cach-tinh-lai-vay-ngan-hang
https://techcombank.com/thong-tin/blog/lai-suat-vay-the-chap-so-do
https://techcombank.com/thong-tin/blog/ho-so-thu-tuc-xoa-the-chap
https://techcombank.com/thong-tin/blog/lai-suat-tiet-kiem
https://techcombank.com/thong-tin/blog/cach-tinh-lai-suat-tien-gui-tiet-kiem
https://techcombank.com/cong-cu-tien-ich/cong-cu-tinh-toan/bang-tinh-lai-suat-vay
https://techcombank.com/thong-tin/blog/app-vay-tien-nhanh
https://techcombank.com/thong-tin/blog/lai-suat-vay-ngan-hang
https://techcombank.com/thong-tin/blog/vay-thau-chi-la-gi
https://techcombank.com/thong-tin/blog/nen-vay-tin-chap-o-dau
https://techcombank.com/thong-tin/blog/vay-tin-chap-khong-tra-duoc-co-sao-khong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10" t="str">
        <f>IFERROR(__xludf.DUMMYFUNCTION("""COMPUTED_VALUE"""),"https://techcombank.com/thong-tin/blog/cac-hinh-thuc-vay-von-ngan-hang")</f>
        <v>https://techcombank.com/thong-tin/blog/cac-hinh-thuc-vay-von-ngan-hang</v>
      </c>
      <c r="B12" s="11">
        <f>IFERROR(__xludf.DUMMYFUNCTION("""COMPUTED_VALUE"""),12.0)</f>
        <v>12</v>
      </c>
      <c r="C12" s="7" t="str">
        <f>IFERROR(__xludf.DUMMYFUNCTION("IF(A12="""","""",TEXTJOIN(CHAR(10),TRUE,FILTER('Tổng hợp 75 trang đích'!$B$2:$B$3400,'Tổng hợp 75 trang đích'!$I$2:$I$3400=A12)))"),"https://techcombank.com/thong-tin/blog/lai-suat-vay-mua-o-to
https://techcombank.com/thong-tin/blog/cic-la-gi
https://techcombank.com/thong-tin/blog/vay-ngan-hang-1-ty-moi-thang-tra-bao-nhieu
https://techcombank.com/thong-tin/blog/cach-tinh-lai-vay-ngan-h"&amp;"ang
https://techcombank.com/thong-tin/blog/lai-suat-vay-the-chap-so-do
https://techcombank.com/thong-tin/blog/ho-so-thu-tuc-xoa-the-chap
https://techcombank.com/cong-cu-tien-ich/cong-cu-tinh-toan/bang-tinh-lai-suat-vay
https://techcombank.com/thong-tin/bl"&amp;"og/app-vay-tien-nhanh
https://techcombank.com/thong-tin/blog/lai-suat-vay-ngan-hang
https://techcombank.com/thong-tin/blog/vay-thau-chi-la-gi
https://techcombank.com/thong-tin/blog/nen-vay-tin-chap-o-dau
https://techcombank.com/thong-tin/blog/vay-tin-chap"&amp;"-khong-tra-duoc-co-sao-khong")</f>
        <v>https://techcombank.com/thong-tin/blog/lai-suat-vay-mua-o-to
https://techcombank.com/thong-tin/blog/cic-la-gi
https://techcombank.com/thong-tin/blog/vay-ngan-hang-1-ty-moi-thang-tra-bao-nhieu
https://techcombank.com/thong-tin/blog/cach-tinh-lai-vay-ngan-hang
https://techcombank.com/thong-tin/blog/lai-suat-vay-the-chap-so-do
https://techcombank.com/thong-tin/blog/ho-so-thu-tuc-xoa-the-chap
https://techcombank.com/cong-cu-tien-ich/cong-cu-tinh-toan/bang-tinh-lai-suat-vay
https://techcombank.com/thong-tin/blog/app-vay-tien-nhanh
https://techcombank.com/thong-tin/blog/lai-suat-vay-ngan-hang
https://techcombank.com/thong-tin/blog/vay-thau-chi-la-gi
https://techcombank.com/thong-tin/blog/nen-vay-tin-chap-o-dau
https://techcombank.com/thong-tin/blog/vay-tin-chap-khong-tra-duoc-co-sao-khong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10" t="str">
        <f>IFERROR(__xludf.DUMMYFUNCTION("""COMPUTED_VALUE"""),"https://techcombank.com/thong-tin/blog/chuyen-tien-tu-nhat-ve-viet-nam")</f>
        <v>https://techcombank.com/thong-tin/blog/chuyen-tien-tu-nhat-ve-viet-nam</v>
      </c>
      <c r="B13" s="11">
        <f>IFERROR(__xludf.DUMMYFUNCTION("""COMPUTED_VALUE"""),12.0)</f>
        <v>12</v>
      </c>
      <c r="C13" s="7" t="str">
        <f>IFERROR(__xludf.DUMMYFUNCTION("IF(A13="""","""",TEXTJOIN(CHAR(10),TRUE,FILTER('Tổng hợp 75 trang đích'!$B$2:$B$3400,'Tổng hợp 75 trang đích'!$I$2:$I$3400=A13)))"),"https://techcombank.com/thong-tin/blog/1-te-bang-bao-nhieu-tien-viet-nam
https://techcombank.com/thong-tin/blog/1-dong-do-la-my-bang-bao-nhieu-tien-viet-nam
https://techcombank.com/thong-tin/blog/tien-nhat
https://techcombank.com/thong-tin/blog/1-yen-bang"&amp;"-bao-nhieu-tien-viet-nam
https://techcombank.com/thong-tin/blog/1-won-bang-bao-nhieu-tien-viet
https://techcombank.com/thong-tin/blog/tien-dai-loan
https://techcombank.com/thong-tin/blog/1-man-bang-bao-nhieu-tien-viet
https://techcombank.com/thong-tin/blo"&amp;"g/tien-thai-lan
https://techcombank.com/thong-tin/blog/1-trieu-do-bang-bao-nhieu-tien-viet
https://techcombank.com/thong-tin/blog/1000-won-bang-bao-nhieu-tien-viet
https://techcombank.com/thong-tin/blog/doi-tien-do-o-dau
https://techcombank.com/thong-tin/"&amp;"blog/lai-suat-tiet-kiem")</f>
        <v>https://techcombank.com/thong-tin/blog/1-te-bang-bao-nhieu-tien-viet-nam
https://techcombank.com/thong-tin/blog/1-dong-do-la-my-bang-bao-nhieu-tien-viet-nam
https://techcombank.com/thong-tin/blog/tien-nhat
https://techcombank.com/thong-tin/blog/1-yen-bang-bao-nhieu-tien-viet-nam
https://techcombank.com/thong-tin/blog/1-won-bang-bao-nhieu-tien-viet
https://techcombank.com/thong-tin/blog/tien-dai-loan
https://techcombank.com/thong-tin/blog/1-man-bang-bao-nhieu-tien-viet
https://techcombank.com/thong-tin/blog/tien-thai-lan
https://techcombank.com/thong-tin/blog/1-trieu-do-bang-bao-nhieu-tien-viet
https://techcombank.com/thong-tin/blog/1000-won-bang-bao-nhieu-tien-viet
https://techcombank.com/thong-tin/blog/doi-tien-do-o-dau
https://techcombank.com/thong-tin/blog/lai-suat-tiet-kiem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10" t="str">
        <f>IFERROR(__xludf.DUMMYFUNCTION("""COMPUTED_VALUE"""),"https://techcombank.com/thong-tin/blog/di-du-lich-nuoc-ngoai-can-chuan-bi-gi")</f>
        <v>https://techcombank.com/thong-tin/blog/di-du-lich-nuoc-ngoai-can-chuan-bi-gi</v>
      </c>
      <c r="B14" s="11">
        <f>IFERROR(__xludf.DUMMYFUNCTION("""COMPUTED_VALUE"""),12.0)</f>
        <v>12</v>
      </c>
      <c r="C14" s="7" t="str">
        <f>IFERROR(__xludf.DUMMYFUNCTION("IF(A14="""","""",TEXTJOIN(CHAR(10),TRUE,FILTER('Tổng hợp 75 trang đích'!$B$2:$B$3400,'Tổng hợp 75 trang đích'!$I$2:$I$3400=A14)))"),"https://techcombank.com/thong-tin/blog/1-te-bang-bao-nhieu-tien-viet-nam
https://techcombank.com/thong-tin/blog/1-dong-do-la-my-bang-bao-nhieu-tien-viet-nam
https://techcombank.com/thong-tin/blog/tien-nhat
https://techcombank.com/thong-tin/blog/1-yen-bang"&amp;"-bao-nhieu-tien-viet-nam
https://techcombank.com/thong-tin/blog/1-won-bang-bao-nhieu-tien-viet
https://techcombank.com/thong-tin/blog/tien-dai-loan
https://techcombank.com/thong-tin/blog/1-man-bang-bao-nhieu-tien-viet
https://techcombank.com/thong-tin/blo"&amp;"g/tien-thai-lan
https://techcombank.com/thong-tin/blog/1-trieu-do-bang-bao-nhieu-tien-viet
https://techcombank.com/thong-tin/blog/1000-won-bang-bao-nhieu-tien-viet
https://techcombank.com/thong-tin/blog/cach-nhan-tien-tu-nuoc-ngoai-ve-viet-nam
https://tec"&amp;"hcombank.com/thong-tin/blog/doi-tien-do-o-dau")</f>
        <v>https://techcombank.com/thong-tin/blog/1-te-bang-bao-nhieu-tien-viet-nam
https://techcombank.com/thong-tin/blog/1-dong-do-la-my-bang-bao-nhieu-tien-viet-nam
https://techcombank.com/thong-tin/blog/tien-nhat
https://techcombank.com/thong-tin/blog/1-yen-bang-bao-nhieu-tien-viet-nam
https://techcombank.com/thong-tin/blog/1-won-bang-bao-nhieu-tien-viet
https://techcombank.com/thong-tin/blog/tien-dai-loan
https://techcombank.com/thong-tin/blog/1-man-bang-bao-nhieu-tien-viet
https://techcombank.com/thong-tin/blog/tien-thai-lan
https://techcombank.com/thong-tin/blog/1-trieu-do-bang-bao-nhieu-tien-viet
https://techcombank.com/thong-tin/blog/1000-won-bang-bao-nhieu-tien-viet
https://techcombank.com/thong-tin/blog/cach-nhan-tien-tu-nuoc-ngoai-ve-viet-nam
https://techcombank.com/thong-tin/blog/doi-tien-do-o-dau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10" t="str">
        <f>IFERROR(__xludf.DUMMYFUNCTION("""COMPUTED_VALUE"""),"https://techcombank.com/thong-tin/blog/chuyen-tien-di-uc")</f>
        <v>https://techcombank.com/thong-tin/blog/chuyen-tien-di-uc</v>
      </c>
      <c r="B15" s="11">
        <f>IFERROR(__xludf.DUMMYFUNCTION("""COMPUTED_VALUE"""),11.0)</f>
        <v>11</v>
      </c>
      <c r="C15" s="7" t="str">
        <f>IFERROR(__xludf.DUMMYFUNCTION("IF(A15="""","""",TEXTJOIN(CHAR(10),TRUE,FILTER('Tổng hợp 75 trang đích'!$B$2:$B$3400,'Tổng hợp 75 trang đích'!$I$2:$I$3400=A15)))"),"https://techcombank.com/thong-tin/blog/1-dong-do-la-my-bang-bao-nhieu-tien-viet-nam
https://techcombank.com/thong-tin/blog/tien-nhat
https://techcombank.com/thong-tin/blog/1-yen-bang-bao-nhieu-tien-viet-nam
https://techcombank.com/thong-tin/blog/1-won-ban"&amp;"g-bao-nhieu-tien-viet
https://techcombank.com/thong-tin/blog/tien-dai-loan
https://techcombank.com/thong-tin/blog/1-man-bang-bao-nhieu-tien-viet
https://techcombank.com/thong-tin/blog/tien-thai-lan
https://techcombank.com/thong-tin/blog/1-trieu-do-bang-ba"&amp;"o-nhieu-tien-viet
https://techcombank.com/thong-tin/blog/1000-won-bang-bao-nhieu-tien-viet
https://techcombank.com/thong-tin/blog/doi-tien-do-o-dau
https://techcombank.com/thong-tin/blog/lai-suat-tiet-kiem")</f>
        <v>https://techcombank.com/thong-tin/blog/1-dong-do-la-my-bang-bao-nhieu-tien-viet-nam
https://techcombank.com/thong-tin/blog/tien-nhat
https://techcombank.com/thong-tin/blog/1-yen-bang-bao-nhieu-tien-viet-nam
https://techcombank.com/thong-tin/blog/1-won-bang-bao-nhieu-tien-viet
https://techcombank.com/thong-tin/blog/tien-dai-loan
https://techcombank.com/thong-tin/blog/1-man-bang-bao-nhieu-tien-viet
https://techcombank.com/thong-tin/blog/tien-thai-lan
https://techcombank.com/thong-tin/blog/1-trieu-do-bang-bao-nhieu-tien-viet
https://techcombank.com/thong-tin/blog/1000-won-bang-bao-nhieu-tien-viet
https://techcombank.com/thong-tin/blog/doi-tien-do-o-dau
https://techcombank.com/thong-tin/blog/lai-suat-tiet-kiem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10" t="str">
        <f>IFERROR(__xludf.DUMMYFUNCTION("""COMPUTED_VALUE"""),"https://techcombank.com/thong-tin/blog/giai-dap-ve-thue-doanh-nghiep")</f>
        <v>https://techcombank.com/thong-tin/blog/giai-dap-ve-thue-doanh-nghiep</v>
      </c>
      <c r="B16" s="11">
        <f>IFERROR(__xludf.DUMMYFUNCTION("""COMPUTED_VALUE"""),11.0)</f>
        <v>11</v>
      </c>
      <c r="C16" s="7" t="str">
        <f>IFERROR(__xludf.DUMMYFUNCTION("IF(A16="""","""",TEXTJOIN(CHAR(10),TRUE,FILTER('Tổng hợp 75 trang đích'!$B$2:$B$3400,'Tổng hợp 75 trang đích'!$I$2:$I$3400=A16)))"),"https://techcombank.com/thong-tin/blog/nop-thue-dat-qua-ngan-hang
https://techcombank.com/thong-tin/blog/cach-nop-thue-dien-tu
https://techcombank.com/thong-tin/blog/thue-thu-nhap-doanh-nghiep
https://techcombank.com/thong-tin/blog/thue-vat-la-gi
https://"&amp;"techcombank.com/thong-tin/blog/tra-cuu-no-thue-doanh-nghiep
https://techcombank.com/thong-tin/blog/thue-doanh-nghiep
https://techcombank.com/thong-tin/blog/cong-ty-su-dung-tai-khoan-ca-nhan
https://techcombank.com/thong-tin/blog/cach-tinh-thue-thu-nhap-ca"&amp;"-nhan-2025
https://techcombank.com/thong-tin/blog/kiem-tra-thue-thu-nhap-ca-nhan
https://techcombank.com/thong-tin/blog/thue-thu-nhap-ca-nhan
https://techcombank.com/thong-tin/blog/ho-kinh-doanh-dong-thue-nhu-nao")</f>
        <v>https://techcombank.com/thong-tin/blog/nop-thue-dat-qua-ngan-hang
https://techcombank.com/thong-tin/blog/cach-nop-thue-dien-tu
https://techcombank.com/thong-tin/blog/thue-thu-nhap-doanh-nghiep
https://techcombank.com/thong-tin/blog/thue-vat-la-gi
https://techcombank.com/thong-tin/blog/tra-cuu-no-thue-doanh-nghiep
https://techcombank.com/thong-tin/blog/thue-doanh-nghiep
https://techcombank.com/thong-tin/blog/cong-ty-su-dung-tai-khoan-ca-nhan
https://techcombank.com/thong-tin/blog/cach-tinh-thue-thu-nhap-ca-nhan-2025
https://techcombank.com/thong-tin/blog/kiem-tra-thue-thu-nhap-ca-nhan
https://techcombank.com/thong-tin/blog/thue-thu-nhap-ca-nhan
https://techcombank.com/thong-tin/blog/ho-kinh-doanh-dong-thue-nhu-nao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10" t="str">
        <f>IFERROR(__xludf.DUMMYFUNCTION("""COMPUTED_VALUE"""),"https://techcombank.com/thong-tin/blog/han-muc-vay-the-chap-so-do")</f>
        <v>https://techcombank.com/thong-tin/blog/han-muc-vay-the-chap-so-do</v>
      </c>
      <c r="B17" s="11">
        <f>IFERROR(__xludf.DUMMYFUNCTION("""COMPUTED_VALUE"""),11.0)</f>
        <v>11</v>
      </c>
      <c r="C17" s="7" t="str">
        <f>IFERROR(__xludf.DUMMYFUNCTION("IF(A17="""","""",TEXTJOIN(CHAR(10),TRUE,FILTER('Tổng hợp 75 trang đích'!$B$2:$B$3400,'Tổng hợp 75 trang đích'!$I$2:$I$3400=A17)))"),"https://techcombank.com/thong-tin/blog/nop-thue-dat-qua-ngan-hang
https://techcombank.com/thong-tin/blog/cic-la-gi
https://techcombank.com/thong-tin/blog/xep-hang-tin-dung
https://techcombank.com/thong-tin/blog/lai-suat-vay-the-chap-so-do
https://techcomb"&amp;"ank.com/thong-tin/blog/ho-so-thu-tuc-xoa-the-chap
https://techcombank.com/cong-cu-tien-ich/cong-cu-tinh-toan/bang-tinh-lai-suat-vay
https://techcombank.com/thong-tin/blog/app-vay-tien-nhanh
https://techcombank.com/thong-tin/blog/lai-suat-vay-ngan-hang
htt"&amp;"ps://techcombank.com/thong-tin/blog/vay-thau-chi-la-gi
https://techcombank.com/thong-tin/blog/kiem-tra-no-xau
https://techcombank.com/thong-tin/blog/no-xau-la-gi")</f>
        <v>https://techcombank.com/thong-tin/blog/nop-thue-dat-qua-ngan-hang
https://techcombank.com/thong-tin/blog/cic-la-gi
https://techcombank.com/thong-tin/blog/xep-hang-tin-dung
https://techcombank.com/thong-tin/blog/lai-suat-vay-the-chap-so-do
https://techcombank.com/thong-tin/blog/ho-so-thu-tuc-xoa-the-chap
https://techcombank.com/cong-cu-tien-ich/cong-cu-tinh-toan/bang-tinh-lai-suat-vay
https://techcombank.com/thong-tin/blog/app-vay-tien-nhanh
https://techcombank.com/thong-tin/blog/lai-suat-vay-ngan-hang
https://techcombank.com/thong-tin/blog/vay-thau-chi-la-gi
https://techcombank.com/thong-tin/blog/kiem-tra-no-xau
https://techcombank.com/thong-tin/blog/no-xau-la-gi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10" t="str">
        <f>IFERROR(__xludf.DUMMYFUNCTION("""COMPUTED_VALUE"""),"https://techcombank.com/thong-tin/blog/kiem-tra-thue-ho-kinh-doanh")</f>
        <v>https://techcombank.com/thong-tin/blog/kiem-tra-thue-ho-kinh-doanh</v>
      </c>
      <c r="B18" s="11">
        <f>IFERROR(__xludf.DUMMYFUNCTION("""COMPUTED_VALUE"""),11.0)</f>
        <v>11</v>
      </c>
      <c r="C18" s="7" t="str">
        <f>IFERROR(__xludf.DUMMYFUNCTION("IF(A18="""","""",TEXTJOIN(CHAR(10),TRUE,FILTER('Tổng hợp 75 trang đích'!$B$2:$B$3400,'Tổng hợp 75 trang đích'!$I$2:$I$3400=A18)))"),"https://techcombank.com/thong-tin/blog/nop-thue-dat-qua-ngan-hang
https://techcombank.com/thong-tin/blog/cach-nop-thue-dien-tu
https://techcombank.com/thong-tin/blog/tra-cuu-no-thue-doanh-nghiep
https://techcombank.com/thong-tin/blog/cong-ty-su-dung-tai-k"&amp;"hoan-ca-nhan
https://techcombank.com/thong-tin/blog/cach-tinh-thue-thu-nhap-ca-nhan-2025
https://techcombank.com/thong-tin/blog/kiem-tra-thue-thu-nhap-ca-nhan
https://techcombank.com/thong-tin/blog/thue-thu-nhap-ca-nhan
https://techcombank.com/thong-tin/b"&amp;"log/ho-kinh-doanh-dong-thue-nhu-nao
https://techcombank.com/thong-tin/blog/mo-hinh-kinh-doanh-la-gi
https://techcombank.com/thong-tin/blog/mo-tai-khoan-ho-kinh-doanh
https://techcombank.com/thong-tin/blog/cach-tinh-thue-ho-kinh-doanh-nho-le")</f>
        <v>https://techcombank.com/thong-tin/blog/nop-thue-dat-qua-ngan-hang
https://techcombank.com/thong-tin/blog/cach-nop-thue-dien-tu
https://techcombank.com/thong-tin/blog/tra-cuu-no-thue-doanh-nghiep
https://techcombank.com/thong-tin/blog/cong-ty-su-dung-tai-khoan-ca-nhan
https://techcombank.com/thong-tin/blog/cach-tinh-thue-thu-nhap-ca-nhan-2025
https://techcombank.com/thong-tin/blog/kiem-tra-thue-thu-nhap-ca-nhan
https://techcombank.com/thong-tin/blog/thue-thu-nhap-ca-nhan
https://techcombank.com/thong-tin/blog/ho-kinh-doanh-dong-thue-nhu-nao
https://techcombank.com/thong-tin/blog/mo-hinh-kinh-doanh-la-gi
https://techcombank.com/thong-tin/blog/mo-tai-khoan-ho-kinh-doanh
https://techcombank.com/thong-tin/blog/cach-tinh-thue-ho-kinh-doanh-nho-le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10" t="str">
        <f>IFERROR(__xludf.DUMMYFUNCTION("""COMPUTED_VALUE"""),"https://techcombank.com/thong-tin/blog/lai-suat-vay-kinh-doanh")</f>
        <v>https://techcombank.com/thong-tin/blog/lai-suat-vay-kinh-doanh</v>
      </c>
      <c r="B19" s="11">
        <f>IFERROR(__xludf.DUMMYFUNCTION("""COMPUTED_VALUE"""),11.0)</f>
        <v>11</v>
      </c>
      <c r="C19" s="7" t="str">
        <f>IFERROR(__xludf.DUMMYFUNCTION("IF(A19="""","""",TEXTJOIN(CHAR(10),TRUE,FILTER('Tổng hợp 75 trang đích'!$B$2:$B$3400,'Tổng hợp 75 trang đích'!$I$2:$I$3400=A19)))"),"https://techcombank.com/thong-tin/blog/nop-thue-dat-qua-ngan-hang
https://techcombank.com/thong-tin/blog/ho-kinh-doanh-dong-thue-nhu-nao
https://techcombank.com/thong-tin/blog/mo-tai-khoan-ho-kinh-doanh
https://techcombank.com/thong-tin/blog/cach-tinh-thu"&amp;"e-ho-kinh-doanh-nho-le
https://techcombank.com/thong-tin/blog/cach-tinh-lai-vay-ngan-hang
https://techcombank.com/thong-tin/blog/lai-suat-tiet-kiem
https://techcombank.com/thong-tin/blog/cach-tinh-lai-suat-tien-gui-tiet-kiem
https://techcombank.com/cong-c"&amp;"u-tien-ich/cong-cu-tinh-toan/bang-tinh-lai-suat-vay
https://techcombank.com/cong-cu-tien-ich/cong-cu-tinh-toan/bang-tinh-lai-suat-tiet-kiem
https://techcombank.com/thong-tin/blog/app-vay-tien-nhanh
https://techcombank.com/thong-tin/blog/lai-suat-vay-ngan-"&amp;"hang")</f>
        <v>https://techcombank.com/thong-tin/blog/nop-thue-dat-qua-ngan-hang
https://techcombank.com/thong-tin/blog/ho-kinh-doanh-dong-thue-nhu-nao
https://techcombank.com/thong-tin/blog/mo-tai-khoan-ho-kinh-doanh
https://techcombank.com/thong-tin/blog/cach-tinh-thue-ho-kinh-doanh-nho-le
https://techcombank.com/thong-tin/blog/cach-tinh-lai-vay-ngan-hang
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
https://techcombank.com/thong-tin/blog/lai-suat-vay-ngan-hang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10" t="str">
        <f>IFERROR(__xludf.DUMMYFUNCTION("""COMPUTED_VALUE"""),"https://techcombank.com/thong-tin/blog/lai-suat-vay-the-chap")</f>
        <v>https://techcombank.com/thong-tin/blog/lai-suat-vay-the-chap</v>
      </c>
      <c r="B20" s="11">
        <f>IFERROR(__xludf.DUMMYFUNCTION("""COMPUTED_VALUE"""),11.0)</f>
        <v>11</v>
      </c>
      <c r="C20" s="7" t="str">
        <f>IFERROR(__xludf.DUMMYFUNCTION("IF(A20="""","""",TEXTJOIN(CHAR(10),TRUE,FILTER('Tổng hợp 75 trang đích'!$B$2:$B$3400,'Tổng hợp 75 trang đích'!$I$2:$I$3400=A20)))"),"https://techcombank.com/thong-tin/blog/lai-suat-vay-mua-o-to
https://techcombank.com/thong-tin/blog/vay-ngan-hang-1-ty-moi-thang-tra-bao-nhieu
https://techcombank.com/thong-tin/blog/cach-tinh-lai-vay-ngan-hang
https://techcombank.com/thong-tin/blog/lai-su"&amp;"at-vay-the-chap-so-do
https://techcombank.com/thong-tin/blog/ho-so-thu-tuc-xoa-the-chap
https://techcombank.com/thong-tin/blog/lai-suat-tiet-kiem
https://techcombank.com/thong-tin/blog/cach-tinh-lai-suat-tien-gui-tiet-kiem
https://techcombank.com/cong-cu-"&amp;"tien-ich/cong-cu-tinh-toan/bang-tinh-lai-suat-vay
https://techcombank.com/thong-tin/blog/app-vay-tien-nhanh
https://techcombank.com/thong-tin/blog/lai-suat-vay-ngan-hang
https://techcombank.com/thong-tin/blog/vay-thau-chi-la-gi")</f>
        <v>https://techcombank.com/thong-tin/blog/lai-suat-vay-mua-o-to
https://techcombank.com/thong-tin/blog/vay-ngan-hang-1-ty-moi-thang-tra-bao-nhieu
https://techcombank.com/thong-tin/blog/cach-tinh-lai-vay-ngan-hang
https://techcombank.com/thong-tin/blog/lai-suat-vay-the-chap-so-do
https://techcombank.com/thong-tin/blog/ho-so-thu-tuc-xoa-the-chap
https://techcombank.com/thong-tin/blog/lai-suat-tiet-kiem
https://techcombank.com/thong-tin/blog/cach-tinh-lai-suat-tien-gui-tiet-kiem
https://techcombank.com/cong-cu-tien-ich/cong-cu-tinh-toan/bang-tinh-lai-suat-vay
https://techcombank.com/thong-tin/blog/app-vay-tien-nhanh
https://techcombank.com/thong-tin/blog/lai-suat-vay-ngan-hang
https://techcombank.com/thong-tin/blog/vay-thau-chi-la-gi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10" t="str">
        <f>IFERROR(__xludf.DUMMYFUNCTION("""COMPUTED_VALUE"""),"https://techcombank.com/thong-tin/blog/lai-suat-vay-tin-chap")</f>
        <v>https://techcombank.com/thong-tin/blog/lai-suat-vay-tin-chap</v>
      </c>
      <c r="B21" s="11">
        <f>IFERROR(__xludf.DUMMYFUNCTION("""COMPUTED_VALUE"""),11.0)</f>
        <v>11</v>
      </c>
      <c r="C21" s="7" t="str">
        <f>IFERROR(__xludf.DUMMYFUNCTION("IF(A21="""","""",TEXTJOIN(CHAR(10),TRUE,FILTER('Tổng hợp 75 trang đích'!$B$2:$B$3400,'Tổng hợp 75 trang đích'!$I$2:$I$3400=A21)))"),"https://techcombank.com/thong-tin/blog/lai-suat-vay-mua-o-to
https://techcombank.com/thong-tin/blog/ngan-hang-uy-tin
https://techcombank.com/thong-tin/blog/cic-la-gi
https://techcombank.com/thong-tin/blog/lai-suat-tiet-kiem
https://techcombank.com/thong-t"&amp;"in/blog/cach-tinh-lai-suat-tien-gui-tiet-kiem
https://techcombank.com/cong-cu-tien-ich/cong-cu-tinh-toan/bang-tinh-lai-suat-vay
https://techcombank.com/cong-cu-tien-ich/cong-cu-tinh-toan/bang-tinh-lai-suat-tiet-kiem
https://techcombank.com/thong-tin/blog/"&amp;"app-vay-tien-nhanh
https://techcombank.com/thong-tin/blog/lai-suat-vay-ngan-hang
https://techcombank.com/thong-tin/blog/vay-thau-chi-la-gi
https://techcombank.com/thong-tin/blog/nen-vay-tin-chap-o-dau")</f>
        <v>https://techcombank.com/thong-tin/blog/lai-suat-vay-mua-o-to
https://techcombank.com/thong-tin/blog/ngan-hang-uy-tin
https://techcombank.com/thong-tin/blog/cic-la-gi
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
https://techcombank.com/thong-tin/blog/lai-suat-vay-ngan-hang
https://techcombank.com/thong-tin/blog/vay-thau-chi-la-gi
https://techcombank.com/thong-tin/blog/nen-vay-tin-chap-o-dau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10" t="str">
        <f>IFERROR(__xludf.DUMMYFUNCTION("""COMPUTED_VALUE"""),"https://techcombank.com/thong-tin/blog/qua-han-thanh-toan-the-tin-dung-1-ngay")</f>
        <v>https://techcombank.com/thong-tin/blog/qua-han-thanh-toan-the-tin-dung-1-ngay</v>
      </c>
      <c r="B22" s="11">
        <f>IFERROR(__xludf.DUMMYFUNCTION("""COMPUTED_VALUE"""),11.0)</f>
        <v>11</v>
      </c>
      <c r="C22" s="7" t="str">
        <f>IFERROR(__xludf.DUMMYFUNCTION("IF(A22="""","""",TEXTJOIN(CHAR(10),TRUE,FILTER('Tổng hợp 75 trang đích'!$B$2:$B$3400,'Tổng hợp 75 trang đích'!$I$2:$I$3400=A22)))"),"https://techcombank.com/thong-tin/blog/cic-la-gi
https://techcombank.com/khach-hang-ca-nhan/chi-tieu/the/the-tin-dung/techcombank-everyday
https://techcombank.com/thong-tin/blog/the-tin-dung-hoan-tien
https://techcombank.com/thong-tin/blog/cach-huy-the-ti"&amp;"n-dung
https://techcombank.com/thong-tin/blog/xep-hang-tin-dung
https://techcombank.com/thong-tin/blog/cach-thanh-toan-the-tin-dung
https://techcombank.com/thong-tin/blog/cach-tinh-lai-suat-tien-gui-tiet-kiem
https://techcombank.com/cong-cu-tien-ich/cong-"&amp;"cu-tinh-toan/bang-tinh-lai-suat-vay
https://techcombank.com/cong-cu-tien-ich/cong-cu-tinh-toan/bang-tinh-lai-suat-tiet-kiem
https://techcombank.com/thong-tin/blog/no-xau-la-gi
https://techcombank.com/thong-tin/blog/vay-tin-chap-khong-tra-duoc-co-sao-khong")</f>
        <v>https://techcombank.com/thong-tin/blog/cic-la-gi
https://techcombank.com/khach-hang-ca-nhan/chi-tieu/the/the-tin-dung/techcombank-everyday
https://techcombank.com/thong-tin/blog/the-tin-dung-hoan-tien
https://techcombank.com/thong-tin/blog/cach-huy-the-tin-dung
https://techcombank.com/thong-tin/blog/xep-hang-tin-dung
https://techcombank.com/thong-tin/blog/cach-thanh-toan-the-tin-dung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https://techcombank.com/thong-tin/blog/no-xau-la-gi
https://techcombank.com/thong-tin/blog/vay-tin-chap-khong-tra-duoc-co-sao-khong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10" t="str">
        <f>IFERROR(__xludf.DUMMYFUNCTION("""COMPUTED_VALUE"""),"https://techcombank.com/thong-tin/blog/rui-ro-khi-vay-the-chap-ngan-hang")</f>
        <v>https://techcombank.com/thong-tin/blog/rui-ro-khi-vay-the-chap-ngan-hang</v>
      </c>
      <c r="B23" s="11">
        <f>IFERROR(__xludf.DUMMYFUNCTION("""COMPUTED_VALUE"""),11.0)</f>
        <v>11</v>
      </c>
      <c r="C23" s="7" t="str">
        <f>IFERROR(__xludf.DUMMYFUNCTION("IF(A23="""","""",TEXTJOIN(CHAR(10),TRUE,FILTER('Tổng hợp 75 trang đích'!$B$2:$B$3400,'Tổng hợp 75 trang đích'!$I$2:$I$3400=A23)))"),"https://techcombank.com/thong-tin/blog/cic-la-gi
https://techcombank.com/thong-tin/blog/vay-ngan-hang-1-ty-moi-thang-tra-bao-nhieu
https://techcombank.com/thong-tin/blog/cach-tinh-lai-vay-ngan-hang
https://techcombank.com/thong-tin/blog/lai-suat-vay-the-c"&amp;"hap-so-do
https://techcombank.com/thong-tin/blog/ho-so-thu-tuc-xoa-the-chap
https://techcombank.com/thong-tin/blog/cach-tinh-lai-suat-tien-gui-tiet-kiem
https://techcombank.com/thong-tin/blog/rui-ro-khi-gui-tiet-kiem-online
https://techcombank.com/cong-cu"&amp;"-tien-ich/cong-cu-tinh-toan/bang-tinh-lai-suat-vay
https://techcombank.com/cong-cu-tien-ich/cong-cu-tinh-toan/bang-tinh-lai-suat-tiet-kiem
https://techcombank.com/thong-tin/blog/app-vay-tien-nhanh
https://techcombank.com/thong-tin/blog/lai-suat-vay-ngan-h"&amp;"ang")</f>
        <v>https://techcombank.com/thong-tin/blog/cic-la-gi
https://techcombank.com/thong-tin/blog/vay-ngan-hang-1-ty-moi-thang-tra-bao-nhieu
https://techcombank.com/thong-tin/blog/cach-tinh-lai-vay-ngan-hang
https://techcombank.com/thong-tin/blog/lai-suat-vay-the-chap-so-do
https://techcombank.com/thong-tin/blog/ho-so-thu-tuc-xoa-the-chap
https://techcombank.com/thong-tin/blog/cach-tinh-lai-suat-tien-gui-tiet-kiem
https://techcombank.com/thong-tin/blog/rui-ro-khi-gui-tiet-kiem-online
https://techcombank.com/cong-cu-tien-ich/cong-cu-tinh-toan/bang-tinh-lai-suat-vay
https://techcombank.com/cong-cu-tien-ich/cong-cu-tinh-toan/bang-tinh-lai-suat-tiet-kiem
https://techcombank.com/thong-tin/blog/app-vay-tien-nhanh
https://techcombank.com/thong-tin/blog/lai-suat-vay-ngan-hang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10" t="str">
        <f>IFERROR(__xludf.DUMMYFUNCTION("""COMPUTED_VALUE"""),"https://techcombank.com/thong-tin/blog/the-ghi-no-va-the-tin-dung")</f>
        <v>https://techcombank.com/thong-tin/blog/the-ghi-no-va-the-tin-dung</v>
      </c>
      <c r="B24" s="11">
        <f>IFERROR(__xludf.DUMMYFUNCTION("""COMPUTED_VALUE"""),11.0)</f>
        <v>11</v>
      </c>
      <c r="C24" s="7" t="str">
        <f>IFERROR(__xludf.DUMMYFUNCTION("IF(A24="""","""",TEXTJOIN(CHAR(10),TRUE,FILTER('Tổng hợp 75 trang đích'!$B$2:$B$3400,'Tổng hợp 75 trang đích'!$I$2:$I$3400=A24)))"),"https://techcombank.com/thong-tin/blog/eco-card
https://techcombank.com/thong-tin/blog/cic-la-gi
https://techcombank.com/thong-tin/blog/lam-the-tin-dung
https://techcombank.com/khach-hang-ca-nhan/chi-tieu/the/the-tin-dung/techcombank-everyday
https://tech"&amp;"combank.com/thong-tin/blog/the-tin-dung-hoan-tien
https://techcombank.com/thong-tin/blog/cach-huy-the-tin-dung
https://techcombank.com/thong-tin/blog/cach-thanh-toan-the-tin-dung
https://techcombank.com/thong-tin/blog/lai-suat-tiet-kiem
https://techcomban"&amp;"k.com/thong-tin/blog/cach-tinh-lai-suat-tien-gui-tiet-kiem
https://techcombank.com/cong-cu-tien-ich/cong-cu-tinh-toan/bang-tinh-lai-suat-vay
https://techcombank.com/thong-tin/blog/app-vay-tien-nhanh")</f>
        <v>https://techcombank.com/thong-tin/blog/eco-card
https://techcombank.com/thong-tin/blog/cic-la-gi
https://techcombank.com/thong-tin/blog/lam-the-tin-dung
https://techcombank.com/khach-hang-ca-nhan/chi-tieu/the/the-tin-dung/techcombank-everyday
https://techcombank.com/thong-tin/blog/the-tin-dung-hoan-tien
https://techcombank.com/thong-tin/blog/cach-huy-the-tin-dung
https://techcombank.com/thong-tin/blog/cach-thanh-toan-the-tin-dung
https://techcombank.com/thong-tin/blog/lai-suat-tiet-kiem
https://techcombank.com/thong-tin/blog/cach-tinh-lai-suat-tien-gui-tiet-kiem
https://techcombank.com/cong-cu-tien-ich/cong-cu-tinh-toan/bang-tinh-lai-suat-vay
https://techcombank.com/thong-tin/blog/app-vay-tien-nhanh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10" t="str">
        <f>IFERROR(__xludf.DUMMYFUNCTION("""COMPUTED_VALUE"""),"https://techcombank.com/thong-tin/blog/thu-tuc-vay-von-kinh-doanh-nho")</f>
        <v>https://techcombank.com/thong-tin/blog/thu-tuc-vay-von-kinh-doanh-nho</v>
      </c>
      <c r="B25" s="11">
        <f>IFERROR(__xludf.DUMMYFUNCTION("""COMPUTED_VALUE"""),11.0)</f>
        <v>11</v>
      </c>
      <c r="C25" s="7" t="str">
        <f>IFERROR(__xludf.DUMMYFUNCTION("IF(A25="""","""",TEXTJOIN(CHAR(10),TRUE,FILTER('Tổng hợp 75 trang đích'!$B$2:$B$3400,'Tổng hợp 75 trang đích'!$I$2:$I$3400=A25)))"),"https://techcombank.com/thong-tin/blog/vay-ngan-hang-1-ty-moi-thang-tra-bao-nhieu
https://techcombank.com/thong-tin/blog/ho-kinh-doanh-dong-thue-nhu-nao
https://techcombank.com/thong-tin/blog/mo-tai-khoan-ho-kinh-doanh
https://techcombank.com/thong-tin/bl"&amp;"og/cach-tinh-thue-ho-kinh-doanh-nho-le
https://techcombank.com/thong-tin/blog/lai-suat-vay-the-chap-so-do
https://techcombank.com/thong-tin/blog/ho-so-thu-tuc-xoa-the-chap
https://techcombank.com/cong-cu-tien-ich/cong-cu-tinh-toan/bang-tinh-lai-suat-vay
h"&amp;"ttps://techcombank.com/thong-tin/blog/app-vay-tien-nhanh
https://techcombank.com/thong-tin/blog/lai-suat-vay-ngan-hang
https://techcombank.com/thong-tin/blog/nen-vay-tin-chap-o-dau
https://techcombank.com/thong-tin/blog/vay-tin-chap-khong-tra-duoc-co-sao-"&amp;"khong")</f>
        <v>https://techcombank.com/thong-tin/blog/vay-ngan-hang-1-ty-moi-thang-tra-bao-nhieu
https://techcombank.com/thong-tin/blog/ho-kinh-doanh-dong-thue-nhu-nao
https://techcombank.com/thong-tin/blog/mo-tai-khoan-ho-kinh-doanh
https://techcombank.com/thong-tin/blog/cach-tinh-thue-ho-kinh-doanh-nho-le
https://techcombank.com/thong-tin/blog/lai-suat-vay-the-chap-so-do
https://techcombank.com/thong-tin/blog/ho-so-thu-tuc-xoa-the-chap
https://techcombank.com/cong-cu-tien-ich/cong-cu-tinh-toan/bang-tinh-lai-suat-vay
https://techcombank.com/thong-tin/blog/app-vay-tien-nhanh
https://techcombank.com/thong-tin/blog/lai-suat-vay-ngan-hang
https://techcombank.com/thong-tin/blog/nen-vay-tin-chap-o-dau
https://techcombank.com/thong-tin/blog/vay-tin-chap-khong-tra-duoc-co-sao-khong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10" t="str">
        <f>IFERROR(__xludf.DUMMYFUNCTION("""COMPUTED_VALUE"""),"https://techcombank.com/thong-tin/blog/tien-singapore")</f>
        <v>https://techcombank.com/thong-tin/blog/tien-singapore</v>
      </c>
      <c r="B26" s="11">
        <f>IFERROR(__xludf.DUMMYFUNCTION("""COMPUTED_VALUE"""),11.0)</f>
        <v>11</v>
      </c>
      <c r="C26" s="7" t="str">
        <f>IFERROR(__xludf.DUMMYFUNCTION("IF(A26="""","""",TEXTJOIN(CHAR(10),TRUE,FILTER('Tổng hợp 75 trang đích'!$B$2:$B$3400,'Tổng hợp 75 trang đích'!$I$2:$I$3400=A26)))"),"https://techcombank.com/thong-tin/blog/1-te-bang-bao-nhieu-tien-viet-nam
https://techcombank.com/thong-tin/blog/1-dong-do-la-my-bang-bao-nhieu-tien-viet-nam
https://techcombank.com/thong-tin/blog/tien-nhat
https://techcombank.com/thong-tin/blog/1-yen-bang"&amp;"-bao-nhieu-tien-viet-nam
https://techcombank.com/thong-tin/blog/1-won-bang-bao-nhieu-tien-viet
https://techcombank.com/thong-tin/blog/tien-dai-loan
https://techcombank.com/thong-tin/blog/1-man-bang-bao-nhieu-tien-viet
https://techcombank.com/thong-tin/blo"&amp;"g/tien-thai-lan
https://techcombank.com/thong-tin/blog/1-trieu-do-bang-bao-nhieu-tien-viet
https://techcombank.com/thong-tin/blog/1000-won-bang-bao-nhieu-tien-viet
https://techcombank.com/thong-tin/blog/doi-tien-do-o-dau")</f>
        <v>https://techcombank.com/thong-tin/blog/1-te-bang-bao-nhieu-tien-viet-nam
https://techcombank.com/thong-tin/blog/1-dong-do-la-my-bang-bao-nhieu-tien-viet-nam
https://techcombank.com/thong-tin/blog/tien-nhat
https://techcombank.com/thong-tin/blog/1-yen-bang-bao-nhieu-tien-viet-nam
https://techcombank.com/thong-tin/blog/1-won-bang-bao-nhieu-tien-viet
https://techcombank.com/thong-tin/blog/tien-dai-loan
https://techcombank.com/thong-tin/blog/1-man-bang-bao-nhieu-tien-viet
https://techcombank.com/thong-tin/blog/tien-thai-lan
https://techcombank.com/thong-tin/blog/1-trieu-do-bang-bao-nhieu-tien-viet
https://techcombank.com/thong-tin/blog/1000-won-bang-bao-nhieu-tien-viet
https://techcombank.com/thong-tin/blog/doi-tien-do-o-dau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10" t="str">
        <f>IFERROR(__xludf.DUMMYFUNCTION("""COMPUTED_VALUE"""),"https://techcombank.com/thong-tin/blog/tin-chap-doanh-nghiep")</f>
        <v>https://techcombank.com/thong-tin/blog/tin-chap-doanh-nghiep</v>
      </c>
      <c r="B27" s="11">
        <f>IFERROR(__xludf.DUMMYFUNCTION("""COMPUTED_VALUE"""),11.0)</f>
        <v>11</v>
      </c>
      <c r="C27" s="7" t="str">
        <f>IFERROR(__xludf.DUMMYFUNCTION("IF(A27="""","""",TEXTJOIN(CHAR(10),TRUE,FILTER('Tổng hợp 75 trang đích'!$B$2:$B$3400,'Tổng hợp 75 trang đích'!$I$2:$I$3400=A27)))"),"https://techcombank.com/thong-tin/blog/lai-suat-vay-mua-o-to
https://techcombank.com/thong-tin/blog/cic-la-gi
https://techcombank.com/thong-tin/blog/lai-suat-tiet-kiem
https://techcombank.com/thong-tin/blog/cach-tinh-lai-suat-tien-gui-tiet-kiem
https://te"&amp;"chcombank.com/cong-cu-tien-ich/cong-cu-tinh-toan/bang-tinh-lai-suat-vay
https://techcombank.com/thong-tin/blog/app-vay-tien-nhanh
https://techcombank.com/thong-tin/blog/lai-suat-vay-ngan-hang
https://techcombank.com/thong-tin/blog/vay-thau-chi-la-gi
https"&amp;"://techcombank.com/thong-tin/blog/kiem-tra-no-xau
https://techcombank.com/thong-tin/blog/nen-vay-tin-chap-o-dau
https://techcombank.com/thong-tin/blog/vay-tin-chap-khong-tra-duoc-co-sao-khong")</f>
        <v>https://techcombank.com/thong-tin/blog/lai-suat-vay-mua-o-to
https://techcombank.com/thong-tin/blog/cic-la-gi
https://techcombank.com/thong-tin/blog/lai-suat-tiet-kiem
https://techcombank.com/thong-tin/blog/cach-tinh-lai-suat-tien-gui-tiet-kiem
https://techcombank.com/cong-cu-tien-ich/cong-cu-tinh-toan/bang-tinh-lai-suat-vay
https://techcombank.com/thong-tin/blog/app-vay-tien-nhanh
https://techcombank.com/thong-tin/blog/lai-suat-vay-ngan-hang
https://techcombank.com/thong-tin/blog/vay-thau-chi-la-gi
https://techcombank.com/thong-tin/blog/kiem-tra-no-xau
https://techcombank.com/thong-tin/blog/nen-vay-tin-chap-o-dau
https://techcombank.com/thong-tin/blog/vay-tin-chap-khong-tra-duoc-co-sao-khong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10" t="str">
        <f>IFERROR(__xludf.DUMMYFUNCTION("""COMPUTED_VALUE"""),"https://techcombank.com/thong-tin/blog/uu-dai-the-tin-dung-techcombank-signature")</f>
        <v>https://techcombank.com/thong-tin/blog/uu-dai-the-tin-dung-techcombank-signature</v>
      </c>
      <c r="B28" s="11">
        <f>IFERROR(__xludf.DUMMYFUNCTION("""COMPUTED_VALUE"""),11.0)</f>
        <v>11</v>
      </c>
      <c r="C28" s="7" t="str">
        <f>IFERROR(__xludf.DUMMYFUNCTION("IF(A28="""","""",TEXTJOIN(CHAR(10),TRUE,FILTER('Tổng hợp 75 trang đích'!$B$2:$B$3400,'Tổng hợp 75 trang đích'!$I$2:$I$3400=A28)))"),"https://techcombank.com/thong-tin/blog/cach-sao-ke-tai-khoan-ngan-hang
https://techcombank.com/thong-tin/blog/cic-la-gi
https://techcombank.com/thong-tin/blog/lam-the-tin-dung
https://techcombank.com/khach-hang-ca-nhan/chi-tieu/the/the-tin-dung/techcomban"&amp;"k-everyday
https://techcombank.com/thong-tin/blog/the-tin-dung-hoan-tien
https://techcombank.com/thong-tin/blog/cach-huy-the-tin-dung
https://techcombank.com/thong-tin/blog/cach-thanh-toan-the-tin-dung
https://techcombank.com/thong-tin/blog/lai-suat-tiet-"&amp;"kiem
https://techcombank.com/thong-tin/blog/cach-tinh-lai-suat-tien-gui-tiet-kiem
https://techcombank.com/thong-tin/blog/cach-tiet-kiem-tien
https://techcombank.com/thong-tin/blog/app-vay-tien-nhanh")</f>
        <v>https://techcombank.com/thong-tin/blog/cach-sao-ke-tai-khoan-ngan-hang
https://techcombank.com/thong-tin/blog/cic-la-gi
https://techcombank.com/thong-tin/blog/lam-the-tin-dung
https://techcombank.com/khach-hang-ca-nhan/chi-tieu/the/the-tin-dung/techcombank-everyday
https://techcombank.com/thong-tin/blog/the-tin-dung-hoan-tien
https://techcombank.com/thong-tin/blog/cach-huy-the-tin-dung
https://techcombank.com/thong-tin/blog/cach-thanh-toan-the-tin-dung
https://techcombank.com/thong-tin/blog/lai-suat-tiet-kiem
https://techcombank.com/thong-tin/blog/cach-tinh-lai-suat-tien-gui-tiet-kiem
https://techcombank.com/thong-tin/blog/cach-tiet-kiem-tien
https://techcombank.com/thong-tin/blog/app-vay-tien-nhanh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10" t="str">
        <f>IFERROR(__xludf.DUMMYFUNCTION("""COMPUTED_VALUE"""),"https://techcombank.com/thong-tin/blog/vay-100-trieu")</f>
        <v>https://techcombank.com/thong-tin/blog/vay-100-trieu</v>
      </c>
      <c r="B29" s="11">
        <f>IFERROR(__xludf.DUMMYFUNCTION("""COMPUTED_VALUE"""),11.0)</f>
        <v>11</v>
      </c>
      <c r="C29" s="7" t="str">
        <f>IFERROR(__xludf.DUMMYFUNCTION("IF(A29="""","""",TEXTJOIN(CHAR(10),TRUE,FILTER('Tổng hợp 75 trang đích'!$B$2:$B$3400,'Tổng hợp 75 trang đích'!$I$2:$I$3400=A29)))"),"https://techcombank.com/thong-tin/blog/lai-suat-vay-mua-o-to
https://techcombank.com/thong-tin/blog/cic-la-gi
https://techcombank.com/thong-tin/blog/vay-ngan-hang-1-ty-moi-thang-tra-bao-nhieu
https://techcombank.com/thong-tin/blog/cach-tinh-lai-vay-ngan-h"&amp;"ang
https://techcombank.com/thong-tin/blog/lai-suat-tiet-kiem
https://techcombank.com/thong-tin/blog/cach-tinh-lai-suat-tien-gui-tiet-kiem
https://techcombank.com/cong-cu-tien-ich/cong-cu-tinh-toan/bang-tinh-lai-suat-vay
https://techcombank.com/cong-cu-ti"&amp;"en-ich/cong-cu-tinh-toan/bang-tinh-lai-suat-tiet-kiem
https://techcombank.com/thong-tin/blog/app-vay-tien-nhanh
https://techcombank.com/thong-tin/blog/lai-suat-vay-ngan-hang
https://techcombank.com/thong-tin/blog/vay-thau-chi-la-gi")</f>
        <v>https://techcombank.com/thong-tin/blog/lai-suat-vay-mua-o-to
https://techcombank.com/thong-tin/blog/cic-la-gi
https://techcombank.com/thong-tin/blog/vay-ngan-hang-1-ty-moi-thang-tra-bao-nhieu
https://techcombank.com/thong-tin/blog/cach-tinh-lai-vay-ngan-hang
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
https://techcombank.com/thong-tin/blog/lai-suat-vay-ngan-hang
https://techcombank.com/thong-tin/blog/vay-thau-chi-la-gi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10" t="str">
        <f>IFERROR(__xludf.DUMMYFUNCTION("""COMPUTED_VALUE"""),"https://techcombank.com/thong-tin/blog/vay-mua-xe-tra-gop-ngan-hang-nao-tot-nhat")</f>
        <v>https://techcombank.com/thong-tin/blog/vay-mua-xe-tra-gop-ngan-hang-nao-tot-nhat</v>
      </c>
      <c r="B30" s="11">
        <f>IFERROR(__xludf.DUMMYFUNCTION("""COMPUTED_VALUE"""),11.0)</f>
        <v>11</v>
      </c>
      <c r="C30" s="7" t="str">
        <f>IFERROR(__xludf.DUMMYFUNCTION("IF(A30="""","""",TEXTJOIN(CHAR(10),TRUE,FILTER('Tổng hợp 75 trang đích'!$B$2:$B$3400,'Tổng hợp 75 trang đích'!$I$2:$I$3400=A30)))"),"https://techcombank.com/thong-tin/blog/lai-suat-vay-mua-o-to
https://techcombank.com/thong-tin/blog/ngan-hang-uy-tin
https://techcombank.com/thong-tin/blog/cic-la-gi
https://techcombank.com/thong-tin/blog/vay-ngan-hang-1-ty-moi-thang-tra-bao-nhieu
https:/"&amp;"/techcombank.com/thong-tin/blog/cach-tinh-lai-vay-ngan-hang
https://techcombank.com/thong-tin/blog/lai-suat-tiet-kiem
https://techcombank.com/thong-tin/blog/cach-tinh-lai-suat-tien-gui-tiet-kiem
https://techcombank.com/cong-cu-tien-ich/cong-cu-tinh-toan/b"&amp;"ang-tinh-lai-suat-vay
https://techcombank.com/thong-tin/blog/app-vay-tien-nhanh
https://techcombank.com/thong-tin/blog/lai-suat-vay-ngan-hang
https://techcombank.com/thong-tin/blog/vay-thau-chi-la-gi")</f>
        <v>https://techcombank.com/thong-tin/blog/lai-suat-vay-mua-o-to
https://techcombank.com/thong-tin/blog/ngan-hang-uy-tin
https://techcombank.com/thong-tin/blog/cic-la-gi
https://techcombank.com/thong-tin/blog/vay-ngan-hang-1-ty-moi-thang-tra-bao-nhieu
https://techcombank.com/thong-tin/blog/cach-tinh-lai-vay-ngan-hang
https://techcombank.com/thong-tin/blog/lai-suat-tiet-kiem
https://techcombank.com/thong-tin/blog/cach-tinh-lai-suat-tien-gui-tiet-kiem
https://techcombank.com/cong-cu-tien-ich/cong-cu-tinh-toan/bang-tinh-lai-suat-vay
https://techcombank.com/thong-tin/blog/app-vay-tien-nhanh
https://techcombank.com/thong-tin/blog/lai-suat-vay-ngan-hang
https://techcombank.com/thong-tin/blog/vay-thau-chi-la-gi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10" t="str">
        <f>IFERROR(__xludf.DUMMYFUNCTION("""COMPUTED_VALUE"""),"https://techcombank.com/thong-tin/blog/vay-san-xuat-kinh-doanh")</f>
        <v>https://techcombank.com/thong-tin/blog/vay-san-xuat-kinh-doanh</v>
      </c>
      <c r="B31" s="11">
        <f>IFERROR(__xludf.DUMMYFUNCTION("""COMPUTED_VALUE"""),11.0)</f>
        <v>11</v>
      </c>
      <c r="C31" s="7" t="str">
        <f>IFERROR(__xludf.DUMMYFUNCTION("IF(A31="""","""",TEXTJOIN(CHAR(10),TRUE,FILTER('Tổng hợp 75 trang đích'!$B$2:$B$3400,'Tổng hợp 75 trang đích'!$I$2:$I$3400=A31)))"),"https://techcombank.com/thong-tin/blog/lai-suat-vay-mua-o-to
https://techcombank.com/thong-tin/blog/cic-la-gi
https://techcombank.com/thong-tin/blog/xep-hang-tin-dung
https://techcombank.com/thong-tin/blog/lai-suat-vay-the-chap-so-do
https://techcombank.c"&amp;"om/thong-tin/blog/ho-so-thu-tuc-xoa-the-chap
https://techcombank.com/cong-cu-tien-ich/cong-cu-tinh-toan/bang-tinh-lai-suat-vay
https://techcombank.com/thong-tin/blog/app-vay-tien-nhanh
https://techcombank.com/thong-tin/blog/lai-suat-vay-ngan-hang
https://"&amp;"techcombank.com/thong-tin/blog/vay-thau-chi-la-gi
https://techcombank.com/thong-tin/blog/nen-vay-tin-chap-o-dau
https://techcombank.com/thong-tin/blog/vay-tin-chap-khong-tra-duoc-co-sao-khong")</f>
        <v>https://techcombank.com/thong-tin/blog/lai-suat-vay-mua-o-to
https://techcombank.com/thong-tin/blog/cic-la-gi
https://techcombank.com/thong-tin/blog/xep-hang-tin-dung
https://techcombank.com/thong-tin/blog/lai-suat-vay-the-chap-so-do
https://techcombank.com/thong-tin/blog/ho-so-thu-tuc-xoa-the-chap
https://techcombank.com/cong-cu-tien-ich/cong-cu-tinh-toan/bang-tinh-lai-suat-vay
https://techcombank.com/thong-tin/blog/app-vay-tien-nhanh
https://techcombank.com/thong-tin/blog/lai-suat-vay-ngan-hang
https://techcombank.com/thong-tin/blog/vay-thau-chi-la-gi
https://techcombank.com/thong-tin/blog/nen-vay-tin-chap-o-dau
https://techcombank.com/thong-tin/blog/vay-tin-chap-khong-tra-duoc-co-sao-khong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10" t="str">
        <f>IFERROR(__xludf.DUMMYFUNCTION("""COMPUTED_VALUE"""),"https://techcombank.com/thong-tin/blog/vay-the-chap-khong-tra-duoc")</f>
        <v>https://techcombank.com/thong-tin/blog/vay-the-chap-khong-tra-duoc</v>
      </c>
      <c r="B32" s="11">
        <f>IFERROR(__xludf.DUMMYFUNCTION("""COMPUTED_VALUE"""),11.0)</f>
        <v>11</v>
      </c>
      <c r="C32" s="7" t="str">
        <f>IFERROR(__xludf.DUMMYFUNCTION("IF(A32="""","""",TEXTJOIN(CHAR(10),TRUE,FILTER('Tổng hợp 75 trang đích'!$B$2:$B$3400,'Tổng hợp 75 trang đích'!$I$2:$I$3400=A32)))"),"https://techcombank.com/thong-tin/blog/cic-la-gi
https://techcombank.com/thong-tin/blog/xep-hang-tin-dung
https://techcombank.com/thong-tin/blog/vay-ngan-hang-1-ty-moi-thang-tra-bao-nhieu
https://techcombank.com/thong-tin/blog/lai-suat-vay-the-chap-so-do
"&amp;"https://techcombank.com/thong-tin/blog/ho-so-thu-tuc-xoa-the-chap
https://techcombank.com/thong-tin/blog/rui-ro-khi-gui-tiet-kiem-online
https://techcombank.com/cong-cu-tien-ich/cong-cu-tinh-toan/bang-tinh-lai-suat-vay
https://techcombank.com/thong-tin/bl"&amp;"og/app-vay-tien-nhanh
https://techcombank.com/thong-tin/blog/kiem-tra-no-xau
https://techcombank.com/thong-tin/blog/no-xau-la-gi
https://techcombank.com/thong-tin/blog/vay-tin-chap-khong-tra-duoc-co-sao-khong")</f>
        <v>https://techcombank.com/thong-tin/blog/cic-la-gi
https://techcombank.com/thong-tin/blog/xep-hang-tin-dung
https://techcombank.com/thong-tin/blog/vay-ngan-hang-1-ty-moi-thang-tra-bao-nhieu
https://techcombank.com/thong-tin/blog/lai-suat-vay-the-chap-so-do
https://techcombank.com/thong-tin/blog/ho-so-thu-tuc-xoa-the-chap
https://techcombank.com/thong-tin/blog/rui-ro-khi-gui-tiet-kiem-online
https://techcombank.com/cong-cu-tien-ich/cong-cu-tinh-toan/bang-tinh-lai-suat-vay
https://techcombank.com/thong-tin/blog/app-vay-tien-nhanh
https://techcombank.com/thong-tin/blog/kiem-tra-no-xau
https://techcombank.com/thong-tin/blog/no-xau-la-gi
https://techcombank.com/thong-tin/blog/vay-tin-chap-khong-tra-duoc-co-sao-khong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10" t="str">
        <f>IFERROR(__xludf.DUMMYFUNCTION("""COMPUTED_VALUE"""),"https://techcombank.com/thong-tin/blog/vay-the-chap-xe-o-to-cu")</f>
        <v>https://techcombank.com/thong-tin/blog/vay-the-chap-xe-o-to-cu</v>
      </c>
      <c r="B33" s="11">
        <f>IFERROR(__xludf.DUMMYFUNCTION("""COMPUTED_VALUE"""),11.0)</f>
        <v>11</v>
      </c>
      <c r="C33" s="7" t="str">
        <f>IFERROR(__xludf.DUMMYFUNCTION("IF(A33="""","""",TEXTJOIN(CHAR(10),TRUE,FILTER('Tổng hợp 75 trang đích'!$B$2:$B$3400,'Tổng hợp 75 trang đích'!$I$2:$I$3400=A33)))"),"https://techcombank.com/thong-tin/blog/lai-suat-vay-mua-o-to
https://techcombank.com/thong-tin/blog/cic-la-gi
https://techcombank.com/thong-tin/blog/vay-ngan-hang-1-ty-moi-thang-tra-bao-nhieu
https://techcombank.com/thong-tin/blog/lai-suat-vay-the-chap-so"&amp;"-do
https://techcombank.com/thong-tin/blog/ho-so-thu-tuc-xoa-the-chap
https://techcombank.com/thong-tin/blog/lai-suat-tiet-kiem
https://techcombank.com/thong-tin/blog/cach-tinh-lai-suat-tien-gui-tiet-kiem
https://techcombank.com/cong-cu-tien-ich/cong-cu-t"&amp;"inh-toan/bang-tinh-lai-suat-vay
https://techcombank.com/thong-tin/blog/app-vay-tien-nhanh
https://techcombank.com/thong-tin/blog/lai-suat-vay-ngan-hang
https://techcombank.com/thong-tin/blog/vay-thau-chi-la-gi")</f>
        <v>https://techcombank.com/thong-tin/blog/lai-suat-vay-mua-o-to
https://techcombank.com/thong-tin/blog/cic-la-gi
https://techcombank.com/thong-tin/blog/vay-ngan-hang-1-ty-moi-thang-tra-bao-nhieu
https://techcombank.com/thong-tin/blog/lai-suat-vay-the-chap-so-do
https://techcombank.com/thong-tin/blog/ho-so-thu-tuc-xoa-the-chap
https://techcombank.com/thong-tin/blog/lai-suat-tiet-kiem
https://techcombank.com/thong-tin/blog/cach-tinh-lai-suat-tien-gui-tiet-kiem
https://techcombank.com/cong-cu-tien-ich/cong-cu-tinh-toan/bang-tinh-lai-suat-vay
https://techcombank.com/thong-tin/blog/app-vay-tien-nhanh
https://techcombank.com/thong-tin/blog/lai-suat-vay-ngan-hang
https://techcombank.com/thong-tin/blog/vay-thau-chi-la-gi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10" t="str">
        <f>IFERROR(__xludf.DUMMYFUNCTION("""COMPUTED_VALUE"""),"https://techcombank.com/thong-tin/blog/1-cent-bang-bao-nhieu-tien-viet")</f>
        <v>https://techcombank.com/thong-tin/blog/1-cent-bang-bao-nhieu-tien-viet</v>
      </c>
      <c r="B34" s="11">
        <f>IFERROR(__xludf.DUMMYFUNCTION("""COMPUTED_VALUE"""),10.0)</f>
        <v>10</v>
      </c>
      <c r="C34" s="7" t="str">
        <f>IFERROR(__xludf.DUMMYFUNCTION("IF(A34="""","""",TEXTJOIN(CHAR(10),TRUE,FILTER('Tổng hợp 75 trang đích'!$B$2:$B$3400,'Tổng hợp 75 trang đích'!$I$2:$I$3400=A34)))"),"https://techcombank.com/thong-tin/blog/1-te-bang-bao-nhieu-tien-viet-nam
https://techcombank.com/thong-tin/blog/1-dong-do-la-my-bang-bao-nhieu-tien-viet-nam
https://techcombank.com/thong-tin/blog/tien-nhat
https://techcombank.com/thong-tin/blog/1-yen-bang"&amp;"-bao-nhieu-tien-viet-nam
https://techcombank.com/thong-tin/blog/1-won-bang-bao-nhieu-tien-viet
https://techcombank.com/thong-tin/blog/tien-dai-loan
https://techcombank.com/thong-tin/blog/1-man-bang-bao-nhieu-tien-viet
https://techcombank.com/thong-tin/blo"&amp;"g/tien-thai-lan
https://techcombank.com/thong-tin/blog/1-trieu-do-bang-bao-nhieu-tien-viet
https://techcombank.com/thong-tin/blog/1000-won-bang-bao-nhieu-tien-viet")</f>
        <v>https://techcombank.com/thong-tin/blog/1-te-bang-bao-nhieu-tien-viet-nam
https://techcombank.com/thong-tin/blog/1-dong-do-la-my-bang-bao-nhieu-tien-viet-nam
https://techcombank.com/thong-tin/blog/tien-nhat
https://techcombank.com/thong-tin/blog/1-yen-bang-bao-nhieu-tien-viet-nam
https://techcombank.com/thong-tin/blog/1-won-bang-bao-nhieu-tien-viet
https://techcombank.com/thong-tin/blog/tien-dai-loan
https://techcombank.com/thong-tin/blog/1-man-bang-bao-nhieu-tien-viet
https://techcombank.com/thong-tin/blog/tien-thai-lan
https://techcombank.com/thong-tin/blog/1-trieu-do-bang-bao-nhieu-tien-viet
https://techcombank.com/thong-tin/blog/1000-won-bang-bao-nhieu-tien-viet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10" t="str">
        <f>IFERROR(__xludf.DUMMYFUNCTION("""COMPUTED_VALUE"""),"https://techcombank.com/thong-tin/blog/1-do-uc-bang-bao-nhieu-tien-viet")</f>
        <v>https://techcombank.com/thong-tin/blog/1-do-uc-bang-bao-nhieu-tien-viet</v>
      </c>
      <c r="B35" s="11">
        <f>IFERROR(__xludf.DUMMYFUNCTION("""COMPUTED_VALUE"""),10.0)</f>
        <v>10</v>
      </c>
      <c r="C35" s="7" t="str">
        <f>IFERROR(__xludf.DUMMYFUNCTION("IF(A35="""","""",TEXTJOIN(CHAR(10),TRUE,FILTER('Tổng hợp 75 trang đích'!$B$2:$B$3400,'Tổng hợp 75 trang đích'!$I$2:$I$3400=A35)))"),"https://techcombank.com/thong-tin/blog/1-te-bang-bao-nhieu-tien-viet-nam
https://techcombank.com/thong-tin/blog/1-dong-do-la-my-bang-bao-nhieu-tien-viet-nam
https://techcombank.com/thong-tin/blog/tien-nhat
https://techcombank.com/thong-tin/blog/1-yen-bang"&amp;"-bao-nhieu-tien-viet-nam
https://techcombank.com/thong-tin/blog/1-won-bang-bao-nhieu-tien-viet
https://techcombank.com/thong-tin/blog/tien-dai-loan
https://techcombank.com/thong-tin/blog/1-man-bang-bao-nhieu-tien-viet
https://techcombank.com/thong-tin/blo"&amp;"g/tien-thai-lan
https://techcombank.com/thong-tin/blog/1-trieu-do-bang-bao-nhieu-tien-viet
https://techcombank.com/thong-tin/blog/1000-won-bang-bao-nhieu-tien-viet")</f>
        <v>https://techcombank.com/thong-tin/blog/1-te-bang-bao-nhieu-tien-viet-nam
https://techcombank.com/thong-tin/blog/1-dong-do-la-my-bang-bao-nhieu-tien-viet-nam
https://techcombank.com/thong-tin/blog/tien-nhat
https://techcombank.com/thong-tin/blog/1-yen-bang-bao-nhieu-tien-viet-nam
https://techcombank.com/thong-tin/blog/1-won-bang-bao-nhieu-tien-viet
https://techcombank.com/thong-tin/blog/tien-dai-loan
https://techcombank.com/thong-tin/blog/1-man-bang-bao-nhieu-tien-viet
https://techcombank.com/thong-tin/blog/tien-thai-lan
https://techcombank.com/thong-tin/blog/1-trieu-do-bang-bao-nhieu-tien-viet
https://techcombank.com/thong-tin/blog/1000-won-bang-bao-nhieu-tien-viet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10" t="str">
        <f>IFERROR(__xludf.DUMMYFUNCTION("""COMPUTED_VALUE"""),"https://techcombank.com/thong-tin/blog/1-van-te-bang-bao-nhieu-tien-viet")</f>
        <v>https://techcombank.com/thong-tin/blog/1-van-te-bang-bao-nhieu-tien-viet</v>
      </c>
      <c r="B36" s="11">
        <f>IFERROR(__xludf.DUMMYFUNCTION("""COMPUTED_VALUE"""),10.0)</f>
        <v>10</v>
      </c>
      <c r="C36" s="7" t="str">
        <f>IFERROR(__xludf.DUMMYFUNCTION("IF(A36="""","""",TEXTJOIN(CHAR(10),TRUE,FILTER('Tổng hợp 75 trang đích'!$B$2:$B$3400,'Tổng hợp 75 trang đích'!$I$2:$I$3400=A36)))"),"https://techcombank.com/thong-tin/blog/1-te-bang-bao-nhieu-tien-viet-nam
https://techcombank.com/thong-tin/blog/1-dong-do-la-my-bang-bao-nhieu-tien-viet-nam
https://techcombank.com/thong-tin/blog/tien-nhat
https://techcombank.com/thong-tin/blog/1-yen-bang"&amp;"-bao-nhieu-tien-viet-nam
https://techcombank.com/thong-tin/blog/1-won-bang-bao-nhieu-tien-viet
https://techcombank.com/thong-tin/blog/tien-dai-loan
https://techcombank.com/thong-tin/blog/1-man-bang-bao-nhieu-tien-viet
https://techcombank.com/thong-tin/blo"&amp;"g/tien-thai-lan
https://techcombank.com/thong-tin/blog/1-trieu-do-bang-bao-nhieu-tien-viet
https://techcombank.com/thong-tin/blog/1000-won-bang-bao-nhieu-tien-viet")</f>
        <v>https://techcombank.com/thong-tin/blog/1-te-bang-bao-nhieu-tien-viet-nam
https://techcombank.com/thong-tin/blog/1-dong-do-la-my-bang-bao-nhieu-tien-viet-nam
https://techcombank.com/thong-tin/blog/tien-nhat
https://techcombank.com/thong-tin/blog/1-yen-bang-bao-nhieu-tien-viet-nam
https://techcombank.com/thong-tin/blog/1-won-bang-bao-nhieu-tien-viet
https://techcombank.com/thong-tin/blog/tien-dai-loan
https://techcombank.com/thong-tin/blog/1-man-bang-bao-nhieu-tien-viet
https://techcombank.com/thong-tin/blog/tien-thai-lan
https://techcombank.com/thong-tin/blog/1-trieu-do-bang-bao-nhieu-tien-viet
https://techcombank.com/thong-tin/blog/1000-won-bang-bao-nhieu-tien-viet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10" t="str">
        <f>IFERROR(__xludf.DUMMYFUNCTION("""COMPUTED_VALUE"""),"https://techcombank.com/thong-tin/blog/100-riel-bang-bao-nhieu-tien-viet-nam")</f>
        <v>https://techcombank.com/thong-tin/blog/100-riel-bang-bao-nhieu-tien-viet-nam</v>
      </c>
      <c r="B37" s="11">
        <f>IFERROR(__xludf.DUMMYFUNCTION("""COMPUTED_VALUE"""),10.0)</f>
        <v>10</v>
      </c>
      <c r="C37" s="7" t="str">
        <f>IFERROR(__xludf.DUMMYFUNCTION("IF(A37="""","""",TEXTJOIN(CHAR(10),TRUE,FILTER('Tổng hợp 75 trang đích'!$B$2:$B$3400,'Tổng hợp 75 trang đích'!$I$2:$I$3400=A37)))"),"https://techcombank.com/thong-tin/blog/1-te-bang-bao-nhieu-tien-viet-nam
https://techcombank.com/thong-tin/blog/1-dong-do-la-my-bang-bao-nhieu-tien-viet-nam
https://techcombank.com/thong-tin/blog/tien-nhat
https://techcombank.com/thong-tin/blog/1-yen-bang"&amp;"-bao-nhieu-tien-viet-nam
https://techcombank.com/thong-tin/blog/1-won-bang-bao-nhieu-tien-viet
https://techcombank.com/thong-tin/blog/tien-dai-loan
https://techcombank.com/thong-tin/blog/1-man-bang-bao-nhieu-tien-viet
https://techcombank.com/thong-tin/blo"&amp;"g/tien-thai-lan
https://techcombank.com/thong-tin/blog/1-trieu-do-bang-bao-nhieu-tien-viet
https://techcombank.com/thong-tin/blog/1000-won-bang-bao-nhieu-tien-viet")</f>
        <v>https://techcombank.com/thong-tin/blog/1-te-bang-bao-nhieu-tien-viet-nam
https://techcombank.com/thong-tin/blog/1-dong-do-la-my-bang-bao-nhieu-tien-viet-nam
https://techcombank.com/thong-tin/blog/tien-nhat
https://techcombank.com/thong-tin/blog/1-yen-bang-bao-nhieu-tien-viet-nam
https://techcombank.com/thong-tin/blog/1-won-bang-bao-nhieu-tien-viet
https://techcombank.com/thong-tin/blog/tien-dai-loan
https://techcombank.com/thong-tin/blog/1-man-bang-bao-nhieu-tien-viet
https://techcombank.com/thong-tin/blog/tien-thai-lan
https://techcombank.com/thong-tin/blog/1-trieu-do-bang-bao-nhieu-tien-viet
https://techcombank.com/thong-tin/blog/1000-won-bang-bao-nhieu-tien-viet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10" t="str">
        <f>IFERROR(__xludf.DUMMYFUNCTION("""COMPUTED_VALUE"""),"https://techcombank.com/thong-tin/blog/1000-te-bang-bao-nhieu-tien-viet")</f>
        <v>https://techcombank.com/thong-tin/blog/1000-te-bang-bao-nhieu-tien-viet</v>
      </c>
      <c r="B38" s="11">
        <f>IFERROR(__xludf.DUMMYFUNCTION("""COMPUTED_VALUE"""),10.0)</f>
        <v>10</v>
      </c>
      <c r="C38" s="7" t="str">
        <f>IFERROR(__xludf.DUMMYFUNCTION("IF(A38="""","""",TEXTJOIN(CHAR(10),TRUE,FILTER('Tổng hợp 75 trang đích'!$B$2:$B$3400,'Tổng hợp 75 trang đích'!$I$2:$I$3400=A38)))"),"https://techcombank.com/thong-tin/blog/1-te-bang-bao-nhieu-tien-viet-nam
https://techcombank.com/thong-tin/blog/1-dong-do-la-my-bang-bao-nhieu-tien-viet-nam
https://techcombank.com/thong-tin/blog/tien-nhat
https://techcombank.com/thong-tin/blog/1-yen-bang"&amp;"-bao-nhieu-tien-viet-nam
https://techcombank.com/thong-tin/blog/1-won-bang-bao-nhieu-tien-viet
https://techcombank.com/thong-tin/blog/tien-dai-loan
https://techcombank.com/thong-tin/blog/1-man-bang-bao-nhieu-tien-viet
https://techcombank.com/thong-tin/blo"&amp;"g/tien-thai-lan
https://techcombank.com/thong-tin/blog/1-trieu-do-bang-bao-nhieu-tien-viet
https://techcombank.com/thong-tin/blog/1000-won-bang-bao-nhieu-tien-viet")</f>
        <v>https://techcombank.com/thong-tin/blog/1-te-bang-bao-nhieu-tien-viet-nam
https://techcombank.com/thong-tin/blog/1-dong-do-la-my-bang-bao-nhieu-tien-viet-nam
https://techcombank.com/thong-tin/blog/tien-nhat
https://techcombank.com/thong-tin/blog/1-yen-bang-bao-nhieu-tien-viet-nam
https://techcombank.com/thong-tin/blog/1-won-bang-bao-nhieu-tien-viet
https://techcombank.com/thong-tin/blog/tien-dai-loan
https://techcombank.com/thong-tin/blog/1-man-bang-bao-nhieu-tien-viet
https://techcombank.com/thong-tin/blog/tien-thai-lan
https://techcombank.com/thong-tin/blog/1-trieu-do-bang-bao-nhieu-tien-viet
https://techcombank.com/thong-tin/blog/1000-won-bang-bao-nhieu-tien-viet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10" t="str">
        <f>IFERROR(__xludf.DUMMYFUNCTION("""COMPUTED_VALUE"""),"https://techcombank.com/thong-tin/blog/1000-won-bang-bao-nhieu-tien-viet")</f>
        <v>https://techcombank.com/thong-tin/blog/1000-won-bang-bao-nhieu-tien-viet</v>
      </c>
      <c r="B39" s="11">
        <f>IFERROR(__xludf.DUMMYFUNCTION("""COMPUTED_VALUE"""),10.0)</f>
        <v>10</v>
      </c>
      <c r="C39" s="7" t="str">
        <f>IFERROR(__xludf.DUMMYFUNCTION("IF(A39="""","""",TEXTJOIN(CHAR(10),TRUE,FILTER('Tổng hợp 75 trang đích'!$B$2:$B$3400,'Tổng hợp 75 trang đích'!$I$2:$I$3400=A39)))"),"https://techcombank.com/thong-tin/blog/1-te-bang-bao-nhieu-tien-viet-nam
https://techcombank.com/thong-tin/blog/1-dong-do-la-my-bang-bao-nhieu-tien-viet-nam
https://techcombank.com/thong-tin/blog/tien-nhat
https://techcombank.com/thong-tin/blog/1-yen-bang"&amp;"-bao-nhieu-tien-viet-nam
https://techcombank.com/thong-tin/blog/1-won-bang-bao-nhieu-tien-viet
https://techcombank.com/thong-tin/blog/tien-dai-loan
https://techcombank.com/thong-tin/blog/1-man-bang-bao-nhieu-tien-viet
https://techcombank.com/thong-tin/blo"&amp;"g/tien-thai-lan
https://techcombank.com/thong-tin/blog/1-trieu-do-bang-bao-nhieu-tien-viet
https://techcombank.com/thong-tin/blog/doi-tien-do-o-dau")</f>
        <v>https://techcombank.com/thong-tin/blog/1-te-bang-bao-nhieu-tien-viet-nam
https://techcombank.com/thong-tin/blog/1-dong-do-la-my-bang-bao-nhieu-tien-viet-nam
https://techcombank.com/thong-tin/blog/tien-nhat
https://techcombank.com/thong-tin/blog/1-yen-bang-bao-nhieu-tien-viet-nam
https://techcombank.com/thong-tin/blog/1-won-bang-bao-nhieu-tien-viet
https://techcombank.com/thong-tin/blog/tien-dai-loan
https://techcombank.com/thong-tin/blog/1-man-bang-bao-nhieu-tien-viet
https://techcombank.com/thong-tin/blog/tien-thai-lan
https://techcombank.com/thong-tin/blog/1-trieu-do-bang-bao-nhieu-tien-viet
https://techcombank.com/thong-tin/blog/doi-tien-do-o-dau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10" t="str">
        <f>IFERROR(__xludf.DUMMYFUNCTION("""COMPUTED_VALUE"""),"https://techcombank.com/thong-tin/blog/1000-yen-bang-bao-nhieu-tien-viet")</f>
        <v>https://techcombank.com/thong-tin/blog/1000-yen-bang-bao-nhieu-tien-viet</v>
      </c>
      <c r="B40" s="11">
        <f>IFERROR(__xludf.DUMMYFUNCTION("""COMPUTED_VALUE"""),10.0)</f>
        <v>10</v>
      </c>
      <c r="C40" s="7" t="str">
        <f>IFERROR(__xludf.DUMMYFUNCTION("IF(A40="""","""",TEXTJOIN(CHAR(10),TRUE,FILTER('Tổng hợp 75 trang đích'!$B$2:$B$3400,'Tổng hợp 75 trang đích'!$I$2:$I$3400=A40)))"),"https://techcombank.com/thong-tin/blog/1-te-bang-bao-nhieu-tien-viet-nam
https://techcombank.com/thong-tin/blog/1-dong-do-la-my-bang-bao-nhieu-tien-viet-nam
https://techcombank.com/thong-tin/blog/tien-nhat
https://techcombank.com/thong-tin/blog/1-yen-bang"&amp;"-bao-nhieu-tien-viet-nam
https://techcombank.com/thong-tin/blog/1-won-bang-bao-nhieu-tien-viet
https://techcombank.com/thong-tin/blog/tien-dai-loan
https://techcombank.com/thong-tin/blog/1-man-bang-bao-nhieu-tien-viet
https://techcombank.com/thong-tin/blo"&amp;"g/tien-thai-lan
https://techcombank.com/thong-tin/blog/1-trieu-do-bang-bao-nhieu-tien-viet
https://techcombank.com/thong-tin/blog/1000-won-bang-bao-nhieu-tien-viet")</f>
        <v>https://techcombank.com/thong-tin/blog/1-te-bang-bao-nhieu-tien-viet-nam
https://techcombank.com/thong-tin/blog/1-dong-do-la-my-bang-bao-nhieu-tien-viet-nam
https://techcombank.com/thong-tin/blog/tien-nhat
https://techcombank.com/thong-tin/blog/1-yen-bang-bao-nhieu-tien-viet-nam
https://techcombank.com/thong-tin/blog/1-won-bang-bao-nhieu-tien-viet
https://techcombank.com/thong-tin/blog/tien-dai-loan
https://techcombank.com/thong-tin/blog/1-man-bang-bao-nhieu-tien-viet
https://techcombank.com/thong-tin/blog/tien-thai-lan
https://techcombank.com/thong-tin/blog/1-trieu-do-bang-bao-nhieu-tien-viet
https://techcombank.com/thong-tin/blog/1000-won-bang-bao-nhieu-tien-viet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10" t="str">
        <f>IFERROR(__xludf.DUMMYFUNCTION("""COMPUTED_VALUE"""),"https://techcombank.com/thong-tin/blog/cach-tinh-lai-vay-ngan-hang")</f>
        <v>https://techcombank.com/thong-tin/blog/cach-tinh-lai-vay-ngan-hang</v>
      </c>
      <c r="B41" s="11">
        <f>IFERROR(__xludf.DUMMYFUNCTION("""COMPUTED_VALUE"""),10.0)</f>
        <v>10</v>
      </c>
      <c r="C41" s="7" t="str">
        <f>IFERROR(__xludf.DUMMYFUNCTION("IF(A41="""","""",TEXTJOIN(CHAR(10),TRUE,FILTER('Tổng hợp 75 trang đích'!$B$2:$B$3400,'Tổng hợp 75 trang đích'!$I$2:$I$3400=A41)))"),"https://techcombank.com/thong-tin/blog/lai-suat-vay-mua-o-to
https://techcombank.com/thong-tin/blog/cic-la-gi
https://techcombank.com/thong-tin/blog/lai-suat-tiet-kiem
https://techcombank.com/thong-tin/blog/cach-tinh-lai-suat-tien-gui-tiet-kiem
https://te"&amp;"chcombank.com/cong-cu-tien-ich/cong-cu-tinh-toan/bang-tinh-lai-suat-vay
https://techcombank.com/cong-cu-tien-ich/cong-cu-tinh-toan/bang-tinh-lai-suat-tiet-kiem
https://techcombank.com/thong-tin/blog/app-vay-tien-nhanh
https://techcombank.com/thong-tin/blo"&amp;"g/lai-suat-vay-ngan-hang
https://techcombank.com/thong-tin/blog/vay-thau-chi-la-gi
https://techcombank.com/thong-tin/blog/kiem-tra-no-xau")</f>
        <v>https://techcombank.com/thong-tin/blog/lai-suat-vay-mua-o-to
https://techcombank.com/thong-tin/blog/cic-la-gi
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
https://techcombank.com/thong-tin/blog/lai-suat-vay-ngan-hang
https://techcombank.com/thong-tin/blog/vay-thau-chi-la-gi
https://techcombank.com/thong-tin/blog/kiem-tra-no-xau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10" t="str">
        <f>IFERROR(__xludf.DUMMYFUNCTION("""COMPUTED_VALUE"""),"https://techcombank.com/thong-tin/blog/diem-tin-dung")</f>
        <v>https://techcombank.com/thong-tin/blog/diem-tin-dung</v>
      </c>
      <c r="B42" s="11">
        <f>IFERROR(__xludf.DUMMYFUNCTION("""COMPUTED_VALUE"""),10.0)</f>
        <v>10</v>
      </c>
      <c r="C42" s="7" t="str">
        <f>IFERROR(__xludf.DUMMYFUNCTION("IF(A42="""","""",TEXTJOIN(CHAR(10),TRUE,FILTER('Tổng hợp 75 trang đích'!$B$2:$B$3400,'Tổng hợp 75 trang đích'!$I$2:$I$3400=A42)))"),"https://techcombank.com/thong-tin/blog/cic-la-gi
https://techcombank.com/thong-tin/blog/xep-hang-tin-dung
https://techcombank.com/thong-tin/blog/lai-suat-tiet-kiem
https://techcombank.com/thong-tin/blog/cach-tinh-lai-suat-tien-gui-tiet-kiem
https://techco"&amp;"mbank.com/cong-cu-tien-ich/cong-cu-tinh-toan/bang-tinh-lai-suat-vay
https://techcombank.com/cong-cu-tien-ich/cong-cu-tinh-toan/bang-tinh-lai-suat-tiet-kiem
https://techcombank.com/thong-tin/blog/app-vay-tien-nhanh
https://techcombank.com/thong-tin/blog/la"&amp;"i-suat-vay-ngan-hang
https://techcombank.com/thong-tin/blog/kiem-tra-no-xau
https://techcombank.com/thong-tin/blog/no-xau-la-gi")</f>
        <v>https://techcombank.com/thong-tin/blog/cic-la-gi
https://techcombank.com/thong-tin/blog/xep-hang-tin-dung
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
https://techcombank.com/thong-tin/blog/lai-suat-vay-ngan-hang
https://techcombank.com/thong-tin/blog/kiem-tra-no-xau
https://techcombank.com/thong-tin/blog/no-xau-la-gi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10" t="str">
        <f>IFERROR(__xludf.DUMMYFUNCTION("""COMPUTED_VALUE"""),"https://techcombank.com/thong-tin/blog/dieu-kien-mua-usd-tu-ngan-hang")</f>
        <v>https://techcombank.com/thong-tin/blog/dieu-kien-mua-usd-tu-ngan-hang</v>
      </c>
      <c r="B43" s="11">
        <f>IFERROR(__xludf.DUMMYFUNCTION("""COMPUTED_VALUE"""),10.0)</f>
        <v>10</v>
      </c>
      <c r="C43" s="7" t="str">
        <f>IFERROR(__xludf.DUMMYFUNCTION("IF(A43="""","""",TEXTJOIN(CHAR(10),TRUE,FILTER('Tổng hợp 75 trang đích'!$B$2:$B$3400,'Tổng hợp 75 trang đích'!$I$2:$I$3400=A43)))"),"https://techcombank.com/thong-tin/blog/1-dong-do-la-my-bang-bao-nhieu-tien-viet-nam
https://techcombank.com/thong-tin/blog/tien-nhat
https://techcombank.com/thong-tin/blog/1-yen-bang-bao-nhieu-tien-viet-nam
https://techcombank.com/thong-tin/blog/1-won-ban"&amp;"g-bao-nhieu-tien-viet
https://techcombank.com/thong-tin/blog/tien-dai-loan
https://techcombank.com/thong-tin/blog/1-man-bang-bao-nhieu-tien-viet
https://techcombank.com/thong-tin/blog/tien-thai-lan
https://techcombank.com/thong-tin/blog/1-trieu-do-bang-ba"&amp;"o-nhieu-tien-viet
https://techcombank.com/thong-tin/blog/1000-won-bang-bao-nhieu-tien-viet
https://techcombank.com/thong-tin/blog/doi-tien-do-o-dau")</f>
        <v>https://techcombank.com/thong-tin/blog/1-dong-do-la-my-bang-bao-nhieu-tien-viet-nam
https://techcombank.com/thong-tin/blog/tien-nhat
https://techcombank.com/thong-tin/blog/1-yen-bang-bao-nhieu-tien-viet-nam
https://techcombank.com/thong-tin/blog/1-won-bang-bao-nhieu-tien-viet
https://techcombank.com/thong-tin/blog/tien-dai-loan
https://techcombank.com/thong-tin/blog/1-man-bang-bao-nhieu-tien-viet
https://techcombank.com/thong-tin/blog/tien-thai-lan
https://techcombank.com/thong-tin/blog/1-trieu-do-bang-bao-nhieu-tien-viet
https://techcombank.com/thong-tin/blog/1000-won-bang-bao-nhieu-tien-viet
https://techcombank.com/thong-tin/blog/doi-tien-do-o-dau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10" t="str">
        <f>IFERROR(__xludf.DUMMYFUNCTION("""COMPUTED_VALUE"""),"https://techcombank.com/thong-tin/blog/doi-tien-do-o-dau")</f>
        <v>https://techcombank.com/thong-tin/blog/doi-tien-do-o-dau</v>
      </c>
      <c r="B44" s="11">
        <f>IFERROR(__xludf.DUMMYFUNCTION("""COMPUTED_VALUE"""),10.0)</f>
        <v>10</v>
      </c>
      <c r="C44" s="7" t="str">
        <f>IFERROR(__xludf.DUMMYFUNCTION("IF(A44="""","""",TEXTJOIN(CHAR(10),TRUE,FILTER('Tổng hợp 75 trang đích'!$B$2:$B$3400,'Tổng hợp 75 trang đích'!$I$2:$I$3400=A44)))"),"https://techcombank.com/thong-tin/blog/1-te-bang-bao-nhieu-tien-viet-nam
https://techcombank.com/thong-tin/blog/1-dong-do-la-my-bang-bao-nhieu-tien-viet-nam
https://techcombank.com/thong-tin/blog/tien-nhat
https://techcombank.com/thong-tin/blog/1-yen-bang"&amp;"-bao-nhieu-tien-viet-nam
https://techcombank.com/thong-tin/blog/1-won-bang-bao-nhieu-tien-viet
https://techcombank.com/thong-tin/blog/tien-dai-loan
https://techcombank.com/thong-tin/blog/1-man-bang-bao-nhieu-tien-viet
https://techcombank.com/thong-tin/blo"&amp;"g/tien-thai-lan
https://techcombank.com/thong-tin/blog/1-trieu-do-bang-bao-nhieu-tien-viet
https://techcombank.com/thong-tin/blog/1000-won-bang-bao-nhieu-tien-viet")</f>
        <v>https://techcombank.com/thong-tin/blog/1-te-bang-bao-nhieu-tien-viet-nam
https://techcombank.com/thong-tin/blog/1-dong-do-la-my-bang-bao-nhieu-tien-viet-nam
https://techcombank.com/thong-tin/blog/tien-nhat
https://techcombank.com/thong-tin/blog/1-yen-bang-bao-nhieu-tien-viet-nam
https://techcombank.com/thong-tin/blog/1-won-bang-bao-nhieu-tien-viet
https://techcombank.com/thong-tin/blog/tien-dai-loan
https://techcombank.com/thong-tin/blog/1-man-bang-bao-nhieu-tien-viet
https://techcombank.com/thong-tin/blog/tien-thai-lan
https://techcombank.com/thong-tin/blog/1-trieu-do-bang-bao-nhieu-tien-viet
https://techcombank.com/thong-tin/blog/1000-won-bang-bao-nhieu-tien-viet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10" t="str">
        <f>IFERROR(__xludf.DUMMYFUNCTION("""COMPUTED_VALUE"""),"https://techcombank.com/thong-tin/blog/ke-khai-thue-doanh-nghiep")</f>
        <v>https://techcombank.com/thong-tin/blog/ke-khai-thue-doanh-nghiep</v>
      </c>
      <c r="B45" s="11">
        <f>IFERROR(__xludf.DUMMYFUNCTION("""COMPUTED_VALUE"""),10.0)</f>
        <v>10</v>
      </c>
      <c r="C45" s="7" t="str">
        <f>IFERROR(__xludf.DUMMYFUNCTION("IF(A45="""","""",TEXTJOIN(CHAR(10),TRUE,FILTER('Tổng hợp 75 trang đích'!$B$2:$B$3400,'Tổng hợp 75 trang đích'!$I$2:$I$3400=A45)))"),"https://techcombank.com/thong-tin/blog/nop-thue-dat-qua-ngan-hang
https://techcombank.com/thong-tin/blog/cach-nop-thue-dien-tu
https://techcombank.com/thong-tin/blog/thue-thu-nhap-doanh-nghiep
https://techcombank.com/thong-tin/blog/thue-vat-la-gi
https://"&amp;"techcombank.com/thong-tin/blog/tra-cuu-no-thue-doanh-nghiep
https://techcombank.com/thong-tin/blog/thue-doanh-nghiep
https://techcombank.com/thong-tin/blog/cong-ty-su-dung-tai-khoan-ca-nhan
https://techcombank.com/thong-tin/blog/cach-tinh-thue-thu-nhap-ca"&amp;"-nhan-2025
https://techcombank.com/thong-tin/blog/kiem-tra-thue-thu-nhap-ca-nhan
https://techcombank.com/thong-tin/blog/thue-thu-nhap-ca-nhan")</f>
        <v>https://techcombank.com/thong-tin/blog/nop-thue-dat-qua-ngan-hang
https://techcombank.com/thong-tin/blog/cach-nop-thue-dien-tu
https://techcombank.com/thong-tin/blog/thue-thu-nhap-doanh-nghiep
https://techcombank.com/thong-tin/blog/thue-vat-la-gi
https://techcombank.com/thong-tin/blog/tra-cuu-no-thue-doanh-nghiep
https://techcombank.com/thong-tin/blog/thue-doanh-nghiep
https://techcombank.com/thong-tin/blog/cong-ty-su-dung-tai-khoan-ca-nhan
https://techcombank.com/thong-tin/blog/cach-tinh-thue-thu-nhap-ca-nhan-2025
https://techcombank.com/thong-tin/blog/kiem-tra-thue-thu-nhap-ca-nhan
https://techcombank.com/thong-tin/blog/thue-thu-nhap-ca-nhan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10" t="str">
        <f>IFERROR(__xludf.DUMMYFUNCTION("""COMPUTED_VALUE"""),"https://techcombank.com/thong-tin/blog/ke-khai-thue-ho-kinh-doanh-ca-the-online")</f>
        <v>https://techcombank.com/thong-tin/blog/ke-khai-thue-ho-kinh-doanh-ca-the-online</v>
      </c>
      <c r="B46" s="11">
        <f>IFERROR(__xludf.DUMMYFUNCTION("""COMPUTED_VALUE"""),10.0)</f>
        <v>10</v>
      </c>
      <c r="C46" s="7" t="str">
        <f>IFERROR(__xludf.DUMMYFUNCTION("IF(A46="""","""",TEXTJOIN(CHAR(10),TRUE,FILTER('Tổng hợp 75 trang đích'!$B$2:$B$3400,'Tổng hợp 75 trang đích'!$I$2:$I$3400=A46)))"),"https://techcombank.com/thong-tin/blog/nop-thue-dat-qua-ngan-hang
https://techcombank.com/thong-tin/blog/cach-nop-thue-dien-tu
https://techcombank.com/thong-tin/blog/thue-vat-la-gi
https://techcombank.com/thong-tin/blog/tra-cuu-no-thue-doanh-nghiep
https:"&amp;"//techcombank.com/thong-tin/blog/cong-ty-su-dung-tai-khoan-ca-nhan
https://techcombank.com/thong-tin/blog/cach-tinh-thue-thu-nhap-ca-nhan-2025
https://techcombank.com/thong-tin/blog/kiem-tra-thue-thu-nhap-ca-nhan
https://techcombank.com/thong-tin/blog/thu"&amp;"e-thu-nhap-ca-nhan
https://techcombank.com/thong-tin/blog/ho-kinh-doanh-dong-thue-nhu-nao
https://techcombank.com/thong-tin/blog/cach-tinh-thue-ho-kinh-doanh-nho-le")</f>
        <v>https://techcombank.com/thong-tin/blog/nop-thue-dat-qua-ngan-hang
https://techcombank.com/thong-tin/blog/cach-nop-thue-dien-tu
https://techcombank.com/thong-tin/blog/thue-vat-la-gi
https://techcombank.com/thong-tin/blog/tra-cuu-no-thue-doanh-nghiep
https://techcombank.com/thong-tin/blog/cong-ty-su-dung-tai-khoan-ca-nhan
https://techcombank.com/thong-tin/blog/cach-tinh-thue-thu-nhap-ca-nhan-2025
https://techcombank.com/thong-tin/blog/kiem-tra-thue-thu-nhap-ca-nhan
https://techcombank.com/thong-tin/blog/thue-thu-nhap-ca-nhan
https://techcombank.com/thong-tin/blog/ho-kinh-doanh-dong-thue-nhu-nao
https://techcombank.com/thong-tin/blog/cach-tinh-thue-ho-kinh-doanh-nho-le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10" t="str">
        <f>IFERROR(__xludf.DUMMYFUNCTION("""COMPUTED_VALUE"""),"https://techcombank.com/thong-tin/blog/kiem-tra-no-xau")</f>
        <v>https://techcombank.com/thong-tin/blog/kiem-tra-no-xau</v>
      </c>
      <c r="B47" s="11">
        <f>IFERROR(__xludf.DUMMYFUNCTION("""COMPUTED_VALUE"""),10.0)</f>
        <v>10</v>
      </c>
      <c r="C47" s="7" t="str">
        <f>IFERROR(__xludf.DUMMYFUNCTION("IF(A47="""","""",TEXTJOIN(CHAR(10),TRUE,FILTER('Tổng hợp 75 trang đích'!$B$2:$B$3400,'Tổng hợp 75 trang đích'!$I$2:$I$3400=A47)))"),"https://techcombank.com/thong-tin/blog/cach-quet-nfc-cccd-tren-iphone
https://techcombank.com/thong-tin/blog/cic-la-gi
https://techcombank.com/thong-tin/blog/xep-hang-tin-dung
https://techcombank.com/thong-tin/blog/cach-tinh-lai-vay-ngan-hang
https://tech"&amp;"combank.com/cong-cu-tien-ich/cong-cu-tinh-toan/bang-tinh-lai-suat-vay
https://techcombank.com/thong-tin/blog/app-vay-tien-nhanh
https://techcombank.com/thong-tin/blog/lai-suat-vay-ngan-hang
https://techcombank.com/thong-tin/blog/vay-thau-chi-la-gi
https:/"&amp;"/techcombank.com/thong-tin/blog/no-xau-la-gi
https://techcombank.com/thong-tin/blog/vay-tin-chap-khong-tra-duoc-co-sao-khong")</f>
        <v>https://techcombank.com/thong-tin/blog/cach-quet-nfc-cccd-tren-iphone
https://techcombank.com/thong-tin/blog/cic-la-gi
https://techcombank.com/thong-tin/blog/xep-hang-tin-dung
https://techcombank.com/thong-tin/blog/cach-tinh-lai-vay-ngan-hang
https://techcombank.com/cong-cu-tien-ich/cong-cu-tinh-toan/bang-tinh-lai-suat-vay
https://techcombank.com/thong-tin/blog/app-vay-tien-nhanh
https://techcombank.com/thong-tin/blog/lai-suat-vay-ngan-hang
https://techcombank.com/thong-tin/blog/vay-thau-chi-la-gi
https://techcombank.com/thong-tin/blog/no-xau-la-gi
https://techcombank.com/thong-tin/blog/vay-tin-chap-khong-tra-duoc-co-sao-khong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10" t="str">
        <f>IFERROR(__xludf.DUMMYFUNCTION("""COMPUTED_VALUE"""),"https://techcombank.com/thong-tin/blog/lai-suat-vay-mua-o-to")</f>
        <v>https://techcombank.com/thong-tin/blog/lai-suat-vay-mua-o-to</v>
      </c>
      <c r="B48" s="11">
        <f>IFERROR(__xludf.DUMMYFUNCTION("""COMPUTED_VALUE"""),10.0)</f>
        <v>10</v>
      </c>
      <c r="C48" s="7" t="str">
        <f>IFERROR(__xludf.DUMMYFUNCTION("IF(A48="""","""",TEXTJOIN(CHAR(10),TRUE,FILTER('Tổng hợp 75 trang đích'!$B$2:$B$3400,'Tổng hợp 75 trang đích'!$I$2:$I$3400=A48)))"),"https://techcombank.com/thong-tin/blog/ngan-hang-uy-tin
https://techcombank.com/thong-tin/blog/lai-suat-vay-the-chap-so-do
https://techcombank.com/thong-tin/blog/lai-suat-tiet-kiem
https://techcombank.com/thong-tin/blog/cach-tinh-lai-suat-tien-gui-tiet-ki"&amp;"em
https://techcombank.com/cong-cu-tien-ich/cong-cu-tinh-toan/bang-tinh-lai-suat-vay
https://techcombank.com/thong-tin/blog/app-vay-tien-nhanh
https://techcombank.com/thong-tin/blog/lai-suat-vay-ngan-hang
https://techcombank.com/thong-tin/blog/vay-thau-ch"&amp;"i-la-gi
https://techcombank.com/thong-tin/blog/kiem-tra-no-xau
https://techcombank.com/thong-tin/blog/no-xau-la-gi")</f>
        <v>https://techcombank.com/thong-tin/blog/ngan-hang-uy-tin
https://techcombank.com/thong-tin/blog/lai-suat-vay-the-chap-so-do
https://techcombank.com/thong-tin/blog/lai-suat-tiet-kiem
https://techcombank.com/thong-tin/blog/cach-tinh-lai-suat-tien-gui-tiet-kiem
https://techcombank.com/cong-cu-tien-ich/cong-cu-tinh-toan/bang-tinh-lai-suat-vay
https://techcombank.com/thong-tin/blog/app-vay-tien-nhanh
https://techcombank.com/thong-tin/blog/lai-suat-vay-ngan-hang
https://techcombank.com/thong-tin/blog/vay-thau-chi-la-gi
https://techcombank.com/thong-tin/blog/kiem-tra-no-xau
https://techcombank.com/thong-tin/blog/no-xau-la-gi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10" t="str">
        <f>IFERROR(__xludf.DUMMYFUNCTION("""COMPUTED_VALUE"""),"https://techcombank.com/thong-tin/blog/lam-ho-so-tra-gop-dien-thoai")</f>
        <v>https://techcombank.com/thong-tin/blog/lam-ho-so-tra-gop-dien-thoai</v>
      </c>
      <c r="B49" s="11">
        <f>IFERROR(__xludf.DUMMYFUNCTION("""COMPUTED_VALUE"""),10.0)</f>
        <v>10</v>
      </c>
      <c r="C49" s="7" t="str">
        <f>IFERROR(__xludf.DUMMYFUNCTION("IF(A49="""","""",TEXTJOIN(CHAR(10),TRUE,FILTER('Tổng hợp 75 trang đích'!$B$2:$B$3400,'Tổng hợp 75 trang đích'!$I$2:$I$3400=A49)))"),"https://techcombank.com/thong-tin/blog/cic-la-gi
https://techcombank.com/thong-tin/blog/rut-tien-mat-tu-the-tin-dung
https://techcombank.com/thong-tin/blog/cach-huy-the-tin-dung
https://techcombank.com/thong-tin/blog/cach-tinh-lai-vay-ngan-hang
https://te"&amp;"chcombank.com/thong-tin/blog/lai-suat-tiet-kiem
https://techcombank.com/thong-tin/blog/cach-tinh-lai-suat-tien-gui-tiet-kiem
https://techcombank.com/cong-cu-tien-ich/cong-cu-tinh-toan/bang-tinh-lai-suat-vay
https://techcombank.com/thong-tin/blog/app-vay-t"&amp;"ien-nhanh
https://techcombank.com/thong-tin/blog/kiem-tra-no-xau
https://techcombank.com/thong-tin/blog/no-xau-la-gi")</f>
        <v>https://techcombank.com/thong-tin/blog/cic-la-gi
https://techcombank.com/thong-tin/blog/rut-tien-mat-tu-the-tin-dung
https://techcombank.com/thong-tin/blog/cach-huy-the-tin-dung
https://techcombank.com/thong-tin/blog/cach-tinh-lai-vay-ngan-hang
https://techcombank.com/thong-tin/blog/lai-suat-tiet-kiem
https://techcombank.com/thong-tin/blog/cach-tinh-lai-suat-tien-gui-tiet-kiem
https://techcombank.com/cong-cu-tien-ich/cong-cu-tinh-toan/bang-tinh-lai-suat-vay
https://techcombank.com/thong-tin/blog/app-vay-tien-nhanh
https://techcombank.com/thong-tin/blog/kiem-tra-no-xau
https://techcombank.com/thong-tin/blog/no-xau-la-gi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10" t="str">
        <f>IFERROR(__xludf.DUMMYFUNCTION("""COMPUTED_VALUE"""),"https://techcombank.com/thong-tin/blog/mua-truoc-tra-sau")</f>
        <v>https://techcombank.com/thong-tin/blog/mua-truoc-tra-sau</v>
      </c>
      <c r="B50" s="11">
        <f>IFERROR(__xludf.DUMMYFUNCTION("""COMPUTED_VALUE"""),10.0)</f>
        <v>10</v>
      </c>
      <c r="C50" s="7" t="str">
        <f>IFERROR(__xludf.DUMMYFUNCTION("IF(A50="""","""",TEXTJOIN(CHAR(10),TRUE,FILTER('Tổng hợp 75 trang đích'!$B$2:$B$3400,'Tổng hợp 75 trang đích'!$I$2:$I$3400=A50)))"),"https://techcombank.com/thong-tin/blog/cic-la-gi
https://techcombank.com/thong-tin/blog/lam-the-tin-dung
https://techcombank.com/khach-hang-ca-nhan/chi-tieu/the/the-tin-dung/techcombank-everyday
https://techcombank.com/thong-tin/blog/the-tin-dung-hoan-tie"&amp;"n
https://techcombank.com/thong-tin/blog/cach-huy-the-tin-dung
https://techcombank.com/thong-tin/blog/cach-thanh-toan-the-tin-dung
https://techcombank.com/thong-tin/blog/vay-ngan-hang-1-ty-moi-thang-tra-bao-nhieu
https://techcombank.com/thong-tin/blog/cac"&amp;"h-tinh-lai-vay-ngan-hang
https://techcombank.com/cong-cu-tien-ich/cong-cu-tinh-toan/bang-tinh-lai-suat-vay
https://techcombank.com/thong-tin/blog/app-vay-tien-nhanh")</f>
        <v>https://techcombank.com/thong-tin/blog/cic-la-gi
https://techcombank.com/thong-tin/blog/lam-the-tin-dung
https://techcombank.com/khach-hang-ca-nhan/chi-tieu/the/the-tin-dung/techcombank-everyday
https://techcombank.com/thong-tin/blog/the-tin-dung-hoan-tien
https://techcombank.com/thong-tin/blog/cach-huy-the-tin-dung
https://techcombank.com/thong-tin/blog/cach-thanh-toan-the-tin-dung
https://techcombank.com/thong-tin/blog/vay-ngan-hang-1-ty-moi-thang-tra-bao-nhieu
https://techcombank.com/thong-tin/blog/cach-tinh-lai-vay-ngan-hang
https://techcombank.com/cong-cu-tien-ich/cong-cu-tinh-toan/bang-tinh-lai-suat-vay
https://techcombank.com/thong-tin/blog/app-vay-tien-nhanh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10" t="str">
        <f>IFERROR(__xludf.DUMMYFUNCTION("""COMPUTED_VALUE"""),"https://techcombank.com/thong-tin/blog/nen-vay-tin-chap-o-dau")</f>
        <v>https://techcombank.com/thong-tin/blog/nen-vay-tin-chap-o-dau</v>
      </c>
      <c r="B51" s="11">
        <f>IFERROR(__xludf.DUMMYFUNCTION("""COMPUTED_VALUE"""),10.0)</f>
        <v>10</v>
      </c>
      <c r="C51" s="7" t="str">
        <f>IFERROR(__xludf.DUMMYFUNCTION("IF(A51="""","""",TEXTJOIN(CHAR(10),TRUE,FILTER('Tổng hợp 75 trang đích'!$B$2:$B$3400,'Tổng hợp 75 trang đích'!$I$2:$I$3400=A51)))"),"https://techcombank.com/thong-tin/blog/lai-suat-vay-mua-o-to
https://techcombank.com/thong-tin/blog/ngan-hang-uy-tin
https://techcombank.com/thong-tin/blog/lai-suat-tiet-kiem
https://techcombank.com/thong-tin/blog/cach-tinh-lai-suat-tien-gui-tiet-kiem
htt"&amp;"ps://techcombank.com/cong-cu-tien-ich/cong-cu-tinh-toan/bang-tinh-lai-suat-vay
https://techcombank.com/cong-cu-tien-ich/cong-cu-tinh-toan/bang-tinh-lai-suat-tiet-kiem
https://techcombank.com/thong-tin/blog/app-vay-tien-nhanh
https://techcombank.com/thong-"&amp;"tin/blog/lai-suat-vay-ngan-hang
https://techcombank.com/thong-tin/blog/vay-thau-chi-la-gi
https://techcombank.com/thong-tin/blog/vay-tin-chap-khong-tra-duoc-co-sao-khong")</f>
        <v>https://techcombank.com/thong-tin/blog/lai-suat-vay-mua-o-to
https://techcombank.com/thong-tin/blog/ngan-hang-uy-tin
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
https://techcombank.com/thong-tin/blog/lai-suat-vay-ngan-hang
https://techcombank.com/thong-tin/blog/vay-thau-chi-la-gi
https://techcombank.com/thong-tin/blog/vay-tin-chap-khong-tra-duoc-co-sao-khong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10" t="str">
        <f>IFERROR(__xludf.DUMMYFUNCTION("""COMPUTED_VALUE"""),"https://techcombank.com/thong-tin/blog/no-xau-co-vay-the-chap-duoc-khong")</f>
        <v>https://techcombank.com/thong-tin/blog/no-xau-co-vay-the-chap-duoc-khong</v>
      </c>
      <c r="B52" s="11">
        <f>IFERROR(__xludf.DUMMYFUNCTION("""COMPUTED_VALUE"""),10.0)</f>
        <v>10</v>
      </c>
      <c r="C52" s="7" t="str">
        <f>IFERROR(__xludf.DUMMYFUNCTION("IF(A52="""","""",TEXTJOIN(CHAR(10),TRUE,FILTER('Tổng hợp 75 trang đích'!$B$2:$B$3400,'Tổng hợp 75 trang đích'!$I$2:$I$3400=A52)))"),"https://techcombank.com/thong-tin/blog/cic-la-gi
https://techcombank.com/thong-tin/blog/xep-hang-tin-dung
https://techcombank.com/thong-tin/blog/lai-suat-vay-the-chap-so-do
https://techcombank.com/thong-tin/blog/ho-so-thu-tuc-xoa-the-chap
https://techcomb"&amp;"ank.com/cong-cu-tien-ich/cong-cu-tinh-toan/bang-tinh-lai-suat-vay
https://techcombank.com/thong-tin/blog/app-vay-tien-nhanh
https://techcombank.com/thong-tin/blog/lai-suat-vay-ngan-hang
https://techcombank.com/thong-tin/blog/kiem-tra-no-xau
https://techco"&amp;"mbank.com/thong-tin/blog/no-xau-la-gi
https://techcombank.com/thong-tin/blog/vay-tin-chap-khong-tra-duoc-co-sao-khong")</f>
        <v>https://techcombank.com/thong-tin/blog/cic-la-gi
https://techcombank.com/thong-tin/blog/xep-hang-tin-dung
https://techcombank.com/thong-tin/blog/lai-suat-vay-the-chap-so-do
https://techcombank.com/thong-tin/blog/ho-so-thu-tuc-xoa-the-chap
https://techcombank.com/cong-cu-tien-ich/cong-cu-tinh-toan/bang-tinh-lai-suat-vay
https://techcombank.com/thong-tin/blog/app-vay-tien-nhanh
https://techcombank.com/thong-tin/blog/lai-suat-vay-ngan-hang
https://techcombank.com/thong-tin/blog/kiem-tra-no-xau
https://techcombank.com/thong-tin/blog/no-xau-la-gi
https://techcombank.com/thong-tin/blog/vay-tin-chap-khong-tra-duoc-co-sao-khong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10" t="str">
        <f>IFERROR(__xludf.DUMMYFUNCTION("""COMPUTED_VALUE"""),"https://techcombank.com/thong-tin/blog/no-xau-mo-the-tin-dung-duoc-khong")</f>
        <v>https://techcombank.com/thong-tin/blog/no-xau-mo-the-tin-dung-duoc-khong</v>
      </c>
      <c r="B53" s="11">
        <f>IFERROR(__xludf.DUMMYFUNCTION("""COMPUTED_VALUE"""),10.0)</f>
        <v>10</v>
      </c>
      <c r="C53" s="7" t="str">
        <f>IFERROR(__xludf.DUMMYFUNCTION("IF(A53="""","""",TEXTJOIN(CHAR(10),TRUE,FILTER('Tổng hợp 75 trang đích'!$B$2:$B$3400,'Tổng hợp 75 trang đích'!$I$2:$I$3400=A53)))"),"https://techcombank.com/thong-tin/blog/cic-la-gi
https://techcombank.com/thong-tin/blog/rut-tien-mat-tu-the-tin-dung
https://techcombank.com/thong-tin/blog/xep-hang-tin-dung
https://techcombank.com/thong-tin/blog/ho-so-thu-tuc-xoa-the-chap
https://techcom"&amp;"bank.com/thong-tin/blog/rut-tien-tiet-kiem-truoc-thoi-han
https://techcombank.com/cong-cu-tien-ich/cong-cu-tinh-toan/bang-tinh-lai-suat-vay
https://techcombank.com/thong-tin/blog/app-vay-tien-nhanh
https://techcombank.com/thong-tin/blog/kiem-tra-no-xau
ht"&amp;"tps://techcombank.com/thong-tin/blog/no-xau-la-gi
https://techcombank.com/thong-tin/blog/vay-tin-chap-khong-tra-duoc-co-sao-khong")</f>
        <v>https://techcombank.com/thong-tin/blog/cic-la-gi
https://techcombank.com/thong-tin/blog/rut-tien-mat-tu-the-tin-dung
https://techcombank.com/thong-tin/blog/xep-hang-tin-dung
https://techcombank.com/thong-tin/blog/ho-so-thu-tuc-xoa-the-chap
https://techcombank.com/thong-tin/blog/rut-tien-tiet-kiem-truoc-thoi-han
https://techcombank.com/cong-cu-tien-ich/cong-cu-tinh-toan/bang-tinh-lai-suat-vay
https://techcombank.com/thong-tin/blog/app-vay-tien-nhanh
https://techcombank.com/thong-tin/blog/kiem-tra-no-xau
https://techcombank.com/thong-tin/blog/no-xau-la-gi
https://techcombank.com/thong-tin/blog/vay-tin-chap-khong-tra-duoc-co-sao-khong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10" t="str">
        <f>IFERROR(__xludf.DUMMYFUNCTION("""COMPUTED_VALUE"""),"https://techcombank.com/thong-tin/blog/quy-trinh-tat-toan-khoan-vay-the-chap")</f>
        <v>https://techcombank.com/thong-tin/blog/quy-trinh-tat-toan-khoan-vay-the-chap</v>
      </c>
      <c r="B54" s="11">
        <f>IFERROR(__xludf.DUMMYFUNCTION("""COMPUTED_VALUE"""),10.0)</f>
        <v>10</v>
      </c>
      <c r="C54" s="7" t="str">
        <f>IFERROR(__xludf.DUMMYFUNCTION("IF(A54="""","""",TEXTJOIN(CHAR(10),TRUE,FILTER('Tổng hợp 75 trang đích'!$B$2:$B$3400,'Tổng hợp 75 trang đích'!$I$2:$I$3400=A54)))"),"https://techcombank.com/thong-tin/blog/cic-la-gi
https://techcombank.com/thong-tin/blog/vay-ngan-hang-1-ty-moi-thang-tra-bao-nhieu
https://techcombank.com/thong-tin/blog/cach-tinh-lai-vay-ngan-hang
https://techcombank.com/thong-tin/blog/lai-suat-vay-the-c"&amp;"hap-so-do
https://techcombank.com/thong-tin/blog/ho-so-thu-tuc-xoa-the-chap
https://techcombank.com/thong-tin/blog/rut-tien-tiet-kiem-truoc-thoi-han
https://techcombank.com/cong-cu-tien-ich/cong-cu-tinh-toan/bang-tinh-lai-suat-vay
https://techcombank.com/"&amp;"thong-tin/blog/app-vay-tien-nhanh
https://techcombank.com/thong-tin/blog/lai-suat-vay-ngan-hang
https://techcombank.com/thong-tin/blog/vay-thau-chi-la-gi")</f>
        <v>https://techcombank.com/thong-tin/blog/cic-la-gi
https://techcombank.com/thong-tin/blog/vay-ngan-hang-1-ty-moi-thang-tra-bao-nhieu
https://techcombank.com/thong-tin/blog/cach-tinh-lai-vay-ngan-hang
https://techcombank.com/thong-tin/blog/lai-suat-vay-the-chap-so-do
https://techcombank.com/thong-tin/blog/ho-so-thu-tuc-xoa-the-chap
https://techcombank.com/thong-tin/blog/rut-tien-tiet-kiem-truoc-thoi-han
https://techcombank.com/cong-cu-tien-ich/cong-cu-tinh-toan/bang-tinh-lai-suat-vay
https://techcombank.com/thong-tin/blog/app-vay-tien-nhanh
https://techcombank.com/thong-tin/blog/lai-suat-vay-ngan-hang
https://techcombank.com/thong-tin/blog/vay-thau-chi-la-gi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10" t="str">
        <f>IFERROR(__xludf.DUMMYFUNCTION("""COMPUTED_VALUE"""),"https://techcombank.com/thong-tin/blog/tat-toan")</f>
        <v>https://techcombank.com/thong-tin/blog/tat-toan</v>
      </c>
      <c r="B55" s="11">
        <f>IFERROR(__xludf.DUMMYFUNCTION("""COMPUTED_VALUE"""),10.0)</f>
        <v>10</v>
      </c>
      <c r="C55" s="7" t="str">
        <f>IFERROR(__xludf.DUMMYFUNCTION("IF(A55="""","""",TEXTJOIN(CHAR(10),TRUE,FILTER('Tổng hợp 75 trang đích'!$B$2:$B$3400,'Tổng hợp 75 trang đích'!$I$2:$I$3400=A55)))"),"https://techcombank.com/thong-tin/blog/cic-la-gi
https://techcombank.com/thong-tin/blog/cach-tinh-lai-vay-ngan-hang
https://techcombank.com/thong-tin/blog/ho-so-thu-tuc-xoa-the-chap
https://techcombank.com/thong-tin/blog/lai-suat-tiet-kiem
https://techcom"&amp;"bank.com/thong-tin/blog/rut-tien-tiet-kiem-truoc-thoi-han
https://techcombank.com/thong-tin/blog/so-tiet-kiem-ngan-hang
https://techcombank.com/cong-cu-tien-ich/cong-cu-tinh-toan/bang-tinh-lai-suat-vay
https://techcombank.com/thong-tin/blog/app-vay-tien-n"&amp;"hanh
https://techcombank.com/thong-tin/blog/lai-suat-vay-ngan-hang
https://techcombank.com/thong-tin/blog/vay-tin-chap-khong-tra-duoc-co-sao-khong")</f>
        <v>https://techcombank.com/thong-tin/blog/cic-la-gi
https://techcombank.com/thong-tin/blog/cach-tinh-lai-vay-ngan-hang
https://techcombank.com/thong-tin/blog/ho-so-thu-tuc-xoa-the-chap
https://techcombank.com/thong-tin/blog/lai-suat-tiet-kiem
https://techcombank.com/thong-tin/blog/rut-tien-tiet-kiem-truoc-thoi-han
https://techcombank.com/thong-tin/blog/so-tiet-kiem-ngan-hang
https://techcombank.com/cong-cu-tien-ich/cong-cu-tinh-toan/bang-tinh-lai-suat-vay
https://techcombank.com/thong-tin/blog/app-vay-tien-nhanh
https://techcombank.com/thong-tin/blog/lai-suat-vay-ngan-hang
https://techcombank.com/thong-tin/blog/vay-tin-chap-khong-tra-duoc-co-sao-khong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10" t="str">
        <f>IFERROR(__xludf.DUMMYFUNCTION("""COMPUTED_VALUE"""),"https://techcombank.com/thong-tin/blog/thu-tuc-mua-xe-tra-gop")</f>
        <v>https://techcombank.com/thong-tin/blog/thu-tuc-mua-xe-tra-gop</v>
      </c>
      <c r="B56" s="11">
        <f>IFERROR(__xludf.DUMMYFUNCTION("""COMPUTED_VALUE"""),10.0)</f>
        <v>10</v>
      </c>
      <c r="C56" s="7" t="str">
        <f>IFERROR(__xludf.DUMMYFUNCTION("IF(A56="""","""",TEXTJOIN(CHAR(10),TRUE,FILTER('Tổng hợp 75 trang đích'!$B$2:$B$3400,'Tổng hợp 75 trang đích'!$I$2:$I$3400=A56)))"),"https://techcombank.com/thong-tin/blog/lai-suat-vay-mua-o-to
https://techcombank.com/thong-tin/blog/cic-la-gi
https://techcombank.com/thong-tin/blog/vay-ngan-hang-1-ty-moi-thang-tra-bao-nhieu
https://techcombank.com/thong-tin/blog/cach-tinh-lai-vay-ngan-h"&amp;"ang
https://techcombank.com/thong-tin/blog/lai-suat-tiet-kiem
https://techcombank.com/thong-tin/blog/cach-tinh-lai-suat-tien-gui-tiet-kiem
https://techcombank.com/cong-cu-tien-ich/cong-cu-tinh-toan/bang-tinh-lai-suat-vay
https://techcombank.com/thong-tin/"&amp;"blog/app-vay-tien-nhanh
https://techcombank.com/thong-tin/blog/lai-suat-vay-ngan-hang
https://techcombank.com/thong-tin/blog/vay-thau-chi-la-gi")</f>
        <v>https://techcombank.com/thong-tin/blog/lai-suat-vay-mua-o-to
https://techcombank.com/thong-tin/blog/cic-la-gi
https://techcombank.com/thong-tin/blog/vay-ngan-hang-1-ty-moi-thang-tra-bao-nhieu
https://techcombank.com/thong-tin/blog/cach-tinh-lai-vay-ngan-hang
https://techcombank.com/thong-tin/blog/lai-suat-tiet-kiem
https://techcombank.com/thong-tin/blog/cach-tinh-lai-suat-tien-gui-tiet-kiem
https://techcombank.com/cong-cu-tien-ich/cong-cu-tinh-toan/bang-tinh-lai-suat-vay
https://techcombank.com/thong-tin/blog/app-vay-tien-nhanh
https://techcombank.com/thong-tin/blog/lai-suat-vay-ngan-hang
https://techcombank.com/thong-tin/blog/vay-thau-chi-la-gi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10" t="str">
        <f>IFERROR(__xludf.DUMMYFUNCTION("""COMPUTED_VALUE"""),"https://techcombank.com/thong-tin/blog/tien-dai-loan")</f>
        <v>https://techcombank.com/thong-tin/blog/tien-dai-loan</v>
      </c>
      <c r="B57" s="11">
        <f>IFERROR(__xludf.DUMMYFUNCTION("""COMPUTED_VALUE"""),10.0)</f>
        <v>10</v>
      </c>
      <c r="C57" s="7" t="str">
        <f>IFERROR(__xludf.DUMMYFUNCTION("IF(A57="""","""",TEXTJOIN(CHAR(10),TRUE,FILTER('Tổng hợp 75 trang đích'!$B$2:$B$3400,'Tổng hợp 75 trang đích'!$I$2:$I$3400=A57)))"),"https://techcombank.com/thong-tin/blog/1-te-bang-bao-nhieu-tien-viet-nam
https://techcombank.com/thong-tin/blog/1-dong-do-la-my-bang-bao-nhieu-tien-viet-nam
https://techcombank.com/thong-tin/blog/tien-nhat
https://techcombank.com/thong-tin/blog/1-yen-bang"&amp;"-bao-nhieu-tien-viet-nam
https://techcombank.com/thong-tin/blog/1-won-bang-bao-nhieu-tien-viet
https://techcombank.com/thong-tin/blog/1-man-bang-bao-nhieu-tien-viet
https://techcombank.com/thong-tin/blog/tien-thai-lan
https://techcombank.com/thong-tin/blo"&amp;"g/1-trieu-do-bang-bao-nhieu-tien-viet
https://techcombank.com/thong-tin/blog/1000-won-bang-bao-nhieu-tien-viet
https://techcombank.com/thong-tin/blog/doi-tien-do-o-dau")</f>
        <v>https://techcombank.com/thong-tin/blog/1-te-bang-bao-nhieu-tien-viet-nam
https://techcombank.com/thong-tin/blog/1-dong-do-la-my-bang-bao-nhieu-tien-viet-nam
https://techcombank.com/thong-tin/blog/tien-nhat
https://techcombank.com/thong-tin/blog/1-yen-bang-bao-nhieu-tien-viet-nam
https://techcombank.com/thong-tin/blog/1-won-bang-bao-nhieu-tien-viet
https://techcombank.com/thong-tin/blog/1-man-bang-bao-nhieu-tien-viet
https://techcombank.com/thong-tin/blog/tien-thai-lan
https://techcombank.com/thong-tin/blog/1-trieu-do-bang-bao-nhieu-tien-viet
https://techcombank.com/thong-tin/blog/1000-won-bang-bao-nhieu-tien-viet
https://techcombank.com/thong-tin/blog/doi-tien-do-o-dau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10" t="str">
        <f>IFERROR(__xludf.DUMMYFUNCTION("""COMPUTED_VALUE"""),"https://techcombank.com/thong-tin/blog/tien-indonesia")</f>
        <v>https://techcombank.com/thong-tin/blog/tien-indonesia</v>
      </c>
      <c r="B58" s="11">
        <f>IFERROR(__xludf.DUMMYFUNCTION("""COMPUTED_VALUE"""),10.0)</f>
        <v>10</v>
      </c>
      <c r="C58" s="7" t="str">
        <f>IFERROR(__xludf.DUMMYFUNCTION("IF(A58="""","""",TEXTJOIN(CHAR(10),TRUE,FILTER('Tổng hợp 75 trang đích'!$B$2:$B$3400,'Tổng hợp 75 trang đích'!$I$2:$I$3400=A58)))"),"https://techcombank.com/thong-tin/blog/1-te-bang-bao-nhieu-tien-viet-nam
https://techcombank.com/thong-tin/blog/1-dong-do-la-my-bang-bao-nhieu-tien-viet-nam
https://techcombank.com/thong-tin/blog/tien-nhat
https://techcombank.com/thong-tin/blog/1-yen-bang"&amp;"-bao-nhieu-tien-viet-nam
https://techcombank.com/thong-tin/blog/1-won-bang-bao-nhieu-tien-viet
https://techcombank.com/thong-tin/blog/tien-dai-loan
https://techcombank.com/thong-tin/blog/1-man-bang-bao-nhieu-tien-viet
https://techcombank.com/thong-tin/blo"&amp;"g/tien-thai-lan
https://techcombank.com/thong-tin/blog/1-trieu-do-bang-bao-nhieu-tien-viet
https://techcombank.com/thong-tin/blog/1000-won-bang-bao-nhieu-tien-viet")</f>
        <v>https://techcombank.com/thong-tin/blog/1-te-bang-bao-nhieu-tien-viet-nam
https://techcombank.com/thong-tin/blog/1-dong-do-la-my-bang-bao-nhieu-tien-viet-nam
https://techcombank.com/thong-tin/blog/tien-nhat
https://techcombank.com/thong-tin/blog/1-yen-bang-bao-nhieu-tien-viet-nam
https://techcombank.com/thong-tin/blog/1-won-bang-bao-nhieu-tien-viet
https://techcombank.com/thong-tin/blog/tien-dai-loan
https://techcombank.com/thong-tin/blog/1-man-bang-bao-nhieu-tien-viet
https://techcombank.com/thong-tin/blog/tien-thai-lan
https://techcombank.com/thong-tin/blog/1-trieu-do-bang-bao-nhieu-tien-viet
https://techcombank.com/thong-tin/blog/1000-won-bang-bao-nhieu-tien-viet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10" t="str">
        <f>IFERROR(__xludf.DUMMYFUNCTION("""COMPUTED_VALUE"""),"https://techcombank.com/thong-tin/blog/tien-trung-quoc")</f>
        <v>https://techcombank.com/thong-tin/blog/tien-trung-quoc</v>
      </c>
      <c r="B59" s="11">
        <f>IFERROR(__xludf.DUMMYFUNCTION("""COMPUTED_VALUE"""),10.0)</f>
        <v>10</v>
      </c>
      <c r="C59" s="7" t="str">
        <f>IFERROR(__xludf.DUMMYFUNCTION("IF(A59="""","""",TEXTJOIN(CHAR(10),TRUE,FILTER('Tổng hợp 75 trang đích'!$B$2:$B$3400,'Tổng hợp 75 trang đích'!$I$2:$I$3400=A59)))"),"https://techcombank.com/thong-tin/blog/1-te-bang-bao-nhieu-tien-viet-nam
https://techcombank.com/thong-tin/blog/1-dong-do-la-my-bang-bao-nhieu-tien-viet-nam
https://techcombank.com/thong-tin/blog/tien-nhat
https://techcombank.com/thong-tin/blog/1-yen-bang"&amp;"-bao-nhieu-tien-viet-nam
https://techcombank.com/thong-tin/blog/1-won-bang-bao-nhieu-tien-viet
https://techcombank.com/thong-tin/blog/tien-dai-loan
https://techcombank.com/thong-tin/blog/1-man-bang-bao-nhieu-tien-viet
https://techcombank.com/thong-tin/blo"&amp;"g/tien-thai-lan
https://techcombank.com/thong-tin/blog/1-trieu-do-bang-bao-nhieu-tien-viet
https://techcombank.com/thong-tin/blog/1000-won-bang-bao-nhieu-tien-viet")</f>
        <v>https://techcombank.com/thong-tin/blog/1-te-bang-bao-nhieu-tien-viet-nam
https://techcombank.com/thong-tin/blog/1-dong-do-la-my-bang-bao-nhieu-tien-viet-nam
https://techcombank.com/thong-tin/blog/tien-nhat
https://techcombank.com/thong-tin/blog/1-yen-bang-bao-nhieu-tien-viet-nam
https://techcombank.com/thong-tin/blog/1-won-bang-bao-nhieu-tien-viet
https://techcombank.com/thong-tin/blog/tien-dai-loan
https://techcombank.com/thong-tin/blog/1-man-bang-bao-nhieu-tien-viet
https://techcombank.com/thong-tin/blog/tien-thai-lan
https://techcombank.com/thong-tin/blog/1-trieu-do-bang-bao-nhieu-tien-viet
https://techcombank.com/thong-tin/blog/1000-won-bang-bao-nhieu-tien-viet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10" t="str">
        <f>IFERROR(__xludf.DUMMYFUNCTION("""COMPUTED_VALUE"""),"https://techcombank.com/thong-tin/blog/tra-cuu-han-muc-the-tin-dung")</f>
        <v>https://techcombank.com/thong-tin/blog/tra-cuu-han-muc-the-tin-dung</v>
      </c>
      <c r="B60" s="11">
        <f>IFERROR(__xludf.DUMMYFUNCTION("""COMPUTED_VALUE"""),10.0)</f>
        <v>10</v>
      </c>
      <c r="C60" s="7" t="str">
        <f>IFERROR(__xludf.DUMMYFUNCTION("IF(A60="""","""",TEXTJOIN(CHAR(10),TRUE,FILTER('Tổng hợp 75 trang đích'!$B$2:$B$3400,'Tổng hợp 75 trang đích'!$I$2:$I$3400=A60)))"),"https://techcombank.com/thong-tin/blog/nap-tien-vao-tai-khoan-ngan-hang
https://techcombank.com/thong-tin/blog/rut-tien-bang-ma-qr-la-gi-cach-thuc-hien-nhu-the-nao
https://techcombank.com/thong-tin/blog/cic-la-gi
https://techcombank.com/thong-tin/blog/rut"&amp;"-tien-mat-tu-the-tin-dung
https://techcombank.com/thong-tin/blog/lam-the-tin-dung
https://techcombank.com/khach-hang-ca-nhan/chi-tieu/the/the-tin-dung/techcombank-everyday
https://techcombank.com/thong-tin/blog/the-tin-dung-hoan-tien
https://techcombank.c"&amp;"om/thong-tin/blog/cach-huy-the-tin-dung
https://techcombank.com/thong-tin/blog/cach-thanh-toan-the-tin-dung
https://techcombank.com/thong-tin/blog/app-vay-tien-nhanh")</f>
        <v>https://techcombank.com/thong-tin/blog/nap-tien-vao-tai-khoan-ngan-hang
https://techcombank.com/thong-tin/blog/rut-tien-bang-ma-qr-la-gi-cach-thuc-hien-nhu-the-nao
https://techcombank.com/thong-tin/blog/cic-la-gi
https://techcombank.com/thong-tin/blog/rut-tien-mat-tu-the-tin-dung
https://techcombank.com/thong-tin/blog/lam-the-tin-dung
https://techcombank.com/khach-hang-ca-nhan/chi-tieu/the/the-tin-dung/techcombank-everyday
https://techcombank.com/thong-tin/blog/the-tin-dung-hoan-tien
https://techcombank.com/thong-tin/blog/cach-huy-the-tin-dung
https://techcombank.com/thong-tin/blog/cach-thanh-toan-the-tin-dung
https://techcombank.com/thong-tin/blog/app-vay-tien-nhanh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10" t="str">
        <f>IFERROR(__xludf.DUMMYFUNCTION("""COMPUTED_VALUE"""),"https://techcombank.com/thong-tin/blog/tra-gop-lazada")</f>
        <v>https://techcombank.com/thong-tin/blog/tra-gop-lazada</v>
      </c>
      <c r="B61" s="11">
        <f>IFERROR(__xludf.DUMMYFUNCTION("""COMPUTED_VALUE"""),10.0)</f>
        <v>10</v>
      </c>
      <c r="C61" s="7" t="str">
        <f>IFERROR(__xludf.DUMMYFUNCTION("IF(A61="""","""",TEXTJOIN(CHAR(10),TRUE,FILTER('Tổng hợp 75 trang đích'!$B$2:$B$3400,'Tổng hợp 75 trang đích'!$I$2:$I$3400=A61)))"),"https://techcombank.com/thong-tin/blog/cic-la-gi
https://techcombank.com/thong-tin/blog/rut-tien-mat-tu-the-tin-dung
https://techcombank.com/thong-tin/blog/cach-huy-the-tin-dung
https://techcombank.com/thong-tin/blog/cach-tinh-lai-vay-ngan-hang
https://te"&amp;"chcombank.com/thong-tin/blog/lai-suat-tiet-kiem
https://techcombank.com/thong-tin/blog/cach-tinh-lai-suat-tien-gui-tiet-kiem
https://techcombank.com/cong-cu-tien-ich/cong-cu-tinh-toan/bang-tinh-lai-suat-vay
https://techcombank.com/thong-tin/blog/app-vay-t"&amp;"ien-nhanh
https://techcombank.com/thong-tin/blog/kiem-tra-no-xau
https://techcombank.com/thong-tin/blog/no-xau-la-gi")</f>
        <v>https://techcombank.com/thong-tin/blog/cic-la-gi
https://techcombank.com/thong-tin/blog/rut-tien-mat-tu-the-tin-dung
https://techcombank.com/thong-tin/blog/cach-huy-the-tin-dung
https://techcombank.com/thong-tin/blog/cach-tinh-lai-vay-ngan-hang
https://techcombank.com/thong-tin/blog/lai-suat-tiet-kiem
https://techcombank.com/thong-tin/blog/cach-tinh-lai-suat-tien-gui-tiet-kiem
https://techcombank.com/cong-cu-tien-ich/cong-cu-tinh-toan/bang-tinh-lai-suat-vay
https://techcombank.com/thong-tin/blog/app-vay-tien-nhanh
https://techcombank.com/thong-tin/blog/kiem-tra-no-xau
https://techcombank.com/thong-tin/blog/no-xau-la-gi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10" t="str">
        <f>IFERROR(__xludf.DUMMYFUNCTION("""COMPUTED_VALUE"""),"https://techcombank.com/thong-tin/blog/tra-gop-shopee")</f>
        <v>https://techcombank.com/thong-tin/blog/tra-gop-shopee</v>
      </c>
      <c r="B62" s="11">
        <f>IFERROR(__xludf.DUMMYFUNCTION("""COMPUTED_VALUE"""),10.0)</f>
        <v>10</v>
      </c>
      <c r="C62" s="7" t="str">
        <f>IFERROR(__xludf.DUMMYFUNCTION("IF(A62="""","""",TEXTJOIN(CHAR(10),TRUE,FILTER('Tổng hợp 75 trang đích'!$B$2:$B$3400,'Tổng hợp 75 trang đích'!$I$2:$I$3400=A62)))"),"https://techcombank.com/thong-tin/blog/cic-la-gi
https://techcombank.com/thong-tin/blog/rut-tien-mat-tu-the-tin-dung
https://techcombank.com/thong-tin/blog/cach-huy-the-tin-dung
https://techcombank.com/thong-tin/blog/vay-ngan-hang-1-ty-moi-thang-tra-bao-n"&amp;"hieu
https://techcombank.com/thong-tin/blog/cach-tinh-lai-vay-ngan-hang
https://techcombank.com/thong-tin/blog/lai-suat-tiet-kiem
https://techcombank.com/thong-tin/blog/cach-tinh-lai-suat-tien-gui-tiet-kiem
https://techcombank.com/cong-cu-tien-ich/cong-cu"&amp;"-tinh-toan/bang-tinh-lai-suat-vay
https://techcombank.com/cong-cu-tien-ich/cong-cu-tinh-toan/bang-tinh-lai-suat-tiet-kiem
https://techcombank.com/thong-tin/blog/app-vay-tien-nhanh")</f>
        <v>https://techcombank.com/thong-tin/blog/cic-la-gi
https://techcombank.com/thong-tin/blog/rut-tien-mat-tu-the-tin-dung
https://techcombank.com/thong-tin/blog/cach-huy-the-tin-dung
https://techcombank.com/thong-tin/blog/vay-ngan-hang-1-ty-moi-thang-tra-bao-nhieu
https://techcombank.com/thong-tin/blog/cach-tinh-lai-vay-ngan-hang
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10" t="str">
        <f>IFERROR(__xludf.DUMMYFUNCTION("""COMPUTED_VALUE"""),"https://techcombank.com/thong-tin/blog/vay-300-trieu")</f>
        <v>https://techcombank.com/thong-tin/blog/vay-300-trieu</v>
      </c>
      <c r="B63" s="11">
        <f>IFERROR(__xludf.DUMMYFUNCTION("""COMPUTED_VALUE"""),10.0)</f>
        <v>10</v>
      </c>
      <c r="C63" s="7" t="str">
        <f>IFERROR(__xludf.DUMMYFUNCTION("IF(A63="""","""",TEXTJOIN(CHAR(10),TRUE,FILTER('Tổng hợp 75 trang đích'!$B$2:$B$3400,'Tổng hợp 75 trang đích'!$I$2:$I$3400=A63)))"),"https://techcombank.com/thong-tin/blog/lai-suat-vay-mua-o-to
https://techcombank.com/thong-tin/blog/cic-la-gi
https://techcombank.com/thong-tin/blog/vay-ngan-hang-1-ty-moi-thang-tra-bao-nhieu
https://techcombank.com/thong-tin/blog/cach-tinh-lai-vay-ngan-h"&amp;"ang
https://techcombank.com/thong-tin/blog/lai-suat-tiet-kiem
https://techcombank.com/thong-tin/blog/cach-tinh-lai-suat-tien-gui-tiet-kiem
https://techcombank.com/cong-cu-tien-ich/cong-cu-tinh-toan/bang-tinh-lai-suat-vay
https://techcombank.com/thong-tin/"&amp;"blog/app-vay-tien-nhanh
https://techcombank.com/thong-tin/blog/lai-suat-vay-ngan-hang
https://techcombank.com/thong-tin/blog/vay-thau-chi-la-gi")</f>
        <v>https://techcombank.com/thong-tin/blog/lai-suat-vay-mua-o-to
https://techcombank.com/thong-tin/blog/cic-la-gi
https://techcombank.com/thong-tin/blog/vay-ngan-hang-1-ty-moi-thang-tra-bao-nhieu
https://techcombank.com/thong-tin/blog/cach-tinh-lai-vay-ngan-hang
https://techcombank.com/thong-tin/blog/lai-suat-tiet-kiem
https://techcombank.com/thong-tin/blog/cach-tinh-lai-suat-tien-gui-tiet-kiem
https://techcombank.com/cong-cu-tien-ich/cong-cu-tinh-toan/bang-tinh-lai-suat-vay
https://techcombank.com/thong-tin/blog/app-vay-tien-nhanh
https://techcombank.com/thong-tin/blog/lai-suat-vay-ngan-hang
https://techcombank.com/thong-tin/blog/vay-thau-chi-la-gi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10" t="str">
        <f>IFERROR(__xludf.DUMMYFUNCTION("""COMPUTED_VALUE"""),"https://techcombank.com/thong-tin/blog/vay-mua-nha-o-xa-hoi")</f>
        <v>https://techcombank.com/thong-tin/blog/vay-mua-nha-o-xa-hoi</v>
      </c>
      <c r="B64" s="11">
        <f>IFERROR(__xludf.DUMMYFUNCTION("""COMPUTED_VALUE"""),10.0)</f>
        <v>10</v>
      </c>
      <c r="C64" s="7" t="str">
        <f>IFERROR(__xludf.DUMMYFUNCTION("IF(A64="""","""",TEXTJOIN(CHAR(10),TRUE,FILTER('Tổng hợp 75 trang đích'!$B$2:$B$3400,'Tổng hợp 75 trang đích'!$I$2:$I$3400=A64)))"),"https://techcombank.com/thong-tin/blog/lai-suat-vay-mua-o-to
https://techcombank.com/thong-tin/blog/cach-tinh-thue-thu-nhap-ca-nhan-2025
https://techcombank.com/thong-tin/blog/cic-la-gi
https://techcombank.com/thong-tin/blog/cach-tinh-lai-vay-ngan-hang
ht"&amp;"tps://techcombank.com/thong-tin/blog/lai-suat-tiet-kiem
https://techcombank.com/thong-tin/blog/cach-tinh-lai-suat-tien-gui-tiet-kiem
https://techcombank.com/cong-cu-tien-ich/cong-cu-tinh-toan/bang-tinh-lai-suat-vay
https://techcombank.com/thong-tin/blog/a"&amp;"pp-vay-tien-nhanh
https://techcombank.com/thong-tin/blog/lai-suat-vay-ngan-hang
https://techcombank.com/thong-tin/blog/vay-thau-chi-la-gi")</f>
        <v>https://techcombank.com/thong-tin/blog/lai-suat-vay-mua-o-to
https://techcombank.com/thong-tin/blog/cach-tinh-thue-thu-nhap-ca-nhan-2025
https://techcombank.com/thong-tin/blog/cic-la-gi
https://techcombank.com/thong-tin/blog/cach-tinh-lai-vay-ngan-hang
https://techcombank.com/thong-tin/blog/lai-suat-tiet-kiem
https://techcombank.com/thong-tin/blog/cach-tinh-lai-suat-tien-gui-tiet-kiem
https://techcombank.com/cong-cu-tien-ich/cong-cu-tinh-toan/bang-tinh-lai-suat-vay
https://techcombank.com/thong-tin/blog/app-vay-tien-nhanh
https://techcombank.com/thong-tin/blog/lai-suat-vay-ngan-hang
https://techcombank.com/thong-tin/blog/vay-thau-chi-la-gi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10" t="str">
        <f>IFERROR(__xludf.DUMMYFUNCTION("""COMPUTED_VALUE"""),"https://techcombank.com/thong-tin/blog/vay-sinh-vien")</f>
        <v>https://techcombank.com/thong-tin/blog/vay-sinh-vien</v>
      </c>
      <c r="B65" s="11">
        <f>IFERROR(__xludf.DUMMYFUNCTION("""COMPUTED_VALUE"""),10.0)</f>
        <v>10</v>
      </c>
      <c r="C65" s="7" t="str">
        <f>IFERROR(__xludf.DUMMYFUNCTION("IF(A65="""","""",TEXTJOIN(CHAR(10),TRUE,FILTER('Tổng hợp 75 trang đích'!$B$2:$B$3400,'Tổng hợp 75 trang đích'!$I$2:$I$3400=A65)))"),"https://techcombank.com/thong-tin/blog/ngan-hang-uy-tin
https://techcombank.com/thong-tin/blog/bao-nhieu-tuoi-duoc-mo-tai-khoan-ngan-hang
https://techcombank.com/thong-tin/blog/mo-tai-khoan-ngan-hang-duoi-18-tuoi
https://techcombank.com/thong-tin/blog/cic"&amp;"-la-gi
https://techcombank.com/thong-tin/blog/lai-suat-tiet-kiem
https://techcombank.com/thong-tin/blog/cach-tinh-lai-suat-tien-gui-tiet-kiem
https://techcombank.com/cong-cu-tien-ich/cong-cu-tinh-toan/bang-tinh-lai-suat-vay
https://techcombank.com/thong-t"&amp;"in/blog/app-vay-tien-nhanh
https://techcombank.com/thong-tin/blog/lai-suat-vay-ngan-hang
https://techcombank.com/thong-tin/blog/vay-thau-chi-la-gi")</f>
        <v>https://techcombank.com/thong-tin/blog/ngan-hang-uy-tin
https://techcombank.com/thong-tin/blog/bao-nhieu-tuoi-duoc-mo-tai-khoan-ngan-hang
https://techcombank.com/thong-tin/blog/mo-tai-khoan-ngan-hang-duoi-18-tuoi
https://techcombank.com/thong-tin/blog/cic-la-gi
https://techcombank.com/thong-tin/blog/lai-suat-tiet-kiem
https://techcombank.com/thong-tin/blog/cach-tinh-lai-suat-tien-gui-tiet-kiem
https://techcombank.com/cong-cu-tien-ich/cong-cu-tinh-toan/bang-tinh-lai-suat-vay
https://techcombank.com/thong-tin/blog/app-vay-tien-nhanh
https://techcombank.com/thong-tin/blog/lai-suat-vay-ngan-hang
https://techcombank.com/thong-tin/blog/vay-thau-chi-la-gi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10" t="str">
        <f>IFERROR(__xludf.DUMMYFUNCTION("""COMPUTED_VALUE"""),"https://techcombank.com/thong-tin/blog/vay-thau-chi-bang-so-tiet-kiem")</f>
        <v>https://techcombank.com/thong-tin/blog/vay-thau-chi-bang-so-tiet-kiem</v>
      </c>
      <c r="B66" s="11">
        <f>IFERROR(__xludf.DUMMYFUNCTION("""COMPUTED_VALUE"""),10.0)</f>
        <v>10</v>
      </c>
      <c r="C66" s="7" t="str">
        <f>IFERROR(__xludf.DUMMYFUNCTION("IF(A66="""","""",TEXTJOIN(CHAR(10),TRUE,FILTER('Tổng hợp 75 trang đích'!$B$2:$B$3400,'Tổng hợp 75 trang đích'!$I$2:$I$3400=A66)))"),"https://techcombank.com/thong-tin/blog/lai-suat-vay-mua-o-to
https://techcombank.com/thong-tin/blog/cic-la-gi
https://techcombank.com/thong-tin/blog/lai-suat-tiet-kiem
https://techcombank.com/thong-tin/blog/cach-tinh-lai-suat-tien-gui-tiet-kiem
https://te"&amp;"chcombank.com/thong-tin/blog/rut-tien-tiet-kiem-truoc-thoi-han
https://techcombank.com/cong-cu-tien-ich/cong-cu-tinh-toan/bang-tinh-lai-suat-vay
https://techcombank.com/cong-cu-tien-ich/cong-cu-tinh-toan/bang-tinh-lai-suat-tiet-kiem
https://techcombank.co"&amp;"m/thong-tin/blog/app-vay-tien-nhanh
https://techcombank.com/thong-tin/blog/lai-suat-vay-ngan-hang
https://techcombank.com/thong-tin/blog/vay-thau-chi-la-gi")</f>
        <v>https://techcombank.com/thong-tin/blog/lai-suat-vay-mua-o-to
https://techcombank.com/thong-tin/blog/cic-la-gi
https://techcombank.com/thong-tin/blog/lai-suat-tiet-kiem
https://techcombank.com/thong-tin/blog/cach-tinh-lai-suat-tien-gui-tiet-kiem
https://techcombank.com/thong-tin/blog/rut-tien-tiet-kiem-truoc-thoi-han
https://techcombank.com/cong-cu-tien-ich/cong-cu-tinh-toan/bang-tinh-lai-suat-vay
https://techcombank.com/cong-cu-tien-ich/cong-cu-tinh-toan/bang-tinh-lai-suat-tiet-kiem
https://techcombank.com/thong-tin/blog/app-vay-tien-nhanh
https://techcombank.com/thong-tin/blog/lai-suat-vay-ngan-hang
https://techcombank.com/thong-tin/blog/vay-thau-chi-la-gi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10" t="str">
        <f>IFERROR(__xludf.DUMMYFUNCTION("""COMPUTED_VALUE"""),"https://techcombank.com/thong-tin/blog/vay-the-chap-so-hong")</f>
        <v>https://techcombank.com/thong-tin/blog/vay-the-chap-so-hong</v>
      </c>
      <c r="B67" s="11">
        <f>IFERROR(__xludf.DUMMYFUNCTION("""COMPUTED_VALUE"""),10.0)</f>
        <v>10</v>
      </c>
      <c r="C67" s="7" t="str">
        <f>IFERROR(__xludf.DUMMYFUNCTION("IF(A67="""","""",TEXTJOIN(CHAR(10),TRUE,FILTER('Tổng hợp 75 trang đích'!$B$2:$B$3400,'Tổng hợp 75 trang đích'!$I$2:$I$3400=A67)))"),"https://techcombank.com/thong-tin/blog/lai-suat-vay-mua-o-to
https://techcombank.com/thong-tin/blog/cic-la-gi
https://techcombank.com/thong-tin/blog/lai-suat-vay-the-chap-so-do
https://techcombank.com/thong-tin/blog/ho-so-thu-tuc-xoa-the-chap
https://tech"&amp;"combank.com/thong-tin/blog/lai-suat-tiet-kiem
https://techcombank.com/thong-tin/blog/cach-tinh-lai-suat-tien-gui-tiet-kiem
https://techcombank.com/cong-cu-tien-ich/cong-cu-tinh-toan/bang-tinh-lai-suat-vay
https://techcombank.com/thong-tin/blog/app-vay-tie"&amp;"n-nhanh
https://techcombank.com/thong-tin/blog/lai-suat-vay-ngan-hang
https://techcombank.com/thong-tin/blog/vay-thau-chi-la-gi")</f>
        <v>https://techcombank.com/thong-tin/blog/lai-suat-vay-mua-o-to
https://techcombank.com/thong-tin/blog/cic-la-gi
https://techcombank.com/thong-tin/blog/lai-suat-vay-the-chap-so-do
https://techcombank.com/thong-tin/blog/ho-so-thu-tuc-xoa-the-chap
https://techcombank.com/thong-tin/blog/lai-suat-tiet-kiem
https://techcombank.com/thong-tin/blog/cach-tinh-lai-suat-tien-gui-tiet-kiem
https://techcombank.com/cong-cu-tien-ich/cong-cu-tinh-toan/bang-tinh-lai-suat-vay
https://techcombank.com/thong-tin/blog/app-vay-tien-nhanh
https://techcombank.com/thong-tin/blog/lai-suat-vay-ngan-hang
https://techcombank.com/thong-tin/blog/vay-thau-chi-la-gi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10" t="str">
        <f>IFERROR(__xludf.DUMMYFUNCTION("""COMPUTED_VALUE"""),"https://techcombank.com/thong-tin/blog/1-dong-do-la-my-bang-bao-nhieu-tien-viet-nam")</f>
        <v>https://techcombank.com/thong-tin/blog/1-dong-do-la-my-bang-bao-nhieu-tien-viet-nam</v>
      </c>
      <c r="B68" s="11">
        <f>IFERROR(__xludf.DUMMYFUNCTION("""COMPUTED_VALUE"""),9.0)</f>
        <v>9</v>
      </c>
      <c r="C68" s="7" t="str">
        <f>IFERROR(__xludf.DUMMYFUNCTION("IF(A68="""","""",TEXTJOIN(CHAR(10),TRUE,FILTER('Tổng hợp 75 trang đích'!$B$2:$B$3400,'Tổng hợp 75 trang đích'!$I$2:$I$3400=A68)))"),"https://techcombank.com/thong-tin/blog/1-te-bang-bao-nhieu-tien-viet-nam
https://techcombank.com/thong-tin/blog/tien-nhat
https://techcombank.com/thong-tin/blog/1-yen-bang-bao-nhieu-tien-viet-nam
https://techcombank.com/thong-tin/blog/1-won-bang-bao-nhieu"&amp;"-tien-viet
https://techcombank.com/thong-tin/blog/tien-dai-loan
https://techcombank.com/thong-tin/blog/1-man-bang-bao-nhieu-tien-viet
https://techcombank.com/thong-tin/blog/tien-thai-lan
https://techcombank.com/thong-tin/blog/1-trieu-do-bang-bao-nhieu-tie"&amp;"n-viet
https://techcombank.com/thong-tin/blog/1000-won-bang-bao-nhieu-tien-viet")</f>
        <v>https://techcombank.com/thong-tin/blog/1-te-bang-bao-nhieu-tien-viet-nam
https://techcombank.com/thong-tin/blog/tien-nhat
https://techcombank.com/thong-tin/blog/1-yen-bang-bao-nhieu-tien-viet-nam
https://techcombank.com/thong-tin/blog/1-won-bang-bao-nhieu-tien-viet
https://techcombank.com/thong-tin/blog/tien-dai-loan
https://techcombank.com/thong-tin/blog/1-man-bang-bao-nhieu-tien-viet
https://techcombank.com/thong-tin/blog/tien-thai-lan
https://techcombank.com/thong-tin/blog/1-trieu-do-bang-bao-nhieu-tien-viet
https://techcombank.com/thong-tin/blog/1000-won-bang-bao-nhieu-tien-viet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10" t="str">
        <f>IFERROR(__xludf.DUMMYFUNCTION("""COMPUTED_VALUE"""),"https://techcombank.com/thong-tin/blog/1-te-bang-bao-nhieu-tien-viet-nam")</f>
        <v>https://techcombank.com/thong-tin/blog/1-te-bang-bao-nhieu-tien-viet-nam</v>
      </c>
      <c r="B69" s="11">
        <f>IFERROR(__xludf.DUMMYFUNCTION("""COMPUTED_VALUE"""),9.0)</f>
        <v>9</v>
      </c>
      <c r="C69" s="7" t="str">
        <f>IFERROR(__xludf.DUMMYFUNCTION("IF(A69="""","""",TEXTJOIN(CHAR(10),TRUE,FILTER('Tổng hợp 75 trang đích'!$B$2:$B$3400,'Tổng hợp 75 trang đích'!$I$2:$I$3400=A69)))"),"https://techcombank.com/thong-tin/blog/1-dong-do-la-my-bang-bao-nhieu-tien-viet-nam
https://techcombank.com/thong-tin/blog/tien-nhat
https://techcombank.com/thong-tin/blog/1-yen-bang-bao-nhieu-tien-viet-nam
https://techcombank.com/thong-tin/blog/1-won-ban"&amp;"g-bao-nhieu-tien-viet
https://techcombank.com/thong-tin/blog/tien-dai-loan
https://techcombank.com/thong-tin/blog/1-man-bang-bao-nhieu-tien-viet
https://techcombank.com/thong-tin/blog/tien-thai-lan
https://techcombank.com/thong-tin/blog/1-trieu-do-bang-ba"&amp;"o-nhieu-tien-viet
https://techcombank.com/thong-tin/blog/1000-won-bang-bao-nhieu-tien-viet")</f>
        <v>https://techcombank.com/thong-tin/blog/1-dong-do-la-my-bang-bao-nhieu-tien-viet-nam
https://techcombank.com/thong-tin/blog/tien-nhat
https://techcombank.com/thong-tin/blog/1-yen-bang-bao-nhieu-tien-viet-nam
https://techcombank.com/thong-tin/blog/1-won-bang-bao-nhieu-tien-viet
https://techcombank.com/thong-tin/blog/tien-dai-loan
https://techcombank.com/thong-tin/blog/1-man-bang-bao-nhieu-tien-viet
https://techcombank.com/thong-tin/blog/tien-thai-lan
https://techcombank.com/thong-tin/blog/1-trieu-do-bang-bao-nhieu-tien-viet
https://techcombank.com/thong-tin/blog/1000-won-bang-bao-nhieu-tien-viet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10" t="str">
        <f>IFERROR(__xludf.DUMMYFUNCTION("""COMPUTED_VALUE"""),"https://techcombank.com/thong-tin/blog/1-won-bang-bao-nhieu-tien-viet")</f>
        <v>https://techcombank.com/thong-tin/blog/1-won-bang-bao-nhieu-tien-viet</v>
      </c>
      <c r="B70" s="11">
        <f>IFERROR(__xludf.DUMMYFUNCTION("""COMPUTED_VALUE"""),9.0)</f>
        <v>9</v>
      </c>
      <c r="C70" s="7" t="str">
        <f>IFERROR(__xludf.DUMMYFUNCTION("IF(A70="""","""",TEXTJOIN(CHAR(10),TRUE,FILTER('Tổng hợp 75 trang đích'!$B$2:$B$3400,'Tổng hợp 75 trang đích'!$I$2:$I$3400=A70)))"),"https://techcombank.com/thong-tin/blog/1-te-bang-bao-nhieu-tien-viet-nam
https://techcombank.com/thong-tin/blog/1-dong-do-la-my-bang-bao-nhieu-tien-viet-nam
https://techcombank.com/thong-tin/blog/tien-nhat
https://techcombank.com/thong-tin/blog/1-yen-bang"&amp;"-bao-nhieu-tien-viet-nam
https://techcombank.com/thong-tin/blog/tien-dai-loan
https://techcombank.com/thong-tin/blog/1-man-bang-bao-nhieu-tien-viet
https://techcombank.com/thong-tin/blog/tien-thai-lan
https://techcombank.com/thong-tin/blog/1-trieu-do-bang"&amp;"-bao-nhieu-tien-viet
https://techcombank.com/thong-tin/blog/1000-won-bang-bao-nhieu-tien-viet")</f>
        <v>https://techcombank.com/thong-tin/blog/1-te-bang-bao-nhieu-tien-viet-nam
https://techcombank.com/thong-tin/blog/1-dong-do-la-my-bang-bao-nhieu-tien-viet-nam
https://techcombank.com/thong-tin/blog/tien-nhat
https://techcombank.com/thong-tin/blog/1-yen-bang-bao-nhieu-tien-viet-nam
https://techcombank.com/thong-tin/blog/tien-dai-loan
https://techcombank.com/thong-tin/blog/1-man-bang-bao-nhieu-tien-viet
https://techcombank.com/thong-tin/blog/tien-thai-lan
https://techcombank.com/thong-tin/blog/1-trieu-do-bang-bao-nhieu-tien-viet
https://techcombank.com/thong-tin/blog/1000-won-bang-bao-nhieu-tien-viet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10" t="str">
        <f>IFERROR(__xludf.DUMMYFUNCTION("""COMPUTED_VALUE"""),"https://techcombank.com/thong-tin/blog/bao-hiem-vat-chat-xe-o-to")</f>
        <v>https://techcombank.com/thong-tin/blog/bao-hiem-vat-chat-xe-o-to</v>
      </c>
      <c r="B71" s="11">
        <f>IFERROR(__xludf.DUMMYFUNCTION("""COMPUTED_VALUE"""),9.0)</f>
        <v>9</v>
      </c>
      <c r="C71" s="7" t="str">
        <f>IFERROR(__xludf.DUMMYFUNCTION("IF(A71="""","""",TEXTJOIN(CHAR(10),TRUE,FILTER('Tổng hợp 75 trang đích'!$B$2:$B$3400,'Tổng hợp 75 trang đích'!$I$2:$I$3400=A71)))"),"https://techcombank.com/thong-tin/blog/lai-suat-vay-mua-o-to
https://techcombank.com/thong-tin/blog/ngan-hang-uy-tin
https://techcombank.com/thong-tin/blog/cic-la-gi
https://techcombank.com/thong-tin/blog/lai-suat-tiet-kiem
https://techcombank.com/thong-t"&amp;"in/blog/cach-tinh-lai-suat-tien-gui-tiet-kiem
https://techcombank.com/cong-cu-tien-ich/cong-cu-tinh-toan/bang-tinh-lai-suat-vay
https://techcombank.com/thong-tin/blog/app-vay-tien-nhanh
https://techcombank.com/thong-tin/blog/lai-suat-vay-ngan-hang
https:/"&amp;"/techcombank.com/thong-tin/blog/vay-thau-chi-la-gi")</f>
        <v>https://techcombank.com/thong-tin/blog/lai-suat-vay-mua-o-to
https://techcombank.com/thong-tin/blog/ngan-hang-uy-tin
https://techcombank.com/thong-tin/blog/cic-la-gi
https://techcombank.com/thong-tin/blog/lai-suat-tiet-kiem
https://techcombank.com/thong-tin/blog/cach-tinh-lai-suat-tien-gui-tiet-kiem
https://techcombank.com/cong-cu-tien-ich/cong-cu-tinh-toan/bang-tinh-lai-suat-vay
https://techcombank.com/thong-tin/blog/app-vay-tien-nhanh
https://techcombank.com/thong-tin/blog/lai-suat-vay-ngan-hang
https://techcombank.com/thong-tin/blog/vay-thau-chi-la-gi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10" t="str">
        <f>IFERROR(__xludf.DUMMYFUNCTION("""COMPUTED_VALUE"""),"https://techcombank.com/thong-tin/blog/bi-quyet-tiet-kiem-tien-mua-nha")</f>
        <v>https://techcombank.com/thong-tin/blog/bi-quyet-tiet-kiem-tien-mua-nha</v>
      </c>
      <c r="B72" s="11">
        <f>IFERROR(__xludf.DUMMYFUNCTION("""COMPUTED_VALUE"""),9.0)</f>
        <v>9</v>
      </c>
      <c r="C72" s="7" t="str">
        <f>IFERROR(__xludf.DUMMYFUNCTION("IF(A72="""","""",TEXTJOIN(CHAR(10),TRUE,FILTER('Tổng hợp 75 trang đích'!$B$2:$B$3400,'Tổng hợp 75 trang đích'!$I$2:$I$3400=A72)))"),"https://techcombank.com/thong-tin/blog/cach-tinh-thue-thu-nhap-ca-nhan-2025
https://techcombank.com/thong-tin/blog/kiem-tra-thue-thu-nhap-ca-nhan
https://techcombank.com/thong-tin/blog/lai-suat-chung-chi-tien-gui-cac-ngan-hang
https://techcombank.com/thon"&amp;"g-tin/blog/lai-suat-tiet-kiem
https://techcombank.com/thong-tin/blog/cach-tinh-lai-suat-tien-gui-tiet-kiem
https://techcombank.com/cong-cu-tien-ich/cong-cu-tinh-toan/bang-tinh-lai-suat-vay
https://techcombank.com/cong-cu-tien-ich/cong-cu-tinh-toan/bang-ti"&amp;"nh-lai-suat-tiet-kiem
https://techcombank.com/thong-tin/blog/app-vay-tien-nhanh
https://techcombank.com/thong-tin/blog/lai-suat-vay-ngan-hang")</f>
        <v>https://techcombank.com/thong-tin/blog/cach-tinh-thue-thu-nhap-ca-nhan-2025
https://techcombank.com/thong-tin/blog/kiem-tra-thue-thu-nhap-ca-nhan
https://techcombank.com/thong-tin/blog/lai-suat-chung-chi-tien-gui-cac-ngan-hang
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
https://techcombank.com/thong-tin/blog/lai-suat-vay-ngan-hang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10" t="str">
        <f>IFERROR(__xludf.DUMMYFUNCTION("""COMPUTED_VALUE"""),"https://techcombank.com/thong-tin/blog/cac-sai-lam-pho-bien-khi-chuyen-doi-ho-kinh-doanh-len-sme")</f>
        <v>https://techcombank.com/thong-tin/blog/cac-sai-lam-pho-bien-khi-chuyen-doi-ho-kinh-doanh-len-sme</v>
      </c>
      <c r="B73" s="11">
        <f>IFERROR(__xludf.DUMMYFUNCTION("""COMPUTED_VALUE"""),9.0)</f>
        <v>9</v>
      </c>
      <c r="C73" s="7" t="str">
        <f>IFERROR(__xludf.DUMMYFUNCTION("IF(A73="""","""",TEXTJOIN(CHAR(10),TRUE,FILTER('Tổng hợp 75 trang đích'!$B$2:$B$3400,'Tổng hợp 75 trang đích'!$I$2:$I$3400=A73)))"),"https://techcombank.com/thong-tin/blog/nop-thue-dat-qua-ngan-hang
https://techcombank.com/thong-tin/blog/cach-nop-thue-dien-tu
https://techcombank.com/thong-tin/blog/thue-thu-nhap-doanh-nghiep
https://techcombank.com/thong-tin/blog/thue-doanh-nghiep
https"&amp;"://techcombank.com/thong-tin/blog/ho-kinh-doanh-dong-thue-nhu-nao
https://techcombank.com/thong-tin/blog/mo-hinh-kinh-doanh-la-gi
https://techcombank.com/thong-tin/blog/mo-tai-khoan-ho-kinh-doanh
https://techcombank.com/thong-tin/blog/cach-tinh-thue-ho-ki"&amp;"nh-doanh-nho-le
https://techcombank.com/thong-tin/blog/rui-ro-khi-gui-tiet-kiem-online")</f>
        <v>https://techcombank.com/thong-tin/blog/nop-thue-dat-qua-ngan-hang
https://techcombank.com/thong-tin/blog/cach-nop-thue-dien-tu
https://techcombank.com/thong-tin/blog/thue-thu-nhap-doanh-nghiep
https://techcombank.com/thong-tin/blog/thue-doanh-nghiep
https://techcombank.com/thong-tin/blog/ho-kinh-doanh-dong-thue-nhu-nao
https://techcombank.com/thong-tin/blog/mo-hinh-kinh-doanh-la-gi
https://techcombank.com/thong-tin/blog/mo-tai-khoan-ho-kinh-doanh
https://techcombank.com/thong-tin/blog/cach-tinh-thue-ho-kinh-doanh-nho-le
https://techcombank.com/thong-tin/blog/rui-ro-khi-gui-tiet-kiem-online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10" t="str">
        <f>IFERROR(__xludf.DUMMYFUNCTION("""COMPUTED_VALUE"""),"https://techcombank.com/thong-tin/blog/cach-chuyen-khoan-bang-dien-thoai")</f>
        <v>https://techcombank.com/thong-tin/blog/cach-chuyen-khoan-bang-dien-thoai</v>
      </c>
      <c r="B74" s="11">
        <f>IFERROR(__xludf.DUMMYFUNCTION("""COMPUTED_VALUE"""),9.0)</f>
        <v>9</v>
      </c>
      <c r="C74" s="7" t="str">
        <f>IFERROR(__xludf.DUMMYFUNCTION("IF(A74="""","""",TEXTJOIN(CHAR(10),TRUE,FILTER('Tổng hợp 75 trang đích'!$B$2:$B$3400,'Tổng hợp 75 trang đích'!$I$2:$I$3400=A74)))"),"https://techcombank.com/thong-tin/blog/cach-nap-the-viettel
https://techcombank.com/thong-tin/blog/cach-tinh-tien-dien-sinh-hoat
https://techcombank.com/thong-tin/blog/cach-kiem-tra-tai-khoan-ngan-hang
https://techcombank.com/thong-tin/blog/chuyen-khoan-t"&amp;"hanh-cong-nhung-khong-nhan-duoc-tien
https://techcombank.com/thong-tin/blog/mo-tai-khoan-ngan-hang-duoi-18-tuoi
https://techcombank.com/thong-tin/blog/day-so-phat-tai-phat-loc
https://techcombank.com/thong-tin/blog/cach-quet-nfc-cccd-tren-iphone
https://t"&amp;"echcombank.com/thong-tin/blog/gui-ma-qr-ngan-hang
https://techcombank.com/thong-tin/blog/app-vay-tien-nhanh")</f>
        <v>https://techcombank.com/thong-tin/blog/cach-nap-the-viettel
https://techcombank.com/thong-tin/blog/cach-tinh-tien-dien-sinh-hoat
https://techcombank.com/thong-tin/blog/cach-kiem-tra-tai-khoan-ngan-hang
https://techcombank.com/thong-tin/blog/chuyen-khoan-thanh-cong-nhung-khong-nhan-duoc-tien
https://techcombank.com/thong-tin/blog/mo-tai-khoan-ngan-hang-duoi-18-tuoi
https://techcombank.com/thong-tin/blog/day-so-phat-tai-phat-loc
https://techcombank.com/thong-tin/blog/cach-quet-nfc-cccd-tren-iphone
https://techcombank.com/thong-tin/blog/gui-ma-qr-ngan-hang
https://techcombank.com/thong-tin/blog/app-vay-tien-nhanh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10" t="str">
        <f>IFERROR(__xludf.DUMMYFUNCTION("""COMPUTED_VALUE"""),"https://techcombank.com/thong-tin/blog/cach-chuyen-tien")</f>
        <v>https://techcombank.com/thong-tin/blog/cach-chuyen-tien</v>
      </c>
      <c r="B75" s="11">
        <f>IFERROR(__xludf.DUMMYFUNCTION("""COMPUTED_VALUE"""),9.0)</f>
        <v>9</v>
      </c>
      <c r="C75" s="7" t="str">
        <f>IFERROR(__xludf.DUMMYFUNCTION("IF(A75="""","""",TEXTJOIN(CHAR(10),TRUE,FILTER('Tổng hợp 75 trang đích'!$B$2:$B$3400,'Tổng hợp 75 trang đích'!$I$2:$I$3400=A75)))"),"https://techcombank.com/thong-tin/blog/cach-nap-the-viettel
https://techcombank.com/thong-tin/blog/cach-tinh-tien-dien-sinh-hoat
https://techcombank.com/thong-tin/blog/cach-kiem-tra-tai-khoan-ngan-hang
https://techcombank.com/thong-tin/blog/chuyen-khoan-t"&amp;"hanh-cong-nhung-khong-nhan-duoc-tien
https://techcombank.com/thong-tin/blog/bao-nhieu-tuoi-duoc-mo-tai-khoan-ngan-hang
https://techcombank.com/thong-tin/blog/mo-tai-khoan-ngan-hang-duoi-18-tuoi
https://techcombank.com/thong-tin/blog/day-so-phat-tai-phat-l"&amp;"oc
https://techcombank.com/thong-tin/blog/cach-quet-nfc-cccd-tren-iphone
https://techcombank.com/thong-tin/blog/gui-ma-qr-ngan-hang")</f>
        <v>https://techcombank.com/thong-tin/blog/cach-nap-the-viettel
https://techcombank.com/thong-tin/blog/cach-tinh-tien-dien-sinh-hoat
https://techcombank.com/thong-tin/blog/cach-kiem-tra-tai-khoan-ngan-hang
https://techcombank.com/thong-tin/blog/chuyen-khoan-thanh-cong-nhung-khong-nhan-duoc-tien
https://techcombank.com/thong-tin/blog/bao-nhieu-tuoi-duoc-mo-tai-khoan-ngan-hang
https://techcombank.com/thong-tin/blog/mo-tai-khoan-ngan-hang-duoi-18-tuoi
https://techcombank.com/thong-tin/blog/day-so-phat-tai-phat-loc
https://techcombank.com/thong-tin/blog/cach-quet-nfc-cccd-tren-iphone
https://techcombank.com/thong-tin/blog/gui-ma-qr-ngan-hang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10" t="str">
        <f>IFERROR(__xludf.DUMMYFUNCTION("""COMPUTED_VALUE"""),"https://techcombank.com/thong-tin/blog/cach-nop-thue-dien-tu")</f>
        <v>https://techcombank.com/thong-tin/blog/cach-nop-thue-dien-tu</v>
      </c>
      <c r="B76" s="11">
        <f>IFERROR(__xludf.DUMMYFUNCTION("""COMPUTED_VALUE"""),9.0)</f>
        <v>9</v>
      </c>
      <c r="C76" s="7" t="str">
        <f>IFERROR(__xludf.DUMMYFUNCTION("IF(A76="""","""",TEXTJOIN(CHAR(10),TRUE,FILTER('Tổng hợp 75 trang đích'!$B$2:$B$3400,'Tổng hợp 75 trang đích'!$I$2:$I$3400=A76)))"),"https://techcombank.com/thong-tin/blog/nop-thue-dat-qua-ngan-hang
https://techcombank.com/thong-tin/blog/thue-thu-nhap-doanh-nghiep
https://techcombank.com/thong-tin/blog/thue-vat-la-gi
https://techcombank.com/thong-tin/blog/tra-cuu-no-thue-doanh-nghiep
h"&amp;"ttps://techcombank.com/thong-tin/blog/thue-doanh-nghiep
https://techcombank.com/thong-tin/blog/cong-ty-su-dung-tai-khoan-ca-nhan
https://techcombank.com/thong-tin/blog/cach-tinh-thue-thu-nhap-ca-nhan-2025
https://techcombank.com/thong-tin/blog/kiem-tra-th"&amp;"ue-thu-nhap-ca-nhan
https://techcombank.com/thong-tin/blog/thue-thu-nhap-ca-nhan")</f>
        <v>https://techcombank.com/thong-tin/blog/nop-thue-dat-qua-ngan-hang
https://techcombank.com/thong-tin/blog/thue-thu-nhap-doanh-nghiep
https://techcombank.com/thong-tin/blog/thue-vat-la-gi
https://techcombank.com/thong-tin/blog/tra-cuu-no-thue-doanh-nghiep
https://techcombank.com/thong-tin/blog/thue-doanh-nghiep
https://techcombank.com/thong-tin/blog/cong-ty-su-dung-tai-khoan-ca-nhan
https://techcombank.com/thong-tin/blog/cach-tinh-thue-thu-nhap-ca-nhan-2025
https://techcombank.com/thong-tin/blog/kiem-tra-thue-thu-nhap-ca-nhan
https://techcombank.com/thong-tin/blog/thue-thu-nhap-ca-nhan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10" t="str">
        <f>IFERROR(__xludf.DUMMYFUNCTION("""COMPUTED_VALUE"""),"https://techcombank.com/thong-tin/blog/cach-su-dung-the-tin-dung")</f>
        <v>https://techcombank.com/thong-tin/blog/cach-su-dung-the-tin-dung</v>
      </c>
      <c r="B77" s="11">
        <f>IFERROR(__xludf.DUMMYFUNCTION("""COMPUTED_VALUE"""),9.0)</f>
        <v>9</v>
      </c>
      <c r="C77" s="7" t="str">
        <f>IFERROR(__xludf.DUMMYFUNCTION("IF(A77="""","""",TEXTJOIN(CHAR(10),TRUE,FILTER('Tổng hợp 75 trang đích'!$B$2:$B$3400,'Tổng hợp 75 trang đích'!$I$2:$I$3400=A77)))"),"https://techcombank.com/thong-tin/blog/cic-la-gi
https://techcombank.com/thong-tin/blog/rut-tien-mat-tu-the-tin-dung
https://techcombank.com/thong-tin/blog/the-tin-dung-hoan-tien
https://techcombank.com/thong-tin/blog/cach-tinh-lai-vay-ngan-hang
https://t"&amp;"echcombank.com/thong-tin/blog/lai-suat-tiet-kiem
https://techcombank.com/thong-tin/blog/cach-tinh-lai-suat-tien-gui-tiet-kiem
https://techcombank.com/thong-tin/blog/rut-tien-tiet-kiem-truoc-thoi-han
https://techcombank.com/cong-cu-tien-ich/cong-cu-tinh-to"&amp;"an/bang-tinh-lai-suat-vay
https://techcombank.com/thong-tin/blog/app-vay-tien-nhanh")</f>
        <v>https://techcombank.com/thong-tin/blog/cic-la-gi
https://techcombank.com/thong-tin/blog/rut-tien-mat-tu-the-tin-dung
https://techcombank.com/thong-tin/blog/the-tin-dung-hoan-tien
https://techcombank.com/thong-tin/blog/cach-tinh-lai-vay-ngan-hang
https://techcombank.com/thong-tin/blog/lai-suat-tiet-kiem
https://techcombank.com/thong-tin/blog/cach-tinh-lai-suat-tien-gui-tiet-kiem
https://techcombank.com/thong-tin/blog/rut-tien-tiet-kiem-truoc-thoi-han
https://techcombank.com/cong-cu-tien-ich/cong-cu-tinh-toan/bang-tinh-lai-suat-vay
https://techcombank.com/thong-tin/blog/app-vay-tien-nhanh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10" t="str">
        <f>IFERROR(__xludf.DUMMYFUNCTION("""COMPUTED_VALUE"""),"https://techcombank.com/thong-tin/blog/cho-vay-kinh-doanh-ho-gia-dinh")</f>
        <v>https://techcombank.com/thong-tin/blog/cho-vay-kinh-doanh-ho-gia-dinh</v>
      </c>
      <c r="B78" s="11">
        <f>IFERROR(__xludf.DUMMYFUNCTION("""COMPUTED_VALUE"""),9.0)</f>
        <v>9</v>
      </c>
      <c r="C78" s="7" t="str">
        <f>IFERROR(__xludf.DUMMYFUNCTION("IF(A78="""","""",TEXTJOIN(CHAR(10),TRUE,FILTER('Tổng hợp 75 trang đích'!$B$2:$B$3400,'Tổng hợp 75 trang đích'!$I$2:$I$3400=A78)))"),"https://techcombank.com/thong-tin/blog/mo-tai-khoan-ngan-hang-duoi-18-tuoi
https://techcombank.com/thong-tin/blog/cic-la-gi
https://techcombank.com/thong-tin/blog/lai-suat-tiet-kiem
https://techcombank.com/thong-tin/blog/cach-tinh-lai-suat-tien-gui-tiet-k"&amp;"iem
https://techcombank.com/cong-cu-tien-ich/cong-cu-tinh-toan/bang-tinh-lai-suat-vay
https://techcombank.com/cong-cu-tien-ich/cong-cu-tinh-toan/bang-tinh-lai-suat-tiet-kiem
https://techcombank.com/thong-tin/blog/app-vay-tien-nhanh
https://techcombank.com"&amp;"/thong-tin/blog/lai-suat-vay-ngan-hang
https://techcombank.com/thong-tin/blog/vay-thau-chi-la-gi")</f>
        <v>https://techcombank.com/thong-tin/blog/mo-tai-khoan-ngan-hang-duoi-18-tuoi
https://techcombank.com/thong-tin/blog/cic-la-gi
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
https://techcombank.com/thong-tin/blog/lai-suat-vay-ngan-hang
https://techcombank.com/thong-tin/blog/vay-thau-chi-la-gi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10" t="str">
        <f>IFERROR(__xludf.DUMMYFUNCTION("""COMPUTED_VALUE"""),"https://techcombank.com/thong-tin/blog/cho-vay-tieu-dung-la-gi")</f>
        <v>https://techcombank.com/thong-tin/blog/cho-vay-tieu-dung-la-gi</v>
      </c>
      <c r="B79" s="11">
        <f>IFERROR(__xludf.DUMMYFUNCTION("""COMPUTED_VALUE"""),9.0)</f>
        <v>9</v>
      </c>
      <c r="C79" s="7" t="str">
        <f>IFERROR(__xludf.DUMMYFUNCTION("IF(A79="""","""",TEXTJOIN(CHAR(10),TRUE,FILTER('Tổng hợp 75 trang đích'!$B$2:$B$3400,'Tổng hợp 75 trang đích'!$I$2:$I$3400=A79)))"),"https://techcombank.com/thong-tin/blog/cach-sao-ke-tai-khoan-ngan-hang
https://techcombank.com/thong-tin/blog/xep-hang-tin-dung
https://techcombank.com/thong-tin/blog/lai-suat-tiet-kiem
https://techcombank.com/thong-tin/blog/cach-tinh-lai-suat-tien-gui-ti"&amp;"et-kiem
https://techcombank.com/cong-cu-tien-ich/cong-cu-tinh-toan/bang-tinh-lai-suat-vay
https://techcombank.com/cong-cu-tien-ich/cong-cu-tinh-toan/bang-tinh-lai-suat-tiet-kiem
https://techcombank.com/thong-tin/blog/app-vay-tien-nhanh
https://techcombank"&amp;".com/thong-tin/blog/lai-suat-vay-ngan-hang
https://techcombank.com/thong-tin/blog/nen-vay-tin-chap-o-dau")</f>
        <v>https://techcombank.com/thong-tin/blog/cach-sao-ke-tai-khoan-ngan-hang
https://techcombank.com/thong-tin/blog/xep-hang-tin-dung
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
https://techcombank.com/thong-tin/blog/lai-suat-vay-ngan-hang
https://techcombank.com/thong-tin/blog/nen-vay-tin-chap-o-dau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10" t="str">
        <f>IFERROR(__xludf.DUMMYFUNCTION("""COMPUTED_VALUE"""),"https://techcombank.com/thong-tin/blog/dieu-kien-vay-the-chap")</f>
        <v>https://techcombank.com/thong-tin/blog/dieu-kien-vay-the-chap</v>
      </c>
      <c r="B80" s="11">
        <f>IFERROR(__xludf.DUMMYFUNCTION("""COMPUTED_VALUE"""),9.0)</f>
        <v>9</v>
      </c>
      <c r="C80" s="7" t="str">
        <f>IFERROR(__xludf.DUMMYFUNCTION("IF(A80="""","""",TEXTJOIN(CHAR(10),TRUE,FILTER('Tổng hợp 75 trang đích'!$B$2:$B$3400,'Tổng hợp 75 trang đích'!$I$2:$I$3400=A80)))"),"https://techcombank.com/thong-tin/blog/cach-tinh-thue-thu-nhap-ca-nhan-2025
https://techcombank.com/thong-tin/blog/bao-nhieu-tuoi-duoc-mo-tai-khoan-ngan-hang
https://techcombank.com/thong-tin/blog/cic-la-gi
https://techcombank.com/thong-tin/blog/xep-hang-"&amp;"tin-dung
https://techcombank.com/thong-tin/blog/lai-suat-vay-the-chap-so-do
https://techcombank.com/cong-cu-tien-ich/cong-cu-tinh-toan/bang-tinh-lai-suat-vay
https://techcombank.com/thong-tin/blog/app-vay-tien-nhanh
https://techcombank.com/thong-tin/blog/"&amp;"kiem-tra-no-xau
https://techcombank.com/thong-tin/blog/no-xau-la-gi")</f>
        <v>https://techcombank.com/thong-tin/blog/cach-tinh-thue-thu-nhap-ca-nhan-2025
https://techcombank.com/thong-tin/blog/bao-nhieu-tuoi-duoc-mo-tai-khoan-ngan-hang
https://techcombank.com/thong-tin/blog/cic-la-gi
https://techcombank.com/thong-tin/blog/xep-hang-tin-dung
https://techcombank.com/thong-tin/blog/lai-suat-vay-the-chap-so-do
https://techcombank.com/cong-cu-tien-ich/cong-cu-tinh-toan/bang-tinh-lai-suat-vay
https://techcombank.com/thong-tin/blog/app-vay-tien-nhanh
https://techcombank.com/thong-tin/blog/kiem-tra-no-xau
https://techcombank.com/thong-tin/blog/no-xau-la-gi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10" t="str">
        <f>IFERROR(__xludf.DUMMYFUNCTION("""COMPUTED_VALUE"""),"https://techcombank.com/thong-tin/blog/du-no-tin-dung-la-gi")</f>
        <v>https://techcombank.com/thong-tin/blog/du-no-tin-dung-la-gi</v>
      </c>
      <c r="B81" s="11">
        <f>IFERROR(__xludf.DUMMYFUNCTION("""COMPUTED_VALUE"""),9.0)</f>
        <v>9</v>
      </c>
      <c r="C81" s="7" t="str">
        <f>IFERROR(__xludf.DUMMYFUNCTION("IF(A81="""","""",TEXTJOIN(CHAR(10),TRUE,FILTER('Tổng hợp 75 trang đích'!$B$2:$B$3400,'Tổng hợp 75 trang đích'!$I$2:$I$3400=A81)))"),"https://techcombank.com/thong-tin/blog/cic-la-gi
https://techcombank.com/thong-tin/blog/xep-hang-tin-dung
https://techcombank.com/thong-tin/blog/cach-tinh-lai-vay-ngan-hang
https://techcombank.com/thong-tin/blog/lai-suat-tiet-kiem
https://techcombank.com/"&amp;"cong-cu-tien-ich/cong-cu-tinh-toan/bang-tinh-lai-suat-vay
https://techcombank.com/thong-tin/blog/app-vay-tien-nhanh
https://techcombank.com/thong-tin/blog/lai-suat-vay-ngan-hang
https://techcombank.com/thong-tin/blog/kiem-tra-no-xau
https://techcombank.co"&amp;"m/thong-tin/blog/no-xau-la-gi")</f>
        <v>https://techcombank.com/thong-tin/blog/cic-la-gi
https://techcombank.com/thong-tin/blog/xep-hang-tin-dung
https://techcombank.com/thong-tin/blog/cach-tinh-lai-vay-ngan-hang
https://techcombank.com/thong-tin/blog/lai-suat-tiet-kiem
https://techcombank.com/cong-cu-tien-ich/cong-cu-tinh-toan/bang-tinh-lai-suat-vay
https://techcombank.com/thong-tin/blog/app-vay-tien-nhanh
https://techcombank.com/thong-tin/blog/lai-suat-vay-ngan-hang
https://techcombank.com/thong-tin/blog/kiem-tra-no-xau
https://techcombank.com/thong-tin/blog/no-xau-la-gi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10" t="str">
        <f>IFERROR(__xludf.DUMMYFUNCTION("""COMPUTED_VALUE"""),"https://techcombank.com/thong-tin/blog/han-muc-thau-chi-la-gi")</f>
        <v>https://techcombank.com/thong-tin/blog/han-muc-thau-chi-la-gi</v>
      </c>
      <c r="B82" s="11">
        <f>IFERROR(__xludf.DUMMYFUNCTION("""COMPUTED_VALUE"""),9.0)</f>
        <v>9</v>
      </c>
      <c r="C82" s="7" t="str">
        <f>IFERROR(__xludf.DUMMYFUNCTION("IF(A82="""","""",TEXTJOIN(CHAR(10),TRUE,FILTER('Tổng hợp 75 trang đích'!$B$2:$B$3400,'Tổng hợp 75 trang đích'!$I$2:$I$3400=A82)))"),"https://techcombank.com/thong-tin/blog/cach-tinh-thue-thu-nhap-ca-nhan-2025
https://techcombank.com/thong-tin/blog/cic-la-gi
https://techcombank.com/thong-tin/blog/xep-hang-tin-dung
https://techcombank.com/cong-cu-tien-ich/cong-cu-tinh-toan/bang-tinh-lai-"&amp;"suat-vay
https://techcombank.com/thong-tin/blog/app-vay-tien-nhanh
https://techcombank.com/thong-tin/blog/lai-suat-vay-ngan-hang
https://techcombank.com/thong-tin/blog/vay-thau-chi-la-gi
https://techcombank.com/thong-tin/blog/kiem-tra-no-xau
https://techc"&amp;"ombank.com/thong-tin/blog/no-xau-la-gi")</f>
        <v>https://techcombank.com/thong-tin/blog/cach-tinh-thue-thu-nhap-ca-nhan-2025
https://techcombank.com/thong-tin/blog/cic-la-gi
https://techcombank.com/thong-tin/blog/xep-hang-tin-dung
https://techcombank.com/cong-cu-tien-ich/cong-cu-tinh-toan/bang-tinh-lai-suat-vay
https://techcombank.com/thong-tin/blog/app-vay-tien-nhanh
https://techcombank.com/thong-tin/blog/lai-suat-vay-ngan-hang
https://techcombank.com/thong-tin/blog/vay-thau-chi-la-gi
https://techcombank.com/thong-tin/blog/kiem-tra-no-xau
https://techcombank.com/thong-tin/blog/no-xau-la-gi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10" t="str">
        <f>IFERROR(__xludf.DUMMYFUNCTION("""COMPUTED_VALUE"""),"https://techcombank.com/thong-tin/blog/kinh-nghiem-vay-the-chap-ngan-hang")</f>
        <v>https://techcombank.com/thong-tin/blog/kinh-nghiem-vay-the-chap-ngan-hang</v>
      </c>
      <c r="B83" s="11">
        <f>IFERROR(__xludf.DUMMYFUNCTION("""COMPUTED_VALUE"""),9.0)</f>
        <v>9</v>
      </c>
      <c r="C83" s="7" t="str">
        <f>IFERROR(__xludf.DUMMYFUNCTION("IF(A83="""","""",TEXTJOIN(CHAR(10),TRUE,FILTER('Tổng hợp 75 trang đích'!$B$2:$B$3400,'Tổng hợp 75 trang đích'!$I$2:$I$3400=A83)))"),"https://techcombank.com/thong-tin/blog/vay-ngan-hang-1-ty-moi-thang-tra-bao-nhieu
https://techcombank.com/thong-tin/blog/lai-suat-vay-the-chap-so-do
https://techcombank.com/thong-tin/blog/ho-so-thu-tuc-xoa-the-chap
https://techcombank.com/thong-tin/blog/l"&amp;"ai-suat-tiet-kiem
https://techcombank.com/thong-tin/blog/cach-tinh-lai-suat-tien-gui-tiet-kiem
https://techcombank.com/cong-cu-tien-ich/cong-cu-tinh-toan/bang-tinh-lai-suat-vay
https://techcombank.com/cong-cu-tien-ich/cong-cu-tinh-toan/bang-tinh-lai-suat-"&amp;"tiet-kiem
https://techcombank.com/thong-tin/blog/app-vay-tien-nhanh
https://techcombank.com/thong-tin/blog/lai-suat-vay-ngan-hang")</f>
        <v>https://techcombank.com/thong-tin/blog/vay-ngan-hang-1-ty-moi-thang-tra-bao-nhieu
https://techcombank.com/thong-tin/blog/lai-suat-vay-the-chap-so-do
https://techcombank.com/thong-tin/blog/ho-so-thu-tuc-xoa-the-chap
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
https://techcombank.com/thong-tin/blog/lai-suat-vay-ngan-hang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10" t="str">
        <f>IFERROR(__xludf.DUMMYFUNCTION("""COMPUTED_VALUE"""),"https://techcombank.com/thong-tin/blog/lai-suat-tiet-kiem")</f>
        <v>https://techcombank.com/thong-tin/blog/lai-suat-tiet-kiem</v>
      </c>
      <c r="B84" s="11">
        <f>IFERROR(__xludf.DUMMYFUNCTION("""COMPUTED_VALUE"""),9.0)</f>
        <v>9</v>
      </c>
      <c r="C84" s="7" t="str">
        <f>IFERROR(__xludf.DUMMYFUNCTION("IF(A84="""","""",TEXTJOIN(CHAR(10),TRUE,FILTER('Tổng hợp 75 trang đích'!$B$2:$B$3400,'Tổng hợp 75 trang đích'!$I$2:$I$3400=A84)))"),"https://techcombank.com/thong-tin/blog/thue-thu-nhap-doanh-nghiep
https://techcombank.com/thong-tin/blog/cach-tinh-thue-thu-nhap-doanh-nghiep
https://techcombank.com/thong-tin/blog/ngan-hang-uy-tin
https://techcombank.com/thong-tin/blog/chung-chi-tien-gui"&amp;"-la-gi
https://techcombank.com/thong-tin/blog/lai-suat-chung-chi-tien-gui-cac-ngan-hang
https://techcombank.com/thong-tin/blog/cach-tinh-lai-suat-tien-gui-tiet-kiem
https://techcombank.com/thong-tin/blog/so-tiet-kiem-ngan-hang
https://techcombank.com/cong"&amp;"-cu-tien-ich/cong-cu-tinh-toan/bang-tinh-lai-suat-tiet-kiem
https://techcombank.com/thong-tin/blog/app-vay-tien-nhanh")</f>
        <v>https://techcombank.com/thong-tin/blog/thue-thu-nhap-doanh-nghiep
https://techcombank.com/thong-tin/blog/cach-tinh-thue-thu-nhap-doanh-nghiep
https://techcombank.com/thong-tin/blog/ngan-hang-uy-tin
https://techcombank.com/thong-tin/blog/chung-chi-tien-gui-la-gi
https://techcombank.com/thong-tin/blog/lai-suat-chung-chi-tien-gui-cac-ngan-hang
https://techcombank.com/thong-tin/blog/cach-tinh-lai-suat-tien-gui-tiet-kiem
https://techcombank.com/thong-tin/blog/so-tiet-kiem-ngan-hang
https://techcombank.com/cong-cu-tien-ich/cong-cu-tinh-toan/bang-tinh-lai-suat-tiet-kiem
https://techcombank.com/thong-tin/blog/app-vay-tien-nhanh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10" t="str">
        <f>IFERROR(__xludf.DUMMYFUNCTION("""COMPUTED_VALUE"""),"https://techcombank.com/thong-tin/blog/lai-suat-vay-thau-chi")</f>
        <v>https://techcombank.com/thong-tin/blog/lai-suat-vay-thau-chi</v>
      </c>
      <c r="B85" s="11">
        <f>IFERROR(__xludf.DUMMYFUNCTION("""COMPUTED_VALUE"""),9.0)</f>
        <v>9</v>
      </c>
      <c r="C85" s="7" t="str">
        <f>IFERROR(__xludf.DUMMYFUNCTION("IF(A85="""","""",TEXTJOIN(CHAR(10),TRUE,FILTER('Tổng hợp 75 trang đích'!$B$2:$B$3400,'Tổng hợp 75 trang đích'!$I$2:$I$3400=A85)))"),"https://techcombank.com/thong-tin/blog/lai-suat-vay-mua-o-to
https://techcombank.com/thong-tin/blog/cach-tinh-lai-vay-ngan-hang
https://techcombank.com/thong-tin/blog/lai-suat-tiet-kiem
https://techcombank.com/thong-tin/blog/cach-tinh-lai-suat-tien-gui-ti"&amp;"et-kiem
https://techcombank.com/cong-cu-tien-ich/cong-cu-tinh-toan/bang-tinh-lai-suat-vay
https://techcombank.com/cong-cu-tien-ich/cong-cu-tinh-toan/bang-tinh-lai-suat-tiet-kiem
https://techcombank.com/thong-tin/blog/app-vay-tien-nhanh
https://techcombank"&amp;".com/thong-tin/blog/lai-suat-vay-ngan-hang
https://techcombank.com/thong-tin/blog/vay-thau-chi-la-gi")</f>
        <v>https://techcombank.com/thong-tin/blog/lai-suat-vay-mua-o-to
https://techcombank.com/thong-tin/blog/cach-tinh-lai-vay-ngan-hang
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
https://techcombank.com/thong-tin/blog/lai-suat-vay-ngan-hang
https://techcombank.com/thong-tin/blog/vay-thau-chi-la-gi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10" t="str">
        <f>IFERROR(__xludf.DUMMYFUNCTION("""COMPUTED_VALUE"""),"https://techcombank.com/thong-tin/blog/lai-suat-vay-tieu-dung")</f>
        <v>https://techcombank.com/thong-tin/blog/lai-suat-vay-tieu-dung</v>
      </c>
      <c r="B86" s="11">
        <f>IFERROR(__xludf.DUMMYFUNCTION("""COMPUTED_VALUE"""),9.0)</f>
        <v>9</v>
      </c>
      <c r="C86" s="7" t="str">
        <f>IFERROR(__xludf.DUMMYFUNCTION("IF(A86="""","""",TEXTJOIN(CHAR(10),TRUE,FILTER('Tổng hợp 75 trang đích'!$B$2:$B$3400,'Tổng hợp 75 trang đích'!$I$2:$I$3400=A86)))"),"https://techcombank.com/thong-tin/blog/ngan-hang-uy-tin
https://techcombank.com/thong-tin/blog/cach-tinh-lai-vay-ngan-hang
https://techcombank.com/thong-tin/blog/lai-suat-tiet-kiem
https://techcombank.com/thong-tin/blog/cach-tinh-lai-suat-tien-gui-tiet-ki"&amp;"em
https://techcombank.com/cong-cu-tien-ich/cong-cu-tinh-toan/bang-tinh-lai-suat-vay
https://techcombank.com/cong-cu-tien-ich/cong-cu-tinh-toan/bang-tinh-lai-suat-tiet-kiem
https://techcombank.com/thong-tin/blog/app-vay-tien-nhanh
https://techcombank.com/"&amp;"thong-tin/blog/lai-suat-vay-ngan-hang
https://techcombank.com/thong-tin/blog/nen-vay-tin-chap-o-dau")</f>
        <v>https://techcombank.com/thong-tin/blog/ngan-hang-uy-tin
https://techcombank.com/thong-tin/blog/cach-tinh-lai-vay-ngan-hang
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
https://techcombank.com/thong-tin/blog/lai-suat-vay-ngan-hang
https://techcombank.com/thong-tin/blog/nen-vay-tin-chap-o-dau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10" t="str">
        <f>IFERROR(__xludf.DUMMYFUNCTION("""COMPUTED_VALUE"""),"https://techcombank.com/thong-tin/blog/quyet-toan-thue-thu-nhap-ca-nhan")</f>
        <v>https://techcombank.com/thong-tin/blog/quyet-toan-thue-thu-nhap-ca-nhan</v>
      </c>
      <c r="B87" s="11">
        <f>IFERROR(__xludf.DUMMYFUNCTION("""COMPUTED_VALUE"""),9.0)</f>
        <v>9</v>
      </c>
      <c r="C87" s="7" t="str">
        <f>IFERROR(__xludf.DUMMYFUNCTION("IF(A87="""","""",TEXTJOIN(CHAR(10),TRUE,FILTER('Tổng hợp 75 trang đích'!$B$2:$B$3400,'Tổng hợp 75 trang đích'!$I$2:$I$3400=A87)))"),"https://techcombank.com/thong-tin/blog/nop-thue-dat-qua-ngan-hang
https://techcombank.com/thong-tin/blog/cach-nop-thue-dien-tu
https://techcombank.com/thong-tin/blog/thue-vat-la-gi
https://techcombank.com/thong-tin/blog/tra-cuu-no-thue-doanh-nghiep
https:"&amp;"//techcombank.com/thong-tin/blog/cong-ty-su-dung-tai-khoan-ca-nhan
https://techcombank.com/thong-tin/blog/cach-tinh-thue-thu-nhap-ca-nhan-2025
https://techcombank.com/thong-tin/blog/kiem-tra-thue-thu-nhap-ca-nhan
https://techcombank.com/thong-tin/blog/thu"&amp;"e-thu-nhap-ca-nhan
https://techcombank.com/thong-tin/blog/ho-kinh-doanh-dong-thue-nhu-nao")</f>
        <v>https://techcombank.com/thong-tin/blog/nop-thue-dat-qua-ngan-hang
https://techcombank.com/thong-tin/blog/cach-nop-thue-dien-tu
https://techcombank.com/thong-tin/blog/thue-vat-la-gi
https://techcombank.com/thong-tin/blog/tra-cuu-no-thue-doanh-nghiep
https://techcombank.com/thong-tin/blog/cong-ty-su-dung-tai-khoan-ca-nhan
https://techcombank.com/thong-tin/blog/cach-tinh-thue-thu-nhap-ca-nhan-2025
https://techcombank.com/thong-tin/blog/kiem-tra-thue-thu-nhap-ca-nhan
https://techcombank.com/thong-tin/blog/thue-thu-nhap-ca-nhan
https://techcombank.com/thong-tin/blog/ho-kinh-doanh-dong-thue-nhu-nao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10" t="str">
        <f>IFERROR(__xludf.DUMMYFUNCTION("""COMPUTED_VALUE"""),"https://techcombank.com/thong-tin/blog/tat-toan-so-tiet-kiem")</f>
        <v>https://techcombank.com/thong-tin/blog/tat-toan-so-tiet-kiem</v>
      </c>
      <c r="B88" s="11">
        <f>IFERROR(__xludf.DUMMYFUNCTION("""COMPUTED_VALUE"""),9.0)</f>
        <v>9</v>
      </c>
      <c r="C88" s="7" t="str">
        <f>IFERROR(__xludf.DUMMYFUNCTION("IF(A88="""","""",TEXTJOIN(CHAR(10),TRUE,FILTER('Tổng hợp 75 trang đích'!$B$2:$B$3400,'Tổng hợp 75 trang đích'!$I$2:$I$3400=A88)))"),"https://techcombank.com/thong-tin/blog/lai-suat-chung-chi-tien-gui-cac-ngan-hang
https://techcombank.com/thong-tin/blog/ho-so-thu-tuc-xoa-the-chap
https://techcombank.com/thong-tin/blog/lai-suat-tiet-kiem
https://techcombank.com/thong-tin/blog/cach-tinh-l"&amp;"ai-suat-tien-gui-tiet-kiem
https://techcombank.com/thong-tin/blog/rut-tien-tiet-kiem-truoc-thoi-han
https://techcombank.com/thong-tin/blog/so-tiet-kiem-ngan-hang
https://techcombank.com/cong-cu-tien-ich/cong-cu-tinh-toan/bang-tinh-lai-suat-vay
https://tec"&amp;"hcombank.com/cong-cu-tien-ich/cong-cu-tinh-toan/bang-tinh-lai-suat-tiet-kiem
https://techcombank.com/thong-tin/blog/app-vay-tien-nhanh")</f>
        <v>https://techcombank.com/thong-tin/blog/lai-suat-chung-chi-tien-gui-cac-ngan-hang
https://techcombank.com/thong-tin/blog/ho-so-thu-tuc-xoa-the-chap
https://techcombank.com/thong-tin/blog/lai-suat-tiet-kiem
https://techcombank.com/thong-tin/blog/cach-tinh-lai-suat-tien-gui-tiet-kiem
https://techcombank.com/thong-tin/blog/rut-tien-tiet-kiem-truoc-thoi-han
https://techcombank.com/thong-tin/blog/so-tiet-kiem-ngan-hang
https://techcombank.com/cong-cu-tien-ich/cong-cu-tinh-toan/bang-tinh-lai-suat-vay
https://techcombank.com/cong-cu-tien-ich/cong-cu-tinh-toan/bang-tinh-lai-suat-tiet-kiem
https://techcombank.com/thong-tin/blog/app-vay-tien-nhanh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10" t="str">
        <f>IFERROR(__xludf.DUMMYFUNCTION("""COMPUTED_VALUE"""),"https://techcombank.com/thong-tin/blog/the-visa-de-lam-gi")</f>
        <v>https://techcombank.com/thong-tin/blog/the-visa-de-lam-gi</v>
      </c>
      <c r="B89" s="11">
        <f>IFERROR(__xludf.DUMMYFUNCTION("""COMPUTED_VALUE"""),9.0)</f>
        <v>9</v>
      </c>
      <c r="C89" s="7" t="str">
        <f>IFERROR(__xludf.DUMMYFUNCTION("IF(A89="""","""",TEXTJOIN(CHAR(10),TRUE,FILTER('Tổng hợp 75 trang đích'!$B$2:$B$3400,'Tổng hợp 75 trang đích'!$I$2:$I$3400=A89)))"),"https://techcombank.com/thong-tin/blog/bao-nhieu-tuoi-duoc-mo-tai-khoan-ngan-hang
https://techcombank.com/thong-tin/blog/nap-tien-vao-tai-khoan-ngan-hang
https://techcombank.com/thong-tin/blog/cic-la-gi
https://techcombank.com/thong-tin/blog/rut-tien-mat-"&amp;"tu-the-tin-dung
https://techcombank.com/thong-tin/blog/lam-the-tin-dung
https://techcombank.com/thong-tin/blog/vay-ngan-hang-1-ty-moi-thang-tra-bao-nhieu
https://techcombank.com/thong-tin/blog/cach-tinh-lai-vay-ngan-hang
https://techcombank.com/cong-cu-ti"&amp;"en-ich/cong-cu-tinh-toan/bang-tinh-lai-suat-vay
https://techcombank.com/thong-tin/blog/app-vay-tien-nhanh")</f>
        <v>https://techcombank.com/thong-tin/blog/bao-nhieu-tuoi-duoc-mo-tai-khoan-ngan-hang
https://techcombank.com/thong-tin/blog/nap-tien-vao-tai-khoan-ngan-hang
https://techcombank.com/thong-tin/blog/cic-la-gi
https://techcombank.com/thong-tin/blog/rut-tien-mat-tu-the-tin-dung
https://techcombank.com/thong-tin/blog/lam-the-tin-dung
https://techcombank.com/thong-tin/blog/vay-ngan-hang-1-ty-moi-thang-tra-bao-nhieu
https://techcombank.com/thong-tin/blog/cach-tinh-lai-vay-ngan-hang
https://techcombank.com/cong-cu-tien-ich/cong-cu-tinh-toan/bang-tinh-lai-suat-vay
https://techcombank.com/thong-tin/blog/app-vay-tien-nhanh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10" t="str">
        <f>IFERROR(__xludf.DUMMYFUNCTION("""COMPUTED_VALUE"""),"https://techcombank.com/thong-tin/blog/thue-thuong-mai-dien-tu")</f>
        <v>https://techcombank.com/thong-tin/blog/thue-thuong-mai-dien-tu</v>
      </c>
      <c r="B90" s="11">
        <f>IFERROR(__xludf.DUMMYFUNCTION("""COMPUTED_VALUE"""),9.0)</f>
        <v>9</v>
      </c>
      <c r="C90" s="7" t="str">
        <f>IFERROR(__xludf.DUMMYFUNCTION("IF(A90="""","""",TEXTJOIN(CHAR(10),TRUE,FILTER('Tổng hợp 75 trang đích'!$B$2:$B$3400,'Tổng hợp 75 trang đích'!$I$2:$I$3400=A90)))"),"https://techcombank.com/thong-tin/blog/nop-thue-dat-qua-ngan-hang
https://techcombank.com/thong-tin/blog/cach-nop-thue-dien-tu
https://techcombank.com/thong-tin/blog/thue-vat-la-gi
https://techcombank.com/thong-tin/blog/tra-cuu-no-thue-doanh-nghiep
https:"&amp;"//techcombank.com/thong-tin/blog/cong-ty-su-dung-tai-khoan-ca-nhan
https://techcombank.com/thong-tin/blog/cach-tinh-thue-thu-nhap-ca-nhan-2025
https://techcombank.com/thong-tin/blog/kiem-tra-thue-thu-nhap-ca-nhan
https://techcombank.com/thong-tin/blog/thu"&amp;"e-thu-nhap-ca-nhan
https://techcombank.com/thong-tin/blog/cach-tinh-thue-ho-kinh-doanh-nho-le")</f>
        <v>https://techcombank.com/thong-tin/blog/nop-thue-dat-qua-ngan-hang
https://techcombank.com/thong-tin/blog/cach-nop-thue-dien-tu
https://techcombank.com/thong-tin/blog/thue-vat-la-gi
https://techcombank.com/thong-tin/blog/tra-cuu-no-thue-doanh-nghiep
https://techcombank.com/thong-tin/blog/cong-ty-su-dung-tai-khoan-ca-nhan
https://techcombank.com/thong-tin/blog/cach-tinh-thue-thu-nhap-ca-nhan-2025
https://techcombank.com/thong-tin/blog/kiem-tra-thue-thu-nhap-ca-nhan
https://techcombank.com/thong-tin/blog/thue-thu-nhap-ca-nhan
https://techcombank.com/thong-tin/blog/cach-tinh-thue-ho-kinh-doanh-nho-le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10" t="str">
        <f>IFERROR(__xludf.DUMMYFUNCTION("""COMPUTED_VALUE"""),"https://techcombank.com/thong-tin/blog/tien-nhat")</f>
        <v>https://techcombank.com/thong-tin/blog/tien-nhat</v>
      </c>
      <c r="B91" s="11">
        <f>IFERROR(__xludf.DUMMYFUNCTION("""COMPUTED_VALUE"""),9.0)</f>
        <v>9</v>
      </c>
      <c r="C91" s="7" t="str">
        <f>IFERROR(__xludf.DUMMYFUNCTION("IF(A91="""","""",TEXTJOIN(CHAR(10),TRUE,FILTER('Tổng hợp 75 trang đích'!$B$2:$B$3400,'Tổng hợp 75 trang đích'!$I$2:$I$3400=A91)))"),"https://techcombank.com/thong-tin/blog/1-dong-do-la-my-bang-bao-nhieu-tien-viet-nam
https://techcombank.com/thong-tin/blog/1-yen-bang-bao-nhieu-tien-viet-nam
https://techcombank.com/thong-tin/blog/1-won-bang-bao-nhieu-tien-viet
https://techcombank.com/tho"&amp;"ng-tin/blog/tien-dai-loan
https://techcombank.com/thong-tin/blog/1-man-bang-bao-nhieu-tien-viet
https://techcombank.com/thong-tin/blog/tien-thai-lan
https://techcombank.com/thong-tin/blog/1-trieu-do-bang-bao-nhieu-tien-viet
https://techcombank.com/thong-t"&amp;"in/blog/1000-won-bang-bao-nhieu-tien-viet
https://techcombank.com/thong-tin/blog/doi-tien-do-o-dau")</f>
        <v>https://techcombank.com/thong-tin/blog/1-dong-do-la-my-bang-bao-nhieu-tien-viet-nam
https://techcombank.com/thong-tin/blog/1-yen-bang-bao-nhieu-tien-viet-nam
https://techcombank.com/thong-tin/blog/1-won-bang-bao-nhieu-tien-viet
https://techcombank.com/thong-tin/blog/tien-dai-loan
https://techcombank.com/thong-tin/blog/1-man-bang-bao-nhieu-tien-viet
https://techcombank.com/thong-tin/blog/tien-thai-lan
https://techcombank.com/thong-tin/blog/1-trieu-do-bang-bao-nhieu-tien-viet
https://techcombank.com/thong-tin/blog/1000-won-bang-bao-nhieu-tien-viet
https://techcombank.com/thong-tin/blog/doi-tien-do-o-dau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10" t="str">
        <f>IFERROR(__xludf.DUMMYFUNCTION("""COMPUTED_VALUE"""),"https://techcombank.com/thong-tin/blog/tra-cuu-no-thue-doanh-nghiep")</f>
        <v>https://techcombank.com/thong-tin/blog/tra-cuu-no-thue-doanh-nghiep</v>
      </c>
      <c r="B92" s="11">
        <f>IFERROR(__xludf.DUMMYFUNCTION("""COMPUTED_VALUE"""),9.0)</f>
        <v>9</v>
      </c>
      <c r="C92" s="7" t="str">
        <f>IFERROR(__xludf.DUMMYFUNCTION("IF(A92="""","""",TEXTJOIN(CHAR(10),TRUE,FILTER('Tổng hợp 75 trang đích'!$B$2:$B$3400,'Tổng hợp 75 trang đích'!$I$2:$I$3400=A92)))"),"https://techcombank.com/thong-tin/blog/nop-thue-dat-qua-ngan-hang
https://techcombank.com/thong-tin/blog/cach-nop-thue-dien-tu
https://techcombank.com/thong-tin/blog/thue-thu-nhap-doanh-nghiep
https://techcombank.com/thong-tin/blog/thue-vat-la-gi
https://"&amp;"techcombank.com/thong-tin/blog/thue-doanh-nghiep
https://techcombank.com/thong-tin/blog/cong-ty-su-dung-tai-khoan-ca-nhan
https://techcombank.com/thong-tin/blog/cach-tinh-thue-thu-nhap-ca-nhan-2025
https://techcombank.com/thong-tin/blog/kiem-tra-thue-thu-"&amp;"nhap-ca-nhan
https://techcombank.com/thong-tin/blog/thue-thu-nhap-ca-nhan")</f>
        <v>https://techcombank.com/thong-tin/blog/nop-thue-dat-qua-ngan-hang
https://techcombank.com/thong-tin/blog/cach-nop-thue-dien-tu
https://techcombank.com/thong-tin/blog/thue-thu-nhap-doanh-nghiep
https://techcombank.com/thong-tin/blog/thue-vat-la-gi
https://techcombank.com/thong-tin/blog/thue-doanh-nghiep
https://techcombank.com/thong-tin/blog/cong-ty-su-dung-tai-khoan-ca-nhan
https://techcombank.com/thong-tin/blog/cach-tinh-thue-thu-nhap-ca-nhan-2025
https://techcombank.com/thong-tin/blog/kiem-tra-thue-thu-nhap-ca-nhan
https://techcombank.com/thong-tin/blog/thue-thu-nhap-ca-nhan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10" t="str">
        <f>IFERROR(__xludf.DUMMYFUNCTION("""COMPUTED_VALUE"""),"https://techcombank.com/thong-tin/blog/vay-200-trieu")</f>
        <v>https://techcombank.com/thong-tin/blog/vay-200-trieu</v>
      </c>
      <c r="B93" s="11">
        <f>IFERROR(__xludf.DUMMYFUNCTION("""COMPUTED_VALUE"""),9.0)</f>
        <v>9</v>
      </c>
      <c r="C93" s="7" t="str">
        <f>IFERROR(__xludf.DUMMYFUNCTION("IF(A93="""","""",TEXTJOIN(CHAR(10),TRUE,FILTER('Tổng hợp 75 trang đích'!$B$2:$B$3400,'Tổng hợp 75 trang đích'!$I$2:$I$3400=A93)))"),"https://techcombank.com/thong-tin/blog/lai-suat-vay-mua-o-to
https://techcombank.com/thong-tin/blog/cic-la-gi
https://techcombank.com/thong-tin/blog/cach-tinh-lai-vay-ngan-hang
https://techcombank.com/cong-cu-tien-ich/cong-cu-tinh-toan/bang-tinh-lai-suat-"&amp;"vay
https://techcombank.com/thong-tin/blog/app-vay-tien-nhanh
https://techcombank.com/thong-tin/blog/lai-suat-vay-ngan-hang
https://techcombank.com/thong-tin/blog/vay-thau-chi-la-gi
https://techcombank.com/thong-tin/blog/nen-vay-tin-chap-o-dau
https://tec"&amp;"hcombank.com/thong-tin/blog/vay-tin-chap-khong-tra-duoc-co-sao-khong")</f>
        <v>https://techcombank.com/thong-tin/blog/lai-suat-vay-mua-o-to
https://techcombank.com/thong-tin/blog/cic-la-gi
https://techcombank.com/thong-tin/blog/cach-tinh-lai-vay-ngan-hang
https://techcombank.com/cong-cu-tien-ich/cong-cu-tinh-toan/bang-tinh-lai-suat-vay
https://techcombank.com/thong-tin/blog/app-vay-tien-nhanh
https://techcombank.com/thong-tin/blog/lai-suat-vay-ngan-hang
https://techcombank.com/thong-tin/blog/vay-thau-chi-la-gi
https://techcombank.com/thong-tin/blog/nen-vay-tin-chap-o-dau
https://techcombank.com/thong-tin/blog/vay-tin-chap-khong-tra-duoc-co-sao-khong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10" t="str">
        <f>IFERROR(__xludf.DUMMYFUNCTION("""COMPUTED_VALUE"""),"https://techcombank.com/thong-tin/blog/vay-30-trieu")</f>
        <v>https://techcombank.com/thong-tin/blog/vay-30-trieu</v>
      </c>
      <c r="B94" s="11">
        <f>IFERROR(__xludf.DUMMYFUNCTION("""COMPUTED_VALUE"""),9.0)</f>
        <v>9</v>
      </c>
      <c r="C94" s="7" t="str">
        <f>IFERROR(__xludf.DUMMYFUNCTION("IF(A94="""","""",TEXTJOIN(CHAR(10),TRUE,FILTER('Tổng hợp 75 trang đích'!$B$2:$B$3400,'Tổng hợp 75 trang đích'!$I$2:$I$3400=A94)))"),"https://techcombank.com/thong-tin/blog/lai-suat-vay-mua-o-to
https://techcombank.com/thong-tin/blog/cic-la-gi
https://techcombank.com/thong-tin/blog/cach-tinh-lai-vay-ngan-hang
https://techcombank.com/thong-tin/blog/lai-suat-tiet-kiem
https://techcombank."&amp;"com/thong-tin/blog/cach-tinh-lai-suat-tien-gui-tiet-kiem
https://techcombank.com/cong-cu-tien-ich/cong-cu-tinh-toan/bang-tinh-lai-suat-vay
https://techcombank.com/thong-tin/blog/app-vay-tien-nhanh
https://techcombank.com/thong-tin/blog/lai-suat-vay-ngan-h"&amp;"ang
https://techcombank.com/thong-tin/blog/vay-thau-chi-la-gi")</f>
        <v>https://techcombank.com/thong-tin/blog/lai-suat-vay-mua-o-to
https://techcombank.com/thong-tin/blog/cic-la-gi
https://techcombank.com/thong-tin/blog/cach-tinh-lai-vay-ngan-hang
https://techcombank.com/thong-tin/blog/lai-suat-tiet-kiem
https://techcombank.com/thong-tin/blog/cach-tinh-lai-suat-tien-gui-tiet-kiem
https://techcombank.com/cong-cu-tien-ich/cong-cu-tinh-toan/bang-tinh-lai-suat-vay
https://techcombank.com/thong-tin/blog/app-vay-tien-nhanh
https://techcombank.com/thong-tin/blog/lai-suat-vay-ngan-hang
https://techcombank.com/thong-tin/blog/vay-thau-chi-la-gi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10" t="str">
        <f>IFERROR(__xludf.DUMMYFUNCTION("""COMPUTED_VALUE"""),"https://techcombank.com/thong-tin/blog/vay-ngan-han")</f>
        <v>https://techcombank.com/thong-tin/blog/vay-ngan-han</v>
      </c>
      <c r="B95" s="11">
        <f>IFERROR(__xludf.DUMMYFUNCTION("""COMPUTED_VALUE"""),9.0)</f>
        <v>9</v>
      </c>
      <c r="C95" s="7" t="str">
        <f>IFERROR(__xludf.DUMMYFUNCTION("IF(A95="""","""",TEXTJOIN(CHAR(10),TRUE,FILTER('Tổng hợp 75 trang đích'!$B$2:$B$3400,'Tổng hợp 75 trang đích'!$I$2:$I$3400=A95)))"),"https://techcombank.com/thong-tin/blog/lai-suat-vay-the-chap-so-do
https://techcombank.com/thong-tin/blog/ho-so-thu-tuc-xoa-the-chap
https://techcombank.com/thong-tin/blog/lai-suat-tiet-kiem
https://techcombank.com/thong-tin/blog/cach-tinh-lai-suat-tien-g"&amp;"ui-tiet-kiem
https://techcombank.com/cong-cu-tien-ich/cong-cu-tinh-toan/bang-tinh-lai-suat-vay
https://techcombank.com/cong-cu-tien-ich/cong-cu-tinh-toan/bang-tinh-lai-suat-tiet-kiem
https://techcombank.com/thong-tin/blog/app-vay-tien-nhanh
https://techco"&amp;"mbank.com/thong-tin/blog/lai-suat-vay-ngan-hang
https://techcombank.com/thong-tin/blog/vay-thau-chi-la-gi")</f>
        <v>https://techcombank.com/thong-tin/blog/lai-suat-vay-the-chap-so-do
https://techcombank.com/thong-tin/blog/ho-so-thu-tuc-xoa-the-chap
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
https://techcombank.com/thong-tin/blog/lai-suat-vay-ngan-hang
https://techcombank.com/thong-tin/blog/vay-thau-chi-la-gi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10" t="str">
        <f>IFERROR(__xludf.DUMMYFUNCTION("""COMPUTED_VALUE"""),"https://techcombank.com/thong-tin/blog/vay-ngan-hang-1-ty-moi-thang-tra-bao-nhieu")</f>
        <v>https://techcombank.com/thong-tin/blog/vay-ngan-hang-1-ty-moi-thang-tra-bao-nhieu</v>
      </c>
      <c r="B96" s="11">
        <f>IFERROR(__xludf.DUMMYFUNCTION("""COMPUTED_VALUE"""),9.0)</f>
        <v>9</v>
      </c>
      <c r="C96" s="7" t="str">
        <f>IFERROR(__xludf.DUMMYFUNCTION("IF(A96="""","""",TEXTJOIN(CHAR(10),TRUE,FILTER('Tổng hợp 75 trang đích'!$B$2:$B$3400,'Tổng hợp 75 trang đích'!$I$2:$I$3400=A96)))"),"https://techcombank.com/thong-tin/blog/cach-tinh-tien-dien-sinh-hoat
https://techcombank.com/thong-tin/blog/ten-dang-nhap-tai-khoan-ngan-hang-la-gi
https://techcombank.com/thong-tin/blog/cic-la-gi
https://techcombank.com/khach-hang-ca-nhan/chi-tieu/the/th"&amp;"e-tin-dung/techcombank-everyday
https://techcombank.com/thong-tin/blog/the-tin-dung-hoan-tien
https://techcombank.com/thong-tin/blog/cach-huy-the-tin-dung
https://techcombank.com/thong-tin/blog/cach-thanh-toan-the-tin-dung
https://techcombank.com/cong-cu-"&amp;"tien-ich/cong-cu-tinh-toan/bang-tinh-lai-suat-vay
https://techcombank.com/thong-tin/blog/app-vay-tien-nhanh")</f>
        <v>https://techcombank.com/thong-tin/blog/cach-tinh-tien-dien-sinh-hoat
https://techcombank.com/thong-tin/blog/ten-dang-nhap-tai-khoan-ngan-hang-la-gi
https://techcombank.com/thong-tin/blog/cic-la-gi
https://techcombank.com/khach-hang-ca-nhan/chi-tieu/the/the-tin-dung/techcombank-everyday
https://techcombank.com/thong-tin/blog/the-tin-dung-hoan-tien
https://techcombank.com/thong-tin/blog/cach-huy-the-tin-dung
https://techcombank.com/thong-tin/blog/cach-thanh-toan-the-tin-dung
https://techcombank.com/cong-cu-tien-ich/cong-cu-tinh-toan/bang-tinh-lai-suat-vay
https://techcombank.com/thong-tin/blog/app-vay-tien-nhanh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10" t="str">
        <f>IFERROR(__xludf.DUMMYFUNCTION("""COMPUTED_VALUE"""),"https://techcombank.com/thong-tin/blog/vay-the-chap-qua-luong")</f>
        <v>https://techcombank.com/thong-tin/blog/vay-the-chap-qua-luong</v>
      </c>
      <c r="B97" s="11">
        <f>IFERROR(__xludf.DUMMYFUNCTION("""COMPUTED_VALUE"""),9.0)</f>
        <v>9</v>
      </c>
      <c r="C97" s="7" t="str">
        <f>IFERROR(__xludf.DUMMYFUNCTION("IF(A97="""","""",TEXTJOIN(CHAR(10),TRUE,FILTER('Tổng hợp 75 trang đích'!$B$2:$B$3400,'Tổng hợp 75 trang đích'!$I$2:$I$3400=A97)))"),"https://techcombank.com/thong-tin/blog/cach-tinh-thue-thu-nhap-ca-nhan-2025
https://techcombank.com/thong-tin/blog/cach-sao-ke-tai-khoan-ngan-hang
https://techcombank.com/thong-tin/blog/thue-thu-nhap-ca-nhan
https://techcombank.com/thong-tin/blog/vay-ngan"&amp;"-hang-1-ty-moi-thang-tra-bao-nhieu
https://techcombank.com/thong-tin/blog/lai-suat-vay-the-chap-so-do
https://techcombank.com/thong-tin/blog/ho-so-thu-tuc-xoa-the-chap
https://techcombank.com/cong-cu-tien-ich/cong-cu-tinh-toan/bang-tinh-lai-suat-vay
https"&amp;"://techcombank.com/thong-tin/blog/app-vay-tien-nhanh
https://techcombank.com/thong-tin/blog/nen-vay-tin-chap-o-dau")</f>
        <v>https://techcombank.com/thong-tin/blog/cach-tinh-thue-thu-nhap-ca-nhan-2025
https://techcombank.com/thong-tin/blog/cach-sao-ke-tai-khoan-ngan-hang
https://techcombank.com/thong-tin/blog/thue-thu-nhap-ca-nhan
https://techcombank.com/thong-tin/blog/vay-ngan-hang-1-ty-moi-thang-tra-bao-nhieu
https://techcombank.com/thong-tin/blog/lai-suat-vay-the-chap-so-do
https://techcombank.com/thong-tin/blog/ho-so-thu-tuc-xoa-the-chap
https://techcombank.com/cong-cu-tien-ich/cong-cu-tinh-toan/bang-tinh-lai-suat-vay
https://techcombank.com/thong-tin/blog/app-vay-tien-nhanh
https://techcombank.com/thong-tin/blog/nen-vay-tin-chap-o-dau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10" t="str">
        <f>IFERROR(__xludf.DUMMYFUNCTION("""COMPUTED_VALUE"""),"https://techcombank.com/thong-tin/blog/vay-tin-chap-no-xau")</f>
        <v>https://techcombank.com/thong-tin/blog/vay-tin-chap-no-xau</v>
      </c>
      <c r="B98" s="11">
        <f>IFERROR(__xludf.DUMMYFUNCTION("""COMPUTED_VALUE"""),9.0)</f>
        <v>9</v>
      </c>
      <c r="C98" s="7" t="str">
        <f>IFERROR(__xludf.DUMMYFUNCTION("IF(A98="""","""",TEXTJOIN(CHAR(10),TRUE,FILTER('Tổng hợp 75 trang đích'!$B$2:$B$3400,'Tổng hợp 75 trang đích'!$I$2:$I$3400=A98)))"),"https://techcombank.com/thong-tin/blog/cic-la-gi
https://techcombank.com/thong-tin/blog/xep-hang-tin-dung
https://techcombank.com/cong-cu-tien-ich/cong-cu-tinh-toan/bang-tinh-lai-suat-vay
https://techcombank.com/thong-tin/blog/app-vay-tien-nhanh
https://t"&amp;"echcombank.com/thong-tin/blog/lai-suat-vay-ngan-hang
https://techcombank.com/thong-tin/blog/kiem-tra-no-xau
https://techcombank.com/thong-tin/blog/nen-vay-tin-chap-o-dau
https://techcombank.com/thong-tin/blog/no-xau-la-gi
https://techcombank.com/thong-tin"&amp;"/blog/vay-tin-chap-khong-tra-duoc-co-sao-khong")</f>
        <v>https://techcombank.com/thong-tin/blog/cic-la-gi
https://techcombank.com/thong-tin/blog/xep-hang-tin-dung
https://techcombank.com/cong-cu-tien-ich/cong-cu-tinh-toan/bang-tinh-lai-suat-vay
https://techcombank.com/thong-tin/blog/app-vay-tien-nhanh
https://techcombank.com/thong-tin/blog/lai-suat-vay-ngan-hang
https://techcombank.com/thong-tin/blog/kiem-tra-no-xau
https://techcombank.com/thong-tin/blog/nen-vay-tin-chap-o-dau
https://techcombank.com/thong-tin/blog/no-xau-la-gi
https://techcombank.com/thong-tin/blog/vay-tin-chap-khong-tra-duoc-co-sao-khong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10" t="str">
        <f>IFERROR(__xludf.DUMMYFUNCTION("""COMPUTED_VALUE"""),"https://techcombank.com/thong-tin/blog/vay-tin-chap-theo-luong")</f>
        <v>https://techcombank.com/thong-tin/blog/vay-tin-chap-theo-luong</v>
      </c>
      <c r="B99" s="11">
        <f>IFERROR(__xludf.DUMMYFUNCTION("""COMPUTED_VALUE"""),9.0)</f>
        <v>9</v>
      </c>
      <c r="C99" s="7" t="str">
        <f>IFERROR(__xludf.DUMMYFUNCTION("IF(A99="""","""",TEXTJOIN(CHAR(10),TRUE,FILTER('Tổng hợp 75 trang đích'!$B$2:$B$3400,'Tổng hợp 75 trang đích'!$I$2:$I$3400=A99)))"),"https://techcombank.com/thong-tin/blog/cic-la-gi
https://techcombank.com/thong-tin/blog/cach-tinh-lai-vay-ngan-hang
https://techcombank.com/thong-tin/blog/lai-suat-tiet-kiem
https://techcombank.com/cong-cu-tien-ich/cong-cu-tinh-toan/bang-tinh-lai-suat-vay"&amp;"
https://techcombank.com/thong-tin/blog/app-vay-tien-nhanh
https://techcombank.com/thong-tin/blog/lai-suat-vay-ngan-hang
https://techcombank.com/thong-tin/blog/vay-thau-chi-la-gi
https://techcombank.com/thong-tin/blog/kiem-tra-no-xau
https://techcombank.c"&amp;"om/thong-tin/blog/no-xau-la-gi")</f>
        <v>https://techcombank.com/thong-tin/blog/cic-la-gi
https://techcombank.com/thong-tin/blog/cach-tinh-lai-vay-ngan-hang
https://techcombank.com/thong-tin/blog/lai-suat-tiet-kiem
https://techcombank.com/cong-cu-tien-ich/cong-cu-tinh-toan/bang-tinh-lai-suat-vay
https://techcombank.com/thong-tin/blog/app-vay-tien-nhanh
https://techcombank.com/thong-tin/blog/lai-suat-vay-ngan-hang
https://techcombank.com/thong-tin/blog/vay-thau-chi-la-gi
https://techcombank.com/thong-tin/blog/kiem-tra-no-xau
https://techcombank.com/thong-tin/blog/no-xau-la-gi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10" t="str">
        <f>IFERROR(__xludf.DUMMYFUNCTION("""COMPUTED_VALUE"""),"https://techcombank.com/thong-tin/blog/vay-von-doanh-nghiep-nho")</f>
        <v>https://techcombank.com/thong-tin/blog/vay-von-doanh-nghiep-nho</v>
      </c>
      <c r="B100" s="11">
        <f>IFERROR(__xludf.DUMMYFUNCTION("""COMPUTED_VALUE"""),9.0)</f>
        <v>9</v>
      </c>
      <c r="C100" s="7" t="str">
        <f>IFERROR(__xludf.DUMMYFUNCTION("IF(A100="""","""",TEXTJOIN(CHAR(10),TRUE,FILTER('Tổng hợp 75 trang đích'!$B$2:$B$3400,'Tổng hợp 75 trang đích'!$I$2:$I$3400=A100)))"),"https://techcombank.com/thong-tin/blog/nop-thue-dat-qua-ngan-hang
https://techcombank.com/thong-tin/blog/cic-la-gi
https://techcombank.com/thong-tin/blog/lai-suat-tiet-kiem
https://techcombank.com/thong-tin/blog/cach-tinh-lai-suat-tien-gui-tiet-kiem
https"&amp;"://techcombank.com/cong-cu-tien-ich/cong-cu-tinh-toan/bang-tinh-lai-suat-vay
https://techcombank.com/cong-cu-tien-ich/cong-cu-tinh-toan/bang-tinh-lai-suat-tiet-kiem
https://techcombank.com/thong-tin/blog/app-vay-tien-nhanh
https://techcombank.com/thong-ti"&amp;"n/blog/lai-suat-vay-ngan-hang
https://techcombank.com/thong-tin/blog/vay-thau-chi-la-gi")</f>
        <v>https://techcombank.com/thong-tin/blog/nop-thue-dat-qua-ngan-hang
https://techcombank.com/thong-tin/blog/cic-la-gi
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
https://techcombank.com/thong-tin/blog/lai-suat-vay-ngan-hang
https://techcombank.com/thong-tin/blog/vay-thau-chi-la-gi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10" t="str">
        <f>IFERROR(__xludf.DUMMYFUNCTION("""COMPUTED_VALUE"""),"https://techcombank.com/thong-tin/blog/cach-chon-so-tai-khoan-dep")</f>
        <v>https://techcombank.com/thong-tin/blog/cach-chon-so-tai-khoan-dep</v>
      </c>
      <c r="B101" s="11">
        <f>IFERROR(__xludf.DUMMYFUNCTION("""COMPUTED_VALUE"""),8.0)</f>
        <v>8</v>
      </c>
      <c r="C101" s="7" t="str">
        <f>IFERROR(__xludf.DUMMYFUNCTION("IF(A101="""","""",TEXTJOIN(CHAR(10),TRUE,FILTER('Tổng hợp 75 trang đích'!$B$2:$B$3400,'Tổng hợp 75 trang đích'!$I$2:$I$3400=A101)))"),"https://techcombank.com/thong-tin/blog/cach-nap-the-viettel
https://techcombank.com/thong-tin/blog/cach-tinh-tien-dien-sinh-hoat
https://techcombank.com/thong-tin/blog/cach-kiem-tra-tai-khoan-ngan-hang
https://techcombank.com/thong-tin/blog/cach-mo-tai-kh"&amp;"oan
https://techcombank.com/thong-tin/blog/bao-nhieu-tuoi-duoc-mo-tai-khoan-ngan-hang
https://techcombank.com/thong-tin/blog/mo-tai-khoan-ngan-hang-duoi-18-tuoi
https://techcombank.com/thong-tin/blog/day-so-phat-tai-phat-loc
https://techcombank.com/thong-"&amp;"tin/blog/cach-quet-nfc-cccd-tren-iphone")</f>
        <v>https://techcombank.com/thong-tin/blog/cach-nap-the-viettel
https://techcombank.com/thong-tin/blog/cach-tinh-tien-dien-sinh-hoat
https://techcombank.com/thong-tin/blog/cach-kiem-tra-tai-khoan-ngan-hang
https://techcombank.com/thong-tin/blog/cach-mo-tai-khoan
https://techcombank.com/thong-tin/blog/bao-nhieu-tuoi-duoc-mo-tai-khoan-ngan-hang
https://techcombank.com/thong-tin/blog/mo-tai-khoan-ngan-hang-duoi-18-tuoi
https://techcombank.com/thong-tin/blog/day-so-phat-tai-phat-loc
https://techcombank.com/thong-tin/blog/cach-quet-nfc-cccd-tren-iphone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10" t="str">
        <f>IFERROR(__xludf.DUMMYFUNCTION("""COMPUTED_VALUE"""),"https://techcombank.com/thong-tin/blog/cach-thanh-toan-the-tin-dung")</f>
        <v>https://techcombank.com/thong-tin/blog/cach-thanh-toan-the-tin-dung</v>
      </c>
      <c r="B102" s="11">
        <f>IFERROR(__xludf.DUMMYFUNCTION("""COMPUTED_VALUE"""),8.0)</f>
        <v>8</v>
      </c>
      <c r="C102" s="7" t="str">
        <f>IFERROR(__xludf.DUMMYFUNCTION("IF(A102="""","""",TEXTJOIN(CHAR(10),TRUE,FILTER('Tổng hợp 75 trang đích'!$B$2:$B$3400,'Tổng hợp 75 trang đích'!$I$2:$I$3400=A102)))"),"https://techcombank.com/thong-tin/blog/nap-tien-vao-tai-khoan-ngan-hang
https://techcombank.com/thong-tin/blog/ten-dang-nhap-tai-khoan-ngan-hang-la-gi
https://techcombank.com/thong-tin/blog/cic-la-gi
https://techcombank.com/khach-hang-ca-nhan/chi-tieu/the"&amp;"/the-tin-dung/techcombank-everyday
https://techcombank.com/thong-tin/blog/the-tin-dung-hoan-tien
https://techcombank.com/thong-tin/blog/cach-huy-the-tin-dung
https://techcombank.com/thong-tin/blog/cach-tinh-lai-vay-ngan-hang
https://techcombank.com/thong-"&amp;"tin/blog/app-vay-tien-nhanh")</f>
        <v>https://techcombank.com/thong-tin/blog/nap-tien-vao-tai-khoan-ngan-hang
https://techcombank.com/thong-tin/blog/ten-dang-nhap-tai-khoan-ngan-hang-la-gi
https://techcombank.com/thong-tin/blog/cic-la-gi
https://techcombank.com/khach-hang-ca-nhan/chi-tieu/the/the-tin-dung/techcombank-everyday
https://techcombank.com/thong-tin/blog/the-tin-dung-hoan-tien
https://techcombank.com/thong-tin/blog/cach-huy-the-tin-dung
https://techcombank.com/thong-tin/blog/cach-tinh-lai-vay-ngan-hang
https://techcombank.com/thong-tin/blog/app-vay-tien-nhanh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10" t="str">
        <f>IFERROR(__xludf.DUMMYFUNCTION("""COMPUTED_VALUE"""),"https://techcombank.com/thong-tin/blog/cach-tinh-lai-suat-tien-gui-tiet-kiem")</f>
        <v>https://techcombank.com/thong-tin/blog/cach-tinh-lai-suat-tien-gui-tiet-kiem</v>
      </c>
      <c r="B103" s="11">
        <f>IFERROR(__xludf.DUMMYFUNCTION("""COMPUTED_VALUE"""),8.0)</f>
        <v>8</v>
      </c>
      <c r="C103" s="7" t="str">
        <f>IFERROR(__xludf.DUMMYFUNCTION("IF(A103="""","""",TEXTJOIN(CHAR(10),TRUE,FILTER('Tổng hợp 75 trang đích'!$B$2:$B$3400,'Tổng hợp 75 trang đích'!$I$2:$I$3400=A103)))"),"https://techcombank.com/thong-tin/blog/ngan-hang-uy-tin
https://techcombank.com/thong-tin/blog/chung-chi-tien-gui-la-gi
https://techcombank.com/thong-tin/blog/lai-suat-chung-chi-tien-gui-cac-ngan-hang
https://techcombank.com/thong-tin/blog/lai-suat-tiet-k"&amp;"iem
https://techcombank.com/thong-tin/blog/so-tiet-kiem-ngan-hang
https://techcombank.com/cong-cu-tien-ich/cong-cu-tinh-toan/bang-tinh-lai-suat-vay
https://techcombank.com/cong-cu-tien-ich/cong-cu-tinh-toan/bang-tinh-lai-suat-tiet-kiem
https://techcombank"&amp;".com/thong-tin/blog/app-vay-tien-nhanh")</f>
        <v>https://techcombank.com/thong-tin/blog/ngan-hang-uy-tin
https://techcombank.com/thong-tin/blog/chung-chi-tien-gui-la-gi
https://techcombank.com/thong-tin/blog/lai-suat-chung-chi-tien-gui-cac-ngan-hang
https://techcombank.com/thong-tin/blog/lai-suat-tiet-kiem
https://techcombank.com/thong-tin/blog/so-tiet-kiem-ngan-hang
https://techcombank.com/cong-cu-tien-ich/cong-cu-tinh-toan/bang-tinh-lai-suat-vay
https://techcombank.com/cong-cu-tien-ich/cong-cu-tinh-toan/bang-tinh-lai-suat-tiet-kiem
https://techcombank.com/thong-tin/blog/app-vay-tien-nhanh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10" t="str">
        <f>IFERROR(__xludf.DUMMYFUNCTION("""COMPUTED_VALUE"""),"https://techcombank.com/thong-tin/blog/cach-tinh-thue-thu-nhap-doanh-nghiep")</f>
        <v>https://techcombank.com/thong-tin/blog/cach-tinh-thue-thu-nhap-doanh-nghiep</v>
      </c>
      <c r="B104" s="11">
        <f>IFERROR(__xludf.DUMMYFUNCTION("""COMPUTED_VALUE"""),8.0)</f>
        <v>8</v>
      </c>
      <c r="C104" s="7" t="str">
        <f>IFERROR(__xludf.DUMMYFUNCTION("IF(A104="""","""",TEXTJOIN(CHAR(10),TRUE,FILTER('Tổng hợp 75 trang đích'!$B$2:$B$3400,'Tổng hợp 75 trang đích'!$I$2:$I$3400=A104)))"),"https://techcombank.com/thong-tin/blog/nop-thue-dat-qua-ngan-hang
https://techcombank.com/thong-tin/blog/thue-thu-nhap-doanh-nghiep
https://techcombank.com/thong-tin/blog/tra-cuu-no-thue-doanh-nghiep
https://techcombank.com/thong-tin/blog/thue-doanh-nghie"&amp;"p
https://techcombank.com/thong-tin/blog/cach-tinh-thue-thu-nhap-ca-nhan-2025
https://techcombank.com/thong-tin/blog/kiem-tra-thue-thu-nhap-ca-nhan
https://techcombank.com/thong-tin/blog/thue-thu-nhap-ca-nhan
https://techcombank.com/thong-tin/blog/ho-kinh"&amp;"-doanh-dong-thue-nhu-nao")</f>
        <v>https://techcombank.com/thong-tin/blog/nop-thue-dat-qua-ngan-hang
https://techcombank.com/thong-tin/blog/thue-thu-nhap-doanh-nghiep
https://techcombank.com/thong-tin/blog/tra-cuu-no-thue-doanh-nghiep
https://techcombank.com/thong-tin/blog/thue-doanh-nghiep
https://techcombank.com/thong-tin/blog/cach-tinh-thue-thu-nhap-ca-nhan-2025
https://techcombank.com/thong-tin/blog/kiem-tra-thue-thu-nhap-ca-nhan
https://techcombank.com/thong-tin/blog/thue-thu-nhap-ca-nhan
https://techcombank.com/thong-tin/blog/ho-kinh-doanh-dong-thue-nhu-nao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10" t="str">
        <f>IFERROR(__xludf.DUMMYFUNCTION("""COMPUTED_VALUE"""),"https://techcombank.com/thong-tin/blog/cic-la-gi")</f>
        <v>https://techcombank.com/thong-tin/blog/cic-la-gi</v>
      </c>
      <c r="B105" s="11">
        <f>IFERROR(__xludf.DUMMYFUNCTION("""COMPUTED_VALUE"""),8.0)</f>
        <v>8</v>
      </c>
      <c r="C105" s="7" t="str">
        <f>IFERROR(__xludf.DUMMYFUNCTION("IF(A105="""","""",TEXTJOIN(CHAR(10),TRUE,FILTER('Tổng hợp 75 trang đích'!$B$2:$B$3400,'Tổng hợp 75 trang đích'!$I$2:$I$3400=A105)))"),"https://techcombank.com/thong-tin/blog/ten-dang-nhap-tai-khoan-ngan-hang-la-gi
https://techcombank.com/thong-tin/blog/rut-tien-mat-tu-the-tin-dung
https://techcombank.com/thong-tin/blog/cach-huy-the-tin-dung
https://techcombank.com/thong-tin/blog/xep-hang"&amp;"-tin-dung
https://techcombank.com/cong-cu-tien-ich/cong-cu-tinh-toan/bang-tinh-lai-suat-vay
https://techcombank.com/thong-tin/blog/app-vay-tien-nhanh
https://techcombank.com/thong-tin/blog/kiem-tra-no-xau
https://techcombank.com/thong-tin/blog/no-xau-la-g"&amp;"i")</f>
        <v>https://techcombank.com/thong-tin/blog/ten-dang-nhap-tai-khoan-ngan-hang-la-gi
https://techcombank.com/thong-tin/blog/rut-tien-mat-tu-the-tin-dung
https://techcombank.com/thong-tin/blog/cach-huy-the-tin-dung
https://techcombank.com/thong-tin/blog/xep-hang-tin-dung
https://techcombank.com/cong-cu-tien-ich/cong-cu-tinh-toan/bang-tinh-lai-suat-vay
https://techcombank.com/thong-tin/blog/app-vay-tien-nhanh
https://techcombank.com/thong-tin/blog/kiem-tra-no-xau
https://techcombank.com/thong-tin/blog/no-xau-la-gi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10" t="str">
        <f>IFERROR(__xludf.DUMMYFUNCTION("""COMPUTED_VALUE"""),"https://techcombank.com/thong-tin/blog/dao-han-la-gi")</f>
        <v>https://techcombank.com/thong-tin/blog/dao-han-la-gi</v>
      </c>
      <c r="B106" s="11">
        <f>IFERROR(__xludf.DUMMYFUNCTION("""COMPUTED_VALUE"""),8.0)</f>
        <v>8</v>
      </c>
      <c r="C106" s="7" t="str">
        <f>IFERROR(__xludf.DUMMYFUNCTION("IF(A106="""","""",TEXTJOIN(CHAR(10),TRUE,FILTER('Tổng hợp 75 trang đích'!$B$2:$B$3400,'Tổng hợp 75 trang đích'!$I$2:$I$3400=A106)))"),"https://techcombank.com/thong-tin/blog/cic-la-gi
https://techcombank.com/thong-tin/blog/cach-tinh-lai-vay-ngan-hang
https://techcombank.com/thong-tin/blog/lai-suat-tiet-kiem
https://techcombank.com/thong-tin/blog/cach-tinh-lai-suat-tien-gui-tiet-kiem
http"&amp;"s://techcombank.com/thong-tin/blog/rut-tien-tiet-kiem-truoc-thoi-han
https://techcombank.com/thong-tin/blog/so-tiet-kiem-ngan-hang
https://techcombank.com/cong-cu-tien-ich/cong-cu-tinh-toan/bang-tinh-lai-suat-vay
https://techcombank.com/thong-tin/blog/app"&amp;"-vay-tien-nhanh")</f>
        <v>https://techcombank.com/thong-tin/blog/cic-la-gi
https://techcombank.com/thong-tin/blog/cach-tinh-lai-vay-ngan-hang
https://techcombank.com/thong-tin/blog/lai-suat-tiet-kiem
https://techcombank.com/thong-tin/blog/cach-tinh-lai-suat-tien-gui-tiet-kiem
https://techcombank.com/thong-tin/blog/rut-tien-tiet-kiem-truoc-thoi-han
https://techcombank.com/thong-tin/blog/so-tiet-kiem-ngan-hang
https://techcombank.com/cong-cu-tien-ich/cong-cu-tinh-toan/bang-tinh-lai-suat-vay
https://techcombank.com/thong-tin/blog/app-vay-tien-nhanh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10" t="str">
        <f>IFERROR(__xludf.DUMMYFUNCTION("""COMPUTED_VALUE"""),"https://techcombank.com/thong-tin/blog/dau-tu-trai-phieu-doanh-nghiep-dung-ham-lai-suat-cao")</f>
        <v>https://techcombank.com/thong-tin/blog/dau-tu-trai-phieu-doanh-nghiep-dung-ham-lai-suat-cao</v>
      </c>
      <c r="B107" s="11">
        <f>IFERROR(__xludf.DUMMYFUNCTION("""COMPUTED_VALUE"""),8.0)</f>
        <v>8</v>
      </c>
      <c r="C107" s="7" t="str">
        <f>IFERROR(__xludf.DUMMYFUNCTION("IF(A107="""","""",TEXTJOIN(CHAR(10),TRUE,FILTER('Tổng hợp 75 trang đích'!$B$2:$B$3400,'Tổng hợp 75 trang đích'!$I$2:$I$3400=A107)))"),"https://techcombank.com/thong-tin/blog/chung-chi-tien-gui-la-gi
https://techcombank.com/thong-tin/blog/lai-suat-chung-chi-tien-gui-cac-ngan-hang
https://techcombank.com/thong-tin/blog/lai-suat-tiet-kiem
https://techcombank.com/thong-tin/blog/cach-tinh-lai"&amp;"-suat-tien-gui-tiet-kiem
https://techcombank.com/thong-tin/blog/rut-tien-tiet-kiem-truoc-thoi-han
https://techcombank.com/cong-cu-tien-ich/cong-cu-tinh-toan/bang-tinh-lai-suat-tiet-kiem
https://techcombank.com/thong-tin/blog/app-vay-tien-nhanh
https://tec"&amp;"hcombank.com/thong-tin/blog/phuong-phap-dau-tu-chung-chi-quy")</f>
        <v>https://techcombank.com/thong-tin/blog/chung-chi-tien-gui-la-gi
https://techcombank.com/thong-tin/blog/lai-suat-chung-chi-tien-gui-cac-ngan-hang
https://techcombank.com/thong-tin/blog/lai-suat-tiet-kiem
https://techcombank.com/thong-tin/blog/cach-tinh-lai-suat-tien-gui-tiet-kiem
https://techcombank.com/thong-tin/blog/rut-tien-tiet-kiem-truoc-thoi-han
https://techcombank.com/cong-cu-tien-ich/cong-cu-tinh-toan/bang-tinh-lai-suat-tiet-kiem
https://techcombank.com/thong-tin/blog/app-vay-tien-nhanh
https://techcombank.com/thong-tin/blog/phuong-phap-dau-tu-chung-chi-quy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10" t="str">
        <f>IFERROR(__xludf.DUMMYFUNCTION("""COMPUTED_VALUE"""),"https://techcombank.com/thong-tin/blog/gui-tiet-kiem-hang-thang")</f>
        <v>https://techcombank.com/thong-tin/blog/gui-tiet-kiem-hang-thang</v>
      </c>
      <c r="B108" s="11">
        <f>IFERROR(__xludf.DUMMYFUNCTION("""COMPUTED_VALUE"""),8.0)</f>
        <v>8</v>
      </c>
      <c r="C108" s="7" t="str">
        <f>IFERROR(__xludf.DUMMYFUNCTION("IF(A108="""","""",TEXTJOIN(CHAR(10),TRUE,FILTER('Tổng hợp 75 trang đích'!$B$2:$B$3400,'Tổng hợp 75 trang đích'!$I$2:$I$3400=A108)))"),"https://techcombank.com/thong-tin/blog/lai-suat-chung-chi-tien-gui-cac-ngan-hang
https://techcombank.com/thong-tin/blog/lai-suat-tiet-kiem
https://techcombank.com/thong-tin/blog/cach-tinh-lai-suat-tien-gui-tiet-kiem
https://techcombank.com/thong-tin/blog/"&amp;"rut-tien-tiet-kiem-truoc-thoi-han
https://techcombank.com/thong-tin/blog/so-tiet-kiem-ngan-hang
https://techcombank.com/cong-cu-tien-ich/cong-cu-tinh-toan/bang-tinh-lai-suat-vay
https://techcombank.com/cong-cu-tien-ich/cong-cu-tinh-toan/bang-tinh-lai-suat"&amp;"-tiet-kiem
https://techcombank.com/thong-tin/blog/app-vay-tien-nhanh")</f>
        <v>https://techcombank.com/thong-tin/blog/lai-suat-chung-chi-tien-gui-cac-ngan-hang
https://techcombank.com/thong-tin/blog/lai-suat-tiet-kiem
https://techcombank.com/thong-tin/blog/cach-tinh-lai-suat-tien-gui-tiet-kiem
https://techcombank.com/thong-tin/blog/rut-tien-tiet-kiem-truoc-thoi-han
https://techcombank.com/thong-tin/blog/so-tiet-kiem-ngan-hang
https://techcombank.com/cong-cu-tien-ich/cong-cu-tinh-toan/bang-tinh-lai-suat-vay
https://techcombank.com/cong-cu-tien-ich/cong-cu-tinh-toan/bang-tinh-lai-suat-tiet-kiem
https://techcombank.com/thong-tin/blog/app-vay-tien-nhanh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10" t="str">
        <f>IFERROR(__xludf.DUMMYFUNCTION("""COMPUTED_VALUE"""),"https://techcombank.com/thong-tin/blog/gui-tiet-kiem-ngoai-te")</f>
        <v>https://techcombank.com/thong-tin/blog/gui-tiet-kiem-ngoai-te</v>
      </c>
      <c r="B109" s="11">
        <f>IFERROR(__xludf.DUMMYFUNCTION("""COMPUTED_VALUE"""),8.0)</f>
        <v>8</v>
      </c>
      <c r="C109" s="7" t="str">
        <f>IFERROR(__xludf.DUMMYFUNCTION("IF(A109="""","""",TEXTJOIN(CHAR(10),TRUE,FILTER('Tổng hợp 75 trang đích'!$B$2:$B$3400,'Tổng hợp 75 trang đích'!$I$2:$I$3400=A109)))"),"https://techcombank.com/thong-tin/blog/ngan-hang-uy-tin
https://techcombank.com/thong-tin/blog/1-te-bang-bao-nhieu-tien-viet-nam
https://techcombank.com/thong-tin/blog/doi-tien-do-o-dau
https://techcombank.com/thong-tin/blog/lai-suat-tiet-kiem
https://tec"&amp;"hcombank.com/thong-tin/blog/cach-tinh-lai-suat-tien-gui-tiet-kiem
https://techcombank.com/thong-tin/blog/so-tiet-kiem-ngan-hang
https://techcombank.com/cong-cu-tien-ich/cong-cu-tinh-toan/bang-tinh-lai-suat-tiet-kiem
https://techcombank.com/thong-tin/blog/"&amp;"app-vay-tien-nhanh")</f>
        <v>https://techcombank.com/thong-tin/blog/ngan-hang-uy-tin
https://techcombank.com/thong-tin/blog/1-te-bang-bao-nhieu-tien-viet-nam
https://techcombank.com/thong-tin/blog/doi-tien-do-o-dau
https://techcombank.com/thong-tin/blog/lai-suat-tiet-kiem
https://techcombank.com/thong-tin/blog/cach-tinh-lai-suat-tien-gui-tiet-kiem
https://techcombank.com/thong-tin/blog/so-tiet-kiem-ngan-hang
https://techcombank.com/cong-cu-tien-ich/cong-cu-tinh-toan/bang-tinh-lai-suat-tiet-kiem
https://techcombank.com/thong-tin/blog/app-vay-tien-nhanh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10" t="str">
        <f>IFERROR(__xludf.DUMMYFUNCTION("""COMPUTED_VALUE"""),"https://techcombank.com/thong-tin/blog/gui-tiet-kiem-theo-ngay")</f>
        <v>https://techcombank.com/thong-tin/blog/gui-tiet-kiem-theo-ngay</v>
      </c>
      <c r="B110" s="11">
        <f>IFERROR(__xludf.DUMMYFUNCTION("""COMPUTED_VALUE"""),8.0)</f>
        <v>8</v>
      </c>
      <c r="C110" s="7" t="str">
        <f>IFERROR(__xludf.DUMMYFUNCTION("IF(A110="""","""",TEXTJOIN(CHAR(10),TRUE,FILTER('Tổng hợp 75 trang đích'!$B$2:$B$3400,'Tổng hợp 75 trang đích'!$I$2:$I$3400=A110)))"),"https://techcombank.com/thong-tin/blog/chung-chi-tien-gui-la-gi
https://techcombank.com/thong-tin/blog/lai-suat-chung-chi-tien-gui-cac-ngan-hang
https://techcombank.com/thong-tin/blog/lai-suat-tiet-kiem
https://techcombank.com/thong-tin/blog/cach-tinh-lai"&amp;"-suat-tien-gui-tiet-kiem
https://techcombank.com/thong-tin/blog/rut-tien-tiet-kiem-truoc-thoi-han
https://techcombank.com/thong-tin/blog/so-tiet-kiem-ngan-hang
https://techcombank.com/cong-cu-tien-ich/cong-cu-tinh-toan/bang-tinh-lai-suat-tiet-kiem
https:/"&amp;"/techcombank.com/thong-tin/blog/app-vay-tien-nhanh")</f>
        <v>https://techcombank.com/thong-tin/blog/chung-chi-tien-gui-la-gi
https://techcombank.com/thong-tin/blog/lai-suat-chung-chi-tien-gui-cac-ngan-hang
https://techcombank.com/thong-tin/blog/lai-suat-tiet-kiem
https://techcombank.com/thong-tin/blog/cach-tinh-lai-suat-tien-gui-tiet-kiem
https://techcombank.com/thong-tin/blog/rut-tien-tiet-kiem-truoc-thoi-han
https://techcombank.com/thong-tin/blog/so-tiet-kiem-ngan-hang
https://techcombank.com/cong-cu-tien-ich/cong-cu-tinh-toan/bang-tinh-lai-suat-tiet-kiem
https://techcombank.com/thong-tin/blog/app-vay-tien-nhanh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10" t="str">
        <f>IFERROR(__xludf.DUMMYFUNCTION("""COMPUTED_VALUE"""),"https://techcombank.com/thong-tin/blog/hoan-thue-doanh-nghiep")</f>
        <v>https://techcombank.com/thong-tin/blog/hoan-thue-doanh-nghiep</v>
      </c>
      <c r="B111" s="11">
        <f>IFERROR(__xludf.DUMMYFUNCTION("""COMPUTED_VALUE"""),8.0)</f>
        <v>8</v>
      </c>
      <c r="C111" s="7" t="str">
        <f>IFERROR(__xludf.DUMMYFUNCTION("IF(A111="""","""",TEXTJOIN(CHAR(10),TRUE,FILTER('Tổng hợp 75 trang đích'!$B$2:$B$3400,'Tổng hợp 75 trang đích'!$I$2:$I$3400=A111)))"),"https://techcombank.com/thong-tin/blog/nop-thue-dat-qua-ngan-hang
https://techcombank.com/thong-tin/blog/cach-nop-thue-dien-tu
https://techcombank.com/thong-tin/blog/thue-thu-nhap-doanh-nghiep
https://techcombank.com/thong-tin/blog/thue-vat-la-gi
https://"&amp;"techcombank.com/thong-tin/blog/tra-cuu-no-thue-doanh-nghiep
https://techcombank.com/thong-tin/blog/thue-doanh-nghiep
https://techcombank.com/thong-tin/blog/cach-tinh-thue-thu-nhap-doanh-nghiep
https://techcombank.com/thong-tin/blog/ho-kinh-doanh-dong-thue"&amp;"-nhu-nao")</f>
        <v>https://techcombank.com/thong-tin/blog/nop-thue-dat-qua-ngan-hang
https://techcombank.com/thong-tin/blog/cach-nop-thue-dien-tu
https://techcombank.com/thong-tin/blog/thue-thu-nhap-doanh-nghiep
https://techcombank.com/thong-tin/blog/thue-vat-la-gi
https://techcombank.com/thong-tin/blog/tra-cuu-no-thue-doanh-nghiep
https://techcombank.com/thong-tin/blog/thue-doanh-nghiep
https://techcombank.com/thong-tin/blog/cach-tinh-thue-thu-nhap-doanh-nghiep
https://techcombank.com/thong-tin/blog/ho-kinh-doanh-dong-thue-nhu-nao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10" t="str">
        <f>IFERROR(__xludf.DUMMYFUNCTION("""COMPUTED_VALUE"""),"https://techcombank.com/thong-tin/blog/lai-suat-cho-vay-doanh-nghiep")</f>
        <v>https://techcombank.com/thong-tin/blog/lai-suat-cho-vay-doanh-nghiep</v>
      </c>
      <c r="B112" s="11">
        <f>IFERROR(__xludf.DUMMYFUNCTION("""COMPUTED_VALUE"""),8.0)</f>
        <v>8</v>
      </c>
      <c r="C112" s="7" t="str">
        <f>IFERROR(__xludf.DUMMYFUNCTION("IF(A112="""","""",TEXTJOIN(CHAR(10),TRUE,FILTER('Tổng hợp 75 trang đích'!$B$2:$B$3400,'Tổng hợp 75 trang đích'!$I$2:$I$3400=A112)))"),"https://techcombank.com/thong-tin/blog/cic-la-gi
https://techcombank.com/thong-tin/blog/lai-suat-chung-chi-tien-gui-cac-ngan-hang
https://techcombank.com/thong-tin/blog/lai-suat-tiet-kiem
https://techcombank.com/thong-tin/blog/cach-tinh-lai-suat-tien-gui-"&amp;"tiet-kiem
https://techcombank.com/cong-cu-tien-ich/cong-cu-tinh-toan/bang-tinh-lai-suat-vay
https://techcombank.com/cong-cu-tien-ich/cong-cu-tinh-toan/bang-tinh-lai-suat-tiet-kiem
https://techcombank.com/thong-tin/blog/app-vay-tien-nhanh
https://techcomba"&amp;"nk.com/thong-tin/blog/lai-suat-vay-ngan-hang")</f>
        <v>https://techcombank.com/thong-tin/blog/cic-la-gi
https://techcombank.com/thong-tin/blog/lai-suat-chung-chi-tien-gui-cac-ngan-hang
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
https://techcombank.com/thong-tin/blog/lai-suat-vay-ngan-hang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10" t="str">
        <f>IFERROR(__xludf.DUMMYFUNCTION("""COMPUTED_VALUE"""),"https://techcombank.com/thong-tin/blog/lai-suat-chung-chi-quy")</f>
        <v>https://techcombank.com/thong-tin/blog/lai-suat-chung-chi-quy</v>
      </c>
      <c r="B113" s="11">
        <f>IFERROR(__xludf.DUMMYFUNCTION("""COMPUTED_VALUE"""),8.0)</f>
        <v>8</v>
      </c>
      <c r="C113" s="7" t="str">
        <f>IFERROR(__xludf.DUMMYFUNCTION("IF(A113="""","""",TEXTJOIN(CHAR(10),TRUE,FILTER('Tổng hợp 75 trang đích'!$B$2:$B$3400,'Tổng hợp 75 trang đích'!$I$2:$I$3400=A113)))"),"https://techcombank.com/thong-tin/blog/thue-thu-nhap-doanh-nghiep
https://techcombank.com/thong-tin/blog/cach-tinh-thue-thu-nhap-doanh-nghiep
https://techcombank.com/thong-tin/blog/lai-suat-chung-chi-tien-gui-cac-ngan-hang
https://techcombank.com/thong-ti"&amp;"n/blog/lai-suat-tiet-kiem
https://techcombank.com/thong-tin/blog/cach-tinh-lai-suat-tien-gui-tiet-kiem
https://techcombank.com/cong-cu-tien-ich/cong-cu-tinh-toan/bang-tinh-lai-suat-tiet-kiem
https://techcombank.com/thong-tin/blog/app-vay-tien-nhanh
https:"&amp;"//techcombank.com/thong-tin/blog/phuong-phap-dau-tu-chung-chi-quy")</f>
        <v>https://techcombank.com/thong-tin/blog/thue-thu-nhap-doanh-nghiep
https://techcombank.com/thong-tin/blog/cach-tinh-thue-thu-nhap-doanh-nghiep
https://techcombank.com/thong-tin/blog/lai-suat-chung-chi-tien-gui-cac-ngan-hang
https://techcombank.com/thong-tin/blog/lai-suat-tiet-kiem
https://techcombank.com/thong-tin/blog/cach-tinh-lai-suat-tien-gui-tiet-kiem
https://techcombank.com/cong-cu-tien-ich/cong-cu-tinh-toan/bang-tinh-lai-suat-tiet-kiem
https://techcombank.com/thong-tin/blog/app-vay-tien-nhanh
https://techcombank.com/thong-tin/blog/phuong-phap-dau-tu-chung-chi-quy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10" t="str">
        <f>IFERROR(__xludf.DUMMYFUNCTION("""COMPUTED_VALUE"""),"https://techcombank.com/thong-tin/blog/lai-suat-ngan-hang-cho-vay-xay-nha")</f>
        <v>https://techcombank.com/thong-tin/blog/lai-suat-ngan-hang-cho-vay-xay-nha</v>
      </c>
      <c r="B114" s="11">
        <f>IFERROR(__xludf.DUMMYFUNCTION("""COMPUTED_VALUE"""),8.0)</f>
        <v>8</v>
      </c>
      <c r="C114" s="7" t="str">
        <f>IFERROR(__xludf.DUMMYFUNCTION("IF(A114="""","""",TEXTJOIN(CHAR(10),TRUE,FILTER('Tổng hợp 75 trang đích'!$B$2:$B$3400,'Tổng hợp 75 trang đích'!$I$2:$I$3400=A114)))"),"https://techcombank.com/thong-tin/blog/cic-la-gi
https://techcombank.com/thong-tin/blog/cach-tinh-lai-vay-ngan-hang
https://techcombank.com/thong-tin/blog/lai-suat-tiet-kiem
https://techcombank.com/thong-tin/blog/cach-tinh-lai-suat-tien-gui-tiet-kiem
http"&amp;"s://techcombank.com/cong-cu-tien-ich/cong-cu-tinh-toan/bang-tinh-lai-suat-vay
https://techcombank.com/cong-cu-tien-ich/cong-cu-tinh-toan/bang-tinh-lai-suat-tiet-kiem
https://techcombank.com/thong-tin/blog/app-vay-tien-nhanh
https://techcombank.com/thong-t"&amp;"in/blog/lai-suat-vay-ngan-hang")</f>
        <v>https://techcombank.com/thong-tin/blog/cic-la-gi
https://techcombank.com/thong-tin/blog/cach-tinh-lai-vay-ngan-hang
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
https://techcombank.com/thong-tin/blog/lai-suat-vay-ngan-hang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10" t="str">
        <f>IFERROR(__xludf.DUMMYFUNCTION("""COMPUTED_VALUE"""),"https://techcombank.com/thong-tin/blog/lai-suat-the-tin-dung")</f>
        <v>https://techcombank.com/thong-tin/blog/lai-suat-the-tin-dung</v>
      </c>
      <c r="B115" s="11">
        <f>IFERROR(__xludf.DUMMYFUNCTION("""COMPUTED_VALUE"""),8.0)</f>
        <v>8</v>
      </c>
      <c r="C115" s="7" t="str">
        <f>IFERROR(__xludf.DUMMYFUNCTION("IF(A115="""","""",TEXTJOIN(CHAR(10),TRUE,FILTER('Tổng hợp 75 trang đích'!$B$2:$B$3400,'Tổng hợp 75 trang đích'!$I$2:$I$3400=A115)))"),"https://techcombank.com/thong-tin/blog/cic-la-gi
https://techcombank.com/thong-tin/blog/rut-tien-mat-tu-the-tin-dung
https://techcombank.com/thong-tin/blog/cach-huy-the-tin-dung
https://techcombank.com/thong-tin/blog/lai-suat-tiet-kiem
https://techcombank"&amp;".com/thong-tin/blog/cach-tinh-lai-suat-tien-gui-tiet-kiem
https://techcombank.com/cong-cu-tien-ich/cong-cu-tinh-toan/bang-tinh-lai-suat-vay
https://techcombank.com/cong-cu-tien-ich/cong-cu-tinh-toan/bang-tinh-lai-suat-tiet-kiem
https://techcombank.com/tho"&amp;"ng-tin/blog/app-vay-tien-nhanh")</f>
        <v>https://techcombank.com/thong-tin/blog/cic-la-gi
https://techcombank.com/thong-tin/blog/rut-tien-mat-tu-the-tin-dung
https://techcombank.com/thong-tin/blog/cach-huy-the-tin-dung
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10" t="str">
        <f>IFERROR(__xludf.DUMMYFUNCTION("""COMPUTED_VALUE"""),"https://techcombank.com/thong-tin/blog/lai-suat-vay-ngan-hang")</f>
        <v>https://techcombank.com/thong-tin/blog/lai-suat-vay-ngan-hang</v>
      </c>
      <c r="B116" s="11">
        <f>IFERROR(__xludf.DUMMYFUNCTION("""COMPUTED_VALUE"""),8.0)</f>
        <v>8</v>
      </c>
      <c r="C116" s="7" t="str">
        <f>IFERROR(__xludf.DUMMYFUNCTION("IF(A116="""","""",TEXTJOIN(CHAR(10),TRUE,FILTER('Tổng hợp 75 trang đích'!$B$2:$B$3400,'Tổng hợp 75 trang đích'!$I$2:$I$3400=A116)))"),"https://techcombank.com/thong-tin/blog/ngan-hang-uy-tin
https://techcombank.com/thong-tin/blog/cach-tinh-lai-vay-ngan-hang
https://techcombank.com/thong-tin/blog/lai-suat-tiet-kiem
https://techcombank.com/thong-tin/blog/cach-tinh-lai-suat-tien-gui-tiet-ki"&amp;"em
https://techcombank.com/cong-cu-tien-ich/cong-cu-tinh-toan/bang-tinh-lai-suat-vay
https://techcombank.com/cong-cu-tien-ich/cong-cu-tinh-toan/bang-tinh-lai-suat-tiet-kiem
https://techcombank.com/thong-tin/blog/app-vay-tien-nhanh
https://techcombank.com/"&amp;"thong-tin/blog/nen-vay-tin-chap-o-dau")</f>
        <v>https://techcombank.com/thong-tin/blog/ngan-hang-uy-tin
https://techcombank.com/thong-tin/blog/cach-tinh-lai-vay-ngan-hang
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
https://techcombank.com/thong-tin/blog/nen-vay-tin-chap-o-dau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10" t="str">
        <f>IFERROR(__xludf.DUMMYFUNCTION("""COMPUTED_VALUE"""),"https://techcombank.com/thong-tin/blog/mm-yy-la-gi")</f>
        <v>https://techcombank.com/thong-tin/blog/mm-yy-la-gi</v>
      </c>
      <c r="B117" s="11">
        <f>IFERROR(__xludf.DUMMYFUNCTION("""COMPUTED_VALUE"""),8.0)</f>
        <v>8</v>
      </c>
      <c r="C117" s="7" t="str">
        <f>IFERROR(__xludf.DUMMYFUNCTION("IF(A117="""","""",TEXTJOIN(CHAR(10),TRUE,FILTER('Tổng hợp 75 trang đích'!$B$2:$B$3400,'Tổng hợp 75 trang đích'!$I$2:$I$3400=A117)))"),"https://techcombank.com/thong-tin/blog/nap-tien-vao-tai-khoan-ngan-hang
https://techcombank.com/thong-tin/blog/rut-tien-bang-ma-qr-la-gi-cach-thuc-hien-nhu-the-nao
https://techcombank.com/thong-tin/blog/cic-la-gi
https://techcombank.com/thong-tin/blog/lam"&amp;"-the-tin-dung
https://techcombank.com/khach-hang-ca-nhan/chi-tieu/the/the-tin-dung/techcombank-everyday
https://techcombank.com/thong-tin/blog/the-tin-dung-hoan-tien
https://techcombank.com/thong-tin/blog/cach-huy-the-tin-dung
https://techcombank.com/thon"&amp;"g-tin/blog/cach-thanh-toan-the-tin-dung")</f>
        <v>https://techcombank.com/thong-tin/blog/nap-tien-vao-tai-khoan-ngan-hang
https://techcombank.com/thong-tin/blog/rut-tien-bang-ma-qr-la-gi-cach-thuc-hien-nhu-the-nao
https://techcombank.com/thong-tin/blog/cic-la-gi
https://techcombank.com/thong-tin/blog/lam-the-tin-dung
https://techcombank.com/khach-hang-ca-nhan/chi-tieu/the/the-tin-dung/techcombank-everyday
https://techcombank.com/thong-tin/blog/the-tin-dung-hoan-tien
https://techcombank.com/thong-tin/blog/cach-huy-the-tin-dung
https://techcombank.com/thong-tin/blog/cach-thanh-toan-the-tin-dung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10" t="str">
        <f>IFERROR(__xludf.DUMMYFUNCTION("""COMPUTED_VALUE"""),"https://techcombank.com/thong-tin/blog/mua-nha-tra-gop-dua-truoc-100-trieu")</f>
        <v>https://techcombank.com/thong-tin/blog/mua-nha-tra-gop-dua-truoc-100-trieu</v>
      </c>
      <c r="B118" s="11">
        <f>IFERROR(__xludf.DUMMYFUNCTION("""COMPUTED_VALUE"""),8.0)</f>
        <v>8</v>
      </c>
      <c r="C118" s="7" t="str">
        <f>IFERROR(__xludf.DUMMYFUNCTION("IF(A118="""","""",TEXTJOIN(CHAR(10),TRUE,FILTER('Tổng hợp 75 trang đích'!$B$2:$B$3400,'Tổng hợp 75 trang đích'!$I$2:$I$3400=A118)))"),"https://techcombank.com/thong-tin/blog/lai-suat-vay-mua-o-to
https://techcombank.com/thong-tin/blog/cach-tinh-thue-thu-nhap-ca-nhan-2025
https://techcombank.com/thong-tin/blog/cic-la-gi
https://techcombank.com/thong-tin/blog/xep-hang-tin-dung
https://tech"&amp;"combank.com/cong-cu-tien-ich/cong-cu-tinh-toan/bang-tinh-lai-suat-vay
https://techcombank.com/thong-tin/blog/app-vay-tien-nhanh
https://techcombank.com/thong-tin/blog/lai-suat-vay-ngan-hang
https://techcombank.com/thong-tin/blog/vay-thau-chi-la-gi")</f>
        <v>https://techcombank.com/thong-tin/blog/lai-suat-vay-mua-o-to
https://techcombank.com/thong-tin/blog/cach-tinh-thue-thu-nhap-ca-nhan-2025
https://techcombank.com/thong-tin/blog/cic-la-gi
https://techcombank.com/thong-tin/blog/xep-hang-tin-dung
https://techcombank.com/cong-cu-tien-ich/cong-cu-tinh-toan/bang-tinh-lai-suat-vay
https://techcombank.com/thong-tin/blog/app-vay-tien-nhanh
https://techcombank.com/thong-tin/blog/lai-suat-vay-ngan-hang
https://techcombank.com/thong-tin/blog/vay-thau-chi-la-gi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10" t="str">
        <f>IFERROR(__xludf.DUMMYFUNCTION("""COMPUTED_VALUE"""),"https://techcombank.com/thong-tin/blog/nap-tien-vao-tai-khoan-ngan-hang")</f>
        <v>https://techcombank.com/thong-tin/blog/nap-tien-vao-tai-khoan-ngan-hang</v>
      </c>
      <c r="B119" s="11">
        <f>IFERROR(__xludf.DUMMYFUNCTION("""COMPUTED_VALUE"""),8.0)</f>
        <v>8</v>
      </c>
      <c r="C119" s="7" t="str">
        <f>IFERROR(__xludf.DUMMYFUNCTION("IF(A119="""","""",TEXTJOIN(CHAR(10),TRUE,FILTER('Tổng hợp 75 trang đích'!$B$2:$B$3400,'Tổng hợp 75 trang đích'!$I$2:$I$3400=A119)))"),"https://techcombank.com/thong-tin/blog/cach-nap-the-viettel
https://techcombank.com/thong-tin/blog/cach-tinh-tien-dien-sinh-hoat
https://techcombank.com/thong-tin/blog/cach-kiem-tra-tai-khoan-ngan-hang
https://techcombank.com/thong-tin/blog/cach-mo-tai-kh"&amp;"oan
https://techcombank.com/thong-tin/blog/mo-tai-khoan-ngan-hang-duoi-18-tuoi
https://techcombank.com/thong-tin/blog/day-so-phat-tai-phat-loc
https://techcombank.com/thong-tin/blog/rut-tien-bang-ma-qr-la-gi-cach-thuc-hien-nhu-the-nao
https://techcombank."&amp;"com/thong-tin/blog/cach-quet-nfc-cccd-tren-iphone")</f>
        <v>https://techcombank.com/thong-tin/blog/cach-nap-the-viettel
https://techcombank.com/thong-tin/blog/cach-tinh-tien-dien-sinh-hoat
https://techcombank.com/thong-tin/blog/cach-kiem-tra-tai-khoan-ngan-hang
https://techcombank.com/thong-tin/blog/cach-mo-tai-khoan
https://techcombank.com/thong-tin/blog/mo-tai-khoan-ngan-hang-duoi-18-tuoi
https://techcombank.com/thong-tin/blog/day-so-phat-tai-phat-loc
https://techcombank.com/thong-tin/blog/rut-tien-bang-ma-qr-la-gi-cach-thuc-hien-nhu-the-nao
https://techcombank.com/thong-tin/blog/cach-quet-nfc-cccd-tren-iphone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10" t="str">
        <f>IFERROR(__xludf.DUMMYFUNCTION("""COMPUTED_VALUE"""),"https://techcombank.com/thong-tin/blog/nen-gui-tiet-kiem-6-thang-hay-1-nam")</f>
        <v>https://techcombank.com/thong-tin/blog/nen-gui-tiet-kiem-6-thang-hay-1-nam</v>
      </c>
      <c r="B120" s="11">
        <f>IFERROR(__xludf.DUMMYFUNCTION("""COMPUTED_VALUE"""),8.0)</f>
        <v>8</v>
      </c>
      <c r="C120" s="7" t="str">
        <f>IFERROR(__xludf.DUMMYFUNCTION("IF(A120="""","""",TEXTJOIN(CHAR(10),TRUE,FILTER('Tổng hợp 75 trang đích'!$B$2:$B$3400,'Tổng hợp 75 trang đích'!$I$2:$I$3400=A120)))"),"https://techcombank.com/thong-tin/blog/chung-chi-tien-gui-la-gi
https://techcombank.com/thong-tin/blog/lai-suat-chung-chi-tien-gui-cac-ngan-hang
https://techcombank.com/thong-tin/blog/lai-suat-tiet-kiem
https://techcombank.com/thong-tin/blog/cach-tinh-lai"&amp;"-suat-tien-gui-tiet-kiem
https://techcombank.com/thong-tin/blog/rut-tien-tiet-kiem-truoc-thoi-han
https://techcombank.com/thong-tin/blog/so-tiet-kiem-ngan-hang
https://techcombank.com/cong-cu-tien-ich/cong-cu-tinh-toan/bang-tinh-lai-suat-tiet-kiem
https:/"&amp;"/techcombank.com/thong-tin/blog/app-vay-tien-nhanh")</f>
        <v>https://techcombank.com/thong-tin/blog/chung-chi-tien-gui-la-gi
https://techcombank.com/thong-tin/blog/lai-suat-chung-chi-tien-gui-cac-ngan-hang
https://techcombank.com/thong-tin/blog/lai-suat-tiet-kiem
https://techcombank.com/thong-tin/blog/cach-tinh-lai-suat-tien-gui-tiet-kiem
https://techcombank.com/thong-tin/blog/rut-tien-tiet-kiem-truoc-thoi-han
https://techcombank.com/thong-tin/blog/so-tiet-kiem-ngan-hang
https://techcombank.com/cong-cu-tien-ich/cong-cu-tinh-toan/bang-tinh-lai-suat-tiet-kiem
https://techcombank.com/thong-tin/blog/app-vay-tien-nhanh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10" t="str">
        <f>IFERROR(__xludf.DUMMYFUNCTION("""COMPUTED_VALUE"""),"https://techcombank.com/thong-tin/blog/nhung-ho-kinh-doanh-duoc-mien-thue")</f>
        <v>https://techcombank.com/thong-tin/blog/nhung-ho-kinh-doanh-duoc-mien-thue</v>
      </c>
      <c r="B121" s="11">
        <f>IFERROR(__xludf.DUMMYFUNCTION("""COMPUTED_VALUE"""),8.0)</f>
        <v>8</v>
      </c>
      <c r="C121" s="7" t="str">
        <f>IFERROR(__xludf.DUMMYFUNCTION("IF(A121="""","""",TEXTJOIN(CHAR(10),TRUE,FILTER('Tổng hợp 75 trang đích'!$B$2:$B$3400,'Tổng hợp 75 trang đích'!$I$2:$I$3400=A121)))"),"https://techcombank.com/thong-tin/blog/nop-thue-dat-qua-ngan-hang
https://techcombank.com/thong-tin/blog/thue-vat-la-gi
https://techcombank.com/thong-tin/blog/cach-tinh-thue-thu-nhap-ca-nhan-2025
https://techcombank.com/thong-tin/blog/kiem-tra-thue-thu-nh"&amp;"ap-ca-nhan
https://techcombank.com/thong-tin/blog/thue-thu-nhap-ca-nhan
https://techcombank.com/thong-tin/blog/ho-kinh-doanh-dong-thue-nhu-nao
https://techcombank.com/thong-tin/blog/mo-tai-khoan-ho-kinh-doanh
https://techcombank.com/thong-tin/blog/cach-ti"&amp;"nh-thue-ho-kinh-doanh-nho-le")</f>
        <v>https://techcombank.com/thong-tin/blog/nop-thue-dat-qua-ngan-hang
https://techcombank.com/thong-tin/blog/thue-vat-la-gi
https://techcombank.com/thong-tin/blog/cach-tinh-thue-thu-nhap-ca-nhan-2025
https://techcombank.com/thong-tin/blog/kiem-tra-thue-thu-nhap-ca-nhan
https://techcombank.com/thong-tin/blog/thue-thu-nhap-ca-nhan
https://techcombank.com/thong-tin/blog/ho-kinh-doanh-dong-thue-nhu-nao
https://techcombank.com/thong-tin/blog/mo-tai-khoan-ho-kinh-doanh
https://techcombank.com/thong-tin/blog/cach-tinh-thue-ho-kinh-doanh-nho-le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10" t="str">
        <f>IFERROR(__xludf.DUMMYFUNCTION("""COMPUTED_VALUE"""),"https://techcombank.com/thong-tin/blog/no-nhom-3")</f>
        <v>https://techcombank.com/thong-tin/blog/no-nhom-3</v>
      </c>
      <c r="B122" s="11">
        <f>IFERROR(__xludf.DUMMYFUNCTION("""COMPUTED_VALUE"""),8.0)</f>
        <v>8</v>
      </c>
      <c r="C122" s="7" t="str">
        <f>IFERROR(__xludf.DUMMYFUNCTION("IF(A122="""","""",TEXTJOIN(CHAR(10),TRUE,FILTER('Tổng hợp 75 trang đích'!$B$2:$B$3400,'Tổng hợp 75 trang đích'!$I$2:$I$3400=A122)))"),"https://techcombank.com/thong-tin/blog/cic-la-gi
https://techcombank.com/thong-tin/blog/xep-hang-tin-dung
https://techcombank.com/cong-cu-tien-ich/cong-cu-tinh-toan/bang-tinh-lai-suat-vay
https://techcombank.com/thong-tin/blog/app-vay-tien-nhanh
https://t"&amp;"echcombank.com/thong-tin/blog/lai-suat-vay-ngan-hang
https://techcombank.com/thong-tin/blog/kiem-tra-no-xau
https://techcombank.com/thong-tin/blog/no-xau-la-gi
https://techcombank.com/thong-tin/blog/vay-tin-chap-khong-tra-duoc-co-sao-khong")</f>
        <v>https://techcombank.com/thong-tin/blog/cic-la-gi
https://techcombank.com/thong-tin/blog/xep-hang-tin-dung
https://techcombank.com/cong-cu-tien-ich/cong-cu-tinh-toan/bang-tinh-lai-suat-vay
https://techcombank.com/thong-tin/blog/app-vay-tien-nhanh
https://techcombank.com/thong-tin/blog/lai-suat-vay-ngan-hang
https://techcombank.com/thong-tin/blog/kiem-tra-no-xau
https://techcombank.com/thong-tin/blog/no-xau-la-gi
https://techcombank.com/thong-tin/blog/vay-tin-chap-khong-tra-duoc-co-sao-khong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10" t="str">
        <f>IFERROR(__xludf.DUMMYFUNCTION("""COMPUTED_VALUE"""),"https://techcombank.com/thong-tin/blog/no-xau-nhom-2")</f>
        <v>https://techcombank.com/thong-tin/blog/no-xau-nhom-2</v>
      </c>
      <c r="B123" s="11">
        <f>IFERROR(__xludf.DUMMYFUNCTION("""COMPUTED_VALUE"""),8.0)</f>
        <v>8</v>
      </c>
      <c r="C123" s="7" t="str">
        <f>IFERROR(__xludf.DUMMYFUNCTION("IF(A123="""","""",TEXTJOIN(CHAR(10),TRUE,FILTER('Tổng hợp 75 trang đích'!$B$2:$B$3400,'Tổng hợp 75 trang đích'!$I$2:$I$3400=A123)))"),"https://techcombank.com/thong-tin/blog/cic-la-gi
https://techcombank.com/thong-tin/blog/rut-tien-mat-tu-the-tin-dung
https://techcombank.com/cong-cu-tien-ich/cong-cu-tinh-toan/bang-tinh-lai-suat-vay
https://techcombank.com/thong-tin/blog/app-vay-tien-nhan"&amp;"h
https://techcombank.com/thong-tin/blog/lai-suat-vay-ngan-hang
https://techcombank.com/thong-tin/blog/vay-thau-chi-la-gi
https://techcombank.com/thong-tin/blog/kiem-tra-no-xau
https://techcombank.com/thong-tin/blog/no-xau-la-gi")</f>
        <v>https://techcombank.com/thong-tin/blog/cic-la-gi
https://techcombank.com/thong-tin/blog/rut-tien-mat-tu-the-tin-dung
https://techcombank.com/cong-cu-tien-ich/cong-cu-tinh-toan/bang-tinh-lai-suat-vay
https://techcombank.com/thong-tin/blog/app-vay-tien-nhanh
https://techcombank.com/thong-tin/blog/lai-suat-vay-ngan-hang
https://techcombank.com/thong-tin/blog/vay-thau-chi-la-gi
https://techcombank.com/thong-tin/blog/kiem-tra-no-xau
https://techcombank.com/thong-tin/blog/no-xau-la-gi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10" t="str">
        <f>IFERROR(__xludf.DUMMYFUNCTION("""COMPUTED_VALUE"""),"https://techcombank.com/thong-tin/blog/tai-khoan-doanh-nghiep-co-the-khong")</f>
        <v>https://techcombank.com/thong-tin/blog/tai-khoan-doanh-nghiep-co-the-khong</v>
      </c>
      <c r="B124" s="11">
        <f>IFERROR(__xludf.DUMMYFUNCTION("""COMPUTED_VALUE"""),8.0)</f>
        <v>8</v>
      </c>
      <c r="C124" s="7" t="str">
        <f>IFERROR(__xludf.DUMMYFUNCTION("IF(A124="""","""",TEXTJOIN(CHAR(10),TRUE,FILTER('Tổng hợp 75 trang đích'!$B$2:$B$3400,'Tổng hợp 75 trang đích'!$I$2:$I$3400=A124)))"),"https://techcombank.com/thong-tin/blog/cong-ty-su-dung-tai-khoan-ca-nhan
https://techcombank.com/thong-tin/blog/eco-card
https://techcombank.com/thong-tin/blog/cic-la-gi
https://techcombank.com/thong-tin/blog/lam-the-tin-dung
https://techcombank.com/khach"&amp;"-hang-ca-nhan/chi-tieu/the/the-tin-dung/techcombank-everyday
https://techcombank.com/thong-tin/blog/the-tin-dung-hoan-tien
https://techcombank.com/thong-tin/blog/cach-huy-the-tin-dung
https://techcombank.com/thong-tin/blog/cach-thanh-toan-the-tin-dung")</f>
        <v>https://techcombank.com/thong-tin/blog/cong-ty-su-dung-tai-khoan-ca-nhan
https://techcombank.com/thong-tin/blog/eco-card
https://techcombank.com/thong-tin/blog/cic-la-gi
https://techcombank.com/thong-tin/blog/lam-the-tin-dung
https://techcombank.com/khach-hang-ca-nhan/chi-tieu/the/the-tin-dung/techcombank-everyday
https://techcombank.com/thong-tin/blog/the-tin-dung-hoan-tien
https://techcombank.com/thong-tin/blog/cach-huy-the-tin-dung
https://techcombank.com/thong-tin/blog/cach-thanh-toan-the-tin-dung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10" t="str">
        <f>IFERROR(__xludf.DUMMYFUNCTION("""COMPUTED_VALUE"""),"https://techcombank.com/thong-tin/blog/thanh-toan-toi-thieu-the-tin-dung")</f>
        <v>https://techcombank.com/thong-tin/blog/thanh-toan-toi-thieu-the-tin-dung</v>
      </c>
      <c r="B125" s="11">
        <f>IFERROR(__xludf.DUMMYFUNCTION("""COMPUTED_VALUE"""),8.0)</f>
        <v>8</v>
      </c>
      <c r="C125" s="7" t="str">
        <f>IFERROR(__xludf.DUMMYFUNCTION("IF(A125="""","""",TEXTJOIN(CHAR(10),TRUE,FILTER('Tổng hợp 75 trang đích'!$B$2:$B$3400,'Tổng hợp 75 trang đích'!$I$2:$I$3400=A125)))"),"https://techcombank.com/thong-tin/blog/cic-la-gi
https://techcombank.com/thong-tin/blog/cach-huy-the-tin-dung
https://techcombank.com/thong-tin/blog/xep-hang-tin-dung
https://techcombank.com/thong-tin/blog/cach-thanh-toan-the-tin-dung
https://techcombank."&amp;"com/thong-tin/blog/app-vay-tien-nhanh
https://techcombank.com/thong-tin/blog/kiem-tra-no-xau
https://techcombank.com/thong-tin/blog/no-xau-la-gi
https://techcombank.com/thong-tin/blog/vay-tin-chap-khong-tra-duoc-co-sao-khong")</f>
        <v>https://techcombank.com/thong-tin/blog/cic-la-gi
https://techcombank.com/thong-tin/blog/cach-huy-the-tin-dung
https://techcombank.com/thong-tin/blog/xep-hang-tin-dung
https://techcombank.com/thong-tin/blog/cach-thanh-toan-the-tin-dung
https://techcombank.com/thong-tin/blog/app-vay-tien-nhanh
https://techcombank.com/thong-tin/blog/kiem-tra-no-xau
https://techcombank.com/thong-tin/blog/no-xau-la-gi
https://techcombank.com/thong-tin/blog/vay-tin-chap-khong-tra-duoc-co-sao-khong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10" t="str">
        <f>IFERROR(__xludf.DUMMYFUNCTION("""COMPUTED_VALUE"""),"https://techcombank.com/thong-tin/blog/the-tin-dung-quoc-te")</f>
        <v>https://techcombank.com/thong-tin/blog/the-tin-dung-quoc-te</v>
      </c>
      <c r="B126" s="11">
        <f>IFERROR(__xludf.DUMMYFUNCTION("""COMPUTED_VALUE"""),8.0)</f>
        <v>8</v>
      </c>
      <c r="C126" s="7" t="str">
        <f>IFERROR(__xludf.DUMMYFUNCTION("IF(A126="""","""",TEXTJOIN(CHAR(10),TRUE,FILTER('Tổng hợp 75 trang đích'!$B$2:$B$3400,'Tổng hợp 75 trang đích'!$I$2:$I$3400=A126)))"),"https://techcombank.com/thong-tin/blog/cic-la-gi
https://techcombank.com/thong-tin/blog/lam-the-tin-dung
https://techcombank.com/khach-hang-ca-nhan/chi-tieu/the/the-tin-dung/techcombank-everyday
https://techcombank.com/thong-tin/blog/the-tin-dung-hoan-tie"&amp;"n
https://techcombank.com/thong-tin/blog/cach-huy-the-tin-dung
https://techcombank.com/thong-tin/blog/cach-thanh-toan-the-tin-dung
https://techcombank.com/thong-tin/blog/cach-nhan-tien-tu-nuoc-ngoai-ve-viet-nam
https://techcombank.com/thong-tin/blog/app-v"&amp;"ay-tien-nhanh")</f>
        <v>https://techcombank.com/thong-tin/blog/cic-la-gi
https://techcombank.com/thong-tin/blog/lam-the-tin-dung
https://techcombank.com/khach-hang-ca-nhan/chi-tieu/the/the-tin-dung/techcombank-everyday
https://techcombank.com/thong-tin/blog/the-tin-dung-hoan-tien
https://techcombank.com/thong-tin/blog/cach-huy-the-tin-dung
https://techcombank.com/thong-tin/blog/cach-thanh-toan-the-tin-dung
https://techcombank.com/thong-tin/blog/cach-nhan-tien-tu-nuoc-ngoai-ve-viet-nam
https://techcombank.com/thong-tin/blog/app-vay-tien-nhanh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10" t="str">
        <f>IFERROR(__xludf.DUMMYFUNCTION("""COMPUTED_VALUE"""),"https://techcombank.com/thong-tin/blog/tien-gui-co-ky-han")</f>
        <v>https://techcombank.com/thong-tin/blog/tien-gui-co-ky-han</v>
      </c>
      <c r="B127" s="11">
        <f>IFERROR(__xludf.DUMMYFUNCTION("""COMPUTED_VALUE"""),8.0)</f>
        <v>8</v>
      </c>
      <c r="C127" s="7" t="str">
        <f>IFERROR(__xludf.DUMMYFUNCTION("IF(A127="""","""",TEXTJOIN(CHAR(10),TRUE,FILTER('Tổng hợp 75 trang đích'!$B$2:$B$3400,'Tổng hợp 75 trang đích'!$I$2:$I$3400=A127)))"),"https://techcombank.com/thong-tin/blog/rut-tien-mat-tu-the-tin-dung
https://techcombank.com/thong-tin/blog/lai-suat-chung-chi-tien-gui-cac-ngan-hang
https://techcombank.com/thong-tin/blog/lai-suat-tiet-kiem
https://techcombank.com/thong-tin/blog/cach-tinh"&amp;"-lai-suat-tien-gui-tiet-kiem
https://techcombank.com/thong-tin/blog/rut-tien-tiet-kiem-truoc-thoi-han
https://techcombank.com/cong-cu-tien-ich/cong-cu-tinh-toan/bang-tinh-lai-suat-vay
https://techcombank.com/cong-cu-tien-ich/cong-cu-tinh-toan/bang-tinh-la"&amp;"i-suat-tiet-kiem
https://techcombank.com/thong-tin/blog/app-vay-tien-nhanh")</f>
        <v>https://techcombank.com/thong-tin/blog/rut-tien-mat-tu-the-tin-dung
https://techcombank.com/thong-tin/blog/lai-suat-chung-chi-tien-gui-cac-ngan-hang
https://techcombank.com/thong-tin/blog/lai-suat-tiet-kiem
https://techcombank.com/thong-tin/blog/cach-tinh-lai-suat-tien-gui-tiet-kiem
https://techcombank.com/thong-tin/blog/rut-tien-tiet-kiem-truoc-thoi-han
https://techcombank.com/cong-cu-tien-ich/cong-cu-tinh-toan/bang-tinh-lai-suat-vay
https://techcombank.com/cong-cu-tien-ich/cong-cu-tinh-toan/bang-tinh-lai-suat-tiet-kiem
https://techcombank.com/thong-tin/blog/app-vay-tien-nhanh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10" t="str">
        <f>IFERROR(__xludf.DUMMYFUNCTION("""COMPUTED_VALUE"""),"https://techcombank.com/thong-tin/blog/vay-15-trieu")</f>
        <v>https://techcombank.com/thong-tin/blog/vay-15-trieu</v>
      </c>
      <c r="B128" s="11">
        <f>IFERROR(__xludf.DUMMYFUNCTION("""COMPUTED_VALUE"""),8.0)</f>
        <v>8</v>
      </c>
      <c r="C128" s="7" t="str">
        <f>IFERROR(__xludf.DUMMYFUNCTION("IF(A128="""","""",TEXTJOIN(CHAR(10),TRUE,FILTER('Tổng hợp 75 trang đích'!$B$2:$B$3400,'Tổng hợp 75 trang đích'!$I$2:$I$3400=A128)))"),"https://techcombank.com/thong-tin/blog/cic-la-gi
https://techcombank.com/thong-tin/blog/cach-tinh-lai-vay-ngan-hang
https://techcombank.com/thong-tin/blog/lai-suat-tiet-kiem
https://techcombank.com/thong-tin/blog/cach-tinh-lai-suat-tien-gui-tiet-kiem
http"&amp;"s://techcombank.com/cong-cu-tien-ich/cong-cu-tinh-toan/bang-tinh-lai-suat-vay
https://techcombank.com/cong-cu-tien-ich/cong-cu-tinh-toan/bang-tinh-lai-suat-tiet-kiem
https://techcombank.com/thong-tin/blog/app-vay-tien-nhanh
https://techcombank.com/thong-t"&amp;"in/blog/lai-suat-vay-ngan-hang")</f>
        <v>https://techcombank.com/thong-tin/blog/cic-la-gi
https://techcombank.com/thong-tin/blog/cach-tinh-lai-vay-ngan-hang
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
https://techcombank.com/thong-tin/blog/lai-suat-vay-ngan-hang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10" t="str">
        <f>IFERROR(__xludf.DUMMYFUNCTION("""COMPUTED_VALUE"""),"https://techcombank.com/thong-tin/blog/vay-20-trieu")</f>
        <v>https://techcombank.com/thong-tin/blog/vay-20-trieu</v>
      </c>
      <c r="B129" s="11">
        <f>IFERROR(__xludf.DUMMYFUNCTION("""COMPUTED_VALUE"""),8.0)</f>
        <v>8</v>
      </c>
      <c r="C129" s="7" t="str">
        <f>IFERROR(__xludf.DUMMYFUNCTION("IF(A129="""","""",TEXTJOIN(CHAR(10),TRUE,FILTER('Tổng hợp 75 trang đích'!$B$2:$B$3400,'Tổng hợp 75 trang đích'!$I$2:$I$3400=A129)))"),"https://techcombank.com/thong-tin/blog/cic-la-gi
https://techcombank.com/thong-tin/blog/cach-tinh-lai-suat-tien-gui-tiet-kiem
https://techcombank.com/thong-tin/blog/rut-tien-tiet-kiem-truoc-thoi-han
https://techcombank.com/cong-cu-tien-ich/cong-cu-tinh-to"&amp;"an/bang-tinh-lai-suat-vay
https://techcombank.com/cong-cu-tien-ich/cong-cu-tinh-toan/bang-tinh-lai-suat-tiet-kiem
https://techcombank.com/thong-tin/blog/app-vay-tien-nhanh
https://techcombank.com/thong-tin/blog/lai-suat-vay-ngan-hang
https://techcombank.c"&amp;"om/thong-tin/blog/nen-vay-tin-chap-o-dau")</f>
        <v>https://techcombank.com/thong-tin/blog/cic-la-gi
https://techcombank.com/thong-tin/blog/cach-tinh-lai-suat-tien-gui-tiet-kiem
https://techcombank.com/thong-tin/blog/rut-tien-tiet-kiem-truoc-thoi-han
https://techcombank.com/cong-cu-tien-ich/cong-cu-tinh-toan/bang-tinh-lai-suat-vay
https://techcombank.com/cong-cu-tien-ich/cong-cu-tinh-toan/bang-tinh-lai-suat-tiet-kiem
https://techcombank.com/thong-tin/blog/app-vay-tien-nhanh
https://techcombank.com/thong-tin/blog/lai-suat-vay-ngan-hang
https://techcombank.com/thong-tin/blog/nen-vay-tin-chap-o-dau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10" t="str">
        <f>IFERROR(__xludf.DUMMYFUNCTION("""COMPUTED_VALUE"""),"https://techcombank.com/thong-tin/blog/vay-bo-sung-von-luu-dong")</f>
        <v>https://techcombank.com/thong-tin/blog/vay-bo-sung-von-luu-dong</v>
      </c>
      <c r="B130" s="11">
        <f>IFERROR(__xludf.DUMMYFUNCTION("""COMPUTED_VALUE"""),8.0)</f>
        <v>8</v>
      </c>
      <c r="C130" s="7" t="str">
        <f>IFERROR(__xludf.DUMMYFUNCTION("IF(A130="""","""",TEXTJOIN(CHAR(10),TRUE,FILTER('Tổng hợp 75 trang đích'!$B$2:$B$3400,'Tổng hợp 75 trang đích'!$I$2:$I$3400=A130)))"),"https://techcombank.com/thong-tin/blog/nop-thue-dat-qua-ngan-hang
https://techcombank.com/thong-tin/blog/cic-la-gi
https://techcombank.com/thong-tin/blog/lai-suat-tiet-kiem
https://techcombank.com/thong-tin/blog/cach-tinh-lai-suat-tien-gui-tiet-kiem
https"&amp;"://techcombank.com/cong-cu-tien-ich/cong-cu-tinh-toan/bang-tinh-lai-suat-vay
https://techcombank.com/cong-cu-tien-ich/cong-cu-tinh-toan/bang-tinh-lai-suat-tiet-kiem
https://techcombank.com/thong-tin/blog/app-vay-tien-nhanh
https://techcombank.com/thong-ti"&amp;"n/blog/lai-suat-vay-ngan-hang")</f>
        <v>https://techcombank.com/thong-tin/blog/nop-thue-dat-qua-ngan-hang
https://techcombank.com/thong-tin/blog/cic-la-gi
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
https://techcombank.com/thong-tin/blog/lai-suat-vay-ngan-hang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10" t="str">
        <f>IFERROR(__xludf.DUMMYFUNCTION("""COMPUTED_VALUE"""),"https://techcombank.com/thong-tin/blog/vay-mua-chung-cu")</f>
        <v>https://techcombank.com/thong-tin/blog/vay-mua-chung-cu</v>
      </c>
      <c r="B131" s="11">
        <f>IFERROR(__xludf.DUMMYFUNCTION("""COMPUTED_VALUE"""),8.0)</f>
        <v>8</v>
      </c>
      <c r="C131" s="7" t="str">
        <f>IFERROR(__xludf.DUMMYFUNCTION("IF(A131="""","""",TEXTJOIN(CHAR(10),TRUE,FILTER('Tổng hợp 75 trang đích'!$B$2:$B$3400,'Tổng hợp 75 trang đích'!$I$2:$I$3400=A131)))"),"https://techcombank.com/thong-tin/blog/cic-la-gi
https://techcombank.com/thong-tin/blog/vay-ngan-hang-1-ty-moi-thang-tra-bao-nhieu
https://techcombank.com/thong-tin/blog/lai-suat-tiet-kiem
https://techcombank.com/thong-tin/blog/cach-tinh-lai-suat-tien-gui"&amp;"-tiet-kiem
https://techcombank.com/cong-cu-tien-ich/cong-cu-tinh-toan/bang-tinh-lai-suat-vay
https://techcombank.com/cong-cu-tien-ich/cong-cu-tinh-toan/bang-tinh-lai-suat-tiet-kiem
https://techcombank.com/thong-tin/blog/app-vay-tien-nhanh
https://techcomb"&amp;"ank.com/thong-tin/blog/lai-suat-vay-ngan-hang")</f>
        <v>https://techcombank.com/thong-tin/blog/cic-la-gi
https://techcombank.com/thong-tin/blog/vay-ngan-hang-1-ty-moi-thang-tra-bao-nhieu
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
https://techcombank.com/thong-tin/blog/lai-suat-vay-ngan-hang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10" t="str">
        <f>IFERROR(__xludf.DUMMYFUNCTION("""COMPUTED_VALUE"""),"https://techcombank.com/thong-tin/blog/vay-mua-dien-thoai")</f>
        <v>https://techcombank.com/thong-tin/blog/vay-mua-dien-thoai</v>
      </c>
      <c r="B132" s="11">
        <f>IFERROR(__xludf.DUMMYFUNCTION("""COMPUTED_VALUE"""),8.0)</f>
        <v>8</v>
      </c>
      <c r="C132" s="7" t="str">
        <f>IFERROR(__xludf.DUMMYFUNCTION("IF(A132="""","""",TEXTJOIN(CHAR(10),TRUE,FILTER('Tổng hợp 75 trang đích'!$B$2:$B$3400,'Tổng hợp 75 trang đích'!$I$2:$I$3400=A132)))"),"https://techcombank.com/thong-tin/blog/cic-la-gi
https://techcombank.com/thong-tin/blog/lai-suat-tiet-kiem
https://techcombank.com/thong-tin/blog/cach-tinh-lai-suat-tien-gui-tiet-kiem
https://techcombank.com/cong-cu-tien-ich/cong-cu-tinh-toan/bang-tinh-la"&amp;"i-suat-vay
https://techcombank.com/cong-cu-tien-ich/cong-cu-tinh-toan/bang-tinh-lai-suat-tiet-kiem
https://techcombank.com/thong-tin/blog/app-vay-tien-nhanh
https://techcombank.com/thong-tin/blog/lai-suat-vay-ngan-hang
https://techcombank.com/thong-tin/bl"&amp;"og/vay-thau-chi-la-gi")</f>
        <v>https://techcombank.com/thong-tin/blog/cic-la-gi
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
https://techcombank.com/thong-tin/blog/lai-suat-vay-ngan-hang
https://techcombank.com/thong-tin/blog/vay-thau-chi-la-gi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10" t="str">
        <f>IFERROR(__xludf.DUMMYFUNCTION("""COMPUTED_VALUE"""),"https://techcombank.com/thong-tin/blog/vay-mua-nha-tra-gop")</f>
        <v>https://techcombank.com/thong-tin/blog/vay-mua-nha-tra-gop</v>
      </c>
      <c r="B133" s="11">
        <f>IFERROR(__xludf.DUMMYFUNCTION("""COMPUTED_VALUE"""),8.0)</f>
        <v>8</v>
      </c>
      <c r="C133" s="7" t="str">
        <f>IFERROR(__xludf.DUMMYFUNCTION("IF(A133="""","""",TEXTJOIN(CHAR(10),TRUE,FILTER('Tổng hợp 75 trang đích'!$B$2:$B$3400,'Tổng hợp 75 trang đích'!$I$2:$I$3400=A133)))"),"https://techcombank.com/thong-tin/blog/cic-la-gi
https://techcombank.com/thong-tin/blog/vay-ngan-hang-1-ty-moi-thang-tra-bao-nhieu
https://techcombank.com/thong-tin/blog/cach-tinh-lai-vay-ngan-hang
https://techcombank.com/thong-tin/blog/lai-suat-tiet-kiem"&amp;"
https://techcombank.com/cong-cu-tien-ich/cong-cu-tinh-toan/bang-tinh-lai-suat-vay
https://techcombank.com/thong-tin/blog/app-vay-tien-nhanh
https://techcombank.com/thong-tin/blog/lai-suat-vay-ngan-hang
https://techcombank.com/thong-tin/blog/vay-thau-chi-"&amp;"la-gi")</f>
        <v>https://techcombank.com/thong-tin/blog/cic-la-gi
https://techcombank.com/thong-tin/blog/vay-ngan-hang-1-ty-moi-thang-tra-bao-nhieu
https://techcombank.com/thong-tin/blog/cach-tinh-lai-vay-ngan-hang
https://techcombank.com/thong-tin/blog/lai-suat-tiet-kiem
https://techcombank.com/cong-cu-tien-ich/cong-cu-tinh-toan/bang-tinh-lai-suat-vay
https://techcombank.com/thong-tin/blog/app-vay-tien-nhanh
https://techcombank.com/thong-tin/blog/lai-suat-vay-ngan-hang
https://techcombank.com/thong-tin/blog/vay-thau-chi-la-gi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10" t="str">
        <f>IFERROR(__xludf.DUMMYFUNCTION("""COMPUTED_VALUE"""),"https://techcombank.com/thong-tin/blog/vay-tien-mat")</f>
        <v>https://techcombank.com/thong-tin/blog/vay-tien-mat</v>
      </c>
      <c r="B134" s="11">
        <f>IFERROR(__xludf.DUMMYFUNCTION("""COMPUTED_VALUE"""),8.0)</f>
        <v>8</v>
      </c>
      <c r="C134" s="7" t="str">
        <f>IFERROR(__xludf.DUMMYFUNCTION("IF(A134="""","""",TEXTJOIN(CHAR(10),TRUE,FILTER('Tổng hợp 75 trang đích'!$B$2:$B$3400,'Tổng hợp 75 trang đích'!$I$2:$I$3400=A134)))"),"https://techcombank.com/thong-tin/blog/rut-tien-mat-tu-the-tin-dung
https://techcombank.com/thong-tin/blog/lai-suat-tiet-kiem
https://techcombank.com/thong-tin/blog/cach-tinh-lai-suat-tien-gui-tiet-kiem
https://techcombank.com/cong-cu-tien-ich/cong-cu-tin"&amp;"h-toan/bang-tinh-lai-suat-vay
https://techcombank.com/thong-tin/blog/app-vay-tien-nhanh
https://techcombank.com/thong-tin/blog/lai-suat-vay-ngan-hang
https://techcombank.com/thong-tin/blog/vay-thau-chi-la-gi
https://techcombank.com/thong-tin/blog/nen-vay-"&amp;"tin-chap-o-dau")</f>
        <v>https://techcombank.com/thong-tin/blog/rut-tien-mat-tu-the-tin-dung
https://techcombank.com/thong-tin/blog/lai-suat-tiet-kiem
https://techcombank.com/thong-tin/blog/cach-tinh-lai-suat-tien-gui-tiet-kiem
https://techcombank.com/cong-cu-tien-ich/cong-cu-tinh-toan/bang-tinh-lai-suat-vay
https://techcombank.com/thong-tin/blog/app-vay-tien-nhanh
https://techcombank.com/thong-tin/blog/lai-suat-vay-ngan-hang
https://techcombank.com/thong-tin/blog/vay-thau-chi-la-gi
https://techcombank.com/thong-tin/blog/nen-vay-tin-chap-o-dau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10" t="str">
        <f>IFERROR(__xludf.DUMMYFUNCTION("""COMPUTED_VALUE"""),"https://techcombank.com/thong-tin/blog/vay-tin-chap-ho-kinh-doanh")</f>
        <v>https://techcombank.com/thong-tin/blog/vay-tin-chap-ho-kinh-doanh</v>
      </c>
      <c r="B135" s="11">
        <f>IFERROR(__xludf.DUMMYFUNCTION("""COMPUTED_VALUE"""),8.0)</f>
        <v>8</v>
      </c>
      <c r="C135" s="7" t="str">
        <f>IFERROR(__xludf.DUMMYFUNCTION("IF(A135="""","""",TEXTJOIN(CHAR(10),TRUE,FILTER('Tổng hợp 75 trang đích'!$B$2:$B$3400,'Tổng hợp 75 trang đích'!$I$2:$I$3400=A135)))"),"https://techcombank.com/thong-tin/blog/ho-kinh-doanh-dong-thue-nhu-nao
https://techcombank.com/thong-tin/blog/mo-tai-khoan-ho-kinh-doanh
https://techcombank.com/thong-tin/blog/cach-tinh-thue-ho-kinh-doanh-nho-le
https://techcombank.com/cong-cu-tien-ich/co"&amp;"ng-cu-tinh-toan/bang-tinh-lai-suat-vay
https://techcombank.com/thong-tin/blog/app-vay-tien-nhanh
https://techcombank.com/thong-tin/blog/lai-suat-vay-ngan-hang
https://techcombank.com/thong-tin/blog/nen-vay-tin-chap-o-dau
https://techcombank.com/thong-tin/"&amp;"blog/vay-tin-chap-khong-tra-duoc-co-sao-khong")</f>
        <v>https://techcombank.com/thong-tin/blog/ho-kinh-doanh-dong-thue-nhu-nao
https://techcombank.com/thong-tin/blog/mo-tai-khoan-ho-kinh-doanh
https://techcombank.com/thong-tin/blog/cach-tinh-thue-ho-kinh-doanh-nho-le
https://techcombank.com/cong-cu-tien-ich/cong-cu-tinh-toan/bang-tinh-lai-suat-vay
https://techcombank.com/thong-tin/blog/app-vay-tien-nhanh
https://techcombank.com/thong-tin/blog/lai-suat-vay-ngan-hang
https://techcombank.com/thong-tin/blog/nen-vay-tin-chap-o-dau
https://techcombank.com/thong-tin/blog/vay-tin-chap-khong-tra-duoc-co-sao-khong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10" t="str">
        <f>IFERROR(__xludf.DUMMYFUNCTION("""COMPUTED_VALUE"""),"https://techcombank.com/thong-tin/blog/vay-tin-chap-la-gi")</f>
        <v>https://techcombank.com/thong-tin/blog/vay-tin-chap-la-gi</v>
      </c>
      <c r="B136" s="11">
        <f>IFERROR(__xludf.DUMMYFUNCTION("""COMPUTED_VALUE"""),8.0)</f>
        <v>8</v>
      </c>
      <c r="C136" s="7" t="str">
        <f>IFERROR(__xludf.DUMMYFUNCTION("IF(A136="""","""",TEXTJOIN(CHAR(10),TRUE,FILTER('Tổng hợp 75 trang đích'!$B$2:$B$3400,'Tổng hợp 75 trang đích'!$I$2:$I$3400=A136)))"),"https://techcombank.com/thong-tin/blog/lai-suat-tiet-kiem
https://techcombank.com/thong-tin/blog/cach-tinh-lai-suat-tien-gui-tiet-kiem
https://techcombank.com/cong-cu-tien-ich/cong-cu-tinh-toan/bang-tinh-lai-suat-vay
https://techcombank.com/cong-cu-tien-i"&amp;"ch/cong-cu-tinh-toan/bang-tinh-lai-suat-tiet-kiem
https://techcombank.com/thong-tin/blog/app-vay-tien-nhanh
https://techcombank.com/thong-tin/blog/lai-suat-vay-ngan-hang
https://techcombank.com/thong-tin/blog/nen-vay-tin-chap-o-dau
https://techcombank.com"&amp;"/thong-tin/blog/vay-tin-chap-khong-tra-duoc-co-sao-khong")</f>
        <v>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
https://techcombank.com/thong-tin/blog/lai-suat-vay-ngan-hang
https://techcombank.com/thong-tin/blog/nen-vay-tin-chap-o-dau
https://techcombank.com/thong-tin/blog/vay-tin-chap-khong-tra-duoc-co-sao-khong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10" t="str">
        <f>IFERROR(__xludf.DUMMYFUNCTION("""COMPUTED_VALUE"""),"https://techcombank.com/thong-tin/blog/vay-tra-gop")</f>
        <v>https://techcombank.com/thong-tin/blog/vay-tra-gop</v>
      </c>
      <c r="B137" s="11">
        <f>IFERROR(__xludf.DUMMYFUNCTION("""COMPUTED_VALUE"""),8.0)</f>
        <v>8</v>
      </c>
      <c r="C137" s="7" t="str">
        <f>IFERROR(__xludf.DUMMYFUNCTION("IF(A137="""","""",TEXTJOIN(CHAR(10),TRUE,FILTER('Tổng hợp 75 trang đích'!$B$2:$B$3400,'Tổng hợp 75 trang đích'!$I$2:$I$3400=A137)))"),"https://techcombank.com/thong-tin/blog/lai-suat-vay-mua-o-to
https://techcombank.com/thong-tin/blog/cic-la-gi
https://techcombank.com/thong-tin/blog/cach-tinh-lai-vay-ngan-hang
https://techcombank.com/cong-cu-tien-ich/cong-cu-tinh-toan/bang-tinh-lai-suat-"&amp;"vay
https://techcombank.com/thong-tin/blog/app-vay-tien-nhanh
https://techcombank.com/thong-tin/blog/lai-suat-vay-ngan-hang
https://techcombank.com/thong-tin/blog/vay-thau-chi-la-gi
https://techcombank.com/thong-tin/blog/nen-vay-tin-chap-o-dau")</f>
        <v>https://techcombank.com/thong-tin/blog/lai-suat-vay-mua-o-to
https://techcombank.com/thong-tin/blog/cic-la-gi
https://techcombank.com/thong-tin/blog/cach-tinh-lai-vay-ngan-hang
https://techcombank.com/cong-cu-tien-ich/cong-cu-tinh-toan/bang-tinh-lai-suat-vay
https://techcombank.com/thong-tin/blog/app-vay-tien-nhanh
https://techcombank.com/thong-tin/blog/lai-suat-vay-ngan-hang
https://techcombank.com/thong-tin/blog/vay-thau-chi-la-gi
https://techcombank.com/thong-tin/blog/nen-vay-tin-chap-o-dau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10" t="str">
        <f>IFERROR(__xludf.DUMMYFUNCTION("""COMPUTED_VALUE"""),"https://techcombank.com/thong-tin/blog/1-cmnd-dang-ky-duoc-may-tai-khoan-ngan-hang")</f>
        <v>https://techcombank.com/thong-tin/blog/1-cmnd-dang-ky-duoc-may-tai-khoan-ngan-hang</v>
      </c>
      <c r="B138" s="11">
        <f>IFERROR(__xludf.DUMMYFUNCTION("""COMPUTED_VALUE"""),7.0)</f>
        <v>7</v>
      </c>
      <c r="C138" s="7" t="str">
        <f>IFERROR(__xludf.DUMMYFUNCTION("IF(A138="""","""",TEXTJOIN(CHAR(10),TRUE,FILTER('Tổng hợp 75 trang đích'!$B$2:$B$3400,'Tổng hợp 75 trang đích'!$I$2:$I$3400=A138)))"),"https://techcombank.com/thong-tin/blog/cach-nap-the-viettel
https://techcombank.com/thong-tin/blog/cach-tinh-tien-dien-sinh-hoat
https://techcombank.com/thong-tin/blog/cach-kiem-tra-tai-khoan-ngan-hang
https://techcombank.com/thong-tin/blog/cach-mo-tai-kh"&amp;"oan
https://techcombank.com/thong-tin/blog/nap-tien-vao-tai-khoan-ngan-hang
https://techcombank.com/thong-tin/blog/day-so-phat-tai-phat-loc
https://techcombank.com/thong-tin/blog/cach-quet-nfc-cccd-tren-iphone")</f>
        <v>https://techcombank.com/thong-tin/blog/cach-nap-the-viettel
https://techcombank.com/thong-tin/blog/cach-tinh-tien-dien-sinh-hoat
https://techcombank.com/thong-tin/blog/cach-kiem-tra-tai-khoan-ngan-hang
https://techcombank.com/thong-tin/blog/cach-mo-tai-khoan
https://techcombank.com/thong-tin/blog/nap-tien-vao-tai-khoan-ngan-hang
https://techcombank.com/thong-tin/blog/day-so-phat-tai-phat-loc
https://techcombank.com/thong-tin/blog/cach-quet-nfc-cccd-tren-iphone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10" t="str">
        <f>IFERROR(__xludf.DUMMYFUNCTION("""COMPUTED_VALUE"""),"https://techcombank.com/thong-tin/blog/app-vay-tien-nhanh")</f>
        <v>https://techcombank.com/thong-tin/blog/app-vay-tien-nhanh</v>
      </c>
      <c r="B139" s="11">
        <f>IFERROR(__xludf.DUMMYFUNCTION("""COMPUTED_VALUE"""),7.0)</f>
        <v>7</v>
      </c>
      <c r="C139" s="7" t="str">
        <f>IFERROR(__xludf.DUMMYFUNCTION("IF(A139="""","""",TEXTJOIN(CHAR(10),TRUE,FILTER('Tổng hợp 75 trang đích'!$B$2:$B$3400,'Tổng hợp 75 trang đích'!$I$2:$I$3400=A139)))"),"https://techcombank.com/thong-tin/blog/chuyen-khoan-thanh-cong-nhung-khong-nhan-duoc-tien
https://techcombank.com/thong-tin/blog/cach-quet-nfc-cccd-tren-iphone
https://techcombank.com/thong-tin/blog/lai-suat-tiet-kiem
https://techcombank.com/thong-tin/blo"&amp;"g/cach-tinh-lai-suat-tien-gui-tiet-kiem
https://techcombank.com/cong-cu-tien-ich/cong-cu-tinh-toan/bang-tinh-lai-suat-vay
https://techcombank.com/thong-tin/blog/lai-suat-vay-ngan-hang
https://techcombank.com/thong-tin/blog/nen-vay-tin-chap-o-dau")</f>
        <v>https://techcombank.com/thong-tin/blog/chuyen-khoan-thanh-cong-nhung-khong-nhan-duoc-tien
https://techcombank.com/thong-tin/blog/cach-quet-nfc-cccd-tren-iphone
https://techcombank.com/thong-tin/blog/lai-suat-tiet-kiem
https://techcombank.com/thong-tin/blog/cach-tinh-lai-suat-tien-gui-tiet-kiem
https://techcombank.com/cong-cu-tien-ich/cong-cu-tinh-toan/bang-tinh-lai-suat-vay
https://techcombank.com/thong-tin/blog/lai-suat-vay-ngan-hang
https://techcombank.com/thong-tin/blog/nen-vay-tin-chap-o-dau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10" t="str">
        <f>IFERROR(__xludf.DUMMYFUNCTION("""COMPUTED_VALUE"""),"https://techcombank.com/thong-tin/blog/cac-hinh-thuc-cho-vay-tieu-dung")</f>
        <v>https://techcombank.com/thong-tin/blog/cac-hinh-thuc-cho-vay-tieu-dung</v>
      </c>
      <c r="B140" s="11">
        <f>IFERROR(__xludf.DUMMYFUNCTION("""COMPUTED_VALUE"""),7.0)</f>
        <v>7</v>
      </c>
      <c r="C140" s="7" t="str">
        <f>IFERROR(__xludf.DUMMYFUNCTION("IF(A140="""","""",TEXTJOIN(CHAR(10),TRUE,FILTER('Tổng hợp 75 trang đích'!$B$2:$B$3400,'Tổng hợp 75 trang đích'!$I$2:$I$3400=A140)))"),"https://techcombank.com/thong-tin/blog/lai-suat-vay-the-chap-so-do
https://techcombank.com/cong-cu-tien-ich/cong-cu-tinh-toan/bang-tinh-lai-suat-vay
https://techcombank.com/thong-tin/blog/app-vay-tien-nhanh
https://techcombank.com/thong-tin/blog/lai-suat-"&amp;"vay-ngan-hang
https://techcombank.com/thong-tin/blog/vay-thau-chi-la-gi
https://techcombank.com/thong-tin/blog/nen-vay-tin-chap-o-dau
https://techcombank.com/thong-tin/blog/vay-tin-chap-khong-tra-duoc-co-sao-khong")</f>
        <v>https://techcombank.com/thong-tin/blog/lai-suat-vay-the-chap-so-do
https://techcombank.com/cong-cu-tien-ich/cong-cu-tinh-toan/bang-tinh-lai-suat-vay
https://techcombank.com/thong-tin/blog/app-vay-tien-nhanh
https://techcombank.com/thong-tin/blog/lai-suat-vay-ngan-hang
https://techcombank.com/thong-tin/blog/vay-thau-chi-la-gi
https://techcombank.com/thong-tin/blog/nen-vay-tin-chap-o-dau
https://techcombank.com/thong-tin/blog/vay-tin-chap-khong-tra-duoc-co-sao-khong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10" t="str">
        <f>IFERROR(__xludf.DUMMYFUNCTION("""COMPUTED_VALUE"""),"https://techcombank.com/thong-tin/blog/cach-chuyen-tien-qua-ma-qr-techcombank")</f>
        <v>https://techcombank.com/thong-tin/blog/cach-chuyen-tien-qua-ma-qr-techcombank</v>
      </c>
      <c r="B141" s="11">
        <f>IFERROR(__xludf.DUMMYFUNCTION("""COMPUTED_VALUE"""),7.0)</f>
        <v>7</v>
      </c>
      <c r="C141" s="7" t="str">
        <f>IFERROR(__xludf.DUMMYFUNCTION("IF(A141="""","""",TEXTJOIN(CHAR(10),TRUE,FILTER('Tổng hợp 75 trang đích'!$B$2:$B$3400,'Tổng hợp 75 trang đích'!$I$2:$I$3400=A141)))"),"https://techcombank.com/thong-tin/blog/cach-nap-the-viettel
https://techcombank.com/thong-tin/blog/cach-tinh-tien-dien-sinh-hoat
https://techcombank.com/thong-tin/blog/chuyen-khoan-thanh-cong-nhung-khong-nhan-duoc-tien
https://techcombank.com/thong-tin/bl"&amp;"og/mo-tai-khoan-ngan-hang-duoi-18-tuoi
https://techcombank.com/thong-tin/blog/day-so-phat-tai-phat-loc
https://techcombank.com/thong-tin/blog/cach-quet-nfc-cccd-tren-iphone
https://techcombank.com/thong-tin/blog/gui-ma-qr-ngan-hang")</f>
        <v>https://techcombank.com/thong-tin/blog/cach-nap-the-viettel
https://techcombank.com/thong-tin/blog/cach-tinh-tien-dien-sinh-hoat
https://techcombank.com/thong-tin/blog/chuyen-khoan-thanh-cong-nhung-khong-nhan-duoc-tien
https://techcombank.com/thong-tin/blog/mo-tai-khoan-ngan-hang-duoi-18-tuoi
https://techcombank.com/thong-tin/blog/day-so-phat-tai-phat-loc
https://techcombank.com/thong-tin/blog/cach-quet-nfc-cccd-tren-iphone
https://techcombank.com/thong-tin/blog/gui-ma-qr-ngan-hang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10" t="str">
        <f>IFERROR(__xludf.DUMMYFUNCTION("""COMPUTED_VALUE"""),"https://techcombank.com/thong-tin/blog/cach-dang-ky-ma-so-thue-ho-kinh-doanh-online")</f>
        <v>https://techcombank.com/thong-tin/blog/cach-dang-ky-ma-so-thue-ho-kinh-doanh-online</v>
      </c>
      <c r="B142" s="11">
        <f>IFERROR(__xludf.DUMMYFUNCTION("""COMPUTED_VALUE"""),7.0)</f>
        <v>7</v>
      </c>
      <c r="C142" s="7" t="str">
        <f>IFERROR(__xludf.DUMMYFUNCTION("IF(A142="""","""",TEXTJOIN(CHAR(10),TRUE,FILTER('Tổng hợp 75 trang đích'!$B$2:$B$3400,'Tổng hợp 75 trang đích'!$I$2:$I$3400=A142)))"),"https://techcombank.com/thong-tin/blog/nop-thue-dat-qua-ngan-hang
https://techcombank.com/thong-tin/blog/cach-nop-thue-dien-tu
https://techcombank.com/thong-tin/blog/tra-cuu-no-thue-doanh-nghiep
https://techcombank.com/thong-tin/blog/ho-kinh-doanh-dong-th"&amp;"ue-nhu-nao
https://techcombank.com/thong-tin/blog/mo-hinh-kinh-doanh-la-gi
https://techcombank.com/thong-tin/blog/mo-tai-khoan-ho-kinh-doanh
https://techcombank.com/thong-tin/blog/cach-tinh-thue-ho-kinh-doanh-nho-le")</f>
        <v>https://techcombank.com/thong-tin/blog/nop-thue-dat-qua-ngan-hang
https://techcombank.com/thong-tin/blog/cach-nop-thue-dien-tu
https://techcombank.com/thong-tin/blog/tra-cuu-no-thue-doanh-nghiep
https://techcombank.com/thong-tin/blog/ho-kinh-doanh-dong-thue-nhu-nao
https://techcombank.com/thong-tin/blog/mo-hinh-kinh-doanh-la-gi
https://techcombank.com/thong-tin/blog/mo-tai-khoan-ho-kinh-doanh
https://techcombank.com/thong-tin/blog/cach-tinh-thue-ho-kinh-doanh-nho-le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10" t="str">
        <f>IFERROR(__xludf.DUMMYFUNCTION("""COMPUTED_VALUE"""),"https://techcombank.com/thong-tin/blog/cach-gui-tiet-kiem-online")</f>
        <v>https://techcombank.com/thong-tin/blog/cach-gui-tiet-kiem-online</v>
      </c>
      <c r="B143" s="11">
        <f>IFERROR(__xludf.DUMMYFUNCTION("""COMPUTED_VALUE"""),7.0)</f>
        <v>7</v>
      </c>
      <c r="C143" s="7" t="str">
        <f>IFERROR(__xludf.DUMMYFUNCTION("IF(A143="""","""",TEXTJOIN(CHAR(10),TRUE,FILTER('Tổng hợp 75 trang đích'!$B$2:$B$3400,'Tổng hợp 75 trang đích'!$I$2:$I$3400=A143)))"),"https://techcombank.com/thong-tin/blog/ten-dang-nhap-tai-khoan-ngan-hang-la-gi
https://techcombank.com/thong-tin/blog/chung-chi-tien-gui-la-gi
https://techcombank.com/thong-tin/blog/lai-suat-tiet-kiem
https://techcombank.com/thong-tin/blog/cach-tinh-lai-s"&amp;"uat-tien-gui-tiet-kiem
https://techcombank.com/thong-tin/blog/so-tiet-kiem-ngan-hang
https://techcombank.com/thong-tin/blog/rui-ro-khi-gui-tiet-kiem-online
https://techcombank.com/cong-cu-tien-ich/cong-cu-tinh-toan/bang-tinh-lai-suat-tiet-kiem")</f>
        <v>https://techcombank.com/thong-tin/blog/ten-dang-nhap-tai-khoan-ngan-hang-la-gi
https://techcombank.com/thong-tin/blog/chung-chi-tien-gui-la-gi
https://techcombank.com/thong-tin/blog/lai-suat-tiet-kiem
https://techcombank.com/thong-tin/blog/cach-tinh-lai-suat-tien-gui-tiet-kiem
https://techcombank.com/thong-tin/blog/so-tiet-kiem-ngan-hang
https://techcombank.com/thong-tin/blog/rui-ro-khi-gui-tiet-kiem-online
https://techcombank.com/cong-cu-tien-ich/cong-cu-tinh-toan/bang-tinh-lai-suat-tiet-kiem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10" t="str">
        <f>IFERROR(__xludf.DUMMYFUNCTION("""COMPUTED_VALUE"""),"https://techcombank.com/thong-tin/blog/cach-kiem-tra-tai-khoan-ngan-hang-cua-cong-ty")</f>
        <v>https://techcombank.com/thong-tin/blog/cach-kiem-tra-tai-khoan-ngan-hang-cua-cong-ty</v>
      </c>
      <c r="B144" s="11">
        <f>IFERROR(__xludf.DUMMYFUNCTION("""COMPUTED_VALUE"""),7.0)</f>
        <v>7</v>
      </c>
      <c r="C144" s="7" t="str">
        <f>IFERROR(__xludf.DUMMYFUNCTION("IF(A144="""","""",TEXTJOIN(CHAR(10),TRUE,FILTER('Tổng hợp 75 trang đích'!$B$2:$B$3400,'Tổng hợp 75 trang đích'!$I$2:$I$3400=A144)))"),"https://techcombank.com/thong-tin/blog/nop-thue-dat-qua-ngan-hang
https://techcombank.com/thong-tin/blog/tra-cuu-no-thue-doanh-nghiep
https://techcombank.com/thong-tin/blog/cong-ty-su-dung-tai-khoan-ca-nhan
https://techcombank.com/thong-tin/blog/cach-kiem"&amp;"-tra-tai-khoan-ngan-hang
https://techcombank.com/thong-tin/blog/cach-mo-tai-khoan
https://techcombank.com/thong-tin/blog/ten-dang-nhap-tai-khoan-ngan-hang-la-gi
https://techcombank.com/thong-tin/blog/ho-kinh-doanh-dong-thue-nhu-nao")</f>
        <v>https://techcombank.com/thong-tin/blog/nop-thue-dat-qua-ngan-hang
https://techcombank.com/thong-tin/blog/tra-cuu-no-thue-doanh-nghiep
https://techcombank.com/thong-tin/blog/cong-ty-su-dung-tai-khoan-ca-nhan
https://techcombank.com/thong-tin/blog/cach-kiem-tra-tai-khoan-ngan-hang
https://techcombank.com/thong-tin/blog/cach-mo-tai-khoan
https://techcombank.com/thong-tin/blog/ten-dang-nhap-tai-khoan-ngan-hang-la-gi
https://techcombank.com/thong-tin/blog/ho-kinh-doanh-dong-thue-nhu-nao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10" t="str">
        <f>IFERROR(__xludf.DUMMYFUNCTION("""COMPUTED_VALUE"""),"https://techcombank.com/thong-tin/blog/cach-lam-the-ngan-hang-chay-quang-cao-facebook")</f>
        <v>https://techcombank.com/thong-tin/blog/cach-lam-the-ngan-hang-chay-quang-cao-facebook</v>
      </c>
      <c r="B145" s="11">
        <f>IFERROR(__xludf.DUMMYFUNCTION("""COMPUTED_VALUE"""),7.0)</f>
        <v>7</v>
      </c>
      <c r="C145" s="7" t="str">
        <f>IFERROR(__xludf.DUMMYFUNCTION("IF(A145="""","""",TEXTJOIN(CHAR(10),TRUE,FILTER('Tổng hợp 75 trang đích'!$B$2:$B$3400,'Tổng hợp 75 trang đích'!$I$2:$I$3400=A145)))"),"https://techcombank.com/thong-tin/blog/eco-card
https://techcombank.com/thong-tin/blog/cic-la-gi
https://techcombank.com/thong-tin/blog/lam-the-tin-dung
https://techcombank.com/khach-hang-ca-nhan/chi-tieu/the/the-tin-dung/techcombank-everyday
https://tech"&amp;"combank.com/thong-tin/blog/the-tin-dung-hoan-tien
https://techcombank.com/thong-tin/blog/cach-huy-the-tin-dung
https://techcombank.com/thong-tin/blog/cach-thanh-toan-the-tin-dung")</f>
        <v>https://techcombank.com/thong-tin/blog/eco-card
https://techcombank.com/thong-tin/blog/cic-la-gi
https://techcombank.com/thong-tin/blog/lam-the-tin-dung
https://techcombank.com/khach-hang-ca-nhan/chi-tieu/the/the-tin-dung/techcombank-everyday
https://techcombank.com/thong-tin/blog/the-tin-dung-hoan-tien
https://techcombank.com/thong-tin/blog/cach-huy-the-tin-dung
https://techcombank.com/thong-tin/blog/cach-thanh-toan-the-tin-dung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10" t="str">
        <f>IFERROR(__xludf.DUMMYFUNCTION("""COMPUTED_VALUE"""),"https://techcombank.com/thong-tin/blog/cach-tao-ma-qr")</f>
        <v>https://techcombank.com/thong-tin/blog/cach-tao-ma-qr</v>
      </c>
      <c r="B146" s="11">
        <f>IFERROR(__xludf.DUMMYFUNCTION("""COMPUTED_VALUE"""),7.0)</f>
        <v>7</v>
      </c>
      <c r="C146" s="7" t="str">
        <f>IFERROR(__xludf.DUMMYFUNCTION("IF(A146="""","""",TEXTJOIN(CHAR(10),TRUE,FILTER('Tổng hợp 75 trang đích'!$B$2:$B$3400,'Tổng hợp 75 trang đích'!$I$2:$I$3400=A146)))"),"https://techcombank.com/thong-tin/blog/nop-thue-dat-qua-ngan-hang
https://techcombank.com/thong-tin/blog/rut-tien-bang-ma-qr-la-gi-cach-thuc-hien-nhu-the-nao
https://techcombank.com/thong-tin/blog/ho-kinh-doanh-dong-thue-nhu-nao
https://techcombank.com/th"&amp;"ong-tin/blog/mo-hinh-kinh-doanh-la-gi
https://techcombank.com/thong-tin/blog/gui-ma-qr-ngan-hang
https://techcombank.com/thong-tin/blog/mo-tai-khoan-ho-kinh-doanh
https://techcombank.com/thong-tin/blog/cach-tinh-thue-ho-kinh-doanh-nho-le")</f>
        <v>https://techcombank.com/thong-tin/blog/nop-thue-dat-qua-ngan-hang
https://techcombank.com/thong-tin/blog/rut-tien-bang-ma-qr-la-gi-cach-thuc-hien-nhu-the-nao
https://techcombank.com/thong-tin/blog/ho-kinh-doanh-dong-thue-nhu-nao
https://techcombank.com/thong-tin/blog/mo-hinh-kinh-doanh-la-gi
https://techcombank.com/thong-tin/blog/gui-ma-qr-ngan-hang
https://techcombank.com/thong-tin/blog/mo-tai-khoan-ho-kinh-doanh
https://techcombank.com/thong-tin/blog/cach-tinh-thue-ho-kinh-doanh-nho-le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10" t="str">
        <f>IFERROR(__xludf.DUMMYFUNCTION("""COMPUTED_VALUE"""),"https://techcombank.com/thong-tin/blog/cach-tinh-thue-ho-kinh-doanh-nho-le")</f>
        <v>https://techcombank.com/thong-tin/blog/cach-tinh-thue-ho-kinh-doanh-nho-le</v>
      </c>
      <c r="B147" s="11">
        <f>IFERROR(__xludf.DUMMYFUNCTION("""COMPUTED_VALUE"""),7.0)</f>
        <v>7</v>
      </c>
      <c r="C147" s="7" t="str">
        <f>IFERROR(__xludf.DUMMYFUNCTION("IF(A147="""","""",TEXTJOIN(CHAR(10),TRUE,FILTER('Tổng hợp 75 trang đích'!$B$2:$B$3400,'Tổng hợp 75 trang đích'!$I$2:$I$3400=A147)))"),"https://techcombank.com/thong-tin/blog/nop-thue-dat-qua-ngan-hang
https://techcombank.com/thong-tin/blog/thue-vat-la-gi
https://techcombank.com/thong-tin/blog/cach-tinh-thue-thu-nhap-ca-nhan-2025
https://techcombank.com/thong-tin/blog/kiem-tra-thue-thu-nh"&amp;"ap-ca-nhan
https://techcombank.com/thong-tin/blog/thue-thu-nhap-ca-nhan
https://techcombank.com/thong-tin/blog/ho-kinh-doanh-dong-thue-nhu-nao
https://techcombank.com/thong-tin/blog/mo-tai-khoan-ho-kinh-doanh")</f>
        <v>https://techcombank.com/thong-tin/blog/nop-thue-dat-qua-ngan-hang
https://techcombank.com/thong-tin/blog/thue-vat-la-gi
https://techcombank.com/thong-tin/blog/cach-tinh-thue-thu-nhap-ca-nhan-2025
https://techcombank.com/thong-tin/blog/kiem-tra-thue-thu-nhap-ca-nhan
https://techcombank.com/thong-tin/blog/thue-thu-nhap-ca-nhan
https://techcombank.com/thong-tin/blog/ho-kinh-doanh-dong-thue-nhu-nao
https://techcombank.com/thong-tin/blog/mo-tai-khoan-ho-kinh-doanh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10" t="str">
        <f>IFERROR(__xludf.DUMMYFUNCTION("""COMPUTED_VALUE"""),"https://techcombank.com/thong-tin/blog/chung-chi-tien-gui-khac-gi-so-tiet-kiem")</f>
        <v>https://techcombank.com/thong-tin/blog/chung-chi-tien-gui-khac-gi-so-tiet-kiem</v>
      </c>
      <c r="B148" s="11">
        <f>IFERROR(__xludf.DUMMYFUNCTION("""COMPUTED_VALUE"""),7.0)</f>
        <v>7</v>
      </c>
      <c r="C148" s="7" t="str">
        <f>IFERROR(__xludf.DUMMYFUNCTION("IF(A148="""","""",TEXTJOIN(CHAR(10),TRUE,FILTER('Tổng hợp 75 trang đích'!$B$2:$B$3400,'Tổng hợp 75 trang đích'!$I$2:$I$3400=A148)))"),"https://techcombank.com/thong-tin/blog/chung-chi-tien-gui-la-gi
https://techcombank.com/thong-tin/blog/lai-suat-chung-chi-tien-gui-cac-ngan-hang
https://techcombank.com/thong-tin/blog/lai-suat-tiet-kiem
https://techcombank.com/thong-tin/blog/cach-tinh-lai"&amp;"-suat-tien-gui-tiet-kiem
https://techcombank.com/thong-tin/blog/rut-tien-tiet-kiem-truoc-thoi-han
https://techcombank.com/cong-cu-tien-ich/cong-cu-tinh-toan/bang-tinh-lai-suat-tiet-kiem
https://techcombank.com/thong-tin/blog/app-vay-tien-nhanh")</f>
        <v>https://techcombank.com/thong-tin/blog/chung-chi-tien-gui-la-gi
https://techcombank.com/thong-tin/blog/lai-suat-chung-chi-tien-gui-cac-ngan-hang
https://techcombank.com/thong-tin/blog/lai-suat-tiet-kiem
https://techcombank.com/thong-tin/blog/cach-tinh-lai-suat-tien-gui-tiet-kiem
https://techcombank.com/thong-tin/blog/rut-tien-tiet-kiem-truoc-thoi-han
https://techcombank.com/cong-cu-tien-ich/cong-cu-tinh-toan/bang-tinh-lai-suat-tiet-kiem
https://techcombank.com/thong-tin/blog/app-vay-tien-nhanh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10" t="str">
        <f>IFERROR(__xludf.DUMMYFUNCTION("""COMPUTED_VALUE"""),"https://techcombank.com/thong-tin/blog/co-100-trieu-co-mua-nen-mua-tra-gop")</f>
        <v>https://techcombank.com/thong-tin/blog/co-100-trieu-co-mua-nen-mua-tra-gop</v>
      </c>
      <c r="B149" s="11">
        <f>IFERROR(__xludf.DUMMYFUNCTION("""COMPUTED_VALUE"""),7.0)</f>
        <v>7</v>
      </c>
      <c r="C149" s="7" t="str">
        <f>IFERROR(__xludf.DUMMYFUNCTION("IF(A149="""","""",TEXTJOIN(CHAR(10),TRUE,FILTER('Tổng hợp 75 trang đích'!$B$2:$B$3400,'Tổng hợp 75 trang đích'!$I$2:$I$3400=A149)))"),"https://techcombank.com/thong-tin/blog/lai-suat-vay-mua-o-to
https://techcombank.com/thong-tin/blog/cach-tinh-thue-thu-nhap-ca-nhan-2025
https://techcombank.com/thong-tin/blog/cic-la-gi
https://techcombank.com/cong-cu-tien-ich/cong-cu-tinh-toan/bang-tinh-"&amp;"lai-suat-vay
https://techcombank.com/thong-tin/blog/app-vay-tien-nhanh
https://techcombank.com/thong-tin/blog/lai-suat-vay-ngan-hang
https://techcombank.com/thong-tin/blog/vay-thau-chi-la-gi")</f>
        <v>https://techcombank.com/thong-tin/blog/lai-suat-vay-mua-o-to
https://techcombank.com/thong-tin/blog/cach-tinh-thue-thu-nhap-ca-nhan-2025
https://techcombank.com/thong-tin/blog/cic-la-gi
https://techcombank.com/cong-cu-tien-ich/cong-cu-tinh-toan/bang-tinh-lai-suat-vay
https://techcombank.com/thong-tin/blog/app-vay-tien-nhanh
https://techcombank.com/thong-tin/blog/lai-suat-vay-ngan-hang
https://techcombank.com/thong-tin/blog/vay-thau-chi-la-gi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10" t="str">
        <f>IFERROR(__xludf.DUMMYFUNCTION("""COMPUTED_VALUE"""),"https://techcombank.com/thong-tin/blog/co-nen-dung-the-tin-dung-khong")</f>
        <v>https://techcombank.com/thong-tin/blog/co-nen-dung-the-tin-dung-khong</v>
      </c>
      <c r="B150" s="11">
        <f>IFERROR(__xludf.DUMMYFUNCTION("""COMPUTED_VALUE"""),7.0)</f>
        <v>7</v>
      </c>
      <c r="C150" s="7" t="str">
        <f>IFERROR(__xludf.DUMMYFUNCTION("IF(A150="""","""",TEXTJOIN(CHAR(10),TRUE,FILTER('Tổng hợp 75 trang đích'!$B$2:$B$3400,'Tổng hợp 75 trang đích'!$I$2:$I$3400=A150)))"),"https://techcombank.com/thong-tin/blog/bao-nhieu-tuoi-duoc-mo-tai-khoan-ngan-hang
https://techcombank.com/thong-tin/blog/cic-la-gi
https://techcombank.com/thong-tin/blog/lam-the-tin-dung
https://techcombank.com/khach-hang-ca-nhan/chi-tieu/the/the-tin-dung"&amp;"/techcombank-everyday
https://techcombank.com/thong-tin/blog/the-tin-dung-hoan-tien
https://techcombank.com/thong-tin/blog/cach-huy-the-tin-dung
https://techcombank.com/thong-tin/blog/cach-thanh-toan-the-tin-dung")</f>
        <v>https://techcombank.com/thong-tin/blog/bao-nhieu-tuoi-duoc-mo-tai-khoan-ngan-hang
https://techcombank.com/thong-tin/blog/cic-la-gi
https://techcombank.com/thong-tin/blog/lam-the-tin-dung
https://techcombank.com/khach-hang-ca-nhan/chi-tieu/the/the-tin-dung/techcombank-everyday
https://techcombank.com/thong-tin/blog/the-tin-dung-hoan-tien
https://techcombank.com/thong-tin/blog/cach-huy-the-tin-dung
https://techcombank.com/thong-tin/blog/cach-thanh-toan-the-tin-dung</v>
      </c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10" t="str">
        <f>IFERROR(__xludf.DUMMYFUNCTION("""COMPUTED_VALUE"""),"https://techcombank.com/thong-tin/blog/co-nen-gui-tiet-kiem-online")</f>
        <v>https://techcombank.com/thong-tin/blog/co-nen-gui-tiet-kiem-online</v>
      </c>
      <c r="B151" s="11">
        <f>IFERROR(__xludf.DUMMYFUNCTION("""COMPUTED_VALUE"""),7.0)</f>
        <v>7</v>
      </c>
      <c r="C151" s="7" t="str">
        <f>IFERROR(__xludf.DUMMYFUNCTION("IF(A151="""","""",TEXTJOIN(CHAR(10),TRUE,FILTER('Tổng hợp 75 trang đích'!$B$2:$B$3400,'Tổng hợp 75 trang đích'!$I$2:$I$3400=A151)))"),"https://techcombank.com/thong-tin/blog/chung-chi-tien-gui-la-gi
https://techcombank.com/thong-tin/blog/lai-suat-tiet-kiem
https://techcombank.com/thong-tin/blog/cach-tinh-lai-suat-tien-gui-tiet-kiem
https://techcombank.com/thong-tin/blog/so-tiet-kiem-ngan"&amp;"-hang
https://techcombank.com/thong-tin/blog/rui-ro-khi-gui-tiet-kiem-online
https://techcombank.com/cong-cu-tien-ich/cong-cu-tinh-toan/bang-tinh-lai-suat-tiet-kiem
https://techcombank.com/thong-tin/blog/app-vay-tien-nhanh")</f>
        <v>https://techcombank.com/thong-tin/blog/chung-chi-tien-gui-la-gi
https://techcombank.com/thong-tin/blog/lai-suat-tiet-kiem
https://techcombank.com/thong-tin/blog/cach-tinh-lai-suat-tien-gui-tiet-kiem
https://techcombank.com/thong-tin/blog/so-tiet-kiem-ngan-hang
https://techcombank.com/thong-tin/blog/rui-ro-khi-gui-tiet-kiem-online
https://techcombank.com/cong-cu-tien-ich/cong-cu-tinh-toan/bang-tinh-lai-suat-tiet-kiem
https://techcombank.com/thong-tin/blog/app-vay-tien-nhanh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10" t="str">
        <f>IFERROR(__xludf.DUMMYFUNCTION("""COMPUTED_VALUE"""),"https://techcombank.com/thong-tin/blog/co-nen-mua-o-to-tra-gop")</f>
        <v>https://techcombank.com/thong-tin/blog/co-nen-mua-o-to-tra-gop</v>
      </c>
      <c r="B152" s="11">
        <f>IFERROR(__xludf.DUMMYFUNCTION("""COMPUTED_VALUE"""),7.0)</f>
        <v>7</v>
      </c>
      <c r="C152" s="7" t="str">
        <f>IFERROR(__xludf.DUMMYFUNCTION("IF(A152="""","""",TEXTJOIN(CHAR(10),TRUE,FILTER('Tổng hợp 75 trang đích'!$B$2:$B$3400,'Tổng hợp 75 trang đích'!$I$2:$I$3400=A152)))"),"https://techcombank.com/thong-tin/blog/lai-suat-vay-mua-o-to
https://techcombank.com/thong-tin/blog/cic-la-gi
https://techcombank.com/thong-tin/blog/vay-ngan-hang-1-ty-moi-thang-tra-bao-nhieu
https://techcombank.com/thong-tin/blog/cach-tinh-lai-vay-ngan-h"&amp;"ang
https://techcombank.com/cong-cu-tien-ich/cong-cu-tinh-toan/bang-tinh-lai-suat-vay
https://techcombank.com/thong-tin/blog/app-vay-tien-nhanh
https://techcombank.com/thong-tin/blog/lai-suat-vay-ngan-hang")</f>
        <v>https://techcombank.com/thong-tin/blog/lai-suat-vay-mua-o-to
https://techcombank.com/thong-tin/blog/cic-la-gi
https://techcombank.com/thong-tin/blog/vay-ngan-hang-1-ty-moi-thang-tra-bao-nhieu
https://techcombank.com/thong-tin/blog/cach-tinh-lai-vay-ngan-hang
https://techcombank.com/cong-cu-tien-ich/cong-cu-tinh-toan/bang-tinh-lai-suat-vay
https://techcombank.com/thong-tin/blog/app-vay-tien-nhanh
https://techcombank.com/thong-tin/blog/lai-suat-vay-ngan-hang</v>
      </c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10" t="str">
        <f>IFERROR(__xludf.DUMMYFUNCTION("""COMPUTED_VALUE"""),"https://techcombank.com/thong-tin/blog/gui-tiet-kiem-online-co-rut-truoc-han-duoc-khong")</f>
        <v>https://techcombank.com/thong-tin/blog/gui-tiet-kiem-online-co-rut-truoc-han-duoc-khong</v>
      </c>
      <c r="B153" s="11">
        <f>IFERROR(__xludf.DUMMYFUNCTION("""COMPUTED_VALUE"""),7.0)</f>
        <v>7</v>
      </c>
      <c r="C153" s="7" t="str">
        <f>IFERROR(__xludf.DUMMYFUNCTION("IF(A153="""","""",TEXTJOIN(CHAR(10),TRUE,FILTER('Tổng hợp 75 trang đích'!$B$2:$B$3400,'Tổng hợp 75 trang đích'!$I$2:$I$3400=A153)))"),"https://techcombank.com/thong-tin/blog/ho-so-thu-tuc-xoa-the-chap
https://techcombank.com/thong-tin/blog/lai-suat-tiet-kiem
https://techcombank.com/thong-tin/blog/cach-tinh-lai-suat-tien-gui-tiet-kiem
https://techcombank.com/thong-tin/blog/rut-tien-tiet-k"&amp;"iem-truoc-thoi-han
https://techcombank.com/cong-cu-tien-ich/cong-cu-tinh-toan/bang-tinh-lai-suat-vay
https://techcombank.com/cong-cu-tien-ich/cong-cu-tinh-toan/bang-tinh-lai-suat-tiet-kiem
https://techcombank.com/thong-tin/blog/app-vay-tien-nhanh")</f>
        <v>https://techcombank.com/thong-tin/blog/ho-so-thu-tuc-xoa-the-chap
https://techcombank.com/thong-tin/blog/lai-suat-tiet-kiem
https://techcombank.com/thong-tin/blog/cach-tinh-lai-suat-tien-gui-tiet-kiem
https://techcombank.com/thong-tin/blog/rut-tien-tiet-kiem-truoc-thoi-han
https://techcombank.com/cong-cu-tien-ich/cong-cu-tinh-toan/bang-tinh-lai-suat-vay
https://techcombank.com/cong-cu-tien-ich/cong-cu-tinh-toan/bang-tinh-lai-suat-tiet-kiem
https://techcombank.com/thong-tin/blog/app-vay-tien-nhanh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10" t="str">
        <f>IFERROR(__xludf.DUMMYFUNCTION("""COMPUTED_VALUE"""),"https://techcombank.com/thong-tin/blog/gui-tiet-kiem-vang")</f>
        <v>https://techcombank.com/thong-tin/blog/gui-tiet-kiem-vang</v>
      </c>
      <c r="B154" s="11">
        <f>IFERROR(__xludf.DUMMYFUNCTION("""COMPUTED_VALUE"""),7.0)</f>
        <v>7</v>
      </c>
      <c r="C154" s="7" t="str">
        <f>IFERROR(__xludf.DUMMYFUNCTION("IF(A154="""","""",TEXTJOIN(CHAR(10),TRUE,FILTER('Tổng hợp 75 trang đích'!$B$2:$B$3400,'Tổng hợp 75 trang đích'!$I$2:$I$3400=A154)))"),"https://techcombank.com/thong-tin/blog/chung-chi-tien-gui-la-gi
https://techcombank.com/thong-tin/blog/lai-suat-tiet-kiem
https://techcombank.com/thong-tin/blog/cach-tinh-lai-suat-tien-gui-tiet-kiem
https://techcombank.com/thong-tin/blog/rut-tien-tiet-kie"&amp;"m-truoc-thoi-han
https://techcombank.com/thong-tin/blog/so-tiet-kiem-ngan-hang
https://techcombank.com/thong-tin/blog/rui-ro-khi-gui-tiet-kiem-online
https://techcombank.com/cong-cu-tien-ich/cong-cu-tinh-toan/bang-tinh-lai-suat-tiet-kiem")</f>
        <v>https://techcombank.com/thong-tin/blog/chung-chi-tien-gui-la-gi
https://techcombank.com/thong-tin/blog/lai-suat-tiet-kiem
https://techcombank.com/thong-tin/blog/cach-tinh-lai-suat-tien-gui-tiet-kiem
https://techcombank.com/thong-tin/blog/rut-tien-tiet-kiem-truoc-thoi-han
https://techcombank.com/thong-tin/blog/so-tiet-kiem-ngan-hang
https://techcombank.com/thong-tin/blog/rui-ro-khi-gui-tiet-kiem-online
https://techcombank.com/cong-cu-tien-ich/cong-cu-tinh-toan/bang-tinh-lai-suat-tiet-kiem</v>
      </c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10" t="str">
        <f>IFERROR(__xludf.DUMMYFUNCTION("""COMPUTED_VALUE"""),"https://techcombank.com/thong-tin/blog/ho-kinh-doanh-ca-the")</f>
        <v>https://techcombank.com/thong-tin/blog/ho-kinh-doanh-ca-the</v>
      </c>
      <c r="B155" s="11">
        <f>IFERROR(__xludf.DUMMYFUNCTION("""COMPUTED_VALUE"""),7.0)</f>
        <v>7</v>
      </c>
      <c r="C155" s="7" t="str">
        <f>IFERROR(__xludf.DUMMYFUNCTION("IF(A155="""","""",TEXTJOIN(CHAR(10),TRUE,FILTER('Tổng hợp 75 trang đích'!$B$2:$B$3400,'Tổng hợp 75 trang đích'!$I$2:$I$3400=A155)))"),"https://techcombank.com/thong-tin/blog/nop-thue-dat-qua-ngan-hang
https://techcombank.com/thong-tin/blog/cach-nop-thue-dien-tu
https://techcombank.com/thong-tin/blog/thue-thu-nhap-doanh-nghiep
https://techcombank.com/thong-tin/blog/thue-doanh-nghiep
https"&amp;"://techcombank.com/thong-tin/blog/mo-hinh-kinh-doanh-la-gi
https://techcombank.com/thong-tin/blog/mo-tai-khoan-ho-kinh-doanh
https://techcombank.com/thong-tin/blog/cach-tinh-thue-ho-kinh-doanh-nho-le")</f>
        <v>https://techcombank.com/thong-tin/blog/nop-thue-dat-qua-ngan-hang
https://techcombank.com/thong-tin/blog/cach-nop-thue-dien-tu
https://techcombank.com/thong-tin/blog/thue-thu-nhap-doanh-nghiep
https://techcombank.com/thong-tin/blog/thue-doanh-nghiep
https://techcombank.com/thong-tin/blog/mo-hinh-kinh-doanh-la-gi
https://techcombank.com/thong-tin/blog/mo-tai-khoan-ho-kinh-doanh
https://techcombank.com/thong-tin/blog/cach-tinh-thue-ho-kinh-doanh-nho-le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10" t="str">
        <f>IFERROR(__xludf.DUMMYFUNCTION("""COMPUTED_VALUE"""),"https://techcombank.com/thong-tin/blog/hoan-thue-thu-nhap-ca-nhan")</f>
        <v>https://techcombank.com/thong-tin/blog/hoan-thue-thu-nhap-ca-nhan</v>
      </c>
      <c r="B156" s="11">
        <f>IFERROR(__xludf.DUMMYFUNCTION("""COMPUTED_VALUE"""),7.0)</f>
        <v>7</v>
      </c>
      <c r="C156" s="7" t="str">
        <f>IFERROR(__xludf.DUMMYFUNCTION("IF(A156="""","""",TEXTJOIN(CHAR(10),TRUE,FILTER('Tổng hợp 75 trang đích'!$B$2:$B$3400,'Tổng hợp 75 trang đích'!$I$2:$I$3400=A156)))"),"https://techcombank.com/thong-tin/blog/nop-thue-dat-qua-ngan-hang
https://techcombank.com/thong-tin/blog/cach-nop-thue-dien-tu
https://techcombank.com/thong-tin/blog/tra-cuu-no-thue-doanh-nghiep
https://techcombank.com/thong-tin/blog/cach-tinh-thue-thu-nh"&amp;"ap-ca-nhan-2025
https://techcombank.com/thong-tin/blog/kiem-tra-thue-thu-nhap-ca-nhan
https://techcombank.com/thong-tin/blog/thue-thu-nhap-ca-nhan
https://techcombank.com/thong-tin/blog/ho-kinh-doanh-dong-thue-nhu-nao")</f>
        <v>https://techcombank.com/thong-tin/blog/nop-thue-dat-qua-ngan-hang
https://techcombank.com/thong-tin/blog/cach-nop-thue-dien-tu
https://techcombank.com/thong-tin/blog/tra-cuu-no-thue-doanh-nghiep
https://techcombank.com/thong-tin/blog/cach-tinh-thue-thu-nhap-ca-nhan-2025
https://techcombank.com/thong-tin/blog/kiem-tra-thue-thu-nhap-ca-nhan
https://techcombank.com/thong-tin/blog/thue-thu-nhap-ca-nhan
https://techcombank.com/thong-tin/blog/ho-kinh-doanh-dong-thue-nhu-nao</v>
      </c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10" t="str">
        <f>IFERROR(__xludf.DUMMYFUNCTION("""COMPUTED_VALUE"""),"https://techcombank.com/thong-tin/blog/kiem-tra-ma-so-thue-doanh-nghiep")</f>
        <v>https://techcombank.com/thong-tin/blog/kiem-tra-ma-so-thue-doanh-nghiep</v>
      </c>
      <c r="B157" s="11">
        <f>IFERROR(__xludf.DUMMYFUNCTION("""COMPUTED_VALUE"""),7.0)</f>
        <v>7</v>
      </c>
      <c r="C157" s="7" t="str">
        <f>IFERROR(__xludf.DUMMYFUNCTION("IF(A157="""","""",TEXTJOIN(CHAR(10),TRUE,FILTER('Tổng hợp 75 trang đích'!$B$2:$B$3400,'Tổng hợp 75 trang đích'!$I$2:$I$3400=A157)))"),"https://techcombank.com/thong-tin/blog/nop-thue-dat-qua-ngan-hang
https://techcombank.com/thong-tin/blog/cach-nop-thue-dien-tu
https://techcombank.com/thong-tin/blog/thue-thu-nhap-doanh-nghiep
https://techcombank.com/thong-tin/blog/tra-cuu-no-thue-doanh-n"&amp;"ghiep
https://techcombank.com/thong-tin/blog/thue-doanh-nghiep
https://techcombank.com/thong-tin/blog/cach-tinh-thue-thu-nhap-ca-nhan-2025
https://techcombank.com/thong-tin/blog/ho-kinh-doanh-dong-thue-nhu-nao")</f>
        <v>https://techcombank.com/thong-tin/blog/nop-thue-dat-qua-ngan-hang
https://techcombank.com/thong-tin/blog/cach-nop-thue-dien-tu
https://techcombank.com/thong-tin/blog/thue-thu-nhap-doanh-nghiep
https://techcombank.com/thong-tin/blog/tra-cuu-no-thue-doanh-nghiep
https://techcombank.com/thong-tin/blog/thue-doanh-nghiep
https://techcombank.com/thong-tin/blog/cach-tinh-thue-thu-nhap-ca-nhan-2025
https://techcombank.com/thong-tin/blog/ho-kinh-doanh-dong-thue-nhu-nao</v>
      </c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10" t="str">
        <f>IFERROR(__xludf.DUMMYFUNCTION("""COMPUTED_VALUE"""),"https://techcombank.com/thong-tin/blog/kinh-nghiem-vay-tien-mua-nha")</f>
        <v>https://techcombank.com/thong-tin/blog/kinh-nghiem-vay-tien-mua-nha</v>
      </c>
      <c r="B158" s="11">
        <f>IFERROR(__xludf.DUMMYFUNCTION("""COMPUTED_VALUE"""),7.0)</f>
        <v>7</v>
      </c>
      <c r="C158" s="7" t="str">
        <f>IFERROR(__xludf.DUMMYFUNCTION("IF(A158="""","""",TEXTJOIN(CHAR(10),TRUE,FILTER('Tổng hợp 75 trang đích'!$B$2:$B$3400,'Tổng hợp 75 trang đích'!$I$2:$I$3400=A158)))"),"https://techcombank.com/thong-tin/blog/cic-la-gi
https://techcombank.com/thong-tin/blog/vay-ngan-hang-1-ty-moi-thang-tra-bao-nhieu
https://techcombank.com/cong-cu-tien-ich/cong-cu-tinh-toan/bang-tinh-lai-suat-vay
https://techcombank.com/thong-tin/blog/app"&amp;"-vay-tien-nhanh
https://techcombank.com/thong-tin/blog/lai-suat-vay-ngan-hang
https://techcombank.com/thong-tin/blog/vay-thau-chi-la-gi
https://techcombank.com/thong-tin/blog/nen-vay-tin-chap-o-dau")</f>
        <v>https://techcombank.com/thong-tin/blog/cic-la-gi
https://techcombank.com/thong-tin/blog/vay-ngan-hang-1-ty-moi-thang-tra-bao-nhieu
https://techcombank.com/cong-cu-tien-ich/cong-cu-tinh-toan/bang-tinh-lai-suat-vay
https://techcombank.com/thong-tin/blog/app-vay-tien-nhanh
https://techcombank.com/thong-tin/blog/lai-suat-vay-ngan-hang
https://techcombank.com/thong-tin/blog/vay-thau-chi-la-gi
https://techcombank.com/thong-tin/blog/nen-vay-tin-chap-o-dau</v>
      </c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10" t="str">
        <f>IFERROR(__xludf.DUMMYFUNCTION("""COMPUTED_VALUE"""),"https://techcombank.com/thong-tin/blog/kinh-nghiem-vay-tien-ngan-hang-xay-nha")</f>
        <v>https://techcombank.com/thong-tin/blog/kinh-nghiem-vay-tien-ngan-hang-xay-nha</v>
      </c>
      <c r="B159" s="11">
        <f>IFERROR(__xludf.DUMMYFUNCTION("""COMPUTED_VALUE"""),7.0)</f>
        <v>7</v>
      </c>
      <c r="C159" s="7" t="str">
        <f>IFERROR(__xludf.DUMMYFUNCTION("IF(A159="""","""",TEXTJOIN(CHAR(10),TRUE,FILTER('Tổng hợp 75 trang đích'!$B$2:$B$3400,'Tổng hợp 75 trang đích'!$I$2:$I$3400=A159)))"),"https://techcombank.com/thong-tin/blog/cic-la-gi
https://techcombank.com/thong-tin/blog/cach-tinh-lai-vay-ngan-hang
https://techcombank.com/cong-cu-tien-ich/cong-cu-tinh-toan/bang-tinh-lai-suat-vay
https://techcombank.com/thong-tin/blog/app-vay-tien-nhanh"&amp;"
https://techcombank.com/thong-tin/blog/lai-suat-vay-ngan-hang
https://techcombank.com/thong-tin/blog/vay-thau-chi-la-gi
https://techcombank.com/thong-tin/blog/nen-vay-tin-chap-o-dau")</f>
        <v>https://techcombank.com/thong-tin/blog/cic-la-gi
https://techcombank.com/thong-tin/blog/cach-tinh-lai-vay-ngan-hang
https://techcombank.com/cong-cu-tien-ich/cong-cu-tinh-toan/bang-tinh-lai-suat-vay
https://techcombank.com/thong-tin/blog/app-vay-tien-nhanh
https://techcombank.com/thong-tin/blog/lai-suat-vay-ngan-hang
https://techcombank.com/thong-tin/blog/vay-thau-chi-la-gi
https://techcombank.com/thong-tin/blog/nen-vay-tin-chap-o-dau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10" t="str">
        <f>IFERROR(__xludf.DUMMYFUNCTION("""COMPUTED_VALUE"""),"https://techcombank.com/thong-tin/blog/lai-suat-gui-tiet-kiem-usd")</f>
        <v>https://techcombank.com/thong-tin/blog/lai-suat-gui-tiet-kiem-usd</v>
      </c>
      <c r="B160" s="11">
        <f>IFERROR(__xludf.DUMMYFUNCTION("""COMPUTED_VALUE"""),7.0)</f>
        <v>7</v>
      </c>
      <c r="C160" s="7" t="str">
        <f>IFERROR(__xludf.DUMMYFUNCTION("IF(A160="""","""",TEXTJOIN(CHAR(10),TRUE,FILTER('Tổng hợp 75 trang đích'!$B$2:$B$3400,'Tổng hợp 75 trang đích'!$I$2:$I$3400=A160)))"),"https://techcombank.com/thong-tin/blog/1-dong-do-la-my-bang-bao-nhieu-tien-viet-nam
https://techcombank.com/thong-tin/blog/1-trieu-do-bang-bao-nhieu-tien-viet
https://techcombank.com/thong-tin/blog/doi-tien-do-o-dau
https://techcombank.com/thong-tin/blog/"&amp;"lai-suat-tiet-kiem
https://techcombank.com/thong-tin/blog/cach-tinh-lai-suat-tien-gui-tiet-kiem
https://techcombank.com/cong-cu-tien-ich/cong-cu-tinh-toan/bang-tinh-lai-suat-tiet-kiem
https://techcombank.com/thong-tin/blog/app-vay-tien-nhanh")</f>
        <v>https://techcombank.com/thong-tin/blog/1-dong-do-la-my-bang-bao-nhieu-tien-viet-nam
https://techcombank.com/thong-tin/blog/1-trieu-do-bang-bao-nhieu-tien-viet
https://techcombank.com/thong-tin/blog/doi-tien-do-o-dau
https://techcombank.com/thong-tin/blog/lai-suat-tiet-kiem
https://techcombank.com/thong-tin/blog/cach-tinh-lai-suat-tien-gui-tiet-kiem
https://techcombank.com/cong-cu-tien-ich/cong-cu-tinh-toan/bang-tinh-lai-suat-tiet-kiem
https://techcombank.com/thong-tin/blog/app-vay-tien-nhanh</v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10" t="str">
        <f>IFERROR(__xludf.DUMMYFUNCTION("""COMPUTED_VALUE"""),"https://techcombank.com/thong-tin/blog/lai-suat-qua-han")</f>
        <v>https://techcombank.com/thong-tin/blog/lai-suat-qua-han</v>
      </c>
      <c r="B161" s="11">
        <f>IFERROR(__xludf.DUMMYFUNCTION("""COMPUTED_VALUE"""),7.0)</f>
        <v>7</v>
      </c>
      <c r="C161" s="7" t="str">
        <f>IFERROR(__xludf.DUMMYFUNCTION("IF(A161="""","""",TEXTJOIN(CHAR(10),TRUE,FILTER('Tổng hợp 75 trang đích'!$B$2:$B$3400,'Tổng hợp 75 trang đích'!$I$2:$I$3400=A161)))"),"https://techcombank.com/thong-tin/blog/lai-suat-tiet-kiem
https://techcombank.com/thong-tin/blog/cach-tinh-lai-suat-tien-gui-tiet-kiem
https://techcombank.com/cong-cu-tien-ich/cong-cu-tinh-toan/bang-tinh-lai-suat-tiet-kiem
https://techcombank.com/thong-ti"&amp;"n/blog/app-vay-tien-nhanh
https://techcombank.com/thong-tin/blog/lai-suat-vay-ngan-hang
https://techcombank.com/thong-tin/blog/no-xau-la-gi
https://techcombank.com/thong-tin/blog/vay-tin-chap-khong-tra-duoc-co-sao-khong")</f>
        <v>https://techcombank.com/thong-tin/blog/lai-suat-tiet-kiem
https://techcombank.com/thong-tin/blog/cach-tinh-lai-suat-tien-gui-tiet-kiem
https://techcombank.com/cong-cu-tien-ich/cong-cu-tinh-toan/bang-tinh-lai-suat-tiet-kiem
https://techcombank.com/thong-tin/blog/app-vay-tien-nhanh
https://techcombank.com/thong-tin/blog/lai-suat-vay-ngan-hang
https://techcombank.com/thong-tin/blog/no-xau-la-gi
https://techcombank.com/thong-tin/blog/vay-tin-chap-khong-tra-duoc-co-sao-khong</v>
      </c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10" t="str">
        <f>IFERROR(__xludf.DUMMYFUNCTION("""COMPUTED_VALUE"""),"https://techcombank.com/thong-tin/blog/lai-suat-tha-noi")</f>
        <v>https://techcombank.com/thong-tin/blog/lai-suat-tha-noi</v>
      </c>
      <c r="B162" s="11">
        <f>IFERROR(__xludf.DUMMYFUNCTION("""COMPUTED_VALUE"""),7.0)</f>
        <v>7</v>
      </c>
      <c r="C162" s="7" t="str">
        <f>IFERROR(__xludf.DUMMYFUNCTION("IF(A162="""","""",TEXTJOIN(CHAR(10),TRUE,FILTER('Tổng hợp 75 trang đích'!$B$2:$B$3400,'Tổng hợp 75 trang đích'!$I$2:$I$3400=A162)))"),"https://techcombank.com/thong-tin/blog/cach-tinh-lai-vay-ngan-hang
https://techcombank.com/thong-tin/blog/lai-suat-tiet-kiem
https://techcombank.com/thong-tin/blog/cach-tinh-lai-suat-tien-gui-tiet-kiem
https://techcombank.com/cong-cu-tien-ich/cong-cu-tinh"&amp;"-toan/bang-tinh-lai-suat-vay
https://techcombank.com/cong-cu-tien-ich/cong-cu-tinh-toan/bang-tinh-lai-suat-tiet-kiem
https://techcombank.com/thong-tin/blog/app-vay-tien-nhanh
https://techcombank.com/thong-tin/blog/lai-suat-vay-ngan-hang")</f>
        <v>https://techcombank.com/thong-tin/blog/cach-tinh-lai-vay-ngan-hang
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
https://techcombank.com/thong-tin/blog/lai-suat-vay-ngan-hang</v>
      </c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10" t="str">
        <f>IFERROR(__xludf.DUMMYFUNCTION("""COMPUTED_VALUE"""),"https://techcombank.com/thong-tin/blog/lien-ket-tai-khoan-ngan-hang-voi-etax-mobile")</f>
        <v>https://techcombank.com/thong-tin/blog/lien-ket-tai-khoan-ngan-hang-voi-etax-mobile</v>
      </c>
      <c r="B163" s="11">
        <f>IFERROR(__xludf.DUMMYFUNCTION("""COMPUTED_VALUE"""),7.0)</f>
        <v>7</v>
      </c>
      <c r="C163" s="7" t="str">
        <f>IFERROR(__xludf.DUMMYFUNCTION("IF(A163="""","""",TEXTJOIN(CHAR(10),TRUE,FILTER('Tổng hợp 75 trang đích'!$B$2:$B$3400,'Tổng hợp 75 trang đích'!$I$2:$I$3400=A163)))"),"https://techcombank.com/thong-tin/blog/nop-thue-dat-qua-ngan-hang
https://techcombank.com/thong-tin/blog/cach-nop-thue-dien-tu
https://techcombank.com/thong-tin/blog/cach-mo-tai-khoan
https://techcombank.com/thong-tin/blog/kiem-tra-thue-thu-nhap-ca-nhan
h"&amp;"ttps://techcombank.com/thong-tin/blog/ho-kinh-doanh-dong-thue-nhu-nao
https://techcombank.com/thong-tin/blog/mo-tai-khoan-ho-kinh-doanh
https://techcombank.com/thong-tin/blog/cach-tinh-thue-ho-kinh-doanh-nho-le")</f>
        <v>https://techcombank.com/thong-tin/blog/nop-thue-dat-qua-ngan-hang
https://techcombank.com/thong-tin/blog/cach-nop-thue-dien-tu
https://techcombank.com/thong-tin/blog/cach-mo-tai-khoan
https://techcombank.com/thong-tin/blog/kiem-tra-thue-thu-nhap-ca-nhan
https://techcombank.com/thong-tin/blog/ho-kinh-doanh-dong-thue-nhu-nao
https://techcombank.com/thong-tin/blog/mo-tai-khoan-ho-kinh-doanh
https://techcombank.com/thong-tin/blog/cach-tinh-thue-ho-kinh-doanh-nho-le</v>
      </c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10" t="str">
        <f>IFERROR(__xludf.DUMMYFUNCTION("""COMPUTED_VALUE"""),"https://techcombank.com/thong-tin/blog/ma-buu-chinh-the-tin-dung")</f>
        <v>https://techcombank.com/thong-tin/blog/ma-buu-chinh-the-tin-dung</v>
      </c>
      <c r="B164" s="11">
        <f>IFERROR(__xludf.DUMMYFUNCTION("""COMPUTED_VALUE"""),7.0)</f>
        <v>7</v>
      </c>
      <c r="C164" s="7" t="str">
        <f>IFERROR(__xludf.DUMMYFUNCTION("IF(A164="""","""",TEXTJOIN(CHAR(10),TRUE,FILTER('Tổng hợp 75 trang đích'!$B$2:$B$3400,'Tổng hợp 75 trang đích'!$I$2:$I$3400=A164)))"),"https://techcombank.com/thong-tin/blog/cic-la-gi
https://techcombank.com/thong-tin/blog/lam-the-tin-dung
https://techcombank.com/khach-hang-ca-nhan/chi-tieu/the/the-tin-dung/techcombank-everyday
https://techcombank.com/thong-tin/blog/the-tin-dung-hoan-tie"&amp;"n
https://techcombank.com/thong-tin/blog/cach-huy-the-tin-dung
https://techcombank.com/thong-tin/blog/cach-thanh-toan-the-tin-dung
https://techcombank.com/thong-tin/blog/cach-nhan-tien-tu-nuoc-ngoai-ve-viet-nam")</f>
        <v>https://techcombank.com/thong-tin/blog/cic-la-gi
https://techcombank.com/thong-tin/blog/lam-the-tin-dung
https://techcombank.com/khach-hang-ca-nhan/chi-tieu/the/the-tin-dung/techcombank-everyday
https://techcombank.com/thong-tin/blog/the-tin-dung-hoan-tien
https://techcombank.com/thong-tin/blog/cach-huy-the-tin-dung
https://techcombank.com/thong-tin/blog/cach-thanh-toan-the-tin-dung
https://techcombank.com/thong-tin/blog/cach-nhan-tien-tu-nuoc-ngoai-ve-viet-nam</v>
      </c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10" t="str">
        <f>IFERROR(__xludf.DUMMYFUNCTION("""COMPUTED_VALUE"""),"https://techcombank.com/thong-tin/blog/mat-the-tin-dung-co-bi-mat-tien-khong")</f>
        <v>https://techcombank.com/thong-tin/blog/mat-the-tin-dung-co-bi-mat-tien-khong</v>
      </c>
      <c r="B165" s="11">
        <f>IFERROR(__xludf.DUMMYFUNCTION("""COMPUTED_VALUE"""),7.0)</f>
        <v>7</v>
      </c>
      <c r="C165" s="7" t="str">
        <f>IFERROR(__xludf.DUMMYFUNCTION("IF(A165="""","""",TEXTJOIN(CHAR(10),TRUE,FILTER('Tổng hợp 75 trang đích'!$B$2:$B$3400,'Tổng hợp 75 trang đích'!$I$2:$I$3400=A165)))"),"https://techcombank.com/thong-tin/blog/cic-la-gi
https://techcombank.com/thong-tin/blog/lam-the-tin-dung
https://techcombank.com/khach-hang-ca-nhan/chi-tieu/the/the-tin-dung/techcombank-everyday
https://techcombank.com/thong-tin/blog/the-tin-dung-hoan-tie"&amp;"n
https://techcombank.com/thong-tin/blog/cach-huy-the-tin-dung
https://techcombank.com/thong-tin/blog/cach-thanh-toan-the-tin-dung
https://techcombank.com/thong-tin/blog/rui-ro-khi-gui-tiet-kiem-online")</f>
        <v>https://techcombank.com/thong-tin/blog/cic-la-gi
https://techcombank.com/thong-tin/blog/lam-the-tin-dung
https://techcombank.com/khach-hang-ca-nhan/chi-tieu/the/the-tin-dung/techcombank-everyday
https://techcombank.com/thong-tin/blog/the-tin-dung-hoan-tien
https://techcombank.com/thong-tin/blog/cach-huy-the-tin-dung
https://techcombank.com/thong-tin/blog/cach-thanh-toan-the-tin-dung
https://techcombank.com/thong-tin/blog/rui-ro-khi-gui-tiet-kiem-online</v>
      </c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10" t="str">
        <f>IFERROR(__xludf.DUMMYFUNCTION("""COMPUTED_VALUE"""),"https://techcombank.com/thong-tin/blog/mo-tai-khoan-tiet-kiem-cho-con")</f>
        <v>https://techcombank.com/thong-tin/blog/mo-tai-khoan-tiet-kiem-cho-con</v>
      </c>
      <c r="B166" s="11">
        <f>IFERROR(__xludf.DUMMYFUNCTION("""COMPUTED_VALUE"""),7.0)</f>
        <v>7</v>
      </c>
      <c r="C166" s="7" t="str">
        <f>IFERROR(__xludf.DUMMYFUNCTION("IF(A166="""","""",TEXTJOIN(CHAR(10),TRUE,FILTER('Tổng hợp 75 trang đích'!$B$2:$B$3400,'Tổng hợp 75 trang đích'!$I$2:$I$3400=A166)))"),"https://techcombank.com/thong-tin/blog/cach-mo-tai-khoan
https://techcombank.com/thong-tin/blog/bao-nhieu-tuoi-duoc-mo-tai-khoan-ngan-hang
https://techcombank.com/thong-tin/blog/mo-tai-khoan-ngan-hang-duoi-18-tuoi
https://techcombank.com/thong-tin/blog/la"&amp;"i-suat-tiet-kiem
https://techcombank.com/thong-tin/blog/cach-tinh-lai-suat-tien-gui-tiet-kiem
https://techcombank.com/thong-tin/blog/so-tiet-kiem-ngan-hang
https://techcombank.com/cong-cu-tien-ich/cong-cu-tinh-toan/bang-tinh-lai-suat-tiet-kiem")</f>
        <v>https://techcombank.com/thong-tin/blog/cach-mo-tai-khoan
https://techcombank.com/thong-tin/blog/bao-nhieu-tuoi-duoc-mo-tai-khoan-ngan-hang
https://techcombank.com/thong-tin/blog/mo-tai-khoan-ngan-hang-duoi-18-tuoi
https://techcombank.com/thong-tin/blog/lai-suat-tiet-kiem
https://techcombank.com/thong-tin/blog/cach-tinh-lai-suat-tien-gui-tiet-kiem
https://techcombank.com/thong-tin/blog/so-tiet-kiem-ngan-hang
https://techcombank.com/cong-cu-tien-ich/cong-cu-tinh-toan/bang-tinh-lai-suat-tiet-kiem</v>
      </c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10" t="str">
        <f>IFERROR(__xludf.DUMMYFUNCTION("""COMPUTED_VALUE"""),"https://techcombank.com/thong-tin/blog/nen-vay-the-chap-ngan-hang-nao")</f>
        <v>https://techcombank.com/thong-tin/blog/nen-vay-the-chap-ngan-hang-nao</v>
      </c>
      <c r="B167" s="11">
        <f>IFERROR(__xludf.DUMMYFUNCTION("""COMPUTED_VALUE"""),7.0)</f>
        <v>7</v>
      </c>
      <c r="C167" s="7" t="str">
        <f>IFERROR(__xludf.DUMMYFUNCTION("IF(A167="""","""",TEXTJOIN(CHAR(10),TRUE,FILTER('Tổng hợp 75 trang đích'!$B$2:$B$3400,'Tổng hợp 75 trang đích'!$I$2:$I$3400=A167)))"),"https://techcombank.com/thong-tin/blog/ngan-hang-uy-tin
https://techcombank.com/thong-tin/blog/vay-ngan-hang-1-ty-moi-thang-tra-bao-nhieu
https://techcombank.com/thong-tin/blog/lai-suat-vay-the-chap-so-do
https://techcombank.com/thong-tin/blog/ho-so-thu-t"&amp;"uc-xoa-the-chap
https://techcombank.com/cong-cu-tien-ich/cong-cu-tinh-toan/bang-tinh-lai-suat-vay
https://techcombank.com/thong-tin/blog/app-vay-tien-nhanh
https://techcombank.com/thong-tin/blog/lai-suat-vay-ngan-hang")</f>
        <v>https://techcombank.com/thong-tin/blog/ngan-hang-uy-tin
https://techcombank.com/thong-tin/blog/vay-ngan-hang-1-ty-moi-thang-tra-bao-nhieu
https://techcombank.com/thong-tin/blog/lai-suat-vay-the-chap-so-do
https://techcombank.com/thong-tin/blog/ho-so-thu-tuc-xoa-the-chap
https://techcombank.com/cong-cu-tien-ich/cong-cu-tinh-toan/bang-tinh-lai-suat-vay
https://techcombank.com/thong-tin/blog/app-vay-tien-nhanh
https://techcombank.com/thong-tin/blog/lai-suat-vay-ngan-hang</v>
      </c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10" t="str">
        <f>IFERROR(__xludf.DUMMYFUNCTION("""COMPUTED_VALUE"""),"https://techcombank.com/thong-tin/blog/ngan-hang-thu-huong-la-gi")</f>
        <v>https://techcombank.com/thong-tin/blog/ngan-hang-thu-huong-la-gi</v>
      </c>
      <c r="B168" s="11">
        <f>IFERROR(__xludf.DUMMYFUNCTION("""COMPUTED_VALUE"""),7.0)</f>
        <v>7</v>
      </c>
      <c r="C168" s="7" t="str">
        <f>IFERROR(__xludf.DUMMYFUNCTION("IF(A168="""","""",TEXTJOIN(CHAR(10),TRUE,FILTER('Tổng hợp 75 trang đích'!$B$2:$B$3400,'Tổng hợp 75 trang đích'!$I$2:$I$3400=A168)))"),"https://techcombank.com/thong-tin/blog/cach-nap-the-viettel
https://techcombank.com/thong-tin/blog/cach-tinh-tien-dien-sinh-hoat
https://techcombank.com/thong-tin/blog/chuyen-khoan-thanh-cong-nhung-khong-nhan-duoc-tien
https://techcombank.com/thong-tin/bl"&amp;"og/mo-tai-khoan-ngan-hang-duoi-18-tuoi
https://techcombank.com/thong-tin/blog/day-so-phat-tai-phat-loc
https://techcombank.com/thong-tin/blog/ten-dang-nhap-tai-khoan-ngan-hang-la-gi
https://techcombank.com/thong-tin/blog/cach-quet-nfc-cccd-tren-iphone")</f>
        <v>https://techcombank.com/thong-tin/blog/cach-nap-the-viettel
https://techcombank.com/thong-tin/blog/cach-tinh-tien-dien-sinh-hoat
https://techcombank.com/thong-tin/blog/chuyen-khoan-thanh-cong-nhung-khong-nhan-duoc-tien
https://techcombank.com/thong-tin/blog/mo-tai-khoan-ngan-hang-duoi-18-tuoi
https://techcombank.com/thong-tin/blog/day-so-phat-tai-phat-loc
https://techcombank.com/thong-tin/blog/ten-dang-nhap-tai-khoan-ngan-hang-la-gi
https://techcombank.com/thong-tin/blog/cach-quet-nfc-cccd-tren-iphone</v>
      </c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10" t="str">
        <f>IFERROR(__xludf.DUMMYFUNCTION("""COMPUTED_VALUE"""),"https://techcombank.com/thong-tin/blog/nhung-chi-phi-khong-duoc-tru-khi-tinh-thue-tndn")</f>
        <v>https://techcombank.com/thong-tin/blog/nhung-chi-phi-khong-duoc-tru-khi-tinh-thue-tndn</v>
      </c>
      <c r="B169" s="11">
        <f>IFERROR(__xludf.DUMMYFUNCTION("""COMPUTED_VALUE"""),7.0)</f>
        <v>7</v>
      </c>
      <c r="C169" s="7" t="str">
        <f>IFERROR(__xludf.DUMMYFUNCTION("IF(A169="""","""",TEXTJOIN(CHAR(10),TRUE,FILTER('Tổng hợp 75 trang đích'!$B$2:$B$3400,'Tổng hợp 75 trang đích'!$I$2:$I$3400=A169)))"),"https://techcombank.com/thong-tin/blog/nop-thue-dat-qua-ngan-hang
https://techcombank.com/thong-tin/blog/cach-nop-thue-dien-tu
https://techcombank.com/thong-tin/blog/thue-thu-nhap-doanh-nghiep
https://techcombank.com/thong-tin/blog/thue-doanh-nghiep
https"&amp;"://techcombank.com/thong-tin/blog/cach-tinh-thue-thu-nhap-doanh-nghiep
https://techcombank.com/thong-tin/blog/cach-tinh-thue-thu-nhap-ca-nhan-2025
https://techcombank.com/thong-tin/blog/ho-kinh-doanh-dong-thue-nhu-nao")</f>
        <v>https://techcombank.com/thong-tin/blog/nop-thue-dat-qua-ngan-hang
https://techcombank.com/thong-tin/blog/cach-nop-thue-dien-tu
https://techcombank.com/thong-tin/blog/thue-thu-nhap-doanh-nghiep
https://techcombank.com/thong-tin/blog/thue-doanh-nghiep
https://techcombank.com/thong-tin/blog/cach-tinh-thue-thu-nhap-doanh-nghiep
https://techcombank.com/thong-tin/blog/cach-tinh-thue-thu-nhap-ca-nhan-2025
https://techcombank.com/thong-tin/blog/ho-kinh-doanh-dong-thue-nhu-nao</v>
      </c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10" t="str">
        <f>IFERROR(__xludf.DUMMYFUNCTION("""COMPUTED_VALUE"""),"https://techcombank.com/thong-tin/blog/no-chu-y-la-gi")</f>
        <v>https://techcombank.com/thong-tin/blog/no-chu-y-la-gi</v>
      </c>
      <c r="B170" s="11">
        <f>IFERROR(__xludf.DUMMYFUNCTION("""COMPUTED_VALUE"""),7.0)</f>
        <v>7</v>
      </c>
      <c r="C170" s="7" t="str">
        <f>IFERROR(__xludf.DUMMYFUNCTION("IF(A170="""","""",TEXTJOIN(CHAR(10),TRUE,FILTER('Tổng hợp 75 trang đích'!$B$2:$B$3400,'Tổng hợp 75 trang đích'!$I$2:$I$3400=A170)))"),"https://techcombank.com/thong-tin/blog/cic-la-gi
https://techcombank.com/thong-tin/blog/xep-hang-tin-dung
https://techcombank.com/cong-cu-tien-ich/cong-cu-tinh-toan/bang-tinh-lai-suat-vay
https://techcombank.com/thong-tin/blog/app-vay-tien-nhanh
https://t"&amp;"echcombank.com/thong-tin/blog/kiem-tra-no-xau
https://techcombank.com/thong-tin/blog/no-xau-la-gi
https://techcombank.com/thong-tin/blog/vay-tin-chap-khong-tra-duoc-co-sao-khong")</f>
        <v>https://techcombank.com/thong-tin/blog/cic-la-gi
https://techcombank.com/thong-tin/blog/xep-hang-tin-dung
https://techcombank.com/cong-cu-tien-ich/cong-cu-tinh-toan/bang-tinh-lai-suat-vay
https://techcombank.com/thong-tin/blog/app-vay-tien-nhanh
https://techcombank.com/thong-tin/blog/kiem-tra-no-xau
https://techcombank.com/thong-tin/blog/no-xau-la-gi
https://techcombank.com/thong-tin/blog/vay-tin-chap-khong-tra-duoc-co-sao-khong</v>
      </c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10" t="str">
        <f>IFERROR(__xludf.DUMMYFUNCTION("""COMPUTED_VALUE"""),"https://techcombank.com/thong-tin/blog/no-the-tin-dung-qua-han")</f>
        <v>https://techcombank.com/thong-tin/blog/no-the-tin-dung-qua-han</v>
      </c>
      <c r="B171" s="11">
        <f>IFERROR(__xludf.DUMMYFUNCTION("""COMPUTED_VALUE"""),7.0)</f>
        <v>7</v>
      </c>
      <c r="C171" s="7" t="str">
        <f>IFERROR(__xludf.DUMMYFUNCTION("IF(A171="""","""",TEXTJOIN(CHAR(10),TRUE,FILTER('Tổng hợp 75 trang đích'!$B$2:$B$3400,'Tổng hợp 75 trang đích'!$I$2:$I$3400=A171)))"),"https://techcombank.com/thong-tin/blog/cic-la-gi
https://techcombank.com/thong-tin/blog/xep-hang-tin-dung
https://techcombank.com/thong-tin/blog/cach-thanh-toan-the-tin-dung
https://techcombank.com/thong-tin/blog/app-vay-tien-nhanh
https://techcombank.com"&amp;"/thong-tin/blog/kiem-tra-no-xau
https://techcombank.com/thong-tin/blog/no-xau-la-gi
https://techcombank.com/thong-tin/blog/vay-tin-chap-khong-tra-duoc-co-sao-khong")</f>
        <v>https://techcombank.com/thong-tin/blog/cic-la-gi
https://techcombank.com/thong-tin/blog/xep-hang-tin-dung
https://techcombank.com/thong-tin/blog/cach-thanh-toan-the-tin-dung
https://techcombank.com/thong-tin/blog/app-vay-tien-nhanh
https://techcombank.com/thong-tin/blog/kiem-tra-no-xau
https://techcombank.com/thong-tin/blog/no-xau-la-gi
https://techcombank.com/thong-tin/blog/vay-tin-chap-khong-tra-duoc-co-sao-khong</v>
      </c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10" t="str">
        <f>IFERROR(__xludf.DUMMYFUNCTION("""COMPUTED_VALUE"""),"https://techcombank.com/thong-tin/blog/no-xau-co-lam-the-visa-duoc-khong")</f>
        <v>https://techcombank.com/thong-tin/blog/no-xau-co-lam-the-visa-duoc-khong</v>
      </c>
      <c r="B172" s="11">
        <f>IFERROR(__xludf.DUMMYFUNCTION("""COMPUTED_VALUE"""),7.0)</f>
        <v>7</v>
      </c>
      <c r="C172" s="7" t="str">
        <f>IFERROR(__xludf.DUMMYFUNCTION("IF(A172="""","""",TEXTJOIN(CHAR(10),TRUE,FILTER('Tổng hợp 75 trang đích'!$B$2:$B$3400,'Tổng hợp 75 trang đích'!$I$2:$I$3400=A172)))"),"https://techcombank.com/thong-tin/blog/bao-nhieu-tuoi-duoc-mo-tai-khoan-ngan-hang
https://techcombank.com/thong-tin/blog/cic-la-gi
https://techcombank.com/thong-tin/blog/xep-hang-tin-dung
https://techcombank.com/thong-tin/blog/app-vay-tien-nhanh
https://t"&amp;"echcombank.com/thong-tin/blog/kiem-tra-no-xau
https://techcombank.com/thong-tin/blog/no-xau-la-gi
https://techcombank.com/thong-tin/blog/vay-tin-chap-khong-tra-duoc-co-sao-khong")</f>
        <v>https://techcombank.com/thong-tin/blog/bao-nhieu-tuoi-duoc-mo-tai-khoan-ngan-hang
https://techcombank.com/thong-tin/blog/cic-la-gi
https://techcombank.com/thong-tin/blog/xep-hang-tin-dung
https://techcombank.com/thong-tin/blog/app-vay-tien-nhanh
https://techcombank.com/thong-tin/blog/kiem-tra-no-xau
https://techcombank.com/thong-tin/blog/no-xau-la-gi
https://techcombank.com/thong-tin/blog/vay-tin-chap-khong-tra-duoc-co-sao-khong</v>
      </c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10" t="str">
        <f>IFERROR(__xludf.DUMMYFUNCTION("""COMPUTED_VALUE"""),"https://techcombank.com/thong-tin/blog/no-xau-la-gi")</f>
        <v>https://techcombank.com/thong-tin/blog/no-xau-la-gi</v>
      </c>
      <c r="B173" s="11">
        <f>IFERROR(__xludf.DUMMYFUNCTION("""COMPUTED_VALUE"""),7.0)</f>
        <v>7</v>
      </c>
      <c r="C173" s="7" t="str">
        <f>IFERROR(__xludf.DUMMYFUNCTION("IF(A173="""","""",TEXTJOIN(CHAR(10),TRUE,FILTER('Tổng hợp 75 trang đích'!$B$2:$B$3400,'Tổng hợp 75 trang đích'!$I$2:$I$3400=A173)))"),"https://techcombank.com/thong-tin/blog/cach-quet-nfc-cccd-tren-iphone
https://techcombank.com/thong-tin/blog/cic-la-gi
https://techcombank.com/thong-tin/blog/xep-hang-tin-dung
https://techcombank.com/cong-cu-tien-ich/cong-cu-tinh-toan/bang-tinh-lai-suat-v"&amp;"ay
https://techcombank.com/thong-tin/blog/app-vay-tien-nhanh
https://techcombank.com/thong-tin/blog/kiem-tra-no-xau
https://techcombank.com/thong-tin/blog/vay-tin-chap-khong-tra-duoc-co-sao-khong")</f>
        <v>https://techcombank.com/thong-tin/blog/cach-quet-nfc-cccd-tren-iphone
https://techcombank.com/thong-tin/blog/cic-la-gi
https://techcombank.com/thong-tin/blog/xep-hang-tin-dung
https://techcombank.com/cong-cu-tien-ich/cong-cu-tinh-toan/bang-tinh-lai-suat-vay
https://techcombank.com/thong-tin/blog/app-vay-tien-nhanh
https://techcombank.com/thong-tin/blog/kiem-tra-no-xau
https://techcombank.com/thong-tin/blog/vay-tin-chap-khong-tra-duoc-co-sao-khong</v>
      </c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10" t="str">
        <f>IFERROR(__xludf.DUMMYFUNCTION("""COMPUTED_VALUE"""),"https://techcombank.com/thong-tin/blog/one-stop-shop")</f>
        <v>https://techcombank.com/thong-tin/blog/one-stop-shop</v>
      </c>
      <c r="B174" s="11">
        <f>IFERROR(__xludf.DUMMYFUNCTION("""COMPUTED_VALUE"""),7.0)</f>
        <v>7</v>
      </c>
      <c r="C174" s="7" t="str">
        <f>IFERROR(__xludf.DUMMYFUNCTION("IF(A174="""","""",TEXTJOIN(CHAR(10),TRUE,FILTER('Tổng hợp 75 trang đích'!$B$2:$B$3400,'Tổng hợp 75 trang đích'!$I$2:$I$3400=A174)))"),"https://techcombank.com/thong-tin/blog/nop-thue-dat-qua-ngan-hang
https://techcombank.com/thong-tin/blog/cach-nop-thue-dien-tu
https://techcombank.com/thong-tin/blog/thue-vat-la-gi
https://techcombank.com/thong-tin/blog/cach-tinh-tien-dien-sinh-hoat
https"&amp;"://techcombank.com/thong-tin/blog/cach-tinh-thue-thu-nhap-ca-nhan-2025
https://techcombank.com/thong-tin/blog/mo-hinh-kinh-doanh-la-gi
https://techcombank.com/thong-tin/blog/gui-ma-qr-ngan-hang")</f>
        <v>https://techcombank.com/thong-tin/blog/nop-thue-dat-qua-ngan-hang
https://techcombank.com/thong-tin/blog/cach-nop-thue-dien-tu
https://techcombank.com/thong-tin/blog/thue-vat-la-gi
https://techcombank.com/thong-tin/blog/cach-tinh-tien-dien-sinh-hoat
https://techcombank.com/thong-tin/blog/cach-tinh-thue-thu-nhap-ca-nhan-2025
https://techcombank.com/thong-tin/blog/mo-hinh-kinh-doanh-la-gi
https://techcombank.com/thong-tin/blog/gui-ma-qr-ngan-hang</v>
      </c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10" t="str">
        <f>IFERROR(__xludf.DUMMYFUNCTION("""COMPUTED_VALUE"""),"https://techcombank.com/thong-tin/blog/sao-ke-the-tin-dung-la-gi")</f>
        <v>https://techcombank.com/thong-tin/blog/sao-ke-the-tin-dung-la-gi</v>
      </c>
      <c r="B175" s="11">
        <f>IFERROR(__xludf.DUMMYFUNCTION("""COMPUTED_VALUE"""),7.0)</f>
        <v>7</v>
      </c>
      <c r="C175" s="7" t="str">
        <f>IFERROR(__xludf.DUMMYFUNCTION("IF(A175="""","""",TEXTJOIN(CHAR(10),TRUE,FILTER('Tổng hợp 75 trang đích'!$B$2:$B$3400,'Tổng hợp 75 trang đích'!$I$2:$I$3400=A175)))"),"https://techcombank.com/thong-tin/blog/cach-sao-ke-tai-khoan-ngan-hang
https://techcombank.com/thong-tin/blog/cic-la-gi
https://techcombank.com/thong-tin/blog/rut-tien-mat-tu-the-tin-dung
https://techcombank.com/thong-tin/blog/cach-huy-the-tin-dung
https:"&amp;"//techcombank.com/thong-tin/blog/cach-thanh-toan-the-tin-dung
https://techcombank.com/thong-tin/blog/cach-tinh-lai-vay-ngan-hang
https://techcombank.com/thong-tin/blog/app-vay-tien-nhanh")</f>
        <v>https://techcombank.com/thong-tin/blog/cach-sao-ke-tai-khoan-ngan-hang
https://techcombank.com/thong-tin/blog/cic-la-gi
https://techcombank.com/thong-tin/blog/rut-tien-mat-tu-the-tin-dung
https://techcombank.com/thong-tin/blog/cach-huy-the-tin-dung
https://techcombank.com/thong-tin/blog/cach-thanh-toan-the-tin-dung
https://techcombank.com/thong-tin/blog/cach-tinh-lai-vay-ngan-hang
https://techcombank.com/thong-tin/blog/app-vay-tien-nhanh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10" t="str">
        <f>IFERROR(__xludf.DUMMYFUNCTION("""COMPUTED_VALUE"""),"https://techcombank.com/thong-tin/blog/tai-sao-gui-tiet-kiem-online-lai-suat-cao-hon")</f>
        <v>https://techcombank.com/thong-tin/blog/tai-sao-gui-tiet-kiem-online-lai-suat-cao-hon</v>
      </c>
      <c r="B176" s="11">
        <f>IFERROR(__xludf.DUMMYFUNCTION("""COMPUTED_VALUE"""),7.0)</f>
        <v>7</v>
      </c>
      <c r="C176" s="7" t="str">
        <f>IFERROR(__xludf.DUMMYFUNCTION("IF(A176="""","""",TEXTJOIN(CHAR(10),TRUE,FILTER('Tổng hợp 75 trang đích'!$B$2:$B$3400,'Tổng hợp 75 trang đích'!$I$2:$I$3400=A176)))"),"https://techcombank.com/thong-tin/blog/chung-chi-tien-gui-la-gi
https://techcombank.com/thong-tin/blog/lai-suat-tiet-kiem
https://techcombank.com/thong-tin/blog/cach-tinh-lai-suat-tien-gui-tiet-kiem
https://techcombank.com/thong-tin/blog/so-tiet-kiem-ngan"&amp;"-hang
https://techcombank.com/thong-tin/blog/rui-ro-khi-gui-tiet-kiem-online
https://techcombank.com/cong-cu-tien-ich/cong-cu-tinh-toan/bang-tinh-lai-suat-tiet-kiem
https://techcombank.com/thong-tin/blog/app-vay-tien-nhanh")</f>
        <v>https://techcombank.com/thong-tin/blog/chung-chi-tien-gui-la-gi
https://techcombank.com/thong-tin/blog/lai-suat-tiet-kiem
https://techcombank.com/thong-tin/blog/cach-tinh-lai-suat-tien-gui-tiet-kiem
https://techcombank.com/thong-tin/blog/so-tiet-kiem-ngan-hang
https://techcombank.com/thong-tin/blog/rui-ro-khi-gui-tiet-kiem-online
https://techcombank.com/cong-cu-tien-ich/cong-cu-tinh-toan/bang-tinh-lai-suat-tiet-kiem
https://techcombank.com/thong-tin/blog/app-vay-tien-nhanh</v>
      </c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10" t="str">
        <f>IFERROR(__xludf.DUMMYFUNCTION("""COMPUTED_VALUE"""),"https://techcombank.com/thong-tin/blog/thanh-toan-khoan-vay")</f>
        <v>https://techcombank.com/thong-tin/blog/thanh-toan-khoan-vay</v>
      </c>
      <c r="B177" s="11">
        <f>IFERROR(__xludf.DUMMYFUNCTION("""COMPUTED_VALUE"""),7.0)</f>
        <v>7</v>
      </c>
      <c r="C177" s="7" t="str">
        <f>IFERROR(__xludf.DUMMYFUNCTION("IF(A177="""","""",TEXTJOIN(CHAR(10),TRUE,FILTER('Tổng hợp 75 trang đích'!$B$2:$B$3400,'Tổng hợp 75 trang đích'!$I$2:$I$3400=A177)))"),"https://techcombank.com/thong-tin/blog/cic-la-gi
https://techcombank.com/thong-tin/blog/cach-tinh-lai-vay-ngan-hang
https://techcombank.com/cong-cu-tien-ich/cong-cu-tinh-toan/bang-tinh-lai-suat-vay
https://techcombank.com/thong-tin/blog/app-vay-tien-nhanh"&amp;"
https://techcombank.com/thong-tin/blog/lai-suat-vay-ngan-hang
https://techcombank.com/thong-tin/blog/kiem-tra-no-xau
https://techcombank.com/thong-tin/blog/no-xau-la-gi")</f>
        <v>https://techcombank.com/thong-tin/blog/cic-la-gi
https://techcombank.com/thong-tin/blog/cach-tinh-lai-vay-ngan-hang
https://techcombank.com/cong-cu-tien-ich/cong-cu-tinh-toan/bang-tinh-lai-suat-vay
https://techcombank.com/thong-tin/blog/app-vay-tien-nhanh
https://techcombank.com/thong-tin/blog/lai-suat-vay-ngan-hang
https://techcombank.com/thong-tin/blog/kiem-tra-no-xau
https://techcombank.com/thong-tin/blog/no-xau-la-gi</v>
      </c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10" t="str">
        <f>IFERROR(__xludf.DUMMYFUNCTION("""COMPUTED_VALUE"""),"https://techcombank.com/thong-tin/blog/the-tin-dung-bi-khoa")</f>
        <v>https://techcombank.com/thong-tin/blog/the-tin-dung-bi-khoa</v>
      </c>
      <c r="B178" s="11">
        <f>IFERROR(__xludf.DUMMYFUNCTION("""COMPUTED_VALUE"""),7.0)</f>
        <v>7</v>
      </c>
      <c r="C178" s="7" t="str">
        <f>IFERROR(__xludf.DUMMYFUNCTION("IF(A178="""","""",TEXTJOIN(CHAR(10),TRUE,FILTER('Tổng hợp 75 trang đích'!$B$2:$B$3400,'Tổng hợp 75 trang đích'!$I$2:$I$3400=A178)))"),"https://techcombank.com/thong-tin/blog/cic-la-gi
https://techcombank.com/thong-tin/blog/cach-huy-the-tin-dung
https://techcombank.com/thong-tin/blog/xep-hang-tin-dung
https://techcombank.com/thong-tin/blog/app-vay-tien-nhanh
https://techcombank.com/thong-"&amp;"tin/blog/kiem-tra-no-xau
https://techcombank.com/thong-tin/blog/no-xau-la-gi
https://techcombank.com/thong-tin/blog/vay-tin-chap-khong-tra-duoc-co-sao-khong")</f>
        <v>https://techcombank.com/thong-tin/blog/cic-la-gi
https://techcombank.com/thong-tin/blog/cach-huy-the-tin-dung
https://techcombank.com/thong-tin/blog/xep-hang-tin-dung
https://techcombank.com/thong-tin/blog/app-vay-tien-nhanh
https://techcombank.com/thong-tin/blog/kiem-tra-no-xau
https://techcombank.com/thong-tin/blog/no-xau-la-gi
https://techcombank.com/thong-tin/blog/vay-tin-chap-khong-tra-duoc-co-sao-khong</v>
      </c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10" t="str">
        <f>IFERROR(__xludf.DUMMYFUNCTION("""COMPUTED_VALUE"""),"https://techcombank.com/thong-tin/blog/the-visa-co-can-mat-khau-khong")</f>
        <v>https://techcombank.com/thong-tin/blog/the-visa-co-can-mat-khau-khong</v>
      </c>
      <c r="B179" s="11">
        <f>IFERROR(__xludf.DUMMYFUNCTION("""COMPUTED_VALUE"""),7.0)</f>
        <v>7</v>
      </c>
      <c r="C179" s="7" t="str">
        <f>IFERROR(__xludf.DUMMYFUNCTION("IF(A179="""","""",TEXTJOIN(CHAR(10),TRUE,FILTER('Tổng hợp 75 trang đích'!$B$2:$B$3400,'Tổng hợp 75 trang đích'!$I$2:$I$3400=A179)))"),"https://techcombank.com/thong-tin/blog/ten-dang-nhap-tai-khoan-ngan-hang-la-gi
https://techcombank.com/thong-tin/blog/cic-la-gi
https://techcombank.com/thong-tin/blog/lam-the-tin-dung
https://techcombank.com/khach-hang-ca-nhan/chi-tieu/the/the-tin-dung/te"&amp;"chcombank-everyday
https://techcombank.com/thong-tin/blog/the-tin-dung-hoan-tien
https://techcombank.com/thong-tin/blog/cach-huy-the-tin-dung
https://techcombank.com/thong-tin/blog/cach-thanh-toan-the-tin-dung")</f>
        <v>https://techcombank.com/thong-tin/blog/ten-dang-nhap-tai-khoan-ngan-hang-la-gi
https://techcombank.com/thong-tin/blog/cic-la-gi
https://techcombank.com/thong-tin/blog/lam-the-tin-dung
https://techcombank.com/khach-hang-ca-nhan/chi-tieu/the/the-tin-dung/techcombank-everyday
https://techcombank.com/thong-tin/blog/the-tin-dung-hoan-tien
https://techcombank.com/thong-tin/blog/cach-huy-the-tin-dung
https://techcombank.com/thong-tin/blog/cach-thanh-toan-the-tin-dung</v>
      </c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10" t="str">
        <f>IFERROR(__xludf.DUMMYFUNCTION("""COMPUTED_VALUE"""),"https://techcombank.com/thong-tin/blog/thue-phi-co-dinh-khi-chuyen-doi-tu-ho-kinh-doanh-len-doanh-nghiep")</f>
        <v>https://techcombank.com/thong-tin/blog/thue-phi-co-dinh-khi-chuyen-doi-tu-ho-kinh-doanh-len-doanh-nghiep</v>
      </c>
      <c r="B180" s="11">
        <f>IFERROR(__xludf.DUMMYFUNCTION("""COMPUTED_VALUE"""),7.0)</f>
        <v>7</v>
      </c>
      <c r="C180" s="7" t="str">
        <f>IFERROR(__xludf.DUMMYFUNCTION("IF(A180="""","""",TEXTJOIN(CHAR(10),TRUE,FILTER('Tổng hợp 75 trang đích'!$B$2:$B$3400,'Tổng hợp 75 trang đích'!$I$2:$I$3400=A180)))"),"https://techcombank.com/thong-tin/blog/nop-thue-dat-qua-ngan-hang
https://techcombank.com/thong-tin/blog/cach-nop-thue-dien-tu
https://techcombank.com/thong-tin/blog/thue-thu-nhap-doanh-nghiep
https://techcombank.com/thong-tin/blog/thue-doanh-nghiep
https"&amp;"://techcombank.com/thong-tin/blog/cach-tinh-thue-thu-nhap-ca-nhan-2025
https://techcombank.com/thong-tin/blog/mo-hinh-kinh-doanh-la-gi
https://techcombank.com/thong-tin/blog/cach-tiet-kiem-tien")</f>
        <v>https://techcombank.com/thong-tin/blog/nop-thue-dat-qua-ngan-hang
https://techcombank.com/thong-tin/blog/cach-nop-thue-dien-tu
https://techcombank.com/thong-tin/blog/thue-thu-nhap-doanh-nghiep
https://techcombank.com/thong-tin/blog/thue-doanh-nghiep
https://techcombank.com/thong-tin/blog/cach-tinh-thue-thu-nhap-ca-nhan-2025
https://techcombank.com/thong-tin/blog/mo-hinh-kinh-doanh-la-gi
https://techcombank.com/thong-tin/blog/cach-tiet-kiem-tien</v>
      </c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10" t="str">
        <f>IFERROR(__xludf.DUMMYFUNCTION("""COMPUTED_VALUE"""),"https://techcombank.com/thong-tin/blog/thue-thu-nhap-doanh-nghiep")</f>
        <v>https://techcombank.com/thong-tin/blog/thue-thu-nhap-doanh-nghiep</v>
      </c>
      <c r="B181" s="11">
        <f>IFERROR(__xludf.DUMMYFUNCTION("""COMPUTED_VALUE"""),7.0)</f>
        <v>7</v>
      </c>
      <c r="C181" s="7" t="str">
        <f>IFERROR(__xludf.DUMMYFUNCTION("IF(A181="""","""",TEXTJOIN(CHAR(10),TRUE,FILTER('Tổng hợp 75 trang đích'!$B$2:$B$3400,'Tổng hợp 75 trang đích'!$I$2:$I$3400=A181)))"),"https://techcombank.com/thong-tin/blog/nop-thue-dat-qua-ngan-hang
https://techcombank.com/thong-tin/blog/cach-nop-thue-dien-tu
https://techcombank.com/thong-tin/blog/thue-doanh-nghiep
https://techcombank.com/thong-tin/blog/cach-tinh-thue-thu-nhap-doanh-ng"&amp;"hiep
https://techcombank.com/thong-tin/blog/cach-tinh-thue-thu-nhap-ca-nhan-2025
https://techcombank.com/thong-tin/blog/kiem-tra-thue-thu-nhap-ca-nhan
https://techcombank.com/thong-tin/blog/thue-thu-nhap-ca-nhan")</f>
        <v>https://techcombank.com/thong-tin/blog/nop-thue-dat-qua-ngan-hang
https://techcombank.com/thong-tin/blog/cach-nop-thue-dien-tu
https://techcombank.com/thong-tin/blog/thue-doanh-nghiep
https://techcombank.com/thong-tin/blog/cach-tinh-thue-thu-nhap-doanh-nghiep
https://techcombank.com/thong-tin/blog/cach-tinh-thue-thu-nhap-ca-nhan-2025
https://techcombank.com/thong-tin/blog/kiem-tra-thue-thu-nhap-ca-nhan
https://techcombank.com/thong-tin/blog/thue-thu-nhap-ca-nhan</v>
      </c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10" t="str">
        <f>IFERROR(__xludf.DUMMYFUNCTION("""COMPUTED_VALUE"""),"https://techcombank.com/thong-tin/blog/tra-cuu-ma-so-thue-ho-kinh-doanh")</f>
        <v>https://techcombank.com/thong-tin/blog/tra-cuu-ma-so-thue-ho-kinh-doanh</v>
      </c>
      <c r="B182" s="11">
        <f>IFERROR(__xludf.DUMMYFUNCTION("""COMPUTED_VALUE"""),7.0)</f>
        <v>7</v>
      </c>
      <c r="C182" s="7" t="str">
        <f>IFERROR(__xludf.DUMMYFUNCTION("IF(A182="""","""",TEXTJOIN(CHAR(10),TRUE,FILTER('Tổng hợp 75 trang đích'!$B$2:$B$3400,'Tổng hợp 75 trang đích'!$I$2:$I$3400=A182)))"),"https://techcombank.com/thong-tin/blog/nop-thue-dat-qua-ngan-hang
https://techcombank.com/thong-tin/blog/cach-nop-thue-dien-tu
https://techcombank.com/thong-tin/blog/tra-cuu-no-thue-doanh-nghiep
https://techcombank.com/thong-tin/blog/cach-quet-nfc-cccd-tr"&amp;"en-iphone
https://techcombank.com/thong-tin/blog/ho-kinh-doanh-dong-thue-nhu-nao
https://techcombank.com/thong-tin/blog/mo-hinh-kinh-doanh-la-gi
https://techcombank.com/thong-tin/blog/mo-tai-khoan-ho-kinh-doanh")</f>
        <v>https://techcombank.com/thong-tin/blog/nop-thue-dat-qua-ngan-hang
https://techcombank.com/thong-tin/blog/cach-nop-thue-dien-tu
https://techcombank.com/thong-tin/blog/tra-cuu-no-thue-doanh-nghiep
https://techcombank.com/thong-tin/blog/cach-quet-nfc-cccd-tren-iphone
https://techcombank.com/thong-tin/blog/ho-kinh-doanh-dong-thue-nhu-nao
https://techcombank.com/thong-tin/blog/mo-hinh-kinh-doanh-la-gi
https://techcombank.com/thong-tin/blog/mo-tai-khoan-ho-kinh-doanh</v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10" t="str">
        <f>IFERROR(__xludf.DUMMYFUNCTION("""COMPUTED_VALUE"""),"https://techcombank.com/thong-tin/blog/tra-cuu-no-thue-ca-nhan")</f>
        <v>https://techcombank.com/thong-tin/blog/tra-cuu-no-thue-ca-nhan</v>
      </c>
      <c r="B183" s="11">
        <f>IFERROR(__xludf.DUMMYFUNCTION("""COMPUTED_VALUE"""),7.0)</f>
        <v>7</v>
      </c>
      <c r="C183" s="7" t="str">
        <f>IFERROR(__xludf.DUMMYFUNCTION("IF(A183="""","""",TEXTJOIN(CHAR(10),TRUE,FILTER('Tổng hợp 75 trang đích'!$B$2:$B$3400,'Tổng hợp 75 trang đích'!$I$2:$I$3400=A183)))"),"https://techcombank.com/thong-tin/blog/nop-thue-dat-qua-ngan-hang
https://techcombank.com/thong-tin/blog/cach-nop-thue-dien-tu
https://techcombank.com/thong-tin/blog/tra-cuu-no-thue-doanh-nghiep
https://techcombank.com/thong-tin/blog/cach-tinh-thue-thu-nh"&amp;"ap-ca-nhan-2025
https://techcombank.com/thong-tin/blog/kiem-tra-thue-thu-nhap-ca-nhan
https://techcombank.com/thong-tin/blog/thue-thu-nhap-ca-nhan
https://techcombank.com/thong-tin/blog/ho-kinh-doanh-dong-thue-nhu-nao")</f>
        <v>https://techcombank.com/thong-tin/blog/nop-thue-dat-qua-ngan-hang
https://techcombank.com/thong-tin/blog/cach-nop-thue-dien-tu
https://techcombank.com/thong-tin/blog/tra-cuu-no-thue-doanh-nghiep
https://techcombank.com/thong-tin/blog/cach-tinh-thue-thu-nhap-ca-nhan-2025
https://techcombank.com/thong-tin/blog/kiem-tra-thue-thu-nhap-ca-nhan
https://techcombank.com/thong-tin/blog/thue-thu-nhap-ca-nhan
https://techcombank.com/thong-tin/blog/ho-kinh-doanh-dong-thue-nhu-nao</v>
      </c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10" t="str">
        <f>IFERROR(__xludf.DUMMYFUNCTION("""COMPUTED_VALUE"""),"https://techcombank.com/thong-tin/blog/tra-cuu-no-thue-hai-quan")</f>
        <v>https://techcombank.com/thong-tin/blog/tra-cuu-no-thue-hai-quan</v>
      </c>
      <c r="B184" s="11">
        <f>IFERROR(__xludf.DUMMYFUNCTION("""COMPUTED_VALUE"""),7.0)</f>
        <v>7</v>
      </c>
      <c r="C184" s="7" t="str">
        <f>IFERROR(__xludf.DUMMYFUNCTION("IF(A184="""","""",TEXTJOIN(CHAR(10),TRUE,FILTER('Tổng hợp 75 trang đích'!$B$2:$B$3400,'Tổng hợp 75 trang đích'!$I$2:$I$3400=A184)))"),"https://techcombank.com/thong-tin/blog/nop-thue-dat-qua-ngan-hang
https://techcombank.com/thong-tin/blog/cach-nop-thue-dien-tu
https://techcombank.com/thong-tin/blog/thue-thu-nhap-doanh-nghiep
https://techcombank.com/thong-tin/blog/tra-cuu-no-thue-doanh-n"&amp;"ghiep
https://techcombank.com/thong-tin/blog/thue-doanh-nghiep
https://techcombank.com/thong-tin/blog/kiem-tra-thue-thu-nhap-ca-nhan
https://techcombank.com/thong-tin/blog/ho-kinh-doanh-dong-thue-nhu-nao")</f>
        <v>https://techcombank.com/thong-tin/blog/nop-thue-dat-qua-ngan-hang
https://techcombank.com/thong-tin/blog/cach-nop-thue-dien-tu
https://techcombank.com/thong-tin/blog/thue-thu-nhap-doanh-nghiep
https://techcombank.com/thong-tin/blog/tra-cuu-no-thue-doanh-nghiep
https://techcombank.com/thong-tin/blog/thue-doanh-nghiep
https://techcombank.com/thong-tin/blog/kiem-tra-thue-thu-nhap-ca-nhan
https://techcombank.com/thong-tin/blog/ho-kinh-doanh-dong-thue-nhu-nao</v>
      </c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10" t="str">
        <f>IFERROR(__xludf.DUMMYFUNCTION("""COMPUTED_VALUE"""),"https://techcombank.com/thong-tin/blog/tra-cuu-no-thue-ho-kinh-doanh")</f>
        <v>https://techcombank.com/thong-tin/blog/tra-cuu-no-thue-ho-kinh-doanh</v>
      </c>
      <c r="B185" s="11">
        <f>IFERROR(__xludf.DUMMYFUNCTION("""COMPUTED_VALUE"""),7.0)</f>
        <v>7</v>
      </c>
      <c r="C185" s="7" t="str">
        <f>IFERROR(__xludf.DUMMYFUNCTION("IF(A185="""","""",TEXTJOIN(CHAR(10),TRUE,FILTER('Tổng hợp 75 trang đích'!$B$2:$B$3400,'Tổng hợp 75 trang đích'!$I$2:$I$3400=A185)))"),"https://techcombank.com/thong-tin/blog/nop-thue-dat-qua-ngan-hang
https://techcombank.com/thong-tin/blog/cach-nop-thue-dien-tu
https://techcombank.com/thong-tin/blog/tra-cuu-no-thue-doanh-nghiep
https://techcombank.com/thong-tin/blog/kiem-tra-thue-thu-nha"&amp;"p-ca-nhan
https://techcombank.com/thong-tin/blog/ho-kinh-doanh-dong-thue-nhu-nao
https://techcombank.com/thong-tin/blog/mo-tai-khoan-ho-kinh-doanh
https://techcombank.com/thong-tin/blog/cach-tinh-thue-ho-kinh-doanh-nho-le")</f>
        <v>https://techcombank.com/thong-tin/blog/nop-thue-dat-qua-ngan-hang
https://techcombank.com/thong-tin/blog/cach-nop-thue-dien-tu
https://techcombank.com/thong-tin/blog/tra-cuu-no-thue-doanh-nghiep
https://techcombank.com/thong-tin/blog/kiem-tra-thue-thu-nhap-ca-nhan
https://techcombank.com/thong-tin/blog/ho-kinh-doanh-dong-thue-nhu-nao
https://techcombank.com/thong-tin/blog/mo-tai-khoan-ho-kinh-doanh
https://techcombank.com/thong-tin/blog/cach-tinh-thue-ho-kinh-doanh-nho-le</v>
      </c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10" t="str">
        <f>IFERROR(__xludf.DUMMYFUNCTION("""COMPUTED_VALUE"""),"https://techcombank.com/thong-tin/blog/tra-gop-hoc-phi")</f>
        <v>https://techcombank.com/thong-tin/blog/tra-gop-hoc-phi</v>
      </c>
      <c r="B186" s="11">
        <f>IFERROR(__xludf.DUMMYFUNCTION("""COMPUTED_VALUE"""),7.0)</f>
        <v>7</v>
      </c>
      <c r="C186" s="7" t="str">
        <f>IFERROR(__xludf.DUMMYFUNCTION("IF(A186="""","""",TEXTJOIN(CHAR(10),TRUE,FILTER('Tổng hợp 75 trang đích'!$B$2:$B$3400,'Tổng hợp 75 trang đích'!$I$2:$I$3400=A186)))"),"https://techcombank.com/thong-tin/blog/cach-tinh-lai-vay-ngan-hang
https://techcombank.com/thong-tin/blog/lai-suat-tiet-kiem
https://techcombank.com/thong-tin/blog/cach-tinh-lai-suat-tien-gui-tiet-kiem
https://techcombank.com/cong-cu-tien-ich/cong-cu-tinh"&amp;"-toan/bang-tinh-lai-suat-vay
https://techcombank.com/cong-cu-tien-ich/cong-cu-tinh-toan/bang-tinh-lai-suat-tiet-kiem
https://techcombank.com/thong-tin/blog/app-vay-tien-nhanh
https://techcombank.com/thong-tin/blog/lai-suat-vay-ngan-hang")</f>
        <v>https://techcombank.com/thong-tin/blog/cach-tinh-lai-vay-ngan-hang
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
https://techcombank.com/thong-tin/blog/lai-suat-vay-ngan-hang</v>
      </c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10" t="str">
        <f>IFERROR(__xludf.DUMMYFUNCTION("""COMPUTED_VALUE"""),"https://techcombank.com/thong-tin/blog/tra-no-vay-thau-chi-nhu-the-nao")</f>
        <v>https://techcombank.com/thong-tin/blog/tra-no-vay-thau-chi-nhu-the-nao</v>
      </c>
      <c r="B187" s="11">
        <f>IFERROR(__xludf.DUMMYFUNCTION("""COMPUTED_VALUE"""),7.0)</f>
        <v>7</v>
      </c>
      <c r="C187" s="7" t="str">
        <f>IFERROR(__xludf.DUMMYFUNCTION("IF(A187="""","""",TEXTJOIN(CHAR(10),TRUE,FILTER('Tổng hợp 75 trang đích'!$B$2:$B$3400,'Tổng hợp 75 trang đích'!$I$2:$I$3400=A187)))"),"https://techcombank.com/thong-tin/blog/cach-tinh-lai-suat-tien-gui-tiet-kiem
https://techcombank.com/thong-tin/blog/rui-ro-khi-gui-tiet-kiem-online
https://techcombank.com/cong-cu-tien-ich/cong-cu-tinh-toan/bang-tinh-lai-suat-vay
https://techcombank.com/c"&amp;"ong-cu-tien-ich/cong-cu-tinh-toan/bang-tinh-lai-suat-tiet-kiem
https://techcombank.com/thong-tin/blog/app-vay-tien-nhanh
https://techcombank.com/thong-tin/blog/lai-suat-vay-ngan-hang
https://techcombank.com/thong-tin/blog/vay-thau-chi-la-gi")</f>
        <v>https://techcombank.com/thong-tin/blog/cach-tinh-lai-suat-tien-gui-tiet-kiem
https://techcombank.com/thong-tin/blog/rui-ro-khi-gui-tiet-kiem-online
https://techcombank.com/cong-cu-tien-ich/cong-cu-tinh-toan/bang-tinh-lai-suat-vay
https://techcombank.com/cong-cu-tien-ich/cong-cu-tinh-toan/bang-tinh-lai-suat-tiet-kiem
https://techcombank.com/thong-tin/blog/app-vay-tien-nhanh
https://techcombank.com/thong-tin/blog/lai-suat-vay-ngan-hang
https://techcombank.com/thong-tin/blog/vay-thau-chi-la-gi</v>
      </c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10" t="str">
        <f>IFERROR(__xludf.DUMMYFUNCTION("""COMPUTED_VALUE"""),"https://techcombank.com/thong-tin/blog/uu-dai-mua-ve-may-bay-bang-the-tin-dung")</f>
        <v>https://techcombank.com/thong-tin/blog/uu-dai-mua-ve-may-bay-bang-the-tin-dung</v>
      </c>
      <c r="B188" s="11">
        <f>IFERROR(__xludf.DUMMYFUNCTION("""COMPUTED_VALUE"""),7.0)</f>
        <v>7</v>
      </c>
      <c r="C188" s="7" t="str">
        <f>IFERROR(__xludf.DUMMYFUNCTION("IF(A188="""","""",TEXTJOIN(CHAR(10),TRUE,FILTER('Tổng hợp 75 trang đích'!$B$2:$B$3400,'Tổng hợp 75 trang đích'!$I$2:$I$3400=A188)))"),"https://techcombank.com/thong-tin/blog/cic-la-gi
https://techcombank.com/thong-tin/blog/lam-the-tin-dung
https://techcombank.com/khach-hang-ca-nhan/chi-tieu/the/the-tin-dung/techcombank-everyday
https://techcombank.com/thong-tin/blog/the-tin-dung-hoan-tie"&amp;"n
https://techcombank.com/thong-tin/blog/cach-huy-the-tin-dung
https://techcombank.com/thong-tin/blog/cach-thanh-toan-the-tin-dung
https://techcombank.com/thong-tin/blog/traveloka-voucher")</f>
        <v>https://techcombank.com/thong-tin/blog/cic-la-gi
https://techcombank.com/thong-tin/blog/lam-the-tin-dung
https://techcombank.com/khach-hang-ca-nhan/chi-tieu/the/the-tin-dung/techcombank-everyday
https://techcombank.com/thong-tin/blog/the-tin-dung-hoan-tien
https://techcombank.com/thong-tin/blog/cach-huy-the-tin-dung
https://techcombank.com/thong-tin/blog/cach-thanh-toan-the-tin-dung
https://techcombank.com/thong-tin/blog/traveloka-voucher</v>
      </c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10" t="str">
        <f>IFERROR(__xludf.DUMMYFUNCTION("""COMPUTED_VALUE"""),"https://techcombank.com/thong-tin/blog/vay-50-trieu")</f>
        <v>https://techcombank.com/thong-tin/blog/vay-50-trieu</v>
      </c>
      <c r="B189" s="11">
        <f>IFERROR(__xludf.DUMMYFUNCTION("""COMPUTED_VALUE"""),7.0)</f>
        <v>7</v>
      </c>
      <c r="C189" s="7" t="str">
        <f>IFERROR(__xludf.DUMMYFUNCTION("IF(A189="""","""",TEXTJOIN(CHAR(10),TRUE,FILTER('Tổng hợp 75 trang đích'!$B$2:$B$3400,'Tổng hợp 75 trang đích'!$I$2:$I$3400=A189)))"),"https://techcombank.com/thong-tin/blog/cach-quet-nfc-cccd-tren-iphone
https://techcombank.com/thong-tin/blog/lai-suat-tiet-kiem
https://techcombank.com/thong-tin/blog/cach-tinh-lai-suat-tien-gui-tiet-kiem
https://techcombank.com/cong-cu-tien-ich/cong-cu-t"&amp;"inh-toan/bang-tinh-lai-suat-vay
https://techcombank.com/cong-cu-tien-ich/cong-cu-tinh-toan/bang-tinh-lai-suat-tiet-kiem
https://techcombank.com/thong-tin/blog/app-vay-tien-nhanh
https://techcombank.com/thong-tin/blog/lai-suat-vay-ngan-hang")</f>
        <v>https://techcombank.com/thong-tin/blog/cach-quet-nfc-cccd-tren-iphone
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
https://techcombank.com/thong-tin/blog/lai-suat-vay-ngan-hang</v>
      </c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10" t="str">
        <f>IFERROR(__xludf.DUMMYFUNCTION("""COMPUTED_VALUE"""),"https://techcombank.com/thong-tin/blog/vay-ngan-hang-chi-can-cccd")</f>
        <v>https://techcombank.com/thong-tin/blog/vay-ngan-hang-chi-can-cccd</v>
      </c>
      <c r="B190" s="11">
        <f>IFERROR(__xludf.DUMMYFUNCTION("""COMPUTED_VALUE"""),7.0)</f>
        <v>7</v>
      </c>
      <c r="C190" s="7" t="str">
        <f>IFERROR(__xludf.DUMMYFUNCTION("IF(A190="""","""",TEXTJOIN(CHAR(10),TRUE,FILTER('Tổng hợp 75 trang đích'!$B$2:$B$3400,'Tổng hợp 75 trang đích'!$I$2:$I$3400=A190)))"),"https://techcombank.com/thong-tin/blog/cach-quet-nfc-cccd-tren-iphone
https://techcombank.com/thong-tin/blog/cic-la-gi
https://techcombank.com/thong-tin/blog/cach-tinh-lai-vay-ngan-hang
https://techcombank.com/cong-cu-tien-ich/cong-cu-tinh-toan/bang-tinh-"&amp;"lai-suat-vay
https://techcombank.com/thong-tin/blog/app-vay-tien-nhanh
https://techcombank.com/thong-tin/blog/lai-suat-vay-ngan-hang
https://techcombank.com/thong-tin/blog/nen-vay-tin-chap-o-dau")</f>
        <v>https://techcombank.com/thong-tin/blog/cach-quet-nfc-cccd-tren-iphone
https://techcombank.com/thong-tin/blog/cic-la-gi
https://techcombank.com/thong-tin/blog/cach-tinh-lai-vay-ngan-hang
https://techcombank.com/cong-cu-tien-ich/cong-cu-tinh-toan/bang-tinh-lai-suat-vay
https://techcombank.com/thong-tin/blog/app-vay-tien-nhanh
https://techcombank.com/thong-tin/blog/lai-suat-vay-ngan-hang
https://techcombank.com/thong-tin/blog/nen-vay-tin-chap-o-dau</v>
      </c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10" t="str">
        <f>IFERROR(__xludf.DUMMYFUNCTION("""COMPUTED_VALUE"""),"https://techcombank.com/thong-tin/blog/vay-the-chap-so-bao-hiem-xa-hoi")</f>
        <v>https://techcombank.com/thong-tin/blog/vay-the-chap-so-bao-hiem-xa-hoi</v>
      </c>
      <c r="B191" s="11">
        <f>IFERROR(__xludf.DUMMYFUNCTION("""COMPUTED_VALUE"""),7.0)</f>
        <v>7</v>
      </c>
      <c r="C191" s="7" t="str">
        <f>IFERROR(__xludf.DUMMYFUNCTION("IF(A191="""","""",TEXTJOIN(CHAR(10),TRUE,FILTER('Tổng hợp 75 trang đích'!$B$2:$B$3400,'Tổng hợp 75 trang đích'!$I$2:$I$3400=A191)))"),"https://techcombank.com/thong-tin/blog/vay-ngan-hang-1-ty-moi-thang-tra-bao-nhieu
https://techcombank.com/thong-tin/blog/lai-suat-vay-the-chap-so-do
https://techcombank.com/thong-tin/blog/ho-so-thu-tuc-xoa-the-chap
https://techcombank.com/thong-tin/blog/r"&amp;"ui-ro-khi-gui-tiet-kiem-online
https://techcombank.com/cong-cu-tien-ich/cong-cu-tinh-toan/bang-tinh-lai-suat-vay
https://techcombank.com/thong-tin/blog/app-vay-tien-nhanh
https://techcombank.com/thong-tin/blog/lai-suat-vay-ngan-hang")</f>
        <v>https://techcombank.com/thong-tin/blog/vay-ngan-hang-1-ty-moi-thang-tra-bao-nhieu
https://techcombank.com/thong-tin/blog/lai-suat-vay-the-chap-so-do
https://techcombank.com/thong-tin/blog/ho-so-thu-tuc-xoa-the-chap
https://techcombank.com/thong-tin/blog/rui-ro-khi-gui-tiet-kiem-online
https://techcombank.com/cong-cu-tien-ich/cong-cu-tinh-toan/bang-tinh-lai-suat-vay
https://techcombank.com/thong-tin/blog/app-vay-tien-nhanh
https://techcombank.com/thong-tin/blog/lai-suat-vay-ngan-hang</v>
      </c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10" t="str">
        <f>IFERROR(__xludf.DUMMYFUNCTION("""COMPUTED_VALUE"""),"https://techcombank.com/thong-tin/blog/vay-tin-chap-toi-da-duoc-bao-nhieu")</f>
        <v>https://techcombank.com/thong-tin/blog/vay-tin-chap-toi-da-duoc-bao-nhieu</v>
      </c>
      <c r="B192" s="11">
        <f>IFERROR(__xludf.DUMMYFUNCTION("""COMPUTED_VALUE"""),7.0)</f>
        <v>7</v>
      </c>
      <c r="C192" s="7" t="str">
        <f>IFERROR(__xludf.DUMMYFUNCTION("IF(A192="""","""",TEXTJOIN(CHAR(10),TRUE,FILTER('Tổng hợp 75 trang đích'!$B$2:$B$3400,'Tổng hợp 75 trang đích'!$I$2:$I$3400=A192)))"),"https://techcombank.com/thong-tin/blog/cic-la-gi
https://techcombank.com/cong-cu-tien-ich/cong-cu-tinh-toan/bang-tinh-lai-suat-vay
https://techcombank.com/thong-tin/blog/app-vay-tien-nhanh
https://techcombank.com/thong-tin/blog/lai-suat-vay-ngan-hang
http"&amp;"s://techcombank.com/thong-tin/blog/vay-thau-chi-la-gi
https://techcombank.com/thong-tin/blog/nen-vay-tin-chap-o-dau
https://techcombank.com/thong-tin/blog/vay-tin-chap-khong-tra-duoc-co-sao-khong")</f>
        <v>https://techcombank.com/thong-tin/blog/cic-la-gi
https://techcombank.com/cong-cu-tien-ich/cong-cu-tinh-toan/bang-tinh-lai-suat-vay
https://techcombank.com/thong-tin/blog/app-vay-tien-nhanh
https://techcombank.com/thong-tin/blog/lai-suat-vay-ngan-hang
https://techcombank.com/thong-tin/blog/vay-thau-chi-la-gi
https://techcombank.com/thong-tin/blog/nen-vay-tin-chap-o-dau
https://techcombank.com/thong-tin/blog/vay-tin-chap-khong-tra-duoc-co-sao-khong</v>
      </c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10" t="str">
        <f>IFERROR(__xludf.DUMMYFUNCTION("""COMPUTED_VALUE"""),"https://techcombank.com/thong-tin/blog/cac-loai-the-tin-dung")</f>
        <v>https://techcombank.com/thong-tin/blog/cac-loai-the-tin-dung</v>
      </c>
      <c r="B193" s="11">
        <f>IFERROR(__xludf.DUMMYFUNCTION("""COMPUTED_VALUE"""),6.0)</f>
        <v>6</v>
      </c>
      <c r="C193" s="7" t="str">
        <f>IFERROR(__xludf.DUMMYFUNCTION("IF(A193="""","""",TEXTJOIN(CHAR(10),TRUE,FILTER('Tổng hợp 75 trang đích'!$B$2:$B$3400,'Tổng hợp 75 trang đích'!$I$2:$I$3400=A193)))"),"https://techcombank.com/thong-tin/blog/cic-la-gi
https://techcombank.com/thong-tin/blog/lam-the-tin-dung
https://techcombank.com/khach-hang-ca-nhan/chi-tieu/the/the-tin-dung/techcombank-everyday
https://techcombank.com/thong-tin/blog/the-tin-dung-hoan-tie"&amp;"n
https://techcombank.com/thong-tin/blog/cach-huy-the-tin-dung
https://techcombank.com/thong-tin/blog/cach-thanh-toan-the-tin-dung")</f>
        <v>https://techcombank.com/thong-tin/blog/cic-la-gi
https://techcombank.com/thong-tin/blog/lam-the-tin-dung
https://techcombank.com/khach-hang-ca-nhan/chi-tieu/the/the-tin-dung/techcombank-everyday
https://techcombank.com/thong-tin/blog/the-tin-dung-hoan-tien
https://techcombank.com/thong-tin/blog/cach-huy-the-tin-dung
https://techcombank.com/thong-tin/blog/cach-thanh-toan-the-tin-dung</v>
      </c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10" t="str">
        <f>IFERROR(__xludf.DUMMYFUNCTION("""COMPUTED_VALUE"""),"https://techcombank.com/thong-tin/blog/cach-su-dung-tai-khoan-cong-ty")</f>
        <v>https://techcombank.com/thong-tin/blog/cach-su-dung-tai-khoan-cong-ty</v>
      </c>
      <c r="B194" s="11">
        <f>IFERROR(__xludf.DUMMYFUNCTION("""COMPUTED_VALUE"""),6.0)</f>
        <v>6</v>
      </c>
      <c r="C194" s="7" t="str">
        <f>IFERROR(__xludf.DUMMYFUNCTION("IF(A194="""","""",TEXTJOIN(CHAR(10),TRUE,FILTER('Tổng hợp 75 trang đích'!$B$2:$B$3400,'Tổng hợp 75 trang đích'!$I$2:$I$3400=A194)))"),"https://techcombank.com/thong-tin/blog/nop-thue-dat-qua-ngan-hang
https://techcombank.com/thong-tin/blog/cong-ty-su-dung-tai-khoan-ca-nhan
https://techcombank.com/thong-tin/blog/chuyen-khoan-thanh-cong-nhung-khong-nhan-duoc-tien
https://techcombank.com/th"&amp;"ong-tin/blog/nap-tien-vao-tai-khoan-ngan-hang
https://techcombank.com/thong-tin/blog/rut-tien-bang-ma-qr-la-gi-cach-thuc-hien-nhu-the-nao
https://techcombank.com/thong-tin/blog/rut-tien-mat-tu-the-tin-dung")</f>
        <v>https://techcombank.com/thong-tin/blog/nop-thue-dat-qua-ngan-hang
https://techcombank.com/thong-tin/blog/cong-ty-su-dung-tai-khoan-ca-nhan
https://techcombank.com/thong-tin/blog/chuyen-khoan-thanh-cong-nhung-khong-nhan-duoc-tien
https://techcombank.com/thong-tin/blog/nap-tien-vao-tai-khoan-ngan-hang
https://techcombank.com/thong-tin/blog/rut-tien-bang-ma-qr-la-gi-cach-thuc-hien-nhu-the-nao
https://techcombank.com/thong-tin/blog/rut-tien-mat-tu-the-tin-dung</v>
      </c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10" t="str">
        <f>IFERROR(__xludf.DUMMYFUNCTION("""COMPUTED_VALUE"""),"https://techcombank.com/thong-tin/blog/cach-su-dung-the-visa-techcombank")</f>
        <v>https://techcombank.com/thong-tin/blog/cach-su-dung-the-visa-techcombank</v>
      </c>
      <c r="B195" s="11">
        <f>IFERROR(__xludf.DUMMYFUNCTION("""COMPUTED_VALUE"""),6.0)</f>
        <v>6</v>
      </c>
      <c r="C195" s="7" t="str">
        <f>IFERROR(__xludf.DUMMYFUNCTION("IF(A195="""","""",TEXTJOIN(CHAR(10),TRUE,FILTER('Tổng hợp 75 trang đích'!$B$2:$B$3400,'Tổng hợp 75 trang đích'!$I$2:$I$3400=A195)))"),"https://techcombank.com/thong-tin/blog/chuyen-khoan-thanh-cong-nhung-khong-nhan-duoc-tien
https://techcombank.com/thong-tin/blog/cic-la-gi
https://techcombank.com/thong-tin/blog/rut-tien-mat-tu-the-tin-dung
https://techcombank.com/thong-tin/blog/cach-tinh"&amp;"-lai-vay-ngan-hang
https://techcombank.com/cong-cu-tien-ich/cong-cu-tinh-toan/bang-tinh-lai-suat-vay
https://techcombank.com/thong-tin/blog/app-vay-tien-nhanh")</f>
        <v>https://techcombank.com/thong-tin/blog/chuyen-khoan-thanh-cong-nhung-khong-nhan-duoc-tien
https://techcombank.com/thong-tin/blog/cic-la-gi
https://techcombank.com/thong-tin/blog/rut-tien-mat-tu-the-tin-dung
https://techcombank.com/thong-tin/blog/cach-tinh-lai-vay-ngan-hang
https://techcombank.com/cong-cu-tien-ich/cong-cu-tinh-toan/bang-tinh-lai-suat-vay
https://techcombank.com/thong-tin/blog/app-vay-tien-nhanh</v>
      </c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10" t="str">
        <f>IFERROR(__xludf.DUMMYFUNCTION("""COMPUTED_VALUE"""),"https://techcombank.com/thong-tin/blog/cach-tiet-kiem-tien-sinh-loi")</f>
        <v>https://techcombank.com/thong-tin/blog/cach-tiet-kiem-tien-sinh-loi</v>
      </c>
      <c r="B196" s="11">
        <f>IFERROR(__xludf.DUMMYFUNCTION("""COMPUTED_VALUE"""),6.0)</f>
        <v>6</v>
      </c>
      <c r="C196" s="7" t="str">
        <f>IFERROR(__xludf.DUMMYFUNCTION("IF(A196="""","""",TEXTJOIN(CHAR(10),TRUE,FILTER('Tổng hợp 75 trang đích'!$B$2:$B$3400,'Tổng hợp 75 trang đích'!$I$2:$I$3400=A196)))"),"https://techcombank.com/thong-tin/blog/lai-suat-chung-chi-tien-gui-cac-ngan-hang
https://techcombank.com/thong-tin/blog/lai-suat-tiet-kiem
https://techcombank.com/thong-tin/blog/cach-tinh-lai-suat-tien-gui-tiet-kiem
https://techcombank.com/thong-tin/blog/"&amp;"rut-tien-tiet-kiem-truoc-thoi-han
https://techcombank.com/cong-cu-tien-ich/cong-cu-tinh-toan/bang-tinh-lai-suat-tiet-kiem
https://techcombank.com/thong-tin/blog/app-vay-tien-nhanh")</f>
        <v>https://techcombank.com/thong-tin/blog/lai-suat-chung-chi-tien-gui-cac-ngan-hang
https://techcombank.com/thong-tin/blog/lai-suat-tiet-kiem
https://techcombank.com/thong-tin/blog/cach-tinh-lai-suat-tien-gui-tiet-kiem
https://techcombank.com/thong-tin/blog/rut-tien-tiet-kiem-truoc-thoi-han
https://techcombank.com/cong-cu-tien-ich/cong-cu-tinh-toan/bang-tinh-lai-suat-tiet-kiem
https://techcombank.com/thong-tin/blog/app-vay-tien-nhanh</v>
      </c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10" t="str">
        <f>IFERROR(__xludf.DUMMYFUNCTION("""COMPUTED_VALUE"""),"https://techcombank.com/thong-tin/blog/chinh-sach-thue-moi")</f>
        <v>https://techcombank.com/thong-tin/blog/chinh-sach-thue-moi</v>
      </c>
      <c r="B197" s="11">
        <f>IFERROR(__xludf.DUMMYFUNCTION("""COMPUTED_VALUE"""),6.0)</f>
        <v>6</v>
      </c>
      <c r="C197" s="7" t="str">
        <f>IFERROR(__xludf.DUMMYFUNCTION("IF(A197="""","""",TEXTJOIN(CHAR(10),TRUE,FILTER('Tổng hợp 75 trang đích'!$B$2:$B$3400,'Tổng hợp 75 trang đích'!$I$2:$I$3400=A197)))"),"https://techcombank.com/thong-tin/blog/nop-thue-dat-qua-ngan-hang
https://techcombank.com/thong-tin/blog/thue-doanh-nghiep
https://techcombank.com/thong-tin/blog/eco-card
https://techcombank.com/thong-tin/blog/ho-kinh-doanh-dong-thue-nhu-nao
https://techc"&amp;"ombank.com/thong-tin/blog/cach-tinh-thue-ho-kinh-doanh-nho-le
https://techcombank.com/thong-tin/blog/cach-tiet-kiem-tien")</f>
        <v>https://techcombank.com/thong-tin/blog/nop-thue-dat-qua-ngan-hang
https://techcombank.com/thong-tin/blog/thue-doanh-nghiep
https://techcombank.com/thong-tin/blog/eco-card
https://techcombank.com/thong-tin/blog/ho-kinh-doanh-dong-thue-nhu-nao
https://techcombank.com/thong-tin/blog/cach-tinh-thue-ho-kinh-doanh-nho-le
https://techcombank.com/thong-tin/blog/cach-tiet-kiem-tien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10" t="str">
        <f>IFERROR(__xludf.DUMMYFUNCTION("""COMPUTED_VALUE"""),"https://techcombank.com/thong-tin/blog/chon-kenh-dau-tu-an-toan-trong-boi-canh-thi-truong-bien-dong")</f>
        <v>https://techcombank.com/thong-tin/blog/chon-kenh-dau-tu-an-toan-trong-boi-canh-thi-truong-bien-dong</v>
      </c>
      <c r="B198" s="11">
        <f>IFERROR(__xludf.DUMMYFUNCTION("""COMPUTED_VALUE"""),6.0)</f>
        <v>6</v>
      </c>
      <c r="C198" s="7" t="str">
        <f>IFERROR(__xludf.DUMMYFUNCTION("IF(A198="""","""",TEXTJOIN(CHAR(10),TRUE,FILTER('Tổng hợp 75 trang đích'!$B$2:$B$3400,'Tổng hợp 75 trang đích'!$I$2:$I$3400=A198)))"),"https://techcombank.com/thong-tin/blog/lai-suat-chung-chi-tien-gui-cac-ngan-hang
https://techcombank.com/thong-tin/blog/lai-suat-tiet-kiem
https://techcombank.com/thong-tin/blog/cach-tinh-lai-suat-tien-gui-tiet-kiem
https://techcombank.com/thong-tin/blog/"&amp;"rut-tien-tiet-kiem-truoc-thoi-han
https://techcombank.com/cong-cu-tien-ich/cong-cu-tinh-toan/bang-tinh-lai-suat-tiet-kiem
https://techcombank.com/thong-tin/blog/app-vay-tien-nhanh")</f>
        <v>https://techcombank.com/thong-tin/blog/lai-suat-chung-chi-tien-gui-cac-ngan-hang
https://techcombank.com/thong-tin/blog/lai-suat-tiet-kiem
https://techcombank.com/thong-tin/blog/cach-tinh-lai-suat-tien-gui-tiet-kiem
https://techcombank.com/thong-tin/blog/rut-tien-tiet-kiem-truoc-thoi-han
https://techcombank.com/cong-cu-tien-ich/cong-cu-tinh-toan/bang-tinh-lai-suat-tiet-kiem
https://techcombank.com/thong-tin/blog/app-vay-tien-nhanh</v>
      </c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10" t="str">
        <f>IFERROR(__xludf.DUMMYFUNCTION("""COMPUTED_VALUE"""),"https://techcombank.com/thong-tin/blog/chuyen-doi-hoa-don-dien-tu")</f>
        <v>https://techcombank.com/thong-tin/blog/chuyen-doi-hoa-don-dien-tu</v>
      </c>
      <c r="B199" s="11">
        <f>IFERROR(__xludf.DUMMYFUNCTION("""COMPUTED_VALUE"""),6.0)</f>
        <v>6</v>
      </c>
      <c r="C199" s="7" t="str">
        <f>IFERROR(__xludf.DUMMYFUNCTION("IF(A199="""","""",TEXTJOIN(CHAR(10),TRUE,FILTER('Tổng hợp 75 trang đích'!$B$2:$B$3400,'Tổng hợp 75 trang đích'!$I$2:$I$3400=A199)))"),"https://techcombank.com/thong-tin/blog/nop-thue-dat-qua-ngan-hang
https://techcombank.com/thong-tin/blog/thue-vat-la-gi
https://techcombank.com/thong-tin/blog/cach-tinh-tien-dien-sinh-hoat
https://techcombank.com/thong-tin/blog/ho-kinh-doanh-dong-thue-nhu"&amp;"-nao
https://techcombank.com/thong-tin/blog/mo-tai-khoan-ho-kinh-doanh
https://techcombank.com/thong-tin/blog/cach-tinh-thue-ho-kinh-doanh-nho-le")</f>
        <v>https://techcombank.com/thong-tin/blog/nop-thue-dat-qua-ngan-hang
https://techcombank.com/thong-tin/blog/thue-vat-la-gi
https://techcombank.com/thong-tin/blog/cach-tinh-tien-dien-sinh-hoat
https://techcombank.com/thong-tin/blog/ho-kinh-doanh-dong-thue-nhu-nao
https://techcombank.com/thong-tin/blog/mo-tai-khoan-ho-kinh-doanh
https://techcombank.com/thong-tin/blog/cach-tinh-thue-ho-kinh-doanh-nho-le</v>
      </c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10" t="str">
        <f>IFERROR(__xludf.DUMMYFUNCTION("""COMPUTED_VALUE"""),"https://techcombank.com/thong-tin/blog/cong-thuc-tinh-lai-suat-thuc")</f>
        <v>https://techcombank.com/thong-tin/blog/cong-thuc-tinh-lai-suat-thuc</v>
      </c>
      <c r="B200" s="11">
        <f>IFERROR(__xludf.DUMMYFUNCTION("""COMPUTED_VALUE"""),6.0)</f>
        <v>6</v>
      </c>
      <c r="C200" s="7" t="str">
        <f>IFERROR(__xludf.DUMMYFUNCTION("IF(A200="""","""",TEXTJOIN(CHAR(10),TRUE,FILTER('Tổng hợp 75 trang đích'!$B$2:$B$3400,'Tổng hợp 75 trang đích'!$I$2:$I$3400=A200)))"),"https://techcombank.com/thong-tin/blog/cach-tinh-lai-vay-ngan-hang
https://techcombank.com/thong-tin/blog/lai-suat-tiet-kiem
https://techcombank.com/thong-tin/blog/cach-tinh-lai-suat-tien-gui-tiet-kiem
https://techcombank.com/cong-cu-tien-ich/cong-cu-tinh"&amp;"-toan/bang-tinh-lai-suat-vay
https://techcombank.com/cong-cu-tien-ich/cong-cu-tinh-toan/bang-tinh-lai-suat-tiet-kiem
https://techcombank.com/thong-tin/blog/app-vay-tien-nhanh")</f>
        <v>https://techcombank.com/thong-tin/blog/cach-tinh-lai-vay-ngan-hang
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</v>
      </c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10" t="str">
        <f>IFERROR(__xludf.DUMMYFUNCTION("""COMPUTED_VALUE"""),"https://techcombank.com/thong-tin/blog/dang-ky-ma-so-thue-ca-nhan")</f>
        <v>https://techcombank.com/thong-tin/blog/dang-ky-ma-so-thue-ca-nhan</v>
      </c>
      <c r="B201" s="11">
        <f>IFERROR(__xludf.DUMMYFUNCTION("""COMPUTED_VALUE"""),6.0)</f>
        <v>6</v>
      </c>
      <c r="C201" s="7" t="str">
        <f>IFERROR(__xludf.DUMMYFUNCTION("IF(A201="""","""",TEXTJOIN(CHAR(10),TRUE,FILTER('Tổng hợp 75 trang đích'!$B$2:$B$3400,'Tổng hợp 75 trang đích'!$I$2:$I$3400=A201)))"),"https://techcombank.com/thong-tin/blog/nop-thue-dat-qua-ngan-hang
https://techcombank.com/thong-tin/blog/tra-cuu-no-thue-doanh-nghiep
https://techcombank.com/thong-tin/blog/cach-tinh-thue-thu-nhap-ca-nhan-2025
https://techcombank.com/thong-tin/blog/kiem-t"&amp;"ra-thue-thu-nhap-ca-nhan
https://techcombank.com/thong-tin/blog/thue-thu-nhap-ca-nhan
https://techcombank.com/thong-tin/blog/cach-quet-nfc-cccd-tren-iphone")</f>
        <v>https://techcombank.com/thong-tin/blog/nop-thue-dat-qua-ngan-hang
https://techcombank.com/thong-tin/blog/tra-cuu-no-thue-doanh-nghiep
https://techcombank.com/thong-tin/blog/cach-tinh-thue-thu-nhap-ca-nhan-2025
https://techcombank.com/thong-tin/blog/kiem-tra-thue-thu-nhap-ca-nhan
https://techcombank.com/thong-tin/blog/thue-thu-nhap-ca-nhan
https://techcombank.com/thong-tin/blog/cach-quet-nfc-cccd-tren-iphone</v>
      </c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10" t="str">
        <f>IFERROR(__xludf.DUMMYFUNCTION("""COMPUTED_VALUE"""),"https://techcombank.com/thong-tin/blog/dang-vay-tra-gop-co-vay-them-duoc-khong")</f>
        <v>https://techcombank.com/thong-tin/blog/dang-vay-tra-gop-co-vay-them-duoc-khong</v>
      </c>
      <c r="B202" s="11">
        <f>IFERROR(__xludf.DUMMYFUNCTION("""COMPUTED_VALUE"""),6.0)</f>
        <v>6</v>
      </c>
      <c r="C202" s="7" t="str">
        <f>IFERROR(__xludf.DUMMYFUNCTION("IF(A202="""","""",TEXTJOIN(CHAR(10),TRUE,FILTER('Tổng hợp 75 trang đích'!$B$2:$B$3400,'Tổng hợp 75 trang đích'!$I$2:$I$3400=A202)))"),"https://techcombank.com/thong-tin/blog/cic-la-gi
https://techcombank.com/thong-tin/blog/rut-tien-mat-tu-the-tin-dung
https://techcombank.com/cong-cu-tien-ich/cong-cu-tinh-toan/bang-tinh-lai-suat-vay
https://techcombank.com/thong-tin/blog/app-vay-tien-nhan"&amp;"h
https://techcombank.com/thong-tin/blog/lai-suat-vay-ngan-hang
https://techcombank.com/thong-tin/blog/nen-vay-tin-chap-o-dau")</f>
        <v>https://techcombank.com/thong-tin/blog/cic-la-gi
https://techcombank.com/thong-tin/blog/rut-tien-mat-tu-the-tin-dung
https://techcombank.com/cong-cu-tien-ich/cong-cu-tinh-toan/bang-tinh-lai-suat-vay
https://techcombank.com/thong-tin/blog/app-vay-tien-nhanh
https://techcombank.com/thong-tin/blog/lai-suat-vay-ngan-hang
https://techcombank.com/thong-tin/blog/nen-vay-tin-chap-o-dau</v>
      </c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10" t="str">
        <f>IFERROR(__xludf.DUMMYFUNCTION("""COMPUTED_VALUE"""),"https://techcombank.com/thong-tin/blog/dieu-kien-vay-von-ngan-hang")</f>
        <v>https://techcombank.com/thong-tin/blog/dieu-kien-vay-von-ngan-hang</v>
      </c>
      <c r="B203" s="11">
        <f>IFERROR(__xludf.DUMMYFUNCTION("""COMPUTED_VALUE"""),6.0)</f>
        <v>6</v>
      </c>
      <c r="C203" s="7" t="str">
        <f>IFERROR(__xludf.DUMMYFUNCTION("IF(A203="""","""",TEXTJOIN(CHAR(10),TRUE,FILTER('Tổng hợp 75 trang đích'!$B$2:$B$3400,'Tổng hợp 75 trang đích'!$I$2:$I$3400=A203)))"),"https://techcombank.com/thong-tin/blog/nop-thue-dat-qua-ngan-hang
https://techcombank.com/thong-tin/blog/ngan-hang-uy-tin
https://techcombank.com/thong-tin/blog/xep-hang-tin-dung
https://techcombank.com/cong-cu-tien-ich/cong-cu-tinh-toan/bang-tinh-lai-sua"&amp;"t-vay
https://techcombank.com/thong-tin/blog/app-vay-tien-nhanh
https://techcombank.com/thong-tin/blog/lai-suat-vay-ngan-hang")</f>
        <v>https://techcombank.com/thong-tin/blog/nop-thue-dat-qua-ngan-hang
https://techcombank.com/thong-tin/blog/ngan-hang-uy-tin
https://techcombank.com/thong-tin/blog/xep-hang-tin-dung
https://techcombank.com/cong-cu-tien-ich/cong-cu-tinh-toan/bang-tinh-lai-suat-vay
https://techcombank.com/thong-tin/blog/app-vay-tien-nhanh
https://techcombank.com/thong-tin/blog/lai-suat-vay-ngan-hang</v>
      </c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10" t="str">
        <f>IFERROR(__xludf.DUMMYFUNCTION("""COMPUTED_VALUE"""),"https://techcombank.com/thong-tin/blog/du-no-la-gi")</f>
        <v>https://techcombank.com/thong-tin/blog/du-no-la-gi</v>
      </c>
      <c r="B204" s="11">
        <f>IFERROR(__xludf.DUMMYFUNCTION("""COMPUTED_VALUE"""),6.0)</f>
        <v>6</v>
      </c>
      <c r="C204" s="7" t="str">
        <f>IFERROR(__xludf.DUMMYFUNCTION("IF(A204="""","""",TEXTJOIN(CHAR(10),TRUE,FILTER('Tổng hợp 75 trang đích'!$B$2:$B$3400,'Tổng hợp 75 trang đích'!$I$2:$I$3400=A204)))"),"https://techcombank.com/thong-tin/blog/cic-la-gi
https://techcombank.com/thong-tin/blog/cach-thanh-toan-the-tin-dung
https://techcombank.com/thong-tin/blog/cach-tinh-lai-vay-ngan-hang
https://techcombank.com/thong-tin/blog/app-vay-tien-nhanh
https://techc"&amp;"ombank.com/thong-tin/blog/no-xau-la-gi
https://techcombank.com/thong-tin/blog/vay-tin-chap-khong-tra-duoc-co-sao-khong")</f>
        <v>https://techcombank.com/thong-tin/blog/cic-la-gi
https://techcombank.com/thong-tin/blog/cach-thanh-toan-the-tin-dung
https://techcombank.com/thong-tin/blog/cach-tinh-lai-vay-ngan-hang
https://techcombank.com/thong-tin/blog/app-vay-tien-nhanh
https://techcombank.com/thong-tin/blog/no-xau-la-gi
https://techcombank.com/thong-tin/blog/vay-tin-chap-khong-tra-duoc-co-sao-khong</v>
      </c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10" t="str">
        <f>IFERROR(__xludf.DUMMYFUNCTION("""COMPUTED_VALUE"""),"https://techcombank.com/thong-tin/blog/giai-ngan-vay-the-chap")</f>
        <v>https://techcombank.com/thong-tin/blog/giai-ngan-vay-the-chap</v>
      </c>
      <c r="B205" s="11">
        <f>IFERROR(__xludf.DUMMYFUNCTION("""COMPUTED_VALUE"""),6.0)</f>
        <v>6</v>
      </c>
      <c r="C205" s="7" t="str">
        <f>IFERROR(__xludf.DUMMYFUNCTION("IF(A205="""","""",TEXTJOIN(CHAR(10),TRUE,FILTER('Tổng hợp 75 trang đích'!$B$2:$B$3400,'Tổng hợp 75 trang đích'!$I$2:$I$3400=A205)))"),"https://techcombank.com/thong-tin/blog/lai-suat-vay-the-chap-so-do
https://techcombank.com/thong-tin/blog/ho-so-thu-tuc-xoa-the-chap
https://techcombank.com/cong-cu-tien-ich/cong-cu-tinh-toan/bang-tinh-lai-suat-vay
https://techcombank.com/thong-tin/blog/a"&amp;"pp-vay-tien-nhanh
https://techcombank.com/thong-tin/blog/lai-suat-vay-ngan-hang
https://techcombank.com/thong-tin/blog/vay-thau-chi-la-gi")</f>
        <v>https://techcombank.com/thong-tin/blog/lai-suat-vay-the-chap-so-do
https://techcombank.com/thong-tin/blog/ho-so-thu-tuc-xoa-the-chap
https://techcombank.com/cong-cu-tien-ich/cong-cu-tinh-toan/bang-tinh-lai-suat-vay
https://techcombank.com/thong-tin/blog/app-vay-tien-nhanh
https://techcombank.com/thong-tin/blog/lai-suat-vay-ngan-hang
https://techcombank.com/thong-tin/blog/vay-thau-chi-la-gi</v>
      </c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10" t="str">
        <f>IFERROR(__xludf.DUMMYFUNCTION("""COMPUTED_VALUE"""),"https://techcombank.com/thong-tin/blog/gui-tien-ngan-hang-co-an-toan-khong")</f>
        <v>https://techcombank.com/thong-tin/blog/gui-tien-ngan-hang-co-an-toan-khong</v>
      </c>
      <c r="B206" s="11">
        <f>IFERROR(__xludf.DUMMYFUNCTION("""COMPUTED_VALUE"""),6.0)</f>
        <v>6</v>
      </c>
      <c r="C206" s="7" t="str">
        <f>IFERROR(__xludf.DUMMYFUNCTION("IF(A206="""","""",TEXTJOIN(CHAR(10),TRUE,FILTER('Tổng hợp 75 trang đích'!$B$2:$B$3400,'Tổng hợp 75 trang đích'!$I$2:$I$3400=A206)))"),"https://techcombank.com/thong-tin/blog/ngan-hang-uy-tin
https://techcombank.com/thong-tin/blog/chung-chi-tien-gui-la-gi
https://techcombank.com/thong-tin/blog/lai-suat-tiet-kiem
https://techcombank.com/thong-tin/blog/cach-tinh-lai-suat-tien-gui-tiet-kiem
"&amp;"https://techcombank.com/thong-tin/blog/so-tiet-kiem-ngan-hang
https://techcombank.com/cong-cu-tien-ich/cong-cu-tinh-toan/bang-tinh-lai-suat-tiet-kiem")</f>
        <v>https://techcombank.com/thong-tin/blog/ngan-hang-uy-tin
https://techcombank.com/thong-tin/blog/chung-chi-tien-gui-la-gi
https://techcombank.com/thong-tin/blog/lai-suat-tiet-kiem
https://techcombank.com/thong-tin/blog/cach-tinh-lai-suat-tien-gui-tiet-kiem
https://techcombank.com/thong-tin/blog/so-tiet-kiem-ngan-hang
https://techcombank.com/cong-cu-tien-ich/cong-cu-tinh-toan/bang-tinh-lai-suat-tiet-kiem</v>
      </c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10" t="str">
        <f>IFERROR(__xludf.DUMMYFUNCTION("""COMPUTED_VALUE"""),"https://techcombank.com/thong-tin/blog/gui-tiet-kiem-ngan-hang-van-la-lua-chon-an-toan-trong-thoi-ky-kinh-te-con-nhieu-bien-dong")</f>
        <v>https://techcombank.com/thong-tin/blog/gui-tiet-kiem-ngan-hang-van-la-lua-chon-an-toan-trong-thoi-ky-kinh-te-con-nhieu-bien-dong</v>
      </c>
      <c r="B207" s="11">
        <f>IFERROR(__xludf.DUMMYFUNCTION("""COMPUTED_VALUE"""),6.0)</f>
        <v>6</v>
      </c>
      <c r="C207" s="7" t="str">
        <f>IFERROR(__xludf.DUMMYFUNCTION("IF(A207="""","""",TEXTJOIN(CHAR(10),TRUE,FILTER('Tổng hợp 75 trang đích'!$B$2:$B$3400,'Tổng hợp 75 trang đích'!$I$2:$I$3400=A207)))"),"https://techcombank.com/thong-tin/blog/chung-chi-tien-gui-la-gi
https://techcombank.com/thong-tin/blog/lai-suat-tiet-kiem
https://techcombank.com/thong-tin/blog/cach-tinh-lai-suat-tien-gui-tiet-kiem
https://techcombank.com/thong-tin/blog/so-tiet-kiem-ngan"&amp;"-hang
https://techcombank.com/cong-cu-tien-ich/cong-cu-tinh-toan/bang-tinh-lai-suat-tiet-kiem
https://techcombank.com/thong-tin/blog/phuong-phap-dau-tu-chung-chi-quy")</f>
        <v>https://techcombank.com/thong-tin/blog/chung-chi-tien-gui-la-gi
https://techcombank.com/thong-tin/blog/lai-suat-tiet-kiem
https://techcombank.com/thong-tin/blog/cach-tinh-lai-suat-tien-gui-tiet-kiem
https://techcombank.com/thong-tin/blog/so-tiet-kiem-ngan-hang
https://techcombank.com/cong-cu-tien-ich/cong-cu-tinh-toan/bang-tinh-lai-suat-tiet-kiem
https://techcombank.com/thong-tin/blog/phuong-phap-dau-tu-chung-chi-quy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10" t="str">
        <f>IFERROR(__xludf.DUMMYFUNCTION("""COMPUTED_VALUE"""),"https://techcombank.com/thong-tin/blog/gui-tiet-kiem-usd")</f>
        <v>https://techcombank.com/thong-tin/blog/gui-tiet-kiem-usd</v>
      </c>
      <c r="B208" s="11">
        <f>IFERROR(__xludf.DUMMYFUNCTION("""COMPUTED_VALUE"""),6.0)</f>
        <v>6</v>
      </c>
      <c r="C208" s="7" t="str">
        <f>IFERROR(__xludf.DUMMYFUNCTION("IF(A208="""","""",TEXTJOIN(CHAR(10),TRUE,FILTER('Tổng hợp 75 trang đích'!$B$2:$B$3400,'Tổng hợp 75 trang đích'!$I$2:$I$3400=A208)))"),"https://techcombank.com/thong-tin/blog/1-dong-do-la-my-bang-bao-nhieu-tien-viet-nam
https://techcombank.com/thong-tin/blog/1-trieu-do-bang-bao-nhieu-tien-viet
https://techcombank.com/thong-tin/blog/doi-tien-do-o-dau
https://techcombank.com/thong-tin/blog/"&amp;"lai-suat-tiet-kiem
https://techcombank.com/thong-tin/blog/cach-tinh-lai-suat-tien-gui-tiet-kiem
https://techcombank.com/cong-cu-tien-ich/cong-cu-tinh-toan/bang-tinh-lai-suat-tiet-kiem")</f>
        <v>https://techcombank.com/thong-tin/blog/1-dong-do-la-my-bang-bao-nhieu-tien-viet-nam
https://techcombank.com/thong-tin/blog/1-trieu-do-bang-bao-nhieu-tien-viet
https://techcombank.com/thong-tin/blog/doi-tien-do-o-dau
https://techcombank.com/thong-tin/blog/lai-suat-tiet-kiem
https://techcombank.com/thong-tin/blog/cach-tinh-lai-suat-tien-gui-tiet-kiem
https://techcombank.com/cong-cu-tien-ich/cong-cu-tinh-toan/bang-tinh-lai-suat-tiet-kiem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10" t="str">
        <f>IFERROR(__xludf.DUMMYFUNCTION("""COMPUTED_VALUE"""),"https://techcombank.com/thong-tin/blog/han-muc-tra-gop-the-tin-dung")</f>
        <v>https://techcombank.com/thong-tin/blog/han-muc-tra-gop-the-tin-dung</v>
      </c>
      <c r="B209" s="11">
        <f>IFERROR(__xludf.DUMMYFUNCTION("""COMPUTED_VALUE"""),6.0)</f>
        <v>6</v>
      </c>
      <c r="C209" s="7" t="str">
        <f>IFERROR(__xludf.DUMMYFUNCTION("IF(A209="""","""",TEXTJOIN(CHAR(10),TRUE,FILTER('Tổng hợp 75 trang đích'!$B$2:$B$3400,'Tổng hợp 75 trang đích'!$I$2:$I$3400=A209)))"),"https://techcombank.com/thong-tin/blog/cic-la-gi
https://techcombank.com/thong-tin/blog/rut-tien-mat-tu-the-tin-dung
https://techcombank.com/cong-cu-tien-ich/cong-cu-tinh-toan/bang-tinh-lai-suat-vay
https://techcombank.com/thong-tin/blog/app-vay-tien-nhan"&amp;"h
https://techcombank.com/thong-tin/blog/kiem-tra-no-xau
https://techcombank.com/thong-tin/blog/no-xau-la-gi")</f>
        <v>https://techcombank.com/thong-tin/blog/cic-la-gi
https://techcombank.com/thong-tin/blog/rut-tien-mat-tu-the-tin-dung
https://techcombank.com/cong-cu-tien-ich/cong-cu-tinh-toan/bang-tinh-lai-suat-vay
https://techcombank.com/thong-tin/blog/app-vay-tien-nhanh
https://techcombank.com/thong-tin/blog/kiem-tra-no-xau
https://techcombank.com/thong-tin/blog/no-xau-la-gi</v>
      </c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10" t="str">
        <f>IFERROR(__xludf.DUMMYFUNCTION("""COMPUTED_VALUE"""),"https://techcombank.com/thong-tin/blog/ho-kinh-doanh-dong-thue-nhu-nao")</f>
        <v>https://techcombank.com/thong-tin/blog/ho-kinh-doanh-dong-thue-nhu-nao</v>
      </c>
      <c r="B210" s="11">
        <f>IFERROR(__xludf.DUMMYFUNCTION("""COMPUTED_VALUE"""),6.0)</f>
        <v>6</v>
      </c>
      <c r="C210" s="7" t="str">
        <f>IFERROR(__xludf.DUMMYFUNCTION("IF(A210="""","""",TEXTJOIN(CHAR(10),TRUE,FILTER('Tổng hợp 75 trang đích'!$B$2:$B$3400,'Tổng hợp 75 trang đích'!$I$2:$I$3400=A210)))"),"https://techcombank.com/thong-tin/blog/nop-thue-dat-qua-ngan-hang
https://techcombank.com/thong-tin/blog/cach-nop-thue-dien-tu
https://techcombank.com/thong-tin/blog/thue-vat-la-gi
https://techcombank.com/thong-tin/blog/cach-tinh-thue-thu-nhap-ca-nhan-202"&amp;"5
https://techcombank.com/thong-tin/blog/kiem-tra-thue-thu-nhap-ca-nhan
https://techcombank.com/thong-tin/blog/thue-thu-nhap-ca-nhan")</f>
        <v>https://techcombank.com/thong-tin/blog/nop-thue-dat-qua-ngan-hang
https://techcombank.com/thong-tin/blog/cach-nop-thue-dien-tu
https://techcombank.com/thong-tin/blog/thue-vat-la-gi
https://techcombank.com/thong-tin/blog/cach-tinh-thue-thu-nhap-ca-nhan-2025
https://techcombank.com/thong-tin/blog/kiem-tra-thue-thu-nhap-ca-nhan
https://techcombank.com/thong-tin/blog/thue-thu-nhap-ca-nhan</v>
      </c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10" t="str">
        <f>IFERROR(__xludf.DUMMYFUNCTION("""COMPUTED_VALUE"""),"https://techcombank.com/thong-tin/blog/hoa-don-dien-tu")</f>
        <v>https://techcombank.com/thong-tin/blog/hoa-don-dien-tu</v>
      </c>
      <c r="B211" s="11">
        <f>IFERROR(__xludf.DUMMYFUNCTION("""COMPUTED_VALUE"""),6.0)</f>
        <v>6</v>
      </c>
      <c r="C211" s="7" t="str">
        <f>IFERROR(__xludf.DUMMYFUNCTION("IF(A211="""","""",TEXTJOIN(CHAR(10),TRUE,FILTER('Tổng hợp 75 trang đích'!$B$2:$B$3400,'Tổng hợp 75 trang đích'!$I$2:$I$3400=A211)))"),"https://techcombank.com/thong-tin/blog/nop-thue-dat-qua-ngan-hang
https://techcombank.com/thong-tin/blog/cach-nop-thue-dien-tu
https://techcombank.com/thong-tin/blog/thue-vat-la-gi
https://techcombank.com/thong-tin/blog/cach-tinh-tien-dien-sinh-hoat
https"&amp;"://techcombank.com/thong-tin/blog/cach-tinh-thue-thu-nhap-ca-nhan-2025
https://techcombank.com/thong-tin/blog/ho-kinh-doanh-dong-thue-nhu-nao")</f>
        <v>https://techcombank.com/thong-tin/blog/nop-thue-dat-qua-ngan-hang
https://techcombank.com/thong-tin/blog/cach-nop-thue-dien-tu
https://techcombank.com/thong-tin/blog/thue-vat-la-gi
https://techcombank.com/thong-tin/blog/cach-tinh-tien-dien-sinh-hoat
https://techcombank.com/thong-tin/blog/cach-tinh-thue-thu-nhap-ca-nhan-2025
https://techcombank.com/thong-tin/blog/ho-kinh-doanh-dong-thue-nhu-nao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10" t="str">
        <f>IFERROR(__xludf.DUMMYFUNCTION("""COMPUTED_VALUE"""),"https://techcombank.com/thong-tin/blog/lai-kep-ngan-hang")</f>
        <v>https://techcombank.com/thong-tin/blog/lai-kep-ngan-hang</v>
      </c>
      <c r="B212" s="11">
        <f>IFERROR(__xludf.DUMMYFUNCTION("""COMPUTED_VALUE"""),6.0)</f>
        <v>6</v>
      </c>
      <c r="C212" s="7" t="str">
        <f>IFERROR(__xludf.DUMMYFUNCTION("IF(A212="""","""",TEXTJOIN(CHAR(10),TRUE,FILTER('Tổng hợp 75 trang đích'!$B$2:$B$3400,'Tổng hợp 75 trang đích'!$I$2:$I$3400=A212)))"),"https://techcombank.com/thong-tin/blog/lai-suat-chung-chi-tien-gui-cac-ngan-hang
https://techcombank.com/thong-tin/blog/lai-suat-tiet-kiem
https://techcombank.com/thong-tin/blog/cach-tinh-lai-suat-tien-gui-tiet-kiem
https://techcombank.com/cong-cu-tien-ic"&amp;"h/cong-cu-tinh-toan/bang-tinh-lai-suat-vay
https://techcombank.com/cong-cu-tien-ich/cong-cu-tinh-toan/bang-tinh-lai-suat-tiet-kiem
https://techcombank.com/thong-tin/blog/app-vay-tien-nhanh")</f>
        <v>https://techcombank.com/thong-tin/blog/lai-suat-chung-chi-tien-gui-cac-ngan-hang
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</v>
      </c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10" t="str">
        <f>IFERROR(__xludf.DUMMYFUNCTION("""COMPUTED_VALUE"""),"https://techcombank.com/thong-tin/blog/lai-suat-chung-chi-tien-gui-cac-ngan-hang")</f>
        <v>https://techcombank.com/thong-tin/blog/lai-suat-chung-chi-tien-gui-cac-ngan-hang</v>
      </c>
      <c r="B213" s="11">
        <f>IFERROR(__xludf.DUMMYFUNCTION("""COMPUTED_VALUE"""),6.0)</f>
        <v>6</v>
      </c>
      <c r="C213" s="7" t="str">
        <f>IFERROR(__xludf.DUMMYFUNCTION("IF(A213="""","""",TEXTJOIN(CHAR(10),TRUE,FILTER('Tổng hợp 75 trang đích'!$B$2:$B$3400,'Tổng hợp 75 trang đích'!$I$2:$I$3400=A213)))"),"https://techcombank.com/thong-tin/blog/ngan-hang-uy-tin
https://techcombank.com/thong-tin/blog/lai-suat-tiet-kiem
https://techcombank.com/thong-tin/blog/cach-tinh-lai-suat-tien-gui-tiet-kiem
https://techcombank.com/thong-tin/blog/rut-tien-tiet-kiem-truoc-"&amp;"thoi-han
https://techcombank.com/cong-cu-tien-ich/cong-cu-tinh-toan/bang-tinh-lai-suat-tiet-kiem
https://techcombank.com/thong-tin/blog/app-vay-tien-nhanh")</f>
        <v>https://techcombank.com/thong-tin/blog/ngan-hang-uy-tin
https://techcombank.com/thong-tin/blog/lai-suat-tiet-kiem
https://techcombank.com/thong-tin/blog/cach-tinh-lai-suat-tien-gui-tiet-kiem
https://techcombank.com/thong-tin/blog/rut-tien-tiet-kiem-truoc-thoi-han
https://techcombank.com/cong-cu-tien-ich/cong-cu-tinh-toan/bang-tinh-lai-suat-tiet-kiem
https://techcombank.com/thong-tin/blog/app-vay-tien-nhanh</v>
      </c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10" t="str">
        <f>IFERROR(__xludf.DUMMYFUNCTION("""COMPUTED_VALUE"""),"https://techcombank.com/thong-tin/blog/loi-nhuan")</f>
        <v>https://techcombank.com/thong-tin/blog/loi-nhuan</v>
      </c>
      <c r="B214" s="11">
        <f>IFERROR(__xludf.DUMMYFUNCTION("""COMPUTED_VALUE"""),6.0)</f>
        <v>6</v>
      </c>
      <c r="C214" s="7" t="str">
        <f>IFERROR(__xludf.DUMMYFUNCTION("IF(A214="""","""",TEXTJOIN(CHAR(10),TRUE,FILTER('Tổng hợp 75 trang đích'!$B$2:$B$3400,'Tổng hợp 75 trang đích'!$I$2:$I$3400=A214)))"),"https://techcombank.com/thong-tin/blog/thue-thu-nhap-doanh-nghiep
https://techcombank.com/thong-tin/blog/cach-tinh-thue-thu-nhap-doanh-nghiep
https://techcombank.com/thong-tin/blog/cach-tinh-lai-vay-ngan-hang
https://techcombank.com/cong-cu-tien-ich/cong-"&amp;"cu-tinh-toan/bang-tinh-lai-suat-vay
https://techcombank.com/thong-tin/blog/app-vay-tien-nhanh
https://techcombank.com/thong-tin/blog/lai-suat-vay-ngan-hang")</f>
        <v>https://techcombank.com/thong-tin/blog/thue-thu-nhap-doanh-nghiep
https://techcombank.com/thong-tin/blog/cach-tinh-thue-thu-nhap-doanh-nghiep
https://techcombank.com/thong-tin/blog/cach-tinh-lai-vay-ngan-hang
https://techcombank.com/cong-cu-tien-ich/cong-cu-tinh-toan/bang-tinh-lai-suat-vay
https://techcombank.com/thong-tin/blog/app-vay-tien-nhanh
https://techcombank.com/thong-tin/blog/lai-suat-vay-ngan-hang</v>
      </c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10" t="str">
        <f>IFERROR(__xludf.DUMMYFUNCTION("""COMPUTED_VALUE"""),"https://techcombank.com/thong-tin/blog/mo-the-tin-dung-khong-can-chung-minh-thu-nhap")</f>
        <v>https://techcombank.com/thong-tin/blog/mo-the-tin-dung-khong-can-chung-minh-thu-nhap</v>
      </c>
      <c r="B215" s="11">
        <f>IFERROR(__xludf.DUMMYFUNCTION("""COMPUTED_VALUE"""),6.0)</f>
        <v>6</v>
      </c>
      <c r="C215" s="7" t="str">
        <f>IFERROR(__xludf.DUMMYFUNCTION("IF(A215="""","""",TEXTJOIN(CHAR(10),TRUE,FILTER('Tổng hợp 75 trang đích'!$B$2:$B$3400,'Tổng hợp 75 trang đích'!$I$2:$I$3400=A215)))"),"https://techcombank.com/thong-tin/blog/cach-tinh-thue-thu-nhap-ca-nhan-2025
https://techcombank.com/thong-tin/blog/cach-sao-ke-tai-khoan-ngan-hang
https://techcombank.com/thong-tin/blog/cic-la-gi
https://techcombank.com/thong-tin/blog/lam-the-tin-dung
htt"&amp;"ps://techcombank.com/thong-tin/blog/lai-suat-tiet-kiem
https://techcombank.com/thong-tin/blog/rut-tien-tiet-kiem-truoc-thoi-han")</f>
        <v>https://techcombank.com/thong-tin/blog/cach-tinh-thue-thu-nhap-ca-nhan-2025
https://techcombank.com/thong-tin/blog/cach-sao-ke-tai-khoan-ngan-hang
https://techcombank.com/thong-tin/blog/cic-la-gi
https://techcombank.com/thong-tin/blog/lam-the-tin-dung
https://techcombank.com/thong-tin/blog/lai-suat-tiet-kiem
https://techcombank.com/thong-tin/blog/rut-tien-tiet-kiem-truoc-thoi-han</v>
      </c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10" t="str">
        <f>IFERROR(__xludf.DUMMYFUNCTION("""COMPUTED_VALUE"""),"https://techcombank.com/thong-tin/blog/mobile-banking-la-gi")</f>
        <v>https://techcombank.com/thong-tin/blog/mobile-banking-la-gi</v>
      </c>
      <c r="B216" s="11">
        <f>IFERROR(__xludf.DUMMYFUNCTION("""COMPUTED_VALUE"""),6.0)</f>
        <v>6</v>
      </c>
      <c r="C216" s="7" t="str">
        <f>IFERROR(__xludf.DUMMYFUNCTION("IF(A216="""","""",TEXTJOIN(CHAR(10),TRUE,FILTER('Tổng hợp 75 trang đích'!$B$2:$B$3400,'Tổng hợp 75 trang đích'!$I$2:$I$3400=A216)))"),"https://techcombank.com/thong-tin/blog/cach-nap-the-viettel
https://techcombank.com/thong-tin/blog/cach-tinh-tien-dien-sinh-hoat
https://techcombank.com/thong-tin/blog/mo-tai-khoan-ngan-hang-duoi-18-tuoi
https://techcombank.com/thong-tin/blog/day-so-phat-"&amp;"tai-phat-loc
https://techcombank.com/thong-tin/blog/ten-dang-nhap-tai-khoan-ngan-hang-la-gi
https://techcombank.com/thong-tin/blog/cach-quet-nfc-cccd-tren-iphone")</f>
        <v>https://techcombank.com/thong-tin/blog/cach-nap-the-viettel
https://techcombank.com/thong-tin/blog/cach-tinh-tien-dien-sinh-hoat
https://techcombank.com/thong-tin/blog/mo-tai-khoan-ngan-hang-duoi-18-tuoi
https://techcombank.com/thong-tin/blog/day-so-phat-tai-phat-loc
https://techcombank.com/thong-tin/blog/ten-dang-nhap-tai-khoan-ngan-hang-la-gi
https://techcombank.com/thong-tin/blog/cach-quet-nfc-cccd-tren-iphone</v>
      </c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10" t="str">
        <f>IFERROR(__xludf.DUMMYFUNCTION("""COMPUTED_VALUE"""),"https://techcombank.com/thong-tin/blog/mua-iphone-17")</f>
        <v>https://techcombank.com/thong-tin/blog/mua-iphone-17</v>
      </c>
      <c r="B217" s="11">
        <f>IFERROR(__xludf.DUMMYFUNCTION("""COMPUTED_VALUE"""),6.0)</f>
        <v>6</v>
      </c>
      <c r="C217" s="7" t="str">
        <f>IFERROR(__xludf.DUMMYFUNCTION("IF(A217="""","""",TEXTJOIN(CHAR(10),TRUE,FILTER('Tổng hợp 75 trang đích'!$B$2:$B$3400,'Tổng hợp 75 trang đích'!$I$2:$I$3400=A217)))"),"https://techcombank.com/thong-tin/blog/cic-la-gi
https://techcombank.com/thong-tin/blog/lam-the-tin-dung
https://techcombank.com/khach-hang-ca-nhan/chi-tieu/the/the-tin-dung/techcombank-everyday
https://techcombank.com/thong-tin/blog/the-tin-dung-hoan-tie"&amp;"n
https://techcombank.com/thong-tin/blog/cach-huy-the-tin-dung
https://techcombank.com/thong-tin/blog/cach-thanh-toan-the-tin-dung")</f>
        <v>https://techcombank.com/thong-tin/blog/cic-la-gi
https://techcombank.com/thong-tin/blog/lam-the-tin-dung
https://techcombank.com/khach-hang-ca-nhan/chi-tieu/the/the-tin-dung/techcombank-everyday
https://techcombank.com/thong-tin/blog/the-tin-dung-hoan-tien
https://techcombank.com/thong-tin/blog/cach-huy-the-tin-dung
https://techcombank.com/thong-tin/blog/cach-thanh-toan-the-tin-dung</v>
      </c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10" t="str">
        <f>IFERROR(__xludf.DUMMYFUNCTION("""COMPUTED_VALUE"""),"https://techcombank.com/thong-tin/blog/no-xau")</f>
        <v>https://techcombank.com/thong-tin/blog/no-xau</v>
      </c>
      <c r="B218" s="11">
        <f>IFERROR(__xludf.DUMMYFUNCTION("""COMPUTED_VALUE"""),6.0)</f>
        <v>6</v>
      </c>
      <c r="C218" s="7" t="str">
        <f>IFERROR(__xludf.DUMMYFUNCTION("IF(A218="""","""",TEXTJOIN(CHAR(10),TRUE,FILTER('Tổng hợp 75 trang đích'!$B$2:$B$3400,'Tổng hợp 75 trang đích'!$I$2:$I$3400=A218)))"),"https://techcombank.com/thong-tin/blog/cic-la-gi
https://techcombank.com/thong-tin/blog/xep-hang-tin-dung
https://techcombank.com/thong-tin/blog/app-vay-tien-nhanh
https://techcombank.com/thong-tin/blog/kiem-tra-no-xau
https://techcombank.com/thong-tin/bl"&amp;"og/no-xau-la-gi
https://techcombank.com/thong-tin/blog/vay-tin-chap-khong-tra-duoc-co-sao-khong")</f>
        <v>https://techcombank.com/thong-tin/blog/cic-la-gi
https://techcombank.com/thong-tin/blog/xep-hang-tin-dung
https://techcombank.com/thong-tin/blog/app-vay-tien-nhanh
https://techcombank.com/thong-tin/blog/kiem-tra-no-xau
https://techcombank.com/thong-tin/blog/no-xau-la-gi
https://techcombank.com/thong-tin/blog/vay-tin-chap-khong-tra-duoc-co-sao-khong</v>
      </c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10" t="str">
        <f>IFERROR(__xludf.DUMMYFUNCTION("""COMPUTED_VALUE"""),"https://techcombank.com/thong-tin/blog/phi-rut-tien-mat-the-tin-dung")</f>
        <v>https://techcombank.com/thong-tin/blog/phi-rut-tien-mat-the-tin-dung</v>
      </c>
      <c r="B219" s="11">
        <f>IFERROR(__xludf.DUMMYFUNCTION("""COMPUTED_VALUE"""),6.0)</f>
        <v>6</v>
      </c>
      <c r="C219" s="7" t="str">
        <f>IFERROR(__xludf.DUMMYFUNCTION("IF(A219="""","""",TEXTJOIN(CHAR(10),TRUE,FILTER('Tổng hợp 75 trang đích'!$B$2:$B$3400,'Tổng hợp 75 trang đích'!$I$2:$I$3400=A219)))"),"https://techcombank.com/thong-tin/blog/cic-la-gi
https://techcombank.com/thong-tin/blog/rut-tien-mat-tu-the-tin-dung
https://techcombank.com/khach-hang-ca-nhan/chi-tieu/the/the-tin-dung/techcombank-everyday
https://techcombank.com/thong-tin/blog/the-tin-d"&amp;"ung-hoan-tien
https://techcombank.com/thong-tin/blog/cach-huy-the-tin-dung
https://techcombank.com/thong-tin/blog/cach-thanh-toan-the-tin-dung")</f>
        <v>https://techcombank.com/thong-tin/blog/cic-la-gi
https://techcombank.com/thong-tin/blog/rut-tien-mat-tu-the-tin-dung
https://techcombank.com/khach-hang-ca-nhan/chi-tieu/the/the-tin-dung/techcombank-everyday
https://techcombank.com/thong-tin/blog/the-tin-dung-hoan-tien
https://techcombank.com/thong-tin/blog/cach-huy-the-tin-dung
https://techcombank.com/thong-tin/blog/cach-thanh-toan-the-tin-dung</v>
      </c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10" t="str">
        <f>IFERROR(__xludf.DUMMYFUNCTION("""COMPUTED_VALUE"""),"https://techcombank.com/thong-tin/blog/quy-trinh-gui-tien-tiet-kiem")</f>
        <v>https://techcombank.com/thong-tin/blog/quy-trinh-gui-tien-tiet-kiem</v>
      </c>
      <c r="B220" s="11">
        <f>IFERROR(__xludf.DUMMYFUNCTION("""COMPUTED_VALUE"""),6.0)</f>
        <v>6</v>
      </c>
      <c r="C220" s="7" t="str">
        <f>IFERROR(__xludf.DUMMYFUNCTION("IF(A220="""","""",TEXTJOIN(CHAR(10),TRUE,FILTER('Tổng hợp 75 trang đích'!$B$2:$B$3400,'Tổng hợp 75 trang đích'!$I$2:$I$3400=A220)))"),"https://techcombank.com/thong-tin/blog/chung-chi-tien-gui-la-gi
https://techcombank.com/thong-tin/blog/lai-suat-tiet-kiem
https://techcombank.com/thong-tin/blog/cach-tinh-lai-suat-tien-gui-tiet-kiem
https://techcombank.com/thong-tin/blog/so-tiet-kiem-ngan"&amp;"-hang
https://techcombank.com/thong-tin/blog/rui-ro-khi-gui-tiet-kiem-online
https://techcombank.com/cong-cu-tien-ich/cong-cu-tinh-toan/bang-tinh-lai-suat-tiet-kiem")</f>
        <v>https://techcombank.com/thong-tin/blog/chung-chi-tien-gui-la-gi
https://techcombank.com/thong-tin/blog/lai-suat-tiet-kiem
https://techcombank.com/thong-tin/blog/cach-tinh-lai-suat-tien-gui-tiet-kiem
https://techcombank.com/thong-tin/blog/so-tiet-kiem-ngan-hang
https://techcombank.com/thong-tin/blog/rui-ro-khi-gui-tiet-kiem-online
https://techcombank.com/cong-cu-tien-ich/cong-cu-tinh-toan/bang-tinh-lai-suat-tiet-kiem</v>
      </c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10" t="str">
        <f>IFERROR(__xludf.DUMMYFUNCTION("""COMPUTED_VALUE"""),"https://techcombank.com/thong-tin/blog/quyet-toan-thue-doanh-nghiep")</f>
        <v>https://techcombank.com/thong-tin/blog/quyet-toan-thue-doanh-nghiep</v>
      </c>
      <c r="B221" s="11">
        <f>IFERROR(__xludf.DUMMYFUNCTION("""COMPUTED_VALUE"""),6.0)</f>
        <v>6</v>
      </c>
      <c r="C221" s="7" t="str">
        <f>IFERROR(__xludf.DUMMYFUNCTION("IF(A221="""","""",TEXTJOIN(CHAR(10),TRUE,FILTER('Tổng hợp 75 trang đích'!$B$2:$B$3400,'Tổng hợp 75 trang đích'!$I$2:$I$3400=A221)))"),"https://techcombank.com/thong-tin/blog/nop-thue-dat-qua-ngan-hang
https://techcombank.com/thong-tin/blog/cach-nop-thue-dien-tu
https://techcombank.com/thong-tin/blog/thue-thu-nhap-doanh-nghiep
https://techcombank.com/thong-tin/blog/tra-cuu-no-thue-doanh-n"&amp;"ghiep
https://techcombank.com/thong-tin/blog/thue-doanh-nghiep
https://techcombank.com/thong-tin/blog/cach-tinh-thue-thu-nhap-doanh-nghiep")</f>
        <v>https://techcombank.com/thong-tin/blog/nop-thue-dat-qua-ngan-hang
https://techcombank.com/thong-tin/blog/cach-nop-thue-dien-tu
https://techcombank.com/thong-tin/blog/thue-thu-nhap-doanh-nghiep
https://techcombank.com/thong-tin/blog/tra-cuu-no-thue-doanh-nghiep
https://techcombank.com/thong-tin/blog/thue-doanh-nghiep
https://techcombank.com/thong-tin/blog/cach-tinh-thue-thu-nhap-doanh-nghiep</v>
      </c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10" t="str">
        <f>IFERROR(__xludf.DUMMYFUNCTION("""COMPUTED_VALUE"""),"https://techcombank.com/thong-tin/blog/rui-ro-khi-gui-tiet-kiem-ngan-hang")</f>
        <v>https://techcombank.com/thong-tin/blog/rui-ro-khi-gui-tiet-kiem-ngan-hang</v>
      </c>
      <c r="B222" s="11">
        <f>IFERROR(__xludf.DUMMYFUNCTION("""COMPUTED_VALUE"""),6.0)</f>
        <v>6</v>
      </c>
      <c r="C222" s="7" t="str">
        <f>IFERROR(__xludf.DUMMYFUNCTION("IF(A222="""","""",TEXTJOIN(CHAR(10),TRUE,FILTER('Tổng hợp 75 trang đích'!$B$2:$B$3400,'Tổng hợp 75 trang đích'!$I$2:$I$3400=A222)))"),"https://techcombank.com/thong-tin/blog/ten-dang-nhap-tai-khoan-ngan-hang-la-gi
https://techcombank.com/thong-tin/blog/lai-suat-tiet-kiem
https://techcombank.com/thong-tin/blog/cach-tinh-lai-suat-tien-gui-tiet-kiem
https://techcombank.com/thong-tin/blog/so"&amp;"-tiet-kiem-ngan-hang
https://techcombank.com/thong-tin/blog/rui-ro-khi-gui-tiet-kiem-online
https://techcombank.com/cong-cu-tien-ich/cong-cu-tinh-toan/bang-tinh-lai-suat-tiet-kiem")</f>
        <v>https://techcombank.com/thong-tin/blog/ten-dang-nhap-tai-khoan-ngan-hang-la-gi
https://techcombank.com/thong-tin/blog/lai-suat-tiet-kiem
https://techcombank.com/thong-tin/blog/cach-tinh-lai-suat-tien-gui-tiet-kiem
https://techcombank.com/thong-tin/blog/so-tiet-kiem-ngan-hang
https://techcombank.com/thong-tin/blog/rui-ro-khi-gui-tiet-kiem-online
https://techcombank.com/cong-cu-tien-ich/cong-cu-tinh-toan/bang-tinh-lai-suat-tiet-kiem</v>
      </c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10" t="str">
        <f>IFERROR(__xludf.DUMMYFUNCTION("""COMPUTED_VALUE"""),"https://techcombank.com/thong-tin/blog/so-cvv-la-gi")</f>
        <v>https://techcombank.com/thong-tin/blog/so-cvv-la-gi</v>
      </c>
      <c r="B223" s="11">
        <f>IFERROR(__xludf.DUMMYFUNCTION("""COMPUTED_VALUE"""),6.0)</f>
        <v>6</v>
      </c>
      <c r="C223" s="7" t="str">
        <f>IFERROR(__xludf.DUMMYFUNCTION("IF(A223="""","""",TEXTJOIN(CHAR(10),TRUE,FILTER('Tổng hợp 75 trang đích'!$B$2:$B$3400,'Tổng hợp 75 trang đích'!$I$2:$I$3400=A223)))"),"https://techcombank.com/thong-tin/blog/cic-la-gi
https://techcombank.com/thong-tin/blog/lam-the-tin-dung
https://techcombank.com/khach-hang-ca-nhan/chi-tieu/the/the-tin-dung/techcombank-everyday
https://techcombank.com/thong-tin/blog/the-tin-dung-hoan-tie"&amp;"n
https://techcombank.com/thong-tin/blog/cach-huy-the-tin-dung
https://techcombank.com/thong-tin/blog/cach-thanh-toan-the-tin-dung")</f>
        <v>https://techcombank.com/thong-tin/blog/cic-la-gi
https://techcombank.com/thong-tin/blog/lam-the-tin-dung
https://techcombank.com/khach-hang-ca-nhan/chi-tieu/the/the-tin-dung/techcombank-everyday
https://techcombank.com/thong-tin/blog/the-tin-dung-hoan-tien
https://techcombank.com/thong-tin/blog/cach-huy-the-tin-dung
https://techcombank.com/thong-tin/blog/cach-thanh-toan-the-tin-dung</v>
      </c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10" t="str">
        <f>IFERROR(__xludf.DUMMYFUNCTION("""COMPUTED_VALUE"""),"https://techcombank.com/thong-tin/blog/so-sanh-gui-tiet-kiem-online-va-tai-quay")</f>
        <v>https://techcombank.com/thong-tin/blog/so-sanh-gui-tiet-kiem-online-va-tai-quay</v>
      </c>
      <c r="B224" s="11">
        <f>IFERROR(__xludf.DUMMYFUNCTION("""COMPUTED_VALUE"""),6.0)</f>
        <v>6</v>
      </c>
      <c r="C224" s="7" t="str">
        <f>IFERROR(__xludf.DUMMYFUNCTION("IF(A224="""","""",TEXTJOIN(CHAR(10),TRUE,FILTER('Tổng hợp 75 trang đích'!$B$2:$B$3400,'Tổng hợp 75 trang đích'!$I$2:$I$3400=A224)))"),"https://techcombank.com/thong-tin/blog/lai-suat-chung-chi-tien-gui-cac-ngan-hang
https://techcombank.com/thong-tin/blog/lai-suat-tiet-kiem
https://techcombank.com/thong-tin/blog/cach-tinh-lai-suat-tien-gui-tiet-kiem
https://techcombank.com/thong-tin/blog/"&amp;"rut-tien-tiet-kiem-truoc-thoi-han
https://techcombank.com/cong-cu-tien-ich/cong-cu-tinh-toan/bang-tinh-lai-suat-tiet-kiem
https://techcombank.com/thong-tin/blog/app-vay-tien-nhanh")</f>
        <v>https://techcombank.com/thong-tin/blog/lai-suat-chung-chi-tien-gui-cac-ngan-hang
https://techcombank.com/thong-tin/blog/lai-suat-tiet-kiem
https://techcombank.com/thong-tin/blog/cach-tinh-lai-suat-tien-gui-tiet-kiem
https://techcombank.com/thong-tin/blog/rut-tien-tiet-kiem-truoc-thoi-han
https://techcombank.com/cong-cu-tien-ich/cong-cu-tinh-toan/bang-tinh-lai-suat-tiet-kiem
https://techcombank.com/thong-tin/blog/app-vay-tien-nhanh</v>
      </c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10" t="str">
        <f>IFERROR(__xludf.DUMMYFUNCTION("""COMPUTED_VALUE"""),"https://techcombank.com/thong-tin/blog/so-tiet-kiem-ngan-hang")</f>
        <v>https://techcombank.com/thong-tin/blog/so-tiet-kiem-ngan-hang</v>
      </c>
      <c r="B225" s="11">
        <f>IFERROR(__xludf.DUMMYFUNCTION("""COMPUTED_VALUE"""),6.0)</f>
        <v>6</v>
      </c>
      <c r="C225" s="7" t="str">
        <f>IFERROR(__xludf.DUMMYFUNCTION("IF(A225="""","""",TEXTJOIN(CHAR(10),TRUE,FILTER('Tổng hợp 75 trang đích'!$B$2:$B$3400,'Tổng hợp 75 trang đích'!$I$2:$I$3400=A225)))"),"https://techcombank.com/thong-tin/blog/lai-suat-chung-chi-tien-gui-cac-ngan-hang
https://techcombank.com/thong-tin/blog/lai-suat-tiet-kiem
https://techcombank.com/thong-tin/blog/cach-tinh-lai-suat-tien-gui-tiet-kiem
https://techcombank.com/thong-tin/blog/"&amp;"rut-tien-tiet-kiem-truoc-thoi-han
https://techcombank.com/cong-cu-tien-ich/cong-cu-tinh-toan/bang-tinh-lai-suat-tiet-kiem
https://techcombank.com/thong-tin/blog/app-vay-tien-nhanh")</f>
        <v>https://techcombank.com/thong-tin/blog/lai-suat-chung-chi-tien-gui-cac-ngan-hang
https://techcombank.com/thong-tin/blog/lai-suat-tiet-kiem
https://techcombank.com/thong-tin/blog/cach-tinh-lai-suat-tien-gui-tiet-kiem
https://techcombank.com/thong-tin/blog/rut-tien-tiet-kiem-truoc-thoi-han
https://techcombank.com/cong-cu-tien-ich/cong-cu-tinh-toan/bang-tinh-lai-suat-tiet-kiem
https://techcombank.com/thong-tin/blog/app-vay-tien-nhanh</v>
      </c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10" t="str">
        <f>IFERROR(__xludf.DUMMYFUNCTION("""COMPUTED_VALUE"""),"https://techcombank.com/thong-tin/blog/tap-doan-thanh-quang-khoi-sac-kinh-doanh-nho-nguon-von-vay-tin-dung-techcombank-tren-nen-tang-misa-lending")</f>
        <v>https://techcombank.com/thong-tin/blog/tap-doan-thanh-quang-khoi-sac-kinh-doanh-nho-nguon-von-vay-tin-dung-techcombank-tren-nen-tang-misa-lending</v>
      </c>
      <c r="B226" s="11">
        <f>IFERROR(__xludf.DUMMYFUNCTION("""COMPUTED_VALUE"""),6.0)</f>
        <v>6</v>
      </c>
      <c r="C226" s="7" t="str">
        <f>IFERROR(__xludf.DUMMYFUNCTION("IF(A226="""","""",TEXTJOIN(CHAR(10),TRUE,FILTER('Tổng hợp 75 trang đích'!$B$2:$B$3400,'Tổng hợp 75 trang đích'!$I$2:$I$3400=A226)))"),"https://techcombank.com/thong-tin/blog/bao-nhieu-tuoi-duoc-mo-tai-khoan-ngan-hang
https://techcombank.com/thong-tin/blog/mo-tai-khoan-ngan-hang-duoi-18-tuoi
https://techcombank.com/thong-tin/blog/eco-card
https://techcombank.com/thong-tin/blog/cic-la-gi
h"&amp;"ttps://techcombank.com/cong-cu-tien-ich/cong-cu-tinh-toan/bang-tinh-lai-suat-vay
https://techcombank.com/thong-tin/blog/app-vay-tien-nhanh")</f>
        <v>https://techcombank.com/thong-tin/blog/bao-nhieu-tuoi-duoc-mo-tai-khoan-ngan-hang
https://techcombank.com/thong-tin/blog/mo-tai-khoan-ngan-hang-duoi-18-tuoi
https://techcombank.com/thong-tin/blog/eco-card
https://techcombank.com/thong-tin/blog/cic-la-gi
https://techcombank.com/cong-cu-tien-ich/cong-cu-tinh-toan/bang-tinh-lai-suat-vay
https://techcombank.com/thong-tin/blog/app-vay-tien-nhanh</v>
      </c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10" t="str">
        <f>IFERROR(__xludf.DUMMYFUNCTION("""COMPUTED_VALUE"""),"https://techcombank.com/thong-tin/blog/tat-toan-chung-chi-tien-gui")</f>
        <v>https://techcombank.com/thong-tin/blog/tat-toan-chung-chi-tien-gui</v>
      </c>
      <c r="B227" s="11">
        <f>IFERROR(__xludf.DUMMYFUNCTION("""COMPUTED_VALUE"""),6.0)</f>
        <v>6</v>
      </c>
      <c r="C227" s="7" t="str">
        <f>IFERROR(__xludf.DUMMYFUNCTION("IF(A227="""","""",TEXTJOIN(CHAR(10),TRUE,FILTER('Tổng hợp 75 trang đích'!$B$2:$B$3400,'Tổng hợp 75 trang đích'!$I$2:$I$3400=A227)))"),"https://techcombank.com/thong-tin/blog/chung-chi-tien-gui-la-gi
https://techcombank.com/thong-tin/blog/lai-suat-chung-chi-tien-gui-cac-ngan-hang
https://techcombank.com/thong-tin/blog/ho-so-thu-tuc-xoa-the-chap
https://techcombank.com/thong-tin/blog/lai-s"&amp;"uat-tiet-kiem
https://techcombank.com/thong-tin/blog/rut-tien-tiet-kiem-truoc-thoi-han
https://techcombank.com/thong-tin/blog/app-vay-tien-nhanh")</f>
        <v>https://techcombank.com/thong-tin/blog/chung-chi-tien-gui-la-gi
https://techcombank.com/thong-tin/blog/lai-suat-chung-chi-tien-gui-cac-ngan-hang
https://techcombank.com/thong-tin/blog/ho-so-thu-tuc-xoa-the-chap
https://techcombank.com/thong-tin/blog/lai-suat-tiet-kiem
https://techcombank.com/thong-tin/blog/rut-tien-tiet-kiem-truoc-thoi-han
https://techcombank.com/thong-tin/blog/app-vay-tien-nhanh</v>
      </c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10" t="str">
        <f>IFERROR(__xludf.DUMMYFUNCTION("""COMPUTED_VALUE"""),"https://techcombank.com/thong-tin/blog/techcombank-sinh-loi-tu-dong")</f>
        <v>https://techcombank.com/thong-tin/blog/techcombank-sinh-loi-tu-dong</v>
      </c>
      <c r="B228" s="11">
        <f>IFERROR(__xludf.DUMMYFUNCTION("""COMPUTED_VALUE"""),6.0)</f>
        <v>6</v>
      </c>
      <c r="C228" s="7" t="str">
        <f>IFERROR(__xludf.DUMMYFUNCTION("IF(A228="""","""",TEXTJOIN(CHAR(10),TRUE,FILTER('Tổng hợp 75 trang đích'!$B$2:$B$3400,'Tổng hợp 75 trang đích'!$I$2:$I$3400=A228)))"),"https://techcombank.com/thong-tin/blog/cach-mo-tai-khoan
https://techcombank.com/thong-tin/blog/lai-suat-chung-chi-tien-gui-cac-ngan-hang
https://techcombank.com/thong-tin/blog/lai-suat-tiet-kiem
https://techcombank.com/thong-tin/blog/cach-tinh-lai-suat-t"&amp;"ien-gui-tiet-kiem
https://techcombank.com/cong-cu-tien-ich/cong-cu-tinh-toan/bang-tinh-lai-suat-tiet-kiem
https://techcombank.com/thong-tin/blog/app-vay-tien-nhanh")</f>
        <v>https://techcombank.com/thong-tin/blog/cach-mo-tai-khoan
https://techcombank.com/thong-tin/blog/lai-suat-chung-chi-tien-gui-cac-ngan-hang
https://techcombank.com/thong-tin/blog/lai-suat-tiet-kiem
https://techcombank.com/thong-tin/blog/cach-tinh-lai-suat-tien-gui-tiet-kiem
https://techcombank.com/cong-cu-tien-ich/cong-cu-tinh-toan/bang-tinh-lai-suat-tiet-kiem
https://techcombank.com/thong-tin/blog/app-vay-tien-nhanh</v>
      </c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10" t="str">
        <f>IFERROR(__xludf.DUMMYFUNCTION("""COMPUTED_VALUE"""),"https://techcombank.com/thong-tin/blog/thanh-toan-tra-gop-qua-the-tin-dung")</f>
        <v>https://techcombank.com/thong-tin/blog/thanh-toan-tra-gop-qua-the-tin-dung</v>
      </c>
      <c r="B229" s="11">
        <f>IFERROR(__xludf.DUMMYFUNCTION("""COMPUTED_VALUE"""),6.0)</f>
        <v>6</v>
      </c>
      <c r="C229" s="7" t="str">
        <f>IFERROR(__xludf.DUMMYFUNCTION("IF(A229="""","""",TEXTJOIN(CHAR(10),TRUE,FILTER('Tổng hợp 75 trang đích'!$B$2:$B$3400,'Tổng hợp 75 trang đích'!$I$2:$I$3400=A229)))"),"https://techcombank.com/thong-tin/blog/ten-dang-nhap-tai-khoan-ngan-hang-la-gi
https://techcombank.com/thong-tin/blog/cic-la-gi
https://techcombank.com/thong-tin/blog/cach-huy-the-tin-dung
https://techcombank.com/thong-tin/blog/cach-tinh-lai-vay-ngan-hang"&amp;"
https://techcombank.com/cong-cu-tien-ich/cong-cu-tinh-toan/bang-tinh-lai-suat-vay
https://techcombank.com/thong-tin/blog/app-vay-tien-nhanh")</f>
        <v>https://techcombank.com/thong-tin/blog/ten-dang-nhap-tai-khoan-ngan-hang-la-gi
https://techcombank.com/thong-tin/blog/cic-la-gi
https://techcombank.com/thong-tin/blog/cach-huy-the-tin-dung
https://techcombank.com/thong-tin/blog/cach-tinh-lai-vay-ngan-hang
https://techcombank.com/cong-cu-tien-ich/cong-cu-tinh-toan/bang-tinh-lai-suat-vay
https://techcombank.com/thong-tin/blog/app-vay-tien-nhanh</v>
      </c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10" t="str">
        <f>IFERROR(__xludf.DUMMYFUNCTION("""COMPUTED_VALUE"""),"https://techcombank.com/thong-tin/blog/the-ghi-no-co-chuyen-khoan-duoc-khong")</f>
        <v>https://techcombank.com/thong-tin/blog/the-ghi-no-co-chuyen-khoan-duoc-khong</v>
      </c>
      <c r="B230" s="11">
        <f>IFERROR(__xludf.DUMMYFUNCTION("""COMPUTED_VALUE"""),6.0)</f>
        <v>6</v>
      </c>
      <c r="C230" s="7" t="str">
        <f>IFERROR(__xludf.DUMMYFUNCTION("IF(A230="""","""",TEXTJOIN(CHAR(10),TRUE,FILTER('Tổng hợp 75 trang đích'!$B$2:$B$3400,'Tổng hợp 75 trang đích'!$I$2:$I$3400=A230)))"),"https://techcombank.com/thong-tin/blog/cach-nap-the-viettel
https://techcombank.com/thong-tin/blog/cach-tinh-tien-dien-sinh-hoat
https://techcombank.com/thong-tin/blog/chuyen-khoan-thanh-cong-nhung-khong-nhan-duoc-tien
https://techcombank.com/thong-tin/bl"&amp;"og/mo-tai-khoan-ngan-hang-duoi-18-tuoi
https://techcombank.com/thong-tin/blog/day-so-phat-tai-phat-loc
https://techcombank.com/thong-tin/blog/cach-quet-nfc-cccd-tren-iphone")</f>
        <v>https://techcombank.com/thong-tin/blog/cach-nap-the-viettel
https://techcombank.com/thong-tin/blog/cach-tinh-tien-dien-sinh-hoat
https://techcombank.com/thong-tin/blog/chuyen-khoan-thanh-cong-nhung-khong-nhan-duoc-tien
https://techcombank.com/thong-tin/blog/mo-tai-khoan-ngan-hang-duoi-18-tuoi
https://techcombank.com/thong-tin/blog/day-so-phat-tai-phat-loc
https://techcombank.com/thong-tin/blog/cach-quet-nfc-cccd-tren-iphone</v>
      </c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10" t="str">
        <f>IFERROR(__xludf.DUMMYFUNCTION("""COMPUTED_VALUE"""),"https://techcombank.com/thong-tin/blog/the-tin-dung-co-chuyen-khoan-duoc-khong")</f>
        <v>https://techcombank.com/thong-tin/blog/the-tin-dung-co-chuyen-khoan-duoc-khong</v>
      </c>
      <c r="B231" s="11">
        <f>IFERROR(__xludf.DUMMYFUNCTION("""COMPUTED_VALUE"""),6.0)</f>
        <v>6</v>
      </c>
      <c r="C231" s="7" t="str">
        <f>IFERROR(__xludf.DUMMYFUNCTION("IF(A231="""","""",TEXTJOIN(CHAR(10),TRUE,FILTER('Tổng hợp 75 trang đích'!$B$2:$B$3400,'Tổng hợp 75 trang đích'!$I$2:$I$3400=A231)))"),"https://techcombank.com/thong-tin/blog/thue-vat-la-gi
https://techcombank.com/thong-tin/blog/cach-tinh-tien-dien-sinh-hoat
https://techcombank.com/thong-tin/blog/chuyen-khoan-thanh-cong-nhung-khong-nhan-duoc-tien
https://techcombank.com/thong-tin/blog/cic"&amp;"-la-gi
https://techcombank.com/thong-tin/blog/rut-tien-mat-tu-the-tin-dung
https://techcombank.com/thong-tin/blog/cach-huy-the-tin-dung")</f>
        <v>https://techcombank.com/thong-tin/blog/thue-vat-la-gi
https://techcombank.com/thong-tin/blog/cach-tinh-tien-dien-sinh-hoat
https://techcombank.com/thong-tin/blog/chuyen-khoan-thanh-cong-nhung-khong-nhan-duoc-tien
https://techcombank.com/thong-tin/blog/cic-la-gi
https://techcombank.com/thong-tin/blog/rut-tien-mat-tu-the-tin-dung
https://techcombank.com/thong-tin/blog/cach-huy-the-tin-dung</v>
      </c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10" t="str">
        <f>IFERROR(__xludf.DUMMYFUNCTION("""COMPUTED_VALUE"""),"https://techcombank.com/thong-tin/blog/the-tin-dung-het-han")</f>
        <v>https://techcombank.com/thong-tin/blog/the-tin-dung-het-han</v>
      </c>
      <c r="B232" s="11">
        <f>IFERROR(__xludf.DUMMYFUNCTION("""COMPUTED_VALUE"""),6.0)</f>
        <v>6</v>
      </c>
      <c r="C232" s="7" t="str">
        <f>IFERROR(__xludf.DUMMYFUNCTION("IF(A232="""","""",TEXTJOIN(CHAR(10),TRUE,FILTER('Tổng hợp 75 trang đích'!$B$2:$B$3400,'Tổng hợp 75 trang đích'!$I$2:$I$3400=A232)))"),"https://techcombank.com/thong-tin/blog/cic-la-gi
https://techcombank.com/thong-tin/blog/lam-the-tin-dung
https://techcombank.com/khach-hang-ca-nhan/chi-tieu/the/the-tin-dung/techcombank-everyday
https://techcombank.com/thong-tin/blog/the-tin-dung-hoan-tie"&amp;"n
https://techcombank.com/thong-tin/blog/cach-huy-the-tin-dung
https://techcombank.com/thong-tin/blog/cach-thanh-toan-the-tin-dung")</f>
        <v>https://techcombank.com/thong-tin/blog/cic-la-gi
https://techcombank.com/thong-tin/blog/lam-the-tin-dung
https://techcombank.com/khach-hang-ca-nhan/chi-tieu/the/the-tin-dung/techcombank-everyday
https://techcombank.com/thong-tin/blog/the-tin-dung-hoan-tien
https://techcombank.com/thong-tin/blog/cach-huy-the-tin-dung
https://techcombank.com/thong-tin/blog/cach-thanh-toan-the-tin-dung</v>
      </c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10" t="str">
        <f>IFERROR(__xludf.DUMMYFUNCTION("""COMPUTED_VALUE"""),"https://techcombank.com/thong-tin/blog/the-tin-dung-mien-phi-thuong-nien")</f>
        <v>https://techcombank.com/thong-tin/blog/the-tin-dung-mien-phi-thuong-nien</v>
      </c>
      <c r="B233" s="11">
        <f>IFERROR(__xludf.DUMMYFUNCTION("""COMPUTED_VALUE"""),6.0)</f>
        <v>6</v>
      </c>
      <c r="C233" s="7" t="str">
        <f>IFERROR(__xludf.DUMMYFUNCTION("IF(A233="""","""",TEXTJOIN(CHAR(10),TRUE,FILTER('Tổng hợp 75 trang đích'!$B$2:$B$3400,'Tổng hợp 75 trang đích'!$I$2:$I$3400=A233)))"),"https://techcombank.com/thong-tin/blog/cic-la-gi
https://techcombank.com/thong-tin/blog/lam-the-tin-dung
https://techcombank.com/khach-hang-ca-nhan/chi-tieu/the/the-tin-dung/techcombank-everyday
https://techcombank.com/thong-tin/blog/the-tin-dung-hoan-tie"&amp;"n
https://techcombank.com/thong-tin/blog/cach-huy-the-tin-dung
https://techcombank.com/thong-tin/blog/cach-thanh-toan-the-tin-dung")</f>
        <v>https://techcombank.com/thong-tin/blog/cic-la-gi
https://techcombank.com/thong-tin/blog/lam-the-tin-dung
https://techcombank.com/khach-hang-ca-nhan/chi-tieu/the/the-tin-dung/techcombank-everyday
https://techcombank.com/thong-tin/blog/the-tin-dung-hoan-tien
https://techcombank.com/thong-tin/blog/cach-huy-the-tin-dung
https://techcombank.com/thong-tin/blog/cach-thanh-toan-the-tin-dung</v>
      </c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10" t="str">
        <f>IFERROR(__xludf.DUMMYFUNCTION("""COMPUTED_VALUE"""),"https://techcombank.com/thong-tin/blog/the-tin-dung-nao-nhieu-uu-dai-nhat")</f>
        <v>https://techcombank.com/thong-tin/blog/the-tin-dung-nao-nhieu-uu-dai-nhat</v>
      </c>
      <c r="B234" s="11">
        <f>IFERROR(__xludf.DUMMYFUNCTION("""COMPUTED_VALUE"""),6.0)</f>
        <v>6</v>
      </c>
      <c r="C234" s="7" t="str">
        <f>IFERROR(__xludf.DUMMYFUNCTION("IF(A234="""","""",TEXTJOIN(CHAR(10),TRUE,FILTER('Tổng hợp 75 trang đích'!$B$2:$B$3400,'Tổng hợp 75 trang đích'!$I$2:$I$3400=A234)))"),"https://techcombank.com/thong-tin/blog/cic-la-gi
https://techcombank.com/thong-tin/blog/lam-the-tin-dung
https://techcombank.com/khach-hang-ca-nhan/chi-tieu/the/the-tin-dung/techcombank-everyday
https://techcombank.com/thong-tin/blog/the-tin-dung-hoan-tie"&amp;"n
https://techcombank.com/thong-tin/blog/cach-huy-the-tin-dung
https://techcombank.com/thong-tin/blog/cach-thanh-toan-the-tin-dung")</f>
        <v>https://techcombank.com/thong-tin/blog/cic-la-gi
https://techcombank.com/thong-tin/blog/lam-the-tin-dung
https://techcombank.com/khach-hang-ca-nhan/chi-tieu/the/the-tin-dung/techcombank-everyday
https://techcombank.com/thong-tin/blog/the-tin-dung-hoan-tien
https://techcombank.com/thong-tin/blog/cach-huy-the-tin-dung
https://techcombank.com/thong-tin/blog/cach-thanh-toan-the-tin-dung</v>
      </c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10" t="str">
        <f>IFERROR(__xludf.DUMMYFUNCTION("""COMPUTED_VALUE"""),"https://techcombank.com/thong-tin/blog/thi-truong-trai-phieu-co-hoi-dau-tu-trai-phieu-vang-du-lai-suat-thap")</f>
        <v>https://techcombank.com/thong-tin/blog/thi-truong-trai-phieu-co-hoi-dau-tu-trai-phieu-vang-du-lai-suat-thap</v>
      </c>
      <c r="B235" s="11">
        <f>IFERROR(__xludf.DUMMYFUNCTION("""COMPUTED_VALUE"""),6.0)</f>
        <v>6</v>
      </c>
      <c r="C235" s="7" t="str">
        <f>IFERROR(__xludf.DUMMYFUNCTION("IF(A235="""","""",TEXTJOIN(CHAR(10),TRUE,FILTER('Tổng hợp 75 trang đích'!$B$2:$B$3400,'Tổng hợp 75 trang đích'!$I$2:$I$3400=A235)))"),"https://techcombank.com/thong-tin/blog/lai-suat-chung-chi-tien-gui-cac-ngan-hang
https://techcombank.com/thong-tin/blog/lai-suat-tiet-kiem
https://techcombank.com/thong-tin/blog/cach-tinh-lai-suat-tien-gui-tiet-kiem
https://techcombank.com/cong-cu-tien-ic"&amp;"h/cong-cu-tinh-toan/bang-tinh-lai-suat-tiet-kiem
https://techcombank.com/thong-tin/blog/app-vay-tien-nhanh
https://techcombank.com/thong-tin/blog/phuong-phap-dau-tu-chung-chi-quy")</f>
        <v>https://techcombank.com/thong-tin/blog/lai-suat-chung-chi-tien-gui-cac-ngan-hang
https://techcombank.com/thong-tin/blog/lai-suat-tiet-kiem
https://techcombank.com/thong-tin/blog/cach-tinh-lai-suat-tien-gui-tiet-kiem
https://techcombank.com/cong-cu-tien-ich/cong-cu-tinh-toan/bang-tinh-lai-suat-tiet-kiem
https://techcombank.com/thong-tin/blog/app-vay-tien-nhanh
https://techcombank.com/thong-tin/blog/phuong-phap-dau-tu-chung-chi-quy</v>
      </c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10" t="str">
        <f>IFERROR(__xludf.DUMMYFUNCTION("""COMPUTED_VALUE"""),"https://techcombank.com/thong-tin/blog/tien-chuyen-vao-tai-khoan-co-bi-tinh-thue-khong")</f>
        <v>https://techcombank.com/thong-tin/blog/tien-chuyen-vao-tai-khoan-co-bi-tinh-thue-khong</v>
      </c>
      <c r="B236" s="11">
        <f>IFERROR(__xludf.DUMMYFUNCTION("""COMPUTED_VALUE"""),6.0)</f>
        <v>6</v>
      </c>
      <c r="C236" s="7" t="str">
        <f>IFERROR(__xludf.DUMMYFUNCTION("IF(A236="""","""",TEXTJOIN(CHAR(10),TRUE,FILTER('Tổng hợp 75 trang đích'!$B$2:$B$3400,'Tổng hợp 75 trang đích'!$I$2:$I$3400=A236)))"),"https://techcombank.com/thong-tin/blog/nop-thue-dat-qua-ngan-hang
https://techcombank.com/thong-tin/blog/cach-nop-thue-dien-tu
https://techcombank.com/thong-tin/blog/cong-ty-su-dung-tai-khoan-ca-nhan
https://techcombank.com/thong-tin/blog/cach-sao-ke-tai-"&amp;"khoan-ngan-hang
https://techcombank.com/thong-tin/blog/kiem-tra-thue-thu-nhap-ca-nhan
https://techcombank.com/thong-tin/blog/thue-thu-nhap-ca-nhan")</f>
        <v>https://techcombank.com/thong-tin/blog/nop-thue-dat-qua-ngan-hang
https://techcombank.com/thong-tin/blog/cach-nop-thue-dien-tu
https://techcombank.com/thong-tin/blog/cong-ty-su-dung-tai-khoan-ca-nhan
https://techcombank.com/thong-tin/blog/cach-sao-ke-tai-khoan-ngan-hang
https://techcombank.com/thong-tin/blog/kiem-tra-thue-thu-nhap-ca-nhan
https://techcombank.com/thong-tin/blog/thue-thu-nhap-ca-nhan</v>
      </c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10" t="str">
        <f>IFERROR(__xludf.DUMMYFUNCTION("""COMPUTED_VALUE"""),"https://techcombank.com/thong-tin/blog/tien-gui-khong-ky-han")</f>
        <v>https://techcombank.com/thong-tin/blog/tien-gui-khong-ky-han</v>
      </c>
      <c r="B237" s="11">
        <f>IFERROR(__xludf.DUMMYFUNCTION("""COMPUTED_VALUE"""),6.0)</f>
        <v>6</v>
      </c>
      <c r="C237" s="7" t="str">
        <f>IFERROR(__xludf.DUMMYFUNCTION("IF(A237="""","""",TEXTJOIN(CHAR(10),TRUE,FILTER('Tổng hợp 75 trang đích'!$B$2:$B$3400,'Tổng hợp 75 trang đích'!$I$2:$I$3400=A237)))"),"https://techcombank.com/thong-tin/blog/lai-suat-chung-chi-tien-gui-cac-ngan-hang
https://techcombank.com/thong-tin/blog/lai-suat-tiet-kiem
https://techcombank.com/thong-tin/blog/cach-tinh-lai-suat-tien-gui-tiet-kiem
https://techcombank.com/cong-cu-tien-ic"&amp;"h/cong-cu-tinh-toan/bang-tinh-lai-suat-vay
https://techcombank.com/cong-cu-tien-ich/cong-cu-tinh-toan/bang-tinh-lai-suat-tiet-kiem
https://techcombank.com/thong-tin/blog/app-vay-tien-nhanh")</f>
        <v>https://techcombank.com/thong-tin/blog/lai-suat-chung-chi-tien-gui-cac-ngan-hang
https://techcombank.com/thong-tin/blog/lai-suat-tiet-kiem
https://techcombank.com/thong-tin/blog/cach-tinh-lai-suat-tien-gui-tiet-kiem
https://techcombank.com/cong-cu-tien-ich/cong-cu-tinh-toan/bang-tinh-lai-suat-vay
https://techcombank.com/cong-cu-tien-ich/cong-cu-tinh-toan/bang-tinh-lai-suat-tiet-kiem
https://techcombank.com/thong-tin/blog/app-vay-tien-nhanh</v>
      </c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10" t="str">
        <f>IFERROR(__xludf.DUMMYFUNCTION("""COMPUTED_VALUE"""),"https://techcombank.com/thong-tin/blog/tra-luong-tien-mat")</f>
        <v>https://techcombank.com/thong-tin/blog/tra-luong-tien-mat</v>
      </c>
      <c r="B238" s="11">
        <f>IFERROR(__xludf.DUMMYFUNCTION("""COMPUTED_VALUE"""),6.0)</f>
        <v>6</v>
      </c>
      <c r="C238" s="7" t="str">
        <f>IFERROR(__xludf.DUMMYFUNCTION("IF(A238="""","""",TEXTJOIN(CHAR(10),TRUE,FILTER('Tổng hợp 75 trang đích'!$B$2:$B$3400,'Tổng hợp 75 trang đích'!$I$2:$I$3400=A238)))"),"https://techcombank.com/thong-tin/blog/cong-ty-su-dung-tai-khoan-ca-nhan
https://techcombank.com/thong-tin/blog/cach-tinh-thue-thu-nhap-ca-nhan-2025
https://techcombank.com/thong-tin/blog/kiem-tra-thue-thu-nhap-ca-nhan
https://techcombank.com/thong-tin/bl"&amp;"og/thue-thu-nhap-ca-nhan
https://techcombank.com/thong-tin/blog/rut-tien-mat-tu-the-tin-dung
https://techcombank.com/thong-tin/blog/rui-ro-khi-gui-tiet-kiem-online")</f>
        <v>https://techcombank.com/thong-tin/blog/cong-ty-su-dung-tai-khoan-ca-nhan
https://techcombank.com/thong-tin/blog/cach-tinh-thue-thu-nhap-ca-nhan-2025
https://techcombank.com/thong-tin/blog/kiem-tra-thue-thu-nhap-ca-nhan
https://techcombank.com/thong-tin/blog/thue-thu-nhap-ca-nhan
https://techcombank.com/thong-tin/blog/rut-tien-mat-tu-the-tin-dung
https://techcombank.com/thong-tin/blog/rui-ro-khi-gui-tiet-kiem-online</v>
      </c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10" t="str">
        <f>IFERROR(__xludf.DUMMYFUNCTION("""COMPUTED_VALUE"""),"https://techcombank.com/thong-tin/blog/truy-thu-thue-ho-kinh-doanh")</f>
        <v>https://techcombank.com/thong-tin/blog/truy-thu-thue-ho-kinh-doanh</v>
      </c>
      <c r="B239" s="11">
        <f>IFERROR(__xludf.DUMMYFUNCTION("""COMPUTED_VALUE"""),6.0)</f>
        <v>6</v>
      </c>
      <c r="C239" s="7" t="str">
        <f>IFERROR(__xludf.DUMMYFUNCTION("IF(A239="""","""",TEXTJOIN(CHAR(10),TRUE,FILTER('Tổng hợp 75 trang đích'!$B$2:$B$3400,'Tổng hợp 75 trang đích'!$I$2:$I$3400=A239)))"),"https://techcombank.com/thong-tin/blog/nop-thue-dat-qua-ngan-hang
https://techcombank.com/thong-tin/blog/cach-nop-thue-dien-tu
https://techcombank.com/thong-tin/blog/cach-tinh-thue-thu-nhap-ca-nhan-2025
https://techcombank.com/thong-tin/blog/ho-kinh-doanh"&amp;"-dong-thue-nhu-nao
https://techcombank.com/thong-tin/blog/mo-tai-khoan-ho-kinh-doanh
https://techcombank.com/thong-tin/blog/cach-tinh-thue-ho-kinh-doanh-nho-le")</f>
        <v>https://techcombank.com/thong-tin/blog/nop-thue-dat-qua-ngan-hang
https://techcombank.com/thong-tin/blog/cach-nop-thue-dien-tu
https://techcombank.com/thong-tin/blog/cach-tinh-thue-thu-nhap-ca-nhan-2025
https://techcombank.com/thong-tin/blog/ho-kinh-doanh-dong-thue-nhu-nao
https://techcombank.com/thong-tin/blog/mo-tai-khoan-ho-kinh-doanh
https://techcombank.com/thong-tin/blog/cach-tinh-thue-ho-kinh-doanh-nho-le</v>
      </c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10" t="str">
        <f>IFERROR(__xludf.DUMMYFUNCTION("""COMPUTED_VALUE"""),"https://techcombank.com/thong-tin/blog/vay-40-trieu")</f>
        <v>https://techcombank.com/thong-tin/blog/vay-40-trieu</v>
      </c>
      <c r="B240" s="11">
        <f>IFERROR(__xludf.DUMMYFUNCTION("""COMPUTED_VALUE"""),6.0)</f>
        <v>6</v>
      </c>
      <c r="C240" s="7" t="str">
        <f>IFERROR(__xludf.DUMMYFUNCTION("IF(A240="""","""",TEXTJOIN(CHAR(10),TRUE,FILTER('Tổng hợp 75 trang đích'!$B$2:$B$3400,'Tổng hợp 75 trang đích'!$I$2:$I$3400=A240)))"),"https://techcombank.com/thong-tin/blog/cic-la-gi
https://techcombank.com/thong-tin/blog/vay-ngan-hang-1-ty-moi-thang-tra-bao-nhieu
https://techcombank.com/thong-tin/blog/cach-tinh-lai-vay-ngan-hang
https://techcombank.com/cong-cu-tien-ich/cong-cu-tinh-toa"&amp;"n/bang-tinh-lai-suat-vay
https://techcombank.com/thong-tin/blog/app-vay-tien-nhanh
https://techcombank.com/thong-tin/blog/lai-suat-vay-ngan-hang")</f>
        <v>https://techcombank.com/thong-tin/blog/cic-la-gi
https://techcombank.com/thong-tin/blog/vay-ngan-hang-1-ty-moi-thang-tra-bao-nhieu
https://techcombank.com/thong-tin/blog/cach-tinh-lai-vay-ngan-hang
https://techcombank.com/cong-cu-tien-ich/cong-cu-tinh-toan/bang-tinh-lai-suat-vay
https://techcombank.com/thong-tin/blog/app-vay-tien-nhanh
https://techcombank.com/thong-tin/blog/lai-suat-vay-ngan-hang</v>
      </c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10" t="str">
        <f>IFERROR(__xludf.DUMMYFUNCTION("""COMPUTED_VALUE"""),"https://techcombank.com/thong-tin/blog/vay-the-chap-la-gi")</f>
        <v>https://techcombank.com/thong-tin/blog/vay-the-chap-la-gi</v>
      </c>
      <c r="B241" s="11">
        <f>IFERROR(__xludf.DUMMYFUNCTION("""COMPUTED_VALUE"""),6.0)</f>
        <v>6</v>
      </c>
      <c r="C241" s="7" t="str">
        <f>IFERROR(__xludf.DUMMYFUNCTION("IF(A241="""","""",TEXTJOIN(CHAR(10),TRUE,FILTER('Tổng hợp 75 trang đích'!$B$2:$B$3400,'Tổng hợp 75 trang đích'!$I$2:$I$3400=A241)))"),"https://techcombank.com/thong-tin/blog/vay-ngan-hang-1-ty-moi-thang-tra-bao-nhieu
https://techcombank.com/thong-tin/blog/lai-suat-vay-the-chap-so-do
https://techcombank.com/thong-tin/blog/ho-so-thu-tuc-xoa-the-chap
https://techcombank.com/cong-cu-tien-ich"&amp;"/cong-cu-tinh-toan/bang-tinh-lai-suat-vay
https://techcombank.com/thong-tin/blog/app-vay-tien-nhanh
https://techcombank.com/thong-tin/blog/lai-suat-vay-ngan-hang")</f>
        <v>https://techcombank.com/thong-tin/blog/vay-ngan-hang-1-ty-moi-thang-tra-bao-nhieu
https://techcombank.com/thong-tin/blog/lai-suat-vay-the-chap-so-do
https://techcombank.com/thong-tin/blog/ho-so-thu-tuc-xoa-the-chap
https://techcombank.com/cong-cu-tien-ich/cong-cu-tinh-toan/bang-tinh-lai-suat-vay
https://techcombank.com/thong-tin/blog/app-vay-tien-nhanh
https://techcombank.com/thong-tin/blog/lai-suat-vay-ngan-hang</v>
      </c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10" t="str">
        <f>IFERROR(__xludf.DUMMYFUNCTION("""COMPUTED_VALUE"""),"https://techcombank.com/thong-tin/blog/vay-the-chap-toi-da-duoc-bao-nhieu")</f>
        <v>https://techcombank.com/thong-tin/blog/vay-the-chap-toi-da-duoc-bao-nhieu</v>
      </c>
      <c r="B242" s="11">
        <f>IFERROR(__xludf.DUMMYFUNCTION("""COMPUTED_VALUE"""),6.0)</f>
        <v>6</v>
      </c>
      <c r="C242" s="7" t="str">
        <f>IFERROR(__xludf.DUMMYFUNCTION("IF(A242="""","""",TEXTJOIN(CHAR(10),TRUE,FILTER('Tổng hợp 75 trang đích'!$B$2:$B$3400,'Tổng hợp 75 trang đích'!$I$2:$I$3400=A242)))"),"https://techcombank.com/thong-tin/blog/cic-la-gi
https://techcombank.com/thong-tin/blog/lai-suat-vay-the-chap-so-do
https://techcombank.com/cong-cu-tien-ich/cong-cu-tinh-toan/bang-tinh-lai-suat-vay
https://techcombank.com/thong-tin/blog/app-vay-tien-nhanh"&amp;"
https://techcombank.com/thong-tin/blog/lai-suat-vay-ngan-hang
https://techcombank.com/thong-tin/blog/vay-thau-chi-la-gi")</f>
        <v>https://techcombank.com/thong-tin/blog/cic-la-gi
https://techcombank.com/thong-tin/blog/lai-suat-vay-the-chap-so-do
https://techcombank.com/cong-cu-tien-ich/cong-cu-tinh-toan/bang-tinh-lai-suat-vay
https://techcombank.com/thong-tin/blog/app-vay-tien-nhanh
https://techcombank.com/thong-tin/blog/lai-suat-vay-ngan-hang
https://techcombank.com/thong-tin/blog/vay-thau-chi-la-gi</v>
      </c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10" t="str">
        <f>IFERROR(__xludf.DUMMYFUNCTION("""COMPUTED_VALUE"""),"https://techcombank.com/thong-tin/blog/cach-huy-the-tin-dung")</f>
        <v>https://techcombank.com/thong-tin/blog/cach-huy-the-tin-dung</v>
      </c>
      <c r="B243" s="11">
        <f>IFERROR(__xludf.DUMMYFUNCTION("""COMPUTED_VALUE"""),5.0)</f>
        <v>5</v>
      </c>
      <c r="C243" s="7" t="str">
        <f>IFERROR(__xludf.DUMMYFUNCTION("IF(A243="""","""",TEXTJOIN(CHAR(10),TRUE,FILTER('Tổng hợp 75 trang đích'!$B$2:$B$3400,'Tổng hợp 75 trang đích'!$I$2:$I$3400=A243)))"),"https://techcombank.com/thong-tin/blog/cic-la-gi
https://techcombank.com/thong-tin/blog/lam-the-tin-dung
https://techcombank.com/khach-hang-ca-nhan/chi-tieu/the/the-tin-dung/techcombank-everyday
https://techcombank.com/thong-tin/blog/the-tin-dung-hoan-tie"&amp;"n
https://techcombank.com/thong-tin/blog/cach-thanh-toan-the-tin-dung")</f>
        <v>https://techcombank.com/thong-tin/blog/cic-la-gi
https://techcombank.com/thong-tin/blog/lam-the-tin-dung
https://techcombank.com/khach-hang-ca-nhan/chi-tieu/the/the-tin-dung/techcombank-everyday
https://techcombank.com/thong-tin/blog/the-tin-dung-hoan-tien
https://techcombank.com/thong-tin/blog/cach-thanh-toan-the-tin-dung</v>
      </c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10" t="str">
        <f>IFERROR(__xludf.DUMMYFUNCTION("""COMPUTED_VALUE"""),"https://techcombank.com/thong-tin/blog/cach-lam-the-atm")</f>
        <v>https://techcombank.com/thong-tin/blog/cach-lam-the-atm</v>
      </c>
      <c r="B244" s="11">
        <f>IFERROR(__xludf.DUMMYFUNCTION("""COMPUTED_VALUE"""),5.0)</f>
        <v>5</v>
      </c>
      <c r="C244" s="7" t="str">
        <f>IFERROR(__xludf.DUMMYFUNCTION("IF(A244="""","""",TEXTJOIN(CHAR(10),TRUE,FILTER('Tổng hợp 75 trang đích'!$B$2:$B$3400,'Tổng hợp 75 trang đích'!$I$2:$I$3400=A244)))"),"https://techcombank.com/thong-tin/blog/bao-nhieu-tuoi-duoc-mo-tai-khoan-ngan-hang
https://techcombank.com/thong-tin/blog/nap-tien-vao-tai-khoan-ngan-hang
https://techcombank.com/thong-tin/blog/ten-dang-nhap-tai-khoan-ngan-hang-la-gi
https://techcombank.co"&amp;"m/thong-tin/blog/rut-tien-bang-ma-qr-la-gi-cach-thuc-hien-nhu-the-nao
https://techcombank.com/thong-tin/blog/lam-the-tin-dung")</f>
        <v>https://techcombank.com/thong-tin/blog/bao-nhieu-tuoi-duoc-mo-tai-khoan-ngan-hang
https://techcombank.com/thong-tin/blog/nap-tien-vao-tai-khoan-ngan-hang
https://techcombank.com/thong-tin/blog/ten-dang-nhap-tai-khoan-ngan-hang-la-gi
https://techcombank.com/thong-tin/blog/rut-tien-bang-ma-qr-la-gi-cach-thuc-hien-nhu-the-nao
https://techcombank.com/thong-tin/blog/lam-the-tin-dung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10" t="str">
        <f>IFERROR(__xludf.DUMMYFUNCTION("""COMPUTED_VALUE"""),"https://techcombank.com/thong-tin/blog/cach-tiet-kiem-tien")</f>
        <v>https://techcombank.com/thong-tin/blog/cach-tiet-kiem-tien</v>
      </c>
      <c r="B245" s="11">
        <f>IFERROR(__xludf.DUMMYFUNCTION("""COMPUTED_VALUE"""),5.0)</f>
        <v>5</v>
      </c>
      <c r="C245" s="7" t="str">
        <f>IFERROR(__xludf.DUMMYFUNCTION("IF(A245="""","""",TEXTJOIN(CHAR(10),TRUE,FILTER('Tổng hợp 75 trang đích'!$B$2:$B$3400,'Tổng hợp 75 trang đích'!$I$2:$I$3400=A245)))"),"https://techcombank.com/thong-tin/blog/cach-tinh-thue-thu-nhap-ca-nhan-2025
https://techcombank.com/thong-tin/blog/cach-sao-ke-tai-khoan-ngan-hang
https://techcombank.com/thong-tin/blog/lai-suat-tiet-kiem
https://techcombank.com/thong-tin/blog/cach-tinh-l"&amp;"ai-suat-tien-gui-tiet-kiem
https://techcombank.com/cong-cu-tien-ich/cong-cu-tinh-toan/bang-tinh-lai-suat-tiet-kiem")</f>
        <v>https://techcombank.com/thong-tin/blog/cach-tinh-thue-thu-nhap-ca-nhan-2025
https://techcombank.com/thong-tin/blog/cach-sao-ke-tai-khoan-ngan-hang
https://techcombank.com/thong-tin/blog/lai-suat-tiet-kiem
https://techcombank.com/thong-tin/blog/cach-tinh-lai-suat-tien-gui-tiet-kiem
https://techcombank.com/cong-cu-tien-ich/cong-cu-tinh-toan/bang-tinh-lai-suat-tiet-kiem</v>
      </c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10" t="str">
        <f>IFERROR(__xludf.DUMMYFUNCTION("""COMPUTED_VALUE"""),"https://techcombank.com/thong-tin/blog/cach-tiet-kiem-tien-hieu-qua-cho-gia-dinh")</f>
        <v>https://techcombank.com/thong-tin/blog/cach-tiet-kiem-tien-hieu-qua-cho-gia-dinh</v>
      </c>
      <c r="B246" s="11">
        <f>IFERROR(__xludf.DUMMYFUNCTION("""COMPUTED_VALUE"""),5.0)</f>
        <v>5</v>
      </c>
      <c r="C246" s="7" t="str">
        <f>IFERROR(__xludf.DUMMYFUNCTION("IF(A246="""","""",TEXTJOIN(CHAR(10),TRUE,FILTER('Tổng hợp 75 trang đích'!$B$2:$B$3400,'Tổng hợp 75 trang đích'!$I$2:$I$3400=A246)))"),"https://techcombank.com/thong-tin/blog/mo-tai-khoan-ngan-hang-duoi-18-tuoi
https://techcombank.com/thong-tin/blog/cach-sao-ke-tai-khoan-ngan-hang
https://techcombank.com/thong-tin/blog/eco-card
https://techcombank.com/thong-tin/blog/lai-suat-tiet-kiem
htt"&amp;"ps://techcombank.com/thong-tin/blog/cach-tiet-kiem-tien")</f>
        <v>https://techcombank.com/thong-tin/blog/mo-tai-khoan-ngan-hang-duoi-18-tuoi
https://techcombank.com/thong-tin/blog/cach-sao-ke-tai-khoan-ngan-hang
https://techcombank.com/thong-tin/blog/eco-card
https://techcombank.com/thong-tin/blog/lai-suat-tiet-kiem
https://techcombank.com/thong-tin/blog/cach-tiet-kiem-tien</v>
      </c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10" t="str">
        <f>IFERROR(__xludf.DUMMYFUNCTION("""COMPUTED_VALUE"""),"https://techcombank.com/thong-tin/blog/cach-tra-cuu-hoa-don-dien-tu")</f>
        <v>https://techcombank.com/thong-tin/blog/cach-tra-cuu-hoa-don-dien-tu</v>
      </c>
      <c r="B247" s="11">
        <f>IFERROR(__xludf.DUMMYFUNCTION("""COMPUTED_VALUE"""),5.0)</f>
        <v>5</v>
      </c>
      <c r="C247" s="7" t="str">
        <f>IFERROR(__xludf.DUMMYFUNCTION("IF(A247="""","""",TEXTJOIN(CHAR(10),TRUE,FILTER('Tổng hợp 75 trang đích'!$B$2:$B$3400,'Tổng hợp 75 trang đích'!$I$2:$I$3400=A247)))"),"https://techcombank.com/thong-tin/blog/nop-thue-dat-qua-ngan-hang
https://techcombank.com/thong-tin/blog/thue-vat-la-gi
https://techcombank.com/thong-tin/blog/tra-cuu-no-thue-doanh-nghiep
https://techcombank.com/thong-tin/blog/cach-tinh-tien-dien-sinh-hoa"&amp;"t
https://techcombank.com/thong-tin/blog/ho-kinh-doanh-dong-thue-nhu-nao")</f>
        <v>https://techcombank.com/thong-tin/blog/nop-thue-dat-qua-ngan-hang
https://techcombank.com/thong-tin/blog/thue-vat-la-gi
https://techcombank.com/thong-tin/blog/tra-cuu-no-thue-doanh-nghiep
https://techcombank.com/thong-tin/blog/cach-tinh-tien-dien-sinh-hoat
https://techcombank.com/thong-tin/blog/ho-kinh-doanh-dong-thue-nhu-nao</v>
      </c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10" t="str">
        <f>IFERROR(__xludf.DUMMYFUNCTION("""COMPUTED_VALUE"""),"https://techcombank.com/thong-tin/blog/cdm")</f>
        <v>https://techcombank.com/thong-tin/blog/cdm</v>
      </c>
      <c r="B248" s="11">
        <f>IFERROR(__xludf.DUMMYFUNCTION("""COMPUTED_VALUE"""),5.0)</f>
        <v>5</v>
      </c>
      <c r="C248" s="7" t="str">
        <f>IFERROR(__xludf.DUMMYFUNCTION("IF(A248="""","""",TEXTJOIN(CHAR(10),TRUE,FILTER('Tổng hợp 75 trang đích'!$B$2:$B$3400,'Tổng hợp 75 trang đích'!$I$2:$I$3400=A248)))"),"https://techcombank.com/thong-tin/blog/cach-kiem-tra-tai-khoan-ngan-hang
https://techcombank.com/thong-tin/blog/chuyen-khoan-thanh-cong-nhung-khong-nhan-duoc-tien
https://techcombank.com/thong-tin/blog/nap-tien-vao-tai-khoan-ngan-hang
https://techcombank."&amp;"com/thong-tin/blog/rut-tien-bang-ma-qr-la-gi-cach-thuc-hien-nhu-the-nao
https://techcombank.com/thong-tin/blog/rut-tien-mat-tu-the-tin-dung")</f>
        <v>https://techcombank.com/thong-tin/blog/cach-kiem-tra-tai-khoan-ngan-hang
https://techcombank.com/thong-tin/blog/chuyen-khoan-thanh-cong-nhung-khong-nhan-duoc-tien
https://techcombank.com/thong-tin/blog/nap-tien-vao-tai-khoan-ngan-hang
https://techcombank.com/thong-tin/blog/rut-tien-bang-ma-qr-la-gi-cach-thuc-hien-nhu-the-nao
https://techcombank.com/thong-tin/blog/rut-tien-mat-tu-the-tin-dung</v>
      </c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10" t="str">
        <f>IFERROR(__xludf.DUMMYFUNCTION("""COMPUTED_VALUE"""),"https://techcombank.com/thong-tin/blog/chung-chi-tien-gui-co-an-toan-khong")</f>
        <v>https://techcombank.com/thong-tin/blog/chung-chi-tien-gui-co-an-toan-khong</v>
      </c>
      <c r="B249" s="11">
        <f>IFERROR(__xludf.DUMMYFUNCTION("""COMPUTED_VALUE"""),5.0)</f>
        <v>5</v>
      </c>
      <c r="C249" s="7" t="str">
        <f>IFERROR(__xludf.DUMMYFUNCTION("IF(A249="""","""",TEXTJOIN(CHAR(10),TRUE,FILTER('Tổng hợp 75 trang đích'!$B$2:$B$3400,'Tổng hợp 75 trang đích'!$I$2:$I$3400=A249)))"),"https://techcombank.com/thong-tin/blog/chung-chi-tien-gui-la-gi
https://techcombank.com/thong-tin/blog/lai-suat-chung-chi-tien-gui-cac-ngan-hang
https://techcombank.com/thong-tin/blog/lai-suat-tiet-kiem
https://techcombank.com/thong-tin/blog/cach-tinh-lai"&amp;"-suat-tien-gui-tiet-kiem
https://techcombank.com/cong-cu-tien-ich/cong-cu-tinh-toan/bang-tinh-lai-suat-tiet-kiem")</f>
        <v>https://techcombank.com/thong-tin/blog/chung-chi-tien-gui-la-gi
https://techcombank.com/thong-tin/blog/lai-suat-chung-chi-tien-gui-cac-ngan-hang
https://techcombank.com/thong-tin/blog/lai-suat-tiet-kiem
https://techcombank.com/thong-tin/blog/cach-tinh-lai-suat-tien-gui-tiet-kiem
https://techcombank.com/cong-cu-tien-ich/cong-cu-tinh-toan/bang-tinh-lai-suat-tiet-kiem</v>
      </c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10" t="str">
        <f>IFERROR(__xludf.DUMMYFUNCTION("""COMPUTED_VALUE"""),"https://techcombank.com/thong-tin/blog/chung-chi-tien-gui-co-duoc-rut-truoc-han")</f>
        <v>https://techcombank.com/thong-tin/blog/chung-chi-tien-gui-co-duoc-rut-truoc-han</v>
      </c>
      <c r="B250" s="11">
        <f>IFERROR(__xludf.DUMMYFUNCTION("""COMPUTED_VALUE"""),5.0)</f>
        <v>5</v>
      </c>
      <c r="C250" s="7" t="str">
        <f>IFERROR(__xludf.DUMMYFUNCTION("IF(A250="""","""",TEXTJOIN(CHAR(10),TRUE,FILTER('Tổng hợp 75 trang đích'!$B$2:$B$3400,'Tổng hợp 75 trang đích'!$I$2:$I$3400=A250)))"),"https://techcombank.com/thong-tin/blog/lai-suat-chung-chi-tien-gui-cac-ngan-hang
https://techcombank.com/thong-tin/blog/lai-suat-tiet-kiem
https://techcombank.com/thong-tin/blog/cach-tinh-lai-suat-tien-gui-tiet-kiem
https://techcombank.com/thong-tin/blog/"&amp;"rut-tien-tiet-kiem-truoc-thoi-han
https://techcombank.com/thong-tin/blog/app-vay-tien-nhanh")</f>
        <v>https://techcombank.com/thong-tin/blog/lai-suat-chung-chi-tien-gui-cac-ngan-hang
https://techcombank.com/thong-tin/blog/lai-suat-tiet-kiem
https://techcombank.com/thong-tin/blog/cach-tinh-lai-suat-tien-gui-tiet-kiem
https://techcombank.com/thong-tin/blog/rut-tien-tiet-kiem-truoc-thoi-han
https://techcombank.com/thong-tin/blog/app-vay-tien-nhanh</v>
      </c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10" t="str">
        <f>IFERROR(__xludf.DUMMYFUNCTION("""COMPUTED_VALUE"""),"https://techcombank.com/thong-tin/blog/chung-chi-tien-gui-la-gi")</f>
        <v>https://techcombank.com/thong-tin/blog/chung-chi-tien-gui-la-gi</v>
      </c>
      <c r="B251" s="11">
        <f>IFERROR(__xludf.DUMMYFUNCTION("""COMPUTED_VALUE"""),5.0)</f>
        <v>5</v>
      </c>
      <c r="C251" s="7" t="str">
        <f>IFERROR(__xludf.DUMMYFUNCTION("IF(A251="""","""",TEXTJOIN(CHAR(10),TRUE,FILTER('Tổng hợp 75 trang đích'!$B$2:$B$3400,'Tổng hợp 75 trang đích'!$I$2:$I$3400=A251)))"),"https://techcombank.com/thong-tin/blog/lai-suat-chung-chi-tien-gui-cac-ngan-hang
https://techcombank.com/thong-tin/blog/lai-suat-tiet-kiem
https://techcombank.com/thong-tin/blog/cach-tinh-lai-suat-tien-gui-tiet-kiem
https://techcombank.com/cong-cu-tien-ic"&amp;"h/cong-cu-tinh-toan/bang-tinh-lai-suat-tiet-kiem
https://techcombank.com/thong-tin/blog/app-vay-tien-nhanh")</f>
        <v>https://techcombank.com/thong-tin/blog/lai-suat-chung-chi-tien-gui-cac-ngan-hang
https://techcombank.com/thong-tin/blog/lai-suat-tiet-kiem
https://techcombank.com/thong-tin/blog/cach-tinh-lai-suat-tien-gui-tiet-kiem
https://techcombank.com/cong-cu-tien-ich/cong-cu-tinh-toan/bang-tinh-lai-suat-tiet-kiem
https://techcombank.com/thong-tin/blog/app-vay-tien-nhanh</v>
      </c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10" t="str">
        <f>IFERROR(__xludf.DUMMYFUNCTION("""COMPUTED_VALUE"""),"https://techcombank.com/thong-tin/blog/co-50-trieu-nen-mua-vang-hay-gui-tiet-kiem")</f>
        <v>https://techcombank.com/thong-tin/blog/co-50-trieu-nen-mua-vang-hay-gui-tiet-kiem</v>
      </c>
      <c r="B252" s="11">
        <f>IFERROR(__xludf.DUMMYFUNCTION("""COMPUTED_VALUE"""),5.0)</f>
        <v>5</v>
      </c>
      <c r="C252" s="7" t="str">
        <f>IFERROR(__xludf.DUMMYFUNCTION("IF(A252="""","""",TEXTJOIN(CHAR(10),TRUE,FILTER('Tổng hợp 75 trang đích'!$B$2:$B$3400,'Tổng hợp 75 trang đích'!$I$2:$I$3400=A252)))"),"https://techcombank.com/thong-tin/blog/thue-thu-nhap-doanh-nghiep
https://techcombank.com/thong-tin/blog/cach-tinh-thue-thu-nhap-doanh-nghiep
https://techcombank.com/thong-tin/blog/lai-suat-tiet-kiem
https://techcombank.com/thong-tin/blog/cach-tinh-lai-su"&amp;"at-tien-gui-tiet-kiem
https://techcombank.com/cong-cu-tien-ich/cong-cu-tinh-toan/bang-tinh-lai-suat-tiet-kiem")</f>
        <v>https://techcombank.com/thong-tin/blog/thue-thu-nhap-doanh-nghiep
https://techcombank.com/thong-tin/blog/cach-tinh-thue-thu-nhap-doanh-nghiep
https://techcombank.com/thong-tin/blog/lai-suat-tiet-kiem
https://techcombank.com/thong-tin/blog/cach-tinh-lai-suat-tien-gui-tiet-kiem
https://techcombank.com/cong-cu-tien-ich/cong-cu-tinh-toan/bang-tinh-lai-suat-tiet-kiem</v>
      </c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10" t="str">
        <f>IFERROR(__xludf.DUMMYFUNCTION("""COMPUTED_VALUE"""),"https://techcombank.com/thong-tin/blog/co-nen-gui-tiet-kiem-ngan-hang")</f>
        <v>https://techcombank.com/thong-tin/blog/co-nen-gui-tiet-kiem-ngan-hang</v>
      </c>
      <c r="B253" s="11">
        <f>IFERROR(__xludf.DUMMYFUNCTION("""COMPUTED_VALUE"""),5.0)</f>
        <v>5</v>
      </c>
      <c r="C253" s="7" t="str">
        <f>IFERROR(__xludf.DUMMYFUNCTION("IF(A253="""","""",TEXTJOIN(CHAR(10),TRUE,FILTER('Tổng hợp 75 trang đích'!$B$2:$B$3400,'Tổng hợp 75 trang đích'!$I$2:$I$3400=A253)))"),"https://techcombank.com/thong-tin/blog/chung-chi-tien-gui-la-gi
https://techcombank.com/thong-tin/blog/lai-suat-tiet-kiem
https://techcombank.com/thong-tin/blog/cach-tinh-lai-suat-tien-gui-tiet-kiem
https://techcombank.com/thong-tin/blog/so-tiet-kiem-ngan"&amp;"-hang
https://techcombank.com/cong-cu-tien-ich/cong-cu-tinh-toan/bang-tinh-lai-suat-tiet-kiem")</f>
        <v>https://techcombank.com/thong-tin/blog/chung-chi-tien-gui-la-gi
https://techcombank.com/thong-tin/blog/lai-suat-tiet-kiem
https://techcombank.com/thong-tin/blog/cach-tinh-lai-suat-tien-gui-tiet-kiem
https://techcombank.com/thong-tin/blog/so-tiet-kiem-ngan-hang
https://techcombank.com/cong-cu-tien-ich/cong-cu-tinh-toan/bang-tinh-lai-suat-tiet-kiem</v>
      </c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10" t="str">
        <f>IFERROR(__xludf.DUMMYFUNCTION("""COMPUTED_VALUE"""),"https://techcombank.com/thong-tin/blog/co-nen-vay-ngan-hang-mua-nha")</f>
        <v>https://techcombank.com/thong-tin/blog/co-nen-vay-ngan-hang-mua-nha</v>
      </c>
      <c r="B254" s="11">
        <f>IFERROR(__xludf.DUMMYFUNCTION("""COMPUTED_VALUE"""),5.0)</f>
        <v>5</v>
      </c>
      <c r="C254" s="7" t="str">
        <f>IFERROR(__xludf.DUMMYFUNCTION("IF(A254="""","""",TEXTJOIN(CHAR(10),TRUE,FILTER('Tổng hợp 75 trang đích'!$B$2:$B$3400,'Tổng hợp 75 trang đích'!$I$2:$I$3400=A254)))"),"https://techcombank.com/thong-tin/blog/cic-la-gi
https://techcombank.com/thong-tin/blog/vay-ngan-hang-1-ty-moi-thang-tra-bao-nhieu
https://techcombank.com/cong-cu-tien-ich/cong-cu-tinh-toan/bang-tinh-lai-suat-vay
https://techcombank.com/thong-tin/blog/app"&amp;"-vay-tien-nhanh
https://techcombank.com/thong-tin/blog/lai-suat-vay-ngan-hang")</f>
        <v>https://techcombank.com/thong-tin/blog/cic-la-gi
https://techcombank.com/thong-tin/blog/vay-ngan-hang-1-ty-moi-thang-tra-bao-nhieu
https://techcombank.com/cong-cu-tien-ich/cong-cu-tinh-toan/bang-tinh-lai-suat-vay
https://techcombank.com/thong-tin/blog/app-vay-tien-nhanh
https://techcombank.com/thong-tin/blog/lai-suat-vay-ngan-hang</v>
      </c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10" t="str">
        <f>IFERROR(__xludf.DUMMYFUNCTION("""COMPUTED_VALUE"""),"https://techcombank.com/thong-tin/blog/dang-ky-kinh-doanh-la-gi")</f>
        <v>https://techcombank.com/thong-tin/blog/dang-ky-kinh-doanh-la-gi</v>
      </c>
      <c r="B255" s="11">
        <f>IFERROR(__xludf.DUMMYFUNCTION("""COMPUTED_VALUE"""),5.0)</f>
        <v>5</v>
      </c>
      <c r="C255" s="7" t="str">
        <f>IFERROR(__xludf.DUMMYFUNCTION("IF(A255="""","""",TEXTJOIN(CHAR(10),TRUE,FILTER('Tổng hợp 75 trang đích'!$B$2:$B$3400,'Tổng hợp 75 trang đích'!$I$2:$I$3400=A255)))"),"https://techcombank.com/thong-tin/blog/nop-thue-dat-qua-ngan-hang
https://techcombank.com/thong-tin/blog/ho-kinh-doanh-dong-thue-nhu-nao
https://techcombank.com/thong-tin/blog/mo-hinh-kinh-doanh-la-gi
https://techcombank.com/thong-tin/blog/mo-tai-khoan-ho"&amp;"-kinh-doanh
https://techcombank.com/thong-tin/blog/cach-tinh-thue-ho-kinh-doanh-nho-le")</f>
        <v>https://techcombank.com/thong-tin/blog/nop-thue-dat-qua-ngan-hang
https://techcombank.com/thong-tin/blog/ho-kinh-doanh-dong-thue-nhu-nao
https://techcombank.com/thong-tin/blog/mo-hinh-kinh-doanh-la-gi
https://techcombank.com/thong-tin/blog/mo-tai-khoan-ho-kinh-doanh
https://techcombank.com/thong-tin/blog/cach-tinh-thue-ho-kinh-doanh-nho-le</v>
      </c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10" t="str">
        <f>IFERROR(__xludf.DUMMYFUNCTION("""COMPUTED_VALUE"""),"https://techcombank.com/thong-tin/blog/dieu-kien-thanh-lap-doanh-nghiep")</f>
        <v>https://techcombank.com/thong-tin/blog/dieu-kien-thanh-lap-doanh-nghiep</v>
      </c>
      <c r="B256" s="11">
        <f>IFERROR(__xludf.DUMMYFUNCTION("""COMPUTED_VALUE"""),5.0)</f>
        <v>5</v>
      </c>
      <c r="C256" s="7" t="str">
        <f>IFERROR(__xludf.DUMMYFUNCTION("IF(A256="""","""",TEXTJOIN(CHAR(10),TRUE,FILTER('Tổng hợp 75 trang đích'!$B$2:$B$3400,'Tổng hợp 75 trang đích'!$I$2:$I$3400=A256)))"),"https://techcombank.com/thong-tin/blog/nop-thue-dat-qua-ngan-hang
https://techcombank.com/thong-tin/blog/cach-nop-thue-dien-tu
https://techcombank.com/thong-tin/blog/thue-thu-nhap-doanh-nghiep
https://techcombank.com/thong-tin/blog/thue-doanh-nghiep
https"&amp;"://techcombank.com/thong-tin/blog/cong-ty-su-dung-tai-khoan-ca-nhan")</f>
        <v>https://techcombank.com/thong-tin/blog/nop-thue-dat-qua-ngan-hang
https://techcombank.com/thong-tin/blog/cach-nop-thue-dien-tu
https://techcombank.com/thong-tin/blog/thue-thu-nhap-doanh-nghiep
https://techcombank.com/thong-tin/blog/thue-doanh-nghiep
https://techcombank.com/thong-tin/blog/cong-ty-su-dung-tai-khoan-ca-nhan</v>
      </c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10" t="str">
        <f>IFERROR(__xludf.DUMMYFUNCTION("""COMPUTED_VALUE"""),"https://techcombank.com/thong-tin/blog/doanh-nghiep-moi-thanh-lap-duoc-uu-dai-gi")</f>
        <v>https://techcombank.com/thong-tin/blog/doanh-nghiep-moi-thanh-lap-duoc-uu-dai-gi</v>
      </c>
      <c r="B257" s="11">
        <f>IFERROR(__xludf.DUMMYFUNCTION("""COMPUTED_VALUE"""),5.0)</f>
        <v>5</v>
      </c>
      <c r="C257" s="7" t="str">
        <f>IFERROR(__xludf.DUMMYFUNCTION("IF(A257="""","""",TEXTJOIN(CHAR(10),TRUE,FILTER('Tổng hợp 75 trang đích'!$B$2:$B$3400,'Tổng hợp 75 trang đích'!$I$2:$I$3400=A257)))"),"https://techcombank.com/thong-tin/blog/nop-thue-dat-qua-ngan-hang
https://techcombank.com/thong-tin/blog/cach-nop-thue-dien-tu
https://techcombank.com/thong-tin/blog/thue-thu-nhap-doanh-nghiep
https://techcombank.com/thong-tin/blog/thue-doanh-nghiep
https"&amp;"://techcombank.com/thong-tin/blog/cic-la-gi")</f>
        <v>https://techcombank.com/thong-tin/blog/nop-thue-dat-qua-ngan-hang
https://techcombank.com/thong-tin/blog/cach-nop-thue-dien-tu
https://techcombank.com/thong-tin/blog/thue-thu-nhap-doanh-nghiep
https://techcombank.com/thong-tin/blog/thue-doanh-nghiep
https://techcombank.com/thong-tin/blog/cic-la-gi</v>
      </c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10" t="str">
        <f>IFERROR(__xludf.DUMMYFUNCTION("""COMPUTED_VALUE"""),"https://techcombank.com/thong-tin/blog/giay-phep-kinh-doanh")</f>
        <v>https://techcombank.com/thong-tin/blog/giay-phep-kinh-doanh</v>
      </c>
      <c r="B258" s="11">
        <f>IFERROR(__xludf.DUMMYFUNCTION("""COMPUTED_VALUE"""),5.0)</f>
        <v>5</v>
      </c>
      <c r="C258" s="7" t="str">
        <f>IFERROR(__xludf.DUMMYFUNCTION("IF(A258="""","""",TEXTJOIN(CHAR(10),TRUE,FILTER('Tổng hợp 75 trang đích'!$B$2:$B$3400,'Tổng hợp 75 trang đích'!$I$2:$I$3400=A258)))"),"https://techcombank.com/thong-tin/blog/nop-thue-dat-qua-ngan-hang
https://techcombank.com/thong-tin/blog/ho-kinh-doanh-dong-thue-nhu-nao
https://techcombank.com/thong-tin/blog/mo-hinh-kinh-doanh-la-gi
https://techcombank.com/thong-tin/blog/mo-tai-khoan-ho"&amp;"-kinh-doanh
https://techcombank.com/thong-tin/blog/cach-tinh-thue-ho-kinh-doanh-nho-le")</f>
        <v>https://techcombank.com/thong-tin/blog/nop-thue-dat-qua-ngan-hang
https://techcombank.com/thong-tin/blog/ho-kinh-doanh-dong-thue-nhu-nao
https://techcombank.com/thong-tin/blog/mo-hinh-kinh-doanh-la-gi
https://techcombank.com/thong-tin/blog/mo-tai-khoan-ho-kinh-doanh
https://techcombank.com/thong-tin/blog/cach-tinh-thue-ho-kinh-doanh-nho-le</v>
      </c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10" t="str">
        <f>IFERROR(__xludf.DUMMYFUNCTION("""COMPUTED_VALUE"""),"https://techcombank.com/thong-tin/blog/gui-ma-qr-ngan-hang")</f>
        <v>https://techcombank.com/thong-tin/blog/gui-ma-qr-ngan-hang</v>
      </c>
      <c r="B259" s="11">
        <f>IFERROR(__xludf.DUMMYFUNCTION("""COMPUTED_VALUE"""),5.0)</f>
        <v>5</v>
      </c>
      <c r="C259" s="7" t="str">
        <f>IFERROR(__xludf.DUMMYFUNCTION("IF(A259="""","""",TEXTJOIN(CHAR(10),TRUE,FILTER('Tổng hợp 75 trang đích'!$B$2:$B$3400,'Tổng hợp 75 trang đích'!$I$2:$I$3400=A259)))"),"https://techcombank.com/thong-tin/blog/cach-tinh-tien-dien-sinh-hoat
https://techcombank.com/thong-tin/blog/day-so-phat-tai-phat-loc
https://techcombank.com/thong-tin/blog/ten-dang-nhap-tai-khoan-ngan-hang-la-gi
https://techcombank.com/thong-tin/blog/rut-"&amp;"tien-bang-ma-qr-la-gi-cach-thuc-hien-nhu-the-nao
https://techcombank.com/thong-tin/blog/cach-quet-nfc-cccd-tren-iphone")</f>
        <v>https://techcombank.com/thong-tin/blog/cach-tinh-tien-dien-sinh-hoat
https://techcombank.com/thong-tin/blog/day-so-phat-tai-phat-loc
https://techcombank.com/thong-tin/blog/ten-dang-nhap-tai-khoan-ngan-hang-la-gi
https://techcombank.com/thong-tin/blog/rut-tien-bang-ma-qr-la-gi-cach-thuc-hien-nhu-the-nao
https://techcombank.com/thong-tin/blog/cach-quet-nfc-cccd-tren-iphone</v>
      </c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10" t="str">
        <f>IFERROR(__xludf.DUMMYFUNCTION("""COMPUTED_VALUE"""),"https://techcombank.com/thong-tin/blog/gui-tiet-kiem-lay-lai-hang-thang")</f>
        <v>https://techcombank.com/thong-tin/blog/gui-tiet-kiem-lay-lai-hang-thang</v>
      </c>
      <c r="B260" s="11">
        <f>IFERROR(__xludf.DUMMYFUNCTION("""COMPUTED_VALUE"""),5.0)</f>
        <v>5</v>
      </c>
      <c r="C260" s="7" t="str">
        <f>IFERROR(__xludf.DUMMYFUNCTION("IF(A260="""","""",TEXTJOIN(CHAR(10),TRUE,FILTER('Tổng hợp 75 trang đích'!$B$2:$B$3400,'Tổng hợp 75 trang đích'!$I$2:$I$3400=A260)))"),"https://techcombank.com/thong-tin/blog/chung-chi-tien-gui-la-gi
https://techcombank.com/thong-tin/blog/lai-suat-tiet-kiem
https://techcombank.com/thong-tin/blog/cach-tinh-lai-suat-tien-gui-tiet-kiem
https://techcombank.com/thong-tin/blog/so-tiet-kiem-ngan"&amp;"-hang
https://techcombank.com/cong-cu-tien-ich/cong-cu-tinh-toan/bang-tinh-lai-suat-tiet-kiem")</f>
        <v>https://techcombank.com/thong-tin/blog/chung-chi-tien-gui-la-gi
https://techcombank.com/thong-tin/blog/lai-suat-tiet-kiem
https://techcombank.com/thong-tin/blog/cach-tinh-lai-suat-tien-gui-tiet-kiem
https://techcombank.com/thong-tin/blog/so-tiet-kiem-ngan-hang
https://techcombank.com/cong-cu-tien-ich/cong-cu-tinh-toan/bang-tinh-lai-suat-tiet-kiem</v>
      </c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10" t="str">
        <f>IFERROR(__xludf.DUMMYFUNCTION("""COMPUTED_VALUE"""),"https://techcombank.com/thong-tin/blog/gui-tiet-kiem-online-bi-mat-tien")</f>
        <v>https://techcombank.com/thong-tin/blog/gui-tiet-kiem-online-bi-mat-tien</v>
      </c>
      <c r="B261" s="11">
        <f>IFERROR(__xludf.DUMMYFUNCTION("""COMPUTED_VALUE"""),5.0)</f>
        <v>5</v>
      </c>
      <c r="C261" s="7" t="str">
        <f>IFERROR(__xludf.DUMMYFUNCTION("IF(A261="""","""",TEXTJOIN(CHAR(10),TRUE,FILTER('Tổng hợp 75 trang đích'!$B$2:$B$3400,'Tổng hợp 75 trang đích'!$I$2:$I$3400=A261)))"),"https://techcombank.com/thong-tin/blog/lai-suat-tiet-kiem
https://techcombank.com/thong-tin/blog/cach-tinh-lai-suat-tien-gui-tiet-kiem
https://techcombank.com/thong-tin/blog/so-tiet-kiem-ngan-hang
https://techcombank.com/thong-tin/blog/rui-ro-khi-gui-tiet"&amp;"-kiem-online
https://techcombank.com/cong-cu-tien-ich/cong-cu-tinh-toan/bang-tinh-lai-suat-tiet-kiem")</f>
        <v>https://techcombank.com/thong-tin/blog/lai-suat-tiet-kiem
https://techcombank.com/thong-tin/blog/cach-tinh-lai-suat-tien-gui-tiet-kiem
https://techcombank.com/thong-tin/blog/so-tiet-kiem-ngan-hang
https://techcombank.com/thong-tin/blog/rui-ro-khi-gui-tiet-kiem-online
https://techcombank.com/cong-cu-tien-ich/cong-cu-tinh-toan/bang-tinh-lai-suat-tiet-kiem</v>
      </c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10" t="str">
        <f>IFERROR(__xludf.DUMMYFUNCTION("""COMPUTED_VALUE"""),"https://techcombank.com/thong-tin/blog/gui-tiet-kiem-tich-luy-la-gi")</f>
        <v>https://techcombank.com/thong-tin/blog/gui-tiet-kiem-tich-luy-la-gi</v>
      </c>
      <c r="B262" s="11">
        <f>IFERROR(__xludf.DUMMYFUNCTION("""COMPUTED_VALUE"""),5.0)</f>
        <v>5</v>
      </c>
      <c r="C262" s="7" t="str">
        <f>IFERROR(__xludf.DUMMYFUNCTION("IF(A262="""","""",TEXTJOIN(CHAR(10),TRUE,FILTER('Tổng hợp 75 trang đích'!$B$2:$B$3400,'Tổng hợp 75 trang đích'!$I$2:$I$3400=A262)))"),"https://techcombank.com/thong-tin/blog/chung-chi-tien-gui-la-gi
https://techcombank.com/thong-tin/blog/lai-suat-tiet-kiem
https://techcombank.com/thong-tin/blog/cach-tinh-lai-suat-tien-gui-tiet-kiem
https://techcombank.com/thong-tin/blog/so-tiet-kiem-ngan"&amp;"-hang
https://techcombank.com/cong-cu-tien-ich/cong-cu-tinh-toan/bang-tinh-lai-suat-tiet-kiem")</f>
        <v>https://techcombank.com/thong-tin/blog/chung-chi-tien-gui-la-gi
https://techcombank.com/thong-tin/blog/lai-suat-tiet-kiem
https://techcombank.com/thong-tin/blog/cach-tinh-lai-suat-tien-gui-tiet-kiem
https://techcombank.com/thong-tin/blog/so-tiet-kiem-ngan-hang
https://techcombank.com/cong-cu-tien-ich/cong-cu-tinh-toan/bang-tinh-lai-suat-tiet-kiem</v>
      </c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10" t="str">
        <f>IFERROR(__xludf.DUMMYFUNCTION("""COMPUTED_VALUE"""),"https://techcombank.com/thong-tin/blog/hieu-hiet-ve-tuan-thu-thue-cho-cac-doanh-nghiep-khoi-nghiep")</f>
        <v>https://techcombank.com/thong-tin/blog/hieu-hiet-ve-tuan-thu-thue-cho-cac-doanh-nghiep-khoi-nghiep</v>
      </c>
      <c r="B263" s="11">
        <f>IFERROR(__xludf.DUMMYFUNCTION("""COMPUTED_VALUE"""),5.0)</f>
        <v>5</v>
      </c>
      <c r="C263" s="7" t="str">
        <f>IFERROR(__xludf.DUMMYFUNCTION("IF(A263="""","""",TEXTJOIN(CHAR(10),TRUE,FILTER('Tổng hợp 75 trang đích'!$B$2:$B$3400,'Tổng hợp 75 trang đích'!$I$2:$I$3400=A263)))"),"https://techcombank.com/thong-tin/blog/nop-thue-dat-qua-ngan-hang
https://techcombank.com/thong-tin/blog/thue-thu-nhap-doanh-nghiep
https://techcombank.com/thong-tin/blog/thue-doanh-nghiep
https://techcombank.com/thong-tin/blog/cach-tinh-thue-thu-nhap-doa"&amp;"nh-nghiep
https://techcombank.com/thong-tin/blog/mo-hinh-kinh-doanh-la-gi")</f>
        <v>https://techcombank.com/thong-tin/blog/nop-thue-dat-qua-ngan-hang
https://techcombank.com/thong-tin/blog/thue-thu-nhap-doanh-nghiep
https://techcombank.com/thong-tin/blog/thue-doanh-nghiep
https://techcombank.com/thong-tin/blog/cach-tinh-thue-thu-nhap-doanh-nghiep
https://techcombank.com/thong-tin/blog/mo-hinh-kinh-doanh-la-gi</v>
      </c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10" t="str">
        <f>IFERROR(__xludf.DUMMYFUNCTION("""COMPUTED_VALUE"""),"https://techcombank.com/thong-tin/blog/ho-kinh-doanh-can-gi-o-tai-khoan-ngan-hang")</f>
        <v>https://techcombank.com/thong-tin/blog/ho-kinh-doanh-can-gi-o-tai-khoan-ngan-hang</v>
      </c>
      <c r="B264" s="11">
        <f>IFERROR(__xludf.DUMMYFUNCTION("""COMPUTED_VALUE"""),5.0)</f>
        <v>5</v>
      </c>
      <c r="C264" s="7" t="str">
        <f>IFERROR(__xludf.DUMMYFUNCTION("IF(A264="""","""",TEXTJOIN(CHAR(10),TRUE,FILTER('Tổng hợp 75 trang đích'!$B$2:$B$3400,'Tổng hợp 75 trang đích'!$I$2:$I$3400=A264)))"),"https://techcombank.com/thong-tin/blog/thue-thu-nhap-doanh-nghiep
https://techcombank.com/thong-tin/blog/cach-tinh-thue-thu-nhap-doanh-nghiep
https://techcombank.com/thong-tin/blog/chung-chi-tien-gui-la-gi
https://techcombank.com/thong-tin/blog/mo-tai-kho"&amp;"an-ho-kinh-doanh
https://techcombank.com/thong-tin/blog/lai-suat-tiet-kiem")</f>
        <v>https://techcombank.com/thong-tin/blog/thue-thu-nhap-doanh-nghiep
https://techcombank.com/thong-tin/blog/cach-tinh-thue-thu-nhap-doanh-nghiep
https://techcombank.com/thong-tin/blog/chung-chi-tien-gui-la-gi
https://techcombank.com/thong-tin/blog/mo-tai-khoan-ho-kinh-doanh
https://techcombank.com/thong-tin/blog/lai-suat-tiet-kiem</v>
      </c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10" t="str">
        <f>IFERROR(__xludf.DUMMYFUNCTION("""COMPUTED_VALUE"""),"https://techcombank.com/thong-tin/blog/ho-so-dang-ky-thanh-lap-doanh-nghiep")</f>
        <v>https://techcombank.com/thong-tin/blog/ho-so-dang-ky-thanh-lap-doanh-nghiep</v>
      </c>
      <c r="B265" s="11">
        <f>IFERROR(__xludf.DUMMYFUNCTION("""COMPUTED_VALUE"""),5.0)</f>
        <v>5</v>
      </c>
      <c r="C265" s="7" t="str">
        <f>IFERROR(__xludf.DUMMYFUNCTION("IF(A265="""","""",TEXTJOIN(CHAR(10),TRUE,FILTER('Tổng hợp 75 trang đích'!$B$2:$B$3400,'Tổng hợp 75 trang đích'!$I$2:$I$3400=A265)))"),"https://techcombank.com/thong-tin/blog/nop-thue-dat-qua-ngan-hang
https://techcombank.com/thong-tin/blog/cach-nop-thue-dien-tu
https://techcombank.com/thong-tin/blog/thue-thu-nhap-doanh-nghiep
https://techcombank.com/thong-tin/blog/thue-doanh-nghiep
https"&amp;"://techcombank.com/thong-tin/blog/cong-ty-su-dung-tai-khoan-ca-nhan")</f>
        <v>https://techcombank.com/thong-tin/blog/nop-thue-dat-qua-ngan-hang
https://techcombank.com/thong-tin/blog/cach-nop-thue-dien-tu
https://techcombank.com/thong-tin/blog/thue-thu-nhap-doanh-nghiep
https://techcombank.com/thong-tin/blog/thue-doanh-nghiep
https://techcombank.com/thong-tin/blog/cong-ty-su-dung-tai-khoan-ca-nhan</v>
      </c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10" t="str">
        <f>IFERROR(__xludf.DUMMYFUNCTION("""COMPUTED_VALUE"""),"https://techcombank.com/thong-tin/blog/ho-so-vay-tin-chap")</f>
        <v>https://techcombank.com/thong-tin/blog/ho-so-vay-tin-chap</v>
      </c>
      <c r="B266" s="11">
        <f>IFERROR(__xludf.DUMMYFUNCTION("""COMPUTED_VALUE"""),5.0)</f>
        <v>5</v>
      </c>
      <c r="C266" s="7" t="str">
        <f>IFERROR(__xludf.DUMMYFUNCTION("IF(A266="""","""",TEXTJOIN(CHAR(10),TRUE,FILTER('Tổng hợp 75 trang đích'!$B$2:$B$3400,'Tổng hợp 75 trang đích'!$I$2:$I$3400=A266)))"),"https://techcombank.com/cong-cu-tien-ich/cong-cu-tinh-toan/bang-tinh-lai-suat-vay
https://techcombank.com/thong-tin/blog/app-vay-tien-nhanh
https://techcombank.com/thong-tin/blog/lai-suat-vay-ngan-hang
https://techcombank.com/thong-tin/blog/nen-vay-tin-ch"&amp;"ap-o-dau
https://techcombank.com/thong-tin/blog/vay-tin-chap-khong-tra-duoc-co-sao-khong")</f>
        <v>https://techcombank.com/cong-cu-tien-ich/cong-cu-tinh-toan/bang-tinh-lai-suat-vay
https://techcombank.com/thong-tin/blog/app-vay-tien-nhanh
https://techcombank.com/thong-tin/blog/lai-suat-vay-ngan-hang
https://techcombank.com/thong-tin/blog/nen-vay-tin-chap-o-dau
https://techcombank.com/thong-tin/blog/vay-tin-chap-khong-tra-duoc-co-sao-khong</v>
      </c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10" t="str">
        <f>IFERROR(__xludf.DUMMYFUNCTION("""COMPUTED_VALUE"""),"https://techcombank.com/thong-tin/blog/khoi-nghiep-truoc-chinh-sach-thue-moi")</f>
        <v>https://techcombank.com/thong-tin/blog/khoi-nghiep-truoc-chinh-sach-thue-moi</v>
      </c>
      <c r="B267" s="11">
        <f>IFERROR(__xludf.DUMMYFUNCTION("""COMPUTED_VALUE"""),5.0)</f>
        <v>5</v>
      </c>
      <c r="C267" s="7" t="str">
        <f>IFERROR(__xludf.DUMMYFUNCTION("IF(A267="""","""",TEXTJOIN(CHAR(10),TRUE,FILTER('Tổng hợp 75 trang đích'!$B$2:$B$3400,'Tổng hợp 75 trang đích'!$I$2:$I$3400=A267)))"),"https://techcombank.com/thong-tin/blog/nop-thue-dat-qua-ngan-hang
https://techcombank.com/thong-tin/blog/cach-nop-thue-dien-tu
https://techcombank.com/thong-tin/blog/cach-tinh-thue-thu-nhap-doanh-nghiep
https://techcombank.com/thong-tin/blog/ho-kinh-doanh"&amp;"-dong-thue-nhu-nao
https://techcombank.com/thong-tin/blog/mo-hinh-kinh-doanh-la-gi")</f>
        <v>https://techcombank.com/thong-tin/blog/nop-thue-dat-qua-ngan-hang
https://techcombank.com/thong-tin/blog/cach-nop-thue-dien-tu
https://techcombank.com/thong-tin/blog/cach-tinh-thue-thu-nhap-doanh-nghiep
https://techcombank.com/thong-tin/blog/ho-kinh-doanh-dong-thue-nhu-nao
https://techcombank.com/thong-tin/blog/mo-hinh-kinh-doanh-la-gi</v>
      </c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10" t="str">
        <f>IFERROR(__xludf.DUMMYFUNCTION("""COMPUTED_VALUE"""),"https://techcombank.com/thong-tin/blog/kiem-tra-thue-thu-nhap-ca-nhan")</f>
        <v>https://techcombank.com/thong-tin/blog/kiem-tra-thue-thu-nhap-ca-nhan</v>
      </c>
      <c r="B268" s="11">
        <f>IFERROR(__xludf.DUMMYFUNCTION("""COMPUTED_VALUE"""),5.0)</f>
        <v>5</v>
      </c>
      <c r="C268" s="7" t="str">
        <f>IFERROR(__xludf.DUMMYFUNCTION("IF(A268="""","""",TEXTJOIN(CHAR(10),TRUE,FILTER('Tổng hợp 75 trang đích'!$B$2:$B$3400,'Tổng hợp 75 trang đích'!$I$2:$I$3400=A268)))"),"https://techcombank.com/thong-tin/blog/nop-thue-dat-qua-ngan-hang
https://techcombank.com/thong-tin/blog/cach-nop-thue-dien-tu
https://techcombank.com/thong-tin/blog/tra-cuu-no-thue-doanh-nghiep
https://techcombank.com/thong-tin/blog/cach-tinh-thue-thu-nh"&amp;"ap-ca-nhan-2025
https://techcombank.com/thong-tin/blog/thue-thu-nhap-ca-nhan")</f>
        <v>https://techcombank.com/thong-tin/blog/nop-thue-dat-qua-ngan-hang
https://techcombank.com/thong-tin/blog/cach-nop-thue-dien-tu
https://techcombank.com/thong-tin/blog/tra-cuu-no-thue-doanh-nghiep
https://techcombank.com/thong-tin/blog/cach-tinh-thue-thu-nhap-ca-nhan-2025
https://techcombank.com/thong-tin/blog/thue-thu-nhap-ca-nhan</v>
      </c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10" t="str">
        <f>IFERROR(__xludf.DUMMYFUNCTION("""COMPUTED_VALUE"""),"https://techcombank.com/thong-tin/blog/kinh-nghiem-gui-tiet-kiem-online")</f>
        <v>https://techcombank.com/thong-tin/blog/kinh-nghiem-gui-tiet-kiem-online</v>
      </c>
      <c r="B269" s="11">
        <f>IFERROR(__xludf.DUMMYFUNCTION("""COMPUTED_VALUE"""),5.0)</f>
        <v>5</v>
      </c>
      <c r="C269" s="7" t="str">
        <f>IFERROR(__xludf.DUMMYFUNCTION("IF(A269="""","""",TEXTJOIN(CHAR(10),TRUE,FILTER('Tổng hợp 75 trang đích'!$B$2:$B$3400,'Tổng hợp 75 trang đích'!$I$2:$I$3400=A269)))"),"https://techcombank.com/thong-tin/blog/lai-suat-tiet-kiem
https://techcombank.com/thong-tin/blog/cach-tinh-lai-suat-tien-gui-tiet-kiem
https://techcombank.com/thong-tin/blog/rut-tien-tiet-kiem-truoc-thoi-han
https://techcombank.com/thong-tin/blog/rui-ro-k"&amp;"hi-gui-tiet-kiem-online
https://techcombank.com/cong-cu-tien-ich/cong-cu-tinh-toan/bang-tinh-lai-suat-tiet-kiem")</f>
        <v>https://techcombank.com/thong-tin/blog/lai-suat-tiet-kiem
https://techcombank.com/thong-tin/blog/cach-tinh-lai-suat-tien-gui-tiet-kiem
https://techcombank.com/thong-tin/blog/rut-tien-tiet-kiem-truoc-thoi-han
https://techcombank.com/thong-tin/blog/rui-ro-khi-gui-tiet-kiem-online
https://techcombank.com/cong-cu-tien-ich/cong-cu-tinh-toan/bang-tinh-lai-suat-tiet-kiem</v>
      </c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10" t="str">
        <f>IFERROR(__xludf.DUMMYFUNCTION("""COMPUTED_VALUE"""),"https://techcombank.com/thong-tin/blog/lai-suat-la-gi")</f>
        <v>https://techcombank.com/thong-tin/blog/lai-suat-la-gi</v>
      </c>
      <c r="B270" s="11">
        <f>IFERROR(__xludf.DUMMYFUNCTION("""COMPUTED_VALUE"""),5.0)</f>
        <v>5</v>
      </c>
      <c r="C270" s="7" t="str">
        <f>IFERROR(__xludf.DUMMYFUNCTION("IF(A270="""","""",TEXTJOIN(CHAR(10),TRUE,FILTER('Tổng hợp 75 trang đích'!$B$2:$B$3400,'Tổng hợp 75 trang đích'!$I$2:$I$3400=A270)))"),"https://techcombank.com/thong-tin/blog/lai-suat-tiet-kiem
https://techcombank.com/thong-tin/blog/cach-tinh-lai-suat-tien-gui-tiet-kiem
https://techcombank.com/cong-cu-tien-ich/cong-cu-tinh-toan/bang-tinh-lai-suat-tiet-kiem
https://techcombank.com/thong-ti"&amp;"n/blog/app-vay-tien-nhanh
https://techcombank.com/thong-tin/blog/lai-suat-vay-ngan-hang")</f>
        <v>https://techcombank.com/thong-tin/blog/lai-suat-tiet-kiem
https://techcombank.com/thong-tin/blog/cach-tinh-lai-suat-tien-gui-tiet-kiem
https://techcombank.com/cong-cu-tien-ich/cong-cu-tinh-toan/bang-tinh-lai-suat-tiet-kiem
https://techcombank.com/thong-tin/blog/app-vay-tien-nhanh
https://techcombank.com/thong-tin/blog/lai-suat-vay-ngan-hang</v>
      </c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10" t="str">
        <f>IFERROR(__xludf.DUMMYFUNCTION("""COMPUTED_VALUE"""),"https://techcombank.com/thong-tin/blog/lich-su-tin-dung")</f>
        <v>https://techcombank.com/thong-tin/blog/lich-su-tin-dung</v>
      </c>
      <c r="B271" s="11">
        <f>IFERROR(__xludf.DUMMYFUNCTION("""COMPUTED_VALUE"""),5.0)</f>
        <v>5</v>
      </c>
      <c r="C271" s="7" t="str">
        <f>IFERROR(__xludf.DUMMYFUNCTION("IF(A271="""","""",TEXTJOIN(CHAR(10),TRUE,FILTER('Tổng hợp 75 trang đích'!$B$2:$B$3400,'Tổng hợp 75 trang đích'!$I$2:$I$3400=A271)))"),"https://techcombank.com/thong-tin/blog/cic-la-gi
https://techcombank.com/thong-tin/blog/xep-hang-tin-dung
https://techcombank.com/thong-tin/blog/app-vay-tien-nhanh
https://techcombank.com/thong-tin/blog/kiem-tra-no-xau
https://techcombank.com/thong-tin/bl"&amp;"og/no-xau-la-gi")</f>
        <v>https://techcombank.com/thong-tin/blog/cic-la-gi
https://techcombank.com/thong-tin/blog/xep-hang-tin-dung
https://techcombank.com/thong-tin/blog/app-vay-tien-nhanh
https://techcombank.com/thong-tin/blog/kiem-tra-no-xau
https://techcombank.com/thong-tin/blog/no-xau-la-gi</v>
      </c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10" t="str">
        <f>IFERROR(__xludf.DUMMYFUNCTION("""COMPUTED_VALUE"""),"https://techcombank.com/thong-tin/blog/loi-ich-khi-ho-kinh-doanh-chuyen-len-doanh-nghiep")</f>
        <v>https://techcombank.com/thong-tin/blog/loi-ich-khi-ho-kinh-doanh-chuyen-len-doanh-nghiep</v>
      </c>
      <c r="B272" s="11">
        <f>IFERROR(__xludf.DUMMYFUNCTION("""COMPUTED_VALUE"""),5.0)</f>
        <v>5</v>
      </c>
      <c r="C272" s="7" t="str">
        <f>IFERROR(__xludf.DUMMYFUNCTION("IF(A272="""","""",TEXTJOIN(CHAR(10),TRUE,FILTER('Tổng hợp 75 trang đích'!$B$2:$B$3400,'Tổng hợp 75 trang đích'!$I$2:$I$3400=A272)))"),"https://techcombank.com/thong-tin/blog/nop-thue-dat-qua-ngan-hang
https://techcombank.com/thong-tin/blog/thue-thu-nhap-doanh-nghiep
https://techcombank.com/thong-tin/blog/ho-kinh-doanh-dong-thue-nhu-nao
https://techcombank.com/thong-tin/blog/mo-tai-khoan-"&amp;"ho-kinh-doanh
https://techcombank.com/thong-tin/blog/cach-tinh-thue-ho-kinh-doanh-nho-le")</f>
        <v>https://techcombank.com/thong-tin/blog/nop-thue-dat-qua-ngan-hang
https://techcombank.com/thong-tin/blog/thue-thu-nhap-doanh-nghiep
https://techcombank.com/thong-tin/blog/ho-kinh-doanh-dong-thue-nhu-nao
https://techcombank.com/thong-tin/blog/mo-tai-khoan-ho-kinh-doanh
https://techcombank.com/thong-tin/blog/cach-tinh-thue-ho-kinh-doanh-nho-le</v>
      </c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10" t="str">
        <f>IFERROR(__xludf.DUMMYFUNCTION("""COMPUTED_VALUE"""),"https://techcombank.com/thong-tin/blog/luu-y-khi-chuyen-doi-tu-ho-kinh-doanh-len-doanh-nghiep")</f>
        <v>https://techcombank.com/thong-tin/blog/luu-y-khi-chuyen-doi-tu-ho-kinh-doanh-len-doanh-nghiep</v>
      </c>
      <c r="B273" s="11">
        <f>IFERROR(__xludf.DUMMYFUNCTION("""COMPUTED_VALUE"""),5.0)</f>
        <v>5</v>
      </c>
      <c r="C273" s="7" t="str">
        <f>IFERROR(__xludf.DUMMYFUNCTION("IF(A273="""","""",TEXTJOIN(CHAR(10),TRUE,FILTER('Tổng hợp 75 trang đích'!$B$2:$B$3400,'Tổng hợp 75 trang đích'!$I$2:$I$3400=A273)))"),"https://techcombank.com/thong-tin/blog/nop-thue-dat-qua-ngan-hang
https://techcombank.com/thong-tin/blog/eco-card
https://techcombank.com/thong-tin/blog/ho-kinh-doanh-dong-thue-nhu-nao
https://techcombank.com/thong-tin/blog/mo-tai-khoan-ho-kinh-doanh
http"&amp;"s://techcombank.com/thong-tin/blog/cach-tinh-thue-ho-kinh-doanh-nho-le")</f>
        <v>https://techcombank.com/thong-tin/blog/nop-thue-dat-qua-ngan-hang
https://techcombank.com/thong-tin/blog/eco-card
https://techcombank.com/thong-tin/blog/ho-kinh-doanh-dong-thue-nhu-nao
https://techcombank.com/thong-tin/blog/mo-tai-khoan-ho-kinh-doanh
https://techcombank.com/thong-tin/blog/cach-tinh-thue-ho-kinh-doanh-nho-le</v>
      </c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10" t="str">
        <f>IFERROR(__xludf.DUMMYFUNCTION("""COMPUTED_VALUE"""),"https://techcombank.com/thong-tin/blog/mo-so-tiet-kiem-can-bao-nhieu-tien")</f>
        <v>https://techcombank.com/thong-tin/blog/mo-so-tiet-kiem-can-bao-nhieu-tien</v>
      </c>
      <c r="B274" s="11">
        <f>IFERROR(__xludf.DUMMYFUNCTION("""COMPUTED_VALUE"""),5.0)</f>
        <v>5</v>
      </c>
      <c r="C274" s="7" t="str">
        <f>IFERROR(__xludf.DUMMYFUNCTION("IF(A274="""","""",TEXTJOIN(CHAR(10),TRUE,FILTER('Tổng hợp 75 trang đích'!$B$2:$B$3400,'Tổng hợp 75 trang đích'!$I$2:$I$3400=A274)))"),"https://techcombank.com/thong-tin/blog/lai-suat-tiet-kiem
https://techcombank.com/thong-tin/blog/cach-tinh-lai-suat-tien-gui-tiet-kiem
https://techcombank.com/thong-tin/blog/rut-tien-tiet-kiem-truoc-thoi-han
https://techcombank.com/thong-tin/blog/so-tiet-"&amp;"kiem-ngan-hang
https://techcombank.com/cong-cu-tien-ich/cong-cu-tinh-toan/bang-tinh-lai-suat-tiet-kiem")</f>
        <v>https://techcombank.com/thong-tin/blog/lai-suat-tiet-kiem
https://techcombank.com/thong-tin/blog/cach-tinh-lai-suat-tien-gui-tiet-kiem
https://techcombank.com/thong-tin/blog/rut-tien-tiet-kiem-truoc-thoi-han
https://techcombank.com/thong-tin/blog/so-tiet-kiem-ngan-hang
https://techcombank.com/cong-cu-tien-ich/cong-cu-tinh-toan/bang-tinh-lai-suat-tiet-kiem</v>
      </c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10" t="str">
        <f>IFERROR(__xludf.DUMMYFUNCTION("""COMPUTED_VALUE"""),"https://techcombank.com/thong-tin/blog/mo-tai-khoan-doanh-nghiep")</f>
        <v>https://techcombank.com/thong-tin/blog/mo-tai-khoan-doanh-nghiep</v>
      </c>
      <c r="B275" s="11">
        <f>IFERROR(__xludf.DUMMYFUNCTION("""COMPUTED_VALUE"""),5.0)</f>
        <v>5</v>
      </c>
      <c r="C275" s="7" t="str">
        <f>IFERROR(__xludf.DUMMYFUNCTION("IF(A275="""","""",TEXTJOIN(CHAR(10),TRUE,FILTER('Tổng hợp 75 trang đích'!$B$2:$B$3400,'Tổng hợp 75 trang đích'!$I$2:$I$3400=A275)))"),"https://techcombank.com/thong-tin/blog/nop-thue-dat-qua-ngan-hang
https://techcombank.com/thong-tin/blog/thue-thu-nhap-doanh-nghiep
https://techcombank.com/thong-tin/blog/cong-ty-su-dung-tai-khoan-ca-nhan
https://techcombank.com/thong-tin/blog/cach-mo-tai"&amp;"-khoan
https://techcombank.com/thong-tin/blog/cach-tiet-kiem-tien")</f>
        <v>https://techcombank.com/thong-tin/blog/nop-thue-dat-qua-ngan-hang
https://techcombank.com/thong-tin/blog/thue-thu-nhap-doanh-nghiep
https://techcombank.com/thong-tin/blog/cong-ty-su-dung-tai-khoan-ca-nhan
https://techcombank.com/thong-tin/blog/cach-mo-tai-khoan
https://techcombank.com/thong-tin/blog/cach-tiet-kiem-tien</v>
      </c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10" t="str">
        <f>IFERROR(__xludf.DUMMYFUNCTION("""COMPUTED_VALUE"""),"https://techcombank.com/thong-tin/blog/mo-the-tin-dung-chi-can-cccd")</f>
        <v>https://techcombank.com/thong-tin/blog/mo-the-tin-dung-chi-can-cccd</v>
      </c>
      <c r="B276" s="11">
        <f>IFERROR(__xludf.DUMMYFUNCTION("""COMPUTED_VALUE"""),5.0)</f>
        <v>5</v>
      </c>
      <c r="C276" s="7" t="str">
        <f>IFERROR(__xludf.DUMMYFUNCTION("IF(A276="""","""",TEXTJOIN(CHAR(10),TRUE,FILTER('Tổng hợp 75 trang đích'!$B$2:$B$3400,'Tổng hợp 75 trang đích'!$I$2:$I$3400=A276)))"),"https://techcombank.com/thong-tin/blog/cach-tinh-thue-thu-nhap-ca-nhan-2025
https://techcombank.com/thong-tin/blog/cach-sao-ke-tai-khoan-ngan-hang
https://techcombank.com/thong-tin/blog/cach-quet-nfc-cccd-tren-iphone
https://techcombank.com/thong-tin/blog"&amp;"/cic-la-gi
https://techcombank.com/thong-tin/blog/lam-the-tin-dung")</f>
        <v>https://techcombank.com/thong-tin/blog/cach-tinh-thue-thu-nhap-ca-nhan-2025
https://techcombank.com/thong-tin/blog/cach-sao-ke-tai-khoan-ngan-hang
https://techcombank.com/thong-tin/blog/cach-quet-nfc-cccd-tren-iphone
https://techcombank.com/thong-tin/blog/cic-la-gi
https://techcombank.com/thong-tin/blog/lam-the-tin-dung</v>
      </c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10" t="str">
        <f>IFERROR(__xludf.DUMMYFUNCTION("""COMPUTED_VALUE"""),"https://techcombank.com/thong-tin/blog/mo-the-tin-dung-han-muc-cao")</f>
        <v>https://techcombank.com/thong-tin/blog/mo-the-tin-dung-han-muc-cao</v>
      </c>
      <c r="B277" s="11">
        <f>IFERROR(__xludf.DUMMYFUNCTION("""COMPUTED_VALUE"""),5.0)</f>
        <v>5</v>
      </c>
      <c r="C277" s="7" t="str">
        <f>IFERROR(__xludf.DUMMYFUNCTION("IF(A277="""","""",TEXTJOIN(CHAR(10),TRUE,FILTER('Tổng hợp 75 trang đích'!$B$2:$B$3400,'Tổng hợp 75 trang đích'!$I$2:$I$3400=A277)))"),"https://techcombank.com/thong-tin/blog/cach-sao-ke-tai-khoan-ngan-hang
https://techcombank.com/thong-tin/blog/cic-la-gi
https://techcombank.com/thong-tin/blog/rut-tien-mat-tu-the-tin-dung
https://techcombank.com/thong-tin/blog/cach-huy-the-tin-dung
https:"&amp;"//techcombank.com/thong-tin/blog/app-vay-tien-nhanh")</f>
        <v>https://techcombank.com/thong-tin/blog/cach-sao-ke-tai-khoan-ngan-hang
https://techcombank.com/thong-tin/blog/cic-la-gi
https://techcombank.com/thong-tin/blog/rut-tien-mat-tu-the-tin-dung
https://techcombank.com/thong-tin/blog/cach-huy-the-tin-dung
https://techcombank.com/thong-tin/blog/app-vay-tien-nhanh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10" t="str">
        <f>IFERROR(__xludf.DUMMYFUNCTION("""COMPUTED_VALUE"""),"https://techcombank.com/thong-tin/blog/nen-de-tien-trong-the-hay-gui-tiet-kiem")</f>
        <v>https://techcombank.com/thong-tin/blog/nen-de-tien-trong-the-hay-gui-tiet-kiem</v>
      </c>
      <c r="B278" s="11">
        <f>IFERROR(__xludf.DUMMYFUNCTION("""COMPUTED_VALUE"""),5.0)</f>
        <v>5</v>
      </c>
      <c r="C278" s="7" t="str">
        <f>IFERROR(__xludf.DUMMYFUNCTION("IF(A278="""","""",TEXTJOIN(CHAR(10),TRUE,FILTER('Tổng hợp 75 trang đích'!$B$2:$B$3400,'Tổng hợp 75 trang đích'!$I$2:$I$3400=A278)))"),"https://techcombank.com/thong-tin/blog/chung-chi-tien-gui-la-gi
https://techcombank.com/thong-tin/blog/lai-suat-tiet-kiem
https://techcombank.com/thong-tin/blog/cach-tinh-lai-suat-tien-gui-tiet-kiem
https://techcombank.com/thong-tin/blog/so-tiet-kiem-ngan"&amp;"-hang
https://techcombank.com/cong-cu-tien-ich/cong-cu-tinh-toan/bang-tinh-lai-suat-tiet-kiem")</f>
        <v>https://techcombank.com/thong-tin/blog/chung-chi-tien-gui-la-gi
https://techcombank.com/thong-tin/blog/lai-suat-tiet-kiem
https://techcombank.com/thong-tin/blog/cach-tinh-lai-suat-tien-gui-tiet-kiem
https://techcombank.com/thong-tin/blog/so-tiet-kiem-ngan-hang
https://techcombank.com/cong-cu-tien-ich/cong-cu-tinh-toan/bang-tinh-lai-suat-tiet-kiem</v>
      </c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10" t="str">
        <f>IFERROR(__xludf.DUMMYFUNCTION("""COMPUTED_VALUE"""),"https://techcombank.com/thong-tin/blog/nen-gui-tiet-kiem-thong-thuong-hay-tich-luy")</f>
        <v>https://techcombank.com/thong-tin/blog/nen-gui-tiet-kiem-thong-thuong-hay-tich-luy</v>
      </c>
      <c r="B279" s="11">
        <f>IFERROR(__xludf.DUMMYFUNCTION("""COMPUTED_VALUE"""),5.0)</f>
        <v>5</v>
      </c>
      <c r="C279" s="7" t="str">
        <f>IFERROR(__xludf.DUMMYFUNCTION("IF(A279="""","""",TEXTJOIN(CHAR(10),TRUE,FILTER('Tổng hợp 75 trang đích'!$B$2:$B$3400,'Tổng hợp 75 trang đích'!$I$2:$I$3400=A279)))"),"https://techcombank.com/thong-tin/blog/chung-chi-tien-gui-la-gi
https://techcombank.com/thong-tin/blog/lai-suat-tiet-kiem
https://techcombank.com/thong-tin/blog/cach-tinh-lai-suat-tien-gui-tiet-kiem
https://techcombank.com/thong-tin/blog/so-tiet-kiem-ngan"&amp;"-hang
https://techcombank.com/cong-cu-tien-ich/cong-cu-tinh-toan/bang-tinh-lai-suat-tiet-kiem")</f>
        <v>https://techcombank.com/thong-tin/blog/chung-chi-tien-gui-la-gi
https://techcombank.com/thong-tin/blog/lai-suat-tiet-kiem
https://techcombank.com/thong-tin/blog/cach-tinh-lai-suat-tien-gui-tiet-kiem
https://techcombank.com/thong-tin/blog/so-tiet-kiem-ngan-hang
https://techcombank.com/cong-cu-tien-ich/cong-cu-tinh-toan/bang-tinh-lai-suat-tiet-kiem</v>
      </c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10" t="str">
        <f>IFERROR(__xludf.DUMMYFUNCTION("""COMPUTED_VALUE"""),"https://techcombank.com/thong-tin/blog/nghich-ly-nha-dau-tu-che-trai-phieu-lai-suat-cao-ua-ma-an-toan-du-lai-suat-thap-hon-05-1")</f>
        <v>https://techcombank.com/thong-tin/blog/nghich-ly-nha-dau-tu-che-trai-phieu-lai-suat-cao-ua-ma-an-toan-du-lai-suat-thap-hon-05-1</v>
      </c>
      <c r="B280" s="11">
        <f>IFERROR(__xludf.DUMMYFUNCTION("""COMPUTED_VALUE"""),5.0)</f>
        <v>5</v>
      </c>
      <c r="C280" s="7" t="str">
        <f>IFERROR(__xludf.DUMMYFUNCTION("IF(A280="""","""",TEXTJOIN(CHAR(10),TRUE,FILTER('Tổng hợp 75 trang đích'!$B$2:$B$3400,'Tổng hợp 75 trang đích'!$I$2:$I$3400=A280)))"),"https://techcombank.com/thong-tin/blog/lai-suat-chung-chi-tien-gui-cac-ngan-hang
https://techcombank.com/thong-tin/blog/lai-suat-tiet-kiem
https://techcombank.com/thong-tin/blog/cach-tinh-lai-suat-tien-gui-tiet-kiem
https://techcombank.com/cong-cu-tien-ic"&amp;"h/cong-cu-tinh-toan/bang-tinh-lai-suat-tiet-kiem
https://techcombank.com/thong-tin/blog/app-vay-tien-nhanh")</f>
        <v>https://techcombank.com/thong-tin/blog/lai-suat-chung-chi-tien-gui-cac-ngan-hang
https://techcombank.com/thong-tin/blog/lai-suat-tiet-kiem
https://techcombank.com/thong-tin/blog/cach-tinh-lai-suat-tien-gui-tiet-kiem
https://techcombank.com/cong-cu-tien-ich/cong-cu-tinh-toan/bang-tinh-lai-suat-tiet-kiem
https://techcombank.com/thong-tin/blog/app-vay-tien-nhanh</v>
      </c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10" t="str">
        <f>IFERROR(__xludf.DUMMYFUNCTION("""COMPUTED_VALUE"""),"https://techcombank.com/thong-tin/blog/nop-tien-mat-vao-tai-khoan-cong-ty")</f>
        <v>https://techcombank.com/thong-tin/blog/nop-tien-mat-vao-tai-khoan-cong-ty</v>
      </c>
      <c r="B281" s="11">
        <f>IFERROR(__xludf.DUMMYFUNCTION("""COMPUTED_VALUE"""),5.0)</f>
        <v>5</v>
      </c>
      <c r="C281" s="7" t="str">
        <f>IFERROR(__xludf.DUMMYFUNCTION("IF(A281="""","""",TEXTJOIN(CHAR(10),TRUE,FILTER('Tổng hợp 75 trang đích'!$B$2:$B$3400,'Tổng hợp 75 trang đích'!$I$2:$I$3400=A281)))"),"https://techcombank.com/thong-tin/blog/nop-thue-dat-qua-ngan-hang
https://techcombank.com/thong-tin/blog/thue-thu-nhap-doanh-nghiep
https://techcombank.com/thong-tin/blog/cong-ty-su-dung-tai-khoan-ca-nhan
https://techcombank.com/thong-tin/blog/nap-tien-va"&amp;"o-tai-khoan-ngan-hang
https://techcombank.com/thong-tin/blog/rut-tien-mat-tu-the-tin-dung")</f>
        <v>https://techcombank.com/thong-tin/blog/nop-thue-dat-qua-ngan-hang
https://techcombank.com/thong-tin/blog/thue-thu-nhap-doanh-nghiep
https://techcombank.com/thong-tin/blog/cong-ty-su-dung-tai-khoan-ca-nhan
https://techcombank.com/thong-tin/blog/nap-tien-vao-tai-khoan-ngan-hang
https://techcombank.com/thong-tin/blog/rut-tien-mat-tu-the-tin-dung</v>
      </c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10" t="str">
        <f>IFERROR(__xludf.DUMMYFUNCTION("""COMPUTED_VALUE"""),"https://techcombank.com/thong-tin/blog/phi-vay-the-chap")</f>
        <v>https://techcombank.com/thong-tin/blog/phi-vay-the-chap</v>
      </c>
      <c r="B282" s="11">
        <f>IFERROR(__xludf.DUMMYFUNCTION("""COMPUTED_VALUE"""),5.0)</f>
        <v>5</v>
      </c>
      <c r="C282" s="7" t="str">
        <f>IFERROR(__xludf.DUMMYFUNCTION("IF(A282="""","""",TEXTJOIN(CHAR(10),TRUE,FILTER('Tổng hợp 75 trang đích'!$B$2:$B$3400,'Tổng hợp 75 trang đích'!$I$2:$I$3400=A282)))"),"https://techcombank.com/thong-tin/blog/lai-suat-vay-the-chap-so-do
https://techcombank.com/thong-tin/blog/ho-so-thu-tuc-xoa-the-chap
https://techcombank.com/cong-cu-tien-ich/cong-cu-tinh-toan/bang-tinh-lai-suat-vay
https://techcombank.com/thong-tin/blog/a"&amp;"pp-vay-tien-nhanh
https://techcombank.com/thong-tin/blog/lai-suat-vay-ngan-hang")</f>
        <v>https://techcombank.com/thong-tin/blog/lai-suat-vay-the-chap-so-do
https://techcombank.com/thong-tin/blog/ho-so-thu-tuc-xoa-the-chap
https://techcombank.com/cong-cu-tien-ich/cong-cu-tinh-toan/bang-tinh-lai-suat-vay
https://techcombank.com/thong-tin/blog/app-vay-tien-nhanh
https://techcombank.com/thong-tin/blog/lai-suat-vay-ngan-hang</v>
      </c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10" t="str">
        <f>IFERROR(__xludf.DUMMYFUNCTION("""COMPUTED_VALUE"""),"https://techcombank.com/thong-tin/blog/quy-trinh-cho-vay-tieu-dung")</f>
        <v>https://techcombank.com/thong-tin/blog/quy-trinh-cho-vay-tieu-dung</v>
      </c>
      <c r="B283" s="11">
        <f>IFERROR(__xludf.DUMMYFUNCTION("""COMPUTED_VALUE"""),5.0)</f>
        <v>5</v>
      </c>
      <c r="C283" s="7" t="str">
        <f>IFERROR(__xludf.DUMMYFUNCTION("IF(A283="""","""",TEXTJOIN(CHAR(10),TRUE,FILTER('Tổng hợp 75 trang đích'!$B$2:$B$3400,'Tổng hợp 75 trang đích'!$I$2:$I$3400=A283)))"),"https://techcombank.com/thong-tin/blog/cic-la-gi
https://techcombank.com/cong-cu-tien-ich/cong-cu-tinh-toan/bang-tinh-lai-suat-vay
https://techcombank.com/thong-tin/blog/app-vay-tien-nhanh
https://techcombank.com/thong-tin/blog/lai-suat-vay-ngan-hang
http"&amp;"s://techcombank.com/thong-tin/blog/nen-vay-tin-chap-o-dau")</f>
        <v>https://techcombank.com/thong-tin/blog/cic-la-gi
https://techcombank.com/cong-cu-tien-ich/cong-cu-tinh-toan/bang-tinh-lai-suat-vay
https://techcombank.com/thong-tin/blog/app-vay-tien-nhanh
https://techcombank.com/thong-tin/blog/lai-suat-vay-ngan-hang
https://techcombank.com/thong-tin/blog/nen-vay-tin-chap-o-dau</v>
      </c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10" t="str">
        <f>IFERROR(__xludf.DUMMYFUNCTION("""COMPUTED_VALUE"""),"https://techcombank.com/thong-tin/blog/rui-ro-khi-gui-tiet-kiem-online")</f>
        <v>https://techcombank.com/thong-tin/blog/rui-ro-khi-gui-tiet-kiem-online</v>
      </c>
      <c r="B284" s="11">
        <f>IFERROR(__xludf.DUMMYFUNCTION("""COMPUTED_VALUE"""),5.0)</f>
        <v>5</v>
      </c>
      <c r="C284" s="7" t="str">
        <f>IFERROR(__xludf.DUMMYFUNCTION("IF(A284="""","""",TEXTJOIN(CHAR(10),TRUE,FILTER('Tổng hợp 75 trang đích'!$B$2:$B$3400,'Tổng hợp 75 trang đích'!$I$2:$I$3400=A284)))"),"https://techcombank.com/thong-tin/blog/chung-chi-tien-gui-la-gi
https://techcombank.com/thong-tin/blog/lai-suat-tiet-kiem
https://techcombank.com/thong-tin/blog/cach-tinh-lai-suat-tien-gui-tiet-kiem
https://techcombank.com/thong-tin/blog/so-tiet-kiem-ngan"&amp;"-hang
https://techcombank.com/cong-cu-tien-ich/cong-cu-tinh-toan/bang-tinh-lai-suat-tiet-kiem")</f>
        <v>https://techcombank.com/thong-tin/blog/chung-chi-tien-gui-la-gi
https://techcombank.com/thong-tin/blog/lai-suat-tiet-kiem
https://techcombank.com/thong-tin/blog/cach-tinh-lai-suat-tien-gui-tiet-kiem
https://techcombank.com/thong-tin/blog/so-tiet-kiem-ngan-hang
https://techcombank.com/cong-cu-tien-ich/cong-cu-tinh-toan/bang-tinh-lai-suat-tiet-kiem</v>
      </c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10" t="str">
        <f>IFERROR(__xludf.DUMMYFUNCTION("""COMPUTED_VALUE"""),"https://techcombank.com/thong-tin/blog/rut-tien-bang-ma-qr-khac-ngan-hang-duoc-khong")</f>
        <v>https://techcombank.com/thong-tin/blog/rut-tien-bang-ma-qr-khac-ngan-hang-duoc-khong</v>
      </c>
      <c r="B285" s="11">
        <f>IFERROR(__xludf.DUMMYFUNCTION("""COMPUTED_VALUE"""),5.0)</f>
        <v>5</v>
      </c>
      <c r="C285" s="7" t="str">
        <f>IFERROR(__xludf.DUMMYFUNCTION("IF(A285="""","""",TEXTJOIN(CHAR(10),TRUE,FILTER('Tổng hợp 75 trang đích'!$B$2:$B$3400,'Tổng hợp 75 trang đích'!$I$2:$I$3400=A285)))"),"https://techcombank.com/thong-tin/blog/cach-tinh-tien-dien-sinh-hoat
https://techcombank.com/thong-tin/blog/nap-tien-vao-tai-khoan-ngan-hang
https://techcombank.com/thong-tin/blog/rut-tien-bang-ma-qr-la-gi-cach-thuc-hien-nhu-the-nao
https://techcombank.co"&amp;"m/thong-tin/blog/rut-tien-mat-tu-the-tin-dung
https://techcombank.com/thong-tin/blog/gui-ma-qr-ngan-hang")</f>
        <v>https://techcombank.com/thong-tin/blog/cach-tinh-tien-dien-sinh-hoat
https://techcombank.com/thong-tin/blog/nap-tien-vao-tai-khoan-ngan-hang
https://techcombank.com/thong-tin/blog/rut-tien-bang-ma-qr-la-gi-cach-thuc-hien-nhu-the-nao
https://techcombank.com/thong-tin/blog/rut-tien-mat-tu-the-tin-dung
https://techcombank.com/thong-tin/blog/gui-ma-qr-ngan-hang</v>
      </c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28" t="str">
        <f>IFERROR(__xludf.DUMMYFUNCTION("""COMPUTED_VALUE"""),"https://techcombank.com/thong-tin/blog/tai-khoan-ngan-hang-la-gi")</f>
        <v>https://techcombank.com/thong-tin/blog/tai-khoan-ngan-hang-la-gi</v>
      </c>
      <c r="B286" s="11">
        <f>IFERROR(__xludf.DUMMYFUNCTION("""COMPUTED_VALUE"""),5.0)</f>
        <v>5</v>
      </c>
      <c r="C286" s="7" t="str">
        <f>IFERROR(__xludf.DUMMYFUNCTION("IF(A286="""","""",TEXTJOIN(CHAR(10),TRUE,FILTER('Tổng hợp 75 trang đích'!$B$2:$B$3400,'Tổng hợp 75 trang đích'!$I$2:$I$3400=A286)))"),"https://techcombank.com/thong-tin/blog/cach-mo-tai-khoan
https://techcombank.com/thong-tin/blog/cic-la-gi
https://techcombank.com/thong-tin/blog/1-te-bang-bao-nhieu-tien-viet-nam
https://techcombank.com/thong-tin/blog/doi-tien-do-o-dau
https://techcombank"&amp;".com/thong-tin/blog/lai-suat-tiet-kiem")</f>
        <v>https://techcombank.com/thong-tin/blog/cach-mo-tai-khoan
https://techcombank.com/thong-tin/blog/cic-la-gi
https://techcombank.com/thong-tin/blog/1-te-bang-bao-nhieu-tien-viet-nam
https://techcombank.com/thong-tin/blog/doi-tien-do-o-dau
https://techcombank.com/thong-tin/blog/lai-suat-tiet-kiem</v>
      </c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28" t="str">
        <f>IFERROR(__xludf.DUMMYFUNCTION("""COMPUTED_VALUE"""),"https://techcombank.com/thong-tin/blog/tao-ma-qr-thanh-toan-cho-cua-hang")</f>
        <v>https://techcombank.com/thong-tin/blog/tao-ma-qr-thanh-toan-cho-cua-hang</v>
      </c>
      <c r="B287" s="11">
        <f>IFERROR(__xludf.DUMMYFUNCTION("""COMPUTED_VALUE"""),5.0)</f>
        <v>5</v>
      </c>
      <c r="C287" s="7" t="str">
        <f>IFERROR(__xludf.DUMMYFUNCTION("IF(A287="""","""",TEXTJOIN(CHAR(10),TRUE,FILTER('Tổng hợp 75 trang đích'!$B$2:$B$3400,'Tổng hợp 75 trang đích'!$I$2:$I$3400=A287)))"),"https://techcombank.com/thong-tin/blog/cach-tinh-tien-dien-sinh-hoat
https://techcombank.com/thong-tin/blog/day-so-phat-tai-phat-loc
https://techcombank.com/thong-tin/blog/rut-tien-bang-ma-qr-la-gi-cach-thuc-hien-nhu-the-nao
https://techcombank.com/thong-"&amp;"tin/blog/cach-quet-nfc-cccd-tren-iphone
https://techcombank.com/thong-tin/blog/gui-ma-qr-ngan-hang")</f>
        <v>https://techcombank.com/thong-tin/blog/cach-tinh-tien-dien-sinh-hoat
https://techcombank.com/thong-tin/blog/day-so-phat-tai-phat-loc
https://techcombank.com/thong-tin/blog/rut-tien-bang-ma-qr-la-gi-cach-thuc-hien-nhu-the-nao
https://techcombank.com/thong-tin/blog/cach-quet-nfc-cccd-tren-iphone
https://techcombank.com/thong-tin/blog/gui-ma-qr-ngan-hang</v>
      </c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28" t="str">
        <f>IFERROR(__xludf.DUMMYFUNCTION("""COMPUTED_VALUE"""),"https://techcombank.com/thong-tin/blog/thanh-toan-tien-dien-bang-the-tin-dung")</f>
        <v>https://techcombank.com/thong-tin/blog/thanh-toan-tien-dien-bang-the-tin-dung</v>
      </c>
      <c r="B288" s="11">
        <f>IFERROR(__xludf.DUMMYFUNCTION("""COMPUTED_VALUE"""),5.0)</f>
        <v>5</v>
      </c>
      <c r="C288" s="7" t="str">
        <f>IFERROR(__xludf.DUMMYFUNCTION("IF(A288="""","""",TEXTJOIN(CHAR(10),TRUE,FILTER('Tổng hợp 75 trang đích'!$B$2:$B$3400,'Tổng hợp 75 trang đích'!$I$2:$I$3400=A288)))"),"https://techcombank.com/thong-tin/blog/cach-tinh-tien-dien-sinh-hoat
https://techcombank.com/thong-tin/blog/ten-dang-nhap-tai-khoan-ngan-hang-la-gi
https://techcombank.com/thong-tin/blog/cic-la-gi
https://techcombank.com/thong-tin/blog/the-tin-dung-hoan-t"&amp;"ien
https://techcombank.com/thong-tin/blog/cach-huy-the-tin-dung")</f>
        <v>https://techcombank.com/thong-tin/blog/cach-tinh-tien-dien-sinh-hoat
https://techcombank.com/thong-tin/blog/ten-dang-nhap-tai-khoan-ngan-hang-la-gi
https://techcombank.com/thong-tin/blog/cic-la-gi
https://techcombank.com/thong-tin/blog/the-tin-dung-hoan-tien
https://techcombank.com/thong-tin/blog/cach-huy-the-tin-dung</v>
      </c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28" t="str">
        <f>IFERROR(__xludf.DUMMYFUNCTION("""COMPUTED_VALUE"""),"https://techcombank.com/thong-tin/blog/the-chap-la-gi")</f>
        <v>https://techcombank.com/thong-tin/blog/the-chap-la-gi</v>
      </c>
      <c r="B289" s="11">
        <f>IFERROR(__xludf.DUMMYFUNCTION("""COMPUTED_VALUE"""),5.0)</f>
        <v>5</v>
      </c>
      <c r="C289" s="7" t="str">
        <f>IFERROR(__xludf.DUMMYFUNCTION("IF(A289="""","""",TEXTJOIN(CHAR(10),TRUE,FILTER('Tổng hợp 75 trang đích'!$B$2:$B$3400,'Tổng hợp 75 trang đích'!$I$2:$I$3400=A289)))"),"https://techcombank.com/thong-tin/blog/lai-suat-vay-the-chap-so-do
https://techcombank.com/thong-tin/blog/ho-so-thu-tuc-xoa-the-chap
https://techcombank.com/cong-cu-tien-ich/cong-cu-tinh-toan/bang-tinh-lai-suat-vay
https://techcombank.com/thong-tin/blog/a"&amp;"pp-vay-tien-nhanh
https://techcombank.com/thong-tin/blog/lai-suat-vay-ngan-hang")</f>
        <v>https://techcombank.com/thong-tin/blog/lai-suat-vay-the-chap-so-do
https://techcombank.com/thong-tin/blog/ho-so-thu-tuc-xoa-the-chap
https://techcombank.com/cong-cu-tien-ich/cong-cu-tinh-toan/bang-tinh-lai-suat-vay
https://techcombank.com/thong-tin/blog/app-vay-tien-nhanh
https://techcombank.com/thong-tin/blog/lai-suat-vay-ngan-hang</v>
      </c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28" t="str">
        <f>IFERROR(__xludf.DUMMYFUNCTION("""COMPUTED_VALUE"""),"https://techcombank.com/thong-tin/blog/the-tin-dung-den")</f>
        <v>https://techcombank.com/thong-tin/blog/the-tin-dung-den</v>
      </c>
      <c r="B290" s="11">
        <f>IFERROR(__xludf.DUMMYFUNCTION("""COMPUTED_VALUE"""),5.0)</f>
        <v>5</v>
      </c>
      <c r="C290" s="7" t="str">
        <f>IFERROR(__xludf.DUMMYFUNCTION("IF(A290="""","""",TEXTJOIN(CHAR(10),TRUE,FILTER('Tổng hợp 75 trang đích'!$B$2:$B$3400,'Tổng hợp 75 trang đích'!$I$2:$I$3400=A290)))"),"https://techcombank.com/thong-tin/blog/cic-la-gi
https://techcombank.com/khach-hang-ca-nhan/chi-tieu/the/the-tin-dung/techcombank-everyday
https://techcombank.com/thong-tin/blog/the-tin-dung-hoan-tien
https://techcombank.com/thong-tin/blog/cach-huy-the-ti"&amp;"n-dung
https://techcombank.com/thong-tin/blog/cach-thanh-toan-the-tin-dung")</f>
        <v>https://techcombank.com/thong-tin/blog/cic-la-gi
https://techcombank.com/khach-hang-ca-nhan/chi-tieu/the/the-tin-dung/techcombank-everyday
https://techcombank.com/thong-tin/blog/the-tin-dung-hoan-tien
https://techcombank.com/thong-tin/blog/cach-huy-the-tin-dung
https://techcombank.com/thong-tin/blog/cach-thanh-toan-the-tin-dung</v>
      </c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28" t="str">
        <f>IFERROR(__xludf.DUMMYFUNCTION("""COMPUTED_VALUE"""),"https://techcombank.com/thong-tin/blog/the-tin-dung-noi-dia")</f>
        <v>https://techcombank.com/thong-tin/blog/the-tin-dung-noi-dia</v>
      </c>
      <c r="B291" s="11">
        <f>IFERROR(__xludf.DUMMYFUNCTION("""COMPUTED_VALUE"""),5.0)</f>
        <v>5</v>
      </c>
      <c r="C291" s="7" t="str">
        <f>IFERROR(__xludf.DUMMYFUNCTION("IF(A291="""","""",TEXTJOIN(CHAR(10),TRUE,FILTER('Tổng hợp 75 trang đích'!$B$2:$B$3400,'Tổng hợp 75 trang đích'!$I$2:$I$3400=A291)))"),"https://techcombank.com/thong-tin/blog/cic-la-gi
https://techcombank.com/thong-tin/blog/rut-tien-mat-tu-the-tin-dung
https://techcombank.com/thong-tin/blog/cach-huy-the-tin-dung
https://techcombank.com/thong-tin/blog/cach-nhan-tien-tu-nuoc-ngoai-ve-viet-n"&amp;"am
https://techcombank.com/thong-tin/blog/app-vay-tien-nhanh")</f>
        <v>https://techcombank.com/thong-tin/blog/cic-la-gi
https://techcombank.com/thong-tin/blog/rut-tien-mat-tu-the-tin-dung
https://techcombank.com/thong-tin/blog/cach-huy-the-tin-dung
https://techcombank.com/thong-tin/blog/cach-nhan-tien-tu-nuoc-ngoai-ve-viet-nam
https://techcombank.com/thong-tin/blog/app-vay-tien-nhanh</v>
      </c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28" t="str">
        <f>IFERROR(__xludf.DUMMYFUNCTION("""COMPUTED_VALUE"""),"https://techcombank.com/thong-tin/blog/thoi-han-vay-thau-chi")</f>
        <v>https://techcombank.com/thong-tin/blog/thoi-han-vay-thau-chi</v>
      </c>
      <c r="B292" s="11">
        <f>IFERROR(__xludf.DUMMYFUNCTION("""COMPUTED_VALUE"""),5.0)</f>
        <v>5</v>
      </c>
      <c r="C292" s="7" t="str">
        <f>IFERROR(__xludf.DUMMYFUNCTION("IF(A292="""","""",TEXTJOIN(CHAR(10),TRUE,FILTER('Tổng hợp 75 trang đích'!$B$2:$B$3400,'Tổng hợp 75 trang đích'!$I$2:$I$3400=A292)))"),"https://techcombank.com/thong-tin/blog/cic-la-gi
https://techcombank.com/cong-cu-tien-ich/cong-cu-tinh-toan/bang-tinh-lai-suat-vay
https://techcombank.com/thong-tin/blog/app-vay-tien-nhanh
https://techcombank.com/thong-tin/blog/lai-suat-vay-ngan-hang
http"&amp;"s://techcombank.com/thong-tin/blog/vay-thau-chi-la-gi")</f>
        <v>https://techcombank.com/thong-tin/blog/cic-la-gi
https://techcombank.com/cong-cu-tien-ich/cong-cu-tinh-toan/bang-tinh-lai-suat-vay
https://techcombank.com/thong-tin/blog/app-vay-tien-nhanh
https://techcombank.com/thong-tin/blog/lai-suat-vay-ngan-hang
https://techcombank.com/thong-tin/blog/vay-thau-chi-la-gi</v>
      </c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28" t="str">
        <f>IFERROR(__xludf.DUMMYFUNCTION("""COMPUTED_VALUE"""),"https://techcombank.com/thong-tin/blog/thu-tuc-thanh-lap-doanh-nghiep")</f>
        <v>https://techcombank.com/thong-tin/blog/thu-tuc-thanh-lap-doanh-nghiep</v>
      </c>
      <c r="B293" s="11">
        <f>IFERROR(__xludf.DUMMYFUNCTION("""COMPUTED_VALUE"""),5.0)</f>
        <v>5</v>
      </c>
      <c r="C293" s="7" t="str">
        <f>IFERROR(__xludf.DUMMYFUNCTION("IF(A293="""","""",TEXTJOIN(CHAR(10),TRUE,FILTER('Tổng hợp 75 trang đích'!$B$2:$B$3400,'Tổng hợp 75 trang đích'!$I$2:$I$3400=A293)))"),"https://techcombank.com/thong-tin/blog/nop-thue-dat-qua-ngan-hang
https://techcombank.com/thong-tin/blog/cach-nop-thue-dien-tu
https://techcombank.com/thong-tin/blog/thue-thu-nhap-doanh-nghiep
https://techcombank.com/thong-tin/blog/thue-doanh-nghiep
https"&amp;"://techcombank.com/thong-tin/blog/cong-ty-su-dung-tai-khoan-ca-nhan")</f>
        <v>https://techcombank.com/thong-tin/blog/nop-thue-dat-qua-ngan-hang
https://techcombank.com/thong-tin/blog/cach-nop-thue-dien-tu
https://techcombank.com/thong-tin/blog/thue-thu-nhap-doanh-nghiep
https://techcombank.com/thong-tin/blog/thue-doanh-nghiep
https://techcombank.com/thong-tin/blog/cong-ty-su-dung-tai-khoan-ca-nhan</v>
      </c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28" t="str">
        <f>IFERROR(__xludf.DUMMYFUNCTION("""COMPUTED_VALUE"""),"https://techcombank.com/thong-tin/blog/thu-tuc-vay-ngan-hang-mua-nha")</f>
        <v>https://techcombank.com/thong-tin/blog/thu-tuc-vay-ngan-hang-mua-nha</v>
      </c>
      <c r="B294" s="11">
        <f>IFERROR(__xludf.DUMMYFUNCTION("""COMPUTED_VALUE"""),5.0)</f>
        <v>5</v>
      </c>
      <c r="C294" s="7" t="str">
        <f>IFERROR(__xludf.DUMMYFUNCTION("IF(A294="""","""",TEXTJOIN(CHAR(10),TRUE,FILTER('Tổng hợp 75 trang đích'!$B$2:$B$3400,'Tổng hợp 75 trang đích'!$I$2:$I$3400=A294)))"),"https://techcombank.com/thong-tin/blog/xep-hang-tin-dung
https://techcombank.com/thong-tin/blog/vay-ngan-hang-1-ty-moi-thang-tra-bao-nhieu
https://techcombank.com/cong-cu-tien-ich/cong-cu-tinh-toan/bang-tinh-lai-suat-vay
https://techcombank.com/thong-tin/"&amp;"blog/app-vay-tien-nhanh
https://techcombank.com/thong-tin/blog/lai-suat-vay-ngan-hang")</f>
        <v>https://techcombank.com/thong-tin/blog/xep-hang-tin-dung
https://techcombank.com/thong-tin/blog/vay-ngan-hang-1-ty-moi-thang-tra-bao-nhieu
https://techcombank.com/cong-cu-tien-ich/cong-cu-tinh-toan/bang-tinh-lai-suat-vay
https://techcombank.com/thong-tin/blog/app-vay-tien-nhanh
https://techcombank.com/thong-tin/blog/lai-suat-vay-ngan-hang</v>
      </c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28" t="str">
        <f>IFERROR(__xludf.DUMMYFUNCTION("""COMPUTED_VALUE"""),"https://techcombank.com/thong-tin/blog/thu-tuc-vay-von-ngan-hang-de-xay-nha")</f>
        <v>https://techcombank.com/thong-tin/blog/thu-tuc-vay-von-ngan-hang-de-xay-nha</v>
      </c>
      <c r="B295" s="11">
        <f>IFERROR(__xludf.DUMMYFUNCTION("""COMPUTED_VALUE"""),5.0)</f>
        <v>5</v>
      </c>
      <c r="C295" s="7" t="str">
        <f>IFERROR(__xludf.DUMMYFUNCTION("IF(A295="""","""",TEXTJOIN(CHAR(10),TRUE,FILTER('Tổng hợp 75 trang đích'!$B$2:$B$3400,'Tổng hợp 75 trang đích'!$I$2:$I$3400=A295)))"),"https://techcombank.com/thong-tin/blog/cic-la-gi
https://techcombank.com/thong-tin/blog/cach-tinh-lai-vay-ngan-hang
https://techcombank.com/cong-cu-tien-ich/cong-cu-tinh-toan/bang-tinh-lai-suat-vay
https://techcombank.com/thong-tin/blog/app-vay-tien-nhanh"&amp;"
https://techcombank.com/thong-tin/blog/lai-suat-vay-ngan-hang")</f>
        <v>https://techcombank.com/thong-tin/blog/cic-la-gi
https://techcombank.com/thong-tin/blog/cach-tinh-lai-vay-ngan-hang
https://techcombank.com/cong-cu-tien-ich/cong-cu-tinh-toan/bang-tinh-lai-suat-vay
https://techcombank.com/thong-tin/blog/app-vay-tien-nhanh
https://techcombank.com/thong-tin/blog/lai-suat-vay-ngan-hang</v>
      </c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28" t="str">
        <f>IFERROR(__xludf.DUMMYFUNCTION("""COMPUTED_VALUE"""),"https://techcombank.com/thong-tin/blog/thue-doanh-nghiep")</f>
        <v>https://techcombank.com/thong-tin/blog/thue-doanh-nghiep</v>
      </c>
      <c r="B296" s="11">
        <f>IFERROR(__xludf.DUMMYFUNCTION("""COMPUTED_VALUE"""),5.0)</f>
        <v>5</v>
      </c>
      <c r="C296" s="7" t="str">
        <f>IFERROR(__xludf.DUMMYFUNCTION("IF(A296="""","""",TEXTJOIN(CHAR(10),TRUE,FILTER('Tổng hợp 75 trang đích'!$B$2:$B$3400,'Tổng hợp 75 trang đích'!$I$2:$I$3400=A296)))"),"https://techcombank.com/thong-tin/blog/nop-thue-dat-qua-ngan-hang
https://techcombank.com/thong-tin/blog/thue-thu-nhap-doanh-nghiep
https://techcombank.com/thong-tin/blog/thue-vat-la-gi
https://techcombank.com/thong-tin/blog/tra-cuu-no-thue-doanh-nghiep
h"&amp;"ttps://techcombank.com/thong-tin/blog/cach-tinh-thue-thu-nhap-doanh-nghiep")</f>
        <v>https://techcombank.com/thong-tin/blog/nop-thue-dat-qua-ngan-hang
https://techcombank.com/thong-tin/blog/thue-thu-nhap-doanh-nghiep
https://techcombank.com/thong-tin/blog/thue-vat-la-gi
https://techcombank.com/thong-tin/blog/tra-cuu-no-thue-doanh-nghiep
https://techcombank.com/thong-tin/blog/cach-tinh-thue-thu-nhap-doanh-nghiep</v>
      </c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28" t="str">
        <f>IFERROR(__xludf.DUMMYFUNCTION("""COMPUTED_VALUE"""),"https://techcombank.com/thong-tin/blog/thue-doanh-nghiep-2025")</f>
        <v>https://techcombank.com/thong-tin/blog/thue-doanh-nghiep-2025</v>
      </c>
      <c r="B297" s="11">
        <f>IFERROR(__xludf.DUMMYFUNCTION("""COMPUTED_VALUE"""),5.0)</f>
        <v>5</v>
      </c>
      <c r="C297" s="7" t="str">
        <f>IFERROR(__xludf.DUMMYFUNCTION("IF(A297="""","""",TEXTJOIN(CHAR(10),TRUE,FILTER('Tổng hợp 75 trang đích'!$B$2:$B$3400,'Tổng hợp 75 trang đích'!$I$2:$I$3400=A297)))"),"https://techcombank.com/thong-tin/blog/nop-thue-dat-qua-ngan-hang
https://techcombank.com/thong-tin/blog/cach-nop-thue-dien-tu
https://techcombank.com/thong-tin/blog/thue-thu-nhap-doanh-nghiep
https://techcombank.com/thong-tin/blog/thue-doanh-nghiep
https"&amp;"://techcombank.com/thong-tin/blog/ho-kinh-doanh-dong-thue-nhu-nao")</f>
        <v>https://techcombank.com/thong-tin/blog/nop-thue-dat-qua-ngan-hang
https://techcombank.com/thong-tin/blog/cach-nop-thue-dien-tu
https://techcombank.com/thong-tin/blog/thue-thu-nhap-doanh-nghiep
https://techcombank.com/thong-tin/blog/thue-doanh-nghiep
https://techcombank.com/thong-tin/blog/ho-kinh-doanh-dong-thue-nhu-nao</v>
      </c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28" t="str">
        <f>IFERROR(__xludf.DUMMYFUNCTION("""COMPUTED_VALUE"""),"https://techcombank.com/thong-tin/blog/thue-thu-nhap-ca-nhan")</f>
        <v>https://techcombank.com/thong-tin/blog/thue-thu-nhap-ca-nhan</v>
      </c>
      <c r="B298" s="11">
        <f>IFERROR(__xludf.DUMMYFUNCTION("""COMPUTED_VALUE"""),5.0)</f>
        <v>5</v>
      </c>
      <c r="C298" s="7" t="str">
        <f>IFERROR(__xludf.DUMMYFUNCTION("IF(A298="""","""",TEXTJOIN(CHAR(10),TRUE,FILTER('Tổng hợp 75 trang đích'!$B$2:$B$3400,'Tổng hợp 75 trang đích'!$I$2:$I$3400=A298)))"),"https://techcombank.com/thong-tin/blog/nop-thue-dat-qua-ngan-hang
https://techcombank.com/thong-tin/blog/cach-nop-thue-dien-tu
https://techcombank.com/thong-tin/blog/cach-tinh-thue-thu-nhap-ca-nhan-2025
https://techcombank.com/thong-tin/blog/cach-mo-tai-k"&amp;"hoan
https://techcombank.com/thong-tin/blog/kiem-tra-thue-thu-nhap-ca-nhan")</f>
        <v>https://techcombank.com/thong-tin/blog/nop-thue-dat-qua-ngan-hang
https://techcombank.com/thong-tin/blog/cach-nop-thue-dien-tu
https://techcombank.com/thong-tin/blog/cach-tinh-thue-thu-nhap-ca-nhan-2025
https://techcombank.com/thong-tin/blog/cach-mo-tai-khoan
https://techcombank.com/thong-tin/blog/kiem-tra-thue-thu-nhap-ca-nhan</v>
      </c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28" t="str">
        <f>IFERROR(__xludf.DUMMYFUNCTION("""COMPUTED_VALUE"""),"https://techcombank.com/thong-tin/blog/tiem-nang-chuyen-doi-tu-ho-kinh-doanh-len-doanh-nghiep-sme")</f>
        <v>https://techcombank.com/thong-tin/blog/tiem-nang-chuyen-doi-tu-ho-kinh-doanh-len-doanh-nghiep-sme</v>
      </c>
      <c r="B299" s="11">
        <f>IFERROR(__xludf.DUMMYFUNCTION("""COMPUTED_VALUE"""),5.0)</f>
        <v>5</v>
      </c>
      <c r="C299" s="7" t="str">
        <f>IFERROR(__xludf.DUMMYFUNCTION("IF(A299="""","""",TEXTJOIN(CHAR(10),TRUE,FILTER('Tổng hợp 75 trang đích'!$B$2:$B$3400,'Tổng hợp 75 trang đích'!$I$2:$I$3400=A299)))"),"https://techcombank.com/thong-tin/blog/nop-thue-dat-qua-ngan-hang
https://techcombank.com/thong-tin/blog/ho-kinh-doanh-dong-thue-nhu-nao
https://techcombank.com/thong-tin/blog/mo-hinh-kinh-doanh-la-gi
https://techcombank.com/thong-tin/blog/mo-tai-khoan-ho"&amp;"-kinh-doanh
https://techcombank.com/thong-tin/blog/cach-tinh-thue-ho-kinh-doanh-nho-le")</f>
        <v>https://techcombank.com/thong-tin/blog/nop-thue-dat-qua-ngan-hang
https://techcombank.com/thong-tin/blog/ho-kinh-doanh-dong-thue-nhu-nao
https://techcombank.com/thong-tin/blog/mo-hinh-kinh-doanh-la-gi
https://techcombank.com/thong-tin/blog/mo-tai-khoan-ho-kinh-doanh
https://techcombank.com/thong-tin/blog/cach-tinh-thue-ho-kinh-doanh-nho-le</v>
      </c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28" t="str">
        <f>IFERROR(__xludf.DUMMYFUNCTION("""COMPUTED_VALUE"""),"https://techcombank.com/thong-tin/blog/tiet-kiem-khi-di-du-lich")</f>
        <v>https://techcombank.com/thong-tin/blog/tiet-kiem-khi-di-du-lich</v>
      </c>
      <c r="B300" s="11">
        <f>IFERROR(__xludf.DUMMYFUNCTION("""COMPUTED_VALUE"""),5.0)</f>
        <v>5</v>
      </c>
      <c r="C300" s="7" t="str">
        <f>IFERROR(__xludf.DUMMYFUNCTION("IF(A300="""","""",TEXTJOIN(CHAR(10),TRUE,FILTER('Tổng hợp 75 trang đích'!$B$2:$B$3400,'Tổng hợp 75 trang đích'!$I$2:$I$3400=A300)))"),"https://techcombank.com/thong-tin/blog/cach-sao-ke-tai-khoan-ngan-hang
https://techcombank.com/khach-hang-ca-nhan/chi-tieu/the/the-tin-dung/techcombank-everyday
https://techcombank.com/thong-tin/blog/the-tin-dung-hoan-tien
https://techcombank.com/thong-ti"&amp;"n/blog/traveloka-voucher
https://techcombank.com/thong-tin/blog/lai-suat-tiet-kiem")</f>
        <v>https://techcombank.com/thong-tin/blog/cach-sao-ke-tai-khoan-ngan-hang
https://techcombank.com/khach-hang-ca-nhan/chi-tieu/the/the-tin-dung/techcombank-everyday
https://techcombank.com/thong-tin/blog/the-tin-dung-hoan-tien
https://techcombank.com/thong-tin/blog/traveloka-voucher
https://techcombank.com/thong-tin/blog/lai-suat-tiet-kiem</v>
      </c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28" t="str">
        <f>IFERROR(__xludf.DUMMYFUNCTION("""COMPUTED_VALUE"""),"https://techcombank.com/thong-tin/blog/top-phan-mem-ban-hang")</f>
        <v>https://techcombank.com/thong-tin/blog/top-phan-mem-ban-hang</v>
      </c>
      <c r="B301" s="11">
        <f>IFERROR(__xludf.DUMMYFUNCTION("""COMPUTED_VALUE"""),5.0)</f>
        <v>5</v>
      </c>
      <c r="C301" s="7" t="str">
        <f>IFERROR(__xludf.DUMMYFUNCTION("IF(A301="""","""",TEXTJOIN(CHAR(10),TRUE,FILTER('Tổng hợp 75 trang đích'!$B$2:$B$3400,'Tổng hợp 75 trang đích'!$I$2:$I$3400=A301)))"),"https://techcombank.com/thong-tin/blog/nop-thue-dat-qua-ngan-hang
https://techcombank.com/thong-tin/blog/cach-nop-thue-dien-tu
https://techcombank.com/thong-tin/blog/thue-thu-nhap-doanh-nghiep
https://techcombank.com/thong-tin/blog/mo-hinh-kinh-doanh-la-g"&amp;"i
https://techcombank.com/thong-tin/blog/gui-ma-qr-ngan-hang")</f>
        <v>https://techcombank.com/thong-tin/blog/nop-thue-dat-qua-ngan-hang
https://techcombank.com/thong-tin/blog/cach-nop-thue-dien-tu
https://techcombank.com/thong-tin/blog/thue-thu-nhap-doanh-nghiep
https://techcombank.com/thong-tin/blog/mo-hinh-kinh-doanh-la-gi
https://techcombank.com/thong-tin/blog/gui-ma-qr-ngan-hang</v>
      </c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28" t="str">
        <f>IFERROR(__xludf.DUMMYFUNCTION("""COMPUTED_VALUE"""),"https://techcombank.com/thong-tin/blog/tra-gop-qua-the-tin-dung")</f>
        <v>https://techcombank.com/thong-tin/blog/tra-gop-qua-the-tin-dung</v>
      </c>
      <c r="B302" s="11">
        <f>IFERROR(__xludf.DUMMYFUNCTION("""COMPUTED_VALUE"""),5.0)</f>
        <v>5</v>
      </c>
      <c r="C302" s="7" t="str">
        <f>IFERROR(__xludf.DUMMYFUNCTION("IF(A302="""","""",TEXTJOIN(CHAR(10),TRUE,FILTER('Tổng hợp 75 trang đích'!$B$2:$B$3400,'Tổng hợp 75 trang đích'!$I$2:$I$3400=A302)))"),"https://techcombank.com/thong-tin/blog/cic-la-gi
https://techcombank.com/thong-tin/blog/rut-tien-mat-tu-the-tin-dung
https://techcombank.com/thong-tin/blog/cach-tinh-lai-vay-ngan-hang
https://techcombank.com/cong-cu-tien-ich/cong-cu-tinh-toan/bang-tinh-la"&amp;"i-suat-vay
https://techcombank.com/thong-tin/blog/app-vay-tien-nhanh")</f>
        <v>https://techcombank.com/thong-tin/blog/cic-la-gi
https://techcombank.com/thong-tin/blog/rut-tien-mat-tu-the-tin-dung
https://techcombank.com/thong-tin/blog/cach-tinh-lai-vay-ngan-hang
https://techcombank.com/cong-cu-tien-ich/cong-cu-tinh-toan/bang-tinh-lai-suat-vay
https://techcombank.com/thong-tin/blog/app-vay-tien-nhanh</v>
      </c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28" t="str">
        <f>IFERROR(__xludf.DUMMYFUNCTION("""COMPUTED_VALUE"""),"https://techcombank.com/thong-tin/blog/ty-gia-cac-ngan-hang")</f>
        <v>https://techcombank.com/thong-tin/blog/ty-gia-cac-ngan-hang</v>
      </c>
      <c r="B303" s="11">
        <f>IFERROR(__xludf.DUMMYFUNCTION("""COMPUTED_VALUE"""),5.0)</f>
        <v>5</v>
      </c>
      <c r="C303" s="7" t="str">
        <f>IFERROR(__xludf.DUMMYFUNCTION("IF(A303="""","""",TEXTJOIN(CHAR(10),TRUE,FILTER('Tổng hợp 75 trang đích'!$B$2:$B$3400,'Tổng hợp 75 trang đích'!$I$2:$I$3400=A303)))"),"https://techcombank.com/thong-tin/blog/ngan-hang-uy-tin
https://techcombank.com/thong-tin/blog/1-te-bang-bao-nhieu-tien-viet-nam
https://techcombank.com/thong-tin/blog/1-won-bang-bao-nhieu-tien-viet
https://techcombank.com/thong-tin/blog/tien-dai-loan
htt"&amp;"ps://techcombank.com/thong-tin/blog/doi-tien-do-o-dau")</f>
        <v>https://techcombank.com/thong-tin/blog/ngan-hang-uy-tin
https://techcombank.com/thong-tin/blog/1-te-bang-bao-nhieu-tien-viet-nam
https://techcombank.com/thong-tin/blog/1-won-bang-bao-nhieu-tien-viet
https://techcombank.com/thong-tin/blog/tien-dai-loan
https://techcombank.com/thong-tin/blog/doi-tien-do-o-dau</v>
      </c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28" t="str">
        <f>IFERROR(__xludf.DUMMYFUNCTION("""COMPUTED_VALUE"""),"https://techcombank.com/thong-tin/blog/uu-dai-the-tin-dung")</f>
        <v>https://techcombank.com/thong-tin/blog/uu-dai-the-tin-dung</v>
      </c>
      <c r="B304" s="11">
        <f>IFERROR(__xludf.DUMMYFUNCTION("""COMPUTED_VALUE"""),5.0)</f>
        <v>5</v>
      </c>
      <c r="C304" s="7" t="str">
        <f>IFERROR(__xludf.DUMMYFUNCTION("IF(A304="""","""",TEXTJOIN(CHAR(10),TRUE,FILTER('Tổng hợp 75 trang đích'!$B$2:$B$3400,'Tổng hợp 75 trang đích'!$I$2:$I$3400=A304)))"),"https://techcombank.com/thong-tin/blog/cach-sao-ke-tai-khoan-ngan-hang
https://techcombank.com/thong-tin/blog/cic-la-gi
https://techcombank.com/khach-hang-ca-nhan/chi-tieu/the/the-tin-dung/techcombank-everyday
https://techcombank.com/thong-tin/blog/cach-h"&amp;"uy-the-tin-dung
https://techcombank.com/thong-tin/blog/lai-suat-tiet-kiem")</f>
        <v>https://techcombank.com/thong-tin/blog/cach-sao-ke-tai-khoan-ngan-hang
https://techcombank.com/thong-tin/blog/cic-la-gi
https://techcombank.com/khach-hang-ca-nhan/chi-tieu/the/the-tin-dung/techcombank-everyday
https://techcombank.com/thong-tin/blog/cach-huy-the-tin-dung
https://techcombank.com/thong-tin/blog/lai-suat-tiet-kiem</v>
      </c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28" t="str">
        <f>IFERROR(__xludf.DUMMYFUNCTION("""COMPUTED_VALUE"""),"https://techcombank.com/thong-tin/blog/vay-du-hoc")</f>
        <v>https://techcombank.com/thong-tin/blog/vay-du-hoc</v>
      </c>
      <c r="B305" s="11">
        <f>IFERROR(__xludf.DUMMYFUNCTION("""COMPUTED_VALUE"""),5.0)</f>
        <v>5</v>
      </c>
      <c r="C305" s="7" t="str">
        <f>IFERROR(__xludf.DUMMYFUNCTION("IF(A305="""","""",TEXTJOIN(CHAR(10),TRUE,FILTER('Tổng hợp 75 trang đích'!$B$2:$B$3400,'Tổng hợp 75 trang đích'!$I$2:$I$3400=A305)))"),"https://techcombank.com/thong-tin/blog/1-won-bang-bao-nhieu-tien-viet
https://techcombank.com/thong-tin/blog/1000-won-bang-bao-nhieu-tien-viet
https://techcombank.com/thong-tin/blog/cach-nhan-tien-tu-nuoc-ngoai-ve-viet-nam
https://techcombank.com/cong-cu-"&amp;"tien-ich/cong-cu-tinh-toan/bang-tinh-lai-suat-vay
https://techcombank.com/thong-tin/blog/app-vay-tien-nhanh")</f>
        <v>https://techcombank.com/thong-tin/blog/1-won-bang-bao-nhieu-tien-viet
https://techcombank.com/thong-tin/blog/1000-won-bang-bao-nhieu-tien-viet
https://techcombank.com/thong-tin/blog/cach-nhan-tien-tu-nuoc-ngoai-ve-viet-nam
https://techcombank.com/cong-cu-tien-ich/cong-cu-tinh-toan/bang-tinh-lai-suat-vay
https://techcombank.com/thong-tin/blog/app-vay-tien-nhanh</v>
      </c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28" t="str">
        <f>IFERROR(__xludf.DUMMYFUNCTION("""COMPUTED_VALUE"""),"https://techcombank.com/thong-tin/blog/vay-han-muc-la-gi")</f>
        <v>https://techcombank.com/thong-tin/blog/vay-han-muc-la-gi</v>
      </c>
      <c r="B306" s="11">
        <f>IFERROR(__xludf.DUMMYFUNCTION("""COMPUTED_VALUE"""),5.0)</f>
        <v>5</v>
      </c>
      <c r="C306" s="7" t="str">
        <f>IFERROR(__xludf.DUMMYFUNCTION("IF(A306="""","""",TEXTJOIN(CHAR(10),TRUE,FILTER('Tổng hợp 75 trang đích'!$B$2:$B$3400,'Tổng hợp 75 trang đích'!$I$2:$I$3400=A306)))"),"https://techcombank.com/thong-tin/blog/cic-la-gi
https://techcombank.com/cong-cu-tien-ich/cong-cu-tinh-toan/bang-tinh-lai-suat-vay
https://techcombank.com/thong-tin/blog/app-vay-tien-nhanh
https://techcombank.com/thong-tin/blog/lai-suat-vay-ngan-hang
http"&amp;"s://techcombank.com/thong-tin/blog/vay-thau-chi-la-gi")</f>
        <v>https://techcombank.com/thong-tin/blog/cic-la-gi
https://techcombank.com/cong-cu-tien-ich/cong-cu-tinh-toan/bang-tinh-lai-suat-vay
https://techcombank.com/thong-tin/blog/app-vay-tien-nhanh
https://techcombank.com/thong-tin/blog/lai-suat-vay-ngan-hang
https://techcombank.com/thong-tin/blog/vay-thau-chi-la-gi</v>
      </c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28" t="str">
        <f>IFERROR(__xludf.DUMMYFUNCTION("""COMPUTED_VALUE"""),"https://techcombank.com/thong-tin/blog/vay-the-chap-hop-dong-mua-ban-can-ho")</f>
        <v>https://techcombank.com/thong-tin/blog/vay-the-chap-hop-dong-mua-ban-can-ho</v>
      </c>
      <c r="B307" s="11">
        <f>IFERROR(__xludf.DUMMYFUNCTION("""COMPUTED_VALUE"""),5.0)</f>
        <v>5</v>
      </c>
      <c r="C307" s="7" t="str">
        <f>IFERROR(__xludf.DUMMYFUNCTION("IF(A307="""","""",TEXTJOIN(CHAR(10),TRUE,FILTER('Tổng hợp 75 trang đích'!$B$2:$B$3400,'Tổng hợp 75 trang đích'!$I$2:$I$3400=A307)))"),"https://techcombank.com/thong-tin/blog/cic-la-gi
https://techcombank.com/cong-cu-tien-ich/cong-cu-tinh-toan/bang-tinh-lai-suat-vay
https://techcombank.com/thong-tin/blog/app-vay-tien-nhanh
https://techcombank.com/thong-tin/blog/lai-suat-vay-ngan-hang
http"&amp;"s://techcombank.com/thong-tin/blog/vay-thau-chi-la-gi")</f>
        <v>https://techcombank.com/thong-tin/blog/cic-la-gi
https://techcombank.com/cong-cu-tien-ich/cong-cu-tinh-toan/bang-tinh-lai-suat-vay
https://techcombank.com/thong-tin/blog/app-vay-tien-nhanh
https://techcombank.com/thong-tin/blog/lai-suat-vay-ngan-hang
https://techcombank.com/thong-tin/blog/vay-thau-chi-la-gi</v>
      </c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28" t="str">
        <f>IFERROR(__xludf.DUMMYFUNCTION("""COMPUTED_VALUE"""),"https://techcombank.com/thong-tin/blog/vay-the-chap-khong-chung-minh-thu-nhap")</f>
        <v>https://techcombank.com/thong-tin/blog/vay-the-chap-khong-chung-minh-thu-nhap</v>
      </c>
      <c r="B308" s="11">
        <f>IFERROR(__xludf.DUMMYFUNCTION("""COMPUTED_VALUE"""),5.0)</f>
        <v>5</v>
      </c>
      <c r="C308" s="7" t="str">
        <f>IFERROR(__xludf.DUMMYFUNCTION("IF(A308="""","""",TEXTJOIN(CHAR(10),TRUE,FILTER('Tổng hợp 75 trang đích'!$B$2:$B$3400,'Tổng hợp 75 trang đích'!$I$2:$I$3400=A308)))"),"https://techcombank.com/thong-tin/blog/cach-tinh-thue-thu-nhap-ca-nhan-2025
https://techcombank.com/thong-tin/blog/lai-suat-vay-the-chap-so-do
https://techcombank.com/cong-cu-tien-ich/cong-cu-tinh-toan/bang-tinh-lai-suat-vay
https://techcombank.com/thong-"&amp;"tin/blog/app-vay-tien-nhanh
https://techcombank.com/thong-tin/blog/lai-suat-vay-ngan-hang")</f>
        <v>https://techcombank.com/thong-tin/blog/cach-tinh-thue-thu-nhap-ca-nhan-2025
https://techcombank.com/thong-tin/blog/lai-suat-vay-the-chap-so-do
https://techcombank.com/cong-cu-tien-ich/cong-cu-tinh-toan/bang-tinh-lai-suat-vay
https://techcombank.com/thong-tin/blog/app-vay-tien-nhanh
https://techcombank.com/thong-tin/blog/lai-suat-vay-ngan-hang</v>
      </c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28" t="str">
        <f>IFERROR(__xludf.DUMMYFUNCTION("""COMPUTED_VALUE"""),"https://techcombank.com/thong-tin/blog/vay-tien-online")</f>
        <v>https://techcombank.com/thong-tin/blog/vay-tien-online</v>
      </c>
      <c r="B309" s="11">
        <f>IFERROR(__xludf.DUMMYFUNCTION("""COMPUTED_VALUE"""),5.0)</f>
        <v>5</v>
      </c>
      <c r="C309" s="7" t="str">
        <f>IFERROR(__xludf.DUMMYFUNCTION("IF(A309="""","""",TEXTJOIN(CHAR(10),TRUE,FILTER('Tổng hợp 75 trang đích'!$B$2:$B$3400,'Tổng hợp 75 trang đích'!$I$2:$I$3400=A309)))"),"https://techcombank.com/thong-tin/blog/cach-tinh-thue-thu-nhap-ca-nhan-2025
https://techcombank.com/thong-tin/blog/cach-sao-ke-tai-khoan-ngan-hang
https://techcombank.com/cong-cu-tien-ich/cong-cu-tinh-toan/bang-tinh-lai-suat-vay
https://techcombank.com/th"&amp;"ong-tin/blog/app-vay-tien-nhanh
https://techcombank.com/thong-tin/blog/nen-vay-tin-chap-o-dau")</f>
        <v>https://techcombank.com/thong-tin/blog/cach-tinh-thue-thu-nhap-ca-nhan-2025
https://techcombank.com/thong-tin/blog/cach-sao-ke-tai-khoan-ngan-hang
https://techcombank.com/cong-cu-tien-ich/cong-cu-tinh-toan/bang-tinh-lai-suat-vay
https://techcombank.com/thong-tin/blog/app-vay-tien-nhanh
https://techcombank.com/thong-tin/blog/nen-vay-tin-chap-o-dau</v>
      </c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28" t="str">
        <f>IFERROR(__xludf.DUMMYFUNCTION("""COMPUTED_VALUE"""),"https://techcombank.com/thong-tin/blog/vay-tin-chap-cho-doanh-nghiep-moi-thanh-lap")</f>
        <v>https://techcombank.com/thong-tin/blog/vay-tin-chap-cho-doanh-nghiep-moi-thanh-lap</v>
      </c>
      <c r="B310" s="11">
        <f>IFERROR(__xludf.DUMMYFUNCTION("""COMPUTED_VALUE"""),5.0)</f>
        <v>5</v>
      </c>
      <c r="C310" s="7" t="str">
        <f>IFERROR(__xludf.DUMMYFUNCTION("IF(A310="""","""",TEXTJOIN(CHAR(10),TRUE,FILTER('Tổng hợp 75 trang đích'!$B$2:$B$3400,'Tổng hợp 75 trang đích'!$I$2:$I$3400=A310)))"),"https://techcombank.com/cong-cu-tien-ich/cong-cu-tinh-toan/bang-tinh-lai-suat-vay
https://techcombank.com/thong-tin/blog/app-vay-tien-nhanh
https://techcombank.com/thong-tin/blog/lai-suat-vay-ngan-hang
https://techcombank.com/thong-tin/blog/nen-vay-tin-ch"&amp;"ap-o-dau
https://techcombank.com/thong-tin/blog/vay-tin-chap-khong-tra-duoc-co-sao-khong")</f>
        <v>https://techcombank.com/cong-cu-tien-ich/cong-cu-tinh-toan/bang-tinh-lai-suat-vay
https://techcombank.com/thong-tin/blog/app-vay-tien-nhanh
https://techcombank.com/thong-tin/blog/lai-suat-vay-ngan-hang
https://techcombank.com/thong-tin/blog/nen-vay-tin-chap-o-dau
https://techcombank.com/thong-tin/blog/vay-tin-chap-khong-tra-duoc-co-sao-khong</v>
      </c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28" t="str">
        <f>IFERROR(__xludf.DUMMYFUNCTION("""COMPUTED_VALUE"""),"https://techcombank.com/thong-tin/blog/vay-von-doanh-nghiep-khong-the-chap")</f>
        <v>https://techcombank.com/thong-tin/blog/vay-von-doanh-nghiep-khong-the-chap</v>
      </c>
      <c r="B311" s="11">
        <f>IFERROR(__xludf.DUMMYFUNCTION("""COMPUTED_VALUE"""),5.0)</f>
        <v>5</v>
      </c>
      <c r="C311" s="7" t="str">
        <f>IFERROR(__xludf.DUMMYFUNCTION("IF(A311="""","""",TEXTJOIN(CHAR(10),TRUE,FILTER('Tổng hợp 75 trang đích'!$B$2:$B$3400,'Tổng hợp 75 trang đích'!$I$2:$I$3400=A311)))"),"https://techcombank.com/thong-tin/blog/lai-suat-vay-the-chap-so-do
https://techcombank.com/thong-tin/blog/ho-so-thu-tuc-xoa-the-chap
https://techcombank.com/cong-cu-tien-ich/cong-cu-tinh-toan/bang-tinh-lai-suat-vay
https://techcombank.com/thong-tin/blog/a"&amp;"pp-vay-tien-nhanh
https://techcombank.com/thong-tin/blog/lai-suat-vay-ngan-hang")</f>
        <v>https://techcombank.com/thong-tin/blog/lai-suat-vay-the-chap-so-do
https://techcombank.com/thong-tin/blog/ho-so-thu-tuc-xoa-the-chap
https://techcombank.com/cong-cu-tien-ich/cong-cu-tinh-toan/bang-tinh-lai-suat-vay
https://techcombank.com/thong-tin/blog/app-vay-tien-nhanh
https://techcombank.com/thong-tin/blog/lai-suat-vay-ngan-hang</v>
      </c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28" t="str">
        <f>IFERROR(__xludf.DUMMYFUNCTION("""COMPUTED_VALUE"""),"https://techcombank.com/thong-tin/blog/vi-sao-lai-suat-trai-phieu-tai-tcbs-lai-thap-hon-so-voi-cac-to-chuc-phat-hanh-khac")</f>
        <v>https://techcombank.com/thong-tin/blog/vi-sao-lai-suat-trai-phieu-tai-tcbs-lai-thap-hon-so-voi-cac-to-chuc-phat-hanh-khac</v>
      </c>
      <c r="B312" s="11">
        <f>IFERROR(__xludf.DUMMYFUNCTION("""COMPUTED_VALUE"""),5.0)</f>
        <v>5</v>
      </c>
      <c r="C312" s="7" t="str">
        <f>IFERROR(__xludf.DUMMYFUNCTION("IF(A312="""","""",TEXTJOIN(CHAR(10),TRUE,FILTER('Tổng hợp 75 trang đích'!$B$2:$B$3400,'Tổng hợp 75 trang đích'!$I$2:$I$3400=A312)))"),"https://techcombank.com/thong-tin/blog/cong-ty-su-dung-tai-khoan-ca-nhan
https://techcombank.com/thong-tin/blog/lai-suat-tiet-kiem
https://techcombank.com/thong-tin/blog/cach-tinh-lai-suat-tien-gui-tiet-kiem
https://techcombank.com/cong-cu-tien-ich/cong-c"&amp;"u-tinh-toan/bang-tinh-lai-suat-tiet-kiem
https://techcombank.com/thong-tin/blog/app-vay-tien-nhanh")</f>
        <v>https://techcombank.com/thong-tin/blog/cong-ty-su-dung-tai-khoan-ca-nhan
https://techcombank.com/thong-tin/blog/lai-suat-tiet-kiem
https://techcombank.com/thong-tin/blog/cach-tinh-lai-suat-tien-gui-tiet-kiem
https://techcombank.com/cong-cu-tien-ich/cong-cu-tinh-toan/bang-tinh-lai-suat-tiet-kiem
https://techcombank.com/thong-tin/blog/app-vay-tien-nhanh</v>
      </c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28" t="str">
        <f>IFERROR(__xludf.DUMMYFUNCTION("""COMPUTED_VALUE"""),"https://techcombank.com/thong-tin/blog/99999-co-y-nghia-gi")</f>
        <v>https://techcombank.com/thong-tin/blog/99999-co-y-nghia-gi</v>
      </c>
      <c r="B313" s="11">
        <f>IFERROR(__xludf.DUMMYFUNCTION("""COMPUTED_VALUE"""),4.0)</f>
        <v>4</v>
      </c>
      <c r="C313" s="7" t="str">
        <f>IFERROR(__xludf.DUMMYFUNCTION("IF(A313="""","""",TEXTJOIN(CHAR(10),TRUE,FILTER('Tổng hợp 75 trang đích'!$B$2:$B$3400,'Tổng hợp 75 trang đích'!$I$2:$I$3400=A313)))"),"https://techcombank.com/thong-tin/blog/cach-tinh-tien-dien-sinh-hoat
https://techcombank.com/thong-tin/blog/cach-kiem-tra-tai-khoan-ngan-hang
https://techcombank.com/thong-tin/blog/day-so-phat-tai-phat-loc
https://techcombank.com/thong-tin/blog/cach-quet-"&amp;"nfc-cccd-tren-iphone")</f>
        <v>https://techcombank.com/thong-tin/blog/cach-tinh-tien-dien-sinh-hoat
https://techcombank.com/thong-tin/blog/cach-kiem-tra-tai-khoan-ngan-hang
https://techcombank.com/thong-tin/blog/day-so-phat-tai-phat-loc
https://techcombank.com/thong-tin/blog/cach-quet-nfc-cccd-tren-iphone</v>
      </c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28" t="str">
        <f>IFERROR(__xludf.DUMMYFUNCTION("""COMPUTED_VALUE"""),"https://techcombank.com/thong-tin/blog/app-mua-truoc-tra-sau")</f>
        <v>https://techcombank.com/thong-tin/blog/app-mua-truoc-tra-sau</v>
      </c>
      <c r="B314" s="11">
        <f>IFERROR(__xludf.DUMMYFUNCTION("""COMPUTED_VALUE"""),4.0)</f>
        <v>4</v>
      </c>
      <c r="C314" s="7" t="str">
        <f>IFERROR(__xludf.DUMMYFUNCTION("IF(A314="""","""",TEXTJOIN(CHAR(10),TRUE,FILTER('Tổng hợp 75 trang đích'!$B$2:$B$3400,'Tổng hợp 75 trang đích'!$I$2:$I$3400=A314)))"),"https://techcombank.com/thong-tin/blog/cach-sao-ke-tai-khoan-ngan-hang
https://techcombank.com/thong-tin/blog/cach-tiet-kiem-tien
https://techcombank.com/cong-cu-tien-ich/cong-cu-tinh-toan/bang-tinh-lai-suat-vay
https://techcombank.com/thong-tin/blog/app-"&amp;"vay-tien-nhanh")</f>
        <v>https://techcombank.com/thong-tin/blog/cach-sao-ke-tai-khoan-ngan-hang
https://techcombank.com/thong-tin/blog/cach-tiet-kiem-tien
https://techcombank.com/cong-cu-tien-ich/cong-cu-tinh-toan/bang-tinh-lai-suat-vay
https://techcombank.com/thong-tin/blog/app-vay-tien-nhanh</v>
      </c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28" t="str">
        <f>IFERROR(__xludf.DUMMYFUNCTION("""COMPUTED_VALUE"""),"https://techcombank.com/thong-tin/blog/app-ngan-hang")</f>
        <v>https://techcombank.com/thong-tin/blog/app-ngan-hang</v>
      </c>
      <c r="B315" s="11">
        <f>IFERROR(__xludf.DUMMYFUNCTION("""COMPUTED_VALUE"""),4.0)</f>
        <v>4</v>
      </c>
      <c r="C315" s="7" t="str">
        <f>IFERROR(__xludf.DUMMYFUNCTION("IF(A315="""","""",TEXTJOIN(CHAR(10),TRUE,FILTER('Tổng hợp 75 trang đích'!$B$2:$B$3400,'Tổng hợp 75 trang đích'!$I$2:$I$3400=A315)))"),"https://techcombank.com/thong-tin/blog/cach-nap-the-viettel
https://techcombank.com/thong-tin/blog/cach-tinh-tien-dien-sinh-hoat
https://techcombank.com/thong-tin/blog/ngan-hang-uy-tin
https://techcombank.com/thong-tin/blog/day-so-phat-tai-phat-loc")</f>
        <v>https://techcombank.com/thong-tin/blog/cach-nap-the-viettel
https://techcombank.com/thong-tin/blog/cach-tinh-tien-dien-sinh-hoat
https://techcombank.com/thong-tin/blog/ngan-hang-uy-tin
https://techcombank.com/thong-tin/blog/day-so-phat-tai-phat-loc</v>
      </c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28" t="str">
        <f>IFERROR(__xludf.DUMMYFUNCTION("""COMPUTED_VALUE"""),"https://techcombank.com/thong-tin/blog/app-ngan-hang-uy-tin")</f>
        <v>https://techcombank.com/thong-tin/blog/app-ngan-hang-uy-tin</v>
      </c>
      <c r="B316" s="11">
        <f>IFERROR(__xludf.DUMMYFUNCTION("""COMPUTED_VALUE"""),4.0)</f>
        <v>4</v>
      </c>
      <c r="C316" s="7" t="str">
        <f>IFERROR(__xludf.DUMMYFUNCTION("IF(A316="""","""",TEXTJOIN(CHAR(10),TRUE,FILTER('Tổng hợp 75 trang đích'!$B$2:$B$3400,'Tổng hợp 75 trang đích'!$I$2:$I$3400=A316)))"),"https://techcombank.com/thong-tin/blog/cach-nap-the-viettel
https://techcombank.com/thong-tin/blog/cach-tinh-tien-dien-sinh-hoat
https://techcombank.com/thong-tin/blog/ngan-hang-uy-tin
https://techcombank.com/thong-tin/blog/day-so-phat-tai-phat-loc")</f>
        <v>https://techcombank.com/thong-tin/blog/cach-nap-the-viettel
https://techcombank.com/thong-tin/blog/cach-tinh-tien-dien-sinh-hoat
https://techcombank.com/thong-tin/blog/ngan-hang-uy-tin
https://techcombank.com/thong-tin/blog/day-so-phat-tai-phat-loc</v>
      </c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28" t="str">
        <f>IFERROR(__xludf.DUMMYFUNCTION("""COMPUTED_VALUE"""),"https://techcombank.com/thong-tin/blog/bao-lanh-bao-hanh")</f>
        <v>https://techcombank.com/thong-tin/blog/bao-lanh-bao-hanh</v>
      </c>
      <c r="B317" s="11">
        <f>IFERROR(__xludf.DUMMYFUNCTION("""COMPUTED_VALUE"""),4.0)</f>
        <v>4</v>
      </c>
      <c r="C317" s="7" t="str">
        <f>IFERROR(__xludf.DUMMYFUNCTION("IF(A317="""","""",TEXTJOIN(CHAR(10),TRUE,FILTER('Tổng hợp 75 trang đích'!$B$2:$B$3400,'Tổng hợp 75 trang đích'!$I$2:$I$3400=A317)))"),"https://techcombank.com/thong-tin/blog/nop-thue-dat-qua-ngan-hang
https://techcombank.com/thong-tin/blog/cic-la-gi
https://techcombank.com/cong-cu-tien-ich/cong-cu-tinh-toan/bang-tinh-lai-suat-vay
https://techcombank.com/thong-tin/blog/app-vay-tien-nhanh")</f>
        <v>https://techcombank.com/thong-tin/blog/nop-thue-dat-qua-ngan-hang
https://techcombank.com/thong-tin/blog/cic-la-gi
https://techcombank.com/cong-cu-tien-ich/cong-cu-tinh-toan/bang-tinh-lai-suat-vay
https://techcombank.com/thong-tin/blog/app-vay-tien-nhanh</v>
      </c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28" t="str">
        <f>IFERROR(__xludf.DUMMYFUNCTION("""COMPUTED_VALUE"""),"https://techcombank.com/thong-tin/blog/cach-dau-tu")</f>
        <v>https://techcombank.com/thong-tin/blog/cach-dau-tu</v>
      </c>
      <c r="B318" s="11">
        <f>IFERROR(__xludf.DUMMYFUNCTION("""COMPUTED_VALUE"""),4.0)</f>
        <v>4</v>
      </c>
      <c r="C318" s="7" t="str">
        <f>IFERROR(__xludf.DUMMYFUNCTION("IF(A318="""","""",TEXTJOIN(CHAR(10),TRUE,FILTER('Tổng hợp 75 trang đích'!$B$2:$B$3400,'Tổng hợp 75 trang đích'!$I$2:$I$3400=A318)))"),"https://techcombank.com/thong-tin/blog/nop-thue-dat-qua-ngan-hang
https://techcombank.com/thong-tin/blog/lai-suat-tiet-kiem
https://techcombank.com/thong-tin/blog/cach-tinh-lai-suat-tien-gui-tiet-kiem
https://techcombank.com/cong-cu-tien-ich/cong-cu-tinh-"&amp;"toan/bang-tinh-lai-suat-tiet-kiem")</f>
        <v>https://techcombank.com/thong-tin/blog/nop-thue-dat-qua-ngan-hang
https://techcombank.com/thong-tin/blog/lai-suat-tiet-kiem
https://techcombank.com/thong-tin/blog/cach-tinh-lai-suat-tien-gui-tiet-kiem
https://techcombank.com/cong-cu-tien-ich/cong-cu-tinh-toan/bang-tinh-lai-suat-tiet-kiem</v>
      </c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28" t="str">
        <f>IFERROR(__xludf.DUMMYFUNCTION("""COMPUTED_VALUE"""),"https://techcombank.com/thong-tin/blog/cach-doi-mat-khau-tai-khoan-ngan-hang")</f>
        <v>https://techcombank.com/thong-tin/blog/cach-doi-mat-khau-tai-khoan-ngan-hang</v>
      </c>
      <c r="B319" s="11">
        <f>IFERROR(__xludf.DUMMYFUNCTION("""COMPUTED_VALUE"""),4.0)</f>
        <v>4</v>
      </c>
      <c r="C319" s="7" t="str">
        <f>IFERROR(__xludf.DUMMYFUNCTION("IF(A319="""","""",TEXTJOIN(CHAR(10),TRUE,FILTER('Tổng hợp 75 trang đích'!$B$2:$B$3400,'Tổng hợp 75 trang đích'!$I$2:$I$3400=A319)))"),"https://techcombank.com/thong-tin/blog/cach-tinh-tien-dien-sinh-hoat
https://techcombank.com/thong-tin/blog/cach-kiem-tra-tai-khoan-ngan-hang
https://techcombank.com/thong-tin/blog/cach-mo-tai-khoan
https://techcombank.com/thong-tin/blog/ten-dang-nhap-tai"&amp;"-khoan-ngan-hang-la-gi")</f>
        <v>https://techcombank.com/thong-tin/blog/cach-tinh-tien-dien-sinh-hoat
https://techcombank.com/thong-tin/blog/cach-kiem-tra-tai-khoan-ngan-hang
https://techcombank.com/thong-tin/blog/cach-mo-tai-khoan
https://techcombank.com/thong-tin/blog/ten-dang-nhap-tai-khoan-ngan-hang-la-gi</v>
      </c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28" t="str">
        <f>IFERROR(__xludf.DUMMYFUNCTION("""COMPUTED_VALUE"""),"https://techcombank.com/thong-tin/blog/cach-kiem-tra-tai-khoan-ngan-hang")</f>
        <v>https://techcombank.com/thong-tin/blog/cach-kiem-tra-tai-khoan-ngan-hang</v>
      </c>
      <c r="B320" s="11">
        <f>IFERROR(__xludf.DUMMYFUNCTION("""COMPUTED_VALUE"""),4.0)</f>
        <v>4</v>
      </c>
      <c r="C320" s="7" t="str">
        <f>IFERROR(__xludf.DUMMYFUNCTION("IF(A320="""","""",TEXTJOIN(CHAR(10),TRUE,FILTER('Tổng hợp 75 trang đích'!$B$2:$B$3400,'Tổng hợp 75 trang đích'!$I$2:$I$3400=A320)))"),"https://techcombank.com/thong-tin/blog/cach-nap-the-viettel
https://techcombank.com/thong-tin/blog/cach-tinh-tien-dien-sinh-hoat
https://techcombank.com/thong-tin/blog/day-so-phat-tai-phat-loc
https://techcombank.com/thong-tin/blog/cach-quet-nfc-cccd-tren"&amp;"-iphone")</f>
        <v>https://techcombank.com/thong-tin/blog/cach-nap-the-viettel
https://techcombank.com/thong-tin/blog/cach-tinh-tien-dien-sinh-hoat
https://techcombank.com/thong-tin/blog/day-so-phat-tai-phat-loc
https://techcombank.com/thong-tin/blog/cach-quet-nfc-cccd-tren-iphone</v>
      </c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28" t="str">
        <f>IFERROR(__xludf.DUMMYFUNCTION("""COMPUTED_VALUE"""),"https://techcombank.com/thong-tin/blog/cach-lay-lai-tien-da-chuyen-khoan-khi-bi-lua")</f>
        <v>https://techcombank.com/thong-tin/blog/cach-lay-lai-tien-da-chuyen-khoan-khi-bi-lua</v>
      </c>
      <c r="B321" s="11">
        <f>IFERROR(__xludf.DUMMYFUNCTION("""COMPUTED_VALUE"""),4.0)</f>
        <v>4</v>
      </c>
      <c r="C321" s="7" t="str">
        <f>IFERROR(__xludf.DUMMYFUNCTION("IF(A321="""","""",TEXTJOIN(CHAR(10),TRUE,FILTER('Tổng hợp 75 trang đích'!$B$2:$B$3400,'Tổng hợp 75 trang đích'!$I$2:$I$3400=A321)))"),"https://techcombank.com/thong-tin/blog/cach-nap-the-viettel
https://techcombank.com/thong-tin/blog/cach-tinh-tien-dien-sinh-hoat
https://techcombank.com/thong-tin/blog/cach-kiem-tra-tai-khoan-ngan-hang
https://techcombank.com/thong-tin/blog/chuyen-khoan-t"&amp;"hanh-cong-nhung-khong-nhan-duoc-tien")</f>
        <v>https://techcombank.com/thong-tin/blog/cach-nap-the-viettel
https://techcombank.com/thong-tin/blog/cach-tinh-tien-dien-sinh-hoat
https://techcombank.com/thong-tin/blog/cach-kiem-tra-tai-khoan-ngan-hang
https://techcombank.com/thong-tin/blog/chuyen-khoan-thanh-cong-nhung-khong-nhan-duoc-tien</v>
      </c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28" t="str">
        <f>IFERROR(__xludf.DUMMYFUNCTION("""COMPUTED_VALUE"""),"https://techcombank.com/thong-tin/blog/cach-rut-tien-atm")</f>
        <v>https://techcombank.com/thong-tin/blog/cach-rut-tien-atm</v>
      </c>
      <c r="B322" s="11">
        <f>IFERROR(__xludf.DUMMYFUNCTION("""COMPUTED_VALUE"""),4.0)</f>
        <v>4</v>
      </c>
      <c r="C322" s="7" t="str">
        <f>IFERROR(__xludf.DUMMYFUNCTION("IF(A322="""","""",TEXTJOIN(CHAR(10),TRUE,FILTER('Tổng hợp 75 trang đích'!$B$2:$B$3400,'Tổng hợp 75 trang đích'!$I$2:$I$3400=A322)))"),"https://techcombank.com/thong-tin/blog/nap-tien-vao-tai-khoan-ngan-hang
https://techcombank.com/thong-tin/blog/rut-tien-bang-ma-qr-la-gi-cach-thuc-hien-nhu-the-nao
https://techcombank.com/thong-tin/blog/rut-tien-mat-tu-the-tin-dung
https://techcombank.com"&amp;"/thong-tin/blog/gui-ma-qr-ngan-hang")</f>
        <v>https://techcombank.com/thong-tin/blog/nap-tien-vao-tai-khoan-ngan-hang
https://techcombank.com/thong-tin/blog/rut-tien-bang-ma-qr-la-gi-cach-thuc-hien-nhu-the-nao
https://techcombank.com/thong-tin/blog/rut-tien-mat-tu-the-tin-dung
https://techcombank.com/thong-tin/blog/gui-ma-qr-ngan-hang</v>
      </c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28" t="str">
        <f>IFERROR(__xludf.DUMMYFUNCTION("""COMPUTED_VALUE"""),"https://techcombank.com/thong-tin/blog/cach-tao-ma-qr-code-mien-phi")</f>
        <v>https://techcombank.com/thong-tin/blog/cach-tao-ma-qr-code-mien-phi</v>
      </c>
      <c r="B323" s="11">
        <f>IFERROR(__xludf.DUMMYFUNCTION("""COMPUTED_VALUE"""),4.0)</f>
        <v>4</v>
      </c>
      <c r="C323" s="7" t="str">
        <f>IFERROR(__xludf.DUMMYFUNCTION("IF(A323="""","""",TEXTJOIN(CHAR(10),TRUE,FILTER('Tổng hợp 75 trang đích'!$B$2:$B$3400,'Tổng hợp 75 trang đích'!$I$2:$I$3400=A323)))"),"https://techcombank.com/thong-tin/blog/cach-tinh-tien-dien-sinh-hoat
https://techcombank.com/thong-tin/blog/chuyen-khoan-thanh-cong-nhung-khong-nhan-duoc-tien
https://techcombank.com/thong-tin/blog/rut-tien-bang-ma-qr-la-gi-cach-thuc-hien-nhu-the-nao
http"&amp;"s://techcombank.com/thong-tin/blog/gui-ma-qr-ngan-hang")</f>
        <v>https://techcombank.com/thong-tin/blog/cach-tinh-tien-dien-sinh-hoat
https://techcombank.com/thong-tin/blog/chuyen-khoan-thanh-cong-nhung-khong-nhan-duoc-tien
https://techcombank.com/thong-tin/blog/rut-tien-bang-ma-qr-la-gi-cach-thuc-hien-nhu-the-nao
https://techcombank.com/thong-tin/blog/gui-ma-qr-ngan-hang</v>
      </c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28" t="str">
        <f>IFERROR(__xludf.DUMMYFUNCTION("""COMPUTED_VALUE"""),"https://techcombank.com/thong-tin/blog/cach-tiet-kiem-tien-cua-nguoi-nhat")</f>
        <v>https://techcombank.com/thong-tin/blog/cach-tiet-kiem-tien-cua-nguoi-nhat</v>
      </c>
      <c r="B324" s="11">
        <f>IFERROR(__xludf.DUMMYFUNCTION("""COMPUTED_VALUE"""),4.0)</f>
        <v>4</v>
      </c>
      <c r="C324" s="7" t="str">
        <f>IFERROR(__xludf.DUMMYFUNCTION("IF(A324="""","""",TEXTJOIN(CHAR(10),TRUE,FILTER('Tổng hợp 75 trang đích'!$B$2:$B$3400,'Tổng hợp 75 trang đích'!$I$2:$I$3400=A324)))"),"https://techcombank.com/thong-tin/blog/tien-nhat
https://techcombank.com/thong-tin/blog/lai-suat-tiet-kiem
https://techcombank.com/thong-tin/blog/cach-tinh-lai-suat-tien-gui-tiet-kiem
https://techcombank.com/thong-tin/blog/cach-tiet-kiem-tien")</f>
        <v>https://techcombank.com/thong-tin/blog/tien-nhat
https://techcombank.com/thong-tin/blog/lai-suat-tiet-kiem
https://techcombank.com/thong-tin/blog/cach-tinh-lai-suat-tien-gui-tiet-kiem
https://techcombank.com/thong-tin/blog/cach-tiet-kiem-tien</v>
      </c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28" t="str">
        <f>IFERROR(__xludf.DUMMYFUNCTION("""COMPUTED_VALUE"""),"https://techcombank.com/thong-tin/blog/cach-tinh-loi-nhuan-chung-chi-tien-gui")</f>
        <v>https://techcombank.com/thong-tin/blog/cach-tinh-loi-nhuan-chung-chi-tien-gui</v>
      </c>
      <c r="B325" s="11">
        <f>IFERROR(__xludf.DUMMYFUNCTION("""COMPUTED_VALUE"""),4.0)</f>
        <v>4</v>
      </c>
      <c r="C325" s="7" t="str">
        <f>IFERROR(__xludf.DUMMYFUNCTION("IF(A325="""","""",TEXTJOIN(CHAR(10),TRUE,FILTER('Tổng hợp 75 trang đích'!$B$2:$B$3400,'Tổng hợp 75 trang đích'!$I$2:$I$3400=A325)))"),"https://techcombank.com/thong-tin/blog/thue-thu-nhap-doanh-nghiep
https://techcombank.com/thong-tin/blog/cach-tinh-thue-thu-nhap-doanh-nghiep
https://techcombank.com/thong-tin/blog/lai-suat-chung-chi-tien-gui-cac-ngan-hang
https://techcombank.com/thong-ti"&amp;"n/blog/lai-suat-tiet-kiem")</f>
        <v>https://techcombank.com/thong-tin/blog/thue-thu-nhap-doanh-nghiep
https://techcombank.com/thong-tin/blog/cach-tinh-thue-thu-nhap-doanh-nghiep
https://techcombank.com/thong-tin/blog/lai-suat-chung-chi-tien-gui-cac-ngan-hang
https://techcombank.com/thong-tin/blog/lai-suat-tiet-kiem</v>
      </c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28" t="str">
        <f>IFERROR(__xludf.DUMMYFUNCTION("""COMPUTED_VALUE"""),"https://techcombank.com/thong-tin/blog/cach-tinh-thue-thu-nhap-ca-nhan-2025")</f>
        <v>https://techcombank.com/thong-tin/blog/cach-tinh-thue-thu-nhap-ca-nhan-2025</v>
      </c>
      <c r="B326" s="11">
        <f>IFERROR(__xludf.DUMMYFUNCTION("""COMPUTED_VALUE"""),4.0)</f>
        <v>4</v>
      </c>
      <c r="C326" s="7" t="str">
        <f>IFERROR(__xludf.DUMMYFUNCTION("IF(A326="""","""",TEXTJOIN(CHAR(10),TRUE,FILTER('Tổng hợp 75 trang đích'!$B$2:$B$3400,'Tổng hợp 75 trang đích'!$I$2:$I$3400=A326)))"),"https://techcombank.com/thong-tin/blog/nop-thue-dat-qua-ngan-hang
https://techcombank.com/thong-tin/blog/cach-nop-thue-dien-tu
https://techcombank.com/thong-tin/blog/kiem-tra-thue-thu-nhap-ca-nhan
https://techcombank.com/thong-tin/blog/thue-thu-nhap-ca-nh"&amp;"an")</f>
        <v>https://techcombank.com/thong-tin/blog/nop-thue-dat-qua-ngan-hang
https://techcombank.com/thong-tin/blog/cach-nop-thue-dien-tu
https://techcombank.com/thong-tin/blog/kiem-tra-thue-thu-nhap-ca-nhan
https://techcombank.com/thong-tin/blog/thue-thu-nhap-ca-nhan</v>
      </c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28" t="str">
        <f>IFERROR(__xludf.DUMMYFUNCTION("""COMPUTED_VALUE"""),"https://techcombank.com/thong-tin/blog/cashback-the-thanh-toan")</f>
        <v>https://techcombank.com/thong-tin/blog/cashback-the-thanh-toan</v>
      </c>
      <c r="B327" s="11">
        <f>IFERROR(__xludf.DUMMYFUNCTION("""COMPUTED_VALUE"""),4.0)</f>
        <v>4</v>
      </c>
      <c r="C327" s="7" t="str">
        <f>IFERROR(__xludf.DUMMYFUNCTION("IF(A327="""","""",TEXTJOIN(CHAR(10),TRUE,FILTER('Tổng hợp 75 trang đích'!$B$2:$B$3400,'Tổng hợp 75 trang đích'!$I$2:$I$3400=A327)))"),"https://techcombank.com/thong-tin/blog/cach-sao-ke-tai-khoan-ngan-hang
https://techcombank.com/thong-tin/blog/the-tin-dung-hoan-tien
https://techcombank.com/thong-tin/blog/cach-nhan-tien-tu-nuoc-ngoai-ve-viet-nam
https://techcombank.com/thong-tin/blog/lai"&amp;"-suat-tiet-kiem")</f>
        <v>https://techcombank.com/thong-tin/blog/cach-sao-ke-tai-khoan-ngan-hang
https://techcombank.com/thong-tin/blog/the-tin-dung-hoan-tien
https://techcombank.com/thong-tin/blog/cach-nhan-tien-tu-nuoc-ngoai-ve-viet-nam
https://techcombank.com/thong-tin/blog/lai-suat-tiet-kiem</v>
      </c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28" t="str">
        <f>IFERROR(__xludf.DUMMYFUNCTION("""COMPUTED_VALUE"""),"https://techcombank.com/thong-tin/blog/cay-atm-gan-day")</f>
        <v>https://techcombank.com/thong-tin/blog/cay-atm-gan-day</v>
      </c>
      <c r="B328" s="11">
        <f>IFERROR(__xludf.DUMMYFUNCTION("""COMPUTED_VALUE"""),4.0)</f>
        <v>4</v>
      </c>
      <c r="C328" s="7" t="str">
        <f>IFERROR(__xludf.DUMMYFUNCTION("IF(A328="""","""",TEXTJOIN(CHAR(10),TRUE,FILTER('Tổng hợp 75 trang đích'!$B$2:$B$3400,'Tổng hợp 75 trang đích'!$I$2:$I$3400=A328)))"),"https://techcombank.com/thong-tin/blog/cach-nap-the-viettel
https://techcombank.com/thong-tin/blog/nap-tien-vao-tai-khoan-ngan-hang
https://techcombank.com/thong-tin/blog/rut-tien-bang-ma-qr-la-gi-cach-thuc-hien-nhu-the-nao
https://techcombank.com/thong-t"&amp;"in/blog/rut-tien-mat-tu-the-tin-dung")</f>
        <v>https://techcombank.com/thong-tin/blog/cach-nap-the-viettel
https://techcombank.com/thong-tin/blog/nap-tien-vao-tai-khoan-ngan-hang
https://techcombank.com/thong-tin/blog/rut-tien-bang-ma-qr-la-gi-cach-thuc-hien-nhu-the-nao
https://techcombank.com/thong-tin/blog/rut-tien-mat-tu-the-tin-dung</v>
      </c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28" t="str">
        <f>IFERROR(__xludf.DUMMYFUNCTION("""COMPUTED_VALUE"""),"https://techcombank.com/thong-tin/blog/chi-phi-mo-tai-khoan-ngan-hang-cho-cong-ty")</f>
        <v>https://techcombank.com/thong-tin/blog/chi-phi-mo-tai-khoan-ngan-hang-cho-cong-ty</v>
      </c>
      <c r="B329" s="11">
        <f>IFERROR(__xludf.DUMMYFUNCTION("""COMPUTED_VALUE"""),4.0)</f>
        <v>4</v>
      </c>
      <c r="C329" s="7" t="str">
        <f>IFERROR(__xludf.DUMMYFUNCTION("IF(A329="""","""",TEXTJOIN(CHAR(10),TRUE,FILTER('Tổng hợp 75 trang đích'!$B$2:$B$3400,'Tổng hợp 75 trang đích'!$I$2:$I$3400=A329)))"),"https://techcombank.com/thong-tin/blog/nop-thue-dat-qua-ngan-hang
https://techcombank.com/thong-tin/blog/cach-nop-thue-dien-tu
https://techcombank.com/thong-tin/blog/thue-thu-nhap-doanh-nghiep
https://techcombank.com/thong-tin/blog/cong-ty-su-dung-tai-kho"&amp;"an-ca-nhan")</f>
        <v>https://techcombank.com/thong-tin/blog/nop-thue-dat-qua-ngan-hang
https://techcombank.com/thong-tin/blog/cach-nop-thue-dien-tu
https://techcombank.com/thong-tin/blog/thue-thu-nhap-doanh-nghiep
https://techcombank.com/thong-tin/blog/cong-ty-su-dung-tai-khoan-ca-nhan</v>
      </c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28" t="str">
        <f>IFERROR(__xludf.DUMMYFUNCTION("""COMPUTED_VALUE"""),"https://techcombank.com/thong-tin/blog/chixmax")</f>
        <v>https://techcombank.com/thong-tin/blog/chixmax</v>
      </c>
      <c r="B330" s="11">
        <f>IFERROR(__xludf.DUMMYFUNCTION("""COMPUTED_VALUE"""),4.0)</f>
        <v>4</v>
      </c>
      <c r="C330" s="7" t="str">
        <f>IFERROR(__xludf.DUMMYFUNCTION("IF(A330="""","""",TEXTJOIN(CHAR(10),TRUE,FILTER('Tổng hợp 75 trang đích'!$B$2:$B$3400,'Tổng hợp 75 trang đích'!$I$2:$I$3400=A330)))"),"https://techcombank.com/thong-tin/blog/tien-nhat
https://techcombank.com/thong-tin/blog/1-yen-bang-bao-nhieu-tien-viet-nam
https://techcombank.com/thong-tin/blog/1-man-bang-bao-nhieu-tien-viet
https://techcombank.com/thong-tin/blog/traveloka-voucher")</f>
        <v>https://techcombank.com/thong-tin/blog/tien-nhat
https://techcombank.com/thong-tin/blog/1-yen-bang-bao-nhieu-tien-viet-nam
https://techcombank.com/thong-tin/blog/1-man-bang-bao-nhieu-tien-viet
https://techcombank.com/thong-tin/blog/traveloka-voucher</v>
      </c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28" t="str">
        <f>IFERROR(__xludf.DUMMYFUNCTION("""COMPUTED_VALUE"""),"https://techcombank.com/thong-tin/blog/cho-vay-hop-von-la-gi")</f>
        <v>https://techcombank.com/thong-tin/blog/cho-vay-hop-von-la-gi</v>
      </c>
      <c r="B331" s="11">
        <f>IFERROR(__xludf.DUMMYFUNCTION("""COMPUTED_VALUE"""),4.0)</f>
        <v>4</v>
      </c>
      <c r="C331" s="7" t="str">
        <f>IFERROR(__xludf.DUMMYFUNCTION("IF(A331="""","""",TEXTJOIN(CHAR(10),TRUE,FILTER('Tổng hợp 75 trang đích'!$B$2:$B$3400,'Tổng hợp 75 trang đích'!$I$2:$I$3400=A331)))"),"https://techcombank.com/thong-tin/blog/cic-la-gi
https://techcombank.com/thong-tin/blog/rui-ro-khi-gui-tiet-kiem-online
https://techcombank.com/cong-cu-tien-ich/cong-cu-tinh-toan/bang-tinh-lai-suat-vay
https://techcombank.com/thong-tin/blog/app-vay-tien-n"&amp;"hanh")</f>
        <v>https://techcombank.com/thong-tin/blog/cic-la-gi
https://techcombank.com/thong-tin/blog/rui-ro-khi-gui-tiet-kiem-online
https://techcombank.com/cong-cu-tien-ich/cong-cu-tinh-toan/bang-tinh-lai-suat-vay
https://techcombank.com/thong-tin/blog/app-vay-tien-nhanh</v>
      </c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28" t="str">
        <f>IFERROR(__xludf.DUMMYFUNCTION("""COMPUTED_VALUE"""),"https://techcombank.com/thong-tin/blog/chuan-bi-cho-doanh-nghiep-khoi-nghiep-truoc-nhung-thay-doi-ve-thue")</f>
        <v>https://techcombank.com/thong-tin/blog/chuan-bi-cho-doanh-nghiep-khoi-nghiep-truoc-nhung-thay-doi-ve-thue</v>
      </c>
      <c r="B332" s="11">
        <f>IFERROR(__xludf.DUMMYFUNCTION("""COMPUTED_VALUE"""),4.0)</f>
        <v>4</v>
      </c>
      <c r="C332" s="7" t="str">
        <f>IFERROR(__xludf.DUMMYFUNCTION("IF(A332="""","""",TEXTJOIN(CHAR(10),TRUE,FILTER('Tổng hợp 75 trang đích'!$B$2:$B$3400,'Tổng hợp 75 trang đích'!$I$2:$I$3400=A332)))"),"https://techcombank.com/thong-tin/blog/nop-thue-dat-qua-ngan-hang
https://techcombank.com/thong-tin/blog/thue-doanh-nghiep
https://techcombank.com/thong-tin/blog/cach-tinh-thue-thu-nhap-doanh-nghiep
https://techcombank.com/thong-tin/blog/mo-hinh-kinh-doan"&amp;"h-la-gi")</f>
        <v>https://techcombank.com/thong-tin/blog/nop-thue-dat-qua-ngan-hang
https://techcombank.com/thong-tin/blog/thue-doanh-nghiep
https://techcombank.com/thong-tin/blog/cach-tinh-thue-thu-nhap-doanh-nghiep
https://techcombank.com/thong-tin/blog/mo-hinh-kinh-doanh-la-gi</v>
      </c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28" t="str">
        <f>IFERROR(__xludf.DUMMYFUNCTION("""COMPUTED_VALUE"""),"https://techcombank.com/thong-tin/blog/chuyen-gia-du-doan-gia-bat-dong-san-2025-va-cac-no-luc-tu-ngan-hang")</f>
        <v>https://techcombank.com/thong-tin/blog/chuyen-gia-du-doan-gia-bat-dong-san-2025-va-cac-no-luc-tu-ngan-hang</v>
      </c>
      <c r="B333" s="11">
        <f>IFERROR(__xludf.DUMMYFUNCTION("""COMPUTED_VALUE"""),4.0)</f>
        <v>4</v>
      </c>
      <c r="C333" s="7" t="str">
        <f>IFERROR(__xludf.DUMMYFUNCTION("IF(A333="""","""",TEXTJOIN(CHAR(10),TRUE,FILTER('Tổng hợp 75 trang đích'!$B$2:$B$3400,'Tổng hợp 75 trang đích'!$I$2:$I$3400=A333)))"),"https://techcombank.com/thong-tin/blog/nop-thue-dat-qua-ngan-hang
https://techcombank.com/thong-tin/blog/vay-ngan-hang-1-ty-moi-thang-tra-bao-nhieu
https://techcombank.com/cong-cu-tien-ich/cong-cu-tinh-toan/bang-tinh-lai-suat-vay
https://techcombank.com/t"&amp;"hong-tin/blog/app-vay-tien-nhanh")</f>
        <v>https://techcombank.com/thong-tin/blog/nop-thue-dat-qua-ngan-hang
https://techcombank.com/thong-tin/blog/vay-ngan-hang-1-ty-moi-thang-tra-bao-nhieu
https://techcombank.com/cong-cu-tien-ich/cong-cu-tinh-toan/bang-tinh-lai-suat-vay
https://techcombank.com/thong-tin/blog/app-vay-tien-nhanh</v>
      </c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28" t="str">
        <f>IFERROR(__xludf.DUMMYFUNCTION("""COMPUTED_VALUE"""),"https://techcombank.com/thong-tin/blog/chuyen-khoan-lien-ngan-hang")</f>
        <v>https://techcombank.com/thong-tin/blog/chuyen-khoan-lien-ngan-hang</v>
      </c>
      <c r="B334" s="11">
        <f>IFERROR(__xludf.DUMMYFUNCTION("""COMPUTED_VALUE"""),4.0)</f>
        <v>4</v>
      </c>
      <c r="C334" s="7" t="str">
        <f>IFERROR(__xludf.DUMMYFUNCTION("IF(A334="""","""",TEXTJOIN(CHAR(10),TRUE,FILTER('Tổng hợp 75 trang đích'!$B$2:$B$3400,'Tổng hợp 75 trang đích'!$I$2:$I$3400=A334)))"),"https://techcombank.com/thong-tin/blog/cach-tinh-tien-dien-sinh-hoat
https://techcombank.com/thong-tin/blog/chuyen-khoan-thanh-cong-nhung-khong-nhan-duoc-tien
https://techcombank.com/thong-tin/blog/day-so-phat-tai-phat-loc
https://techcombank.com/thong-ti"&amp;"n/blog/cach-quet-nfc-cccd-tren-iphone")</f>
        <v>https://techcombank.com/thong-tin/blog/cach-tinh-tien-dien-sinh-hoat
https://techcombank.com/thong-tin/blog/chuyen-khoan-thanh-cong-nhung-khong-nhan-duoc-tien
https://techcombank.com/thong-tin/blog/day-so-phat-tai-phat-loc
https://techcombank.com/thong-tin/blog/cach-quet-nfc-cccd-tren-iphone</v>
      </c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28" t="str">
        <f>IFERROR(__xludf.DUMMYFUNCTION("""COMPUTED_VALUE"""),"https://techcombank.com/thong-tin/blog/chuyen-tien-tu-han-sang-viet-nam")</f>
        <v>https://techcombank.com/thong-tin/blog/chuyen-tien-tu-han-sang-viet-nam</v>
      </c>
      <c r="B335" s="11">
        <f>IFERROR(__xludf.DUMMYFUNCTION("""COMPUTED_VALUE"""),4.0)</f>
        <v>4</v>
      </c>
      <c r="C335" s="7" t="str">
        <f>IFERROR(__xludf.DUMMYFUNCTION("IF(A335="""","""",TEXTJOIN(CHAR(10),TRUE,FILTER('Tổng hợp 75 trang đích'!$B$2:$B$3400,'Tổng hợp 75 trang đích'!$I$2:$I$3400=A335)))"),"https://techcombank.com/thong-tin/blog/1-won-bang-bao-nhieu-tien-viet
https://techcombank.com/thong-tin/blog/1000-won-bang-bao-nhieu-tien-viet
https://techcombank.com/thong-tin/blog/doi-tien-do-o-dau
https://techcombank.com/thong-tin/blog/lai-suat-tiet-ki"&amp;"em")</f>
        <v>https://techcombank.com/thong-tin/blog/1-won-bang-bao-nhieu-tien-viet
https://techcombank.com/thong-tin/blog/1000-won-bang-bao-nhieu-tien-viet
https://techcombank.com/thong-tin/blog/doi-tien-do-o-dau
https://techcombank.com/thong-tin/blog/lai-suat-tiet-kiem</v>
      </c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28" t="str">
        <f>IFERROR(__xludf.DUMMYFUNCTION("""COMPUTED_VALUE"""),"https://techcombank.com/thong-tin/blog/chuyen-tien-tu-my-ve-viet-nam")</f>
        <v>https://techcombank.com/thong-tin/blog/chuyen-tien-tu-my-ve-viet-nam</v>
      </c>
      <c r="B336" s="11">
        <f>IFERROR(__xludf.DUMMYFUNCTION("""COMPUTED_VALUE"""),4.0)</f>
        <v>4</v>
      </c>
      <c r="C336" s="7" t="str">
        <f>IFERROR(__xludf.DUMMYFUNCTION("IF(A336="""","""",TEXTJOIN(CHAR(10),TRUE,FILTER('Tổng hợp 75 trang đích'!$B$2:$B$3400,'Tổng hợp 75 trang đích'!$I$2:$I$3400=A336)))"),"https://techcombank.com/thong-tin/blog/1-dong-do-la-my-bang-bao-nhieu-tien-viet-nam
https://techcombank.com/thong-tin/blog/1-trieu-do-bang-bao-nhieu-tien-viet
https://techcombank.com/thong-tin/blog/cach-nhan-tien-tu-nuoc-ngoai-ve-viet-nam
https://techcomb"&amp;"ank.com/thong-tin/blog/doi-tien-do-o-dau")</f>
        <v>https://techcombank.com/thong-tin/blog/1-dong-do-la-my-bang-bao-nhieu-tien-viet-nam
https://techcombank.com/thong-tin/blog/1-trieu-do-bang-bao-nhieu-tien-viet
https://techcombank.com/thong-tin/blog/cach-nhan-tien-tu-nuoc-ngoai-ve-viet-nam
https://techcombank.com/thong-tin/blog/doi-tien-do-o-dau</v>
      </c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28" t="str">
        <f>IFERROR(__xludf.DUMMYFUNCTION("""COMPUTED_VALUE"""),"https://techcombank.com/thong-tin/blog/co-nen-gui-chung-chi-tien-gui")</f>
        <v>https://techcombank.com/thong-tin/blog/co-nen-gui-chung-chi-tien-gui</v>
      </c>
      <c r="B337" s="11">
        <f>IFERROR(__xludf.DUMMYFUNCTION("""COMPUTED_VALUE"""),4.0)</f>
        <v>4</v>
      </c>
      <c r="C337" s="7" t="str">
        <f>IFERROR(__xludf.DUMMYFUNCTION("IF(A337="""","""",TEXTJOIN(CHAR(10),TRUE,FILTER('Tổng hợp 75 trang đích'!$B$2:$B$3400,'Tổng hợp 75 trang đích'!$I$2:$I$3400=A337)))"),"https://techcombank.com/thong-tin/blog/chung-chi-tien-gui-la-gi
https://techcombank.com/thong-tin/blog/lai-suat-chung-chi-tien-gui-cac-ngan-hang
https://techcombank.com/thong-tin/blog/lai-suat-tiet-kiem
https://techcombank.com/thong-tin/blog/phuong-phap-d"&amp;"au-tu-chung-chi-quy")</f>
        <v>https://techcombank.com/thong-tin/blog/chung-chi-tien-gui-la-gi
https://techcombank.com/thong-tin/blog/lai-suat-chung-chi-tien-gui-cac-ngan-hang
https://techcombank.com/thong-tin/blog/lai-suat-tiet-kiem
https://techcombank.com/thong-tin/blog/phuong-phap-dau-tu-chung-chi-quy</v>
      </c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28" t="str">
        <f>IFERROR(__xludf.DUMMYFUNCTION("""COMPUTED_VALUE"""),"https://techcombank.com/thong-tin/blog/co-nen-mua-so-tai-khoan-ngan-hang-dep")</f>
        <v>https://techcombank.com/thong-tin/blog/co-nen-mua-so-tai-khoan-ngan-hang-dep</v>
      </c>
      <c r="B338" s="11">
        <f>IFERROR(__xludf.DUMMYFUNCTION("""COMPUTED_VALUE"""),4.0)</f>
        <v>4</v>
      </c>
      <c r="C338" s="7" t="str">
        <f>IFERROR(__xludf.DUMMYFUNCTION("IF(A338="""","""",TEXTJOIN(CHAR(10),TRUE,FILTER('Tổng hợp 75 trang đích'!$B$2:$B$3400,'Tổng hợp 75 trang đích'!$I$2:$I$3400=A338)))"),"https://techcombank.com/thong-tin/blog/cach-tinh-tien-dien-sinh-hoat
https://techcombank.com/thong-tin/blog/cach-kiem-tra-tai-khoan-ngan-hang
https://techcombank.com/thong-tin/blog/cach-mo-tai-khoan
https://techcombank.com/thong-tin/blog/day-so-phat-tai-p"&amp;"hat-loc")</f>
        <v>https://techcombank.com/thong-tin/blog/cach-tinh-tien-dien-sinh-hoat
https://techcombank.com/thong-tin/blog/cach-kiem-tra-tai-khoan-ngan-hang
https://techcombank.com/thong-tin/blog/cach-mo-tai-khoan
https://techcombank.com/thong-tin/blog/day-so-phat-tai-phat-loc</v>
      </c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28" t="str">
        <f>IFERROR(__xludf.DUMMYFUNCTION("""COMPUTED_VALUE"""),"https://techcombank.com/thong-tin/blog/cong-ty-su-dung-tai-khoan-ca-nhan")</f>
        <v>https://techcombank.com/thong-tin/blog/cong-ty-su-dung-tai-khoan-ca-nhan</v>
      </c>
      <c r="B339" s="11">
        <f>IFERROR(__xludf.DUMMYFUNCTION("""COMPUTED_VALUE"""),4.0)</f>
        <v>4</v>
      </c>
      <c r="C339" s="7" t="str">
        <f>IFERROR(__xludf.DUMMYFUNCTION("IF(A339="""","""",TEXTJOIN(CHAR(10),TRUE,FILTER('Tổng hợp 75 trang đích'!$B$2:$B$3400,'Tổng hợp 75 trang đích'!$I$2:$I$3400=A339)))"),"https://techcombank.com/thong-tin/blog/nop-thue-dat-qua-ngan-hang
https://techcombank.com/thong-tin/blog/cach-nop-thue-dien-tu
https://techcombank.com/thong-tin/blog/thue-thu-nhap-doanh-nghiep
https://techcombank.com/thong-tin/blog/thue-doanh-nghiep")</f>
        <v>https://techcombank.com/thong-tin/blog/nop-thue-dat-qua-ngan-hang
https://techcombank.com/thong-tin/blog/cach-nop-thue-dien-tu
https://techcombank.com/thong-tin/blog/thue-thu-nhap-doanh-nghiep
https://techcombank.com/thong-tin/blog/thue-doanh-nghiep</v>
      </c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28" t="str">
        <f>IFERROR(__xludf.DUMMYFUNCTION("""COMPUTED_VALUE"""),"https://techcombank.com/thong-tin/blog/danh-muc-dau-tu")</f>
        <v>https://techcombank.com/thong-tin/blog/danh-muc-dau-tu</v>
      </c>
      <c r="B340" s="11">
        <f>IFERROR(__xludf.DUMMYFUNCTION("""COMPUTED_VALUE"""),4.0)</f>
        <v>4</v>
      </c>
      <c r="C340" s="7" t="str">
        <f>IFERROR(__xludf.DUMMYFUNCTION("IF(A340="""","""",TEXTJOIN(CHAR(10),TRUE,FILTER('Tổng hợp 75 trang đích'!$B$2:$B$3400,'Tổng hợp 75 trang đích'!$I$2:$I$3400=A340)))"),"https://techcombank.com/thong-tin/blog/thue-thu-nhap-doanh-nghiep
https://techcombank.com/thong-tin/blog/cach-tinh-thue-thu-nhap-doanh-nghiep
https://techcombank.com/thong-tin/blog/lai-suat-tiet-kiem
https://techcombank.com/thong-tin/blog/rui-ro-khi-gui-t"&amp;"iet-kiem-online")</f>
        <v>https://techcombank.com/thong-tin/blog/thue-thu-nhap-doanh-nghiep
https://techcombank.com/thong-tin/blog/cach-tinh-thue-thu-nhap-doanh-nghiep
https://techcombank.com/thong-tin/blog/lai-suat-tiet-kiem
https://techcombank.com/thong-tin/blog/rui-ro-khi-gui-tiet-kiem-online</v>
      </c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28" t="str">
        <f>IFERROR(__xludf.DUMMYFUNCTION("""COMPUTED_VALUE"""),"https://techcombank.com/thong-tin/blog/dat-xe-xanh-sm")</f>
        <v>https://techcombank.com/thong-tin/blog/dat-xe-xanh-sm</v>
      </c>
      <c r="B341" s="11">
        <f>IFERROR(__xludf.DUMMYFUNCTION("""COMPUTED_VALUE"""),4.0)</f>
        <v>4</v>
      </c>
      <c r="C341" s="7" t="str">
        <f>IFERROR(__xludf.DUMMYFUNCTION("IF(A341="""","""",TEXTJOIN(CHAR(10),TRUE,FILTER('Tổng hợp 75 trang đích'!$B$2:$B$3400,'Tổng hợp 75 trang đích'!$I$2:$I$3400=A341)))"),"https://techcombank.com/thong-tin/blog/eco-card
https://techcombank.com/thong-tin/blog/traveloka-voucher
https://techcombank.com/thong-tin/blog/lai-suat-tiet-kiem
https://techcombank.com/thong-tin/blog/cach-tinh-lai-suat-tien-gui-tiet-kiem")</f>
        <v>https://techcombank.com/thong-tin/blog/eco-card
https://techcombank.com/thong-tin/blog/traveloka-voucher
https://techcombank.com/thong-tin/blog/lai-suat-tiet-kiem
https://techcombank.com/thong-tin/blog/cach-tinh-lai-suat-tien-gui-tiet-kiem</v>
      </c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28" t="str">
        <f>IFERROR(__xludf.DUMMYFUNCTION("""COMPUTED_VALUE"""),"https://techcombank.com/thong-tin/blog/dong-ma-so-thue-ho-kinh-doanh")</f>
        <v>https://techcombank.com/thong-tin/blog/dong-ma-so-thue-ho-kinh-doanh</v>
      </c>
      <c r="B342" s="11">
        <f>IFERROR(__xludf.DUMMYFUNCTION("""COMPUTED_VALUE"""),4.0)</f>
        <v>4</v>
      </c>
      <c r="C342" s="7" t="str">
        <f>IFERROR(__xludf.DUMMYFUNCTION("IF(A342="""","""",TEXTJOIN(CHAR(10),TRUE,FILTER('Tổng hợp 75 trang đích'!$B$2:$B$3400,'Tổng hợp 75 trang đích'!$I$2:$I$3400=A342)))"),"https://techcombank.com/thong-tin/blog/nop-thue-dat-qua-ngan-hang
https://techcombank.com/thong-tin/blog/cach-nop-thue-dien-tu
https://techcombank.com/thong-tin/blog/tra-cuu-no-thue-doanh-nghiep
https://techcombank.com/thong-tin/blog/cach-tinh-thue-thu-nh"&amp;"ap-ca-nhan-2025")</f>
        <v>https://techcombank.com/thong-tin/blog/nop-thue-dat-qua-ngan-hang
https://techcombank.com/thong-tin/blog/cach-nop-thue-dien-tu
https://techcombank.com/thong-tin/blog/tra-cuu-no-thue-doanh-nghiep
https://techcombank.com/thong-tin/blog/cach-tinh-thue-thu-nhap-ca-nhan-2025</v>
      </c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28" t="str">
        <f>IFERROR(__xludf.DUMMYFUNCTION("""COMPUTED_VALUE"""),"https://techcombank.com/thong-tin/blog/dong-tai-khoan-ngan-hang-cong-ty")</f>
        <v>https://techcombank.com/thong-tin/blog/dong-tai-khoan-ngan-hang-cong-ty</v>
      </c>
      <c r="B343" s="11">
        <f>IFERROR(__xludf.DUMMYFUNCTION("""COMPUTED_VALUE"""),4.0)</f>
        <v>4</v>
      </c>
      <c r="C343" s="7" t="str">
        <f>IFERROR(__xludf.DUMMYFUNCTION("IF(A343="""","""",TEXTJOIN(CHAR(10),TRUE,FILTER('Tổng hợp 75 trang đích'!$B$2:$B$3400,'Tổng hợp 75 trang đích'!$I$2:$I$3400=A343)))"),"https://techcombank.com/thong-tin/blog/nop-thue-dat-qua-ngan-hang
https://techcombank.com/thong-tin/blog/thue-thu-nhap-doanh-nghiep
https://techcombank.com/thong-tin/blog/cong-ty-su-dung-tai-khoan-ca-nhan
https://techcombank.com/thong-tin/blog/cach-mo-tai"&amp;"-khoan")</f>
        <v>https://techcombank.com/thong-tin/blog/nop-thue-dat-qua-ngan-hang
https://techcombank.com/thong-tin/blog/thue-thu-nhap-doanh-nghiep
https://techcombank.com/thong-tin/blog/cong-ty-su-dung-tai-khoan-ca-nhan
https://techcombank.com/thong-tin/blog/cach-mo-tai-khoan</v>
      </c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28" t="str">
        <f>IFERROR(__xludf.DUMMYFUNCTION("""COMPUTED_VALUE"""),"https://techcombank.com/thong-tin/blog/due-diligence")</f>
        <v>https://techcombank.com/thong-tin/blog/due-diligence</v>
      </c>
      <c r="B344" s="11">
        <f>IFERROR(__xludf.DUMMYFUNCTION("""COMPUTED_VALUE"""),4.0)</f>
        <v>4</v>
      </c>
      <c r="C344" s="7" t="str">
        <f>IFERROR(__xludf.DUMMYFUNCTION("IF(A344="""","""",TEXTJOIN(CHAR(10),TRUE,FILTER('Tổng hợp 75 trang đích'!$B$2:$B$3400,'Tổng hợp 75 trang đích'!$I$2:$I$3400=A344)))"),"https://techcombank.com/thong-tin/blog/nop-thue-dat-qua-ngan-hang
https://techcombank.com/thong-tin/blog/ho-kinh-doanh-dong-thue-nhu-nao
https://techcombank.com/thong-tin/blog/rui-ro-khi-gui-tiet-kiem-online
https://techcombank.com/thong-tin/blog/phuong-p"&amp;"hap-dau-tu-chung-chi-quy")</f>
        <v>https://techcombank.com/thong-tin/blog/nop-thue-dat-qua-ngan-hang
https://techcombank.com/thong-tin/blog/ho-kinh-doanh-dong-thue-nhu-nao
https://techcombank.com/thong-tin/blog/rui-ro-khi-gui-tiet-kiem-online
https://techcombank.com/thong-tin/blog/phuong-phap-dau-tu-chung-chi-quy</v>
      </c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28" t="str">
        <f>IFERROR(__xludf.DUMMYFUNCTION("""COMPUTED_VALUE"""),"https://techcombank.com/thong-tin/blog/gia-chung-chi-quy-la-gi")</f>
        <v>https://techcombank.com/thong-tin/blog/gia-chung-chi-quy-la-gi</v>
      </c>
      <c r="B345" s="11">
        <f>IFERROR(__xludf.DUMMYFUNCTION("""COMPUTED_VALUE"""),4.0)</f>
        <v>4</v>
      </c>
      <c r="C345" s="7" t="str">
        <f>IFERROR(__xludf.DUMMYFUNCTION("IF(A345="""","""",TEXTJOIN(CHAR(10),TRUE,FILTER('Tổng hợp 75 trang đích'!$B$2:$B$3400,'Tổng hợp 75 trang đích'!$I$2:$I$3400=A345)))"),"https://techcombank.com/thong-tin/blog/thue-thu-nhap-doanh-nghiep
https://techcombank.com/thong-tin/blog/cach-tinh-thue-thu-nhap-doanh-nghiep
https://techcombank.com/thong-tin/blog/rui-ro-khi-gui-tiet-kiem-online
https://techcombank.com/thong-tin/blog/phu"&amp;"ong-phap-dau-tu-chung-chi-quy")</f>
        <v>https://techcombank.com/thong-tin/blog/thue-thu-nhap-doanh-nghiep
https://techcombank.com/thong-tin/blog/cach-tinh-thue-thu-nhap-doanh-nghiep
https://techcombank.com/thong-tin/blog/rui-ro-khi-gui-tiet-kiem-online
https://techcombank.com/thong-tin/blog/phuong-phap-dau-tu-chung-chi-quy</v>
      </c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28" t="str">
        <f>IFERROR(__xludf.DUMMYFUNCTION("""COMPUTED_VALUE"""),"https://techcombank.com/thong-tin/blog/gui-them-tien-vao-so-tiet-kiem")</f>
        <v>https://techcombank.com/thong-tin/blog/gui-them-tien-vao-so-tiet-kiem</v>
      </c>
      <c r="B346" s="11">
        <f>IFERROR(__xludf.DUMMYFUNCTION("""COMPUTED_VALUE"""),4.0)</f>
        <v>4</v>
      </c>
      <c r="C346" s="7" t="str">
        <f>IFERROR(__xludf.DUMMYFUNCTION("IF(A346="""","""",TEXTJOIN(CHAR(10),TRUE,FILTER('Tổng hợp 75 trang đích'!$B$2:$B$3400,'Tổng hợp 75 trang đích'!$I$2:$I$3400=A346)))"),"https://techcombank.com/thong-tin/blog/lai-suat-tiet-kiem
https://techcombank.com/thong-tin/blog/cach-tinh-lai-suat-tien-gui-tiet-kiem
https://techcombank.com/thong-tin/blog/rut-tien-tiet-kiem-truoc-thoi-han
https://techcombank.com/thong-tin/blog/so-tiet-"&amp;"kiem-ngan-hang")</f>
        <v>https://techcombank.com/thong-tin/blog/lai-suat-tiet-kiem
https://techcombank.com/thong-tin/blog/cach-tinh-lai-suat-tien-gui-tiet-kiem
https://techcombank.com/thong-tin/blog/rut-tien-tiet-kiem-truoc-thoi-han
https://techcombank.com/thong-tin/blog/so-tiet-kiem-ngan-hang</v>
      </c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28" t="str">
        <f>IFERROR(__xludf.DUMMYFUNCTION("""COMPUTED_VALUE"""),"https://techcombank.com/thong-tin/blog/gui-tien-sang-nuoc-ngoai")</f>
        <v>https://techcombank.com/thong-tin/blog/gui-tien-sang-nuoc-ngoai</v>
      </c>
      <c r="B347" s="11">
        <f>IFERROR(__xludf.DUMMYFUNCTION("""COMPUTED_VALUE"""),4.0)</f>
        <v>4</v>
      </c>
      <c r="C347" s="7" t="str">
        <f>IFERROR(__xludf.DUMMYFUNCTION("IF(A347="""","""",TEXTJOIN(CHAR(10),TRUE,FILTER('Tổng hợp 75 trang đích'!$B$2:$B$3400,'Tổng hợp 75 trang đích'!$I$2:$I$3400=A347)))"),"https://techcombank.com/thong-tin/blog/tien-dai-loan
https://techcombank.com/thong-tin/blog/cach-nhan-tien-tu-nuoc-ngoai-ve-viet-nam
https://techcombank.com/thong-tin/blog/doi-tien-do-o-dau
https://techcombank.com/thong-tin/blog/lai-suat-tiet-kiem")</f>
        <v>https://techcombank.com/thong-tin/blog/tien-dai-loan
https://techcombank.com/thong-tin/blog/cach-nhan-tien-tu-nuoc-ngoai-ve-viet-nam
https://techcombank.com/thong-tin/blog/doi-tien-do-o-dau
https://techcombank.com/thong-tin/blog/lai-suat-tiet-kiem</v>
      </c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28" t="str">
        <f>IFERROR(__xludf.DUMMYFUNCTION("""COMPUTED_VALUE"""),"https://techcombank.com/thong-tin/blog/ho-kinh-doanh-la-gi")</f>
        <v>https://techcombank.com/thong-tin/blog/ho-kinh-doanh-la-gi</v>
      </c>
      <c r="B348" s="11">
        <f>IFERROR(__xludf.DUMMYFUNCTION("""COMPUTED_VALUE"""),4.0)</f>
        <v>4</v>
      </c>
      <c r="C348" s="7" t="str">
        <f>IFERROR(__xludf.DUMMYFUNCTION("IF(A348="""","""",TEXTJOIN(CHAR(10),TRUE,FILTER('Tổng hợp 75 trang đích'!$B$2:$B$3400,'Tổng hợp 75 trang đích'!$I$2:$I$3400=A348)))"),"https://techcombank.com/thong-tin/blog/nop-thue-dat-qua-ngan-hang
https://techcombank.com/thong-tin/blog/ho-kinh-doanh-dong-thue-nhu-nao
https://techcombank.com/thong-tin/blog/mo-tai-khoan-ho-kinh-doanh
https://techcombank.com/thong-tin/blog/cach-tinh-thu"&amp;"e-ho-kinh-doanh-nho-le")</f>
        <v>https://techcombank.com/thong-tin/blog/nop-thue-dat-qua-ngan-hang
https://techcombank.com/thong-tin/blog/ho-kinh-doanh-dong-thue-nhu-nao
https://techcombank.com/thong-tin/blog/mo-tai-khoan-ho-kinh-doanh
https://techcombank.com/thong-tin/blog/cach-tinh-thue-ho-kinh-doanh-nho-le</v>
      </c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28" t="str">
        <f>IFERROR(__xludf.DUMMYFUNCTION("""COMPUTED_VALUE"""),"https://techcombank.com/thong-tin/blog/ho-so-thu-tuc-xoa-the-chap")</f>
        <v>https://techcombank.com/thong-tin/blog/ho-so-thu-tuc-xoa-the-chap</v>
      </c>
      <c r="B349" s="11">
        <f>IFERROR(__xludf.DUMMYFUNCTION("""COMPUTED_VALUE"""),4.0)</f>
        <v>4</v>
      </c>
      <c r="C349" s="7" t="str">
        <f>IFERROR(__xludf.DUMMYFUNCTION("IF(A349="""","""",TEXTJOIN(CHAR(10),TRUE,FILTER('Tổng hợp 75 trang đích'!$B$2:$B$3400,'Tổng hợp 75 trang đích'!$I$2:$I$3400=A349)))"),"https://techcombank.com/thong-tin/blog/nop-thue-dat-qua-ngan-hang
https://techcombank.com/thong-tin/blog/lai-suat-vay-the-chap-so-do
https://techcombank.com/cong-cu-tien-ich/cong-cu-tinh-toan/bang-tinh-lai-suat-vay
https://techcombank.com/thong-tin/blog/a"&amp;"pp-vay-tien-nhanh")</f>
        <v>https://techcombank.com/thong-tin/blog/nop-thue-dat-qua-ngan-hang
https://techcombank.com/thong-tin/blog/lai-suat-vay-the-chap-so-do
https://techcombank.com/cong-cu-tien-ich/cong-cu-tinh-toan/bang-tinh-lai-suat-vay
https://techcombank.com/thong-tin/blog/app-vay-tien-nhanh</v>
      </c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28" t="str">
        <f>IFERROR(__xludf.DUMMYFUNCTION("""COMPUTED_VALUE"""),"https://techcombank.com/thong-tin/blog/hoc-cach-tiet-kiem-tien-luong")</f>
        <v>https://techcombank.com/thong-tin/blog/hoc-cach-tiet-kiem-tien-luong</v>
      </c>
      <c r="B350" s="11">
        <f>IFERROR(__xludf.DUMMYFUNCTION("""COMPUTED_VALUE"""),4.0)</f>
        <v>4</v>
      </c>
      <c r="C350" s="7" t="str">
        <f>IFERROR(__xludf.DUMMYFUNCTION("IF(A350="""","""",TEXTJOIN(CHAR(10),TRUE,FILTER('Tổng hợp 75 trang đích'!$B$2:$B$3400,'Tổng hợp 75 trang đích'!$I$2:$I$3400=A350)))"),"https://techcombank.com/thong-tin/blog/cach-tinh-thue-thu-nhap-ca-nhan-2025
https://techcombank.com/thong-tin/blog/thue-thu-nhap-ca-nhan
https://techcombank.com/thong-tin/blog/lai-suat-tiet-kiem
https://techcombank.com/thong-tin/blog/cach-tiet-kiem-tien")</f>
        <v>https://techcombank.com/thong-tin/blog/cach-tinh-thue-thu-nhap-ca-nhan-2025
https://techcombank.com/thong-tin/blog/thue-thu-nhap-ca-nhan
https://techcombank.com/thong-tin/blog/lai-suat-tiet-kiem
https://techcombank.com/thong-tin/blog/cach-tiet-kiem-tien</v>
      </c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28" t="str">
        <f>IFERROR(__xludf.DUMMYFUNCTION("""COMPUTED_VALUE"""),"https://techcombank.com/thong-tin/blog/ke-hoach-tai-chinh")</f>
        <v>https://techcombank.com/thong-tin/blog/ke-hoach-tai-chinh</v>
      </c>
      <c r="B351" s="11">
        <f>IFERROR(__xludf.DUMMYFUNCTION("""COMPUTED_VALUE"""),4.0)</f>
        <v>4</v>
      </c>
      <c r="C351" s="7" t="str">
        <f>IFERROR(__xludf.DUMMYFUNCTION("IF(A351="""","""",TEXTJOIN(CHAR(10),TRUE,FILTER('Tổng hợp 75 trang đích'!$B$2:$B$3400,'Tổng hợp 75 trang đích'!$I$2:$I$3400=A351)))"),"https://techcombank.com/thong-tin/blog/lai-suat-tiet-kiem
https://techcombank.com/thong-tin/blog/cach-tinh-lai-suat-tien-gui-tiet-kiem
https://techcombank.com/thong-tin/blog/cach-tiet-kiem-tien
https://techcombank.com/cong-cu-tien-ich/cong-cu-tinh-toan/ba"&amp;"ng-tinh-lai-suat-tiet-kiem")</f>
        <v>https://techcombank.com/thong-tin/blog/lai-suat-tiet-kiem
https://techcombank.com/thong-tin/blog/cach-tinh-lai-suat-tien-gui-tiet-kiem
https://techcombank.com/thong-tin/blog/cach-tiet-kiem-tien
https://techcombank.com/cong-cu-tien-ich/cong-cu-tinh-toan/bang-tinh-lai-suat-tiet-kiem</v>
      </c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28" t="str">
        <f>IFERROR(__xludf.DUMMYFUNCTION("""COMPUTED_VALUE"""),"https://techcombank.com/thong-tin/blog/kinh-nghiem-chuyen-doi-tu-ho-kinh-doanh-len-doanh-nghiep")</f>
        <v>https://techcombank.com/thong-tin/blog/kinh-nghiem-chuyen-doi-tu-ho-kinh-doanh-len-doanh-nghiep</v>
      </c>
      <c r="B352" s="11">
        <f>IFERROR(__xludf.DUMMYFUNCTION("""COMPUTED_VALUE"""),4.0)</f>
        <v>4</v>
      </c>
      <c r="C352" s="7" t="str">
        <f>IFERROR(__xludf.DUMMYFUNCTION("IF(A352="""","""",TEXTJOIN(CHAR(10),TRUE,FILTER('Tổng hợp 75 trang đích'!$B$2:$B$3400,'Tổng hợp 75 trang đích'!$I$2:$I$3400=A352)))"),"https://techcombank.com/thong-tin/blog/nop-thue-dat-qua-ngan-hang
https://techcombank.com/thong-tin/blog/cach-nop-thue-dien-tu
https://techcombank.com/thong-tin/blog/thue-thu-nhap-doanh-nghiep
https://techcombank.com/thong-tin/blog/thue-doanh-nghiep")</f>
        <v>https://techcombank.com/thong-tin/blog/nop-thue-dat-qua-ngan-hang
https://techcombank.com/thong-tin/blog/cach-nop-thue-dien-tu
https://techcombank.com/thong-tin/blog/thue-thu-nhap-doanh-nghiep
https://techcombank.com/thong-tin/blog/thue-doanh-nghiep</v>
      </c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28" t="str">
        <f>IFERROR(__xludf.DUMMYFUNCTION("""COMPUTED_VALUE"""),"https://techcombank.com/thong-tin/blog/kinh-nghiem-mua-vang-tich-tru")</f>
        <v>https://techcombank.com/thong-tin/blog/kinh-nghiem-mua-vang-tich-tru</v>
      </c>
      <c r="B353" s="11">
        <f>IFERROR(__xludf.DUMMYFUNCTION("""COMPUTED_VALUE"""),4.0)</f>
        <v>4</v>
      </c>
      <c r="C353" s="7" t="str">
        <f>IFERROR(__xludf.DUMMYFUNCTION("IF(A353="""","""",TEXTJOIN(CHAR(10),TRUE,FILTER('Tổng hợp 75 trang đích'!$B$2:$B$3400,'Tổng hợp 75 trang đích'!$I$2:$I$3400=A353)))"),"https://techcombank.com/thong-tin/blog/thue-thu-nhap-doanh-nghiep
https://techcombank.com/thong-tin/blog/cach-tinh-thue-thu-nhap-doanh-nghiep
https://techcombank.com/thong-tin/blog/lai-suat-tiet-kiem
https://techcombank.com/thong-tin/blog/phuong-phap-dau-"&amp;"tu-chung-chi-quy")</f>
        <v>https://techcombank.com/thong-tin/blog/thue-thu-nhap-doanh-nghiep
https://techcombank.com/thong-tin/blog/cach-tinh-thue-thu-nhap-doanh-nghiep
https://techcombank.com/thong-tin/blog/lai-suat-tiet-kiem
https://techcombank.com/thong-tin/blog/phuong-phap-dau-tu-chung-chi-quy</v>
      </c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28" t="str">
        <f>IFERROR(__xludf.DUMMYFUNCTION("""COMPUTED_VALUE"""),"https://techcombank.com/thong-tin/blog/lam-the-atm-co-mat-phi-khong")</f>
        <v>https://techcombank.com/thong-tin/blog/lam-the-atm-co-mat-phi-khong</v>
      </c>
      <c r="B354" s="11">
        <f>IFERROR(__xludf.DUMMYFUNCTION("""COMPUTED_VALUE"""),4.0)</f>
        <v>4</v>
      </c>
      <c r="C354" s="7" t="str">
        <f>IFERROR(__xludf.DUMMYFUNCTION("IF(A354="""","""",TEXTJOIN(CHAR(10),TRUE,FILTER('Tổng hợp 75 trang đích'!$B$2:$B$3400,'Tổng hợp 75 trang đích'!$I$2:$I$3400=A354)))"),"https://techcombank.com/thong-tin/blog/bao-nhieu-tuoi-duoc-mo-tai-khoan-ngan-hang
https://techcombank.com/thong-tin/blog/nap-tien-vao-tai-khoan-ngan-hang
https://techcombank.com/thong-tin/blog/rut-tien-bang-ma-qr-la-gi-cach-thuc-hien-nhu-the-nao
https://t"&amp;"echcombank.com/thong-tin/blog/lam-the-tin-dung")</f>
        <v>https://techcombank.com/thong-tin/blog/bao-nhieu-tuoi-duoc-mo-tai-khoan-ngan-hang
https://techcombank.com/thong-tin/blog/nap-tien-vao-tai-khoan-ngan-hang
https://techcombank.com/thong-tin/blog/rut-tien-bang-ma-qr-la-gi-cach-thuc-hien-nhu-the-nao
https://techcombank.com/thong-tin/blog/lam-the-tin-dung</v>
      </c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28" t="str">
        <f>IFERROR(__xludf.DUMMYFUNCTION("""COMPUTED_VALUE"""),"https://techcombank.com/thong-tin/blog/lo-ma-qr-ngan-hang-co-sao-khong")</f>
        <v>https://techcombank.com/thong-tin/blog/lo-ma-qr-ngan-hang-co-sao-khong</v>
      </c>
      <c r="B355" s="11">
        <f>IFERROR(__xludf.DUMMYFUNCTION("""COMPUTED_VALUE"""),4.0)</f>
        <v>4</v>
      </c>
      <c r="C355" s="7" t="str">
        <f>IFERROR(__xludf.DUMMYFUNCTION("IF(A355="""","""",TEXTJOIN(CHAR(10),TRUE,FILTER('Tổng hợp 75 trang đích'!$B$2:$B$3400,'Tổng hợp 75 trang đích'!$I$2:$I$3400=A355)))"),"https://techcombank.com/thong-tin/blog/cach-tinh-tien-dien-sinh-hoat
https://techcombank.com/thong-tin/blog/cach-kiem-tra-tai-khoan-ngan-hang
https://techcombank.com/thong-tin/blog/ten-dang-nhap-tai-khoan-ngan-hang-la-gi
https://techcombank.com/thong-tin/"&amp;"blog/gui-ma-qr-ngan-hang")</f>
        <v>https://techcombank.com/thong-tin/blog/cach-tinh-tien-dien-sinh-hoat
https://techcombank.com/thong-tin/blog/cach-kiem-tra-tai-khoan-ngan-hang
https://techcombank.com/thong-tin/blog/ten-dang-nhap-tai-khoan-ngan-hang-la-gi
https://techcombank.com/thong-tin/blog/gui-ma-qr-ngan-hang</v>
      </c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28" t="str">
        <f>IFERROR(__xludf.DUMMYFUNCTION("""COMPUTED_VALUE"""),"https://techcombank.com/thong-tin/blog/lo-so-tai-khoan-ngan-hang-co-sao-khong")</f>
        <v>https://techcombank.com/thong-tin/blog/lo-so-tai-khoan-ngan-hang-co-sao-khong</v>
      </c>
      <c r="B356" s="11">
        <f>IFERROR(__xludf.DUMMYFUNCTION("""COMPUTED_VALUE"""),4.0)</f>
        <v>4</v>
      </c>
      <c r="C356" s="7" t="str">
        <f>IFERROR(__xludf.DUMMYFUNCTION("IF(A356="""","""",TEXTJOIN(CHAR(10),TRUE,FILTER('Tổng hợp 75 trang đích'!$B$2:$B$3400,'Tổng hợp 75 trang đích'!$I$2:$I$3400=A356)))"),"https://techcombank.com/thong-tin/blog/cach-kiem-tra-tai-khoan-ngan-hang
https://techcombank.com/thong-tin/blog/cach-mo-tai-khoan
https://techcombank.com/thong-tin/blog/ten-dang-nhap-tai-khoan-ngan-hang-la-gi
https://techcombank.com/thong-tin/blog/rui-ro-"&amp;"khi-gui-tiet-kiem-online")</f>
        <v>https://techcombank.com/thong-tin/blog/cach-kiem-tra-tai-khoan-ngan-hang
https://techcombank.com/thong-tin/blog/cach-mo-tai-khoan
https://techcombank.com/thong-tin/blog/ten-dang-nhap-tai-khoan-ngan-hang-la-gi
https://techcombank.com/thong-tin/blog/rui-ro-khi-gui-tiet-kiem-online</v>
      </c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28" t="str">
        <f>IFERROR(__xludf.DUMMYFUNCTION("""COMPUTED_VALUE"""),"https://techcombank.com/thong-tin/blog/loa-thong-bao-chuyen-khoan")</f>
        <v>https://techcombank.com/thong-tin/blog/loa-thong-bao-chuyen-khoan</v>
      </c>
      <c r="B357" s="11">
        <f>IFERROR(__xludf.DUMMYFUNCTION("""COMPUTED_VALUE"""),4.0)</f>
        <v>4</v>
      </c>
      <c r="C357" s="7" t="str">
        <f>IFERROR(__xludf.DUMMYFUNCTION("IF(A357="""","""",TEXTJOIN(CHAR(10),TRUE,FILTER('Tổng hợp 75 trang đích'!$B$2:$B$3400,'Tổng hợp 75 trang đích'!$I$2:$I$3400=A357)))"),"https://techcombank.com/thong-tin/blog/chuyen-khoan-thanh-cong-nhung-khong-nhan-duoc-tien
https://techcombank.com/thong-tin/blog/gui-ma-qr-ngan-hang
https://techcombank.com/thong-tin/blog/lai-suat-tiet-kiem
https://techcombank.com/thong-tin/blog/cach-tinh"&amp;"-lai-suat-tien-gui-tiet-kiem")</f>
        <v>https://techcombank.com/thong-tin/blog/chuyen-khoan-thanh-cong-nhung-khong-nhan-duoc-tien
https://techcombank.com/thong-tin/blog/gui-ma-qr-ngan-hang
https://techcombank.com/thong-tin/blog/lai-suat-tiet-kiem
https://techcombank.com/thong-tin/blog/cach-tinh-lai-suat-tien-gui-tiet-kiem</v>
      </c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28" t="str">
        <f>IFERROR(__xludf.DUMMYFUNCTION("""COMPUTED_VALUE"""),"https://techcombank.com/thong-tin/blog/loi-ich-cua-ngan-hang-so-voi-sme")</f>
        <v>https://techcombank.com/thong-tin/blog/loi-ich-cua-ngan-hang-so-voi-sme</v>
      </c>
      <c r="B358" s="11">
        <f>IFERROR(__xludf.DUMMYFUNCTION("""COMPUTED_VALUE"""),4.0)</f>
        <v>4</v>
      </c>
      <c r="C358" s="7" t="str">
        <f>IFERROR(__xludf.DUMMYFUNCTION("IF(A358="""","""",TEXTJOIN(CHAR(10),TRUE,FILTER('Tổng hợp 75 trang đích'!$B$2:$B$3400,'Tổng hợp 75 trang đích'!$I$2:$I$3400=A358)))"),"https://techcombank.com/thong-tin/blog/lai-suat-tiet-kiem
https://techcombank.com/thong-tin/blog/cach-tinh-lai-suat-tien-gui-tiet-kiem
https://techcombank.com/thong-tin/blog/cach-tiet-kiem-tien
https://techcombank.com/cong-cu-tien-ich/cong-cu-tinh-toan/ba"&amp;"ng-tinh-lai-suat-tiet-kiem")</f>
        <v>https://techcombank.com/thong-tin/blog/lai-suat-tiet-kiem
https://techcombank.com/thong-tin/blog/cach-tinh-lai-suat-tien-gui-tiet-kiem
https://techcombank.com/thong-tin/blog/cach-tiet-kiem-tien
https://techcombank.com/cong-cu-tien-ich/cong-cu-tinh-toan/bang-tinh-lai-suat-tiet-kiem</v>
      </c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28" t="str">
        <f>IFERROR(__xludf.DUMMYFUNCTION("""COMPUTED_VALUE"""),"https://techcombank.com/thong-tin/blog/loi-ich-cua-viec-tiet-kiem-tien")</f>
        <v>https://techcombank.com/thong-tin/blog/loi-ich-cua-viec-tiet-kiem-tien</v>
      </c>
      <c r="B359" s="11">
        <f>IFERROR(__xludf.DUMMYFUNCTION("""COMPUTED_VALUE"""),4.0)</f>
        <v>4</v>
      </c>
      <c r="C359" s="7" t="str">
        <f>IFERROR(__xludf.DUMMYFUNCTION("IF(A359="""","""",TEXTJOIN(CHAR(10),TRUE,FILTER('Tổng hợp 75 trang đích'!$B$2:$B$3400,'Tổng hợp 75 trang đích'!$I$2:$I$3400=A359)))"),"https://techcombank.com/thong-tin/blog/cach-sao-ke-tai-khoan-ngan-hang
https://techcombank.com/thong-tin/blog/lai-suat-tiet-kiem
https://techcombank.com/thong-tin/blog/cach-tinh-lai-suat-tien-gui-tiet-kiem
https://techcombank.com/thong-tin/blog/cach-tiet-"&amp;"kiem-tien")</f>
        <v>https://techcombank.com/thong-tin/blog/cach-sao-ke-tai-khoan-ngan-hang
https://techcombank.com/thong-tin/blog/lai-suat-tiet-kiem
https://techcombank.com/thong-tin/blog/cach-tinh-lai-suat-tien-gui-tiet-kiem
https://techcombank.com/thong-tin/blog/cach-tiet-kiem-tien</v>
      </c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28" t="str">
        <f>IFERROR(__xludf.DUMMYFUNCTION("""COMPUTED_VALUE"""),"https://techcombank.com/thong-tin/blog/luat-thuong-mai-dien-tu")</f>
        <v>https://techcombank.com/thong-tin/blog/luat-thuong-mai-dien-tu</v>
      </c>
      <c r="B360" s="11">
        <f>IFERROR(__xludf.DUMMYFUNCTION("""COMPUTED_VALUE"""),4.0)</f>
        <v>4</v>
      </c>
      <c r="C360" s="7" t="str">
        <f>IFERROR(__xludf.DUMMYFUNCTION("IF(A360="""","""",TEXTJOIN(CHAR(10),TRUE,FILTER('Tổng hợp 75 trang đích'!$B$2:$B$3400,'Tổng hợp 75 trang đích'!$I$2:$I$3400=A360)))"),"https://techcombank.com/thong-tin/blog/nop-thue-dat-qua-ngan-hang
https://techcombank.com/thong-tin/blog/cach-nop-thue-dien-tu
https://techcombank.com/thong-tin/blog/thue-thu-nhap-doanh-nghiep
https://techcombank.com/thong-tin/blog/ho-kinh-doanh-dong-thue"&amp;"-nhu-nao")</f>
        <v>https://techcombank.com/thong-tin/blog/nop-thue-dat-qua-ngan-hang
https://techcombank.com/thong-tin/blog/cach-nop-thue-dien-tu
https://techcombank.com/thong-tin/blog/thue-thu-nhap-doanh-nghiep
https://techcombank.com/thong-tin/blog/ho-kinh-doanh-dong-thue-nhu-nao</v>
      </c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28" t="str">
        <f>IFERROR(__xludf.DUMMYFUNCTION("""COMPUTED_VALUE"""),"https://techcombank.com/thong-tin/blog/luu-y-khi-chuyen-tien-vao-tai-khoan-cong-ty")</f>
        <v>https://techcombank.com/thong-tin/blog/luu-y-khi-chuyen-tien-vao-tai-khoan-cong-ty</v>
      </c>
      <c r="B361" s="11">
        <f>IFERROR(__xludf.DUMMYFUNCTION("""COMPUTED_VALUE"""),4.0)</f>
        <v>4</v>
      </c>
      <c r="C361" s="7" t="str">
        <f>IFERROR(__xludf.DUMMYFUNCTION("IF(A361="""","""",TEXTJOIN(CHAR(10),TRUE,FILTER('Tổng hợp 75 trang đích'!$B$2:$B$3400,'Tổng hợp 75 trang đích'!$I$2:$I$3400=A361)))"),"https://techcombank.com/thong-tin/blog/nop-thue-dat-qua-ngan-hang
https://techcombank.com/thong-tin/blog/thue-thu-nhap-doanh-nghiep
https://techcombank.com/thong-tin/blog/cong-ty-su-dung-tai-khoan-ca-nhan
https://techcombank.com/thong-tin/blog/chuyen-khoa"&amp;"n-thanh-cong-nhung-khong-nhan-duoc-tien")</f>
        <v>https://techcombank.com/thong-tin/blog/nop-thue-dat-qua-ngan-hang
https://techcombank.com/thong-tin/blog/thue-thu-nhap-doanh-nghiep
https://techcombank.com/thong-tin/blog/cong-ty-su-dung-tai-khoan-ca-nhan
https://techcombank.com/thong-tin/blog/chuyen-khoan-thanh-cong-nhung-khong-nhan-duoc-tien</v>
      </c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28" t="str">
        <f>IFERROR(__xludf.DUMMYFUNCTION("""COMPUTED_VALUE"""),"https://techcombank.com/thong-tin/blog/ma-qr-ngan-hang-khong-hop-le")</f>
        <v>https://techcombank.com/thong-tin/blog/ma-qr-ngan-hang-khong-hop-le</v>
      </c>
      <c r="B362" s="11">
        <f>IFERROR(__xludf.DUMMYFUNCTION("""COMPUTED_VALUE"""),4.0)</f>
        <v>4</v>
      </c>
      <c r="C362" s="7" t="str">
        <f>IFERROR(__xludf.DUMMYFUNCTION("IF(A362="""","""",TEXTJOIN(CHAR(10),TRUE,FILTER('Tổng hợp 75 trang đích'!$B$2:$B$3400,'Tổng hợp 75 trang đích'!$I$2:$I$3400=A362)))"),"https://techcombank.com/thong-tin/blog/cach-tinh-tien-dien-sinh-hoat
https://techcombank.com/thong-tin/blog/chuyen-khoan-thanh-cong-nhung-khong-nhan-duoc-tien
https://techcombank.com/thong-tin/blog/rut-tien-bang-ma-qr-la-gi-cach-thuc-hien-nhu-the-nao
http"&amp;"s://techcombank.com/thong-tin/blog/gui-ma-qr-ngan-hang")</f>
        <v>https://techcombank.com/thong-tin/blog/cach-tinh-tien-dien-sinh-hoat
https://techcombank.com/thong-tin/blog/chuyen-khoan-thanh-cong-nhung-khong-nhan-duoc-tien
https://techcombank.com/thong-tin/blog/rut-tien-bang-ma-qr-la-gi-cach-thuc-hien-nhu-the-nao
https://techcombank.com/thong-tin/blog/gui-ma-qr-ngan-hang</v>
      </c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28" t="str">
        <f>IFERROR(__xludf.DUMMYFUNCTION("""COMPUTED_VALUE"""),"https://techcombank.com/thong-tin/blog/mat-so-tiet-kiem")</f>
        <v>https://techcombank.com/thong-tin/blog/mat-so-tiet-kiem</v>
      </c>
      <c r="B363" s="11">
        <f>IFERROR(__xludf.DUMMYFUNCTION("""COMPUTED_VALUE"""),4.0)</f>
        <v>4</v>
      </c>
      <c r="C363" s="7" t="str">
        <f>IFERROR(__xludf.DUMMYFUNCTION("IF(A363="""","""",TEXTJOIN(CHAR(10),TRUE,FILTER('Tổng hợp 75 trang đích'!$B$2:$B$3400,'Tổng hợp 75 trang đích'!$I$2:$I$3400=A363)))"),"https://techcombank.com/thong-tin/blog/lai-suat-tiet-kiem
https://techcombank.com/thong-tin/blog/cach-tinh-lai-suat-tien-gui-tiet-kiem
https://techcombank.com/thong-tin/blog/rut-tien-tiet-kiem-truoc-thoi-han
https://techcombank.com/thong-tin/blog/so-tiet-"&amp;"kiem-ngan-hang")</f>
        <v>https://techcombank.com/thong-tin/blog/lai-suat-tiet-kiem
https://techcombank.com/thong-tin/blog/cach-tinh-lai-suat-tien-gui-tiet-kiem
https://techcombank.com/thong-tin/blog/rut-tien-tiet-kiem-truoc-thoi-han
https://techcombank.com/thong-tin/blog/so-tiet-kiem-ngan-hang</v>
      </c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28" t="str">
        <f>IFERROR(__xludf.DUMMYFUNCTION("""COMPUTED_VALUE"""),"https://techcombank.com/thong-tin/blog/mo-tai-khoan-ho-kinh-doanh")</f>
        <v>https://techcombank.com/thong-tin/blog/mo-tai-khoan-ho-kinh-doanh</v>
      </c>
      <c r="B364" s="11">
        <f>IFERROR(__xludf.DUMMYFUNCTION("""COMPUTED_VALUE"""),4.0)</f>
        <v>4</v>
      </c>
      <c r="C364" s="7" t="str">
        <f>IFERROR(__xludf.DUMMYFUNCTION("IF(A364="""","""",TEXTJOIN(CHAR(10),TRUE,FILTER('Tổng hợp 75 trang đích'!$B$2:$B$3400,'Tổng hợp 75 trang đích'!$I$2:$I$3400=A364)))"),"https://techcombank.com/thong-tin/blog/cach-mo-tai-khoan
https://techcombank.com/thong-tin/blog/ho-kinh-doanh-dong-thue-nhu-nao
https://techcombank.com/thong-tin/blog/mo-hinh-kinh-doanh-la-gi
https://techcombank.com/thong-tin/blog/cach-tinh-thue-ho-kinh-d"&amp;"oanh-nho-le")</f>
        <v>https://techcombank.com/thong-tin/blog/cach-mo-tai-khoan
https://techcombank.com/thong-tin/blog/ho-kinh-doanh-dong-thue-nhu-nao
https://techcombank.com/thong-tin/blog/mo-hinh-kinh-doanh-la-gi
https://techcombank.com/thong-tin/blog/cach-tinh-thue-ho-kinh-doanh-nho-le</v>
      </c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28" t="str">
        <f>IFERROR(__xludf.DUMMYFUNCTION("""COMPUTED_VALUE"""),"https://techcombank.com/thong-tin/blog/mo-tai-khoan-ngan-hang-cho-tre-em")</f>
        <v>https://techcombank.com/thong-tin/blog/mo-tai-khoan-ngan-hang-cho-tre-em</v>
      </c>
      <c r="B365" s="11">
        <f>IFERROR(__xludf.DUMMYFUNCTION("""COMPUTED_VALUE"""),4.0)</f>
        <v>4</v>
      </c>
      <c r="C365" s="7" t="str">
        <f>IFERROR(__xludf.DUMMYFUNCTION("IF(A365="""","""",TEXTJOIN(CHAR(10),TRUE,FILTER('Tổng hợp 75 trang đích'!$B$2:$B$3400,'Tổng hợp 75 trang đích'!$I$2:$I$3400=A365)))"),"https://techcombank.com/thong-tin/blog/bao-nhieu-tuoi-duoc-mo-tai-khoan-ngan-hang
https://techcombank.com/thong-tin/blog/mo-tai-khoan-ngan-hang-duoi-18-tuoi
https://techcombank.com/thong-tin/blog/lai-suat-tiet-kiem
https://techcombank.com/thong-tin/blog/c"&amp;"ach-tiet-kiem-tien")</f>
        <v>https://techcombank.com/thong-tin/blog/bao-nhieu-tuoi-duoc-mo-tai-khoan-ngan-hang
https://techcombank.com/thong-tin/blog/mo-tai-khoan-ngan-hang-duoi-18-tuoi
https://techcombank.com/thong-tin/blog/lai-suat-tiet-kiem
https://techcombank.com/thong-tin/blog/cach-tiet-kiem-tien</v>
      </c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28" t="str">
        <f>IFERROR(__xludf.DUMMYFUNCTION("""COMPUTED_VALUE"""),"https://techcombank.com/thong-tin/blog/mo-tai-khoan-ngan-hang-co-mat-phi-khong")</f>
        <v>https://techcombank.com/thong-tin/blog/mo-tai-khoan-ngan-hang-co-mat-phi-khong</v>
      </c>
      <c r="B366" s="11">
        <f>IFERROR(__xludf.DUMMYFUNCTION("""COMPUTED_VALUE"""),4.0)</f>
        <v>4</v>
      </c>
      <c r="C366" s="7" t="str">
        <f>IFERROR(__xludf.DUMMYFUNCTION("IF(A366="""","""",TEXTJOIN(CHAR(10),TRUE,FILTER('Tổng hợp 75 trang đích'!$B$2:$B$3400,'Tổng hợp 75 trang đích'!$I$2:$I$3400=A366)))"),"https://techcombank.com/thong-tin/blog/cach-tinh-tien-dien-sinh-hoat
https://techcombank.com/thong-tin/blog/cach-kiem-tra-tai-khoan-ngan-hang
https://techcombank.com/thong-tin/blog/cach-mo-tai-khoan
https://techcombank.com/thong-tin/blog/chuyen-khoan-than"&amp;"h-cong-nhung-khong-nhan-duoc-tien")</f>
        <v>https://techcombank.com/thong-tin/blog/cach-tinh-tien-dien-sinh-hoat
https://techcombank.com/thong-tin/blog/cach-kiem-tra-tai-khoan-ngan-hang
https://techcombank.com/thong-tin/blog/cach-mo-tai-khoan
https://techcombank.com/thong-tin/blog/chuyen-khoan-thanh-cong-nhung-khong-nhan-duoc-tien</v>
      </c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28" t="str">
        <f>IFERROR(__xludf.DUMMYFUNCTION("""COMPUTED_VALUE"""),"https://techcombank.com/thong-tin/blog/mo-tai-khoan-ngan-hang-online-co-an-toan-khong")</f>
        <v>https://techcombank.com/thong-tin/blog/mo-tai-khoan-ngan-hang-online-co-an-toan-khong</v>
      </c>
      <c r="B367" s="11">
        <f>IFERROR(__xludf.DUMMYFUNCTION("""COMPUTED_VALUE"""),4.0)</f>
        <v>4</v>
      </c>
      <c r="C367" s="7" t="str">
        <f>IFERROR(__xludf.DUMMYFUNCTION("IF(A367="""","""",TEXTJOIN(CHAR(10),TRUE,FILTER('Tổng hợp 75 trang đích'!$B$2:$B$3400,'Tổng hợp 75 trang đích'!$I$2:$I$3400=A367)))"),"https://techcombank.com/thong-tin/blog/cach-tinh-tien-dien-sinh-hoat
https://techcombank.com/thong-tin/blog/cach-kiem-tra-tai-khoan-ngan-hang
https://techcombank.com/thong-tin/blog/cach-mo-tai-khoan
https://techcombank.com/thong-tin/blog/rui-ro-khi-gui-ti"&amp;"et-kiem-online")</f>
        <v>https://techcombank.com/thong-tin/blog/cach-tinh-tien-dien-sinh-hoat
https://techcombank.com/thong-tin/blog/cach-kiem-tra-tai-khoan-ngan-hang
https://techcombank.com/thong-tin/blog/cach-mo-tai-khoan
https://techcombank.com/thong-tin/blog/rui-ro-khi-gui-tiet-kiem-online</v>
      </c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28" t="str">
        <f>IFERROR(__xludf.DUMMYFUNCTION("""COMPUTED_VALUE"""),"https://techcombank.com/thong-tin/blog/mo-the-ghi-no")</f>
        <v>https://techcombank.com/thong-tin/blog/mo-the-ghi-no</v>
      </c>
      <c r="B368" s="11">
        <f>IFERROR(__xludf.DUMMYFUNCTION("""COMPUTED_VALUE"""),4.0)</f>
        <v>4</v>
      </c>
      <c r="C368" s="7" t="str">
        <f>IFERROR(__xludf.DUMMYFUNCTION("IF(A368="""","""",TEXTJOIN(CHAR(10),TRUE,FILTER('Tổng hợp 75 trang đích'!$B$2:$B$3400,'Tổng hợp 75 trang đích'!$I$2:$I$3400=A368)))"),"https://techcombank.com/thong-tin/blog/eco-card
https://techcombank.com/thong-tin/blog/cic-la-gi
https://techcombank.com/thong-tin/blog/lai-suat-tiet-kiem
https://techcombank.com/thong-tin/blog/cach-tinh-lai-suat-tien-gui-tiet-kiem")</f>
        <v>https://techcombank.com/thong-tin/blog/eco-card
https://techcombank.com/thong-tin/blog/cic-la-gi
https://techcombank.com/thong-tin/blog/lai-suat-tiet-kiem
https://techcombank.com/thong-tin/blog/cach-tinh-lai-suat-tien-gui-tiet-kiem</v>
      </c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28" t="str">
        <f>IFERROR(__xludf.DUMMYFUNCTION("""COMPUTED_VALUE"""),"https://techcombank.com/thong-tin/blog/nang-han-muc-tin-dung")</f>
        <v>https://techcombank.com/thong-tin/blog/nang-han-muc-tin-dung</v>
      </c>
      <c r="B369" s="11">
        <f>IFERROR(__xludf.DUMMYFUNCTION("""COMPUTED_VALUE"""),4.0)</f>
        <v>4</v>
      </c>
      <c r="C369" s="7" t="str">
        <f>IFERROR(__xludf.DUMMYFUNCTION("IF(A369="""","""",TEXTJOIN(CHAR(10),TRUE,FILTER('Tổng hợp 75 trang đích'!$B$2:$B$3400,'Tổng hợp 75 trang đích'!$I$2:$I$3400=A369)))"),"https://techcombank.com/thong-tin/blog/cach-sao-ke-tai-khoan-ngan-hang
https://techcombank.com/thong-tin/blog/cic-la-gi
https://techcombank.com/thong-tin/blog/rut-tien-mat-tu-the-tin-dung
https://techcombank.com/thong-tin/blog/app-vay-tien-nhanh")</f>
        <v>https://techcombank.com/thong-tin/blog/cach-sao-ke-tai-khoan-ngan-hang
https://techcombank.com/thong-tin/blog/cic-la-gi
https://techcombank.com/thong-tin/blog/rut-tien-mat-tu-the-tin-dung
https://techcombank.com/thong-tin/blog/app-vay-tien-nhanh</v>
      </c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28" t="str">
        <f>IFERROR(__xludf.DUMMYFUNCTION("""COMPUTED_VALUE"""),"https://techcombank.com/thong-tin/blog/nap-tien-dien-thoai-online")</f>
        <v>https://techcombank.com/thong-tin/blog/nap-tien-dien-thoai-online</v>
      </c>
      <c r="B370" s="11">
        <f>IFERROR(__xludf.DUMMYFUNCTION("""COMPUTED_VALUE"""),4.0)</f>
        <v>4</v>
      </c>
      <c r="C370" s="7" t="str">
        <f>IFERROR(__xludf.DUMMYFUNCTION("IF(A370="""","""",TEXTJOIN(CHAR(10),TRUE,FILTER('Tổng hợp 75 trang đích'!$B$2:$B$3400,'Tổng hợp 75 trang đích'!$I$2:$I$3400=A370)))"),"https://techcombank.com/thong-tin/blog/cach-nap-the-viettel
https://techcombank.com/thong-tin/blog/cach-tinh-tien-dien-sinh-hoat
https://techcombank.com/thong-tin/blog/nap-tien-vao-tai-khoan-ngan-hang
https://techcombank.com/thong-tin/blog/day-so-phat-tai"&amp;"-phat-loc")</f>
        <v>https://techcombank.com/thong-tin/blog/cach-nap-the-viettel
https://techcombank.com/thong-tin/blog/cach-tinh-tien-dien-sinh-hoat
https://techcombank.com/thong-tin/blog/nap-tien-vao-tai-khoan-ngan-hang
https://techcombank.com/thong-tin/blog/day-so-phat-tai-phat-loc</v>
      </c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28" t="str">
        <f>IFERROR(__xludf.DUMMYFUNCTION("""COMPUTED_VALUE"""),"https://techcombank.com/thong-tin/blog/ngoai-hoi-la-gi")</f>
        <v>https://techcombank.com/thong-tin/blog/ngoai-hoi-la-gi</v>
      </c>
      <c r="B371" s="11">
        <f>IFERROR(__xludf.DUMMYFUNCTION("""COMPUTED_VALUE"""),4.0)</f>
        <v>4</v>
      </c>
      <c r="C371" s="7" t="str">
        <f>IFERROR(__xludf.DUMMYFUNCTION("IF(A371="""","""",TEXTJOIN(CHAR(10),TRUE,FILTER('Tổng hợp 75 trang đích'!$B$2:$B$3400,'Tổng hợp 75 trang đích'!$I$2:$I$3400=A371)))"),"https://techcombank.com/thong-tin/blog/thue-thu-nhap-doanh-nghiep
https://techcombank.com/thong-tin/blog/cach-tinh-thue-thu-nhap-doanh-nghiep
https://techcombank.com/thong-tin/blog/1-te-bang-bao-nhieu-tien-viet-nam
https://techcombank.com/thong-tin/blog/d"&amp;"oi-tien-do-o-dau")</f>
        <v>https://techcombank.com/thong-tin/blog/thue-thu-nhap-doanh-nghiep
https://techcombank.com/thong-tin/blog/cach-tinh-thue-thu-nhap-doanh-nghiep
https://techcombank.com/thong-tin/blog/1-te-bang-bao-nhieu-tien-viet-nam
https://techcombank.com/thong-tin/blog/doi-tien-do-o-dau</v>
      </c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28" t="str">
        <f>IFERROR(__xludf.DUMMYFUNCTION("""COMPUTED_VALUE"""),"https://techcombank.com/thong-tin/blog/ngoai-te-la-gi")</f>
        <v>https://techcombank.com/thong-tin/blog/ngoai-te-la-gi</v>
      </c>
      <c r="B372" s="11">
        <f>IFERROR(__xludf.DUMMYFUNCTION("""COMPUTED_VALUE"""),4.0)</f>
        <v>4</v>
      </c>
      <c r="C372" s="7" t="str">
        <f>IFERROR(__xludf.DUMMYFUNCTION("IF(A372="""","""",TEXTJOIN(CHAR(10),TRUE,FILTER('Tổng hợp 75 trang đích'!$B$2:$B$3400,'Tổng hợp 75 trang đích'!$I$2:$I$3400=A372)))"),"https://techcombank.com/thong-tin/blog/1-te-bang-bao-nhieu-tien-viet-nam
https://techcombank.com/thong-tin/blog/tien-dai-loan
https://techcombank.com/thong-tin/blog/cach-nhan-tien-tu-nuoc-ngoai-ve-viet-nam
https://techcombank.com/thong-tin/blog/doi-tien-d"&amp;"o-o-dau")</f>
        <v>https://techcombank.com/thong-tin/blog/1-te-bang-bao-nhieu-tien-viet-nam
https://techcombank.com/thong-tin/blog/tien-dai-loan
https://techcombank.com/thong-tin/blog/cach-nhan-tien-tu-nuoc-ngoai-ve-viet-nam
https://techcombank.com/thong-tin/blog/doi-tien-do-o-dau</v>
      </c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28" t="str">
        <f>IFERROR(__xludf.DUMMYFUNCTION("""COMPUTED_VALUE"""),"https://techcombank.com/thong-tin/blog/nhu-cau-vay-tieu-dung-cua-nguoi-viet-du-kien-tang-manh-trong-thoi-gian-toi")</f>
        <v>https://techcombank.com/thong-tin/blog/nhu-cau-vay-tieu-dung-cua-nguoi-viet-du-kien-tang-manh-trong-thoi-gian-toi</v>
      </c>
      <c r="B373" s="11">
        <f>IFERROR(__xludf.DUMMYFUNCTION("""COMPUTED_VALUE"""),4.0)</f>
        <v>4</v>
      </c>
      <c r="C373" s="7" t="str">
        <f>IFERROR(__xludf.DUMMYFUNCTION("IF(A373="""","""",TEXTJOIN(CHAR(10),TRUE,FILTER('Tổng hợp 75 trang đích'!$B$2:$B$3400,'Tổng hợp 75 trang đích'!$I$2:$I$3400=A373)))"),"https://techcombank.com/thong-tin/blog/cic-la-gi
https://techcombank.com/cong-cu-tien-ich/cong-cu-tinh-toan/bang-tinh-lai-suat-vay
https://techcombank.com/thong-tin/blog/app-vay-tien-nhanh
https://techcombank.com/thong-tin/blog/nen-vay-tin-chap-o-dau")</f>
        <v>https://techcombank.com/thong-tin/blog/cic-la-gi
https://techcombank.com/cong-cu-tien-ich/cong-cu-tinh-toan/bang-tinh-lai-suat-vay
https://techcombank.com/thong-tin/blog/app-vay-tien-nhanh
https://techcombank.com/thong-tin/blog/nen-vay-tin-chap-o-dau</v>
      </c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28" t="str">
        <f>IFERROR(__xludf.DUMMYFUNCTION("""COMPUTED_VALUE"""),"https://techcombank.com/thong-tin/blog/phan-mem-lap-ke-hoach-tai-chinh-ca-nhan")</f>
        <v>https://techcombank.com/thong-tin/blog/phan-mem-lap-ke-hoach-tai-chinh-ca-nhan</v>
      </c>
      <c r="B374" s="11">
        <f>IFERROR(__xludf.DUMMYFUNCTION("""COMPUTED_VALUE"""),4.0)</f>
        <v>4</v>
      </c>
      <c r="C374" s="7" t="str">
        <f>IFERROR(__xludf.DUMMYFUNCTION("IF(A374="""","""",TEXTJOIN(CHAR(10),TRUE,FILTER('Tổng hợp 75 trang đích'!$B$2:$B$3400,'Tổng hợp 75 trang đích'!$I$2:$I$3400=A374)))"),"https://techcombank.com/thong-tin/blog/cach-sao-ke-tai-khoan-ngan-hang
https://techcombank.com/thong-tin/blog/lai-suat-tiet-kiem
https://techcombank.com/thong-tin/blog/cach-tinh-lai-suat-tien-gui-tiet-kiem
https://techcombank.com/thong-tin/blog/phuong-pha"&amp;"p-dau-tu-chung-chi-quy")</f>
        <v>https://techcombank.com/thong-tin/blog/cach-sao-ke-tai-khoan-ngan-hang
https://techcombank.com/thong-tin/blog/lai-suat-tiet-kiem
https://techcombank.com/thong-tin/blog/cach-tinh-lai-suat-tien-gui-tiet-kiem
https://techcombank.com/thong-tin/blog/phuong-phap-dau-tu-chung-chi-quy</v>
      </c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28" t="str">
        <f>IFERROR(__xludf.DUMMYFUNCTION("""COMPUTED_VALUE"""),"https://techcombank.com/thong-tin/blog/phan-mem-xuat-hoa-don-dien-tu")</f>
        <v>https://techcombank.com/thong-tin/blog/phan-mem-xuat-hoa-don-dien-tu</v>
      </c>
      <c r="B375" s="11">
        <f>IFERROR(__xludf.DUMMYFUNCTION("""COMPUTED_VALUE"""),4.0)</f>
        <v>4</v>
      </c>
      <c r="C375" s="7" t="str">
        <f>IFERROR(__xludf.DUMMYFUNCTION("IF(A375="""","""",TEXTJOIN(CHAR(10),TRUE,FILTER('Tổng hợp 75 trang đích'!$B$2:$B$3400,'Tổng hợp 75 trang đích'!$I$2:$I$3400=A375)))"),"https://techcombank.com/thong-tin/blog/nop-thue-dat-qua-ngan-hang
https://techcombank.com/thong-tin/blog/thue-vat-la-gi
https://techcombank.com/thong-tin/blog/cach-tinh-thue-thu-nhap-doanh-nghiep
https://techcombank.com/thong-tin/blog/cach-tinh-tien-dien-"&amp;"sinh-hoat")</f>
        <v>https://techcombank.com/thong-tin/blog/nop-thue-dat-qua-ngan-hang
https://techcombank.com/thong-tin/blog/thue-vat-la-gi
https://techcombank.com/thong-tin/blog/cach-tinh-thue-thu-nhap-doanh-nghiep
https://techcombank.com/thong-tin/blog/cach-tinh-tien-dien-sinh-hoat</v>
      </c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28" t="str">
        <f>IFERROR(__xludf.DUMMYFUNCTION("""COMPUTED_VALUE"""),"https://techcombank.com/thong-tin/blog/rut-tien-bao-hiem-nhan-tho-khi-het-han")</f>
        <v>https://techcombank.com/thong-tin/blog/rut-tien-bao-hiem-nhan-tho-khi-het-han</v>
      </c>
      <c r="B376" s="11">
        <f>IFERROR(__xludf.DUMMYFUNCTION("""COMPUTED_VALUE"""),4.0)</f>
        <v>4</v>
      </c>
      <c r="C376" s="7" t="str">
        <f>IFERROR(__xludf.DUMMYFUNCTION("IF(A376="""","""",TEXTJOIN(CHAR(10),TRUE,FILTER('Tổng hợp 75 trang đích'!$B$2:$B$3400,'Tổng hợp 75 trang đích'!$I$2:$I$3400=A376)))"),"https://techcombank.com/thong-tin/blog/rut-tien-mat-tu-the-tin-dung
https://techcombank.com/thong-tin/blog/lai-suat-tiet-kiem
https://techcombank.com/thong-tin/blog/rut-tien-tiet-kiem-truoc-thoi-han
https://techcombank.com/cong-cu-tien-ich/cong-cu-tinh-to"&amp;"an/bang-tinh-lai-suat-tiet-kiem")</f>
        <v>https://techcombank.com/thong-tin/blog/rut-tien-mat-tu-the-tin-dung
https://techcombank.com/thong-tin/blog/lai-suat-tiet-kiem
https://techcombank.com/thong-tin/blog/rut-tien-tiet-kiem-truoc-thoi-han
https://techcombank.com/cong-cu-tien-ich/cong-cu-tinh-toan/bang-tinh-lai-suat-tiet-kiem</v>
      </c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28" t="str">
        <f>IFERROR(__xludf.DUMMYFUNCTION("""COMPUTED_VALUE"""),"https://techcombank.com/thong-tin/blog/rut-tien-mat-tu-tai-khoan-doanh-nghiep")</f>
        <v>https://techcombank.com/thong-tin/blog/rut-tien-mat-tu-tai-khoan-doanh-nghiep</v>
      </c>
      <c r="B377" s="11">
        <f>IFERROR(__xludf.DUMMYFUNCTION("""COMPUTED_VALUE"""),4.0)</f>
        <v>4</v>
      </c>
      <c r="C377" s="7" t="str">
        <f>IFERROR(__xludf.DUMMYFUNCTION("IF(A377="""","""",TEXTJOIN(CHAR(10),TRUE,FILTER('Tổng hợp 75 trang đích'!$B$2:$B$3400,'Tổng hợp 75 trang đích'!$I$2:$I$3400=A377)))"),"https://techcombank.com/thong-tin/blog/cong-ty-su-dung-tai-khoan-ca-nhan
https://techcombank.com/thong-tin/blog/cach-tinh-tien-dien-sinh-hoat
https://techcombank.com/thong-tin/blog/rut-tien-bang-ma-qr-la-gi-cach-thuc-hien-nhu-the-nao
https://techcombank.c"&amp;"om/thong-tin/blog/rut-tien-mat-tu-the-tin-dung")</f>
        <v>https://techcombank.com/thong-tin/blog/cong-ty-su-dung-tai-khoan-ca-nhan
https://techcombank.com/thong-tin/blog/cach-tinh-tien-dien-sinh-hoat
https://techcombank.com/thong-tin/blog/rut-tien-bang-ma-qr-la-gi-cach-thuc-hien-nhu-the-nao
https://techcombank.com/thong-tin/blog/rut-tien-mat-tu-the-tin-dung</v>
      </c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28" t="str">
        <f>IFERROR(__xludf.DUMMYFUNCTION("""COMPUTED_VALUE"""),"https://techcombank.com/thong-tin/blog/rut-tien-tiet-kiem-truoc-thoi-han")</f>
        <v>https://techcombank.com/thong-tin/blog/rut-tien-tiet-kiem-truoc-thoi-han</v>
      </c>
      <c r="B378" s="11">
        <f>IFERROR(__xludf.DUMMYFUNCTION("""COMPUTED_VALUE"""),4.0)</f>
        <v>4</v>
      </c>
      <c r="C378" s="7" t="str">
        <f>IFERROR(__xludf.DUMMYFUNCTION("IF(A378="""","""",TEXTJOIN(CHAR(10),TRUE,FILTER('Tổng hợp 75 trang đích'!$B$2:$B$3400,'Tổng hợp 75 trang đích'!$I$2:$I$3400=A378)))"),"https://techcombank.com/thong-tin/blog/rut-tien-mat-tu-the-tin-dung
https://techcombank.com/thong-tin/blog/lai-suat-tiet-kiem
https://techcombank.com/thong-tin/blog/cach-tinh-lai-suat-tien-gui-tiet-kiem
https://techcombank.com/cong-cu-tien-ich/cong-cu-tin"&amp;"h-toan/bang-tinh-lai-suat-tiet-kiem")</f>
        <v>https://techcombank.com/thong-tin/blog/rut-tien-mat-tu-the-tin-dung
https://techcombank.com/thong-tin/blog/lai-suat-tiet-kiem
https://techcombank.com/thong-tin/blog/cach-tinh-lai-suat-tien-gui-tiet-kiem
https://techcombank.com/cong-cu-tien-ich/cong-cu-tinh-toan/bang-tinh-lai-suat-tiet-kiem</v>
      </c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28" t="str">
        <f>IFERROR(__xludf.DUMMYFUNCTION("""COMPUTED_VALUE"""),"https://techcombank.com/thong-tin/blog/so-tai-khoan-ngan-hang")</f>
        <v>https://techcombank.com/thong-tin/blog/so-tai-khoan-ngan-hang</v>
      </c>
      <c r="B379" s="11">
        <f>IFERROR(__xludf.DUMMYFUNCTION("""COMPUTED_VALUE"""),4.0)</f>
        <v>4</v>
      </c>
      <c r="C379" s="7" t="str">
        <f>IFERROR(__xludf.DUMMYFUNCTION("IF(A379="""","""",TEXTJOIN(CHAR(10),TRUE,FILTER('Tổng hợp 75 trang đích'!$B$2:$B$3400,'Tổng hợp 75 trang đích'!$I$2:$I$3400=A379)))"),"https://techcombank.com/thong-tin/blog/cach-tinh-tien-dien-sinh-hoat
https://techcombank.com/thong-tin/blog/cach-kiem-tra-tai-khoan-ngan-hang
https://techcombank.com/thong-tin/blog/day-so-phat-tai-phat-loc
https://techcombank.com/thong-tin/blog/cach-quet-"&amp;"nfc-cccd-tren-iphone")</f>
        <v>https://techcombank.com/thong-tin/blog/cach-tinh-tien-dien-sinh-hoat
https://techcombank.com/thong-tin/blog/cach-kiem-tra-tai-khoan-ngan-hang
https://techcombank.com/thong-tin/blog/day-so-phat-tai-phat-loc
https://techcombank.com/thong-tin/blog/cach-quet-nfc-cccd-tren-iphone</v>
      </c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28" t="str">
        <f>IFERROR(__xludf.DUMMYFUNCTION("""COMPUTED_VALUE"""),"https://techcombank.com/thong-tin/blog/so-the-ngan-hang")</f>
        <v>https://techcombank.com/thong-tin/blog/so-the-ngan-hang</v>
      </c>
      <c r="B380" s="11">
        <f>IFERROR(__xludf.DUMMYFUNCTION("""COMPUTED_VALUE"""),4.0)</f>
        <v>4</v>
      </c>
      <c r="C380" s="7" t="str">
        <f>IFERROR(__xludf.DUMMYFUNCTION("IF(A380="""","""",TEXTJOIN(CHAR(10),TRUE,FILTER('Tổng hợp 75 trang đích'!$B$2:$B$3400,'Tổng hợp 75 trang đích'!$I$2:$I$3400=A380)))"),"https://techcombank.com/thong-tin/blog/cach-nap-the-viettel
https://techcombank.com/thong-tin/blog/cach-tinh-tien-dien-sinh-hoat
https://techcombank.com/thong-tin/blog/cach-kiem-tra-tai-khoan-ngan-hang
https://techcombank.com/thong-tin/blog/day-so-phat-ta"&amp;"i-phat-loc")</f>
        <v>https://techcombank.com/thong-tin/blog/cach-nap-the-viettel
https://techcombank.com/thong-tin/blog/cach-tinh-tien-dien-sinh-hoat
https://techcombank.com/thong-tin/blog/cach-kiem-tra-tai-khoan-ngan-hang
https://techcombank.com/thong-tin/blog/day-so-phat-tai-phat-loc</v>
      </c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28" t="str">
        <f>IFERROR(__xludf.DUMMYFUNCTION("""COMPUTED_VALUE"""),"https://techcombank.com/thong-tin/blog/softpos")</f>
        <v>https://techcombank.com/thong-tin/blog/softpos</v>
      </c>
      <c r="B381" s="11">
        <f>IFERROR(__xludf.DUMMYFUNCTION("""COMPUTED_VALUE"""),4.0)</f>
        <v>4</v>
      </c>
      <c r="C381" s="7" t="str">
        <f>IFERROR(__xludf.DUMMYFUNCTION("IF(A381="""","""",TEXTJOIN(CHAR(10),TRUE,FILTER('Tổng hợp 75 trang đích'!$B$2:$B$3400,'Tổng hợp 75 trang đích'!$I$2:$I$3400=A381)))"),"https://techcombank.com/thong-tin/blog/cach-nap-the-viettel
https://techcombank.com/thong-tin/blog/rut-tien-bang-ma-qr-la-gi-cach-thuc-hien-nhu-the-nao
https://techcombank.com/thong-tin/blog/gui-ma-qr-ngan-hang
https://techcombank.com/thong-tin/blog/phuon"&amp;"g-phap-dau-tu-chung-chi-quy")</f>
        <v>https://techcombank.com/thong-tin/blog/cach-nap-the-viettel
https://techcombank.com/thong-tin/blog/rut-tien-bang-ma-qr-la-gi-cach-thuc-hien-nhu-the-nao
https://techcombank.com/thong-tin/blog/gui-ma-qr-ngan-hang
https://techcombank.com/thong-tin/blog/phuong-phap-dau-tu-chung-chi-quy</v>
      </c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28" t="str">
        <f>IFERROR(__xludf.DUMMYFUNCTION("""COMPUTED_VALUE"""),"https://techcombank.com/thong-tin/blog/spaylater")</f>
        <v>https://techcombank.com/thong-tin/blog/spaylater</v>
      </c>
      <c r="B382" s="11">
        <f>IFERROR(__xludf.DUMMYFUNCTION("""COMPUTED_VALUE"""),4.0)</f>
        <v>4</v>
      </c>
      <c r="C382" s="7" t="str">
        <f>IFERROR(__xludf.DUMMYFUNCTION("IF(A382="""","""",TEXTJOIN(CHAR(10),TRUE,FILTER('Tổng hợp 75 trang đích'!$B$2:$B$3400,'Tổng hợp 75 trang đích'!$I$2:$I$3400=A382)))"),"https://techcombank.com/thong-tin/blog/cic-la-gi
https://techcombank.com/thong-tin/blog/xep-hang-tin-dung
https://techcombank.com/thong-tin/blog/app-vay-tien-nhanh
https://techcombank.com/thong-tin/blog/kiem-tra-no-xau")</f>
        <v>https://techcombank.com/thong-tin/blog/cic-la-gi
https://techcombank.com/thong-tin/blog/xep-hang-tin-dung
https://techcombank.com/thong-tin/blog/app-vay-tien-nhanh
https://techcombank.com/thong-tin/blog/kiem-tra-no-xau</v>
      </c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28" t="str">
        <f>IFERROR(__xludf.DUMMYFUNCTION("""COMPUTED_VALUE"""),"https://techcombank.com/thong-tin/blog/tai-khoan-ngan-hang-chua-toi-da-bao-nhieu-tien")</f>
        <v>https://techcombank.com/thong-tin/blog/tai-khoan-ngan-hang-chua-toi-da-bao-nhieu-tien</v>
      </c>
      <c r="B383" s="11">
        <f>IFERROR(__xludf.DUMMYFUNCTION("""COMPUTED_VALUE"""),4.0)</f>
        <v>4</v>
      </c>
      <c r="C383" s="7" t="str">
        <f>IFERROR(__xludf.DUMMYFUNCTION("IF(A383="""","""",TEXTJOIN(CHAR(10),TRUE,FILTER('Tổng hợp 75 trang đích'!$B$2:$B$3400,'Tổng hợp 75 trang đích'!$I$2:$I$3400=A383)))"),"https://techcombank.com/thong-tin/blog/cach-mo-tai-khoan
https://techcombank.com/thong-tin/blog/cic-la-gi
https://techcombank.com/cong-cu-tien-ich/cong-cu-tinh-toan/bang-tinh-lai-suat-vay
https://techcombank.com/thong-tin/blog/app-vay-tien-nhanh")</f>
        <v>https://techcombank.com/thong-tin/blog/cach-mo-tai-khoan
https://techcombank.com/thong-tin/blog/cic-la-gi
https://techcombank.com/cong-cu-tien-ich/cong-cu-tinh-toan/bang-tinh-lai-suat-vay
https://techcombank.com/thong-tin/blog/app-vay-tien-nhanh</v>
      </c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28" t="str">
        <f>IFERROR(__xludf.DUMMYFUNCTION("""COMPUTED_VALUE"""),"https://techcombank.com/thong-tin/blog/tai-khoan-thanh-toan-la-gi")</f>
        <v>https://techcombank.com/thong-tin/blog/tai-khoan-thanh-toan-la-gi</v>
      </c>
      <c r="B384" s="11">
        <f>IFERROR(__xludf.DUMMYFUNCTION("""COMPUTED_VALUE"""),4.0)</f>
        <v>4</v>
      </c>
      <c r="C384" s="7" t="str">
        <f>IFERROR(__xludf.DUMMYFUNCTION("IF(A384="""","""",TEXTJOIN(CHAR(10),TRUE,FILTER('Tổng hợp 75 trang đích'!$B$2:$B$3400,'Tổng hợp 75 trang đích'!$I$2:$I$3400=A384)))"),"https://techcombank.com/thong-tin/blog/cach-mo-tai-khoan
https://techcombank.com/thong-tin/blog/lai-suat-tiet-kiem
https://techcombank.com/thong-tin/blog/cach-tinh-lai-suat-tien-gui-tiet-kiem
https://techcombank.com/thong-tin/blog/so-tiet-kiem-ngan-hang")</f>
        <v>https://techcombank.com/thong-tin/blog/cach-mo-tai-khoan
https://techcombank.com/thong-tin/blog/lai-suat-tiet-kiem
https://techcombank.com/thong-tin/blog/cach-tinh-lai-suat-tien-gui-tiet-kiem
https://techcombank.com/thong-tin/blog/so-tiet-kiem-ngan-hang</v>
      </c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28" t="str">
        <f>IFERROR(__xludf.DUMMYFUNCTION("""COMPUTED_VALUE"""),"https://techcombank.com/thong-tin/blog/thanh-lap-ho-kinh-doanh-ca-the")</f>
        <v>https://techcombank.com/thong-tin/blog/thanh-lap-ho-kinh-doanh-ca-the</v>
      </c>
      <c r="B385" s="11">
        <f>IFERROR(__xludf.DUMMYFUNCTION("""COMPUTED_VALUE"""),4.0)</f>
        <v>4</v>
      </c>
      <c r="C385" s="7" t="str">
        <f>IFERROR(__xludf.DUMMYFUNCTION("IF(A385="""","""",TEXTJOIN(CHAR(10),TRUE,FILTER('Tổng hợp 75 trang đích'!$B$2:$B$3400,'Tổng hợp 75 trang đích'!$I$2:$I$3400=A385)))"),"https://techcombank.com/thong-tin/blog/nop-thue-dat-qua-ngan-hang
https://techcombank.com/thong-tin/blog/ho-kinh-doanh-dong-thue-nhu-nao
https://techcombank.com/thong-tin/blog/mo-tai-khoan-ho-kinh-doanh
https://techcombank.com/thong-tin/blog/cach-tinh-thu"&amp;"e-ho-kinh-doanh-nho-le")</f>
        <v>https://techcombank.com/thong-tin/blog/nop-thue-dat-qua-ngan-hang
https://techcombank.com/thong-tin/blog/ho-kinh-doanh-dong-thue-nhu-nao
https://techcombank.com/thong-tin/blog/mo-tai-khoan-ho-kinh-doanh
https://techcombank.com/thong-tin/blog/cach-tinh-thue-ho-kinh-doanh-nho-le</v>
      </c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28" t="str">
        <f>IFERROR(__xludf.DUMMYFUNCTION("""COMPUTED_VALUE"""),"https://techcombank.com/thong-tin/blog/thanh-toan-bang-the-quoc-te")</f>
        <v>https://techcombank.com/thong-tin/blog/thanh-toan-bang-the-quoc-te</v>
      </c>
      <c r="B386" s="11">
        <f>IFERROR(__xludf.DUMMYFUNCTION("""COMPUTED_VALUE"""),4.0)</f>
        <v>4</v>
      </c>
      <c r="C386" s="7" t="str">
        <f>IFERROR(__xludf.DUMMYFUNCTION("IF(A386="""","""",TEXTJOIN(CHAR(10),TRUE,FILTER('Tổng hợp 75 trang đích'!$B$2:$B$3400,'Tổng hợp 75 trang đích'!$I$2:$I$3400=A386)))"),"https://techcombank.com/thong-tin/blog/1-won-bang-bao-nhieu-tien-viet
https://techcombank.com/thong-tin/blog/tien-thai-lan
https://techcombank.com/thong-tin/blog/1000-won-bang-bao-nhieu-tien-viet
https://techcombank.com/thong-tin/blog/cach-nhan-tien-tu-nu"&amp;"oc-ngoai-ve-viet-nam")</f>
        <v>https://techcombank.com/thong-tin/blog/1-won-bang-bao-nhieu-tien-viet
https://techcombank.com/thong-tin/blog/tien-thai-lan
https://techcombank.com/thong-tin/blog/1000-won-bang-bao-nhieu-tien-viet
https://techcombank.com/thong-tin/blog/cach-nhan-tien-tu-nuoc-ngoai-ve-viet-nam</v>
      </c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28" t="str">
        <f>IFERROR(__xludf.DUMMYFUNCTION("""COMPUTED_VALUE"""),"https://techcombank.com/thong-tin/blog/thanh-toan-hoc-phi-online")</f>
        <v>https://techcombank.com/thong-tin/blog/thanh-toan-hoc-phi-online</v>
      </c>
      <c r="B387" s="11">
        <f>IFERROR(__xludf.DUMMYFUNCTION("""COMPUTED_VALUE"""),4.0)</f>
        <v>4</v>
      </c>
      <c r="C387" s="7" t="str">
        <f>IFERROR(__xludf.DUMMYFUNCTION("IF(A387="""","""",TEXTJOIN(CHAR(10),TRUE,FILTER('Tổng hợp 75 trang đích'!$B$2:$B$3400,'Tổng hợp 75 trang đích'!$I$2:$I$3400=A387)))"),"https://techcombank.com/thong-tin/blog/bao-nhieu-tuoi-duoc-mo-tai-khoan-ngan-hang
https://techcombank.com/thong-tin/blog/mo-tai-khoan-ngan-hang-duoi-18-tuoi
https://techcombank.com/thong-tin/blog/lai-suat-tiet-kiem
https://techcombank.com/thong-tin/blog/c"&amp;"ach-tinh-lai-suat-tien-gui-tiet-kiem")</f>
        <v>https://techcombank.com/thong-tin/blog/bao-nhieu-tuoi-duoc-mo-tai-khoan-ngan-hang
https://techcombank.com/thong-tin/blog/mo-tai-khoan-ngan-hang-duoi-18-tuoi
https://techcombank.com/thong-tin/blog/lai-suat-tiet-kiem
https://techcombank.com/thong-tin/blog/cach-tinh-lai-suat-tien-gui-tiet-kiem</v>
      </c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28" t="str">
        <f>IFERROR(__xludf.DUMMYFUNCTION("""COMPUTED_VALUE"""),"https://techcombank.com/thong-tin/blog/thanh-toan-khi-du-lich-han-quoc")</f>
        <v>https://techcombank.com/thong-tin/blog/thanh-toan-khi-du-lich-han-quoc</v>
      </c>
      <c r="B388" s="11">
        <f>IFERROR(__xludf.DUMMYFUNCTION("""COMPUTED_VALUE"""),4.0)</f>
        <v>4</v>
      </c>
      <c r="C388" s="7" t="str">
        <f>IFERROR(__xludf.DUMMYFUNCTION("IF(A388="""","""",TEXTJOIN(CHAR(10),TRUE,FILTER('Tổng hợp 75 trang đích'!$B$2:$B$3400,'Tổng hợp 75 trang đích'!$I$2:$I$3400=A388)))"),"https://techcombank.com/thong-tin/blog/1-won-bang-bao-nhieu-tien-viet
https://techcombank.com/thong-tin/blog/1000-won-bang-bao-nhieu-tien-viet
https://techcombank.com/thong-tin/blog/lai-suat-tiet-kiem
https://techcombank.com/thong-tin/blog/cach-tinh-lai-s"&amp;"uat-tien-gui-tiet-kiem")</f>
        <v>https://techcombank.com/thong-tin/blog/1-won-bang-bao-nhieu-tien-viet
https://techcombank.com/thong-tin/blog/1000-won-bang-bao-nhieu-tien-viet
https://techcombank.com/thong-tin/blog/lai-suat-tiet-kiem
https://techcombank.com/thong-tin/blog/cach-tinh-lai-suat-tien-gui-tiet-kiem</v>
      </c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28" t="str">
        <f>IFERROR(__xludf.DUMMYFUNCTION("""COMPUTED_VALUE"""),"https://techcombank.com/thong-tin/blog/thanh-toan-khi-du-lich-nhat-ban")</f>
        <v>https://techcombank.com/thong-tin/blog/thanh-toan-khi-du-lich-nhat-ban</v>
      </c>
      <c r="B389" s="11">
        <f>IFERROR(__xludf.DUMMYFUNCTION("""COMPUTED_VALUE"""),4.0)</f>
        <v>4</v>
      </c>
      <c r="C389" s="7" t="str">
        <f>IFERROR(__xludf.DUMMYFUNCTION("IF(A389="""","""",TEXTJOIN(CHAR(10),TRUE,FILTER('Tổng hợp 75 trang đích'!$B$2:$B$3400,'Tổng hợp 75 trang đích'!$I$2:$I$3400=A389)))"),"https://techcombank.com/thong-tin/blog/tien-nhat
https://techcombank.com/thong-tin/blog/1-yen-bang-bao-nhieu-tien-viet-nam
https://techcombank.com/thong-tin/blog/1-man-bang-bao-nhieu-tien-viet
https://techcombank.com/thong-tin/blog/lai-suat-tiet-kiem")</f>
        <v>https://techcombank.com/thong-tin/blog/tien-nhat
https://techcombank.com/thong-tin/blog/1-yen-bang-bao-nhieu-tien-viet-nam
https://techcombank.com/thong-tin/blog/1-man-bang-bao-nhieu-tien-viet
https://techcombank.com/thong-tin/blog/lai-suat-tiet-kiem</v>
      </c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28" t="str">
        <f>IFERROR(__xludf.DUMMYFUNCTION("""COMPUTED_VALUE"""),"https://techcombank.com/thong-tin/blog/thanh-toan-khong-dung-tien-mat")</f>
        <v>https://techcombank.com/thong-tin/blog/thanh-toan-khong-dung-tien-mat</v>
      </c>
      <c r="B390" s="11">
        <f>IFERROR(__xludf.DUMMYFUNCTION("""COMPUTED_VALUE"""),4.0)</f>
        <v>4</v>
      </c>
      <c r="C390" s="7" t="str">
        <f>IFERROR(__xludf.DUMMYFUNCTION("IF(A390="""","""",TEXTJOIN(CHAR(10),TRUE,FILTER('Tổng hợp 75 trang đích'!$B$2:$B$3400,'Tổng hợp 75 trang đích'!$I$2:$I$3400=A390)))"),"https://techcombank.com/thong-tin/blog/rut-tien-mat-tu-the-tin-dung
https://techcombank.com/thong-tin/blog/ho-kinh-doanh-dong-thue-nhu-nao
https://techcombank.com/thong-tin/blog/mo-tai-khoan-ho-kinh-doanh
https://techcombank.com/thong-tin/blog/cach-tinh-t"&amp;"hue-ho-kinh-doanh-nho-le")</f>
        <v>https://techcombank.com/thong-tin/blog/rut-tien-mat-tu-the-tin-dung
https://techcombank.com/thong-tin/blog/ho-kinh-doanh-dong-thue-nhu-nao
https://techcombank.com/thong-tin/blog/mo-tai-khoan-ho-kinh-doanh
https://techcombank.com/thong-tin/blog/cach-tinh-thue-ho-kinh-doanh-nho-le</v>
      </c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28" t="str">
        <f>IFERROR(__xludf.DUMMYFUNCTION("""COMPUTED_VALUE"""),"https://techcombank.com/thong-tin/blog/thanh-toan-tien-nuoc-online")</f>
        <v>https://techcombank.com/thong-tin/blog/thanh-toan-tien-nuoc-online</v>
      </c>
      <c r="B391" s="11">
        <f>IFERROR(__xludf.DUMMYFUNCTION("""COMPUTED_VALUE"""),4.0)</f>
        <v>4</v>
      </c>
      <c r="C391" s="7" t="str">
        <f>IFERROR(__xludf.DUMMYFUNCTION("IF(A391="""","""",TEXTJOIN(CHAR(10),TRUE,FILTER('Tổng hợp 75 trang đích'!$B$2:$B$3400,'Tổng hợp 75 trang đích'!$I$2:$I$3400=A391)))"),"https://techcombank.com/thong-tin/blog/cach-tinh-tien-dien-sinh-hoat
https://techcombank.com/thong-tin/blog/ten-dang-nhap-tai-khoan-ngan-hang-la-gi
https://techcombank.com/thong-tin/blog/lai-suat-tiet-kiem
https://techcombank.com/thong-tin/blog/cach-tinh-"&amp;"lai-suat-tien-gui-tiet-kiem")</f>
        <v>https://techcombank.com/thong-tin/blog/cach-tinh-tien-dien-sinh-hoat
https://techcombank.com/thong-tin/blog/ten-dang-nhap-tai-khoan-ngan-hang-la-gi
https://techcombank.com/thong-tin/blog/lai-suat-tiet-kiem
https://techcombank.com/thong-tin/blog/cach-tinh-lai-suat-tien-gui-tiet-kiem</v>
      </c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28" t="str">
        <f>IFERROR(__xludf.DUMMYFUNCTION("""COMPUTED_VALUE"""),"https://techcombank.com/thong-tin/blog/thanh-toan-tra-sau-viettel-bang-tai-khoan-ngan-hang")</f>
        <v>https://techcombank.com/thong-tin/blog/thanh-toan-tra-sau-viettel-bang-tai-khoan-ngan-hang</v>
      </c>
      <c r="B392" s="11">
        <f>IFERROR(__xludf.DUMMYFUNCTION("""COMPUTED_VALUE"""),4.0)</f>
        <v>4</v>
      </c>
      <c r="C392" s="7" t="str">
        <f>IFERROR(__xludf.DUMMYFUNCTION("IF(A392="""","""",TEXTJOIN(CHAR(10),TRUE,FILTER('Tổng hợp 75 trang đích'!$B$2:$B$3400,'Tổng hợp 75 trang đích'!$I$2:$I$3400=A392)))"),"https://techcombank.com/thong-tin/blog/cach-nap-the-viettel
https://techcombank.com/thong-tin/blog/cach-tinh-tien-dien-sinh-hoat
https://techcombank.com/thong-tin/blog/ten-dang-nhap-tai-khoan-ngan-hang-la-gi
https://techcombank.com/thong-tin/blog/cach-que"&amp;"t-nfc-cccd-tren-iphone")</f>
        <v>https://techcombank.com/thong-tin/blog/cach-nap-the-viettel
https://techcombank.com/thong-tin/blog/cach-tinh-tien-dien-sinh-hoat
https://techcombank.com/thong-tin/blog/ten-dang-nhap-tai-khoan-ngan-hang-la-gi
https://techcombank.com/thong-tin/blog/cach-quet-nfc-cccd-tren-iphone</v>
      </c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28" t="str">
        <f>IFERROR(__xludf.DUMMYFUNCTION("""COMPUTED_VALUE"""),"https://techcombank.com/thong-tin/blog/thay-doi-dia-chi-ho-kinh-doanh")</f>
        <v>https://techcombank.com/thong-tin/blog/thay-doi-dia-chi-ho-kinh-doanh</v>
      </c>
      <c r="B393" s="11">
        <f>IFERROR(__xludf.DUMMYFUNCTION("""COMPUTED_VALUE"""),4.0)</f>
        <v>4</v>
      </c>
      <c r="C393" s="7" t="str">
        <f>IFERROR(__xludf.DUMMYFUNCTION("IF(A393="""","""",TEXTJOIN(CHAR(10),TRUE,FILTER('Tổng hợp 75 trang đích'!$B$2:$B$3400,'Tổng hợp 75 trang đích'!$I$2:$I$3400=A393)))"),"https://techcombank.com/thong-tin/blog/nop-thue-dat-qua-ngan-hang
https://techcombank.com/thong-tin/blog/ho-kinh-doanh-dong-thue-nhu-nao
https://techcombank.com/thong-tin/blog/mo-tai-khoan-ho-kinh-doanh
https://techcombank.com/thong-tin/blog/cach-tinh-thu"&amp;"e-ho-kinh-doanh-nho-le")</f>
        <v>https://techcombank.com/thong-tin/blog/nop-thue-dat-qua-ngan-hang
https://techcombank.com/thong-tin/blog/ho-kinh-doanh-dong-thue-nhu-nao
https://techcombank.com/thong-tin/blog/mo-tai-khoan-ho-kinh-doanh
https://techcombank.com/thong-tin/blog/cach-tinh-thue-ho-kinh-doanh-nho-le</v>
      </c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28" t="str">
        <f>IFERROR(__xludf.DUMMYFUNCTION("""COMPUTED_VALUE"""),"https://techcombank.com/thong-tin/blog/the-atm-khong-rut-duoc-tien")</f>
        <v>https://techcombank.com/thong-tin/blog/the-atm-khong-rut-duoc-tien</v>
      </c>
      <c r="B394" s="11">
        <f>IFERROR(__xludf.DUMMYFUNCTION("""COMPUTED_VALUE"""),4.0)</f>
        <v>4</v>
      </c>
      <c r="C394" s="7" t="str">
        <f>IFERROR(__xludf.DUMMYFUNCTION("IF(A394="""","""",TEXTJOIN(CHAR(10),TRUE,FILTER('Tổng hợp 75 trang đích'!$B$2:$B$3400,'Tổng hợp 75 trang đích'!$I$2:$I$3400=A394)))"),"https://techcombank.com/thong-tin/blog/nap-tien-vao-tai-khoan-ngan-hang
https://techcombank.com/thong-tin/blog/rut-tien-bang-ma-qr-la-gi-cach-thuc-hien-nhu-the-nao
https://techcombank.com/thong-tin/blog/rut-tien-mat-tu-the-tin-dung
https://techcombank.com"&amp;"/thong-tin/blog/rui-ro-khi-gui-tiet-kiem-online")</f>
        <v>https://techcombank.com/thong-tin/blog/nap-tien-vao-tai-khoan-ngan-hang
https://techcombank.com/thong-tin/blog/rut-tien-bang-ma-qr-la-gi-cach-thuc-hien-nhu-the-nao
https://techcombank.com/thong-tin/blog/rut-tien-mat-tu-the-tin-dung
https://techcombank.com/thong-tin/blog/rui-ro-khi-gui-tiet-kiem-online</v>
      </c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28" t="str">
        <f>IFERROR(__xludf.DUMMYFUNCTION("""COMPUTED_VALUE"""),"https://techcombank.com/thong-tin/blog/the-ghi-no-visa-la-gi")</f>
        <v>https://techcombank.com/thong-tin/blog/the-ghi-no-visa-la-gi</v>
      </c>
      <c r="B395" s="11">
        <f>IFERROR(__xludf.DUMMYFUNCTION("""COMPUTED_VALUE"""),4.0)</f>
        <v>4</v>
      </c>
      <c r="C395" s="7" t="str">
        <f>IFERROR(__xludf.DUMMYFUNCTION("IF(A395="""","""",TEXTJOIN(CHAR(10),TRUE,FILTER('Tổng hợp 75 trang đích'!$B$2:$B$3400,'Tổng hợp 75 trang đích'!$I$2:$I$3400=A395)))"),"https://techcombank.com/thong-tin/blog/eco-card
https://techcombank.com/thong-tin/blog/cic-la-gi
https://techcombank.com/thong-tin/blog/rut-tien-mat-tu-the-tin-dung
https://techcombank.com/thong-tin/blog/cach-nhan-tien-tu-nuoc-ngoai-ve-viet-nam")</f>
        <v>https://techcombank.com/thong-tin/blog/eco-card
https://techcombank.com/thong-tin/blog/cic-la-gi
https://techcombank.com/thong-tin/blog/rut-tien-mat-tu-the-tin-dung
https://techcombank.com/thong-tin/blog/cach-nhan-tien-tu-nuoc-ngoai-ve-viet-nam</v>
      </c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28" t="str">
        <f>IFERROR(__xludf.DUMMYFUNCTION("""COMPUTED_VALUE"""),"https://techcombank.com/thong-tin/blog/the-tin-dung-la-gi")</f>
        <v>https://techcombank.com/thong-tin/blog/the-tin-dung-la-gi</v>
      </c>
      <c r="B396" s="11">
        <f>IFERROR(__xludf.DUMMYFUNCTION("""COMPUTED_VALUE"""),4.0)</f>
        <v>4</v>
      </c>
      <c r="C396" s="7" t="str">
        <f>IFERROR(__xludf.DUMMYFUNCTION("IF(A396="""","""",TEXTJOIN(CHAR(10),TRUE,FILTER('Tổng hợp 75 trang đích'!$B$2:$B$3400,'Tổng hợp 75 trang đích'!$I$2:$I$3400=A396)))"),"https://techcombank.com/thong-tin/blog/cach-nap-the-viettel
https://techcombank.com/thong-tin/blog/cic-la-gi
https://techcombank.com/thong-tin/blog/rut-tien-mat-tu-the-tin-dung
https://techcombank.com/thong-tin/blog/lam-the-tin-dung")</f>
        <v>https://techcombank.com/thong-tin/blog/cach-nap-the-viettel
https://techcombank.com/thong-tin/blog/cic-la-gi
https://techcombank.com/thong-tin/blog/rut-tien-mat-tu-the-tin-dung
https://techcombank.com/thong-tin/blog/lam-the-tin-dung</v>
      </c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28" t="str">
        <f>IFERROR(__xludf.DUMMYFUNCTION("""COMPUTED_VALUE"""),"https://techcombank.com/thong-tin/blog/the-visa-co-thanh-toan-quoc-te-duoc-khong")</f>
        <v>https://techcombank.com/thong-tin/blog/the-visa-co-thanh-toan-quoc-te-duoc-khong</v>
      </c>
      <c r="B397" s="11">
        <f>IFERROR(__xludf.DUMMYFUNCTION("""COMPUTED_VALUE"""),4.0)</f>
        <v>4</v>
      </c>
      <c r="C397" s="7" t="str">
        <f>IFERROR(__xludf.DUMMYFUNCTION("IF(A397="""","""",TEXTJOIN(CHAR(10),TRUE,FILTER('Tổng hợp 75 trang đích'!$B$2:$B$3400,'Tổng hợp 75 trang đích'!$I$2:$I$3400=A397)))"),"https://techcombank.com/thong-tin/blog/cic-la-gi
https://techcombank.com/thong-tin/blog/1-won-bang-bao-nhieu-tien-viet
https://techcombank.com/thong-tin/blog/1000-won-bang-bao-nhieu-tien-viet
https://techcombank.com/thong-tin/blog/cach-nhan-tien-tu-nuoc-n"&amp;"goai-ve-viet-nam")</f>
        <v>https://techcombank.com/thong-tin/blog/cic-la-gi
https://techcombank.com/thong-tin/blog/1-won-bang-bao-nhieu-tien-viet
https://techcombank.com/thong-tin/blog/1000-won-bang-bao-nhieu-tien-viet
https://techcombank.com/thong-tin/blog/cach-nhan-tien-tu-nuoc-ngoai-ve-viet-nam</v>
      </c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28" t="str">
        <f>IFERROR(__xludf.DUMMYFUNCTION("""COMPUTED_VALUE"""),"https://techcombank.com/thong-tin/blog/thi-truong-trai-phieu-am-tro-lai-nha-dau-tu-san-sang-cho-nhung-co-hoi-sinh-loi-moi")</f>
        <v>https://techcombank.com/thong-tin/blog/thi-truong-trai-phieu-am-tro-lai-nha-dau-tu-san-sang-cho-nhung-co-hoi-sinh-loi-moi</v>
      </c>
      <c r="B398" s="11">
        <f>IFERROR(__xludf.DUMMYFUNCTION("""COMPUTED_VALUE"""),4.0)</f>
        <v>4</v>
      </c>
      <c r="C398" s="7" t="str">
        <f>IFERROR(__xludf.DUMMYFUNCTION("IF(A398="""","""",TEXTJOIN(CHAR(10),TRUE,FILTER('Tổng hợp 75 trang đích'!$B$2:$B$3400,'Tổng hợp 75 trang đích'!$I$2:$I$3400=A398)))"),"https://techcombank.com/thong-tin/blog/thue-thu-nhap-doanh-nghiep
https://techcombank.com/thong-tin/blog/cach-tinh-thue-thu-nhap-doanh-nghiep
https://techcombank.com/thong-tin/blog/lai-suat-tiet-kiem
https://techcombank.com/thong-tin/blog/phuong-phap-dau-"&amp;"tu-chung-chi-quy")</f>
        <v>https://techcombank.com/thong-tin/blog/thue-thu-nhap-doanh-nghiep
https://techcombank.com/thong-tin/blog/cach-tinh-thue-thu-nhap-doanh-nghiep
https://techcombank.com/thong-tin/blog/lai-suat-tiet-kiem
https://techcombank.com/thong-tin/blog/phuong-phap-dau-tu-chung-chi-quy</v>
      </c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28" t="str">
        <f>IFERROR(__xludf.DUMMYFUNCTION("""COMPUTED_VALUE"""),"https://techcombank.com/thong-tin/blog/thu-tuc-chuyen-tien-ra-nuoc-ngoai")</f>
        <v>https://techcombank.com/thong-tin/blog/thu-tuc-chuyen-tien-ra-nuoc-ngoai</v>
      </c>
      <c r="B399" s="11">
        <f>IFERROR(__xludf.DUMMYFUNCTION("""COMPUTED_VALUE"""),4.0)</f>
        <v>4</v>
      </c>
      <c r="C399" s="7" t="str">
        <f>IFERROR(__xludf.DUMMYFUNCTION("IF(A399="""","""",TEXTJOIN(CHAR(10),TRUE,FILTER('Tổng hợp 75 trang đích'!$B$2:$B$3400,'Tổng hợp 75 trang đích'!$I$2:$I$3400=A399)))"),"https://techcombank.com/thong-tin/blog/tien-nhat
https://techcombank.com/thong-tin/blog/tien-dai-loan
https://techcombank.com/thong-tin/blog/1000-won-bang-bao-nhieu-tien-viet
https://techcombank.com/thong-tin/blog/cach-nhan-tien-tu-nuoc-ngoai-ve-viet-nam")</f>
        <v>https://techcombank.com/thong-tin/blog/tien-nhat
https://techcombank.com/thong-tin/blog/tien-dai-loan
https://techcombank.com/thong-tin/blog/1000-won-bang-bao-nhieu-tien-viet
https://techcombank.com/thong-tin/blog/cach-nhan-tien-tu-nuoc-ngoai-ve-viet-nam</v>
      </c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28" t="str">
        <f>IFERROR(__xludf.DUMMYFUNCTION("""COMPUTED_VALUE"""),"https://techcombank.com/thong-tin/blog/thue-ho-kinh-doanh-2025")</f>
        <v>https://techcombank.com/thong-tin/blog/thue-ho-kinh-doanh-2025</v>
      </c>
      <c r="B400" s="11">
        <f>IFERROR(__xludf.DUMMYFUNCTION("""COMPUTED_VALUE"""),4.0)</f>
        <v>4</v>
      </c>
      <c r="C400" s="7" t="str">
        <f>IFERROR(__xludf.DUMMYFUNCTION("IF(A400="""","""",TEXTJOIN(CHAR(10),TRUE,FILTER('Tổng hợp 75 trang đích'!$B$2:$B$3400,'Tổng hợp 75 trang đích'!$I$2:$I$3400=A400)))"),"https://techcombank.com/thong-tin/blog/nop-thue-dat-qua-ngan-hang
https://techcombank.com/thong-tin/blog/ho-kinh-doanh-dong-thue-nhu-nao
https://techcombank.com/thong-tin/blog/mo-tai-khoan-ho-kinh-doanh
https://techcombank.com/thong-tin/blog/cach-tinh-thu"&amp;"e-ho-kinh-doanh-nho-le")</f>
        <v>https://techcombank.com/thong-tin/blog/nop-thue-dat-qua-ngan-hang
https://techcombank.com/thong-tin/blog/ho-kinh-doanh-dong-thue-nhu-nao
https://techcombank.com/thong-tin/blog/mo-tai-khoan-ho-kinh-doanh
https://techcombank.com/thong-tin/blog/cach-tinh-thue-ho-kinh-doanh-nho-le</v>
      </c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28" t="str">
        <f>IFERROR(__xludf.DUMMYFUNCTION("""COMPUTED_VALUE"""),"https://techcombank.com/thong-tin/blog/tien-nhan-roi-nen-lam-gi")</f>
        <v>https://techcombank.com/thong-tin/blog/tien-nhan-roi-nen-lam-gi</v>
      </c>
      <c r="B401" s="11">
        <f>IFERROR(__xludf.DUMMYFUNCTION("""COMPUTED_VALUE"""),4.0)</f>
        <v>4</v>
      </c>
      <c r="C401" s="7" t="str">
        <f>IFERROR(__xludf.DUMMYFUNCTION("IF(A401="""","""",TEXTJOIN(CHAR(10),TRUE,FILTER('Tổng hợp 75 trang đích'!$B$2:$B$3400,'Tổng hợp 75 trang đích'!$I$2:$I$3400=A401)))"),"https://techcombank.com/thong-tin/blog/chung-chi-tien-gui-la-gi
https://techcombank.com/thong-tin/blog/lai-suat-tiet-kiem
https://techcombank.com/thong-tin/blog/cach-tinh-lai-suat-tien-gui-tiet-kiem
https://techcombank.com/cong-cu-tien-ich/cong-cu-tinh-to"&amp;"an/bang-tinh-lai-suat-tiet-kiem")</f>
        <v>https://techcombank.com/thong-tin/blog/chung-chi-tien-gui-la-gi
https://techcombank.com/thong-tin/blog/lai-suat-tiet-kiem
https://techcombank.com/thong-tin/blog/cach-tinh-lai-suat-tien-gui-tiet-kiem
https://techcombank.com/cong-cu-tien-ich/cong-cu-tinh-toan/bang-tinh-lai-suat-tiet-kiem</v>
      </c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28" t="str">
        <f>IFERROR(__xludf.DUMMYFUNCTION("""COMPUTED_VALUE"""),"https://techcombank.com/thong-tin/blog/tin-dung-doanh-nghiep")</f>
        <v>https://techcombank.com/thong-tin/blog/tin-dung-doanh-nghiep</v>
      </c>
      <c r="B402" s="11">
        <f>IFERROR(__xludf.DUMMYFUNCTION("""COMPUTED_VALUE"""),4.0)</f>
        <v>4</v>
      </c>
      <c r="C402" s="7" t="str">
        <f>IFERROR(__xludf.DUMMYFUNCTION("IF(A402="""","""",TEXTJOIN(CHAR(10),TRUE,FILTER('Tổng hợp 75 trang đích'!$B$2:$B$3400,'Tổng hợp 75 trang đích'!$I$2:$I$3400=A402)))"),"https://techcombank.com/thong-tin/blog/nop-thue-dat-qua-ngan-hang
https://techcombank.com/thong-tin/blog/cic-la-gi
https://techcombank.com/cong-cu-tien-ich/cong-cu-tinh-toan/bang-tinh-lai-suat-vay
https://techcombank.com/thong-tin/blog/app-vay-tien-nhanh")</f>
        <v>https://techcombank.com/thong-tin/blog/nop-thue-dat-qua-ngan-hang
https://techcombank.com/thong-tin/blog/cic-la-gi
https://techcombank.com/cong-cu-tien-ich/cong-cu-tinh-toan/bang-tinh-lai-suat-vay
https://techcombank.com/thong-tin/blog/app-vay-tien-nhanh</v>
      </c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28" t="str">
        <f>IFERROR(__xludf.DUMMYFUNCTION("""COMPUTED_VALUE"""),"https://techcombank.com/thong-tin/blog/tinh-thanh-khoan-la-gi")</f>
        <v>https://techcombank.com/thong-tin/blog/tinh-thanh-khoan-la-gi</v>
      </c>
      <c r="B403" s="11">
        <f>IFERROR(__xludf.DUMMYFUNCTION("""COMPUTED_VALUE"""),4.0)</f>
        <v>4</v>
      </c>
      <c r="C403" s="7" t="str">
        <f>IFERROR(__xludf.DUMMYFUNCTION("IF(A403="""","""",TEXTJOIN(CHAR(10),TRUE,FILTER('Tổng hợp 75 trang đích'!$B$2:$B$3400,'Tổng hợp 75 trang đích'!$I$2:$I$3400=A403)))"),"https://techcombank.com/thong-tin/blog/lai-suat-tiet-kiem
https://techcombank.com/thong-tin/blog/cach-tiet-kiem-tien
https://techcombank.com/thong-tin/blog/rui-ro-khi-gui-tiet-kiem-online
https://techcombank.com/thong-tin/blog/phuong-phap-dau-tu-chung-chi"&amp;"-quy")</f>
        <v>https://techcombank.com/thong-tin/blog/lai-suat-tiet-kiem
https://techcombank.com/thong-tin/blog/cach-tiet-kiem-tien
https://techcombank.com/thong-tin/blog/rui-ro-khi-gui-tiet-kiem-online
https://techcombank.com/thong-tin/blog/phuong-phap-dau-tu-chung-chi-quy</v>
      </c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28" t="str">
        <f>IFERROR(__xludf.DUMMYFUNCTION("""COMPUTED_VALUE"""),"https://techcombank.com/thong-tin/blog/uu-dai-mo-the-tin-dung")</f>
        <v>https://techcombank.com/thong-tin/blog/uu-dai-mo-the-tin-dung</v>
      </c>
      <c r="B404" s="11">
        <f>IFERROR(__xludf.DUMMYFUNCTION("""COMPUTED_VALUE"""),4.0)</f>
        <v>4</v>
      </c>
      <c r="C404" s="7" t="str">
        <f>IFERROR(__xludf.DUMMYFUNCTION("IF(A404="""","""",TEXTJOIN(CHAR(10),TRUE,FILTER('Tổng hợp 75 trang đích'!$B$2:$B$3400,'Tổng hợp 75 trang đích'!$I$2:$I$3400=A404)))"),"https://techcombank.com/thong-tin/blog/ngan-hang-uy-tin
https://techcombank.com/thong-tin/blog/cic-la-gi
https://techcombank.com/thong-tin/blog/the-tin-dung-hoan-tien
https://techcombank.com/thong-tin/blog/cach-huy-the-tin-dung")</f>
        <v>https://techcombank.com/thong-tin/blog/ngan-hang-uy-tin
https://techcombank.com/thong-tin/blog/cic-la-gi
https://techcombank.com/thong-tin/blog/the-tin-dung-hoan-tien
https://techcombank.com/thong-tin/blog/cach-huy-the-tin-dung</v>
      </c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28" t="str">
        <f>IFERROR(__xludf.DUMMYFUNCTION("""COMPUTED_VALUE"""),"https://techcombank.com/thong-tin/blog/uu-dai-mua-iphone-18")</f>
        <v>https://techcombank.com/thong-tin/blog/uu-dai-mua-iphone-18</v>
      </c>
      <c r="B405" s="11">
        <f>IFERROR(__xludf.DUMMYFUNCTION("""COMPUTED_VALUE"""),4.0)</f>
        <v>4</v>
      </c>
      <c r="C405" s="7" t="str">
        <f>IFERROR(__xludf.DUMMYFUNCTION("IF(A405="""","""",TEXTJOIN(CHAR(10),TRUE,FILTER('Tổng hợp 75 trang đích'!$B$2:$B$3400,'Tổng hợp 75 trang đích'!$I$2:$I$3400=A405)))"),"https://techcombank.com/thong-tin/blog/cach-quet-nfc-cccd-tren-iphone
https://techcombank.com/thong-tin/blog/cic-la-gi
https://techcombank.com/thong-tin/blog/lai-suat-tiet-kiem
https://techcombank.com/thong-tin/blog/cach-tinh-lai-suat-tien-gui-tiet-kiem")</f>
        <v>https://techcombank.com/thong-tin/blog/cach-quet-nfc-cccd-tren-iphone
https://techcombank.com/thong-tin/blog/cic-la-gi
https://techcombank.com/thong-tin/blog/lai-suat-tiet-kiem
https://techcombank.com/thong-tin/blog/cach-tinh-lai-suat-tien-gui-tiet-kiem</v>
      </c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28" t="str">
        <f>IFERROR(__xludf.DUMMYFUNCTION("""COMPUTED_VALUE"""),"https://techcombank.com/thong-tin/blog/vay-kinh-doanh-online")</f>
        <v>https://techcombank.com/thong-tin/blog/vay-kinh-doanh-online</v>
      </c>
      <c r="B406" s="11">
        <f>IFERROR(__xludf.DUMMYFUNCTION("""COMPUTED_VALUE"""),4.0)</f>
        <v>4</v>
      </c>
      <c r="C406" s="7" t="str">
        <f>IFERROR(__xludf.DUMMYFUNCTION("IF(A406="""","""",TEXTJOIN(CHAR(10),TRUE,FILTER('Tổng hợp 75 trang đích'!$B$2:$B$3400,'Tổng hợp 75 trang đích'!$I$2:$I$3400=A406)))"),"https://techcombank.com/thong-tin/blog/mo-hinh-kinh-doanh-la-gi
https://techcombank.com/cong-cu-tien-ich/cong-cu-tinh-toan/bang-tinh-lai-suat-vay
https://techcombank.com/thong-tin/blog/app-vay-tien-nhanh
https://techcombank.com/thong-tin/blog/lai-suat-vay"&amp;"-ngan-hang")</f>
        <v>https://techcombank.com/thong-tin/blog/mo-hinh-kinh-doanh-la-gi
https://techcombank.com/cong-cu-tien-ich/cong-cu-tinh-toan/bang-tinh-lai-suat-vay
https://techcombank.com/thong-tin/blog/app-vay-tien-nhanh
https://techcombank.com/thong-tin/blog/lai-suat-vay-ngan-hang</v>
      </c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28" t="str">
        <f>IFERROR(__xludf.DUMMYFUNCTION("""COMPUTED_VALUE"""),"https://techcombank.com/thong-tin/blog/vay-thau-chi-la-gi")</f>
        <v>https://techcombank.com/thong-tin/blog/vay-thau-chi-la-gi</v>
      </c>
      <c r="B407" s="11">
        <f>IFERROR(__xludf.DUMMYFUNCTION("""COMPUTED_VALUE"""),4.0)</f>
        <v>4</v>
      </c>
      <c r="C407" s="7" t="str">
        <f>IFERROR(__xludf.DUMMYFUNCTION("IF(A407="""","""",TEXTJOIN(CHAR(10),TRUE,FILTER('Tổng hợp 75 trang đích'!$B$2:$B$3400,'Tổng hợp 75 trang đích'!$I$2:$I$3400=A407)))"),"https://techcombank.com/thong-tin/blog/cic-la-gi
https://techcombank.com/cong-cu-tien-ich/cong-cu-tinh-toan/bang-tinh-lai-suat-vay
https://techcombank.com/thong-tin/blog/app-vay-tien-nhanh
https://techcombank.com/thong-tin/blog/lai-suat-vay-ngan-hang")</f>
        <v>https://techcombank.com/thong-tin/blog/cic-la-gi
https://techcombank.com/cong-cu-tien-ich/cong-cu-tinh-toan/bang-tinh-lai-suat-vay
https://techcombank.com/thong-tin/blog/app-vay-tien-nhanh
https://techcombank.com/thong-tin/blog/lai-suat-vay-ngan-hang</v>
      </c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28" t="str">
        <f>IFERROR(__xludf.DUMMYFUNCTION("""COMPUTED_VALUE"""),"https://techcombank.com/thong-tin/blog/vay-tin-chap-khong-tra-duoc-co-sao-khong")</f>
        <v>https://techcombank.com/thong-tin/blog/vay-tin-chap-khong-tra-duoc-co-sao-khong</v>
      </c>
      <c r="B408" s="11">
        <f>IFERROR(__xludf.DUMMYFUNCTION("""COMPUTED_VALUE"""),4.0)</f>
        <v>4</v>
      </c>
      <c r="C408" s="7" t="str">
        <f>IFERROR(__xludf.DUMMYFUNCTION("IF(A408="""","""",TEXTJOIN(CHAR(10),TRUE,FILTER('Tổng hợp 75 trang đích'!$B$2:$B$3400,'Tổng hợp 75 trang đích'!$I$2:$I$3400=A408)))"),"https://techcombank.com/cong-cu-tien-ich/cong-cu-tinh-toan/bang-tinh-lai-suat-vay
https://techcombank.com/thong-tin/blog/app-vay-tien-nhanh
https://techcombank.com/thong-tin/blog/lai-suat-vay-ngan-hang
https://techcombank.com/thong-tin/blog/nen-vay-tin-ch"&amp;"ap-o-dau")</f>
        <v>https://techcombank.com/cong-cu-tien-ich/cong-cu-tinh-toan/bang-tinh-lai-suat-vay
https://techcombank.com/thong-tin/blog/app-vay-tien-nhanh
https://techcombank.com/thong-tin/blog/lai-suat-vay-ngan-hang
https://techcombank.com/thong-tin/blog/nen-vay-tin-chap-o-dau</v>
      </c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28" t="str">
        <f>IFERROR(__xludf.DUMMYFUNCTION("""COMPUTED_VALUE"""),"https://techcombank.com/thong-tin/blog/von-luu-dong-la-gi")</f>
        <v>https://techcombank.com/thong-tin/blog/von-luu-dong-la-gi</v>
      </c>
      <c r="B409" s="11">
        <f>IFERROR(__xludf.DUMMYFUNCTION("""COMPUTED_VALUE"""),4.0)</f>
        <v>4</v>
      </c>
      <c r="C409" s="7" t="str">
        <f>IFERROR(__xludf.DUMMYFUNCTION("IF(A409="""","""",TEXTJOIN(CHAR(10),TRUE,FILTER('Tổng hợp 75 trang đích'!$B$2:$B$3400,'Tổng hợp 75 trang đích'!$I$2:$I$3400=A409)))"),"https://techcombank.com/thong-tin/blog/nop-thue-dat-qua-ngan-hang
https://techcombank.com/thong-tin/blog/cic-la-gi
https://techcombank.com/cong-cu-tien-ich/cong-cu-tinh-toan/bang-tinh-lai-suat-vay
https://techcombank.com/thong-tin/blog/app-vay-tien-nhanh")</f>
        <v>https://techcombank.com/thong-tin/blog/nop-thue-dat-qua-ngan-hang
https://techcombank.com/thong-tin/blog/cic-la-gi
https://techcombank.com/cong-cu-tien-ich/cong-cu-tinh-toan/bang-tinh-lai-suat-vay
https://techcombank.com/thong-tin/blog/app-vay-tien-nhanh</v>
      </c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28" t="str">
        <f>IFERROR(__xludf.DUMMYFUNCTION("""COMPUTED_VALUE"""),"https://techcombank.com/thong-tin/blog/1-man-bang-bao-nhieu-tien-viet")</f>
        <v>https://techcombank.com/thong-tin/blog/1-man-bang-bao-nhieu-tien-viet</v>
      </c>
      <c r="B410" s="11">
        <f>IFERROR(__xludf.DUMMYFUNCTION("""COMPUTED_VALUE"""),3.0)</f>
        <v>3</v>
      </c>
      <c r="C410" s="7" t="str">
        <f>IFERROR(__xludf.DUMMYFUNCTION("IF(A410="""","""",TEXTJOIN(CHAR(10),TRUE,FILTER('Tổng hợp 75 trang đích'!$B$2:$B$3400,'Tổng hợp 75 trang đích'!$I$2:$I$3400=A410)))"),"https://techcombank.com/thong-tin/blog/tien-nhat
https://techcombank.com/thong-tin/blog/1-yen-bang-bao-nhieu-tien-viet-nam
https://techcombank.com/thong-tin/blog/doi-tien-do-o-dau")</f>
        <v>https://techcombank.com/thong-tin/blog/tien-nhat
https://techcombank.com/thong-tin/blog/1-yen-bang-bao-nhieu-tien-viet-nam
https://techcombank.com/thong-tin/blog/doi-tien-do-o-dau</v>
      </c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28" t="str">
        <f>IFERROR(__xludf.DUMMYFUNCTION("""COMPUTED_VALUE"""),"https://techcombank.com/thong-tin/blog/1-trieu-do-bang-bao-nhieu-tien-viet")</f>
        <v>https://techcombank.com/thong-tin/blog/1-trieu-do-bang-bao-nhieu-tien-viet</v>
      </c>
      <c r="B411" s="11">
        <f>IFERROR(__xludf.DUMMYFUNCTION("""COMPUTED_VALUE"""),3.0)</f>
        <v>3</v>
      </c>
      <c r="C411" s="7" t="str">
        <f>IFERROR(__xludf.DUMMYFUNCTION("IF(A411="""","""",TEXTJOIN(CHAR(10),TRUE,FILTER('Tổng hợp 75 trang đích'!$B$2:$B$3400,'Tổng hợp 75 trang đích'!$I$2:$I$3400=A411)))"),"https://techcombank.com/thong-tin/blog/1-dong-do-la-my-bang-bao-nhieu-tien-viet-nam
https://techcombank.com/thong-tin/blog/1000-won-bang-bao-nhieu-tien-viet
https://techcombank.com/thong-tin/blog/doi-tien-do-o-dau")</f>
        <v>https://techcombank.com/thong-tin/blog/1-dong-do-la-my-bang-bao-nhieu-tien-viet-nam
https://techcombank.com/thong-tin/blog/1000-won-bang-bao-nhieu-tien-viet
https://techcombank.com/thong-tin/blog/doi-tien-do-o-dau</v>
      </c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28" t="str">
        <f>IFERROR(__xludf.DUMMYFUNCTION("""COMPUTED_VALUE"""),"https://techcombank.com/thong-tin/blog/1-trieu-won-bang-bao-nhieu-tien-viet")</f>
        <v>https://techcombank.com/thong-tin/blog/1-trieu-won-bang-bao-nhieu-tien-viet</v>
      </c>
      <c r="B412" s="11">
        <f>IFERROR(__xludf.DUMMYFUNCTION("""COMPUTED_VALUE"""),3.0)</f>
        <v>3</v>
      </c>
      <c r="C412" s="7" t="str">
        <f>IFERROR(__xludf.DUMMYFUNCTION("IF(A412="""","""",TEXTJOIN(CHAR(10),TRUE,FILTER('Tổng hợp 75 trang đích'!$B$2:$B$3400,'Tổng hợp 75 trang đích'!$I$2:$I$3400=A412)))"),"https://techcombank.com/thong-tin/blog/1-won-bang-bao-nhieu-tien-viet
https://techcombank.com/thong-tin/blog/tien-thai-lan
https://techcombank.com/thong-tin/blog/1000-won-bang-bao-nhieu-tien-viet")</f>
        <v>https://techcombank.com/thong-tin/blog/1-won-bang-bao-nhieu-tien-viet
https://techcombank.com/thong-tin/blog/tien-thai-lan
https://techcombank.com/thong-tin/blog/1000-won-bang-bao-nhieu-tien-viet</v>
      </c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28" t="str">
        <f>IFERROR(__xludf.DUMMYFUNCTION("""COMPUTED_VALUE"""),"https://techcombank.com/thong-tin/blog/1-van-tien-dai-loan-bang-bao-nhieu-tien-viet")</f>
        <v>https://techcombank.com/thong-tin/blog/1-van-tien-dai-loan-bang-bao-nhieu-tien-viet</v>
      </c>
      <c r="B413" s="11">
        <f>IFERROR(__xludf.DUMMYFUNCTION("""COMPUTED_VALUE"""),3.0)</f>
        <v>3</v>
      </c>
      <c r="C413" s="7" t="str">
        <f>IFERROR(__xludf.DUMMYFUNCTION("IF(A413="""","""",TEXTJOIN(CHAR(10),TRUE,FILTER('Tổng hợp 75 trang đích'!$B$2:$B$3400,'Tổng hợp 75 trang đích'!$I$2:$I$3400=A413)))"),"https://techcombank.com/thong-tin/blog/1-won-bang-bao-nhieu-tien-viet
https://techcombank.com/thong-tin/blog/tien-dai-loan
https://techcombank.com/thong-tin/blog/tien-thai-lan")</f>
        <v>https://techcombank.com/thong-tin/blog/1-won-bang-bao-nhieu-tien-viet
https://techcombank.com/thong-tin/blog/tien-dai-loan
https://techcombank.com/thong-tin/blog/tien-thai-lan</v>
      </c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28" t="str">
        <f>IFERROR(__xludf.DUMMYFUNCTION("""COMPUTED_VALUE"""),"https://techcombank.com/thong-tin/blog/1-yen-bang-bao-nhieu-tien-viet-nam")</f>
        <v>https://techcombank.com/thong-tin/blog/1-yen-bang-bao-nhieu-tien-viet-nam</v>
      </c>
      <c r="B414" s="11">
        <f>IFERROR(__xludf.DUMMYFUNCTION("""COMPUTED_VALUE"""),3.0)</f>
        <v>3</v>
      </c>
      <c r="C414" s="7" t="str">
        <f>IFERROR(__xludf.DUMMYFUNCTION("IF(A414="""","""",TEXTJOIN(CHAR(10),TRUE,FILTER('Tổng hợp 75 trang đích'!$B$2:$B$3400,'Tổng hợp 75 trang đích'!$I$2:$I$3400=A414)))"),"https://techcombank.com/thong-tin/blog/tien-nhat
https://techcombank.com/thong-tin/blog/1-man-bang-bao-nhieu-tien-viet
https://techcombank.com/thong-tin/blog/tien-thai-lan")</f>
        <v>https://techcombank.com/thong-tin/blog/tien-nhat
https://techcombank.com/thong-tin/blog/1-man-bang-bao-nhieu-tien-viet
https://techcombank.com/thong-tin/blog/tien-thai-lan</v>
      </c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28" t="str">
        <f>IFERROR(__xludf.DUMMYFUNCTION("""COMPUTED_VALUE"""),"https://techcombank.com/thong-tin/blog/8868")</f>
        <v>https://techcombank.com/thong-tin/blog/8868</v>
      </c>
      <c r="B415" s="11">
        <f>IFERROR(__xludf.DUMMYFUNCTION("""COMPUTED_VALUE"""),3.0)</f>
        <v>3</v>
      </c>
      <c r="C415" s="7" t="str">
        <f>IFERROR(__xludf.DUMMYFUNCTION("IF(A415="""","""",TEXTJOIN(CHAR(10),TRUE,FILTER('Tổng hợp 75 trang đích'!$B$2:$B$3400,'Tổng hợp 75 trang đích'!$I$2:$I$3400=A415)))"),"https://techcombank.com/thong-tin/blog/cach-kiem-tra-tai-khoan-ngan-hang
https://techcombank.com/thong-tin/blog/mo-tai-khoan-ngan-hang-duoi-18-tuoi
https://techcombank.com/thong-tin/blog/day-so-phat-tai-phat-loc")</f>
        <v>https://techcombank.com/thong-tin/blog/cach-kiem-tra-tai-khoan-ngan-hang
https://techcombank.com/thong-tin/blog/mo-tai-khoan-ngan-hang-duoi-18-tuoi
https://techcombank.com/thong-tin/blog/day-so-phat-tai-phat-loc</v>
      </c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28" t="str">
        <f>IFERROR(__xludf.DUMMYFUNCTION("""COMPUTED_VALUE"""),"https://techcombank.com/thong-tin/blog/app-dong-tien-dien-online")</f>
        <v>https://techcombank.com/thong-tin/blog/app-dong-tien-dien-online</v>
      </c>
      <c r="B416" s="11">
        <f>IFERROR(__xludf.DUMMYFUNCTION("""COMPUTED_VALUE"""),3.0)</f>
        <v>3</v>
      </c>
      <c r="C416" s="7" t="str">
        <f>IFERROR(__xludf.DUMMYFUNCTION("IF(A416="""","""",TEXTJOIN(CHAR(10),TRUE,FILTER('Tổng hợp 75 trang đích'!$B$2:$B$3400,'Tổng hợp 75 trang đích'!$I$2:$I$3400=A416)))"),"https://techcombank.com/thong-tin/blog/thue-vat-la-gi
https://techcombank.com/thong-tin/blog/cach-nap-the-viettel
https://techcombank.com/thong-tin/blog/cach-tinh-tien-dien-sinh-hoat")</f>
        <v>https://techcombank.com/thong-tin/blog/thue-vat-la-gi
https://techcombank.com/thong-tin/blog/cach-nap-the-viettel
https://techcombank.com/thong-tin/blog/cach-tinh-tien-dien-sinh-hoat</v>
      </c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28" t="str">
        <f>IFERROR(__xludf.DUMMYFUNCTION("""COMPUTED_VALUE"""),"https://techcombank.com/thong-tin/blog/app-gui-tien-tiet-kiem")</f>
        <v>https://techcombank.com/thong-tin/blog/app-gui-tien-tiet-kiem</v>
      </c>
      <c r="B417" s="11">
        <f>IFERROR(__xludf.DUMMYFUNCTION("""COMPUTED_VALUE"""),3.0)</f>
        <v>3</v>
      </c>
      <c r="C417" s="7" t="str">
        <f>IFERROR(__xludf.DUMMYFUNCTION("IF(A417="""","""",TEXTJOIN(CHAR(10),TRUE,FILTER('Tổng hợp 75 trang đích'!$B$2:$B$3400,'Tổng hợp 75 trang đích'!$I$2:$I$3400=A417)))"),"https://techcombank.com/thong-tin/blog/lai-suat-tiet-kiem
https://techcombank.com/thong-tin/blog/cach-tinh-lai-suat-tien-gui-tiet-kiem
https://techcombank.com/cong-cu-tien-ich/cong-cu-tinh-toan/bang-tinh-lai-suat-tiet-kiem")</f>
        <v>https://techcombank.com/thong-tin/blog/lai-suat-tiet-kiem
https://techcombank.com/thong-tin/blog/cach-tinh-lai-suat-tien-gui-tiet-kiem
https://techcombank.com/cong-cu-tien-ich/cong-cu-tinh-toan/bang-tinh-lai-suat-tiet-kiem</v>
      </c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28" t="str">
        <f>IFERROR(__xludf.DUMMYFUNCTION("""COMPUTED_VALUE"""),"https://techcombank.com/thong-tin/blog/app-tra-luong")</f>
        <v>https://techcombank.com/thong-tin/blog/app-tra-luong</v>
      </c>
      <c r="B418" s="11">
        <f>IFERROR(__xludf.DUMMYFUNCTION("""COMPUTED_VALUE"""),3.0)</f>
        <v>3</v>
      </c>
      <c r="C418" s="7" t="str">
        <f>IFERROR(__xludf.DUMMYFUNCTION("IF(A418="""","""",TEXTJOIN(CHAR(10),TRUE,FILTER('Tổng hợp 75 trang đích'!$B$2:$B$3400,'Tổng hợp 75 trang đích'!$I$2:$I$3400=A418)))"),"https://techcombank.com/thong-tin/blog/cach-tinh-thue-thu-nhap-ca-nhan-2025
https://techcombank.com/thong-tin/blog/kiem-tra-thue-thu-nhap-ca-nhan
https://techcombank.com/thong-tin/blog/thue-thu-nhap-ca-nhan")</f>
        <v>https://techcombank.com/thong-tin/blog/cach-tinh-thue-thu-nhap-ca-nhan-2025
https://techcombank.com/thong-tin/blog/kiem-tra-thue-thu-nhap-ca-nhan
https://techcombank.com/thong-tin/blog/thue-thu-nhap-ca-nhan</v>
      </c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28" t="str">
        <f>IFERROR(__xludf.DUMMYFUNCTION("""COMPUTED_VALUE"""),"https://techcombank.com/thong-tin/blog/bao-lanh-vay-von")</f>
        <v>https://techcombank.com/thong-tin/blog/bao-lanh-vay-von</v>
      </c>
      <c r="B419" s="11">
        <f>IFERROR(__xludf.DUMMYFUNCTION("""COMPUTED_VALUE"""),3.0)</f>
        <v>3</v>
      </c>
      <c r="C419" s="7" t="str">
        <f>IFERROR(__xludf.DUMMYFUNCTION("IF(A419="""","""",TEXTJOIN(CHAR(10),TRUE,FILTER('Tổng hợp 75 trang đích'!$B$2:$B$3400,'Tổng hợp 75 trang đích'!$I$2:$I$3400=A419)))"),"https://techcombank.com/thong-tin/blog/cic-la-gi
https://techcombank.com/cong-cu-tien-ich/cong-cu-tinh-toan/bang-tinh-lai-suat-vay
https://techcombank.com/thong-tin/blog/app-vay-tien-nhanh")</f>
        <v>https://techcombank.com/thong-tin/blog/cic-la-gi
https://techcombank.com/cong-cu-tien-ich/cong-cu-tinh-toan/bang-tinh-lai-suat-vay
https://techcombank.com/thong-tin/blog/app-vay-tien-nhanh</v>
      </c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28" t="str">
        <f>IFERROR(__xludf.DUMMYFUNCTION("""COMPUTED_VALUE"""),"https://techcombank.com/thong-tin/blog/barcode-la-gi")</f>
        <v>https://techcombank.com/thong-tin/blog/barcode-la-gi</v>
      </c>
      <c r="B420" s="11">
        <f>IFERROR(__xludf.DUMMYFUNCTION("""COMPUTED_VALUE"""),3.0)</f>
        <v>3</v>
      </c>
      <c r="C420" s="7" t="str">
        <f>IFERROR(__xludf.DUMMYFUNCTION("IF(A420="""","""",TEXTJOIN(CHAR(10),TRUE,FILTER('Tổng hợp 75 trang đích'!$B$2:$B$3400,'Tổng hợp 75 trang đích'!$I$2:$I$3400=A420)))"),"https://techcombank.com/thong-tin/blog/ho-kinh-doanh-dong-thue-nhu-nao
https://techcombank.com/thong-tin/blog/mo-tai-khoan-ho-kinh-doanh
https://techcombank.com/thong-tin/blog/cach-tinh-thue-ho-kinh-doanh-nho-le")</f>
        <v>https://techcombank.com/thong-tin/blog/ho-kinh-doanh-dong-thue-nhu-nao
https://techcombank.com/thong-tin/blog/mo-tai-khoan-ho-kinh-doanh
https://techcombank.com/thong-tin/blog/cach-tinh-thue-ho-kinh-doanh-nho-le</v>
      </c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28" t="str">
        <f>IFERROR(__xludf.DUMMYFUNCTION("""COMPUTED_VALUE"""),"https://techcombank.com/thong-tin/blog/bi-nuot-the-atm-phai-lam-sao")</f>
        <v>https://techcombank.com/thong-tin/blog/bi-nuot-the-atm-phai-lam-sao</v>
      </c>
      <c r="B421" s="11">
        <f>IFERROR(__xludf.DUMMYFUNCTION("""COMPUTED_VALUE"""),3.0)</f>
        <v>3</v>
      </c>
      <c r="C421" s="7" t="str">
        <f>IFERROR(__xludf.DUMMYFUNCTION("IF(A421="""","""",TEXTJOIN(CHAR(10),TRUE,FILTER('Tổng hợp 75 trang đích'!$B$2:$B$3400,'Tổng hợp 75 trang đích'!$I$2:$I$3400=A421)))"),"https://techcombank.com/thong-tin/blog/nap-tien-vao-tai-khoan-ngan-hang
https://techcombank.com/thong-tin/blog/rut-tien-bang-ma-qr-la-gi-cach-thuc-hien-nhu-the-nao
https://techcombank.com/thong-tin/blog/rut-tien-mat-tu-the-tin-dung")</f>
        <v>https://techcombank.com/thong-tin/blog/nap-tien-vao-tai-khoan-ngan-hang
https://techcombank.com/thong-tin/blog/rut-tien-bang-ma-qr-la-gi-cach-thuc-hien-nhu-the-nao
https://techcombank.com/thong-tin/blog/rut-tien-mat-tu-the-tin-dung</v>
      </c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28" t="str">
        <f>IFERROR(__xludf.DUMMYFUNCTION("""COMPUTED_VALUE"""),"https://techcombank.com/thong-tin/blog/cach-dong-tien-dien-qua-tai-khoan-ngan-hang")</f>
        <v>https://techcombank.com/thong-tin/blog/cach-dong-tien-dien-qua-tai-khoan-ngan-hang</v>
      </c>
      <c r="B422" s="11">
        <f>IFERROR(__xludf.DUMMYFUNCTION("""COMPUTED_VALUE"""),3.0)</f>
        <v>3</v>
      </c>
      <c r="C422" s="7" t="str">
        <f>IFERROR(__xludf.DUMMYFUNCTION("IF(A422="""","""",TEXTJOIN(CHAR(10),TRUE,FILTER('Tổng hợp 75 trang đích'!$B$2:$B$3400,'Tổng hợp 75 trang đích'!$I$2:$I$3400=A422)))"),"https://techcombank.com/thong-tin/blog/cach-nap-the-viettel
https://techcombank.com/thong-tin/blog/cach-tinh-tien-dien-sinh-hoat
https://techcombank.com/thong-tin/blog/cach-mo-tai-khoan")</f>
        <v>https://techcombank.com/thong-tin/blog/cach-nap-the-viettel
https://techcombank.com/thong-tin/blog/cach-tinh-tien-dien-sinh-hoat
https://techcombank.com/thong-tin/blog/cach-mo-tai-khoan</v>
      </c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28" t="str">
        <f>IFERROR(__xludf.DUMMYFUNCTION("""COMPUTED_VALUE"""),"https://techcombank.com/thong-tin/blog/cach-khoa-the-ngan-hang")</f>
        <v>https://techcombank.com/thong-tin/blog/cach-khoa-the-ngan-hang</v>
      </c>
      <c r="B423" s="11">
        <f>IFERROR(__xludf.DUMMYFUNCTION("""COMPUTED_VALUE"""),3.0)</f>
        <v>3</v>
      </c>
      <c r="C423" s="7" t="str">
        <f>IFERROR(__xludf.DUMMYFUNCTION("IF(A423="""","""",TEXTJOIN(CHAR(10),TRUE,FILTER('Tổng hợp 75 trang đích'!$B$2:$B$3400,'Tổng hợp 75 trang đích'!$I$2:$I$3400=A423)))"),"https://techcombank.com/thong-tin/blog/ten-dang-nhap-tai-khoan-ngan-hang-la-gi
https://techcombank.com/thong-tin/blog/cach-huy-the-tin-dung
https://techcombank.com/thong-tin/blog/rui-ro-khi-gui-tiet-kiem-online")</f>
        <v>https://techcombank.com/thong-tin/blog/ten-dang-nhap-tai-khoan-ngan-hang-la-gi
https://techcombank.com/thong-tin/blog/cach-huy-the-tin-dung
https://techcombank.com/thong-tin/blog/rui-ro-khi-gui-tiet-kiem-online</v>
      </c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28" t="str">
        <f>IFERROR(__xludf.DUMMYFUNCTION("""COMPUTED_VALUE"""),"https://techcombank.com/thong-tin/blog/cach-nap-tien-vao-the-ghi-no")</f>
        <v>https://techcombank.com/thong-tin/blog/cach-nap-tien-vao-the-ghi-no</v>
      </c>
      <c r="B424" s="11">
        <f>IFERROR(__xludf.DUMMYFUNCTION("""COMPUTED_VALUE"""),3.0)</f>
        <v>3</v>
      </c>
      <c r="C424" s="7" t="str">
        <f>IFERROR(__xludf.DUMMYFUNCTION("IF(A424="""","""",TEXTJOIN(CHAR(10),TRUE,FILTER('Tổng hợp 75 trang đích'!$B$2:$B$3400,'Tổng hợp 75 trang đích'!$I$2:$I$3400=A424)))"),"https://techcombank.com/thong-tin/blog/nap-tien-vao-tai-khoan-ngan-hang
https://techcombank.com/thong-tin/blog/ten-dang-nhap-tai-khoan-ngan-hang-la-gi
https://techcombank.com/thong-tin/blog/eco-card")</f>
        <v>https://techcombank.com/thong-tin/blog/nap-tien-vao-tai-khoan-ngan-hang
https://techcombank.com/thong-tin/blog/ten-dang-nhap-tai-khoan-ngan-hang-la-gi
https://techcombank.com/thong-tin/blog/eco-card</v>
      </c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28" t="str">
        <f>IFERROR(__xludf.DUMMYFUNCTION("""COMPUTED_VALUE"""),"https://techcombank.com/thong-tin/blog/cach-nhan-tien-tu-nuoc-ngoai-ve-viet-nam")</f>
        <v>https://techcombank.com/thong-tin/blog/cach-nhan-tien-tu-nuoc-ngoai-ve-viet-nam</v>
      </c>
      <c r="B425" s="11">
        <f>IFERROR(__xludf.DUMMYFUNCTION("""COMPUTED_VALUE"""),3.0)</f>
        <v>3</v>
      </c>
      <c r="C425" s="7" t="str">
        <f>IFERROR(__xludf.DUMMYFUNCTION("IF(A425="""","""",TEXTJOIN(CHAR(10),TRUE,FILTER('Tổng hợp 75 trang đích'!$B$2:$B$3400,'Tổng hợp 75 trang đích'!$I$2:$I$3400=A425)))"),"https://techcombank.com/thong-tin/blog/1-te-bang-bao-nhieu-tien-viet-nam
https://techcombank.com/thong-tin/blog/tien-nhat
https://techcombank.com/thong-tin/blog/tien-dai-loan")</f>
        <v>https://techcombank.com/thong-tin/blog/1-te-bang-bao-nhieu-tien-viet-nam
https://techcombank.com/thong-tin/blog/tien-nhat
https://techcombank.com/thong-tin/blog/tien-dai-loan</v>
      </c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28" t="str">
        <f>IFERROR(__xludf.DUMMYFUNCTION("""COMPUTED_VALUE"""),"https://techcombank.com/thong-tin/blog/cach-quan-ly-tai-san")</f>
        <v>https://techcombank.com/thong-tin/blog/cach-quan-ly-tai-san</v>
      </c>
      <c r="B426" s="11">
        <f>IFERROR(__xludf.DUMMYFUNCTION("""COMPUTED_VALUE"""),3.0)</f>
        <v>3</v>
      </c>
      <c r="C426" s="7" t="str">
        <f>IFERROR(__xludf.DUMMYFUNCTION("IF(A426="""","""",TEXTJOIN(CHAR(10),TRUE,FILTER('Tổng hợp 75 trang đích'!$B$2:$B$3400,'Tổng hợp 75 trang đích'!$I$2:$I$3400=A426)))"),"https://techcombank.com/thong-tin/blog/eco-card
https://techcombank.com/thong-tin/blog/lai-suat-tiet-kiem
https://techcombank.com/thong-tin/blog/phuong-phap-dau-tu-chung-chi-quy")</f>
        <v>https://techcombank.com/thong-tin/blog/eco-card
https://techcombank.com/thong-tin/blog/lai-suat-tiet-kiem
https://techcombank.com/thong-tin/blog/phuong-phap-dau-tu-chung-chi-quy</v>
      </c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28" t="str">
        <f>IFERROR(__xludf.DUMMYFUNCTION("""COMPUTED_VALUE"""),"https://techcombank.com/thong-tin/blog/cach-tiet-kiem-100-trieu-1-nam")</f>
        <v>https://techcombank.com/thong-tin/blog/cach-tiet-kiem-100-trieu-1-nam</v>
      </c>
      <c r="B427" s="11">
        <f>IFERROR(__xludf.DUMMYFUNCTION("""COMPUTED_VALUE"""),3.0)</f>
        <v>3</v>
      </c>
      <c r="C427" s="7" t="str">
        <f>IFERROR(__xludf.DUMMYFUNCTION("IF(A427="""","""",TEXTJOIN(CHAR(10),TRUE,FILTER('Tổng hợp 75 trang đích'!$B$2:$B$3400,'Tổng hợp 75 trang đích'!$I$2:$I$3400=A427)))"),"https://techcombank.com/thong-tin/blog/lai-suat-tiet-kiem
https://techcombank.com/thong-tin/blog/cach-tinh-lai-suat-tien-gui-tiet-kiem
https://techcombank.com/cong-cu-tien-ich/cong-cu-tinh-toan/bang-tinh-lai-suat-tiet-kiem")</f>
        <v>https://techcombank.com/thong-tin/blog/lai-suat-tiet-kiem
https://techcombank.com/thong-tin/blog/cach-tinh-lai-suat-tien-gui-tiet-kiem
https://techcombank.com/cong-cu-tien-ich/cong-cu-tinh-toan/bang-tinh-lai-suat-tiet-kiem</v>
      </c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28" t="str">
        <f>IFERROR(__xludf.DUMMYFUNCTION("""COMPUTED_VALUE"""),"https://techcombank.com/thong-tin/blog/cach-tiet-kiem-tien-theo-tuan")</f>
        <v>https://techcombank.com/thong-tin/blog/cach-tiet-kiem-tien-theo-tuan</v>
      </c>
      <c r="B428" s="11">
        <f>IFERROR(__xludf.DUMMYFUNCTION("""COMPUTED_VALUE"""),3.0)</f>
        <v>3</v>
      </c>
      <c r="C428" s="7" t="str">
        <f>IFERROR(__xludf.DUMMYFUNCTION("IF(A428="""","""",TEXTJOIN(CHAR(10),TRUE,FILTER('Tổng hợp 75 trang đích'!$B$2:$B$3400,'Tổng hợp 75 trang đích'!$I$2:$I$3400=A428)))"),"https://techcombank.com/thong-tin/blog/lai-suat-tiet-kiem
https://techcombank.com/thong-tin/blog/cach-tinh-lai-suat-tien-gui-tiet-kiem
https://techcombank.com/thong-tin/blog/cach-tiet-kiem-tien")</f>
        <v>https://techcombank.com/thong-tin/blog/lai-suat-tiet-kiem
https://techcombank.com/thong-tin/blog/cach-tinh-lai-suat-tien-gui-tiet-kiem
https://techcombank.com/thong-tin/blog/cach-tiet-kiem-tien</v>
      </c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28" t="str">
        <f>IFERROR(__xludf.DUMMYFUNCTION("""COMPUTED_VALUE"""),"https://techcombank.com/thong-tin/blog/chinh-sach-tang-luong-huu")</f>
        <v>https://techcombank.com/thong-tin/blog/chinh-sach-tang-luong-huu</v>
      </c>
      <c r="B429" s="11">
        <f>IFERROR(__xludf.DUMMYFUNCTION("""COMPUTED_VALUE"""),3.0)</f>
        <v>3</v>
      </c>
      <c r="C429" s="7" t="str">
        <f>IFERROR(__xludf.DUMMYFUNCTION("IF(A429="""","""",TEXTJOIN(CHAR(10),TRUE,FILTER('Tổng hợp 75 trang đích'!$B$2:$B$3400,'Tổng hợp 75 trang đích'!$I$2:$I$3400=A429)))"),"https://techcombank.com/thong-tin/blog/cach-tinh-thue-thu-nhap-ca-nhan-2025
https://techcombank.com/thong-tin/blog/thue-thu-nhap-ca-nhan
https://techcombank.com/thong-tin/blog/cach-tiet-kiem-tien")</f>
        <v>https://techcombank.com/thong-tin/blog/cach-tinh-thue-thu-nhap-ca-nhan-2025
https://techcombank.com/thong-tin/blog/thue-thu-nhap-ca-nhan
https://techcombank.com/thong-tin/blog/cach-tiet-kiem-tien</v>
      </c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28" t="str">
        <f>IFERROR(__xludf.DUMMYFUNCTION("""COMPUTED_VALUE"""),"https://techcombank.com/thong-tin/blog/cho-vay-tung-lan")</f>
        <v>https://techcombank.com/thong-tin/blog/cho-vay-tung-lan</v>
      </c>
      <c r="B430" s="11">
        <f>IFERROR(__xludf.DUMMYFUNCTION("""COMPUTED_VALUE"""),3.0)</f>
        <v>3</v>
      </c>
      <c r="C430" s="7" t="str">
        <f>IFERROR(__xludf.DUMMYFUNCTION("IF(A430="""","""",TEXTJOIN(CHAR(10),TRUE,FILTER('Tổng hợp 75 trang đích'!$B$2:$B$3400,'Tổng hợp 75 trang đích'!$I$2:$I$3400=A430)))"),"https://techcombank.com/thong-tin/blog/cic-la-gi
https://techcombank.com/cong-cu-tien-ich/cong-cu-tinh-toan/bang-tinh-lai-suat-vay
https://techcombank.com/thong-tin/blog/app-vay-tien-nhanh")</f>
        <v>https://techcombank.com/thong-tin/blog/cic-la-gi
https://techcombank.com/cong-cu-tien-ich/cong-cu-tinh-toan/bang-tinh-lai-suat-vay
https://techcombank.com/thong-tin/blog/app-vay-tien-nhanh</v>
      </c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28" t="str">
        <f>IFERROR(__xludf.DUMMYFUNCTION("""COMPUTED_VALUE"""),"https://techcombank.com/thong-tin/blog/chung-chi-quy-va-chung-khoan")</f>
        <v>https://techcombank.com/thong-tin/blog/chung-chi-quy-va-chung-khoan</v>
      </c>
      <c r="B431" s="11">
        <f>IFERROR(__xludf.DUMMYFUNCTION("""COMPUTED_VALUE"""),3.0)</f>
        <v>3</v>
      </c>
      <c r="C431" s="7" t="str">
        <f>IFERROR(__xludf.DUMMYFUNCTION("IF(A431="""","""",TEXTJOIN(CHAR(10),TRUE,FILTER('Tổng hợp 75 trang đích'!$B$2:$B$3400,'Tổng hợp 75 trang đích'!$I$2:$I$3400=A431)))"),"https://techcombank.com/thong-tin/blog/chung-chi-tien-gui-la-gi
https://techcombank.com/thong-tin/blog/rui-ro-khi-gui-tiet-kiem-online
https://techcombank.com/thong-tin/blog/phuong-phap-dau-tu-chung-chi-quy")</f>
        <v>https://techcombank.com/thong-tin/blog/chung-chi-tien-gui-la-gi
https://techcombank.com/thong-tin/blog/rui-ro-khi-gui-tiet-kiem-online
https://techcombank.com/thong-tin/blog/phuong-phap-dau-tu-chung-chi-quy</v>
      </c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28" t="str">
        <f>IFERROR(__xludf.DUMMYFUNCTION("""COMPUTED_VALUE"""),"https://techcombank.com/thong-tin/blog/chung-chi-tien-gui-co-duoc-bao-hiem-khong")</f>
        <v>https://techcombank.com/thong-tin/blog/chung-chi-tien-gui-co-duoc-bao-hiem-khong</v>
      </c>
      <c r="B432" s="11">
        <f>IFERROR(__xludf.DUMMYFUNCTION("""COMPUTED_VALUE"""),3.0)</f>
        <v>3</v>
      </c>
      <c r="C432" s="7" t="str">
        <f>IFERROR(__xludf.DUMMYFUNCTION("IF(A432="""","""",TEXTJOIN(CHAR(10),TRUE,FILTER('Tổng hợp 75 trang đích'!$B$2:$B$3400,'Tổng hợp 75 trang đích'!$I$2:$I$3400=A432)))"),"https://techcombank.com/thong-tin/blog/chung-chi-tien-gui-la-gi
https://techcombank.com/thong-tin/blog/lai-suat-chung-chi-tien-gui-cac-ngan-hang
https://techcombank.com/thong-tin/blog/lai-suat-tiet-kiem")</f>
        <v>https://techcombank.com/thong-tin/blog/chung-chi-tien-gui-la-gi
https://techcombank.com/thong-tin/blog/lai-suat-chung-chi-tien-gui-cac-ngan-hang
https://techcombank.com/thong-tin/blog/lai-suat-tiet-kiem</v>
      </c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28" t="str">
        <f>IFERROR(__xludf.DUMMYFUNCTION("""COMPUTED_VALUE"""),"https://techcombank.com/thong-tin/blog/chung-chi-tien-gui-co-phai-la-trai-phieu-khong")</f>
        <v>https://techcombank.com/thong-tin/blog/chung-chi-tien-gui-co-phai-la-trai-phieu-khong</v>
      </c>
      <c r="B433" s="11">
        <f>IFERROR(__xludf.DUMMYFUNCTION("""COMPUTED_VALUE"""),3.0)</f>
        <v>3</v>
      </c>
      <c r="C433" s="7" t="str">
        <f>IFERROR(__xludf.DUMMYFUNCTION("IF(A433="""","""",TEXTJOIN(CHAR(10),TRUE,FILTER('Tổng hợp 75 trang đích'!$B$2:$B$3400,'Tổng hợp 75 trang đích'!$I$2:$I$3400=A433)))"),"https://techcombank.com/thong-tin/blog/chung-chi-tien-gui-la-gi
https://techcombank.com/thong-tin/blog/lai-suat-chung-chi-tien-gui-cac-ngan-hang
https://techcombank.com/thong-tin/blog/lai-suat-tiet-kiem")</f>
        <v>https://techcombank.com/thong-tin/blog/chung-chi-tien-gui-la-gi
https://techcombank.com/thong-tin/blog/lai-suat-chung-chi-tien-gui-cac-ngan-hang
https://techcombank.com/thong-tin/blog/lai-suat-tiet-kiem</v>
      </c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28" t="str">
        <f>IFERROR(__xludf.DUMMYFUNCTION("""COMPUTED_VALUE"""),"https://techcombank.com/thong-tin/blog/chuyen-nhuong-chung-chi-tien-gui")</f>
        <v>https://techcombank.com/thong-tin/blog/chuyen-nhuong-chung-chi-tien-gui</v>
      </c>
      <c r="B434" s="11">
        <f>IFERROR(__xludf.DUMMYFUNCTION("""COMPUTED_VALUE"""),3.0)</f>
        <v>3</v>
      </c>
      <c r="C434" s="7" t="str">
        <f>IFERROR(__xludf.DUMMYFUNCTION("IF(A434="""","""",TEXTJOIN(CHAR(10),TRUE,FILTER('Tổng hợp 75 trang đích'!$B$2:$B$3400,'Tổng hợp 75 trang đích'!$I$2:$I$3400=A434)))"),"https://techcombank.com/thong-tin/blog/lai-suat-chung-chi-tien-gui-cac-ngan-hang
https://techcombank.com/thong-tin/blog/lai-suat-tiet-kiem
https://techcombank.com/thong-tin/blog/rut-tien-tiet-kiem-truoc-thoi-han")</f>
        <v>https://techcombank.com/thong-tin/blog/lai-suat-chung-chi-tien-gui-cac-ngan-hang
https://techcombank.com/thong-tin/blog/lai-suat-tiet-kiem
https://techcombank.com/thong-tin/blog/rut-tien-tiet-kiem-truoc-thoi-han</v>
      </c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28" t="str">
        <f>IFERROR(__xludf.DUMMYFUNCTION("""COMPUTED_VALUE"""),"https://techcombank.com/thong-tin/blog/chuyen-tien-tu-duc-ve-viet-nam")</f>
        <v>https://techcombank.com/thong-tin/blog/chuyen-tien-tu-duc-ve-viet-nam</v>
      </c>
      <c r="B435" s="11">
        <f>IFERROR(__xludf.DUMMYFUNCTION("""COMPUTED_VALUE"""),3.0)</f>
        <v>3</v>
      </c>
      <c r="C435" s="7" t="str">
        <f>IFERROR(__xludf.DUMMYFUNCTION("IF(A435="""","""",TEXTJOIN(CHAR(10),TRUE,FILTER('Tổng hợp 75 trang đích'!$B$2:$B$3400,'Tổng hợp 75 trang đích'!$I$2:$I$3400=A435)))"),"https://techcombank.com/thong-tin/blog/1-te-bang-bao-nhieu-tien-viet-nam
https://techcombank.com/thong-tin/blog/tien-dai-loan
https://techcombank.com/thong-tin/blog/doi-tien-do-o-dau")</f>
        <v>https://techcombank.com/thong-tin/blog/1-te-bang-bao-nhieu-tien-viet-nam
https://techcombank.com/thong-tin/blog/tien-dai-loan
https://techcombank.com/thong-tin/blog/doi-tien-do-o-dau</v>
      </c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28" t="str">
        <f>IFERROR(__xludf.DUMMYFUNCTION("""COMPUTED_VALUE"""),"https://techcombank.com/thong-tin/blog/dang-ky-thanh-lap-doanh-nghiep")</f>
        <v>https://techcombank.com/thong-tin/blog/dang-ky-thanh-lap-doanh-nghiep</v>
      </c>
      <c r="B436" s="11">
        <f>IFERROR(__xludf.DUMMYFUNCTION("""COMPUTED_VALUE"""),3.0)</f>
        <v>3</v>
      </c>
      <c r="C436" s="7" t="str">
        <f>IFERROR(__xludf.DUMMYFUNCTION("IF(A436="""","""",TEXTJOIN(CHAR(10),TRUE,FILTER('Tổng hợp 75 trang đích'!$B$2:$B$3400,'Tổng hợp 75 trang đích'!$I$2:$I$3400=A436)))"),"https://techcombank.com/thong-tin/blog/thue-doanh-nghiep
https://techcombank.com/thong-tin/blog/lai-suat-tiet-kiem
https://techcombank.com/thong-tin/blog/cach-tinh-lai-suat-tien-gui-tiet-kiem")</f>
        <v>https://techcombank.com/thong-tin/blog/thue-doanh-nghiep
https://techcombank.com/thong-tin/blog/lai-suat-tiet-kiem
https://techcombank.com/thong-tin/blog/cach-tinh-lai-suat-tien-gui-tiet-kiem</v>
      </c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28" t="str">
        <f>IFERROR(__xludf.DUMMYFUNCTION("""COMPUTED_VALUE"""),"https://techcombank.com/thong-tin/blog/dang-ky-thue-ho-kinh-doanh-ca-the-online")</f>
        <v>https://techcombank.com/thong-tin/blog/dang-ky-thue-ho-kinh-doanh-ca-the-online</v>
      </c>
      <c r="B437" s="11">
        <f>IFERROR(__xludf.DUMMYFUNCTION("""COMPUTED_VALUE"""),3.0)</f>
        <v>3</v>
      </c>
      <c r="C437" s="7" t="str">
        <f>IFERROR(__xludf.DUMMYFUNCTION("IF(A437="""","""",TEXTJOIN(CHAR(10),TRUE,FILTER('Tổng hợp 75 trang đích'!$B$2:$B$3400,'Tổng hợp 75 trang đích'!$I$2:$I$3400=A437)))"),"https://techcombank.com/thong-tin/blog/nop-thue-dat-qua-ngan-hang
https://techcombank.com/thong-tin/blog/cach-nop-thue-dien-tu
https://techcombank.com/thong-tin/blog/ho-kinh-doanh-dong-thue-nhu-nao")</f>
        <v>https://techcombank.com/thong-tin/blog/nop-thue-dat-qua-ngan-hang
https://techcombank.com/thong-tin/blog/cach-nop-thue-dien-tu
https://techcombank.com/thong-tin/blog/ho-kinh-doanh-dong-thue-nhu-nao</v>
      </c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28" t="str">
        <f>IFERROR(__xludf.DUMMYFUNCTION("""COMPUTED_VALUE"""),"https://techcombank.com/thong-tin/blog/dao-han-the-tin-dung")</f>
        <v>https://techcombank.com/thong-tin/blog/dao-han-the-tin-dung</v>
      </c>
      <c r="B438" s="11">
        <f>IFERROR(__xludf.DUMMYFUNCTION("""COMPUTED_VALUE"""),3.0)</f>
        <v>3</v>
      </c>
      <c r="C438" s="7" t="str">
        <f>IFERROR(__xludf.DUMMYFUNCTION("IF(A438="""","""",TEXTJOIN(CHAR(10),TRUE,FILTER('Tổng hợp 75 trang đích'!$B$2:$B$3400,'Tổng hợp 75 trang đích'!$I$2:$I$3400=A438)))"),"https://techcombank.com/thong-tin/blog/cic-la-gi
https://techcombank.com/khach-hang-ca-nhan/chi-tieu/the/the-tin-dung/techcombank-everyday
https://techcombank.com/thong-tin/blog/cach-huy-the-tin-dung")</f>
        <v>https://techcombank.com/thong-tin/blog/cic-la-gi
https://techcombank.com/khach-hang-ca-nhan/chi-tieu/the/the-tin-dung/techcombank-everyday
https://techcombank.com/thong-tin/blog/cach-huy-the-tin-dung</v>
      </c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28" t="str">
        <f>IFERROR(__xludf.DUMMYFUNCTION("""COMPUTED_VALUE"""),"https://techcombank.com/thong-tin/blog/dau-chan-carbon")</f>
        <v>https://techcombank.com/thong-tin/blog/dau-chan-carbon</v>
      </c>
      <c r="B439" s="11">
        <f>IFERROR(__xludf.DUMMYFUNCTION("""COMPUTED_VALUE"""),3.0)</f>
        <v>3</v>
      </c>
      <c r="C439" s="7" t="str">
        <f>IFERROR(__xludf.DUMMYFUNCTION("IF(A439="""","""",TEXTJOIN(CHAR(10),TRUE,FILTER('Tổng hợp 75 trang đích'!$B$2:$B$3400,'Tổng hợp 75 trang đích'!$I$2:$I$3400=A439)))"),"https://techcombank.com/thong-tin/blog/cach-sao-ke-tai-khoan-ngan-hang
https://techcombank.com/thong-tin/blog/eco-card
https://techcombank.com/thong-tin/blog/cach-tiet-kiem-tien")</f>
        <v>https://techcombank.com/thong-tin/blog/cach-sao-ke-tai-khoan-ngan-hang
https://techcombank.com/thong-tin/blog/eco-card
https://techcombank.com/thong-tin/blog/cach-tiet-kiem-tien</v>
      </c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28" t="str">
        <f>IFERROR(__xludf.DUMMYFUNCTION("""COMPUTED_VALUE"""),"https://techcombank.com/thong-tin/blog/dau-tu-ngan-han")</f>
        <v>https://techcombank.com/thong-tin/blog/dau-tu-ngan-han</v>
      </c>
      <c r="B440" s="11">
        <f>IFERROR(__xludf.DUMMYFUNCTION("""COMPUTED_VALUE"""),3.0)</f>
        <v>3</v>
      </c>
      <c r="C440" s="7" t="str">
        <f>IFERROR(__xludf.DUMMYFUNCTION("IF(A440="""","""",TEXTJOIN(CHAR(10),TRUE,FILTER('Tổng hợp 75 trang đích'!$B$2:$B$3400,'Tổng hợp 75 trang đích'!$I$2:$I$3400=A440)))"),"https://techcombank.com/thong-tin/blog/chung-chi-tien-gui-la-gi
https://techcombank.com/thong-tin/blog/lai-suat-tiet-kiem
https://techcombank.com/thong-tin/blog/cach-tinh-lai-suat-tien-gui-tiet-kiem")</f>
        <v>https://techcombank.com/thong-tin/blog/chung-chi-tien-gui-la-gi
https://techcombank.com/thong-tin/blog/lai-suat-tiet-kiem
https://techcombank.com/thong-tin/blog/cach-tinh-lai-suat-tien-gui-tiet-kiem</v>
      </c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28" t="str">
        <f>IFERROR(__xludf.DUMMYFUNCTION("""COMPUTED_VALUE"""),"https://techcombank.com/thong-tin/blog/gui-tiet-kiem-online-quay-vong-ca-goc-va-lai")</f>
        <v>https://techcombank.com/thong-tin/blog/gui-tiet-kiem-online-quay-vong-ca-goc-va-lai</v>
      </c>
      <c r="B441" s="11">
        <f>IFERROR(__xludf.DUMMYFUNCTION("""COMPUTED_VALUE"""),3.0)</f>
        <v>3</v>
      </c>
      <c r="C441" s="7" t="str">
        <f>IFERROR(__xludf.DUMMYFUNCTION("IF(A441="""","""",TEXTJOIN(CHAR(10),TRUE,FILTER('Tổng hợp 75 trang đích'!$B$2:$B$3400,'Tổng hợp 75 trang đích'!$I$2:$I$3400=A441)))"),"https://techcombank.com/thong-tin/blog/lai-suat-tiet-kiem
https://techcombank.com/thong-tin/blog/cach-tinh-lai-suat-tien-gui-tiet-kiem
https://techcombank.com/cong-cu-tien-ich/cong-cu-tinh-toan/bang-tinh-lai-suat-tiet-kiem")</f>
        <v>https://techcombank.com/thong-tin/blog/lai-suat-tiet-kiem
https://techcombank.com/thong-tin/blog/cach-tinh-lai-suat-tien-gui-tiet-kiem
https://techcombank.com/cong-cu-tien-ich/cong-cu-tinh-toan/bang-tinh-lai-suat-tiet-kiem</v>
      </c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28" t="str">
        <f>IFERROR(__xludf.DUMMYFUNCTION("""COMPUTED_VALUE"""),"https://techcombank.com/thong-tin/blog/han-muc-the-tin-dung")</f>
        <v>https://techcombank.com/thong-tin/blog/han-muc-the-tin-dung</v>
      </c>
      <c r="B442" s="11">
        <f>IFERROR(__xludf.DUMMYFUNCTION("""COMPUTED_VALUE"""),3.0)</f>
        <v>3</v>
      </c>
      <c r="C442" s="7" t="str">
        <f>IFERROR(__xludf.DUMMYFUNCTION("IF(A442="""","""",TEXTJOIN(CHAR(10),TRUE,FILTER('Tổng hợp 75 trang đích'!$B$2:$B$3400,'Tổng hợp 75 trang đích'!$I$2:$I$3400=A442)))"),"https://techcombank.com/thong-tin/blog/cic-la-gi
https://techcombank.com/thong-tin/blog/rut-tien-mat-tu-the-tin-dung
https://techcombank.com/thong-tin/blog/app-vay-tien-nhanh")</f>
        <v>https://techcombank.com/thong-tin/blog/cic-la-gi
https://techcombank.com/thong-tin/blog/rut-tien-mat-tu-the-tin-dung
https://techcombank.com/thong-tin/blog/app-vay-tien-nhanh</v>
      </c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28" t="str">
        <f>IFERROR(__xludf.DUMMYFUNCTION("""COMPUTED_VALUE"""),"https://techcombank.com/thong-tin/blog/ho-so-vay-von-cua-doanh-nghiep-gom-nhung-gi")</f>
        <v>https://techcombank.com/thong-tin/blog/ho-so-vay-von-cua-doanh-nghiep-gom-nhung-gi</v>
      </c>
      <c r="B443" s="11">
        <f>IFERROR(__xludf.DUMMYFUNCTION("""COMPUTED_VALUE"""),3.0)</f>
        <v>3</v>
      </c>
      <c r="C443" s="7" t="str">
        <f>IFERROR(__xludf.DUMMYFUNCTION("IF(A443="""","""",TEXTJOIN(CHAR(10),TRUE,FILTER('Tổng hợp 75 trang đích'!$B$2:$B$3400,'Tổng hợp 75 trang đích'!$I$2:$I$3400=A443)))"),"https://techcombank.com/thong-tin/blog/cic-la-gi
https://techcombank.com/cong-cu-tien-ich/cong-cu-tinh-toan/bang-tinh-lai-suat-vay
https://techcombank.com/thong-tin/blog/app-vay-tien-nhanh")</f>
        <v>https://techcombank.com/thong-tin/blog/cic-la-gi
https://techcombank.com/cong-cu-tien-ich/cong-cu-tinh-toan/bang-tinh-lai-suat-vay
https://techcombank.com/thong-tin/blog/app-vay-tien-nhanh</v>
      </c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28" t="str">
        <f>IFERROR(__xludf.DUMMYFUNCTION("""COMPUTED_VALUE"""),"https://techcombank.com/thong-tin/blog/hoa-don-dien-tu-ho-kinh-doanh")</f>
        <v>https://techcombank.com/thong-tin/blog/hoa-don-dien-tu-ho-kinh-doanh</v>
      </c>
      <c r="B444" s="11">
        <f>IFERROR(__xludf.DUMMYFUNCTION("""COMPUTED_VALUE"""),3.0)</f>
        <v>3</v>
      </c>
      <c r="C444" s="7" t="str">
        <f>IFERROR(__xludf.DUMMYFUNCTION("IF(A444="""","""",TEXTJOIN(CHAR(10),TRUE,FILTER('Tổng hợp 75 trang đích'!$B$2:$B$3400,'Tổng hợp 75 trang đích'!$I$2:$I$3400=A444)))"),"https://techcombank.com/thong-tin/blog/nop-thue-dat-qua-ngan-hang
https://techcombank.com/thong-tin/blog/thue-vat-la-gi
https://techcombank.com/thong-tin/blog/cach-tinh-tien-dien-sinh-hoat")</f>
        <v>https://techcombank.com/thong-tin/blog/nop-thue-dat-qua-ngan-hang
https://techcombank.com/thong-tin/blog/thue-vat-la-gi
https://techcombank.com/thong-tin/blog/cach-tinh-tien-dien-sinh-hoat</v>
      </c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28" t="str">
        <f>IFERROR(__xludf.DUMMYFUNCTION("""COMPUTED_VALUE"""),"https://techcombank.com/thong-tin/blog/hoc-sinh-sinh-vien-nen-lam-the-ngan-hang-nao")</f>
        <v>https://techcombank.com/thong-tin/blog/hoc-sinh-sinh-vien-nen-lam-the-ngan-hang-nao</v>
      </c>
      <c r="B445" s="11">
        <f>IFERROR(__xludf.DUMMYFUNCTION("""COMPUTED_VALUE"""),3.0)</f>
        <v>3</v>
      </c>
      <c r="C445" s="7" t="str">
        <f>IFERROR(__xludf.DUMMYFUNCTION("IF(A445="""","""",TEXTJOIN(CHAR(10),TRUE,FILTER('Tổng hợp 75 trang đích'!$B$2:$B$3400,'Tổng hợp 75 trang đích'!$I$2:$I$3400=A445)))"),"https://techcombank.com/thong-tin/blog/ngan-hang-uy-tin
https://techcombank.com/thong-tin/blog/bao-nhieu-tuoi-duoc-mo-tai-khoan-ngan-hang
https://techcombank.com/thong-tin/blog/mo-tai-khoan-ngan-hang-duoi-18-tuoi")</f>
        <v>https://techcombank.com/thong-tin/blog/ngan-hang-uy-tin
https://techcombank.com/thong-tin/blog/bao-nhieu-tuoi-duoc-mo-tai-khoan-ngan-hang
https://techcombank.com/thong-tin/blog/mo-tai-khoan-ngan-hang-duoi-18-tuoi</v>
      </c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28" t="str">
        <f>IFERROR(__xludf.DUMMYFUNCTION("""COMPUTED_VALUE"""),"https://techcombank.com/thong-tin/blog/khai-bao-tai-khoan-ngan-hang-voi-co-quan-thue")</f>
        <v>https://techcombank.com/thong-tin/blog/khai-bao-tai-khoan-ngan-hang-voi-co-quan-thue</v>
      </c>
      <c r="B446" s="11">
        <f>IFERROR(__xludf.DUMMYFUNCTION("""COMPUTED_VALUE"""),3.0)</f>
        <v>3</v>
      </c>
      <c r="C446" s="7" t="str">
        <f>IFERROR(__xludf.DUMMYFUNCTION("IF(A446="""","""",TEXTJOIN(CHAR(10),TRUE,FILTER('Tổng hợp 75 trang đích'!$B$2:$B$3400,'Tổng hợp 75 trang đích'!$I$2:$I$3400=A446)))"),"https://techcombank.com/thong-tin/blog/nop-thue-dat-qua-ngan-hang
https://techcombank.com/thong-tin/blog/cach-mo-tai-khoan
https://techcombank.com/thong-tin/blog/mo-tai-khoan-ho-kinh-doanh")</f>
        <v>https://techcombank.com/thong-tin/blog/nop-thue-dat-qua-ngan-hang
https://techcombank.com/thong-tin/blog/cach-mo-tai-khoan
https://techcombank.com/thong-tin/blog/mo-tai-khoan-ho-kinh-doanh</v>
      </c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28" t="str">
        <f>IFERROR(__xludf.DUMMYFUNCTION("""COMPUTED_VALUE"""),"https://techcombank.com/thong-tin/blog/lam-the-atm-bao-lau-co")</f>
        <v>https://techcombank.com/thong-tin/blog/lam-the-atm-bao-lau-co</v>
      </c>
      <c r="B447" s="11">
        <f>IFERROR(__xludf.DUMMYFUNCTION("""COMPUTED_VALUE"""),3.0)</f>
        <v>3</v>
      </c>
      <c r="C447" s="7" t="str">
        <f>IFERROR(__xludf.DUMMYFUNCTION("IF(A447="""","""",TEXTJOIN(CHAR(10),TRUE,FILTER('Tổng hợp 75 trang đích'!$B$2:$B$3400,'Tổng hợp 75 trang đích'!$I$2:$I$3400=A447)))"),"https://techcombank.com/thong-tin/blog/bao-nhieu-tuoi-duoc-mo-tai-khoan-ngan-hang
https://techcombank.com/thong-tin/blog/nap-tien-vao-tai-khoan-ngan-hang
https://techcombank.com/thong-tin/blog/lam-the-tin-dung")</f>
        <v>https://techcombank.com/thong-tin/blog/bao-nhieu-tuoi-duoc-mo-tai-khoan-ngan-hang
https://techcombank.com/thong-tin/blog/nap-tien-vao-tai-khoan-ngan-hang
https://techcombank.com/thong-tin/blog/lam-the-tin-dung</v>
      </c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28" t="str">
        <f>IFERROR(__xludf.DUMMYFUNCTION("""COMPUTED_VALUE"""),"https://techcombank.com/thong-tin/blog/lam-the-tin-dung")</f>
        <v>https://techcombank.com/thong-tin/blog/lam-the-tin-dung</v>
      </c>
      <c r="B448" s="11">
        <f>IFERROR(__xludf.DUMMYFUNCTION("""COMPUTED_VALUE"""),3.0)</f>
        <v>3</v>
      </c>
      <c r="C448" s="7" t="str">
        <f>IFERROR(__xludf.DUMMYFUNCTION("IF(A448="""","""",TEXTJOIN(CHAR(10),TRUE,FILTER('Tổng hợp 75 trang đích'!$B$2:$B$3400,'Tổng hợp 75 trang đích'!$I$2:$I$3400=A448)))"),"https://techcombank.com/thong-tin/blog/bao-nhieu-tuoi-duoc-mo-tai-khoan-ngan-hang
https://techcombank.com/thong-tin/blog/cic-la-gi
https://techcombank.com/thong-tin/blog/cach-huy-the-tin-dung")</f>
        <v>https://techcombank.com/thong-tin/blog/bao-nhieu-tuoi-duoc-mo-tai-khoan-ngan-hang
https://techcombank.com/thong-tin/blog/cic-la-gi
https://techcombank.com/thong-tin/blog/cach-huy-the-tin-dung</v>
      </c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28" t="str">
        <f>IFERROR(__xludf.DUMMYFUNCTION("""COMPUTED_VALUE"""),"https://techcombank.com/thong-tin/blog/lam-the-tin-dung-co-mat-phi-khong")</f>
        <v>https://techcombank.com/thong-tin/blog/lam-the-tin-dung-co-mat-phi-khong</v>
      </c>
      <c r="B449" s="11">
        <f>IFERROR(__xludf.DUMMYFUNCTION("""COMPUTED_VALUE"""),3.0)</f>
        <v>3</v>
      </c>
      <c r="C449" s="7" t="str">
        <f>IFERROR(__xludf.DUMMYFUNCTION("IF(A449="""","""",TEXTJOIN(CHAR(10),TRUE,FILTER('Tổng hợp 75 trang đích'!$B$2:$B$3400,'Tổng hợp 75 trang đích'!$I$2:$I$3400=A449)))"),"https://techcombank.com/thong-tin/blog/bao-nhieu-tuoi-duoc-mo-tai-khoan-ngan-hang
https://techcombank.com/thong-tin/blog/cic-la-gi
https://techcombank.com/thong-tin/blog/lam-the-tin-dung")</f>
        <v>https://techcombank.com/thong-tin/blog/bao-nhieu-tuoi-duoc-mo-tai-khoan-ngan-hang
https://techcombank.com/thong-tin/blog/cic-la-gi
https://techcombank.com/thong-tin/blog/lam-the-tin-dung</v>
      </c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28" t="str">
        <f>IFERROR(__xludf.DUMMYFUNCTION("""COMPUTED_VALUE"""),"https://techcombank.com/thong-tin/blog/lam-the-visa-o-dau")</f>
        <v>https://techcombank.com/thong-tin/blog/lam-the-visa-o-dau</v>
      </c>
      <c r="B450" s="11">
        <f>IFERROR(__xludf.DUMMYFUNCTION("""COMPUTED_VALUE"""),3.0)</f>
        <v>3</v>
      </c>
      <c r="C450" s="7" t="str">
        <f>IFERROR(__xludf.DUMMYFUNCTION("IF(A450="""","""",TEXTJOIN(CHAR(10),TRUE,FILTER('Tổng hợp 75 trang đích'!$B$2:$B$3400,'Tổng hợp 75 trang đích'!$I$2:$I$3400=A450)))"),"https://techcombank.com/thong-tin/blog/ngan-hang-uy-tin
https://techcombank.com/thong-tin/blog/bao-nhieu-tuoi-duoc-mo-tai-khoan-ngan-hang
https://techcombank.com/thong-tin/blog/cic-la-gi")</f>
        <v>https://techcombank.com/thong-tin/blog/ngan-hang-uy-tin
https://techcombank.com/thong-tin/blog/bao-nhieu-tuoi-duoc-mo-tai-khoan-ngan-hang
https://techcombank.com/thong-tin/blog/cic-la-gi</v>
      </c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28" t="str">
        <f>IFERROR(__xludf.DUMMYFUNCTION("""COMPUTED_VALUE"""),"https://techcombank.com/thong-tin/blog/lap-ke-hoach-chi-tieu-ca-nhan")</f>
        <v>https://techcombank.com/thong-tin/blog/lap-ke-hoach-chi-tieu-ca-nhan</v>
      </c>
      <c r="B451" s="11">
        <f>IFERROR(__xludf.DUMMYFUNCTION("""COMPUTED_VALUE"""),3.0)</f>
        <v>3</v>
      </c>
      <c r="C451" s="7" t="str">
        <f>IFERROR(__xludf.DUMMYFUNCTION("IF(A451="""","""",TEXTJOIN(CHAR(10),TRUE,FILTER('Tổng hợp 75 trang đích'!$B$2:$B$3400,'Tổng hợp 75 trang đích'!$I$2:$I$3400=A451)))"),"https://techcombank.com/thong-tin/blog/lai-suat-tiet-kiem
https://techcombank.com/thong-tin/blog/cach-tinh-lai-suat-tien-gui-tiet-kiem
https://techcombank.com/cong-cu-tien-ich/cong-cu-tinh-toan/bang-tinh-lai-suat-tiet-kiem")</f>
        <v>https://techcombank.com/thong-tin/blog/lai-suat-tiet-kiem
https://techcombank.com/thong-tin/blog/cach-tinh-lai-suat-tien-gui-tiet-kiem
https://techcombank.com/cong-cu-tien-ich/cong-cu-tinh-toan/bang-tinh-lai-suat-tiet-kiem</v>
      </c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28" t="str">
        <f>IFERROR(__xludf.DUMMYFUNCTION("""COMPUTED_VALUE"""),"https://techcombank.com/thong-tin/blog/loi-nhuan-rong")</f>
        <v>https://techcombank.com/thong-tin/blog/loi-nhuan-rong</v>
      </c>
      <c r="B452" s="11">
        <f>IFERROR(__xludf.DUMMYFUNCTION("""COMPUTED_VALUE"""),3.0)</f>
        <v>3</v>
      </c>
      <c r="C452" s="7" t="str">
        <f>IFERROR(__xludf.DUMMYFUNCTION("IF(A452="""","""",TEXTJOIN(CHAR(10),TRUE,FILTER('Tổng hợp 75 trang đích'!$B$2:$B$3400,'Tổng hợp 75 trang đích'!$I$2:$I$3400=A452)))"),"https://techcombank.com/thong-tin/blog/thue-thu-nhap-doanh-nghiep
https://techcombank.com/thong-tin/blog/cach-tinh-thue-thu-nhap-doanh-nghiep
https://techcombank.com/thong-tin/blog/eco-card")</f>
        <v>https://techcombank.com/thong-tin/blog/thue-thu-nhap-doanh-nghiep
https://techcombank.com/thong-tin/blog/cach-tinh-thue-thu-nhap-doanh-nghiep
https://techcombank.com/thong-tin/blog/eco-card</v>
      </c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28" t="str">
        <f>IFERROR(__xludf.DUMMYFUNCTION("""COMPUTED_VALUE"""),"https://techcombank.com/thong-tin/blog/luu-y-khi-su-dung-the-tin-dung")</f>
        <v>https://techcombank.com/thong-tin/blog/luu-y-khi-su-dung-the-tin-dung</v>
      </c>
      <c r="B453" s="11">
        <f>IFERROR(__xludf.DUMMYFUNCTION("""COMPUTED_VALUE"""),3.0)</f>
        <v>3</v>
      </c>
      <c r="C453" s="7" t="str">
        <f>IFERROR(__xludf.DUMMYFUNCTION("IF(A453="""","""",TEXTJOIN(CHAR(10),TRUE,FILTER('Tổng hợp 75 trang đích'!$B$2:$B$3400,'Tổng hợp 75 trang đích'!$I$2:$I$3400=A453)))"),"https://techcombank.com/thong-tin/blog/cic-la-gi
https://techcombank.com/thong-tin/blog/rut-tien-mat-tu-the-tin-dung
https://techcombank.com/thong-tin/blog/xep-hang-tin-dung")</f>
        <v>https://techcombank.com/thong-tin/blog/cic-la-gi
https://techcombank.com/thong-tin/blog/rut-tien-mat-tu-the-tin-dung
https://techcombank.com/thong-tin/blog/xep-hang-tin-dung</v>
      </c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28" t="str">
        <f>IFERROR(__xludf.DUMMYFUNCTION("""COMPUTED_VALUE"""),"https://techcombank.com/thong-tin/blog/mat-so-dien-thoai-dang-ky-tai-khoan-ngan-hang")</f>
        <v>https://techcombank.com/thong-tin/blog/mat-so-dien-thoai-dang-ky-tai-khoan-ngan-hang</v>
      </c>
      <c r="B454" s="11">
        <f>IFERROR(__xludf.DUMMYFUNCTION("""COMPUTED_VALUE"""),3.0)</f>
        <v>3</v>
      </c>
      <c r="C454" s="7" t="str">
        <f>IFERROR(__xludf.DUMMYFUNCTION("IF(A454="""","""",TEXTJOIN(CHAR(10),TRUE,FILTER('Tổng hợp 75 trang đích'!$B$2:$B$3400,'Tổng hợp 75 trang đích'!$I$2:$I$3400=A454)))"),"https://techcombank.com/thong-tin/blog/cach-nap-the-viettel
https://techcombank.com/thong-tin/blog/cach-mo-tai-khoan
https://techcombank.com/thong-tin/blog/ten-dang-nhap-tai-khoan-ngan-hang-la-gi")</f>
        <v>https://techcombank.com/thong-tin/blog/cach-nap-the-viettel
https://techcombank.com/thong-tin/blog/cach-mo-tai-khoan
https://techcombank.com/thong-tin/blog/ten-dang-nhap-tai-khoan-ngan-hang-la-gi</v>
      </c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28" t="str">
        <f>IFERROR(__xludf.DUMMYFUNCTION("""COMPUTED_VALUE"""),"https://techcombank.com/thong-tin/blog/may-tinh-tien")</f>
        <v>https://techcombank.com/thong-tin/blog/may-tinh-tien</v>
      </c>
      <c r="B455" s="11">
        <f>IFERROR(__xludf.DUMMYFUNCTION("""COMPUTED_VALUE"""),3.0)</f>
        <v>3</v>
      </c>
      <c r="C455" s="7" t="str">
        <f>IFERROR(__xludf.DUMMYFUNCTION("IF(A455="""","""",TEXTJOIN(CHAR(10),TRUE,FILTER('Tổng hợp 75 trang đích'!$B$2:$B$3400,'Tổng hợp 75 trang đích'!$I$2:$I$3400=A455)))"),"https://techcombank.com/thong-tin/blog/nop-thue-dat-qua-ngan-hang
https://techcombank.com/thong-tin/blog/thue-vat-la-gi
https://techcombank.com/thong-tin/blog/cach-tinh-tien-dien-sinh-hoat")</f>
        <v>https://techcombank.com/thong-tin/blog/nop-thue-dat-qua-ngan-hang
https://techcombank.com/thong-tin/blog/thue-vat-la-gi
https://techcombank.com/thong-tin/blog/cach-tinh-tien-dien-sinh-hoat</v>
      </c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28" t="str">
        <f>IFERROR(__xludf.DUMMYFUNCTION("""COMPUTED_VALUE"""),"https://techcombank.com/thong-tin/blog/mo-tai-khoan-ngan-hang-bang-so-dien-thoai")</f>
        <v>https://techcombank.com/thong-tin/blog/mo-tai-khoan-ngan-hang-bang-so-dien-thoai</v>
      </c>
      <c r="B456" s="11">
        <f>IFERROR(__xludf.DUMMYFUNCTION("""COMPUTED_VALUE"""),3.0)</f>
        <v>3</v>
      </c>
      <c r="C456" s="7" t="str">
        <f>IFERROR(__xludf.DUMMYFUNCTION("IF(A456="""","""",TEXTJOIN(CHAR(10),TRUE,FILTER('Tổng hợp 75 trang đích'!$B$2:$B$3400,'Tổng hợp 75 trang đích'!$I$2:$I$3400=A456)))"),"https://techcombank.com/thong-tin/blog/cach-nap-the-viettel
https://techcombank.com/thong-tin/blog/mo-tai-khoan-ngan-hang-duoi-18-tuoi
https://techcombank.com/thong-tin/blog/cach-quet-nfc-cccd-tren-iphone")</f>
        <v>https://techcombank.com/thong-tin/blog/cach-nap-the-viettel
https://techcombank.com/thong-tin/blog/mo-tai-khoan-ngan-hang-duoi-18-tuoi
https://techcombank.com/thong-tin/blog/cach-quet-nfc-cccd-tren-iphone</v>
      </c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28" t="str">
        <f>IFERROR(__xludf.DUMMYFUNCTION("""COMPUTED_VALUE"""),"https://techcombank.com/thong-tin/blog/mo-the-tin-dung-co-loi-ich-gi")</f>
        <v>https://techcombank.com/thong-tin/blog/mo-the-tin-dung-co-loi-ich-gi</v>
      </c>
      <c r="B457" s="11">
        <f>IFERROR(__xludf.DUMMYFUNCTION("""COMPUTED_VALUE"""),3.0)</f>
        <v>3</v>
      </c>
      <c r="C457" s="7" t="str">
        <f>IFERROR(__xludf.DUMMYFUNCTION("IF(A457="""","""",TEXTJOIN(CHAR(10),TRUE,FILTER('Tổng hợp 75 trang đích'!$B$2:$B$3400,'Tổng hợp 75 trang đích'!$I$2:$I$3400=A457)))"),"https://techcombank.com/thong-tin/blog/cic-la-gi
https://techcombank.com/khach-hang-ca-nhan/chi-tieu/the/the-tin-dung/techcombank-everyday
https://techcombank.com/thong-tin/blog/cach-huy-the-tin-dung")</f>
        <v>https://techcombank.com/thong-tin/blog/cic-la-gi
https://techcombank.com/khach-hang-ca-nhan/chi-tieu/the/the-tin-dung/techcombank-everyday
https://techcombank.com/thong-tin/blog/cach-huy-the-tin-dung</v>
      </c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28" t="str">
        <f>IFERROR(__xludf.DUMMYFUNCTION("""COMPUTED_VALUE"""),"https://techcombank.com/thong-tin/blog/mua-chung-chi-quy")</f>
        <v>https://techcombank.com/thong-tin/blog/mua-chung-chi-quy</v>
      </c>
      <c r="B458" s="11">
        <f>IFERROR(__xludf.DUMMYFUNCTION("""COMPUTED_VALUE"""),3.0)</f>
        <v>3</v>
      </c>
      <c r="C458" s="7" t="str">
        <f>IFERROR(__xludf.DUMMYFUNCTION("IF(A458="""","""",TEXTJOIN(CHAR(10),TRUE,FILTER('Tổng hợp 75 trang đích'!$B$2:$B$3400,'Tổng hợp 75 trang đích'!$I$2:$I$3400=A458)))"),"https://techcombank.com/thong-tin/blog/thue-thu-nhap-doanh-nghiep
https://techcombank.com/thong-tin/blog/cach-tinh-thue-thu-nhap-doanh-nghiep
https://techcombank.com/thong-tin/blog/phuong-phap-dau-tu-chung-chi-quy")</f>
        <v>https://techcombank.com/thong-tin/blog/thue-thu-nhap-doanh-nghiep
https://techcombank.com/thong-tin/blog/cach-tinh-thue-thu-nhap-doanh-nghiep
https://techcombank.com/thong-tin/blog/phuong-phap-dau-tu-chung-chi-quy</v>
      </c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28" t="str">
        <f>IFERROR(__xludf.DUMMYFUNCTION("""COMPUTED_VALUE"""),"https://techcombank.com/thong-tin/blog/nap-xu-tiktok")</f>
        <v>https://techcombank.com/thong-tin/blog/nap-xu-tiktok</v>
      </c>
      <c r="B459" s="11">
        <f>IFERROR(__xludf.DUMMYFUNCTION("""COMPUTED_VALUE"""),3.0)</f>
        <v>3</v>
      </c>
      <c r="C459" s="7" t="str">
        <f>IFERROR(__xludf.DUMMYFUNCTION("IF(A459="""","""",TEXTJOIN(CHAR(10),TRUE,FILTER('Tổng hợp 75 trang đích'!$B$2:$B$3400,'Tổng hợp 75 trang đích'!$I$2:$I$3400=A459)))"),"https://techcombank.com/thong-tin/blog/cic-la-gi
https://techcombank.com/thong-tin/blog/lai-suat-tiet-kiem
https://techcombank.com/thong-tin/blog/cach-tinh-lai-suat-tien-gui-tiet-kiem")</f>
        <v>https://techcombank.com/thong-tin/blog/cic-la-gi
https://techcombank.com/thong-tin/blog/lai-suat-tiet-kiem
https://techcombank.com/thong-tin/blog/cach-tinh-lai-suat-tien-gui-tiet-kiem</v>
      </c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28" t="str">
        <f>IFERROR(__xludf.DUMMYFUNCTION("""COMPUTED_VALUE"""),"https://techcombank.com/thong-tin/blog/nen-mua-xe-o-to-dien-hay-xe-xang")</f>
        <v>https://techcombank.com/thong-tin/blog/nen-mua-xe-o-to-dien-hay-xe-xang</v>
      </c>
      <c r="B460" s="11">
        <f>IFERROR(__xludf.DUMMYFUNCTION("""COMPUTED_VALUE"""),3.0)</f>
        <v>3</v>
      </c>
      <c r="C460" s="7" t="str">
        <f>IFERROR(__xludf.DUMMYFUNCTION("IF(A460="""","""",TEXTJOIN(CHAR(10),TRUE,FILTER('Tổng hợp 75 trang đích'!$B$2:$B$3400,'Tổng hợp 75 trang đích'!$I$2:$I$3400=A460)))"),"https://techcombank.com/thong-tin/blog/lai-suat-vay-mua-o-to
https://techcombank.com/cong-cu-tien-ich/cong-cu-tinh-toan/bang-tinh-lai-suat-vay
https://techcombank.com/thong-tin/blog/app-vay-tien-nhanh")</f>
        <v>https://techcombank.com/thong-tin/blog/lai-suat-vay-mua-o-to
https://techcombank.com/cong-cu-tien-ich/cong-cu-tinh-toan/bang-tinh-lai-suat-vay
https://techcombank.com/thong-tin/blog/app-vay-tien-nhanh</v>
      </c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28" t="str">
        <f>IFERROR(__xludf.DUMMYFUNCTION("""COMPUTED_VALUE"""),"https://techcombank.com/thong-tin/blog/ngan-hang-so")</f>
        <v>https://techcombank.com/thong-tin/blog/ngan-hang-so</v>
      </c>
      <c r="B461" s="11">
        <f>IFERROR(__xludf.DUMMYFUNCTION("""COMPUTED_VALUE"""),3.0)</f>
        <v>3</v>
      </c>
      <c r="C461" s="7" t="str">
        <f>IFERROR(__xludf.DUMMYFUNCTION("IF(A461="""","""",TEXTJOIN(CHAR(10),TRUE,FILTER('Tổng hợp 75 trang đích'!$B$2:$B$3400,'Tổng hợp 75 trang đích'!$I$2:$I$3400=A461)))"),"https://techcombank.com/thong-tin/blog/lai-suat-tiet-kiem
https://techcombank.com/thong-tin/blog/cach-tinh-lai-suat-tien-gui-tiet-kiem
https://techcombank.com/cong-cu-tien-ich/cong-cu-tinh-toan/bang-tinh-lai-suat-tiet-kiem")</f>
        <v>https://techcombank.com/thong-tin/blog/lai-suat-tiet-kiem
https://techcombank.com/thong-tin/blog/cach-tinh-lai-suat-tien-gui-tiet-kiem
https://techcombank.com/cong-cu-tien-ich/cong-cu-tinh-toan/bang-tinh-lai-suat-tiet-kiem</v>
      </c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28" t="str">
        <f>IFERROR(__xludf.DUMMYFUNCTION("""COMPUTED_VALUE"""),"https://techcombank.com/thong-tin/blog/nha-dau-tu-giao-dich-trai-phieu-truc-tuyen-tang-manh-tro-lai")</f>
        <v>https://techcombank.com/thong-tin/blog/nha-dau-tu-giao-dich-trai-phieu-truc-tuyen-tang-manh-tro-lai</v>
      </c>
      <c r="B462" s="11">
        <f>IFERROR(__xludf.DUMMYFUNCTION("""COMPUTED_VALUE"""),3.0)</f>
        <v>3</v>
      </c>
      <c r="C462" s="7" t="str">
        <f>IFERROR(__xludf.DUMMYFUNCTION("IF(A462="""","""",TEXTJOIN(CHAR(10),TRUE,FILTER('Tổng hợp 75 trang đích'!$B$2:$B$3400,'Tổng hợp 75 trang đích'!$I$2:$I$3400=A462)))"),"https://techcombank.com/thong-tin/blog/thue-thu-nhap-doanh-nghiep
https://techcombank.com/thong-tin/blog/cach-tinh-thue-thu-nhap-doanh-nghiep
https://techcombank.com/thong-tin/blog/phuong-phap-dau-tu-chung-chi-quy")</f>
        <v>https://techcombank.com/thong-tin/blog/thue-thu-nhap-doanh-nghiep
https://techcombank.com/thong-tin/blog/cach-tinh-thue-thu-nhap-doanh-nghiep
https://techcombank.com/thong-tin/blog/phuong-phap-dau-tu-chung-chi-quy</v>
      </c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28" t="str">
        <f>IFERROR(__xludf.DUMMYFUNCTION("""COMPUTED_VALUE"""),"https://techcombank.com/thong-tin/blog/nop-thue-dat-qua-ngan-hang")</f>
        <v>https://techcombank.com/thong-tin/blog/nop-thue-dat-qua-ngan-hang</v>
      </c>
      <c r="B463" s="11">
        <f>IFERROR(__xludf.DUMMYFUNCTION("""COMPUTED_VALUE"""),3.0)</f>
        <v>3</v>
      </c>
      <c r="C463" s="7" t="str">
        <f>IFERROR(__xludf.DUMMYFUNCTION("IF(A463="""","""",TEXTJOIN(CHAR(10),TRUE,FILTER('Tổng hợp 75 trang đích'!$B$2:$B$3400,'Tổng hợp 75 trang đích'!$I$2:$I$3400=A463)))"),"https://techcombank.com/thong-tin/blog/cach-nop-thue-dien-tu
https://techcombank.com/thong-tin/blog/cach-tinh-thue-thu-nhap-ca-nhan-2025
https://techcombank.com/thong-tin/blog/kiem-tra-thue-thu-nhap-ca-nhan")</f>
        <v>https://techcombank.com/thong-tin/blog/cach-nop-thue-dien-tu
https://techcombank.com/thong-tin/blog/cach-tinh-thue-thu-nhap-ca-nhan-2025
https://techcombank.com/thong-tin/blog/kiem-tra-thue-thu-nhap-ca-nhan</v>
      </c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28" t="str">
        <f>IFERROR(__xludf.DUMMYFUNCTION("""COMPUTED_VALUE"""),"https://techcombank.com/thong-tin/blog/nop-thue-hai-quan")</f>
        <v>https://techcombank.com/thong-tin/blog/nop-thue-hai-quan</v>
      </c>
      <c r="B464" s="11">
        <f>IFERROR(__xludf.DUMMYFUNCTION("""COMPUTED_VALUE"""),3.0)</f>
        <v>3</v>
      </c>
      <c r="C464" s="7" t="str">
        <f>IFERROR(__xludf.DUMMYFUNCTION("IF(A464="""","""",TEXTJOIN(CHAR(10),TRUE,FILTER('Tổng hợp 75 trang đích'!$B$2:$B$3400,'Tổng hợp 75 trang đích'!$I$2:$I$3400=A464)))"),"https://techcombank.com/thong-tin/blog/nop-thue-dat-qua-ngan-hang
https://techcombank.com/thong-tin/blog/cach-nop-thue-dien-tu
https://techcombank.com/thong-tin/blog/tra-cuu-no-thue-doanh-nghiep")</f>
        <v>https://techcombank.com/thong-tin/blog/nop-thue-dat-qua-ngan-hang
https://techcombank.com/thong-tin/blog/cach-nop-thue-dien-tu
https://techcombank.com/thong-tin/blog/tra-cuu-no-thue-doanh-nghiep</v>
      </c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28" t="str">
        <f>IFERROR(__xludf.DUMMYFUNCTION("""COMPUTED_VALUE"""),"https://techcombank.com/thong-tin/blog/npv-la-gi")</f>
        <v>https://techcombank.com/thong-tin/blog/npv-la-gi</v>
      </c>
      <c r="B465" s="11">
        <f>IFERROR(__xludf.DUMMYFUNCTION("""COMPUTED_VALUE"""),3.0)</f>
        <v>3</v>
      </c>
      <c r="C465" s="7" t="str">
        <f>IFERROR(__xludf.DUMMYFUNCTION("IF(A465="""","""",TEXTJOIN(CHAR(10),TRUE,FILTER('Tổng hợp 75 trang đích'!$B$2:$B$3400,'Tổng hợp 75 trang đích'!$I$2:$I$3400=A465)))"),"https://techcombank.com/thong-tin/blog/lai-suat-tiet-kiem
https://techcombank.com/thong-tin/blog/cach-tiet-kiem-tien
https://techcombank.com/thong-tin/blog/phuong-phap-dau-tu-chung-chi-quy")</f>
        <v>https://techcombank.com/thong-tin/blog/lai-suat-tiet-kiem
https://techcombank.com/thong-tin/blog/cach-tiet-kiem-tien
https://techcombank.com/thong-tin/blog/phuong-phap-dau-tu-chung-chi-quy</v>
      </c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28" t="str">
        <f>IFERROR(__xludf.DUMMYFUNCTION("""COMPUTED_VALUE"""),"https://techcombank.com/thong-tin/blog/phat-cham-dang-ky-thue-ho-kinh-doanh")</f>
        <v>https://techcombank.com/thong-tin/blog/phat-cham-dang-ky-thue-ho-kinh-doanh</v>
      </c>
      <c r="B466" s="11">
        <f>IFERROR(__xludf.DUMMYFUNCTION("""COMPUTED_VALUE"""),3.0)</f>
        <v>3</v>
      </c>
      <c r="C466" s="7" t="str">
        <f>IFERROR(__xludf.DUMMYFUNCTION("IF(A466="""","""",TEXTJOIN(CHAR(10),TRUE,FILTER('Tổng hợp 75 trang đích'!$B$2:$B$3400,'Tổng hợp 75 trang đích'!$I$2:$I$3400=A466)))"),"https://techcombank.com/thong-tin/blog/nop-thue-dat-qua-ngan-hang
https://techcombank.com/thong-tin/blog/cach-nop-thue-dien-tu
https://techcombank.com/thong-tin/blog/rui-ro-khi-gui-tiet-kiem-online")</f>
        <v>https://techcombank.com/thong-tin/blog/nop-thue-dat-qua-ngan-hang
https://techcombank.com/thong-tin/blog/cach-nop-thue-dien-tu
https://techcombank.com/thong-tin/blog/rui-ro-khi-gui-tiet-kiem-online</v>
      </c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28" t="str">
        <f>IFERROR(__xludf.DUMMYFUNCTION("""COMPUTED_VALUE"""),"https://techcombank.com/thong-tin/blog/quan-ly-chuoi-cua-hang")</f>
        <v>https://techcombank.com/thong-tin/blog/quan-ly-chuoi-cua-hang</v>
      </c>
      <c r="B467" s="11">
        <f>IFERROR(__xludf.DUMMYFUNCTION("""COMPUTED_VALUE"""),3.0)</f>
        <v>3</v>
      </c>
      <c r="C467" s="7" t="str">
        <f>IFERROR(__xludf.DUMMYFUNCTION("IF(A467="""","""",TEXTJOIN(CHAR(10),TRUE,FILTER('Tổng hợp 75 trang đích'!$B$2:$B$3400,'Tổng hợp 75 trang đích'!$I$2:$I$3400=A467)))"),"https://techcombank.com/thong-tin/blog/mo-hinh-kinh-doanh-la-gi
https://techcombank.com/thong-tin/blog/lai-suat-tiet-kiem
https://techcombank.com/thong-tin/blog/cach-tinh-lai-suat-tien-gui-tiet-kiem")</f>
        <v>https://techcombank.com/thong-tin/blog/mo-hinh-kinh-doanh-la-gi
https://techcombank.com/thong-tin/blog/lai-suat-tiet-kiem
https://techcombank.com/thong-tin/blog/cach-tinh-lai-suat-tien-gui-tiet-kiem</v>
      </c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28" t="str">
        <f>IFERROR(__xludf.DUMMYFUNCTION("""COMPUTED_VALUE"""),"https://techcombank.com/thong-tin/blog/quan-ly-tai-chinh-cho-dan-van-phong")</f>
        <v>https://techcombank.com/thong-tin/blog/quan-ly-tai-chinh-cho-dan-van-phong</v>
      </c>
      <c r="B468" s="11">
        <f>IFERROR(__xludf.DUMMYFUNCTION("""COMPUTED_VALUE"""),3.0)</f>
        <v>3</v>
      </c>
      <c r="C468" s="7" t="str">
        <f>IFERROR(__xludf.DUMMYFUNCTION("IF(A468="""","""",TEXTJOIN(CHAR(10),TRUE,FILTER('Tổng hợp 75 trang đích'!$B$2:$B$3400,'Tổng hợp 75 trang đích'!$I$2:$I$3400=A468)))"),"https://techcombank.com/thong-tin/blog/chung-chi-tien-gui-la-gi
https://techcombank.com/thong-tin/blog/lai-suat-tiet-kiem
https://techcombank.com/thong-tin/blog/cach-tinh-lai-suat-tien-gui-tiet-kiem")</f>
        <v>https://techcombank.com/thong-tin/blog/chung-chi-tien-gui-la-gi
https://techcombank.com/thong-tin/blog/lai-suat-tiet-kiem
https://techcombank.com/thong-tin/blog/cach-tinh-lai-suat-tien-gui-tiet-kiem</v>
      </c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28" t="str">
        <f>IFERROR(__xludf.DUMMYFUNCTION("""COMPUTED_VALUE"""),"https://techcombank.com/thong-tin/blog/quan-ly-tai-chinh-doanh-nghiep-la-gi")</f>
        <v>https://techcombank.com/thong-tin/blog/quan-ly-tai-chinh-doanh-nghiep-la-gi</v>
      </c>
      <c r="B469" s="11">
        <f>IFERROR(__xludf.DUMMYFUNCTION("""COMPUTED_VALUE"""),3.0)</f>
        <v>3</v>
      </c>
      <c r="C469" s="7" t="str">
        <f>IFERROR(__xludf.DUMMYFUNCTION("IF(A469="""","""",TEXTJOIN(CHAR(10),TRUE,FILTER('Tổng hợp 75 trang đích'!$B$2:$B$3400,'Tổng hợp 75 trang đích'!$I$2:$I$3400=A469)))"),"https://techcombank.com/thong-tin/blog/thue-thu-nhap-doanh-nghiep
https://techcombank.com/thong-tin/blog/cach-tinh-thue-thu-nhap-doanh-nghiep
https://techcombank.com/thong-tin/blog/cach-tiet-kiem-tien")</f>
        <v>https://techcombank.com/thong-tin/blog/thue-thu-nhap-doanh-nghiep
https://techcombank.com/thong-tin/blog/cach-tinh-thue-thu-nhap-doanh-nghiep
https://techcombank.com/thong-tin/blog/cach-tiet-kiem-tien</v>
      </c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28" t="str">
        <f>IFERROR(__xludf.DUMMYFUNCTION("""COMPUTED_VALUE"""),"https://techcombank.com/thong-tin/blog/quy-du-phong-tai-chinh-la-gi")</f>
        <v>https://techcombank.com/thong-tin/blog/quy-du-phong-tai-chinh-la-gi</v>
      </c>
      <c r="B470" s="11">
        <f>IFERROR(__xludf.DUMMYFUNCTION("""COMPUTED_VALUE"""),3.0)</f>
        <v>3</v>
      </c>
      <c r="C470" s="7" t="str">
        <f>IFERROR(__xludf.DUMMYFUNCTION("IF(A470="""","""",TEXTJOIN(CHAR(10),TRUE,FILTER('Tổng hợp 75 trang đích'!$B$2:$B$3400,'Tổng hợp 75 trang đích'!$I$2:$I$3400=A470)))"),"https://techcombank.com/thong-tin/blog/lai-suat-tiet-kiem
https://techcombank.com/thong-tin/blog/cach-tinh-lai-suat-tien-gui-tiet-kiem
https://techcombank.com/cong-cu-tien-ich/cong-cu-tinh-toan/bang-tinh-lai-suat-tiet-kiem")</f>
        <v>https://techcombank.com/thong-tin/blog/lai-suat-tiet-kiem
https://techcombank.com/thong-tin/blog/cach-tinh-lai-suat-tien-gui-tiet-kiem
https://techcombank.com/cong-cu-tien-ich/cong-cu-tinh-toan/bang-tinh-lai-suat-tiet-kiem</v>
      </c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28" t="str">
        <f>IFERROR(__xludf.DUMMYFUNCTION("""COMPUTED_VALUE"""),"https://techcombank.com/thong-tin/blog/rut-tien-bang-ma-qr-la-gi-cach-thuc-hien-nhu-the-nao")</f>
        <v>https://techcombank.com/thong-tin/blog/rut-tien-bang-ma-qr-la-gi-cach-thuc-hien-nhu-the-nao</v>
      </c>
      <c r="B471" s="11">
        <f>IFERROR(__xludf.DUMMYFUNCTION("""COMPUTED_VALUE"""),3.0)</f>
        <v>3</v>
      </c>
      <c r="C471" s="7" t="str">
        <f>IFERROR(__xludf.DUMMYFUNCTION("IF(A471="""","""",TEXTJOIN(CHAR(10),TRUE,FILTER('Tổng hợp 75 trang đích'!$B$2:$B$3400,'Tổng hợp 75 trang đích'!$I$2:$I$3400=A471)))"),"https://techcombank.com/thong-tin/blog/nap-tien-vao-tai-khoan-ngan-hang
https://techcombank.com/thong-tin/blog/rut-tien-mat-tu-the-tin-dung
https://techcombank.com/thong-tin/blog/gui-ma-qr-ngan-hang")</f>
        <v>https://techcombank.com/thong-tin/blog/nap-tien-vao-tai-khoan-ngan-hang
https://techcombank.com/thong-tin/blog/rut-tien-mat-tu-the-tin-dung
https://techcombank.com/thong-tin/blog/gui-ma-qr-ngan-hang</v>
      </c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28" t="str">
        <f>IFERROR(__xludf.DUMMYFUNCTION("""COMPUTED_VALUE"""),"https://techcombank.com/thong-tin/blog/rut-tien-mat-tu-the-tin-dung")</f>
        <v>https://techcombank.com/thong-tin/blog/rut-tien-mat-tu-the-tin-dung</v>
      </c>
      <c r="B472" s="11">
        <f>IFERROR(__xludf.DUMMYFUNCTION("""COMPUTED_VALUE"""),3.0)</f>
        <v>3</v>
      </c>
      <c r="C472" s="7" t="str">
        <f>IFERROR(__xludf.DUMMYFUNCTION("IF(A472="""","""",TEXTJOIN(CHAR(10),TRUE,FILTER('Tổng hợp 75 trang đích'!$B$2:$B$3400,'Tổng hợp 75 trang đích'!$I$2:$I$3400=A472)))"),"https://techcombank.com/thong-tin/blog/cic-la-gi
https://techcombank.com/cong-cu-tien-ich/cong-cu-tinh-toan/bang-tinh-lai-suat-vay
https://techcombank.com/thong-tin/blog/app-vay-tien-nhanh")</f>
        <v>https://techcombank.com/thong-tin/blog/cic-la-gi
https://techcombank.com/cong-cu-tien-ich/cong-cu-tinh-toan/bang-tinh-lai-suat-vay
https://techcombank.com/thong-tin/blog/app-vay-tien-nhanh</v>
      </c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28" t="str">
        <f>IFERROR(__xludf.DUMMYFUNCTION("""COMPUTED_VALUE"""),"https://techcombank.com/thong-tin/blog/sai-lam-ve-tai-chinh-ca-nhan")</f>
        <v>https://techcombank.com/thong-tin/blog/sai-lam-ve-tai-chinh-ca-nhan</v>
      </c>
      <c r="B473" s="11">
        <f>IFERROR(__xludf.DUMMYFUNCTION("""COMPUTED_VALUE"""),3.0)</f>
        <v>3</v>
      </c>
      <c r="C473" s="7" t="str">
        <f>IFERROR(__xludf.DUMMYFUNCTION("IF(A473="""","""",TEXTJOIN(CHAR(10),TRUE,FILTER('Tổng hợp 75 trang đích'!$B$2:$B$3400,'Tổng hợp 75 trang đích'!$I$2:$I$3400=A473)))"),"https://techcombank.com/thong-tin/blog/bao-nhieu-tuoi-duoc-mo-tai-khoan-ngan-hang
https://techcombank.com/thong-tin/blog/mo-tai-khoan-ngan-hang-duoi-18-tuoi
https://techcombank.com/thong-tin/blog/cach-tiet-kiem-tien")</f>
        <v>https://techcombank.com/thong-tin/blog/bao-nhieu-tuoi-duoc-mo-tai-khoan-ngan-hang
https://techcombank.com/thong-tin/blog/mo-tai-khoan-ngan-hang-duoi-18-tuoi
https://techcombank.com/thong-tin/blog/cach-tiet-kiem-tien</v>
      </c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28" t="str">
        <f>IFERROR(__xludf.DUMMYFUNCTION("""COMPUTED_VALUE"""),"https://techcombank.com/thong-tin/blog/sao-ke-luong")</f>
        <v>https://techcombank.com/thong-tin/blog/sao-ke-luong</v>
      </c>
      <c r="B474" s="11">
        <f>IFERROR(__xludf.DUMMYFUNCTION("""COMPUTED_VALUE"""),3.0)</f>
        <v>3</v>
      </c>
      <c r="C474" s="7" t="str">
        <f>IFERROR(__xludf.DUMMYFUNCTION("IF(A474="""","""",TEXTJOIN(CHAR(10),TRUE,FILTER('Tổng hợp 75 trang đích'!$B$2:$B$3400,'Tổng hợp 75 trang đích'!$I$2:$I$3400=A474)))"),"https://techcombank.com/thong-tin/blog/cach-tinh-thue-thu-nhap-ca-nhan-2025
https://techcombank.com/thong-tin/blog/cach-sao-ke-tai-khoan-ngan-hang
https://techcombank.com/thong-tin/blog/thue-thu-nhap-ca-nhan")</f>
        <v>https://techcombank.com/thong-tin/blog/cach-tinh-thue-thu-nhap-ca-nhan-2025
https://techcombank.com/thong-tin/blog/cach-sao-ke-tai-khoan-ngan-hang
https://techcombank.com/thong-tin/blog/thue-thu-nhap-ca-nhan</v>
      </c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28" t="str">
        <f>IFERROR(__xludf.DUMMYFUNCTION("""COMPUTED_VALUE"""),"https://techcombank.com/thong-tin/blog/sao-ke-tai-khoan-doanh-nghiep")</f>
        <v>https://techcombank.com/thong-tin/blog/sao-ke-tai-khoan-doanh-nghiep</v>
      </c>
      <c r="B475" s="11">
        <f>IFERROR(__xludf.DUMMYFUNCTION("""COMPUTED_VALUE"""),3.0)</f>
        <v>3</v>
      </c>
      <c r="C475" s="7" t="str">
        <f>IFERROR(__xludf.DUMMYFUNCTION("IF(A475="""","""",TEXTJOIN(CHAR(10),TRUE,FILTER('Tổng hợp 75 trang đích'!$B$2:$B$3400,'Tổng hợp 75 trang đích'!$I$2:$I$3400=A475)))"),"https://techcombank.com/thong-tin/blog/cong-ty-su-dung-tai-khoan-ca-nhan
https://techcombank.com/thong-tin/blog/cach-sao-ke-tai-khoan-ngan-hang
https://techcombank.com/thong-tin/blog/cach-thanh-toan-the-tin-dung")</f>
        <v>https://techcombank.com/thong-tin/blog/cong-ty-su-dung-tai-khoan-ca-nhan
https://techcombank.com/thong-tin/blog/cach-sao-ke-tai-khoan-ngan-hang
https://techcombank.com/thong-tin/blog/cach-thanh-toan-the-tin-dung</v>
      </c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28" t="str">
        <f>IFERROR(__xludf.DUMMYFUNCTION("""COMPUTED_VALUE"""),"https://techcombank.com/thong-tin/blog/so-tai-khoan-dep")</f>
        <v>https://techcombank.com/thong-tin/blog/so-tai-khoan-dep</v>
      </c>
      <c r="B476" s="11">
        <f>IFERROR(__xludf.DUMMYFUNCTION("""COMPUTED_VALUE"""),3.0)</f>
        <v>3</v>
      </c>
      <c r="C476" s="7" t="str">
        <f>IFERROR(__xludf.DUMMYFUNCTION("IF(A476="""","""",TEXTJOIN(CHAR(10),TRUE,FILTER('Tổng hợp 75 trang đích'!$B$2:$B$3400,'Tổng hợp 75 trang đích'!$I$2:$I$3400=A476)))"),"https://techcombank.com/thong-tin/blog/cach-kiem-tra-tai-khoan-ngan-hang
https://techcombank.com/thong-tin/blog/mo-tai-khoan-ngan-hang-duoi-18-tuoi
https://techcombank.com/thong-tin/blog/day-so-phat-tai-phat-loc")</f>
        <v>https://techcombank.com/thong-tin/blog/cach-kiem-tra-tai-khoan-ngan-hang
https://techcombank.com/thong-tin/blog/mo-tai-khoan-ngan-hang-duoi-18-tuoi
https://techcombank.com/thong-tin/blog/day-so-phat-tai-phat-loc</v>
      </c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28" t="str">
        <f>IFERROR(__xludf.DUMMYFUNCTION("""COMPUTED_VALUE"""),"https://techcombank.com/thong-tin/blog/tai-khoan-ngan-hang-con-0-dong-co-sao-khong")</f>
        <v>https://techcombank.com/thong-tin/blog/tai-khoan-ngan-hang-con-0-dong-co-sao-khong</v>
      </c>
      <c r="B477" s="11">
        <f>IFERROR(__xludf.DUMMYFUNCTION("""COMPUTED_VALUE"""),3.0)</f>
        <v>3</v>
      </c>
      <c r="C477" s="7" t="str">
        <f>IFERROR(__xludf.DUMMYFUNCTION("IF(A477="""","""",TEXTJOIN(CHAR(10),TRUE,FILTER('Tổng hợp 75 trang đích'!$B$2:$B$3400,'Tổng hợp 75 trang đích'!$I$2:$I$3400=A477)))"),"https://techcombank.com/thong-tin/blog/bao-nhieu-tuoi-duoc-mo-tai-khoan-ngan-hang
https://techcombank.com/thong-tin/blog/mo-tai-khoan-ngan-hang-duoi-18-tuoi
https://techcombank.com/thong-tin/blog/nap-tien-vao-tai-khoan-ngan-hang")</f>
        <v>https://techcombank.com/thong-tin/blog/bao-nhieu-tuoi-duoc-mo-tai-khoan-ngan-hang
https://techcombank.com/thong-tin/blog/mo-tai-khoan-ngan-hang-duoi-18-tuoi
https://techcombank.com/thong-tin/blog/nap-tien-vao-tai-khoan-ngan-hang</v>
      </c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28" t="str">
        <f>IFERROR(__xludf.DUMMYFUNCTION("""COMPUTED_VALUE"""),"https://techcombank.com/thong-tin/blog/tai-khoan-tiet-kiem")</f>
        <v>https://techcombank.com/thong-tin/blog/tai-khoan-tiet-kiem</v>
      </c>
      <c r="B478" s="11">
        <f>IFERROR(__xludf.DUMMYFUNCTION("""COMPUTED_VALUE"""),3.0)</f>
        <v>3</v>
      </c>
      <c r="C478" s="7" t="str">
        <f>IFERROR(__xludf.DUMMYFUNCTION("IF(A478="""","""",TEXTJOIN(CHAR(10),TRUE,FILTER('Tổng hợp 75 trang đích'!$B$2:$B$3400,'Tổng hợp 75 trang đích'!$I$2:$I$3400=A478)))"),"https://techcombank.com/thong-tin/blog/lai-suat-tiet-kiem
https://techcombank.com/thong-tin/blog/cach-tinh-lai-suat-tien-gui-tiet-kiem
https://techcombank.com/thong-tin/blog/so-tiet-kiem-ngan-hang")</f>
        <v>https://techcombank.com/thong-tin/blog/lai-suat-tiet-kiem
https://techcombank.com/thong-tin/blog/cach-tinh-lai-suat-tien-gui-tiet-kiem
https://techcombank.com/thong-tin/blog/so-tiet-kiem-ngan-hang</v>
      </c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28" t="str">
        <f>IFERROR(__xludf.DUMMYFUNCTION("""COMPUTED_VALUE"""),"https://techcombank.com/thong-tin/blog/thanh-toan-hoa-don-tieu-dung")</f>
        <v>https://techcombank.com/thong-tin/blog/thanh-toan-hoa-don-tieu-dung</v>
      </c>
      <c r="B479" s="11">
        <f>IFERROR(__xludf.DUMMYFUNCTION("""COMPUTED_VALUE"""),3.0)</f>
        <v>3</v>
      </c>
      <c r="C479" s="7" t="str">
        <f>IFERROR(__xludf.DUMMYFUNCTION("IF(A479="""","""",TEXTJOIN(CHAR(10),TRUE,FILTER('Tổng hợp 75 trang đích'!$B$2:$B$3400,'Tổng hợp 75 trang đích'!$I$2:$I$3400=A479)))"),"https://techcombank.com/thong-tin/blog/thue-vat-la-gi
https://techcombank.com/thong-tin/blog/cach-tinh-tien-dien-sinh-hoat
https://techcombank.com/thong-tin/blog/ten-dang-nhap-tai-khoan-ngan-hang-la-gi")</f>
        <v>https://techcombank.com/thong-tin/blog/thue-vat-la-gi
https://techcombank.com/thong-tin/blog/cach-tinh-tien-dien-sinh-hoat
https://techcombank.com/thong-tin/blog/ten-dang-nhap-tai-khoan-ngan-hang-la-gi</v>
      </c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28" t="str">
        <f>IFERROR(__xludf.DUMMYFUNCTION("""COMPUTED_VALUE"""),"https://techcombank.com/thong-tin/blog/thanh-toan-khi-du-lich-singapore")</f>
        <v>https://techcombank.com/thong-tin/blog/thanh-toan-khi-du-lich-singapore</v>
      </c>
      <c r="B480" s="11">
        <f>IFERROR(__xludf.DUMMYFUNCTION("""COMPUTED_VALUE"""),3.0)</f>
        <v>3</v>
      </c>
      <c r="C480" s="7" t="str">
        <f>IFERROR(__xludf.DUMMYFUNCTION("IF(A480="""","""",TEXTJOIN(CHAR(10),TRUE,FILTER('Tổng hợp 75 trang đích'!$B$2:$B$3400,'Tổng hợp 75 trang đích'!$I$2:$I$3400=A480)))"),"https://techcombank.com/thong-tin/blog/cic-la-gi
https://techcombank.com/thong-tin/blog/lai-suat-tiet-kiem
https://techcombank.com/thong-tin/blog/cach-tinh-lai-suat-tien-gui-tiet-kiem")</f>
        <v>https://techcombank.com/thong-tin/blog/cic-la-gi
https://techcombank.com/thong-tin/blog/lai-suat-tiet-kiem
https://techcombank.com/thong-tin/blog/cach-tinh-lai-suat-tien-gui-tiet-kiem</v>
      </c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28" t="str">
        <f>IFERROR(__xludf.DUMMYFUNCTION("""COMPUTED_VALUE"""),"https://techcombank.com/thong-tin/blog/the-debit-cho-con")</f>
        <v>https://techcombank.com/thong-tin/blog/the-debit-cho-con</v>
      </c>
      <c r="B481" s="11">
        <f>IFERROR(__xludf.DUMMYFUNCTION("""COMPUTED_VALUE"""),3.0)</f>
        <v>3</v>
      </c>
      <c r="C481" s="7" t="str">
        <f>IFERROR(__xludf.DUMMYFUNCTION("IF(A481="""","""",TEXTJOIN(CHAR(10),TRUE,FILTER('Tổng hợp 75 trang đích'!$B$2:$B$3400,'Tổng hợp 75 trang đích'!$I$2:$I$3400=A481)))"),"https://techcombank.com/thong-tin/blog/bao-nhieu-tuoi-duoc-mo-tai-khoan-ngan-hang
https://techcombank.com/thong-tin/blog/mo-tai-khoan-ngan-hang-duoi-18-tuoi
https://techcombank.com/thong-tin/blog/cach-sao-ke-tai-khoan-ngan-hang")</f>
        <v>https://techcombank.com/thong-tin/blog/bao-nhieu-tuoi-duoc-mo-tai-khoan-ngan-hang
https://techcombank.com/thong-tin/blog/mo-tai-khoan-ngan-hang-duoi-18-tuoi
https://techcombank.com/thong-tin/blog/cach-sao-ke-tai-khoan-ngan-hang</v>
      </c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28" t="str">
        <f>IFERROR(__xludf.DUMMYFUNCTION("""COMPUTED_VALUE"""),"https://techcombank.com/thong-tin/blog/the-nao-la-tiet-kiem")</f>
        <v>https://techcombank.com/thong-tin/blog/the-nao-la-tiet-kiem</v>
      </c>
      <c r="B482" s="11">
        <f>IFERROR(__xludf.DUMMYFUNCTION("""COMPUTED_VALUE"""),3.0)</f>
        <v>3</v>
      </c>
      <c r="C482" s="7" t="str">
        <f>IFERROR(__xludf.DUMMYFUNCTION("IF(A482="""","""",TEXTJOIN(CHAR(10),TRUE,FILTER('Tổng hợp 75 trang đích'!$B$2:$B$3400,'Tổng hợp 75 trang đích'!$I$2:$I$3400=A482)))"),"https://techcombank.com/thong-tin/blog/lai-suat-tiet-kiem
https://techcombank.com/thong-tin/blog/cach-tinh-lai-suat-tien-gui-tiet-kiem
https://techcombank.com/thong-tin/blog/cach-tiet-kiem-tien")</f>
        <v>https://techcombank.com/thong-tin/blog/lai-suat-tiet-kiem
https://techcombank.com/thong-tin/blog/cach-tinh-lai-suat-tien-gui-tiet-kiem
https://techcombank.com/thong-tin/blog/cach-tiet-kiem-tien</v>
      </c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28" t="str">
        <f>IFERROR(__xludf.DUMMYFUNCTION("""COMPUTED_VALUE"""),"https://techcombank.com/thong-tin/blog/the-tin-dung-mien-lai-55-ngay")</f>
        <v>https://techcombank.com/thong-tin/blog/the-tin-dung-mien-lai-55-ngay</v>
      </c>
      <c r="B483" s="11">
        <f>IFERROR(__xludf.DUMMYFUNCTION("""COMPUTED_VALUE"""),3.0)</f>
        <v>3</v>
      </c>
      <c r="C483" s="7" t="str">
        <f>IFERROR(__xludf.DUMMYFUNCTION("IF(A483="""","""",TEXTJOIN(CHAR(10),TRUE,FILTER('Tổng hợp 75 trang đích'!$B$2:$B$3400,'Tổng hợp 75 trang đích'!$I$2:$I$3400=A483)))"),"https://techcombank.com/thong-tin/blog/ngan-hang-uy-tin
https://techcombank.com/thong-tin/blog/cic-la-gi
https://techcombank.com/thong-tin/blog/cach-thanh-toan-the-tin-dung")</f>
        <v>https://techcombank.com/thong-tin/blog/ngan-hang-uy-tin
https://techcombank.com/thong-tin/blog/cic-la-gi
https://techcombank.com/thong-tin/blog/cach-thanh-toan-the-tin-dung</v>
      </c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28" t="str">
        <f>IFERROR(__xludf.DUMMYFUNCTION("""COMPUTED_VALUE"""),"https://techcombank.com/thong-tin/blog/the-tin-dung-phu-la-gi")</f>
        <v>https://techcombank.com/thong-tin/blog/the-tin-dung-phu-la-gi</v>
      </c>
      <c r="B484" s="11">
        <f>IFERROR(__xludf.DUMMYFUNCTION("""COMPUTED_VALUE"""),3.0)</f>
        <v>3</v>
      </c>
      <c r="C484" s="7" t="str">
        <f>IFERROR(__xludf.DUMMYFUNCTION("IF(A484="""","""",TEXTJOIN(CHAR(10),TRUE,FILTER('Tổng hợp 75 trang đích'!$B$2:$B$3400,'Tổng hợp 75 trang đích'!$I$2:$I$3400=A484)))"),"https://techcombank.com/thong-tin/blog/cic-la-gi
https://techcombank.com/thong-tin/blog/rut-tien-mat-tu-the-tin-dung
https://techcombank.com/thong-tin/blog/app-vay-tien-nhanh")</f>
        <v>https://techcombank.com/thong-tin/blog/cic-la-gi
https://techcombank.com/thong-tin/blog/rut-tien-mat-tu-the-tin-dung
https://techcombank.com/thong-tin/blog/app-vay-tien-nhanh</v>
      </c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28" t="str">
        <f>IFERROR(__xludf.DUMMYFUNCTION("""COMPUTED_VALUE"""),"https://techcombank.com/thong-tin/blog/the-tin-dung-techcombank-visa-eco")</f>
        <v>https://techcombank.com/thong-tin/blog/the-tin-dung-techcombank-visa-eco</v>
      </c>
      <c r="B485" s="11">
        <f>IFERROR(__xludf.DUMMYFUNCTION("""COMPUTED_VALUE"""),3.0)</f>
        <v>3</v>
      </c>
      <c r="C485" s="7" t="str">
        <f>IFERROR(__xludf.DUMMYFUNCTION("IF(A485="""","""",TEXTJOIN(CHAR(10),TRUE,FILTER('Tổng hợp 75 trang đích'!$B$2:$B$3400,'Tổng hợp 75 trang đích'!$I$2:$I$3400=A485)))"),"https://techcombank.com/thong-tin/blog/eco-card
https://techcombank.com/thong-tin/blog/cic-la-gi
https://techcombank.com/thong-tin/blog/cach-huy-the-tin-dung")</f>
        <v>https://techcombank.com/thong-tin/blog/eco-card
https://techcombank.com/thong-tin/blog/cic-la-gi
https://techcombank.com/thong-tin/blog/cach-huy-the-tin-dung</v>
      </c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28" t="str">
        <f>IFERROR(__xludf.DUMMYFUNCTION("""COMPUTED_VALUE"""),"https://techcombank.com/thong-tin/blog/the-visa-co-rut-tien-duoc-khong")</f>
        <v>https://techcombank.com/thong-tin/blog/the-visa-co-rut-tien-duoc-khong</v>
      </c>
      <c r="B486" s="11">
        <f>IFERROR(__xludf.DUMMYFUNCTION("""COMPUTED_VALUE"""),3.0)</f>
        <v>3</v>
      </c>
      <c r="C486" s="7" t="str">
        <f>IFERROR(__xludf.DUMMYFUNCTION("IF(A486="""","""",TEXTJOIN(CHAR(10),TRUE,FILTER('Tổng hợp 75 trang đích'!$B$2:$B$3400,'Tổng hợp 75 trang đích'!$I$2:$I$3400=A486)))"),"https://techcombank.com/thong-tin/blog/cic-la-gi
https://techcombank.com/thong-tin/blog/rut-tien-mat-tu-the-tin-dung
https://techcombank.com/thong-tin/blog/app-vay-tien-nhanh")</f>
        <v>https://techcombank.com/thong-tin/blog/cic-la-gi
https://techcombank.com/thong-tin/blog/rut-tien-mat-tu-the-tin-dung
https://techcombank.com/thong-tin/blog/app-vay-tien-nhanh</v>
      </c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28" t="str">
        <f>IFERROR(__xludf.DUMMYFUNCTION("""COMPUTED_VALUE"""),"https://techcombank.com/thong-tin/blog/thoi-gian-hoan-tien-the-tin-dung")</f>
        <v>https://techcombank.com/thong-tin/blog/thoi-gian-hoan-tien-the-tin-dung</v>
      </c>
      <c r="B487" s="11">
        <f>IFERROR(__xludf.DUMMYFUNCTION("""COMPUTED_VALUE"""),3.0)</f>
        <v>3</v>
      </c>
      <c r="C487" s="7" t="str">
        <f>IFERROR(__xludf.DUMMYFUNCTION("IF(A487="""","""",TEXTJOIN(CHAR(10),TRUE,FILTER('Tổng hợp 75 trang đích'!$B$2:$B$3400,'Tổng hợp 75 trang đích'!$I$2:$I$3400=A487)))"),"https://techcombank.com/thong-tin/blog/cach-sao-ke-tai-khoan-ngan-hang
https://techcombank.com/thong-tin/blog/cic-la-gi
https://techcombank.com/khach-hang-ca-nhan/chi-tieu/the/the-tin-dung/techcombank-everyday")</f>
        <v>https://techcombank.com/thong-tin/blog/cach-sao-ke-tai-khoan-ngan-hang
https://techcombank.com/thong-tin/blog/cic-la-gi
https://techcombank.com/khach-hang-ca-nhan/chi-tieu/the/the-tin-dung/techcombank-everyday</v>
      </c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28" t="str">
        <f>IFERROR(__xludf.DUMMYFUNCTION("""COMPUTED_VALUE"""),"https://techcombank.com/thong-tin/blog/thu-tuc-vay-von-doanh-nghiep")</f>
        <v>https://techcombank.com/thong-tin/blog/thu-tuc-vay-von-doanh-nghiep</v>
      </c>
      <c r="B488" s="11">
        <f>IFERROR(__xludf.DUMMYFUNCTION("""COMPUTED_VALUE"""),3.0)</f>
        <v>3</v>
      </c>
      <c r="C488" s="7" t="str">
        <f>IFERROR(__xludf.DUMMYFUNCTION("IF(A488="""","""",TEXTJOIN(CHAR(10),TRUE,FILTER('Tổng hợp 75 trang đích'!$B$2:$B$3400,'Tổng hợp 75 trang đích'!$I$2:$I$3400=A488)))"),"https://techcombank.com/thong-tin/blog/cic-la-gi
https://techcombank.com/cong-cu-tien-ich/cong-cu-tinh-toan/bang-tinh-lai-suat-vay
https://techcombank.com/thong-tin/blog/app-vay-tien-nhanh")</f>
        <v>https://techcombank.com/thong-tin/blog/cic-la-gi
https://techcombank.com/cong-cu-tien-ich/cong-cu-tinh-toan/bang-tinh-lai-suat-vay
https://techcombank.com/thong-tin/blog/app-vay-tien-nhanh</v>
      </c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28" t="str">
        <f>IFERROR(__xludf.DUMMYFUNCTION("""COMPUTED_VALUE"""),"https://techcombank.com/thong-tin/blog/thue-khoan-ho-kinh-doanh-la-gi")</f>
        <v>https://techcombank.com/thong-tin/blog/thue-khoan-ho-kinh-doanh-la-gi</v>
      </c>
      <c r="B489" s="11">
        <f>IFERROR(__xludf.DUMMYFUNCTION("""COMPUTED_VALUE"""),3.0)</f>
        <v>3</v>
      </c>
      <c r="C489" s="7" t="str">
        <f>IFERROR(__xludf.DUMMYFUNCTION("IF(A489="""","""",TEXTJOIN(CHAR(10),TRUE,FILTER('Tổng hợp 75 trang đích'!$B$2:$B$3400,'Tổng hợp 75 trang đích'!$I$2:$I$3400=A489)))"),"https://techcombank.com/thong-tin/blog/nop-thue-dat-qua-ngan-hang
https://techcombank.com/thong-tin/blog/cach-nop-thue-dien-tu
https://techcombank.com/thong-tin/blog/ho-kinh-doanh-dong-thue-nhu-nao")</f>
        <v>https://techcombank.com/thong-tin/blog/nop-thue-dat-qua-ngan-hang
https://techcombank.com/thong-tin/blog/cach-nop-thue-dien-tu
https://techcombank.com/thong-tin/blog/ho-kinh-doanh-dong-thue-nhu-nao</v>
      </c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28" t="str">
        <f>IFERROR(__xludf.DUMMYFUNCTION("""COMPUTED_VALUE"""),"https://techcombank.com/thong-tin/blog/tich-luy-tai-san")</f>
        <v>https://techcombank.com/thong-tin/blog/tich-luy-tai-san</v>
      </c>
      <c r="B490" s="11">
        <f>IFERROR(__xludf.DUMMYFUNCTION("""COMPUTED_VALUE"""),3.0)</f>
        <v>3</v>
      </c>
      <c r="C490" s="7" t="str">
        <f>IFERROR(__xludf.DUMMYFUNCTION("IF(A490="""","""",TEXTJOIN(CHAR(10),TRUE,FILTER('Tổng hợp 75 trang đích'!$B$2:$B$3400,'Tổng hợp 75 trang đích'!$I$2:$I$3400=A490)))"),"https://techcombank.com/thong-tin/blog/lai-suat-tiet-kiem
https://techcombank.com/thong-tin/blog/cach-tinh-lai-suat-tien-gui-tiet-kiem
https://techcombank.com/cong-cu-tien-ich/cong-cu-tinh-toan/bang-tinh-lai-suat-tiet-kiem")</f>
        <v>https://techcombank.com/thong-tin/blog/lai-suat-tiet-kiem
https://techcombank.com/thong-tin/blog/cach-tinh-lai-suat-tien-gui-tiet-kiem
https://techcombank.com/cong-cu-tien-ich/cong-cu-tinh-toan/bang-tinh-lai-suat-tiet-kiem</v>
      </c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28" t="str">
        <f>IFERROR(__xludf.DUMMYFUNCTION("""COMPUTED_VALUE"""),"https://techcombank.com/thong-tin/blog/tien-lao")</f>
        <v>https://techcombank.com/thong-tin/blog/tien-lao</v>
      </c>
      <c r="B491" s="11">
        <f>IFERROR(__xludf.DUMMYFUNCTION("""COMPUTED_VALUE"""),3.0)</f>
        <v>3</v>
      </c>
      <c r="C491" s="7" t="str">
        <f>IFERROR(__xludf.DUMMYFUNCTION("IF(A491="""","""",TEXTJOIN(CHAR(10),TRUE,FILTER('Tổng hợp 75 trang đích'!$B$2:$B$3400,'Tổng hợp 75 trang đích'!$I$2:$I$3400=A491)))"),"https://techcombank.com/thong-tin/blog/1-yen-bang-bao-nhieu-tien-viet-nam
https://techcombank.com/thong-tin/blog/1-man-bang-bao-nhieu-tien-viet
https://techcombank.com/thong-tin/blog/doi-tien-do-o-dau")</f>
        <v>https://techcombank.com/thong-tin/blog/1-yen-bang-bao-nhieu-tien-viet-nam
https://techcombank.com/thong-tin/blog/1-man-bang-bao-nhieu-tien-viet
https://techcombank.com/thong-tin/blog/doi-tien-do-o-dau</v>
      </c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28" t="str">
        <f>IFERROR(__xludf.DUMMYFUNCTION("""COMPUTED_VALUE"""),"https://techcombank.com/thong-tin/blog/tien-malaysia")</f>
        <v>https://techcombank.com/thong-tin/blog/tien-malaysia</v>
      </c>
      <c r="B492" s="11">
        <f>IFERROR(__xludf.DUMMYFUNCTION("""COMPUTED_VALUE"""),3.0)</f>
        <v>3</v>
      </c>
      <c r="C492" s="7" t="str">
        <f>IFERROR(__xludf.DUMMYFUNCTION("IF(A492="""","""",TEXTJOIN(CHAR(10),TRUE,FILTER('Tổng hợp 75 trang đích'!$B$2:$B$3400,'Tổng hợp 75 trang đích'!$I$2:$I$3400=A492)))"),"https://techcombank.com/thong-tin/blog/1-dong-do-la-my-bang-bao-nhieu-tien-viet-nam
https://techcombank.com/thong-tin/blog/1-yen-bang-bao-nhieu-tien-viet-nam
https://techcombank.com/thong-tin/blog/1-man-bang-bao-nhieu-tien-viet")</f>
        <v>https://techcombank.com/thong-tin/blog/1-dong-do-la-my-bang-bao-nhieu-tien-viet-nam
https://techcombank.com/thong-tin/blog/1-yen-bang-bao-nhieu-tien-viet-nam
https://techcombank.com/thong-tin/blog/1-man-bang-bao-nhieu-tien-viet</v>
      </c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28" t="str">
        <f>IFERROR(__xludf.DUMMYFUNCTION("""COMPUTED_VALUE"""),"https://techcombank.com/thong-tin/blog/tien-thai-lan")</f>
        <v>https://techcombank.com/thong-tin/blog/tien-thai-lan</v>
      </c>
      <c r="B493" s="11">
        <f>IFERROR(__xludf.DUMMYFUNCTION("""COMPUTED_VALUE"""),3.0)</f>
        <v>3</v>
      </c>
      <c r="C493" s="7" t="str">
        <f>IFERROR(__xludf.DUMMYFUNCTION("IF(A493="""","""",TEXTJOIN(CHAR(10),TRUE,FILTER('Tổng hợp 75 trang đích'!$B$2:$B$3400,'Tổng hợp 75 trang đích'!$I$2:$I$3400=A493)))"),"https://techcombank.com/thong-tin/blog/1-yen-bang-bao-nhieu-tien-viet-nam
https://techcombank.com/thong-tin/blog/1-man-bang-bao-nhieu-tien-viet
https://techcombank.com/thong-tin/blog/doi-tien-do-o-dau")</f>
        <v>https://techcombank.com/thong-tin/blog/1-yen-bang-bao-nhieu-tien-viet-nam
https://techcombank.com/thong-tin/blog/1-man-bang-bao-nhieu-tien-viet
https://techcombank.com/thong-tin/blog/doi-tien-do-o-dau</v>
      </c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28" t="str">
        <f>IFERROR(__xludf.DUMMYFUNCTION("""COMPUTED_VALUE"""),"https://techcombank.com/thong-tin/blog/tiet-kiem-tien-moi-ngay")</f>
        <v>https://techcombank.com/thong-tin/blog/tiet-kiem-tien-moi-ngay</v>
      </c>
      <c r="B494" s="11">
        <f>IFERROR(__xludf.DUMMYFUNCTION("""COMPUTED_VALUE"""),3.0)</f>
        <v>3</v>
      </c>
      <c r="C494" s="7" t="str">
        <f>IFERROR(__xludf.DUMMYFUNCTION("IF(A494="""","""",TEXTJOIN(CHAR(10),TRUE,FILTER('Tổng hợp 75 trang đích'!$B$2:$B$3400,'Tổng hợp 75 trang đích'!$I$2:$I$3400=A494)))"),"https://techcombank.com/thong-tin/blog/lai-suat-tiet-kiem
https://techcombank.com/thong-tin/blog/cach-tinh-lai-suat-tien-gui-tiet-kiem
https://techcombank.com/thong-tin/blog/cach-tiet-kiem-tien")</f>
        <v>https://techcombank.com/thong-tin/blog/lai-suat-tiet-kiem
https://techcombank.com/thong-tin/blog/cach-tinh-lai-suat-tien-gui-tiet-kiem
https://techcombank.com/thong-tin/blog/cach-tiet-kiem-tien</v>
      </c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28" t="str">
        <f>IFERROR(__xludf.DUMMYFUNCTION("""COMPUTED_VALUE"""),"https://techcombank.com/thong-tin/blog/tin-dung-tieu-dung")</f>
        <v>https://techcombank.com/thong-tin/blog/tin-dung-tieu-dung</v>
      </c>
      <c r="B495" s="11">
        <f>IFERROR(__xludf.DUMMYFUNCTION("""COMPUTED_VALUE"""),3.0)</f>
        <v>3</v>
      </c>
      <c r="C495" s="7" t="str">
        <f>IFERROR(__xludf.DUMMYFUNCTION("IF(A495="""","""",TEXTJOIN(CHAR(10),TRUE,FILTER('Tổng hợp 75 trang đích'!$B$2:$B$3400,'Tổng hợp 75 trang đích'!$I$2:$I$3400=A495)))"),"https://techcombank.com/thong-tin/blog/cic-la-gi
https://techcombank.com/cong-cu-tien-ich/cong-cu-tinh-toan/bang-tinh-lai-suat-vay
https://techcombank.com/thong-tin/blog/app-vay-tien-nhanh")</f>
        <v>https://techcombank.com/thong-tin/blog/cic-la-gi
https://techcombank.com/cong-cu-tien-ich/cong-cu-tinh-toan/bang-tinh-lai-suat-vay
https://techcombank.com/thong-tin/blog/app-vay-tien-nhanh</v>
      </c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28" t="str">
        <f>IFERROR(__xludf.DUMMYFUNCTION("""COMPUTED_VALUE"""),"https://techcombank.com/thong-tin/blog/tra-cuu-hoa-don-tien-dien")</f>
        <v>https://techcombank.com/thong-tin/blog/tra-cuu-hoa-don-tien-dien</v>
      </c>
      <c r="B496" s="11">
        <f>IFERROR(__xludf.DUMMYFUNCTION("""COMPUTED_VALUE"""),3.0)</f>
        <v>3</v>
      </c>
      <c r="C496" s="7" t="str">
        <f>IFERROR(__xludf.DUMMYFUNCTION("IF(A496="""","""",TEXTJOIN(CHAR(10),TRUE,FILTER('Tổng hợp 75 trang đích'!$B$2:$B$3400,'Tổng hợp 75 trang đích'!$I$2:$I$3400=A496)))"),"https://techcombank.com/thong-tin/blog/thue-vat-la-gi
https://techcombank.com/thong-tin/blog/tra-cuu-no-thue-doanh-nghiep
https://techcombank.com/thong-tin/blog/cach-tinh-tien-dien-sinh-hoat")</f>
        <v>https://techcombank.com/thong-tin/blog/thue-vat-la-gi
https://techcombank.com/thong-tin/blog/tra-cuu-no-thue-doanh-nghiep
https://techcombank.com/thong-tin/blog/cach-tinh-tien-dien-sinh-hoat</v>
      </c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28" t="str">
        <f>IFERROR(__xludf.DUMMYFUNCTION("""COMPUTED_VALUE"""),"https://techcombank.com/thong-tin/blog/ty-gia-la-gi")</f>
        <v>https://techcombank.com/thong-tin/blog/ty-gia-la-gi</v>
      </c>
      <c r="B497" s="11">
        <f>IFERROR(__xludf.DUMMYFUNCTION("""COMPUTED_VALUE"""),3.0)</f>
        <v>3</v>
      </c>
      <c r="C497" s="7" t="str">
        <f>IFERROR(__xludf.DUMMYFUNCTION("IF(A497="""","""",TEXTJOIN(CHAR(10),TRUE,FILTER('Tổng hợp 75 trang đích'!$B$2:$B$3400,'Tổng hợp 75 trang đích'!$I$2:$I$3400=A497)))"),"https://techcombank.com/thong-tin/blog/ngan-hang-uy-tin
https://techcombank.com/thong-tin/blog/1-te-bang-bao-nhieu-tien-viet-nam
https://techcombank.com/thong-tin/blog/1-trieu-do-bang-bao-nhieu-tien-viet")</f>
        <v>https://techcombank.com/thong-tin/blog/ngan-hang-uy-tin
https://techcombank.com/thong-tin/blog/1-te-bang-bao-nhieu-tien-viet-nam
https://techcombank.com/thong-tin/blog/1-trieu-do-bang-bao-nhieu-tien-viet</v>
      </c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28" t="str">
        <f>IFERROR(__xludf.DUMMYFUNCTION("""COMPUTED_VALUE"""),"https://techcombank.com/thong-tin/blog/vay-sieu-toc")</f>
        <v>https://techcombank.com/thong-tin/blog/vay-sieu-toc</v>
      </c>
      <c r="B498" s="11">
        <f>IFERROR(__xludf.DUMMYFUNCTION("""COMPUTED_VALUE"""),3.0)</f>
        <v>3</v>
      </c>
      <c r="C498" s="7" t="str">
        <f>IFERROR(__xludf.DUMMYFUNCTION("IF(A498="""","""",TEXTJOIN(CHAR(10),TRUE,FILTER('Tổng hợp 75 trang đích'!$B$2:$B$3400,'Tổng hợp 75 trang đích'!$I$2:$I$3400=A498)))"),"https://techcombank.com/thong-tin/blog/cic-la-gi
https://techcombank.com/cong-cu-tien-ich/cong-cu-tinh-toan/bang-tinh-lai-suat-vay
https://techcombank.com/thong-tin/blog/app-vay-tien-nhanh")</f>
        <v>https://techcombank.com/thong-tin/blog/cic-la-gi
https://techcombank.com/cong-cu-tien-ich/cong-cu-tinh-toan/bang-tinh-lai-suat-vay
https://techcombank.com/thong-tin/blog/app-vay-tien-nhanh</v>
      </c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28" t="str">
        <f>IFERROR(__xludf.DUMMYFUNCTION("""COMPUTED_VALUE"""),"https://techcombank.com/thong-tin/blog/vnd-to-myr")</f>
        <v>https://techcombank.com/thong-tin/blog/vnd-to-myr</v>
      </c>
      <c r="B499" s="11">
        <f>IFERROR(__xludf.DUMMYFUNCTION("""COMPUTED_VALUE"""),3.0)</f>
        <v>3</v>
      </c>
      <c r="C499" s="7" t="str">
        <f>IFERROR(__xludf.DUMMYFUNCTION("IF(A499="""","""",TEXTJOIN(CHAR(10),TRUE,FILTER('Tổng hợp 75 trang đích'!$B$2:$B$3400,'Tổng hợp 75 trang đích'!$I$2:$I$3400=A499)))"),"https://techcombank.com/thong-tin/blog/tien-nhat
https://techcombank.com/thong-tin/blog/1-yen-bang-bao-nhieu-tien-viet-nam
https://techcombank.com/thong-tin/blog/tien-thai-lan")</f>
        <v>https://techcombank.com/thong-tin/blog/tien-nhat
https://techcombank.com/thong-tin/blog/1-yen-bang-bao-nhieu-tien-viet-nam
https://techcombank.com/thong-tin/blog/tien-thai-lan</v>
      </c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28" t="str">
        <f>IFERROR(__xludf.DUMMYFUNCTION("""COMPUTED_VALUE"""),"https://techcombank.com/thong-tin/blog/woomaster")</f>
        <v>https://techcombank.com/thong-tin/blog/woomaster</v>
      </c>
      <c r="B500" s="11">
        <f>IFERROR(__xludf.DUMMYFUNCTION("""COMPUTED_VALUE"""),3.0)</f>
        <v>3</v>
      </c>
      <c r="C500" s="7" t="str">
        <f>IFERROR(__xludf.DUMMYFUNCTION("IF(A500="""","""",TEXTJOIN(CHAR(10),TRUE,FILTER('Tổng hợp 75 trang đích'!$B$2:$B$3400,'Tổng hợp 75 trang đích'!$I$2:$I$3400=A500)))"),"https://techcombank.com/thong-tin/blog/traveloka-voucher
https://techcombank.com/thong-tin/blog/lai-suat-tiet-kiem
https://techcombank.com/thong-tin/blog/cach-tinh-lai-suat-tien-gui-tiet-kiem")</f>
        <v>https://techcombank.com/thong-tin/blog/traveloka-voucher
https://techcombank.com/thong-tin/blog/lai-suat-tiet-kiem
https://techcombank.com/thong-tin/blog/cach-tinh-lai-suat-tien-gui-tiet-kiem</v>
      </c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28" t="str">
        <f>IFERROR(__xludf.DUMMYFUNCTION("""COMPUTED_VALUE"""),"https://techcombank.com/thong-tin/blog/xu-huong-ty-gia-usd")</f>
        <v>https://techcombank.com/thong-tin/blog/xu-huong-ty-gia-usd</v>
      </c>
      <c r="B501" s="11">
        <f>IFERROR(__xludf.DUMMYFUNCTION("""COMPUTED_VALUE"""),3.0)</f>
        <v>3</v>
      </c>
      <c r="C501" s="7" t="str">
        <f>IFERROR(__xludf.DUMMYFUNCTION("IF(A501="""","""",TEXTJOIN(CHAR(10),TRUE,FILTER('Tổng hợp 75 trang đích'!$B$2:$B$3400,'Tổng hợp 75 trang đích'!$I$2:$I$3400=A501)))"),"https://techcombank.com/thong-tin/blog/1-dong-do-la-my-bang-bao-nhieu-tien-viet-nam
https://techcombank.com/thong-tin/blog/1-man-bang-bao-nhieu-tien-viet
https://techcombank.com/thong-tin/blog/1-trieu-do-bang-bao-nhieu-tien-viet")</f>
        <v>https://techcombank.com/thong-tin/blog/1-dong-do-la-my-bang-bao-nhieu-tien-viet-nam
https://techcombank.com/thong-tin/blog/1-man-bang-bao-nhieu-tien-viet
https://techcombank.com/thong-tin/blog/1-trieu-do-bang-bao-nhieu-tien-viet</v>
      </c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28" t="str">
        <f>IFERROR(__xludf.DUMMYFUNCTION("""COMPUTED_VALUE"""),"https://techcombank.com/thong-tin/blog/1-nguoi-co-the-lam-duoc-bao-nhieu-the-atm")</f>
        <v>https://techcombank.com/thong-tin/blog/1-nguoi-co-the-lam-duoc-bao-nhieu-the-atm</v>
      </c>
      <c r="B502" s="11">
        <f>IFERROR(__xludf.DUMMYFUNCTION("""COMPUTED_VALUE"""),2.0)</f>
        <v>2</v>
      </c>
      <c r="C502" s="7" t="str">
        <f>IFERROR(__xludf.DUMMYFUNCTION("IF(A502="""","""",TEXTJOIN(CHAR(10),TRUE,FILTER('Tổng hợp 75 trang đích'!$B$2:$B$3400,'Tổng hợp 75 trang đích'!$I$2:$I$3400=A502)))"),"https://techcombank.com/thong-tin/blog/bao-nhieu-tuoi-duoc-mo-tai-khoan-ngan-hang
https://techcombank.com/thong-tin/blog/nap-tien-vao-tai-khoan-ngan-hang")</f>
        <v>https://techcombank.com/thong-tin/blog/bao-nhieu-tuoi-duoc-mo-tai-khoan-ngan-hang
https://techcombank.com/thong-tin/blog/nap-tien-vao-tai-khoan-ngan-hang</v>
      </c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28" t="str">
        <f>IFERROR(__xludf.DUMMYFUNCTION("""COMPUTED_VALUE"""),"https://techcombank.com/thong-tin/blog/3d-secure")</f>
        <v>https://techcombank.com/thong-tin/blog/3d-secure</v>
      </c>
      <c r="B503" s="11">
        <f>IFERROR(__xludf.DUMMYFUNCTION("""COMPUTED_VALUE"""),2.0)</f>
        <v>2</v>
      </c>
      <c r="C503" s="7" t="str">
        <f>IFERROR(__xludf.DUMMYFUNCTION("IF(A503="""","""",TEXTJOIN(CHAR(10),TRUE,FILTER('Tổng hợp 75 trang đích'!$B$2:$B$3400,'Tổng hợp 75 trang đích'!$I$2:$I$3400=A503)))"),"https://techcombank.com/thong-tin/blog/cic-la-gi
https://techcombank.com/thong-tin/blog/cach-huy-the-tin-dung")</f>
        <v>https://techcombank.com/thong-tin/blog/cic-la-gi
https://techcombank.com/thong-tin/blog/cach-huy-the-tin-dung</v>
      </c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28" t="str">
        <f>IFERROR(__xludf.DUMMYFUNCTION("""COMPUTED_VALUE"""),"https://techcombank.com/thong-tin/blog/5-trieu-mua-duoc-bao-nhieu-vang")</f>
        <v>https://techcombank.com/thong-tin/blog/5-trieu-mua-duoc-bao-nhieu-vang</v>
      </c>
      <c r="B504" s="11">
        <f>IFERROR(__xludf.DUMMYFUNCTION("""COMPUTED_VALUE"""),2.0)</f>
        <v>2</v>
      </c>
      <c r="C504" s="7" t="str">
        <f>IFERROR(__xludf.DUMMYFUNCTION("IF(A504="""","""",TEXTJOIN(CHAR(10),TRUE,FILTER('Tổng hợp 75 trang đích'!$B$2:$B$3400,'Tổng hợp 75 trang đích'!$I$2:$I$3400=A504)))"),"https://techcombank.com/thong-tin/blog/lai-suat-tiet-kiem
https://techcombank.com/thong-tin/blog/phuong-phap-dau-tu-chung-chi-quy")</f>
        <v>https://techcombank.com/thong-tin/blog/lai-suat-tiet-kiem
https://techcombank.com/thong-tin/blog/phuong-phap-dau-tu-chung-chi-quy</v>
      </c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28" t="str">
        <f>IFERROR(__xludf.DUMMYFUNCTION("""COMPUTED_VALUE"""),"https://techcombank.com/thong-tin/blog/6-chiec-lo-tai-chinh-ca-nhan")</f>
        <v>https://techcombank.com/thong-tin/blog/6-chiec-lo-tai-chinh-ca-nhan</v>
      </c>
      <c r="B505" s="11">
        <f>IFERROR(__xludf.DUMMYFUNCTION("""COMPUTED_VALUE"""),2.0)</f>
        <v>2</v>
      </c>
      <c r="C505" s="7" t="str">
        <f>IFERROR(__xludf.DUMMYFUNCTION("IF(A505="""","""",TEXTJOIN(CHAR(10),TRUE,FILTER('Tổng hợp 75 trang đích'!$B$2:$B$3400,'Tổng hợp 75 trang đích'!$I$2:$I$3400=A505)))"),"https://techcombank.com/thong-tin/blog/cach-sao-ke-tai-khoan-ngan-hang
https://techcombank.com/thong-tin/blog/lai-suat-tiet-kiem")</f>
        <v>https://techcombank.com/thong-tin/blog/cach-sao-ke-tai-khoan-ngan-hang
https://techcombank.com/thong-tin/blog/lai-suat-tiet-kiem</v>
      </c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28" t="str">
        <f>IFERROR(__xludf.DUMMYFUNCTION("""COMPUTED_VALUE"""),"https://techcombank.com/thong-tin/blog/66666-co-y-nghia-gi")</f>
        <v>https://techcombank.com/thong-tin/blog/66666-co-y-nghia-gi</v>
      </c>
      <c r="B506" s="11">
        <f>IFERROR(__xludf.DUMMYFUNCTION("""COMPUTED_VALUE"""),2.0)</f>
        <v>2</v>
      </c>
      <c r="C506" s="7" t="str">
        <f>IFERROR(__xludf.DUMMYFUNCTION("IF(A506="""","""",TEXTJOIN(CHAR(10),TRUE,FILTER('Tổng hợp 75 trang đích'!$B$2:$B$3400,'Tổng hợp 75 trang đích'!$I$2:$I$3400=A506)))"),"https://techcombank.com/thong-tin/blog/cach-kiem-tra-tai-khoan-ngan-hang
https://techcombank.com/thong-tin/blog/day-so-phat-tai-phat-loc")</f>
        <v>https://techcombank.com/thong-tin/blog/cach-kiem-tra-tai-khoan-ngan-hang
https://techcombank.com/thong-tin/blog/day-so-phat-tai-phat-loc</v>
      </c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28" t="str">
        <f>IFERROR(__xludf.DUMMYFUNCTION("""COMPUTED_VALUE"""),"https://techcombank.com/thong-tin/blog/88-la-gi")</f>
        <v>https://techcombank.com/thong-tin/blog/88-la-gi</v>
      </c>
      <c r="B507" s="11">
        <f>IFERROR(__xludf.DUMMYFUNCTION("""COMPUTED_VALUE"""),2.0)</f>
        <v>2</v>
      </c>
      <c r="C507" s="7" t="str">
        <f>IFERROR(__xludf.DUMMYFUNCTION("IF(A507="""","""",TEXTJOIN(CHAR(10),TRUE,FILTER('Tổng hợp 75 trang đích'!$B$2:$B$3400,'Tổng hợp 75 trang đích'!$I$2:$I$3400=A507)))"),"https://techcombank.com/thong-tin/blog/cach-mo-tai-khoan
https://techcombank.com/thong-tin/blog/day-so-phat-tai-phat-loc")</f>
        <v>https://techcombank.com/thong-tin/blog/cach-mo-tai-khoan
https://techcombank.com/thong-tin/blog/day-so-phat-tai-phat-loc</v>
      </c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28" t="str">
        <f>IFERROR(__xludf.DUMMYFUNCTION("""COMPUTED_VALUE"""),"https://techcombank.com/thong-tin/blog/app-chia-tien")</f>
        <v>https://techcombank.com/thong-tin/blog/app-chia-tien</v>
      </c>
      <c r="B508" s="11">
        <f>IFERROR(__xludf.DUMMYFUNCTION("""COMPUTED_VALUE"""),2.0)</f>
        <v>2</v>
      </c>
      <c r="C508" s="7" t="str">
        <f>IFERROR(__xludf.DUMMYFUNCTION("IF(A508="""","""",TEXTJOIN(CHAR(10),TRUE,FILTER('Tổng hợp 75 trang đích'!$B$2:$B$3400,'Tổng hợp 75 trang đích'!$I$2:$I$3400=A508)))"),"https://techcombank.com/thong-tin/blog/thue-vat-la-gi
https://techcombank.com/thong-tin/blog/cach-tinh-tien-dien-sinh-hoat")</f>
        <v>https://techcombank.com/thong-tin/blog/thue-vat-la-gi
https://techcombank.com/thong-tin/blog/cach-tinh-tien-dien-sinh-hoat</v>
      </c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28" t="str">
        <f>IFERROR(__xludf.DUMMYFUNCTION("""COMPUTED_VALUE"""),"https://techcombank.com/thong-tin/blog/atm-la-gi")</f>
        <v>https://techcombank.com/thong-tin/blog/atm-la-gi</v>
      </c>
      <c r="B509" s="11">
        <f>IFERROR(__xludf.DUMMYFUNCTION("""COMPUTED_VALUE"""),2.0)</f>
        <v>2</v>
      </c>
      <c r="C509" s="7" t="str">
        <f>IFERROR(__xludf.DUMMYFUNCTION("IF(A509="""","""",TEXTJOIN(CHAR(10),TRUE,FILTER('Tổng hợp 75 trang đích'!$B$2:$B$3400,'Tổng hợp 75 trang đích'!$I$2:$I$3400=A509)))"),"https://techcombank.com/thong-tin/blog/nap-tien-vao-tai-khoan-ngan-hang
https://techcombank.com/thong-tin/blog/cic-la-gi")</f>
        <v>https://techcombank.com/thong-tin/blog/nap-tien-vao-tai-khoan-ngan-hang
https://techcombank.com/thong-tin/blog/cic-la-gi</v>
      </c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28" t="str">
        <f>IFERROR(__xludf.DUMMYFUNCTION("""COMPUTED_VALUE"""),"https://techcombank.com/thong-tin/blog/bao-hiem-nhan-tho-bao-nhieu-tien")</f>
        <v>https://techcombank.com/thong-tin/blog/bao-hiem-nhan-tho-bao-nhieu-tien</v>
      </c>
      <c r="B510" s="11">
        <f>IFERROR(__xludf.DUMMYFUNCTION("""COMPUTED_VALUE"""),2.0)</f>
        <v>2</v>
      </c>
      <c r="C510" s="7" t="str">
        <f>IFERROR(__xludf.DUMMYFUNCTION("IF(A510="""","""",TEXTJOIN(CHAR(10),TRUE,FILTER('Tổng hợp 75 trang đích'!$B$2:$B$3400,'Tổng hợp 75 trang đích'!$I$2:$I$3400=A510)))"),"https://techcombank.com/thong-tin/blog/cach-tinh-thue-thu-nhap-ca-nhan-2025
https://techcombank.com/thong-tin/blog/kiem-tra-thue-thu-nhap-ca-nhan")</f>
        <v>https://techcombank.com/thong-tin/blog/cach-tinh-thue-thu-nhap-ca-nhan-2025
https://techcombank.com/thong-tin/blog/kiem-tra-thue-thu-nhap-ca-nhan</v>
      </c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28" t="str">
        <f>IFERROR(__xludf.DUMMYFUNCTION("""COMPUTED_VALUE"""),"https://techcombank.com/thong-tin/blog/cac-chung-chi-quy-o-viet-nam")</f>
        <v>https://techcombank.com/thong-tin/blog/cac-chung-chi-quy-o-viet-nam</v>
      </c>
      <c r="B511" s="11">
        <f>IFERROR(__xludf.DUMMYFUNCTION("""COMPUTED_VALUE"""),2.0)</f>
        <v>2</v>
      </c>
      <c r="C511" s="7" t="str">
        <f>IFERROR(__xludf.DUMMYFUNCTION("IF(A511="""","""",TEXTJOIN(CHAR(10),TRUE,FILTER('Tổng hợp 75 trang đích'!$B$2:$B$3400,'Tổng hợp 75 trang đích'!$I$2:$I$3400=A511)))"),"https://techcombank.com/thong-tin/blog/lai-suat-tiet-kiem
https://techcombank.com/thong-tin/blog/rui-ro-khi-gui-tiet-kiem-online")</f>
        <v>https://techcombank.com/thong-tin/blog/lai-suat-tiet-kiem
https://techcombank.com/thong-tin/blog/rui-ro-khi-gui-tiet-kiem-online</v>
      </c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28" t="str">
        <f>IFERROR(__xludf.DUMMYFUNCTION("""COMPUTED_VALUE"""),"https://techcombank.com/thong-tin/blog/cach-dang-ky-dinh-danh-muc-2")</f>
        <v>https://techcombank.com/thong-tin/blog/cach-dang-ky-dinh-danh-muc-2</v>
      </c>
      <c r="B512" s="11">
        <f>IFERROR(__xludf.DUMMYFUNCTION("""COMPUTED_VALUE"""),2.0)</f>
        <v>2</v>
      </c>
      <c r="C512" s="7" t="str">
        <f>IFERROR(__xludf.DUMMYFUNCTION("IF(A512="""","""",TEXTJOIN(CHAR(10),TRUE,FILTER('Tổng hợp 75 trang đích'!$B$2:$B$3400,'Tổng hợp 75 trang đích'!$I$2:$I$3400=A512)))"),"https://techcombank.com/thong-tin/blog/cach-nap-the-viettel
https://techcombank.com/thong-tin/blog/cach-quet-nfc-cccd-tren-iphone")</f>
        <v>https://techcombank.com/thong-tin/blog/cach-nap-the-viettel
https://techcombank.com/thong-tin/blog/cach-quet-nfc-cccd-tren-iphone</v>
      </c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28" t="str">
        <f>IFERROR(__xludf.DUMMYFUNCTION("""COMPUTED_VALUE"""),"https://techcombank.com/thong-tin/blog/cach-huy-thanh-toan-tien-dien")</f>
        <v>https://techcombank.com/thong-tin/blog/cach-huy-thanh-toan-tien-dien</v>
      </c>
      <c r="B513" s="11">
        <f>IFERROR(__xludf.DUMMYFUNCTION("""COMPUTED_VALUE"""),2.0)</f>
        <v>2</v>
      </c>
      <c r="C513" s="7" t="str">
        <f>IFERROR(__xludf.DUMMYFUNCTION("IF(A513="""","""",TEXTJOIN(CHAR(10),TRUE,FILTER('Tổng hợp 75 trang đích'!$B$2:$B$3400,'Tổng hợp 75 trang đích'!$I$2:$I$3400=A513)))"),"https://techcombank.com/thong-tin/blog/thue-vat-la-gi
https://techcombank.com/thong-tin/blog/cach-tinh-tien-dien-sinh-hoat")</f>
        <v>https://techcombank.com/thong-tin/blog/thue-vat-la-gi
https://techcombank.com/thong-tin/blog/cach-tinh-tien-dien-sinh-hoat</v>
      </c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28" t="str">
        <f>IFERROR(__xludf.DUMMYFUNCTION("""COMPUTED_VALUE"""),"https://techcombank.com/thong-tin/blog/cach-kich-hoat-the-atm")</f>
        <v>https://techcombank.com/thong-tin/blog/cach-kich-hoat-the-atm</v>
      </c>
      <c r="B514" s="11">
        <f>IFERROR(__xludf.DUMMYFUNCTION("""COMPUTED_VALUE"""),2.0)</f>
        <v>2</v>
      </c>
      <c r="C514" s="7" t="str">
        <f>IFERROR(__xludf.DUMMYFUNCTION("IF(A514="""","""",TEXTJOIN(CHAR(10),TRUE,FILTER('Tổng hợp 75 trang đích'!$B$2:$B$3400,'Tổng hợp 75 trang đích'!$I$2:$I$3400=A514)))"),"https://techcombank.com/thong-tin/blog/nap-tien-vao-tai-khoan-ngan-hang
https://techcombank.com/thong-tin/blog/ten-dang-nhap-tai-khoan-ngan-hang-la-gi")</f>
        <v>https://techcombank.com/thong-tin/blog/nap-tien-vao-tai-khoan-ngan-hang
https://techcombank.com/thong-tin/blog/ten-dang-nhap-tai-khoan-ngan-hang-la-gi</v>
      </c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28" t="str">
        <f>IFERROR(__xludf.DUMMYFUNCTION("""COMPUTED_VALUE"""),"https://techcombank.com/thong-tin/blog/cach-lien-ket-tai-khoan-ngan-hang-voi-vneid")</f>
        <v>https://techcombank.com/thong-tin/blog/cach-lien-ket-tai-khoan-ngan-hang-voi-vneid</v>
      </c>
      <c r="B515" s="11">
        <f>IFERROR(__xludf.DUMMYFUNCTION("""COMPUTED_VALUE"""),2.0)</f>
        <v>2</v>
      </c>
      <c r="C515" s="7" t="str">
        <f>IFERROR(__xludf.DUMMYFUNCTION("IF(A515="""","""",TEXTJOIN(CHAR(10),TRUE,FILTER('Tổng hợp 75 trang đích'!$B$2:$B$3400,'Tổng hợp 75 trang đích'!$I$2:$I$3400=A515)))"),"https://techcombank.com/thong-tin/blog/cach-mo-tai-khoan
https://techcombank.com/thong-tin/blog/cach-quet-nfc-cccd-tren-iphone")</f>
        <v>https://techcombank.com/thong-tin/blog/cach-mo-tai-khoan
https://techcombank.com/thong-tin/blog/cach-quet-nfc-cccd-tren-iphone</v>
      </c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28" t="str">
        <f>IFERROR(__xludf.DUMMYFUNCTION("""COMPUTED_VALUE"""),"https://techcombank.com/thong-tin/blog/cach-nap-the")</f>
        <v>https://techcombank.com/thong-tin/blog/cach-nap-the</v>
      </c>
      <c r="B516" s="11">
        <f>IFERROR(__xludf.DUMMYFUNCTION("""COMPUTED_VALUE"""),2.0)</f>
        <v>2</v>
      </c>
      <c r="C516" s="7" t="str">
        <f>IFERROR(__xludf.DUMMYFUNCTION("IF(A516="""","""",TEXTJOIN(CHAR(10),TRUE,FILTER('Tổng hợp 75 trang đích'!$B$2:$B$3400,'Tổng hợp 75 trang đích'!$I$2:$I$3400=A516)))"),"https://techcombank.com/thong-tin/blog/cach-nap-the-viettel
https://techcombank.com/thong-tin/blog/nap-tien-vao-tai-khoan-ngan-hang")</f>
        <v>https://techcombank.com/thong-tin/blog/cach-nap-the-viettel
https://techcombank.com/thong-tin/blog/nap-tien-vao-tai-khoan-ngan-hang</v>
      </c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28" t="str">
        <f>IFERROR(__xludf.DUMMYFUNCTION("""COMPUTED_VALUE"""),"https://techcombank.com/thong-tin/blog/cach-nap-the-mobi")</f>
        <v>https://techcombank.com/thong-tin/blog/cach-nap-the-mobi</v>
      </c>
      <c r="B517" s="11">
        <f>IFERROR(__xludf.DUMMYFUNCTION("""COMPUTED_VALUE"""),2.0)</f>
        <v>2</v>
      </c>
      <c r="C517" s="7" t="str">
        <f>IFERROR(__xludf.DUMMYFUNCTION("IF(A517="""","""",TEXTJOIN(CHAR(10),TRUE,FILTER('Tổng hợp 75 trang đích'!$B$2:$B$3400,'Tổng hợp 75 trang đích'!$I$2:$I$3400=A517)))"),"https://techcombank.com/thong-tin/blog/cach-nap-the-viettel
https://techcombank.com/thong-tin/blog/cic-la-gi")</f>
        <v>https://techcombank.com/thong-tin/blog/cach-nap-the-viettel
https://techcombank.com/thong-tin/blog/cic-la-gi</v>
      </c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28" t="str">
        <f>IFERROR(__xludf.DUMMYFUNCTION("""COMPUTED_VALUE"""),"https://techcombank.com/thong-tin/blog/cach-nap-the-vina")</f>
        <v>https://techcombank.com/thong-tin/blog/cach-nap-the-vina</v>
      </c>
      <c r="B518" s="11">
        <f>IFERROR(__xludf.DUMMYFUNCTION("""COMPUTED_VALUE"""),2.0)</f>
        <v>2</v>
      </c>
      <c r="C518" s="7" t="str">
        <f>IFERROR(__xludf.DUMMYFUNCTION("IF(A518="""","""",TEXTJOIN(CHAR(10),TRUE,FILTER('Tổng hợp 75 trang đích'!$B$2:$B$3400,'Tổng hợp 75 trang đích'!$I$2:$I$3400=A518)))"),"https://techcombank.com/thong-tin/blog/cach-nap-the-viettel
https://techcombank.com/thong-tin/blog/cic-la-gi")</f>
        <v>https://techcombank.com/thong-tin/blog/cach-nap-the-viettel
https://techcombank.com/thong-tin/blog/cic-la-gi</v>
      </c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28" t="str">
        <f>IFERROR(__xludf.DUMMYFUNCTION("""COMPUTED_VALUE"""),"https://techcombank.com/thong-tin/blog/cam-nang-dinh-cu-my")</f>
        <v>https://techcombank.com/thong-tin/blog/cam-nang-dinh-cu-my</v>
      </c>
      <c r="B519" s="11">
        <f>IFERROR(__xludf.DUMMYFUNCTION("""COMPUTED_VALUE"""),2.0)</f>
        <v>2</v>
      </c>
      <c r="C519" s="7" t="str">
        <f>IFERROR(__xludf.DUMMYFUNCTION("IF(A519="""","""",TEXTJOIN(CHAR(10),TRUE,FILTER('Tổng hợp 75 trang đích'!$B$2:$B$3400,'Tổng hợp 75 trang đích'!$I$2:$I$3400=A519)))"),"https://techcombank.com/thong-tin/blog/chuyen-khoan-thanh-cong-nhung-khong-nhan-duoc-tien
https://techcombank.com/thong-tin/blog/1-dong-do-la-my-bang-bao-nhieu-tien-viet-nam")</f>
        <v>https://techcombank.com/thong-tin/blog/chuyen-khoan-thanh-cong-nhung-khong-nhan-duoc-tien
https://techcombank.com/thong-tin/blog/1-dong-do-la-my-bang-bao-nhieu-tien-viet-nam</v>
      </c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28" t="str">
        <f>IFERROR(__xludf.DUMMYFUNCTION("""COMPUTED_VALUE"""),"https://techcombank.com/thong-tin/blog/chi-tra-luong-huu")</f>
        <v>https://techcombank.com/thong-tin/blog/chi-tra-luong-huu</v>
      </c>
      <c r="B520" s="11">
        <f>IFERROR(__xludf.DUMMYFUNCTION("""COMPUTED_VALUE"""),2.0)</f>
        <v>2</v>
      </c>
      <c r="C520" s="7" t="str">
        <f>IFERROR(__xludf.DUMMYFUNCTION("IF(A520="""","""",TEXTJOIN(CHAR(10),TRUE,FILTER('Tổng hợp 75 trang đích'!$B$2:$B$3400,'Tổng hợp 75 trang đích'!$I$2:$I$3400=A520)))"),"https://techcombank.com/thong-tin/blog/cach-tinh-thue-thu-nhap-ca-nhan-2025
https://techcombank.com/thong-tin/blog/thue-thu-nhap-ca-nhan")</f>
        <v>https://techcombank.com/thong-tin/blog/cach-tinh-thue-thu-nhap-ca-nhan-2025
https://techcombank.com/thong-tin/blog/thue-thu-nhap-ca-nhan</v>
      </c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28" t="str">
        <f>IFERROR(__xludf.DUMMYFUNCTION("""COMPUTED_VALUE"""),"https://techcombank.com/thong-tin/blog/chung-chi-quy-va-co-phieu")</f>
        <v>https://techcombank.com/thong-tin/blog/chung-chi-quy-va-co-phieu</v>
      </c>
      <c r="B521" s="11">
        <f>IFERROR(__xludf.DUMMYFUNCTION("""COMPUTED_VALUE"""),2.0)</f>
        <v>2</v>
      </c>
      <c r="C521" s="7" t="str">
        <f>IFERROR(__xludf.DUMMYFUNCTION("IF(A521="""","""",TEXTJOIN(CHAR(10),TRUE,FILTER('Tổng hợp 75 trang đích'!$B$2:$B$3400,'Tổng hợp 75 trang đích'!$I$2:$I$3400=A521)))"),"https://techcombank.com/thong-tin/blog/rui-ro-khi-gui-tiet-kiem-online
https://techcombank.com/thong-tin/blog/phuong-phap-dau-tu-chung-chi-quy")</f>
        <v>https://techcombank.com/thong-tin/blog/rui-ro-khi-gui-tiet-kiem-online
https://techcombank.com/thong-tin/blog/phuong-phap-dau-tu-chung-chi-quy</v>
      </c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28" t="str">
        <f>IFERROR(__xludf.DUMMYFUNCTION("""COMPUTED_VALUE"""),"https://techcombank.com/thong-tin/blog/chuyen-doi-so-ho-kinh-doanh")</f>
        <v>https://techcombank.com/thong-tin/blog/chuyen-doi-so-ho-kinh-doanh</v>
      </c>
      <c r="B522" s="11">
        <f>IFERROR(__xludf.DUMMYFUNCTION("""COMPUTED_VALUE"""),2.0)</f>
        <v>2</v>
      </c>
      <c r="C522" s="7" t="str">
        <f>IFERROR(__xludf.DUMMYFUNCTION("IF(A522="""","""",TEXTJOIN(CHAR(10),TRUE,FILTER('Tổng hợp 75 trang đích'!$B$2:$B$3400,'Tổng hợp 75 trang đích'!$I$2:$I$3400=A522)))"),"https://techcombank.com/thong-tin/blog/chung-chi-tien-gui-la-gi
https://techcombank.com/thong-tin/blog/ho-kinh-doanh-dong-thue-nhu-nao")</f>
        <v>https://techcombank.com/thong-tin/blog/chung-chi-tien-gui-la-gi
https://techcombank.com/thong-tin/blog/ho-kinh-doanh-dong-thue-nhu-nao</v>
      </c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28" t="str">
        <f>IFERROR(__xludf.DUMMYFUNCTION("""COMPUTED_VALUE"""),"https://techcombank.com/thong-tin/blog/chuyen-doi-the-atm")</f>
        <v>https://techcombank.com/thong-tin/blog/chuyen-doi-the-atm</v>
      </c>
      <c r="B523" s="11">
        <f>IFERROR(__xludf.DUMMYFUNCTION("""COMPUTED_VALUE"""),2.0)</f>
        <v>2</v>
      </c>
      <c r="C523" s="7" t="str">
        <f>IFERROR(__xludf.DUMMYFUNCTION("IF(A523="""","""",TEXTJOIN(CHAR(10),TRUE,FILTER('Tổng hợp 75 trang đích'!$B$2:$B$3400,'Tổng hợp 75 trang đích'!$I$2:$I$3400=A523)))"),"https://techcombank.com/thong-tin/blog/nap-tien-vao-tai-khoan-ngan-hang
https://techcombank.com/thong-tin/blog/cic-la-gi")</f>
        <v>https://techcombank.com/thong-tin/blog/nap-tien-vao-tai-khoan-ngan-hang
https://techcombank.com/thong-tin/blog/cic-la-gi</v>
      </c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28" t="str">
        <f>IFERROR(__xludf.DUMMYFUNCTION("""COMPUTED_VALUE"""),"https://techcombank.com/thong-tin/blog/cua-hang-tien-loi")</f>
        <v>https://techcombank.com/thong-tin/blog/cua-hang-tien-loi</v>
      </c>
      <c r="B524" s="11">
        <f>IFERROR(__xludf.DUMMYFUNCTION("""COMPUTED_VALUE"""),2.0)</f>
        <v>2</v>
      </c>
      <c r="C524" s="7" t="str">
        <f>IFERROR(__xludf.DUMMYFUNCTION("IF(A524="""","""",TEXTJOIN(CHAR(10),TRUE,FILTER('Tổng hợp 75 trang đích'!$B$2:$B$3400,'Tổng hợp 75 trang đích'!$I$2:$I$3400=A524)))"),"https://techcombank.com/thong-tin/blog/traveloka-voucher
https://techcombank.com/thong-tin/blog/mo-hinh-kinh-doanh-la-gi")</f>
        <v>https://techcombank.com/thong-tin/blog/traveloka-voucher
https://techcombank.com/thong-tin/blog/mo-hinh-kinh-doanh-la-gi</v>
      </c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28" t="str">
        <f>IFERROR(__xludf.DUMMYFUNCTION("""COMPUTED_VALUE"""),"https://techcombank.com/thong-tin/blog/dac-san-hai-phong")</f>
        <v>https://techcombank.com/thong-tin/blog/dac-san-hai-phong</v>
      </c>
      <c r="B525" s="11">
        <f>IFERROR(__xludf.DUMMYFUNCTION("""COMPUTED_VALUE"""),2.0)</f>
        <v>2</v>
      </c>
      <c r="C525" s="7" t="str">
        <f>IFERROR(__xludf.DUMMYFUNCTION("IF(A525="""","""",TEXTJOIN(CHAR(10),TRUE,FILTER('Tổng hợp 75 trang đích'!$B$2:$B$3400,'Tổng hợp 75 trang đích'!$I$2:$I$3400=A525)))"),"https://techcombank.com/thong-tin/blog/lai-suat-tiet-kiem
https://techcombank.com/thong-tin/blog/cach-tinh-lai-suat-tien-gui-tiet-kiem")</f>
        <v>https://techcombank.com/thong-tin/blog/lai-suat-tiet-kiem
https://techcombank.com/thong-tin/blog/cach-tinh-lai-suat-tien-gui-tiet-kiem</v>
      </c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28" t="str">
        <f>IFERROR(__xludf.DUMMYFUNCTION("""COMPUTED_VALUE"""),"https://techcombank.com/thong-tin/blog/dau-co-va-dau-tu")</f>
        <v>https://techcombank.com/thong-tin/blog/dau-co-va-dau-tu</v>
      </c>
      <c r="B526" s="11">
        <f>IFERROR(__xludf.DUMMYFUNCTION("""COMPUTED_VALUE"""),2.0)</f>
        <v>2</v>
      </c>
      <c r="C526" s="7" t="str">
        <f>IFERROR(__xludf.DUMMYFUNCTION("IF(A526="""","""",TEXTJOIN(CHAR(10),TRUE,FILTER('Tổng hợp 75 trang đích'!$B$2:$B$3400,'Tổng hợp 75 trang đích'!$I$2:$I$3400=A526)))"),"https://techcombank.com/thong-tin/blog/thue-thu-nhap-doanh-nghiep
https://techcombank.com/thong-tin/blog/cach-tinh-thue-thu-nhap-doanh-nghiep")</f>
        <v>https://techcombank.com/thong-tin/blog/thue-thu-nhap-doanh-nghiep
https://techcombank.com/thong-tin/blog/cach-tinh-thue-thu-nhap-doanh-nghiep</v>
      </c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28" t="str">
        <f>IFERROR(__xludf.DUMMYFUNCTION("""COMPUTED_VALUE"""),"https://techcombank.com/thong-tin/blog/dau-tu-dai-han")</f>
        <v>https://techcombank.com/thong-tin/blog/dau-tu-dai-han</v>
      </c>
      <c r="B527" s="11">
        <f>IFERROR(__xludf.DUMMYFUNCTION("""COMPUTED_VALUE"""),2.0)</f>
        <v>2</v>
      </c>
      <c r="C527" s="7" t="str">
        <f>IFERROR(__xludf.DUMMYFUNCTION("IF(A527="""","""",TEXTJOIN(CHAR(10),TRUE,FILTER('Tổng hợp 75 trang đích'!$B$2:$B$3400,'Tổng hợp 75 trang đích'!$I$2:$I$3400=A527)))"),"https://techcombank.com/thong-tin/blog/lai-suat-tiet-kiem
https://techcombank.com/thong-tin/blog/cach-tinh-lai-suat-tien-gui-tiet-kiem")</f>
        <v>https://techcombank.com/thong-tin/blog/lai-suat-tiet-kiem
https://techcombank.com/thong-tin/blog/cach-tinh-lai-suat-tien-gui-tiet-kiem</v>
      </c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28" t="str">
        <f>IFERROR(__xludf.DUMMYFUNCTION("""COMPUTED_VALUE"""),"https://techcombank.com/thong-tin/blog/dau-tu-quy-mo")</f>
        <v>https://techcombank.com/thong-tin/blog/dau-tu-quy-mo</v>
      </c>
      <c r="B528" s="11">
        <f>IFERROR(__xludf.DUMMYFUNCTION("""COMPUTED_VALUE"""),2.0)</f>
        <v>2</v>
      </c>
      <c r="C528" s="7" t="str">
        <f>IFERROR(__xludf.DUMMYFUNCTION("IF(A528="""","""",TEXTJOIN(CHAR(10),TRUE,FILTER('Tổng hợp 75 trang đích'!$B$2:$B$3400,'Tổng hợp 75 trang đích'!$I$2:$I$3400=A528)))"),"https://techcombank.com/thong-tin/blog/lai-suat-tiet-kiem
https://techcombank.com/thong-tin/blog/phuong-phap-dau-tu-chung-chi-quy")</f>
        <v>https://techcombank.com/thong-tin/blog/lai-suat-tiet-kiem
https://techcombank.com/thong-tin/blog/phuong-phap-dau-tu-chung-chi-quy</v>
      </c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28" t="str">
        <f>IFERROR(__xludf.DUMMYFUNCTION("""COMPUTED_VALUE"""),"https://techcombank.com/thong-tin/blog/dau-tu-tai-chinh-ca-nhan")</f>
        <v>https://techcombank.com/thong-tin/blog/dau-tu-tai-chinh-ca-nhan</v>
      </c>
      <c r="B529" s="11">
        <f>IFERROR(__xludf.DUMMYFUNCTION("""COMPUTED_VALUE"""),2.0)</f>
        <v>2</v>
      </c>
      <c r="C529" s="7" t="str">
        <f>IFERROR(__xludf.DUMMYFUNCTION("IF(A529="""","""",TEXTJOIN(CHAR(10),TRUE,FILTER('Tổng hợp 75 trang đích'!$B$2:$B$3400,'Tổng hợp 75 trang đích'!$I$2:$I$3400=A529)))"),"https://techcombank.com/thong-tin/blog/lai-suat-tiet-kiem
https://techcombank.com/thong-tin/blog/cach-tinh-lai-suat-tien-gui-tiet-kiem")</f>
        <v>https://techcombank.com/thong-tin/blog/lai-suat-tiet-kiem
https://techcombank.com/thong-tin/blog/cach-tinh-lai-suat-tien-gui-tiet-kiem</v>
      </c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28" t="str">
        <f>IFERROR(__xludf.DUMMYFUNCTION("""COMPUTED_VALUE"""),"https://techcombank.com/thong-tin/blog/diem-loyalty-la-gi")</f>
        <v>https://techcombank.com/thong-tin/blog/diem-loyalty-la-gi</v>
      </c>
      <c r="B530" s="11">
        <f>IFERROR(__xludf.DUMMYFUNCTION("""COMPUTED_VALUE"""),2.0)</f>
        <v>2</v>
      </c>
      <c r="C530" s="7" t="str">
        <f>IFERROR(__xludf.DUMMYFUNCTION("IF(A530="""","""",TEXTJOIN(CHAR(10),TRUE,FILTER('Tổng hợp 75 trang đích'!$B$2:$B$3400,'Tổng hợp 75 trang đích'!$I$2:$I$3400=A530)))"),"https://techcombank.com/thong-tin/blog/traveloka-voucher
https://techcombank.com/cong-cu-tien-ich/cong-cu-tinh-toan/bang-tinh-lai-suat-tiet-kiem")</f>
        <v>https://techcombank.com/thong-tin/blog/traveloka-voucher
https://techcombank.com/cong-cu-tien-ich/cong-cu-tinh-toan/bang-tinh-lai-suat-tiet-kiem</v>
      </c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28" t="str">
        <f>IFERROR(__xludf.DUMMYFUNCTION("""COMPUTED_VALUE"""),"https://techcombank.com/thong-tin/blog/dinh-cu-chau-au")</f>
        <v>https://techcombank.com/thong-tin/blog/dinh-cu-chau-au</v>
      </c>
      <c r="B531" s="11">
        <f>IFERROR(__xludf.DUMMYFUNCTION("""COMPUTED_VALUE"""),2.0)</f>
        <v>2</v>
      </c>
      <c r="C531" s="7" t="str">
        <f>IFERROR(__xludf.DUMMYFUNCTION("IF(A531="""","""",TEXTJOIN(CHAR(10),TRUE,FILTER('Tổng hợp 75 trang đích'!$B$2:$B$3400,'Tổng hợp 75 trang đích'!$I$2:$I$3400=A531)))"),"https://techcombank.com/thong-tin/blog/chuyen-khoan-thanh-cong-nhung-khong-nhan-duoc-tien
https://techcombank.com/thong-tin/blog/cach-nhan-tien-tu-nuoc-ngoai-ve-viet-nam")</f>
        <v>https://techcombank.com/thong-tin/blog/chuyen-khoan-thanh-cong-nhung-khong-nhan-duoc-tien
https://techcombank.com/thong-tin/blog/cach-nhan-tien-tu-nuoc-ngoai-ve-viet-nam</v>
      </c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28" t="str">
        <f>IFERROR(__xludf.DUMMYFUNCTION("""COMPUTED_VALUE"""),"https://techcombank.com/thong-tin/blog/eco-card")</f>
        <v>https://techcombank.com/thong-tin/blog/eco-card</v>
      </c>
      <c r="B532" s="11">
        <f>IFERROR(__xludf.DUMMYFUNCTION("""COMPUTED_VALUE"""),2.0)</f>
        <v>2</v>
      </c>
      <c r="C532" s="7" t="str">
        <f>IFERROR(__xludf.DUMMYFUNCTION("IF(A532="""","""",TEXTJOIN(CHAR(10),TRUE,FILTER('Tổng hợp 75 trang đích'!$B$2:$B$3400,'Tổng hợp 75 trang đích'!$I$2:$I$3400=A532)))"),"https://techcombank.com/thong-tin/blog/nop-thue-dat-qua-ngan-hang
https://techcombank.com/thong-tin/blog/lam-the-tin-dung")</f>
        <v>https://techcombank.com/thong-tin/blog/nop-thue-dat-qua-ngan-hang
https://techcombank.com/thong-tin/blog/lam-the-tin-dung</v>
      </c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28" t="str">
        <f>IFERROR(__xludf.DUMMYFUNCTION("""COMPUTED_VALUE"""),"https://techcombank.com/thong-tin/blog/ghi-chep-chi-tieu")</f>
        <v>https://techcombank.com/thong-tin/blog/ghi-chep-chi-tieu</v>
      </c>
      <c r="B533" s="11">
        <f>IFERROR(__xludf.DUMMYFUNCTION("""COMPUTED_VALUE"""),2.0)</f>
        <v>2</v>
      </c>
      <c r="C533" s="7" t="str">
        <f>IFERROR(__xludf.DUMMYFUNCTION("IF(A533="""","""",TEXTJOIN(CHAR(10),TRUE,FILTER('Tổng hợp 75 trang đích'!$B$2:$B$3400,'Tổng hợp 75 trang đích'!$I$2:$I$3400=A533)))"),"https://techcombank.com/thong-tin/blog/cach-sao-ke-tai-khoan-ngan-hang
https://techcombank.com/thong-tin/blog/cach-tiet-kiem-tien")</f>
        <v>https://techcombank.com/thong-tin/blog/cach-sao-ke-tai-khoan-ngan-hang
https://techcombank.com/thong-tin/blog/cach-tiet-kiem-tien</v>
      </c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28" t="str">
        <f>IFERROR(__xludf.DUMMYFUNCTION("""COMPUTED_VALUE"""),"https://techcombank.com/thong-tin/blog/gia-ca-phe-hom-nay")</f>
        <v>https://techcombank.com/thong-tin/blog/gia-ca-phe-hom-nay</v>
      </c>
      <c r="B534" s="11">
        <f>IFERROR(__xludf.DUMMYFUNCTION("""COMPUTED_VALUE"""),2.0)</f>
        <v>2</v>
      </c>
      <c r="C534" s="7" t="str">
        <f>IFERROR(__xludf.DUMMYFUNCTION("IF(A534="""","""",TEXTJOIN(CHAR(10),TRUE,FILTER('Tổng hợp 75 trang đích'!$B$2:$B$3400,'Tổng hợp 75 trang đích'!$I$2:$I$3400=A534)))"),"https://techcombank.com/thong-tin/blog/cach-nhan-tien-tu-nuoc-ngoai-ve-viet-nam
https://techcombank.com/thong-tin/blog/doi-tien-do-o-dau")</f>
        <v>https://techcombank.com/thong-tin/blog/cach-nhan-tien-tu-nuoc-ngoai-ve-viet-nam
https://techcombank.com/thong-tin/blog/doi-tien-do-o-dau</v>
      </c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28" t="str">
        <f>IFERROR(__xludf.DUMMYFUNCTION("""COMPUTED_VALUE"""),"https://techcombank.com/thong-tin/blog/gia-tri-tai-san-rong")</f>
        <v>https://techcombank.com/thong-tin/blog/gia-tri-tai-san-rong</v>
      </c>
      <c r="B535" s="11">
        <f>IFERROR(__xludf.DUMMYFUNCTION("""COMPUTED_VALUE"""),2.0)</f>
        <v>2</v>
      </c>
      <c r="C535" s="7" t="str">
        <f>IFERROR(__xludf.DUMMYFUNCTION("IF(A535="""","""",TEXTJOIN(CHAR(10),TRUE,FILTER('Tổng hợp 75 trang đích'!$B$2:$B$3400,'Tổng hợp 75 trang đích'!$I$2:$I$3400=A535)))"),"https://techcombank.com/thong-tin/blog/eco-card
https://techcombank.com/thong-tin/blog/1-trieu-do-bang-bao-nhieu-tien-viet")</f>
        <v>https://techcombank.com/thong-tin/blog/eco-card
https://techcombank.com/thong-tin/blog/1-trieu-do-bang-bao-nhieu-tien-viet</v>
      </c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28" t="str">
        <f>IFERROR(__xludf.DUMMYFUNCTION("""COMPUTED_VALUE"""),"https://techcombank.com/thong-tin/blog/giai-ngan-la-gi")</f>
        <v>https://techcombank.com/thong-tin/blog/giai-ngan-la-gi</v>
      </c>
      <c r="B536" s="11">
        <f>IFERROR(__xludf.DUMMYFUNCTION("""COMPUTED_VALUE"""),2.0)</f>
        <v>2</v>
      </c>
      <c r="C536" s="7" t="str">
        <f>IFERROR(__xludf.DUMMYFUNCTION("IF(A536="""","""",TEXTJOIN(CHAR(10),TRUE,FILTER('Tổng hợp 75 trang đích'!$B$2:$B$3400,'Tổng hợp 75 trang đích'!$I$2:$I$3400=A536)))"),"https://techcombank.com/cong-cu-tien-ich/cong-cu-tinh-toan/bang-tinh-lai-suat-vay
https://techcombank.com/thong-tin/blog/app-vay-tien-nhanh")</f>
        <v>https://techcombank.com/cong-cu-tien-ich/cong-cu-tinh-toan/bang-tinh-lai-suat-vay
https://techcombank.com/thong-tin/blog/app-vay-tien-nhanh</v>
      </c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28" t="str">
        <f>IFERROR(__xludf.DUMMYFUNCTION("""COMPUTED_VALUE"""),"https://techcombank.com/thong-tin/blog/hu-chi-tieu")</f>
        <v>https://techcombank.com/thong-tin/blog/hu-chi-tieu</v>
      </c>
      <c r="B537" s="11">
        <f>IFERROR(__xludf.DUMMYFUNCTION("""COMPUTED_VALUE"""),2.0)</f>
        <v>2</v>
      </c>
      <c r="C537" s="7" t="str">
        <f>IFERROR(__xludf.DUMMYFUNCTION("IF(A537="""","""",TEXTJOIN(CHAR(10),TRUE,FILTER('Tổng hợp 75 trang đích'!$B$2:$B$3400,'Tổng hợp 75 trang đích'!$I$2:$I$3400=A537)))"),"https://techcombank.com/thong-tin/blog/cach-tinh-thue-thu-nhap-ca-nhan-2025
https://techcombank.com/thong-tin/blog/lai-suat-tiet-kiem")</f>
        <v>https://techcombank.com/thong-tin/blog/cach-tinh-thue-thu-nhap-ca-nhan-2025
https://techcombank.com/thong-tin/blog/lai-suat-tiet-kiem</v>
      </c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28" t="str">
        <f>IFERROR(__xludf.DUMMYFUNCTION("""COMPUTED_VALUE"""),"https://techcombank.com/thong-tin/blog/huong-dan-dang-ky-thanh-lap-doanh-nghiep")</f>
        <v>https://techcombank.com/thong-tin/blog/huong-dan-dang-ky-thanh-lap-doanh-nghiep</v>
      </c>
      <c r="B538" s="11">
        <f>IFERROR(__xludf.DUMMYFUNCTION("""COMPUTED_VALUE"""),2.0)</f>
        <v>2</v>
      </c>
      <c r="C538" s="7" t="str">
        <f>IFERROR(__xludf.DUMMYFUNCTION("IF(A538="""","""",TEXTJOIN(CHAR(10),TRUE,FILTER('Tổng hợp 75 trang đích'!$B$2:$B$3400,'Tổng hợp 75 trang đích'!$I$2:$I$3400=A538)))"),"https://techcombank.com/thong-tin/blog/thue-doanh-nghiep
https://techcombank.com/thong-tin/blog/mo-hinh-kinh-doanh-la-gi")</f>
        <v>https://techcombank.com/thong-tin/blog/thue-doanh-nghiep
https://techcombank.com/thong-tin/blog/mo-hinh-kinh-doanh-la-gi</v>
      </c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28" t="str">
        <f>IFERROR(__xludf.DUMMYFUNCTION("""COMPUTED_VALUE"""),"https://techcombank.com/thong-tin/blog/iban-la-gi")</f>
        <v>https://techcombank.com/thong-tin/blog/iban-la-gi</v>
      </c>
      <c r="B539" s="11">
        <f>IFERROR(__xludf.DUMMYFUNCTION("""COMPUTED_VALUE"""),2.0)</f>
        <v>2</v>
      </c>
      <c r="C539" s="7" t="str">
        <f>IFERROR(__xludf.DUMMYFUNCTION("IF(A539="""","""",TEXTJOIN(CHAR(10),TRUE,FILTER('Tổng hợp 75 trang đích'!$B$2:$B$3400,'Tổng hợp 75 trang đích'!$I$2:$I$3400=A539)))"),"https://techcombank.com/thong-tin/blog/chuyen-khoan-thanh-cong-nhung-khong-nhan-duoc-tien
https://techcombank.com/thong-tin/blog/cach-nhan-tien-tu-nuoc-ngoai-ve-viet-nam")</f>
        <v>https://techcombank.com/thong-tin/blog/chuyen-khoan-thanh-cong-nhung-khong-nhan-duoc-tien
https://techcombank.com/thong-tin/blog/cach-nhan-tien-tu-nuoc-ngoai-ve-viet-nam</v>
      </c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28" t="str">
        <f>IFERROR(__xludf.DUMMYFUNCTION("""COMPUTED_VALUE"""),"https://techcombank.com/thong-tin/blog/in-ma-qr-ngan-hang")</f>
        <v>https://techcombank.com/thong-tin/blog/in-ma-qr-ngan-hang</v>
      </c>
      <c r="B540" s="11">
        <f>IFERROR(__xludf.DUMMYFUNCTION("""COMPUTED_VALUE"""),2.0)</f>
        <v>2</v>
      </c>
      <c r="C540" s="7" t="str">
        <f>IFERROR(__xludf.DUMMYFUNCTION("IF(A540="""","""",TEXTJOIN(CHAR(10),TRUE,FILTER('Tổng hợp 75 trang đích'!$B$2:$B$3400,'Tổng hợp 75 trang đích'!$I$2:$I$3400=A540)))"),"https://techcombank.com/thong-tin/blog/rut-tien-bang-ma-qr-la-gi-cach-thuc-hien-nhu-the-nao
https://techcombank.com/thong-tin/blog/gui-ma-qr-ngan-hang")</f>
        <v>https://techcombank.com/thong-tin/blog/rut-tien-bang-ma-qr-la-gi-cach-thuc-hien-nhu-the-nao
https://techcombank.com/thong-tin/blog/gui-ma-qr-ngan-hang</v>
      </c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28" t="str">
        <f>IFERROR(__xludf.DUMMYFUNCTION("""COMPUTED_VALUE"""),"https://techcombank.com/thong-tin/blog/khau-vi-nha-dau-tu-tpdn-thay-doi-the-nao-sau-nhung-bien-dong-vua-qua")</f>
        <v>https://techcombank.com/thong-tin/blog/khau-vi-nha-dau-tu-tpdn-thay-doi-the-nao-sau-nhung-bien-dong-vua-qua</v>
      </c>
      <c r="B541" s="11">
        <f>IFERROR(__xludf.DUMMYFUNCTION("""COMPUTED_VALUE"""),2.0)</f>
        <v>2</v>
      </c>
      <c r="C541" s="7" t="str">
        <f>IFERROR(__xludf.DUMMYFUNCTION("IF(A541="""","""",TEXTJOIN(CHAR(10),TRUE,FILTER('Tổng hợp 75 trang đích'!$B$2:$B$3400,'Tổng hợp 75 trang đích'!$I$2:$I$3400=A541)))"),"https://techcombank.com/thong-tin/blog/eco-card
https://techcombank.com/thong-tin/blog/phuong-phap-dau-tu-chung-chi-quy")</f>
        <v>https://techcombank.com/thong-tin/blog/eco-card
https://techcombank.com/thong-tin/blog/phuong-phap-dau-tu-chung-chi-quy</v>
      </c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28" t="str">
        <f>IFERROR(__xludf.DUMMYFUNCTION("""COMPUTED_VALUE"""),"https://techcombank.com/thong-tin/blog/khong-su-dung-the-tin-dung-co-mat-phi-khong")</f>
        <v>https://techcombank.com/thong-tin/blog/khong-su-dung-the-tin-dung-co-mat-phi-khong</v>
      </c>
      <c r="B542" s="11">
        <f>IFERROR(__xludf.DUMMYFUNCTION("""COMPUTED_VALUE"""),2.0)</f>
        <v>2</v>
      </c>
      <c r="C542" s="7" t="str">
        <f>IFERROR(__xludf.DUMMYFUNCTION("IF(A542="""","""",TEXTJOIN(CHAR(10),TRUE,FILTER('Tổng hợp 75 trang đích'!$B$2:$B$3400,'Tổng hợp 75 trang đích'!$I$2:$I$3400=A542)))"),"https://techcombank.com/thong-tin/blog/cic-la-gi
https://techcombank.com/thong-tin/blog/cach-huy-the-tin-dung")</f>
        <v>https://techcombank.com/thong-tin/blog/cic-la-gi
https://techcombank.com/thong-tin/blog/cach-huy-the-tin-dung</v>
      </c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28" t="str">
        <f>IFERROR(__xludf.DUMMYFUNCTION("""COMPUTED_VALUE"""),"https://techcombank.com/thong-tin/blog/lam-ma-qr-ngan-hang-co-mat-phi-khong")</f>
        <v>https://techcombank.com/thong-tin/blog/lam-ma-qr-ngan-hang-co-mat-phi-khong</v>
      </c>
      <c r="B543" s="11">
        <f>IFERROR(__xludf.DUMMYFUNCTION("""COMPUTED_VALUE"""),2.0)</f>
        <v>2</v>
      </c>
      <c r="C543" s="7" t="str">
        <f>IFERROR(__xludf.DUMMYFUNCTION("IF(A543="""","""",TEXTJOIN(CHAR(10),TRUE,FILTER('Tổng hợp 75 trang đích'!$B$2:$B$3400,'Tổng hợp 75 trang đích'!$I$2:$I$3400=A543)))"),"https://techcombank.com/thong-tin/blog/rut-tien-bang-ma-qr-la-gi-cach-thuc-hien-nhu-the-nao
https://techcombank.com/thong-tin/blog/gui-ma-qr-ngan-hang")</f>
        <v>https://techcombank.com/thong-tin/blog/rut-tien-bang-ma-qr-la-gi-cach-thuc-hien-nhu-the-nao
https://techcombank.com/thong-tin/blog/gui-ma-qr-ngan-hang</v>
      </c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28" t="str">
        <f>IFERROR(__xludf.DUMMYFUNCTION("""COMPUTED_VALUE"""),"https://techcombank.com/thong-tin/blog/lam-the-thanh-toan-quoc-te")</f>
        <v>https://techcombank.com/thong-tin/blog/lam-the-thanh-toan-quoc-te</v>
      </c>
      <c r="B544" s="11">
        <f>IFERROR(__xludf.DUMMYFUNCTION("""COMPUTED_VALUE"""),2.0)</f>
        <v>2</v>
      </c>
      <c r="C544" s="7" t="str">
        <f>IFERROR(__xludf.DUMMYFUNCTION("IF(A544="""","""",TEXTJOIN(CHAR(10),TRUE,FILTER('Tổng hợp 75 trang đích'!$B$2:$B$3400,'Tổng hợp 75 trang đích'!$I$2:$I$3400=A544)))"),"https://techcombank.com/thong-tin/blog/bao-nhieu-tuoi-duoc-mo-tai-khoan-ngan-hang
https://techcombank.com/thong-tin/blog/cach-nhan-tien-tu-nuoc-ngoai-ve-viet-nam")</f>
        <v>https://techcombank.com/thong-tin/blog/bao-nhieu-tuoi-duoc-mo-tai-khoan-ngan-hang
https://techcombank.com/thong-tin/blog/cach-nhan-tien-tu-nuoc-ngoai-ve-viet-nam</v>
      </c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28" t="str">
        <f>IFERROR(__xludf.DUMMYFUNCTION("""COMPUTED_VALUE"""),"https://techcombank.com/thong-tin/blog/lam-the-visa-mat-bao-lau")</f>
        <v>https://techcombank.com/thong-tin/blog/lam-the-visa-mat-bao-lau</v>
      </c>
      <c r="B545" s="11">
        <f>IFERROR(__xludf.DUMMYFUNCTION("""COMPUTED_VALUE"""),2.0)</f>
        <v>2</v>
      </c>
      <c r="C545" s="7" t="str">
        <f>IFERROR(__xludf.DUMMYFUNCTION("IF(A545="""","""",TEXTJOIN(CHAR(10),TRUE,FILTER('Tổng hợp 75 trang đích'!$B$2:$B$3400,'Tổng hợp 75 trang đích'!$I$2:$I$3400=A545)))"),"https://techcombank.com/thong-tin/blog/bao-nhieu-tuoi-duoc-mo-tai-khoan-ngan-hang
https://techcombank.com/thong-tin/blog/cic-la-gi")</f>
        <v>https://techcombank.com/thong-tin/blog/bao-nhieu-tuoi-duoc-mo-tai-khoan-ngan-hang
https://techcombank.com/thong-tin/blog/cic-la-gi</v>
      </c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28" t="str">
        <f>IFERROR(__xludf.DUMMYFUNCTION("""COMPUTED_VALUE"""),"https://techcombank.com/thong-tin/blog/lam-the-visa-online")</f>
        <v>https://techcombank.com/thong-tin/blog/lam-the-visa-online</v>
      </c>
      <c r="B546" s="11">
        <f>IFERROR(__xludf.DUMMYFUNCTION("""COMPUTED_VALUE"""),2.0)</f>
        <v>2</v>
      </c>
      <c r="C546" s="7" t="str">
        <f>IFERROR(__xludf.DUMMYFUNCTION("IF(A546="""","""",TEXTJOIN(CHAR(10),TRUE,FILTER('Tổng hợp 75 trang đích'!$B$2:$B$3400,'Tổng hợp 75 trang đích'!$I$2:$I$3400=A546)))"),"https://techcombank.com/thong-tin/blog/bao-nhieu-tuoi-duoc-mo-tai-khoan-ngan-hang
https://techcombank.com/thong-tin/blog/cic-la-gi")</f>
        <v>https://techcombank.com/thong-tin/blog/bao-nhieu-tuoi-duoc-mo-tai-khoan-ngan-hang
https://techcombank.com/thong-tin/blog/cic-la-gi</v>
      </c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28" t="str">
        <f>IFERROR(__xludf.DUMMYFUNCTION("""COMPUTED_VALUE"""),"https://techcombank.com/thong-tin/blog/lap-ke-hoach-tai-chinh-ca-nhan")</f>
        <v>https://techcombank.com/thong-tin/blog/lap-ke-hoach-tai-chinh-ca-nhan</v>
      </c>
      <c r="B547" s="11">
        <f>IFERROR(__xludf.DUMMYFUNCTION("""COMPUTED_VALUE"""),2.0)</f>
        <v>2</v>
      </c>
      <c r="C547" s="7" t="str">
        <f>IFERROR(__xludf.DUMMYFUNCTION("IF(A547="""","""",TEXTJOIN(CHAR(10),TRUE,FILTER('Tổng hợp 75 trang đích'!$B$2:$B$3400,'Tổng hợp 75 trang đích'!$I$2:$I$3400=A547)))"),"https://techcombank.com/thong-tin/blog/lai-suat-tiet-kiem
https://techcombank.com/thong-tin/blog/phuong-phap-dau-tu-chung-chi-quy")</f>
        <v>https://techcombank.com/thong-tin/blog/lai-suat-tiet-kiem
https://techcombank.com/thong-tin/blog/phuong-phap-dau-tu-chung-chi-quy</v>
      </c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28" t="str">
        <f>IFERROR(__xludf.DUMMYFUNCTION("""COMPUTED_VALUE"""),"https://techcombank.com/thong-tin/blog/li-xi-so-dep")</f>
        <v>https://techcombank.com/thong-tin/blog/li-xi-so-dep</v>
      </c>
      <c r="B548" s="11">
        <f>IFERROR(__xludf.DUMMYFUNCTION("""COMPUTED_VALUE"""),2.0)</f>
        <v>2</v>
      </c>
      <c r="C548" s="7" t="str">
        <f>IFERROR(__xludf.DUMMYFUNCTION("IF(A548="""","""",TEXTJOIN(CHAR(10),TRUE,FILTER('Tổng hợp 75 trang đích'!$B$2:$B$3400,'Tổng hợp 75 trang đích'!$I$2:$I$3400=A548)))"),"https://techcombank.com/thong-tin/blog/bao-nhieu-tuoi-duoc-mo-tai-khoan-ngan-hang
https://techcombank.com/thong-tin/blog/day-so-phat-tai-phat-loc")</f>
        <v>https://techcombank.com/thong-tin/blog/bao-nhieu-tuoi-duoc-mo-tai-khoan-ngan-hang
https://techcombank.com/thong-tin/blog/day-so-phat-tai-phat-loc</v>
      </c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28" t="str">
        <f>IFERROR(__xludf.DUMMYFUNCTION("""COMPUTED_VALUE"""),"https://techcombank.com/thong-tin/blog/loa-ting-ting")</f>
        <v>https://techcombank.com/thong-tin/blog/loa-ting-ting</v>
      </c>
      <c r="B549" s="11">
        <f>IFERROR(__xludf.DUMMYFUNCTION("""COMPUTED_VALUE"""),2.0)</f>
        <v>2</v>
      </c>
      <c r="C549" s="7" t="str">
        <f>IFERROR(__xludf.DUMMYFUNCTION("IF(A549="""","""",TEXTJOIN(CHAR(10),TRUE,FILTER('Tổng hợp 75 trang đích'!$B$2:$B$3400,'Tổng hợp 75 trang đích'!$I$2:$I$3400=A549)))"),"https://techcombank.com/thong-tin/blog/chuyen-khoan-thanh-cong-nhung-khong-nhan-duoc-tien
https://techcombank.com/thong-tin/blog/gui-ma-qr-ngan-hang")</f>
        <v>https://techcombank.com/thong-tin/blog/chuyen-khoan-thanh-cong-nhung-khong-nhan-duoc-tien
https://techcombank.com/thong-tin/blog/gui-ma-qr-ngan-hang</v>
      </c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28" t="str">
        <f>IFERROR(__xludf.DUMMYFUNCTION("""COMPUTED_VALUE"""),"https://techcombank.com/thong-tin/blog/loi-ich-cua-mua-sam-online")</f>
        <v>https://techcombank.com/thong-tin/blog/loi-ich-cua-mua-sam-online</v>
      </c>
      <c r="B550" s="11">
        <f>IFERROR(__xludf.DUMMYFUNCTION("""COMPUTED_VALUE"""),2.0)</f>
        <v>2</v>
      </c>
      <c r="C550" s="7" t="str">
        <f>IFERROR(__xludf.DUMMYFUNCTION("IF(A550="""","""",TEXTJOIN(CHAR(10),TRUE,FILTER('Tổng hợp 75 trang đích'!$B$2:$B$3400,'Tổng hợp 75 trang đích'!$I$2:$I$3400=A550)))"),"https://techcombank.com/thong-tin/blog/lai-suat-tiet-kiem
https://techcombank.com/thong-tin/blog/cach-tinh-lai-suat-tien-gui-tiet-kiem")</f>
        <v>https://techcombank.com/thong-tin/blog/lai-suat-tiet-kiem
https://techcombank.com/thong-tin/blog/cach-tinh-lai-suat-tien-gui-tiet-kiem</v>
      </c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28" t="str">
        <f>IFERROR(__xludf.DUMMYFUNCTION("""COMPUTED_VALUE"""),"https://techcombank.com/thong-tin/blog/luong-huu")</f>
        <v>https://techcombank.com/thong-tin/blog/luong-huu</v>
      </c>
      <c r="B551" s="11">
        <f>IFERROR(__xludf.DUMMYFUNCTION("""COMPUTED_VALUE"""),2.0)</f>
        <v>2</v>
      </c>
      <c r="C551" s="7" t="str">
        <f>IFERROR(__xludf.DUMMYFUNCTION("IF(A551="""","""",TEXTJOIN(CHAR(10),TRUE,FILTER('Tổng hợp 75 trang đích'!$B$2:$B$3400,'Tổng hợp 75 trang đích'!$I$2:$I$3400=A551)))"),"https://techcombank.com/thong-tin/blog/cach-tinh-thue-thu-nhap-ca-nhan-2025
https://techcombank.com/thong-tin/blog/thue-thu-nhap-ca-nhan")</f>
        <v>https://techcombank.com/thong-tin/blog/cach-tinh-thue-thu-nhap-ca-nhan-2025
https://techcombank.com/thong-tin/blog/thue-thu-nhap-ca-nhan</v>
      </c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28" t="str">
        <f>IFERROR(__xludf.DUMMYFUNCTION("""COMPUTED_VALUE"""),"https://techcombank.com/thong-tin/blog/ma-giao-dich-la-gi")</f>
        <v>https://techcombank.com/thong-tin/blog/ma-giao-dich-la-gi</v>
      </c>
      <c r="B552" s="11">
        <f>IFERROR(__xludf.DUMMYFUNCTION("""COMPUTED_VALUE"""),2.0)</f>
        <v>2</v>
      </c>
      <c r="C552" s="7" t="str">
        <f>IFERROR(__xludf.DUMMYFUNCTION("IF(A552="""","""",TEXTJOIN(CHAR(10),TRUE,FILTER('Tổng hợp 75 trang đích'!$B$2:$B$3400,'Tổng hợp 75 trang đích'!$I$2:$I$3400=A552)))"),"https://techcombank.com/thong-tin/blog/cach-kiem-tra-tai-khoan-ngan-hang
https://techcombank.com/thong-tin/blog/chuyen-khoan-thanh-cong-nhung-khong-nhan-duoc-tien")</f>
        <v>https://techcombank.com/thong-tin/blog/cach-kiem-tra-tai-khoan-ngan-hang
https://techcombank.com/thong-tin/blog/chuyen-khoan-thanh-cong-nhung-khong-nhan-duoc-tien</v>
      </c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28" t="str">
        <f>IFERROR(__xludf.DUMMYFUNCTION("""COMPUTED_VALUE"""),"https://techcombank.com/thong-tin/blog/ma-mcc")</f>
        <v>https://techcombank.com/thong-tin/blog/ma-mcc</v>
      </c>
      <c r="B553" s="11">
        <f>IFERROR(__xludf.DUMMYFUNCTION("""COMPUTED_VALUE"""),2.0)</f>
        <v>2</v>
      </c>
      <c r="C553" s="7" t="str">
        <f>IFERROR(__xludf.DUMMYFUNCTION("IF(A553="""","""",TEXTJOIN(CHAR(10),TRUE,FILTER('Tổng hợp 75 trang đích'!$B$2:$B$3400,'Tổng hợp 75 trang đích'!$I$2:$I$3400=A553)))"),"https://techcombank.com/thong-tin/blog/cach-sao-ke-tai-khoan-ngan-hang
https://techcombank.com/thong-tin/blog/cach-tiet-kiem-tien")</f>
        <v>https://techcombank.com/thong-tin/blog/cach-sao-ke-tai-khoan-ngan-hang
https://techcombank.com/thong-tin/blog/cach-tiet-kiem-tien</v>
      </c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28" t="str">
        <f>IFERROR(__xludf.DUMMYFUNCTION("""COMPUTED_VALUE"""),"https://techcombank.com/thong-tin/blog/ma-pin-the-atm")</f>
        <v>https://techcombank.com/thong-tin/blog/ma-pin-the-atm</v>
      </c>
      <c r="B554" s="11">
        <f>IFERROR(__xludf.DUMMYFUNCTION("""COMPUTED_VALUE"""),2.0)</f>
        <v>2</v>
      </c>
      <c r="C554" s="7" t="str">
        <f>IFERROR(__xludf.DUMMYFUNCTION("IF(A554="""","""",TEXTJOIN(CHAR(10),TRUE,FILTER('Tổng hợp 75 trang đích'!$B$2:$B$3400,'Tổng hợp 75 trang đích'!$I$2:$I$3400=A554)))"),"https://techcombank.com/thong-tin/blog/nap-tien-vao-tai-khoan-ngan-hang
https://techcombank.com/thong-tin/blog/cic-la-gi")</f>
        <v>https://techcombank.com/thong-tin/blog/nap-tien-vao-tai-khoan-ngan-hang
https://techcombank.com/thong-tin/blog/cic-la-gi</v>
      </c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28" t="str">
        <f>IFERROR(__xludf.DUMMYFUNCTION("""COMPUTED_VALUE"""),"https://techcombank.com/thong-tin/blog/ma-qr-lam-gia-duoc-khong")</f>
        <v>https://techcombank.com/thong-tin/blog/ma-qr-lam-gia-duoc-khong</v>
      </c>
      <c r="B555" s="11">
        <f>IFERROR(__xludf.DUMMYFUNCTION("""COMPUTED_VALUE"""),2.0)</f>
        <v>2</v>
      </c>
      <c r="C555" s="7" t="str">
        <f>IFERROR(__xludf.DUMMYFUNCTION("IF(A555="""","""",TEXTJOIN(CHAR(10),TRUE,FILTER('Tổng hợp 75 trang đích'!$B$2:$B$3400,'Tổng hợp 75 trang đích'!$I$2:$I$3400=A555)))"),"https://techcombank.com/thong-tin/blog/rut-tien-bang-ma-qr-la-gi-cach-thuc-hien-nhu-the-nao
https://techcombank.com/thong-tin/blog/gui-ma-qr-ngan-hang")</f>
        <v>https://techcombank.com/thong-tin/blog/rut-tien-bang-ma-qr-la-gi-cach-thuc-hien-nhu-the-nao
https://techcombank.com/thong-tin/blog/gui-ma-qr-ngan-hang</v>
      </c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28" t="str">
        <f>IFERROR(__xludf.DUMMYFUNCTION("""COMPUTED_VALUE"""),"https://techcombank.com/thong-tin/blog/ma-qr-techcombank")</f>
        <v>https://techcombank.com/thong-tin/blog/ma-qr-techcombank</v>
      </c>
      <c r="B556" s="11">
        <f>IFERROR(__xludf.DUMMYFUNCTION("""COMPUTED_VALUE"""),2.0)</f>
        <v>2</v>
      </c>
      <c r="C556" s="7" t="str">
        <f>IFERROR(__xludf.DUMMYFUNCTION("IF(A556="""","""",TEXTJOIN(CHAR(10),TRUE,FILTER('Tổng hợp 75 trang đích'!$B$2:$B$3400,'Tổng hợp 75 trang đích'!$I$2:$I$3400=A556)))"),"https://techcombank.com/thong-tin/blog/rut-tien-bang-ma-qr-la-gi-cach-thuc-hien-nhu-the-nao
https://techcombank.com/thong-tin/blog/gui-ma-qr-ngan-hang")</f>
        <v>https://techcombank.com/thong-tin/blog/rut-tien-bang-ma-qr-la-gi-cach-thuc-hien-nhu-the-nao
https://techcombank.com/thong-tin/blog/gui-ma-qr-ngan-hang</v>
      </c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28" t="str">
        <f>IFERROR(__xludf.DUMMYFUNCTION("""COMPUTED_VALUE"""),"https://techcombank.com/thong-tin/blog/ma-swift-ngan-hang")</f>
        <v>https://techcombank.com/thong-tin/blog/ma-swift-ngan-hang</v>
      </c>
      <c r="B557" s="11">
        <f>IFERROR(__xludf.DUMMYFUNCTION("""COMPUTED_VALUE"""),2.0)</f>
        <v>2</v>
      </c>
      <c r="C557" s="7" t="str">
        <f>IFERROR(__xludf.DUMMYFUNCTION("IF(A557="""","""",TEXTJOIN(CHAR(10),TRUE,FILTER('Tổng hợp 75 trang đích'!$B$2:$B$3400,'Tổng hợp 75 trang đích'!$I$2:$I$3400=A557)))"),"https://techcombank.com/thong-tin/blog/chuyen-khoan-thanh-cong-nhung-khong-nhan-duoc-tien
https://techcombank.com/thong-tin/blog/cach-nhan-tien-tu-nuoc-ngoai-ve-viet-nam")</f>
        <v>https://techcombank.com/thong-tin/blog/chuyen-khoan-thanh-cong-nhung-khong-nhan-duoc-tien
https://techcombank.com/thong-tin/blog/cach-nhan-tien-tu-nuoc-ngoai-ve-viet-nam</v>
      </c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28" t="str">
        <f>IFERROR(__xludf.DUMMYFUNCTION("""COMPUTED_VALUE"""),"https://techcombank.com/thong-tin/blog/mat-the-tin-dung-co-lam-lai-duoc-khong")</f>
        <v>https://techcombank.com/thong-tin/blog/mat-the-tin-dung-co-lam-lai-duoc-khong</v>
      </c>
      <c r="B558" s="11">
        <f>IFERROR(__xludf.DUMMYFUNCTION("""COMPUTED_VALUE"""),2.0)</f>
        <v>2</v>
      </c>
      <c r="C558" s="7" t="str">
        <f>IFERROR(__xludf.DUMMYFUNCTION("IF(A558="""","""",TEXTJOIN(CHAR(10),TRUE,FILTER('Tổng hợp 75 trang đích'!$B$2:$B$3400,'Tổng hợp 75 trang đích'!$I$2:$I$3400=A558)))"),"https://techcombank.com/thong-tin/blog/ngan-hang-uy-tin
https://techcombank.com/thong-tin/blog/cic-la-gi")</f>
        <v>https://techcombank.com/thong-tin/blog/ngan-hang-uy-tin
https://techcombank.com/thong-tin/blog/cic-la-gi</v>
      </c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28" t="str">
        <f>IFERROR(__xludf.DUMMYFUNCTION("""COMPUTED_VALUE"""),"https://techcombank.com/thong-tin/blog/mau-mo-tai-khoan-doanh-nghiep-techcombank")</f>
        <v>https://techcombank.com/thong-tin/blog/mau-mo-tai-khoan-doanh-nghiep-techcombank</v>
      </c>
      <c r="B559" s="11">
        <f>IFERROR(__xludf.DUMMYFUNCTION("""COMPUTED_VALUE"""),2.0)</f>
        <v>2</v>
      </c>
      <c r="C559" s="7" t="str">
        <f>IFERROR(__xludf.DUMMYFUNCTION("IF(A559="""","""",TEXTJOIN(CHAR(10),TRUE,FILTER('Tổng hợp 75 trang đích'!$B$2:$B$3400,'Tổng hợp 75 trang đích'!$I$2:$I$3400=A559)))"),"https://techcombank.com/thong-tin/blog/cong-ty-su-dung-tai-khoan-ca-nhan
https://techcombank.com/thong-tin/blog/cach-mo-tai-khoan")</f>
        <v>https://techcombank.com/thong-tin/blog/cong-ty-su-dung-tai-khoan-ca-nhan
https://techcombank.com/thong-tin/blog/cach-mo-tai-khoan</v>
      </c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28" t="str">
        <f>IFERROR(__xludf.DUMMYFUNCTION("""COMPUTED_VALUE"""),"https://techcombank.com/thong-tin/blog/merchant-la-gi")</f>
        <v>https://techcombank.com/thong-tin/blog/merchant-la-gi</v>
      </c>
      <c r="B560" s="11">
        <f>IFERROR(__xludf.DUMMYFUNCTION("""COMPUTED_VALUE"""),2.0)</f>
        <v>2</v>
      </c>
      <c r="C560" s="7" t="str">
        <f>IFERROR(__xludf.DUMMYFUNCTION("IF(A560="""","""",TEXTJOIN(CHAR(10),TRUE,FILTER('Tổng hợp 75 trang đích'!$B$2:$B$3400,'Tổng hợp 75 trang đích'!$I$2:$I$3400=A560)))"),"https://techcombank.com/thong-tin/blog/mo-hinh-kinh-doanh-la-gi
https://techcombank.com/thong-tin/blog/gui-ma-qr-ngan-hang")</f>
        <v>https://techcombank.com/thong-tin/blog/mo-hinh-kinh-doanh-la-gi
https://techcombank.com/thong-tin/blog/gui-ma-qr-ngan-hang</v>
      </c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28" t="str">
        <f>IFERROR(__xludf.DUMMYFUNCTION("""COMPUTED_VALUE"""),"https://techcombank.com/thong-tin/blog/mo-tai-khoan-ngan-hang-duoi-18-tuoi")</f>
        <v>https://techcombank.com/thong-tin/blog/mo-tai-khoan-ngan-hang-duoi-18-tuoi</v>
      </c>
      <c r="B561" s="11">
        <f>IFERROR(__xludf.DUMMYFUNCTION("""COMPUTED_VALUE"""),2.0)</f>
        <v>2</v>
      </c>
      <c r="C561" s="7" t="str">
        <f>IFERROR(__xludf.DUMMYFUNCTION("IF(A561="""","""",TEXTJOIN(CHAR(10),TRUE,FILTER('Tổng hợp 75 trang đích'!$B$2:$B$3400,'Tổng hợp 75 trang đích'!$I$2:$I$3400=A561)))"),"https://techcombank.com/thong-tin/blog/cach-mo-tai-khoan
https://techcombank.com/thong-tin/blog/bao-nhieu-tuoi-duoc-mo-tai-khoan-ngan-hang")</f>
        <v>https://techcombank.com/thong-tin/blog/cach-mo-tai-khoan
https://techcombank.com/thong-tin/blog/bao-nhieu-tuoi-duoc-mo-tai-khoan-ngan-hang</v>
      </c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28" t="str">
        <f>IFERROR(__xludf.DUMMYFUNCTION("""COMPUTED_VALUE"""),"https://techcombank.com/thong-tin/blog/mr-eco")</f>
        <v>https://techcombank.com/thong-tin/blog/mr-eco</v>
      </c>
      <c r="B562" s="11">
        <f>IFERROR(__xludf.DUMMYFUNCTION("""COMPUTED_VALUE"""),2.0)</f>
        <v>2</v>
      </c>
      <c r="C562" s="7" t="str">
        <f>IFERROR(__xludf.DUMMYFUNCTION("IF(A562="""","""",TEXTJOIN(CHAR(10),TRUE,FILTER('Tổng hợp 75 trang đích'!$B$2:$B$3400,'Tổng hợp 75 trang đích'!$I$2:$I$3400=A562)))"),"https://techcombank.com/thong-tin/blog/eco-card
https://techcombank.com/thong-tin/blog/traveloka-voucher")</f>
        <v>https://techcombank.com/thong-tin/blog/eco-card
https://techcombank.com/thong-tin/blog/traveloka-voucher</v>
      </c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28" t="str">
        <f>IFERROR(__xludf.DUMMYFUNCTION("""COMPUTED_VALUE"""),"https://techcombank.com/thong-tin/blog/nen-lam-the-visa-hay-noi-dia")</f>
        <v>https://techcombank.com/thong-tin/blog/nen-lam-the-visa-hay-noi-dia</v>
      </c>
      <c r="B563" s="11">
        <f>IFERROR(__xludf.DUMMYFUNCTION("""COMPUTED_VALUE"""),2.0)</f>
        <v>2</v>
      </c>
      <c r="C563" s="7" t="str">
        <f>IFERROR(__xludf.DUMMYFUNCTION("IF(A563="""","""",TEXTJOIN(CHAR(10),TRUE,FILTER('Tổng hợp 75 trang đích'!$B$2:$B$3400,'Tổng hợp 75 trang đích'!$I$2:$I$3400=A563)))"),"https://techcombank.com/thong-tin/blog/cic-la-gi
https://techcombank.com/thong-tin/blog/cach-nhan-tien-tu-nuoc-ngoai-ve-viet-nam")</f>
        <v>https://techcombank.com/thong-tin/blog/cic-la-gi
https://techcombank.com/thong-tin/blog/cach-nhan-tien-tu-nuoc-ngoai-ve-viet-nam</v>
      </c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28" t="str">
        <f>IFERROR(__xludf.DUMMYFUNCTION("""COMPUTED_VALUE"""),"https://techcombank.com/thong-tin/blog/nen-mo-tai-khoan-ngan-hang-nao-cho-doanh-nghiep")</f>
        <v>https://techcombank.com/thong-tin/blog/nen-mo-tai-khoan-ngan-hang-nao-cho-doanh-nghiep</v>
      </c>
      <c r="B564" s="11">
        <f>IFERROR(__xludf.DUMMYFUNCTION("""COMPUTED_VALUE"""),2.0)</f>
        <v>2</v>
      </c>
      <c r="C564" s="7" t="str">
        <f>IFERROR(__xludf.DUMMYFUNCTION("IF(A564="""","""",TEXTJOIN(CHAR(10),TRUE,FILTER('Tổng hợp 75 trang đích'!$B$2:$B$3400,'Tổng hợp 75 trang đích'!$I$2:$I$3400=A564)))"),"https://techcombank.com/thong-tin/blog/cach-mo-tai-khoan
https://techcombank.com/thong-tin/blog/ngan-hang-uy-tin")</f>
        <v>https://techcombank.com/thong-tin/blog/cach-mo-tai-khoan
https://techcombank.com/thong-tin/blog/ngan-hang-uy-tin</v>
      </c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28" t="str">
        <f>IFERROR(__xludf.DUMMYFUNCTION("""COMPUTED_VALUE"""),"https://techcombank.com/thong-tin/blog/ngan-hang-dien-tu")</f>
        <v>https://techcombank.com/thong-tin/blog/ngan-hang-dien-tu</v>
      </c>
      <c r="B565" s="11">
        <f>IFERROR(__xludf.DUMMYFUNCTION("""COMPUTED_VALUE"""),2.0)</f>
        <v>2</v>
      </c>
      <c r="C565" s="7" t="str">
        <f>IFERROR(__xludf.DUMMYFUNCTION("IF(A565="""","""",TEXTJOIN(CHAR(10),TRUE,FILTER('Tổng hợp 75 trang đích'!$B$2:$B$3400,'Tổng hợp 75 trang đích'!$I$2:$I$3400=A565)))"),"https://techcombank.com/thong-tin/blog/lai-suat-tiet-kiem
https://techcombank.com/thong-tin/blog/cach-tinh-lai-suat-tien-gui-tiet-kiem")</f>
        <v>https://techcombank.com/thong-tin/blog/lai-suat-tiet-kiem
https://techcombank.com/thong-tin/blog/cach-tinh-lai-suat-tien-gui-tiet-kiem</v>
      </c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28" t="str">
        <f>IFERROR(__xludf.DUMMYFUNCTION("""COMPUTED_VALUE"""),"https://techcombank.com/thong-tin/blog/ngan-hang-so-cho-doanh-nghiep")</f>
        <v>https://techcombank.com/thong-tin/blog/ngan-hang-so-cho-doanh-nghiep</v>
      </c>
      <c r="B566" s="11">
        <f>IFERROR(__xludf.DUMMYFUNCTION("""COMPUTED_VALUE"""),2.0)</f>
        <v>2</v>
      </c>
      <c r="C566" s="7" t="str">
        <f>IFERROR(__xludf.DUMMYFUNCTION("IF(A566="""","""",TEXTJOIN(CHAR(10),TRUE,FILTER('Tổng hợp 75 trang đích'!$B$2:$B$3400,'Tổng hợp 75 trang đích'!$I$2:$I$3400=A566)))"),"https://techcombank.com/thong-tin/blog/eco-card
https://techcombank.com/thong-tin/blog/cach-tiet-kiem-tien")</f>
        <v>https://techcombank.com/thong-tin/blog/eco-card
https://techcombank.com/thong-tin/blog/cach-tiet-kiem-tien</v>
      </c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28" t="str">
        <f>IFERROR(__xludf.DUMMYFUNCTION("""COMPUTED_VALUE"""),"https://techcombank.com/thong-tin/blog/nhung-kho-khan-khi-tiet-kiem-tien")</f>
        <v>https://techcombank.com/thong-tin/blog/nhung-kho-khan-khi-tiet-kiem-tien</v>
      </c>
      <c r="B567" s="11">
        <f>IFERROR(__xludf.DUMMYFUNCTION("""COMPUTED_VALUE"""),2.0)</f>
        <v>2</v>
      </c>
      <c r="C567" s="7" t="str">
        <f>IFERROR(__xludf.DUMMYFUNCTION("IF(A567="""","""",TEXTJOIN(CHAR(10),TRUE,FILTER('Tổng hợp 75 trang đích'!$B$2:$B$3400,'Tổng hợp 75 trang đích'!$I$2:$I$3400=A567)))"),"https://techcombank.com/thong-tin/blog/lai-suat-tiet-kiem
https://techcombank.com/thong-tin/blog/cach-tinh-lai-suat-tien-gui-tiet-kiem")</f>
        <v>https://techcombank.com/thong-tin/blog/lai-suat-tiet-kiem
https://techcombank.com/thong-tin/blog/cach-tinh-lai-suat-tien-gui-tiet-kiem</v>
      </c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28" t="str">
        <f>IFERROR(__xludf.DUMMYFUNCTION("""COMPUTED_VALUE"""),"https://techcombank.com/thong-tin/blog/phan-bo-tai-san")</f>
        <v>https://techcombank.com/thong-tin/blog/phan-bo-tai-san</v>
      </c>
      <c r="B568" s="11">
        <f>IFERROR(__xludf.DUMMYFUNCTION("""COMPUTED_VALUE"""),2.0)</f>
        <v>2</v>
      </c>
      <c r="C568" s="7" t="str">
        <f>IFERROR(__xludf.DUMMYFUNCTION("IF(A568="""","""",TEXTJOIN(CHAR(10),TRUE,FILTER('Tổng hợp 75 trang đích'!$B$2:$B$3400,'Tổng hợp 75 trang đích'!$I$2:$I$3400=A568)))"),"https://techcombank.com/thong-tin/blog/eco-card
https://techcombank.com/thong-tin/blog/rui-ro-khi-gui-tiet-kiem-online")</f>
        <v>https://techcombank.com/thong-tin/blog/eco-card
https://techcombank.com/thong-tin/blog/rui-ro-khi-gui-tiet-kiem-online</v>
      </c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28" t="str">
        <f>IFERROR(__xludf.DUMMYFUNCTION("""COMPUTED_VALUE"""),"https://techcombank.com/thong-tin/blog/phi-chuyen-doi-ngoai-te")</f>
        <v>https://techcombank.com/thong-tin/blog/phi-chuyen-doi-ngoai-te</v>
      </c>
      <c r="B569" s="11">
        <f>IFERROR(__xludf.DUMMYFUNCTION("""COMPUTED_VALUE"""),2.0)</f>
        <v>2</v>
      </c>
      <c r="C569" s="7" t="str">
        <f>IFERROR(__xludf.DUMMYFUNCTION("IF(A569="""","""",TEXTJOIN(CHAR(10),TRUE,FILTER('Tổng hợp 75 trang đích'!$B$2:$B$3400,'Tổng hợp 75 trang đích'!$I$2:$I$3400=A569)))"),"https://techcombank.com/thong-tin/blog/1-te-bang-bao-nhieu-tien-viet-nam
https://techcombank.com/thong-tin/blog/doi-tien-do-o-dau")</f>
        <v>https://techcombank.com/thong-tin/blog/1-te-bang-bao-nhieu-tien-viet-nam
https://techcombank.com/thong-tin/blog/doi-tien-do-o-dau</v>
      </c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28" t="str">
        <f>IFERROR(__xludf.DUMMYFUNCTION("""COMPUTED_VALUE"""),"https://techcombank.com/thong-tin/blog/phi-thuong-nien-la-gi")</f>
        <v>https://techcombank.com/thong-tin/blog/phi-thuong-nien-la-gi</v>
      </c>
      <c r="B570" s="11">
        <f>IFERROR(__xludf.DUMMYFUNCTION("""COMPUTED_VALUE"""),2.0)</f>
        <v>2</v>
      </c>
      <c r="C570" s="7" t="str">
        <f>IFERROR(__xludf.DUMMYFUNCTION("IF(A570="""","""",TEXTJOIN(CHAR(10),TRUE,FILTER('Tổng hợp 75 trang đích'!$B$2:$B$3400,'Tổng hợp 75 trang đích'!$I$2:$I$3400=A570)))"),"https://techcombank.com/thong-tin/blog/cic-la-gi
https://techcombank.com/thong-tin/blog/cach-huy-the-tin-dung")</f>
        <v>https://techcombank.com/thong-tin/blog/cic-la-gi
https://techcombank.com/thong-tin/blog/cach-huy-the-tin-dung</v>
      </c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28" t="str">
        <f>IFERROR(__xludf.DUMMYFUNCTION("""COMPUTED_VALUE"""),"https://techcombank.com/thong-tin/blog/pos")</f>
        <v>https://techcombank.com/thong-tin/blog/pos</v>
      </c>
      <c r="B571" s="11">
        <f>IFERROR(__xludf.DUMMYFUNCTION("""COMPUTED_VALUE"""),2.0)</f>
        <v>2</v>
      </c>
      <c r="C571" s="7" t="str">
        <f>IFERROR(__xludf.DUMMYFUNCTION("IF(A571="""","""",TEXTJOIN(CHAR(10),TRUE,FILTER('Tổng hợp 75 trang đích'!$B$2:$B$3400,'Tổng hợp 75 trang đích'!$I$2:$I$3400=A571)))"),"https://techcombank.com/thong-tin/blog/rut-tien-bang-ma-qr-la-gi-cach-thuc-hien-nhu-the-nao
https://techcombank.com/thong-tin/blog/gui-ma-qr-ngan-hang")</f>
        <v>https://techcombank.com/thong-tin/blog/rut-tien-bang-ma-qr-la-gi-cach-thuc-hien-nhu-the-nao
https://techcombank.com/thong-tin/blog/gui-ma-qr-ngan-hang</v>
      </c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28" t="str">
        <f>IFERROR(__xludf.DUMMYFUNCTION("""COMPUTED_VALUE"""),"https://techcombank.com/thong-tin/blog/qr-code-doanh-nghiep")</f>
        <v>https://techcombank.com/thong-tin/blog/qr-code-doanh-nghiep</v>
      </c>
      <c r="B572" s="11">
        <f>IFERROR(__xludf.DUMMYFUNCTION("""COMPUTED_VALUE"""),2.0)</f>
        <v>2</v>
      </c>
      <c r="C572" s="7" t="str">
        <f>IFERROR(__xludf.DUMMYFUNCTION("IF(A572="""","""",TEXTJOIN(CHAR(10),TRUE,FILTER('Tổng hợp 75 trang đích'!$B$2:$B$3400,'Tổng hợp 75 trang đích'!$I$2:$I$3400=A572)))"),"https://techcombank.com/thong-tin/blog/rut-tien-bang-ma-qr-la-gi-cach-thuc-hien-nhu-the-nao
https://techcombank.com/thong-tin/blog/gui-ma-qr-ngan-hang")</f>
        <v>https://techcombank.com/thong-tin/blog/rut-tien-bang-ma-qr-la-gi-cach-thuc-hien-nhu-the-nao
https://techcombank.com/thong-tin/blog/gui-ma-qr-ngan-hang</v>
      </c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28" t="str">
        <f>IFERROR(__xludf.DUMMYFUNCTION("""COMPUTED_VALUE"""),"https://techcombank.com/thong-tin/blog/qr-dong")</f>
        <v>https://techcombank.com/thong-tin/blog/qr-dong</v>
      </c>
      <c r="B573" s="11">
        <f>IFERROR(__xludf.DUMMYFUNCTION("""COMPUTED_VALUE"""),2.0)</f>
        <v>2</v>
      </c>
      <c r="C573" s="7" t="str">
        <f>IFERROR(__xludf.DUMMYFUNCTION("IF(A573="""","""",TEXTJOIN(CHAR(10),TRUE,FILTER('Tổng hợp 75 trang đích'!$B$2:$B$3400,'Tổng hợp 75 trang đích'!$I$2:$I$3400=A573)))"),"https://techcombank.com/thong-tin/blog/rut-tien-bang-ma-qr-la-gi-cach-thuc-hien-nhu-the-nao
https://techcombank.com/thong-tin/blog/gui-ma-qr-ngan-hang")</f>
        <v>https://techcombank.com/thong-tin/blog/rut-tien-bang-ma-qr-la-gi-cach-thuc-hien-nhu-the-nao
https://techcombank.com/thong-tin/blog/gui-ma-qr-ngan-hang</v>
      </c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28" t="str">
        <f>IFERROR(__xludf.DUMMYFUNCTION("""COMPUTED_VALUE"""),"https://techcombank.com/thong-tin/blog/quan-ly-tai-chinh-doanh-nghiep-nho")</f>
        <v>https://techcombank.com/thong-tin/blog/quan-ly-tai-chinh-doanh-nghiep-nho</v>
      </c>
      <c r="B574" s="11">
        <f>IFERROR(__xludf.DUMMYFUNCTION("""COMPUTED_VALUE"""),2.0)</f>
        <v>2</v>
      </c>
      <c r="C574" s="7" t="str">
        <f>IFERROR(__xludf.DUMMYFUNCTION("IF(A574="""","""",TEXTJOIN(CHAR(10),TRUE,FILTER('Tổng hợp 75 trang đích'!$B$2:$B$3400,'Tổng hợp 75 trang đích'!$I$2:$I$3400=A574)))"),"https://techcombank.com/thong-tin/blog/lai-suat-tiet-kiem
https://techcombank.com/thong-tin/blog/cach-tiet-kiem-tien")</f>
        <v>https://techcombank.com/thong-tin/blog/lai-suat-tiet-kiem
https://techcombank.com/thong-tin/blog/cach-tiet-kiem-tien</v>
      </c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28" t="str">
        <f>IFERROR(__xludf.DUMMYFUNCTION("""COMPUTED_VALUE"""),"https://techcombank.com/thong-tin/blog/quet-ma-qr-techcombank")</f>
        <v>https://techcombank.com/thong-tin/blog/quet-ma-qr-techcombank</v>
      </c>
      <c r="B575" s="11">
        <f>IFERROR(__xludf.DUMMYFUNCTION("""COMPUTED_VALUE"""),2.0)</f>
        <v>2</v>
      </c>
      <c r="C575" s="7" t="str">
        <f>IFERROR(__xludf.DUMMYFUNCTION("IF(A575="""","""",TEXTJOIN(CHAR(10),TRUE,FILTER('Tổng hợp 75 trang đích'!$B$2:$B$3400,'Tổng hợp 75 trang đích'!$I$2:$I$3400=A575)))"),"https://techcombank.com/thong-tin/blog/rut-tien-bang-ma-qr-la-gi-cach-thuc-hien-nhu-the-nao
https://techcombank.com/thong-tin/blog/gui-ma-qr-ngan-hang")</f>
        <v>https://techcombank.com/thong-tin/blog/rut-tien-bang-ma-qr-la-gi-cach-thuc-hien-nhu-the-nao
https://techcombank.com/thong-tin/blog/gui-ma-qr-ngan-hang</v>
      </c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28" t="str">
        <f>IFERROR(__xludf.DUMMYFUNCTION("""COMPUTED_VALUE"""),"https://techcombank.com/thong-tin/blog/quy-dinh-ve-mua-ban-ngoai-te-cua-doanh-nghiep")</f>
        <v>https://techcombank.com/thong-tin/blog/quy-dinh-ve-mua-ban-ngoai-te-cua-doanh-nghiep</v>
      </c>
      <c r="B576" s="11">
        <f>IFERROR(__xludf.DUMMYFUNCTION("""COMPUTED_VALUE"""),2.0)</f>
        <v>2</v>
      </c>
      <c r="C576" s="7" t="str">
        <f>IFERROR(__xludf.DUMMYFUNCTION("IF(A576="""","""",TEXTJOIN(CHAR(10),TRUE,FILTER('Tổng hợp 75 trang đích'!$B$2:$B$3400,'Tổng hợp 75 trang đích'!$I$2:$I$3400=A576)))"),"https://techcombank.com/thong-tin/blog/1-te-bang-bao-nhieu-tien-viet-nam
https://techcombank.com/thong-tin/blog/doi-tien-do-o-dau")</f>
        <v>https://techcombank.com/thong-tin/blog/1-te-bang-bao-nhieu-tien-viet-nam
https://techcombank.com/thong-tin/blog/doi-tien-do-o-dau</v>
      </c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28" t="str">
        <f>IFERROR(__xludf.DUMMYFUNCTION("""COMPUTED_VALUE"""),"https://techcombank.com/thong-tin/blog/quy-gia-dinh")</f>
        <v>https://techcombank.com/thong-tin/blog/quy-gia-dinh</v>
      </c>
      <c r="B577" s="11">
        <f>IFERROR(__xludf.DUMMYFUNCTION("""COMPUTED_VALUE"""),2.0)</f>
        <v>2</v>
      </c>
      <c r="C577" s="7" t="str">
        <f>IFERROR(__xludf.DUMMYFUNCTION("IF(A577="""","""",TEXTJOIN(CHAR(10),TRUE,FILTER('Tổng hợp 75 trang đích'!$B$2:$B$3400,'Tổng hợp 75 trang đích'!$I$2:$I$3400=A577)))"),"https://techcombank.com/thong-tin/blog/mo-tai-khoan-ngan-hang-duoi-18-tuoi
https://techcombank.com/cong-cu-tien-ich/cong-cu-tinh-toan/bang-tinh-lai-suat-tiet-kiem")</f>
        <v>https://techcombank.com/thong-tin/blog/mo-tai-khoan-ngan-hang-duoi-18-tuoi
https://techcombank.com/cong-cu-tien-ich/cong-cu-tinh-toan/bang-tinh-lai-suat-tiet-kiem</v>
      </c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28" t="str">
        <f>IFERROR(__xludf.DUMMYFUNCTION("""COMPUTED_VALUE"""),"https://techcombank.com/thong-tin/blog/remittance-la-gi")</f>
        <v>https://techcombank.com/thong-tin/blog/remittance-la-gi</v>
      </c>
      <c r="B578" s="11">
        <f>IFERROR(__xludf.DUMMYFUNCTION("""COMPUTED_VALUE"""),2.0)</f>
        <v>2</v>
      </c>
      <c r="C578" s="7" t="str">
        <f>IFERROR(__xludf.DUMMYFUNCTION("IF(A578="""","""",TEXTJOIN(CHAR(10),TRUE,FILTER('Tổng hợp 75 trang đích'!$B$2:$B$3400,'Tổng hợp 75 trang đích'!$I$2:$I$3400=A578)))"),"https://techcombank.com/thong-tin/blog/chuyen-khoan-thanh-cong-nhung-khong-nhan-duoc-tien
https://techcombank.com/thong-tin/blog/cach-nhan-tien-tu-nuoc-ngoai-ve-viet-nam")</f>
        <v>https://techcombank.com/thong-tin/blog/chuyen-khoan-thanh-cong-nhung-khong-nhan-duoc-tien
https://techcombank.com/thong-tin/blog/cach-nhan-tien-tu-nuoc-ngoai-ve-viet-nam</v>
      </c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28" t="str">
        <f>IFERROR(__xludf.DUMMYFUNCTION("""COMPUTED_VALUE"""),"https://techcombank.com/thong-tin/blog/san-pham-xanh")</f>
        <v>https://techcombank.com/thong-tin/blog/san-pham-xanh</v>
      </c>
      <c r="B579" s="11">
        <f>IFERROR(__xludf.DUMMYFUNCTION("""COMPUTED_VALUE"""),2.0)</f>
        <v>2</v>
      </c>
      <c r="C579" s="7" t="str">
        <f>IFERROR(__xludf.DUMMYFUNCTION("IF(A579="""","""",TEXTJOIN(CHAR(10),TRUE,FILTER('Tổng hợp 75 trang đích'!$B$2:$B$3400,'Tổng hợp 75 trang đích'!$I$2:$I$3400=A579)))"),"https://techcombank.com/thong-tin/blog/eco-card
https://techcombank.com/thong-tin/blog/cic-la-gi")</f>
        <v>https://techcombank.com/thong-tin/blog/eco-card
https://techcombank.com/thong-tin/blog/cic-la-gi</v>
      </c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28" t="str">
        <f>IFERROR(__xludf.DUMMYFUNCTION("""COMPUTED_VALUE"""),"https://techcombank.com/thong-tin/blog/shang-chi")</f>
        <v>https://techcombank.com/thong-tin/blog/shang-chi</v>
      </c>
      <c r="B580" s="11">
        <f>IFERROR(__xludf.DUMMYFUNCTION("""COMPUTED_VALUE"""),2.0)</f>
        <v>2</v>
      </c>
      <c r="C580" s="7" t="str">
        <f>IFERROR(__xludf.DUMMYFUNCTION("IF(A580="""","""",TEXTJOIN(CHAR(10),TRUE,FILTER('Tổng hợp 75 trang đích'!$B$2:$B$3400,'Tổng hợp 75 trang đích'!$I$2:$I$3400=A580)))"),"https://techcombank.com/thong-tin/blog/tien-dai-loan
https://techcombank.com/thong-tin/blog/traveloka-voucher")</f>
        <v>https://techcombank.com/thong-tin/blog/tien-dai-loan
https://techcombank.com/thong-tin/blog/traveloka-voucher</v>
      </c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28" t="str">
        <f>IFERROR(__xludf.DUMMYFUNCTION("""COMPUTED_VALUE"""),"https://techcombank.com/thong-tin/blog/shopeepay-la-gi")</f>
        <v>https://techcombank.com/thong-tin/blog/shopeepay-la-gi</v>
      </c>
      <c r="B581" s="11">
        <f>IFERROR(__xludf.DUMMYFUNCTION("""COMPUTED_VALUE"""),2.0)</f>
        <v>2</v>
      </c>
      <c r="C581" s="7" t="str">
        <f>IFERROR(__xludf.DUMMYFUNCTION("IF(A581="""","""",TEXTJOIN(CHAR(10),TRUE,FILTER('Tổng hợp 75 trang đích'!$B$2:$B$3400,'Tổng hợp 75 trang đích'!$I$2:$I$3400=A581)))"),"https://techcombank.com/thong-tin/blog/bao-nhieu-tuoi-duoc-mo-tai-khoan-ngan-hang
https://techcombank.com/thong-tin/blog/mo-tai-khoan-ngan-hang-duoi-18-tuoi")</f>
        <v>https://techcombank.com/thong-tin/blog/bao-nhieu-tuoi-duoc-mo-tai-khoan-ngan-hang
https://techcombank.com/thong-tin/blog/mo-tai-khoan-ngan-hang-duoi-18-tuoi</v>
      </c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28" t="str">
        <f>IFERROR(__xludf.DUMMYFUNCTION("""COMPUTED_VALUE"""),"https://techcombank.com/thong-tin/blog/so-6868")</f>
        <v>https://techcombank.com/thong-tin/blog/so-6868</v>
      </c>
      <c r="B582" s="11">
        <f>IFERROR(__xludf.DUMMYFUNCTION("""COMPUTED_VALUE"""),2.0)</f>
        <v>2</v>
      </c>
      <c r="C582" s="7" t="str">
        <f>IFERROR(__xludf.DUMMYFUNCTION("IF(A582="""","""",TEXTJOIN(CHAR(10),TRUE,FILTER('Tổng hợp 75 trang đích'!$B$2:$B$3400,'Tổng hợp 75 trang đích'!$I$2:$I$3400=A582)))"),"https://techcombank.com/thong-tin/blog/cach-kiem-tra-tai-khoan-ngan-hang
https://techcombank.com/thong-tin/blog/day-so-phat-tai-phat-loc")</f>
        <v>https://techcombank.com/thong-tin/blog/cach-kiem-tra-tai-khoan-ngan-hang
https://techcombank.com/thong-tin/blog/day-so-phat-tai-phat-loc</v>
      </c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28" t="str">
        <f>IFERROR(__xludf.DUMMYFUNCTION("""COMPUTED_VALUE"""),"https://techcombank.com/thong-tin/blog/so-8386")</f>
        <v>https://techcombank.com/thong-tin/blog/so-8386</v>
      </c>
      <c r="B583" s="11">
        <f>IFERROR(__xludf.DUMMYFUNCTION("""COMPUTED_VALUE"""),2.0)</f>
        <v>2</v>
      </c>
      <c r="C583" s="7" t="str">
        <f>IFERROR(__xludf.DUMMYFUNCTION("IF(A583="""","""",TEXTJOIN(CHAR(10),TRUE,FILTER('Tổng hợp 75 trang đích'!$B$2:$B$3400,'Tổng hợp 75 trang đích'!$I$2:$I$3400=A583)))"),"https://techcombank.com/thong-tin/blog/cach-kiem-tra-tai-khoan-ngan-hang
https://techcombank.com/thong-tin/blog/day-so-phat-tai-phat-loc")</f>
        <v>https://techcombank.com/thong-tin/blog/cach-kiem-tra-tai-khoan-ngan-hang
https://techcombank.com/thong-tin/blog/day-so-phat-tai-phat-loc</v>
      </c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28" t="str">
        <f>IFERROR(__xludf.DUMMYFUNCTION("""COMPUTED_VALUE"""),"https://techcombank.com/thong-tin/blog/so-du-kha-dung")</f>
        <v>https://techcombank.com/thong-tin/blog/so-du-kha-dung</v>
      </c>
      <c r="B584" s="11">
        <f>IFERROR(__xludf.DUMMYFUNCTION("""COMPUTED_VALUE"""),2.0)</f>
        <v>2</v>
      </c>
      <c r="C584" s="7" t="str">
        <f>IFERROR(__xludf.DUMMYFUNCTION("IF(A584="""","""",TEXTJOIN(CHAR(10),TRUE,FILTER('Tổng hợp 75 trang đích'!$B$2:$B$3400,'Tổng hợp 75 trang đích'!$I$2:$I$3400=A584)))"),"https://techcombank.com/thong-tin/blog/cach-kiem-tra-tai-khoan-ngan-hang
https://techcombank.com/thong-tin/blog/ten-dang-nhap-tai-khoan-ngan-hang-la-gi")</f>
        <v>https://techcombank.com/thong-tin/blog/cach-kiem-tra-tai-khoan-ngan-hang
https://techcombank.com/thong-tin/blog/ten-dang-nhap-tai-khoan-ngan-hang-la-gi</v>
      </c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28" t="str">
        <f>IFERROR(__xludf.DUMMYFUNCTION("""COMPUTED_VALUE"""),"https://techcombank.com/thong-tin/blog/so-du-tien-gui-la-gi")</f>
        <v>https://techcombank.com/thong-tin/blog/so-du-tien-gui-la-gi</v>
      </c>
      <c r="B585" s="11">
        <f>IFERROR(__xludf.DUMMYFUNCTION("""COMPUTED_VALUE"""),2.0)</f>
        <v>2</v>
      </c>
      <c r="C585" s="7" t="str">
        <f>IFERROR(__xludf.DUMMYFUNCTION("IF(A585="""","""",TEXTJOIN(CHAR(10),TRUE,FILTER('Tổng hợp 75 trang đích'!$B$2:$B$3400,'Tổng hợp 75 trang đích'!$I$2:$I$3400=A585)))"),"https://techcombank.com/thong-tin/blog/cach-kiem-tra-tai-khoan-ngan-hang
https://techcombank.com/thong-tin/blog/nap-tien-vao-tai-khoan-ngan-hang")</f>
        <v>https://techcombank.com/thong-tin/blog/cach-kiem-tra-tai-khoan-ngan-hang
https://techcombank.com/thong-tin/blog/nap-tien-vao-tai-khoan-ngan-hang</v>
      </c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28" t="str">
        <f>IFERROR(__xludf.DUMMYFUNCTION("""COMPUTED_VALUE"""),"https://techcombank.com/thong-tin/blog/so-sanh-ma-qr-va-ma-vach")</f>
        <v>https://techcombank.com/thong-tin/blog/so-sanh-ma-qr-va-ma-vach</v>
      </c>
      <c r="B586" s="11">
        <f>IFERROR(__xludf.DUMMYFUNCTION("""COMPUTED_VALUE"""),2.0)</f>
        <v>2</v>
      </c>
      <c r="C586" s="7" t="str">
        <f>IFERROR(__xludf.DUMMYFUNCTION("IF(A586="""","""",TEXTJOIN(CHAR(10),TRUE,FILTER('Tổng hợp 75 trang đích'!$B$2:$B$3400,'Tổng hợp 75 trang đích'!$I$2:$I$3400=A586)))"),"https://techcombank.com/thong-tin/blog/rut-tien-bang-ma-qr-la-gi-cach-thuc-hien-nhu-the-nao
https://techcombank.com/thong-tin/blog/gui-ma-qr-ngan-hang")</f>
        <v>https://techcombank.com/thong-tin/blog/rut-tien-bang-ma-qr-la-gi-cach-thuc-hien-nhu-the-nao
https://techcombank.com/thong-tin/blog/gui-ma-qr-ngan-hang</v>
      </c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28" t="str">
        <f>IFERROR(__xludf.DUMMYFUNCTION("""COMPUTED_VALUE"""),"https://techcombank.com/thong-tin/blog/tai-khoan-ngan-hang-bi-khoa")</f>
        <v>https://techcombank.com/thong-tin/blog/tai-khoan-ngan-hang-bi-khoa</v>
      </c>
      <c r="B587" s="11">
        <f>IFERROR(__xludf.DUMMYFUNCTION("""COMPUTED_VALUE"""),2.0)</f>
        <v>2</v>
      </c>
      <c r="C587" s="7" t="str">
        <f>IFERROR(__xludf.DUMMYFUNCTION("IF(A587="""","""",TEXTJOIN(CHAR(10),TRUE,FILTER('Tổng hợp 75 trang đích'!$B$2:$B$3400,'Tổng hợp 75 trang đích'!$I$2:$I$3400=A587)))"),"https://techcombank.com/thong-tin/blog/cach-nap-the-viettel
https://techcombank.com/thong-tin/blog/ten-dang-nhap-tai-khoan-ngan-hang-la-gi")</f>
        <v>https://techcombank.com/thong-tin/blog/cach-nap-the-viettel
https://techcombank.com/thong-tin/blog/ten-dang-nhap-tai-khoan-ngan-hang-la-gi</v>
      </c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28" t="str">
        <f>IFERROR(__xludf.DUMMYFUNCTION("""COMPUTED_VALUE"""),"https://techcombank.com/thong-tin/blog/tai-san-va-tieu-san-la-gi")</f>
        <v>https://techcombank.com/thong-tin/blog/tai-san-va-tieu-san-la-gi</v>
      </c>
      <c r="B588" s="11">
        <f>IFERROR(__xludf.DUMMYFUNCTION("""COMPUTED_VALUE"""),2.0)</f>
        <v>2</v>
      </c>
      <c r="C588" s="7" t="str">
        <f>IFERROR(__xludf.DUMMYFUNCTION("IF(A588="""","""",TEXTJOIN(CHAR(10),TRUE,FILTER('Tổng hợp 75 trang đích'!$B$2:$B$3400,'Tổng hợp 75 trang đích'!$I$2:$I$3400=A588)))"),"https://techcombank.com/thong-tin/blog/lai-suat-tiet-kiem
https://techcombank.com/thong-tin/blog/cach-tiet-kiem-tien")</f>
        <v>https://techcombank.com/thong-tin/blog/lai-suat-tiet-kiem
https://techcombank.com/thong-tin/blog/cach-tiet-kiem-tien</v>
      </c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28" t="str">
        <f>IFERROR(__xludf.DUMMYFUNCTION("""COMPUTED_VALUE"""),"https://techcombank.com/thong-tin/blog/techcombank-oneu")</f>
        <v>https://techcombank.com/thong-tin/blog/techcombank-oneu</v>
      </c>
      <c r="B589" s="11">
        <f>IFERROR(__xludf.DUMMYFUNCTION("""COMPUTED_VALUE"""),2.0)</f>
        <v>2</v>
      </c>
      <c r="C589" s="7" t="str">
        <f>IFERROR(__xludf.DUMMYFUNCTION("IF(A589="""","""",TEXTJOIN(CHAR(10),TRUE,FILTER('Tổng hợp 75 trang đích'!$B$2:$B$3400,'Tổng hợp 75 trang đích'!$I$2:$I$3400=A589)))"),"https://techcombank.com/thong-tin/blog/traveloka-voucher
https://techcombank.com/cong-cu-tien-ich/cong-cu-tinh-toan/bang-tinh-lai-suat-tiet-kiem")</f>
        <v>https://techcombank.com/thong-tin/blog/traveloka-voucher
https://techcombank.com/cong-cu-tien-ich/cong-cu-tinh-toan/bang-tinh-lai-suat-tiet-kiem</v>
      </c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28" t="str">
        <f>IFERROR(__xludf.DUMMYFUNCTION("""COMPUTED_VALUE"""),"https://techcombank.com/thong-tin/blog/thanh-toan-bang-ma-qr")</f>
        <v>https://techcombank.com/thong-tin/blog/thanh-toan-bang-ma-qr</v>
      </c>
      <c r="B590" s="11">
        <f>IFERROR(__xludf.DUMMYFUNCTION("""COMPUTED_VALUE"""),2.0)</f>
        <v>2</v>
      </c>
      <c r="C590" s="7" t="str">
        <f>IFERROR(__xludf.DUMMYFUNCTION("IF(A590="""","""",TEXTJOIN(CHAR(10),TRUE,FILTER('Tổng hợp 75 trang đích'!$B$2:$B$3400,'Tổng hợp 75 trang đích'!$I$2:$I$3400=A590)))"),"https://techcombank.com/thong-tin/blog/rut-tien-bang-ma-qr-la-gi-cach-thuc-hien-nhu-the-nao
https://techcombank.com/thong-tin/blog/gui-ma-qr-ngan-hang")</f>
        <v>https://techcombank.com/thong-tin/blog/rut-tien-bang-ma-qr-la-gi-cach-thuc-hien-nhu-the-nao
https://techcombank.com/thong-tin/blog/gui-ma-qr-ngan-hang</v>
      </c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28" t="str">
        <f>IFERROR(__xludf.DUMMYFUNCTION("""COMPUTED_VALUE"""),"https://techcombank.com/thong-tin/blog/thanh-toan-ma-qr-tro-thanh-phuong-thuc-duoc-ua-chuong-va-trien-khai-manh-me")</f>
        <v>https://techcombank.com/thong-tin/blog/thanh-toan-ma-qr-tro-thanh-phuong-thuc-duoc-ua-chuong-va-trien-khai-manh-me</v>
      </c>
      <c r="B591" s="11">
        <f>IFERROR(__xludf.DUMMYFUNCTION("""COMPUTED_VALUE"""),2.0)</f>
        <v>2</v>
      </c>
      <c r="C591" s="7" t="str">
        <f>IFERROR(__xludf.DUMMYFUNCTION("IF(A591="""","""",TEXTJOIN(CHAR(10),TRUE,FILTER('Tổng hợp 75 trang đích'!$B$2:$B$3400,'Tổng hợp 75 trang đích'!$I$2:$I$3400=A591)))"),"https://techcombank.com/thong-tin/blog/rut-tien-bang-ma-qr-la-gi-cach-thuc-hien-nhu-the-nao
https://techcombank.com/thong-tin/blog/gui-ma-qr-ngan-hang")</f>
        <v>https://techcombank.com/thong-tin/blog/rut-tien-bang-ma-qr-la-gi-cach-thuc-hien-nhu-the-nao
https://techcombank.com/thong-tin/blog/gui-ma-qr-ngan-hang</v>
      </c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28" t="str">
        <f>IFERROR(__xludf.DUMMYFUNCTION("""COMPUTED_VALUE"""),"https://techcombank.com/thong-tin/blog/thanh-toan-online-bang-the-tin-dung")</f>
        <v>https://techcombank.com/thong-tin/blog/thanh-toan-online-bang-the-tin-dung</v>
      </c>
      <c r="B592" s="11">
        <f>IFERROR(__xludf.DUMMYFUNCTION("""COMPUTED_VALUE"""),2.0)</f>
        <v>2</v>
      </c>
      <c r="C592" s="7" t="str">
        <f>IFERROR(__xludf.DUMMYFUNCTION("IF(A592="""","""",TEXTJOIN(CHAR(10),TRUE,FILTER('Tổng hợp 75 trang đích'!$B$2:$B$3400,'Tổng hợp 75 trang đích'!$I$2:$I$3400=A592)))"),"https://techcombank.com/thong-tin/blog/cic-la-gi
https://techcombank.com/thong-tin/blog/cach-huy-the-tin-dung")</f>
        <v>https://techcombank.com/thong-tin/blog/cic-la-gi
https://techcombank.com/thong-tin/blog/cach-huy-the-tin-dung</v>
      </c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28" t="str">
        <f>IFERROR(__xludf.DUMMYFUNCTION("""COMPUTED_VALUE"""),"https://techcombank.com/thong-tin/blog/thanh-toan-qr-thai-lan")</f>
        <v>https://techcombank.com/thong-tin/blog/thanh-toan-qr-thai-lan</v>
      </c>
      <c r="B593" s="11">
        <f>IFERROR(__xludf.DUMMYFUNCTION("""COMPUTED_VALUE"""),2.0)</f>
        <v>2</v>
      </c>
      <c r="C593" s="7" t="str">
        <f>IFERROR(__xludf.DUMMYFUNCTION("IF(A593="""","""",TEXTJOIN(CHAR(10),TRUE,FILTER('Tổng hợp 75 trang đích'!$B$2:$B$3400,'Tổng hợp 75 trang đích'!$I$2:$I$3400=A593)))"),"https://techcombank.com/thong-tin/blog/tien-thai-lan
https://techcombank.com/thong-tin/blog/gui-ma-qr-ngan-hang")</f>
        <v>https://techcombank.com/thong-tin/blog/tien-thai-lan
https://techcombank.com/thong-tin/blog/gui-ma-qr-ngan-hang</v>
      </c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28" t="str">
        <f>IFERROR(__xludf.DUMMYFUNCTION("""COMPUTED_VALUE"""),"https://techcombank.com/thong-tin/blog/thanh-toan-quoc-te")</f>
        <v>https://techcombank.com/thong-tin/blog/thanh-toan-quoc-te</v>
      </c>
      <c r="B594" s="11">
        <f>IFERROR(__xludf.DUMMYFUNCTION("""COMPUTED_VALUE"""),2.0)</f>
        <v>2</v>
      </c>
      <c r="C594" s="7" t="str">
        <f>IFERROR(__xludf.DUMMYFUNCTION("IF(A594="""","""",TEXTJOIN(CHAR(10),TRUE,FILTER('Tổng hợp 75 trang đích'!$B$2:$B$3400,'Tổng hợp 75 trang đích'!$I$2:$I$3400=A594)))"),"https://techcombank.com/thong-tin/blog/cic-la-gi
https://techcombank.com/thong-tin/blog/cach-nhan-tien-tu-nuoc-ngoai-ve-viet-nam")</f>
        <v>https://techcombank.com/thong-tin/blog/cic-la-gi
https://techcombank.com/thong-tin/blog/cach-nhan-tien-tu-nuoc-ngoai-ve-viet-nam</v>
      </c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28" t="str">
        <f>IFERROR(__xludf.DUMMYFUNCTION("""COMPUTED_VALUE"""),"https://techcombank.com/thong-tin/blog/thanh-toan-ve-may-bay-online")</f>
        <v>https://techcombank.com/thong-tin/blog/thanh-toan-ve-may-bay-online</v>
      </c>
      <c r="B595" s="11">
        <f>IFERROR(__xludf.DUMMYFUNCTION("""COMPUTED_VALUE"""),2.0)</f>
        <v>2</v>
      </c>
      <c r="C595" s="7" t="str">
        <f>IFERROR(__xludf.DUMMYFUNCTION("IF(A595="""","""",TEXTJOIN(CHAR(10),TRUE,FILTER('Tổng hợp 75 trang đích'!$B$2:$B$3400,'Tổng hợp 75 trang đích'!$I$2:$I$3400=A595)))"),"https://techcombank.com/thong-tin/blog/ten-dang-nhap-tai-khoan-ngan-hang-la-gi
https://techcombank.com/thong-tin/blog/traveloka-voucher")</f>
        <v>https://techcombank.com/thong-tin/blog/ten-dang-nhap-tai-khoan-ngan-hang-la-gi
https://techcombank.com/thong-tin/blog/traveloka-voucher</v>
      </c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28" t="str">
        <f>IFERROR(__xludf.DUMMYFUNCTION("""COMPUTED_VALUE"""),"https://techcombank.com/thong-tin/blog/the-atm-gan-chip")</f>
        <v>https://techcombank.com/thong-tin/blog/the-atm-gan-chip</v>
      </c>
      <c r="B596" s="11">
        <f>IFERROR(__xludf.DUMMYFUNCTION("""COMPUTED_VALUE"""),2.0)</f>
        <v>2</v>
      </c>
      <c r="C596" s="7" t="str">
        <f>IFERROR(__xludf.DUMMYFUNCTION("IF(A596="""","""",TEXTJOIN(CHAR(10),TRUE,FILTER('Tổng hợp 75 trang đích'!$B$2:$B$3400,'Tổng hợp 75 trang đích'!$I$2:$I$3400=A596)))"),"https://techcombank.com/thong-tin/blog/nap-tien-vao-tai-khoan-ngan-hang
https://techcombank.com/thong-tin/blog/cic-la-gi")</f>
        <v>https://techcombank.com/thong-tin/blog/nap-tien-vao-tai-khoan-ngan-hang
https://techcombank.com/thong-tin/blog/cic-la-gi</v>
      </c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28" t="str">
        <f>IFERROR(__xludf.DUMMYFUNCTION("""COMPUTED_VALUE"""),"https://techcombank.com/thong-tin/blog/the-atm-tu")</f>
        <v>https://techcombank.com/thong-tin/blog/the-atm-tu</v>
      </c>
      <c r="B597" s="11">
        <f>IFERROR(__xludf.DUMMYFUNCTION("""COMPUTED_VALUE"""),2.0)</f>
        <v>2</v>
      </c>
      <c r="C597" s="7" t="str">
        <f>IFERROR(__xludf.DUMMYFUNCTION("IF(A597="""","""",TEXTJOIN(CHAR(10),TRUE,FILTER('Tổng hợp 75 trang đích'!$B$2:$B$3400,'Tổng hợp 75 trang đích'!$I$2:$I$3400=A597)))"),"https://techcombank.com/thong-tin/blog/nap-tien-vao-tai-khoan-ngan-hang
https://techcombank.com/thong-tin/blog/cic-la-gi")</f>
        <v>https://techcombank.com/thong-tin/blog/nap-tien-vao-tai-khoan-ngan-hang
https://techcombank.com/thong-tin/blog/cic-la-gi</v>
      </c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28" t="str">
        <f>IFERROR(__xludf.DUMMYFUNCTION("""COMPUTED_VALUE"""),"https://techcombank.com/thong-tin/blog/the-ghi-no-la-gi")</f>
        <v>https://techcombank.com/thong-tin/blog/the-ghi-no-la-gi</v>
      </c>
      <c r="B598" s="11">
        <f>IFERROR(__xludf.DUMMYFUNCTION("""COMPUTED_VALUE"""),2.0)</f>
        <v>2</v>
      </c>
      <c r="C598" s="7" t="str">
        <f>IFERROR(__xludf.DUMMYFUNCTION("IF(A598="""","""",TEXTJOIN(CHAR(10),TRUE,FILTER('Tổng hợp 75 trang đích'!$B$2:$B$3400,'Tổng hợp 75 trang đích'!$I$2:$I$3400=A598)))"),"https://techcombank.com/thong-tin/blog/eco-card
https://techcombank.com/thong-tin/blog/cic-la-gi")</f>
        <v>https://techcombank.com/thong-tin/blog/eco-card
https://techcombank.com/thong-tin/blog/cic-la-gi</v>
      </c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28" t="str">
        <f>IFERROR(__xludf.DUMMYFUNCTION("""COMPUTED_VALUE"""),"https://techcombank.com/thong-tin/blog/the-ghi-no-noi-dia")</f>
        <v>https://techcombank.com/thong-tin/blog/the-ghi-no-noi-dia</v>
      </c>
      <c r="B599" s="11">
        <f>IFERROR(__xludf.DUMMYFUNCTION("""COMPUTED_VALUE"""),2.0)</f>
        <v>2</v>
      </c>
      <c r="C599" s="7" t="str">
        <f>IFERROR(__xludf.DUMMYFUNCTION("IF(A599="""","""",TEXTJOIN(CHAR(10),TRUE,FILTER('Tổng hợp 75 trang đích'!$B$2:$B$3400,'Tổng hợp 75 trang đích'!$I$2:$I$3400=A599)))"),"https://techcombank.com/thong-tin/blog/eco-card
https://techcombank.com/thong-tin/blog/cach-nhan-tien-tu-nuoc-ngoai-ve-viet-nam")</f>
        <v>https://techcombank.com/thong-tin/blog/eco-card
https://techcombank.com/thong-tin/blog/cach-nhan-tien-tu-nuoc-ngoai-ve-viet-nam</v>
      </c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28" t="str">
        <f>IFERROR(__xludf.DUMMYFUNCTION("""COMPUTED_VALUE"""),"https://techcombank.com/thong-tin/blog/the-he-ke-can")</f>
        <v>https://techcombank.com/thong-tin/blog/the-he-ke-can</v>
      </c>
      <c r="B600" s="11">
        <f>IFERROR(__xludf.DUMMYFUNCTION("""COMPUTED_VALUE"""),2.0)</f>
        <v>2</v>
      </c>
      <c r="C600" s="7" t="str">
        <f>IFERROR(__xludf.DUMMYFUNCTION("IF(A600="""","""",TEXTJOIN(CHAR(10),TRUE,FILTER('Tổng hợp 75 trang đích'!$B$2:$B$3400,'Tổng hợp 75 trang đích'!$I$2:$I$3400=A600)))"),"https://techcombank.com/thong-tin/blog/bao-nhieu-tuoi-duoc-mo-tai-khoan-ngan-hang
https://techcombank.com/thong-tin/blog/mo-tai-khoan-ngan-hang-duoi-18-tuoi")</f>
        <v>https://techcombank.com/thong-tin/blog/bao-nhieu-tuoi-duoc-mo-tai-khoan-ngan-hang
https://techcombank.com/thong-tin/blog/mo-tai-khoan-ngan-hang-duoi-18-tuoi</v>
      </c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28" t="str">
        <f>IFERROR(__xludf.DUMMYFUNCTION("""COMPUTED_VALUE"""),"https://techcombank.com/thong-tin/blog/the-mastercard-la-gi")</f>
        <v>https://techcombank.com/thong-tin/blog/the-mastercard-la-gi</v>
      </c>
      <c r="B601" s="11">
        <f>IFERROR(__xludf.DUMMYFUNCTION("""COMPUTED_VALUE"""),2.0)</f>
        <v>2</v>
      </c>
      <c r="C601" s="7" t="str">
        <f>IFERROR(__xludf.DUMMYFUNCTION("IF(A601="""","""",TEXTJOIN(CHAR(10),TRUE,FILTER('Tổng hợp 75 trang đích'!$B$2:$B$3400,'Tổng hợp 75 trang đích'!$I$2:$I$3400=A601)))"),"https://techcombank.com/thong-tin/blog/bao-nhieu-tuoi-duoc-mo-tai-khoan-ngan-hang
https://techcombank.com/thong-tin/blog/cic-la-gi")</f>
        <v>https://techcombank.com/thong-tin/blog/bao-nhieu-tuoi-duoc-mo-tai-khoan-ngan-hang
https://techcombank.com/thong-tin/blog/cic-la-gi</v>
      </c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28" t="str">
        <f>IFERROR(__xludf.DUMMYFUNCTION("""COMPUTED_VALUE"""),"https://techcombank.com/thong-tin/blog/the-napas-la-gi")</f>
        <v>https://techcombank.com/thong-tin/blog/the-napas-la-gi</v>
      </c>
      <c r="B602" s="11">
        <f>IFERROR(__xludf.DUMMYFUNCTION("""COMPUTED_VALUE"""),2.0)</f>
        <v>2</v>
      </c>
      <c r="C602" s="7" t="str">
        <f>IFERROR(__xludf.DUMMYFUNCTION("IF(A602="""","""",TEXTJOIN(CHAR(10),TRUE,FILTER('Tổng hợp 75 trang đích'!$B$2:$B$3400,'Tổng hợp 75 trang đích'!$I$2:$I$3400=A602)))"),"https://techcombank.com/thong-tin/blog/cic-la-gi
https://techcombank.com/thong-tin/blog/lam-the-tin-dung")</f>
        <v>https://techcombank.com/thong-tin/blog/cic-la-gi
https://techcombank.com/thong-tin/blog/lam-the-tin-dung</v>
      </c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28" t="str">
        <f>IFERROR(__xludf.DUMMYFUNCTION("""COMPUTED_VALUE"""),"https://techcombank.com/thong-tin/blog/the-tin-dung-ao")</f>
        <v>https://techcombank.com/thong-tin/blog/the-tin-dung-ao</v>
      </c>
      <c r="B603" s="11">
        <f>IFERROR(__xludf.DUMMYFUNCTION("""COMPUTED_VALUE"""),2.0)</f>
        <v>2</v>
      </c>
      <c r="C603" s="7" t="str">
        <f>IFERROR(__xludf.DUMMYFUNCTION("IF(A603="""","""",TEXTJOIN(CHAR(10),TRUE,FILTER('Tổng hợp 75 trang đích'!$B$2:$B$3400,'Tổng hợp 75 trang đích'!$I$2:$I$3400=A603)))"),"https://techcombank.com/thong-tin/blog/cic-la-gi
https://techcombank.com/thong-tin/blog/cach-huy-the-tin-dung")</f>
        <v>https://techcombank.com/thong-tin/blog/cic-la-gi
https://techcombank.com/thong-tin/blog/cach-huy-the-tin-dung</v>
      </c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28" t="str">
        <f>IFERROR(__xludf.DUMMYFUNCTION("""COMPUTED_VALUE"""),"https://techcombank.com/thong-tin/blog/the-tin-dung-co-ma-pin-khong")</f>
        <v>https://techcombank.com/thong-tin/blog/the-tin-dung-co-ma-pin-khong</v>
      </c>
      <c r="B604" s="11">
        <f>IFERROR(__xludf.DUMMYFUNCTION("""COMPUTED_VALUE"""),2.0)</f>
        <v>2</v>
      </c>
      <c r="C604" s="7" t="str">
        <f>IFERROR(__xludf.DUMMYFUNCTION("IF(A604="""","""",TEXTJOIN(CHAR(10),TRUE,FILTER('Tổng hợp 75 trang đích'!$B$2:$B$3400,'Tổng hợp 75 trang đích'!$I$2:$I$3400=A604)))"),"https://techcombank.com/thong-tin/blog/cic-la-gi
https://techcombank.com/thong-tin/blog/cach-huy-the-tin-dung")</f>
        <v>https://techcombank.com/thong-tin/blog/cic-la-gi
https://techcombank.com/thong-tin/blog/cach-huy-the-tin-dung</v>
      </c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28" t="str">
        <f>IFERROR(__xludf.DUMMYFUNCTION("""COMPUTED_VALUE"""),"https://techcombank.com/thong-tin/blog/the-visa-ao-la-gi")</f>
        <v>https://techcombank.com/thong-tin/blog/the-visa-ao-la-gi</v>
      </c>
      <c r="B605" s="11">
        <f>IFERROR(__xludf.DUMMYFUNCTION("""COMPUTED_VALUE"""),2.0)</f>
        <v>2</v>
      </c>
      <c r="C605" s="7" t="str">
        <f>IFERROR(__xludf.DUMMYFUNCTION("IF(A605="""","""",TEXTJOIN(CHAR(10),TRUE,FILTER('Tổng hợp 75 trang đích'!$B$2:$B$3400,'Tổng hợp 75 trang đích'!$I$2:$I$3400=A605)))"),"https://techcombank.com/thong-tin/blog/nap-tien-vao-tai-khoan-ngan-hang
https://techcombank.com/thong-tin/blog/cic-la-gi")</f>
        <v>https://techcombank.com/thong-tin/blog/nap-tien-vao-tai-khoan-ngan-hang
https://techcombank.com/thong-tin/blog/cic-la-gi</v>
      </c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28" t="str">
        <f>IFERROR(__xludf.DUMMYFUNCTION("""COMPUTED_VALUE"""),"https://techcombank.com/thong-tin/blog/the-visa-co-may-loai")</f>
        <v>https://techcombank.com/thong-tin/blog/the-visa-co-may-loai</v>
      </c>
      <c r="B606" s="11">
        <f>IFERROR(__xludf.DUMMYFUNCTION("""COMPUTED_VALUE"""),2.0)</f>
        <v>2</v>
      </c>
      <c r="C606" s="7" t="str">
        <f>IFERROR(__xludf.DUMMYFUNCTION("IF(A606="""","""",TEXTJOIN(CHAR(10),TRUE,FILTER('Tổng hợp 75 trang đích'!$B$2:$B$3400,'Tổng hợp 75 trang đích'!$I$2:$I$3400=A606)))"),"https://techcombank.com/thong-tin/blog/cach-sao-ke-tai-khoan-ngan-hang
https://techcombank.com/thong-tin/blog/cic-la-gi")</f>
        <v>https://techcombank.com/thong-tin/blog/cach-sao-ke-tai-khoan-ngan-hang
https://techcombank.com/thong-tin/blog/cic-la-gi</v>
      </c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28" t="str">
        <f>IFERROR(__xludf.DUMMYFUNCTION("""COMPUTED_VALUE"""),"https://techcombank.com/thong-tin/blog/thuc-day-thi-truong-the-noi-dia-va-xu-huong-thanh-toan-tuong-lai")</f>
        <v>https://techcombank.com/thong-tin/blog/thuc-day-thi-truong-the-noi-dia-va-xu-huong-thanh-toan-tuong-lai</v>
      </c>
      <c r="B607" s="11">
        <f>IFERROR(__xludf.DUMMYFUNCTION("""COMPUTED_VALUE"""),2.0)</f>
        <v>2</v>
      </c>
      <c r="C607" s="7" t="str">
        <f>IFERROR(__xludf.DUMMYFUNCTION("IF(A607="""","""",TEXTJOIN(CHAR(10),TRUE,FILTER('Tổng hợp 75 trang đích'!$B$2:$B$3400,'Tổng hợp 75 trang đích'!$I$2:$I$3400=A607)))"),"https://techcombank.com/thong-tin/blog/eco-card
https://techcombank.com/thong-tin/blog/cic-la-gi")</f>
        <v>https://techcombank.com/thong-tin/blog/eco-card
https://techcombank.com/thong-tin/blog/cic-la-gi</v>
      </c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28" t="str">
        <f>IFERROR(__xludf.DUMMYFUNCTION("""COMPUTED_VALUE"""),"https://techcombank.com/thong-tin/blog/tich-diem-doi-qua")</f>
        <v>https://techcombank.com/thong-tin/blog/tich-diem-doi-qua</v>
      </c>
      <c r="B608" s="11">
        <f>IFERROR(__xludf.DUMMYFUNCTION("""COMPUTED_VALUE"""),2.0)</f>
        <v>2</v>
      </c>
      <c r="C608" s="7" t="str">
        <f>IFERROR(__xludf.DUMMYFUNCTION("IF(A608="""","""",TEXTJOIN(CHAR(10),TRUE,FILTER('Tổng hợp 75 trang đích'!$B$2:$B$3400,'Tổng hợp 75 trang đích'!$I$2:$I$3400=A608)))"),"https://techcombank.com/thong-tin/blog/traveloka-voucher
https://techcombank.com/cong-cu-tien-ich/cong-cu-tinh-toan/bang-tinh-lai-suat-tiet-kiem")</f>
        <v>https://techcombank.com/thong-tin/blog/traveloka-voucher
https://techcombank.com/cong-cu-tien-ich/cong-cu-tinh-toan/bang-tinh-lai-suat-tiet-kiem</v>
      </c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28" t="str">
        <f>IFERROR(__xludf.DUMMYFUNCTION("""COMPUTED_VALUE"""),"https://techcombank.com/thong-tin/blog/tin-dung-la-gi")</f>
        <v>https://techcombank.com/thong-tin/blog/tin-dung-la-gi</v>
      </c>
      <c r="B609" s="11">
        <f>IFERROR(__xludf.DUMMYFUNCTION("""COMPUTED_VALUE"""),2.0)</f>
        <v>2</v>
      </c>
      <c r="C609" s="7" t="str">
        <f>IFERROR(__xludf.DUMMYFUNCTION("IF(A609="""","""",TEXTJOIN(CHAR(10),TRUE,FILTER('Tổng hợp 75 trang đích'!$B$2:$B$3400,'Tổng hợp 75 trang đích'!$I$2:$I$3400=A609)))"),"https://techcombank.com/thong-tin/blog/cic-la-gi
https://techcombank.com/thong-tin/blog/xep-hang-tin-dung")</f>
        <v>https://techcombank.com/thong-tin/blog/cic-la-gi
https://techcombank.com/thong-tin/blog/xep-hang-tin-dung</v>
      </c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28" t="str">
        <f>IFERROR(__xludf.DUMMYFUNCTION("""COMPUTED_VALUE"""),"https://techcombank.com/thong-tin/blog/toi-uu-hoa-chi-phi-trong-doanh-nghiep")</f>
        <v>https://techcombank.com/thong-tin/blog/toi-uu-hoa-chi-phi-trong-doanh-nghiep</v>
      </c>
      <c r="B610" s="11">
        <f>IFERROR(__xludf.DUMMYFUNCTION("""COMPUTED_VALUE"""),2.0)</f>
        <v>2</v>
      </c>
      <c r="C610" s="7" t="str">
        <f>IFERROR(__xludf.DUMMYFUNCTION("IF(A610="""","""",TEXTJOIN(CHAR(10),TRUE,FILTER('Tổng hợp 75 trang đích'!$B$2:$B$3400,'Tổng hợp 75 trang đích'!$I$2:$I$3400=A610)))"),"https://techcombank.com/thong-tin/blog/thue-thu-nhap-doanh-nghiep
https://techcombank.com/thong-tin/blog/cach-tinh-thue-thu-nhap-doanh-nghiep")</f>
        <v>https://techcombank.com/thong-tin/blog/thue-thu-nhap-doanh-nghiep
https://techcombank.com/thong-tin/blog/cach-tinh-thue-thu-nhap-doanh-nghiep</v>
      </c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28" t="str">
        <f>IFERROR(__xludf.DUMMYFUNCTION("""COMPUTED_VALUE"""),"https://techcombank.com/thong-tin/blog/tra-cuu-hoa-don-nuoc")</f>
        <v>https://techcombank.com/thong-tin/blog/tra-cuu-hoa-don-nuoc</v>
      </c>
      <c r="B611" s="11">
        <f>IFERROR(__xludf.DUMMYFUNCTION("""COMPUTED_VALUE"""),2.0)</f>
        <v>2</v>
      </c>
      <c r="C611" s="7" t="str">
        <f>IFERROR(__xludf.DUMMYFUNCTION("IF(A611="""","""",TEXTJOIN(CHAR(10),TRUE,FILTER('Tổng hợp 75 trang đích'!$B$2:$B$3400,'Tổng hợp 75 trang đích'!$I$2:$I$3400=A611)))"),"https://techcombank.com/thong-tin/blog/thue-vat-la-gi
https://techcombank.com/thong-tin/blog/cach-tinh-tien-dien-sinh-hoat")</f>
        <v>https://techcombank.com/thong-tin/blog/thue-vat-la-gi
https://techcombank.com/thong-tin/blog/cach-tinh-tien-dien-sinh-hoat</v>
      </c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28" t="str">
        <f>IFERROR(__xludf.DUMMYFUNCTION("""COMPUTED_VALUE"""),"https://techcombank.com/thong-tin/blog/vi-dien-tu")</f>
        <v>https://techcombank.com/thong-tin/blog/vi-dien-tu</v>
      </c>
      <c r="B612" s="11">
        <f>IFERROR(__xludf.DUMMYFUNCTION("""COMPUTED_VALUE"""),2.0)</f>
        <v>2</v>
      </c>
      <c r="C612" s="7" t="str">
        <f>IFERROR(__xludf.DUMMYFUNCTION("IF(A612="""","""",TEXTJOIN(CHAR(10),TRUE,FILTER('Tổng hợp 75 trang đích'!$B$2:$B$3400,'Tổng hợp 75 trang đích'!$I$2:$I$3400=A612)))"),"https://techcombank.com/thong-tin/blog/rut-tien-mat-tu-the-tin-dung
https://techcombank.com/thong-tin/blog/cach-tiet-kiem-tien")</f>
        <v>https://techcombank.com/thong-tin/blog/rut-tien-mat-tu-the-tin-dung
https://techcombank.com/thong-tin/blog/cach-tiet-kiem-tien</v>
      </c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28" t="str">
        <f>IFERROR(__xludf.DUMMYFUNCTION("""COMPUTED_VALUE"""),"https://techcombank.com/thong-tin/blog/vi-tra-sau")</f>
        <v>https://techcombank.com/thong-tin/blog/vi-tra-sau</v>
      </c>
      <c r="B613" s="11">
        <f>IFERROR(__xludf.DUMMYFUNCTION("""COMPUTED_VALUE"""),2.0)</f>
        <v>2</v>
      </c>
      <c r="C613" s="7" t="str">
        <f>IFERROR(__xludf.DUMMYFUNCTION("IF(A613="""","""",TEXTJOIN(CHAR(10),TRUE,FILTER('Tổng hợp 75 trang đích'!$B$2:$B$3400,'Tổng hợp 75 trang đích'!$I$2:$I$3400=A613)))"),"https://techcombank.com/thong-tin/blog/cach-sao-ke-tai-khoan-ngan-hang
https://techcombank.com/thong-tin/blog/cach-tiet-kiem-tien")</f>
        <v>https://techcombank.com/thong-tin/blog/cach-sao-ke-tai-khoan-ngan-hang
https://techcombank.com/thong-tin/blog/cach-tiet-kiem-tien</v>
      </c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28" t="str">
        <f>IFERROR(__xludf.DUMMYFUNCTION("""COMPUTED_VALUE"""),"https://techcombank.com/thong-tin/blog/vip-ngan-hang")</f>
        <v>https://techcombank.com/thong-tin/blog/vip-ngan-hang</v>
      </c>
      <c r="B614" s="11">
        <f>IFERROR(__xludf.DUMMYFUNCTION("""COMPUTED_VALUE"""),2.0)</f>
        <v>2</v>
      </c>
      <c r="C614" s="7" t="str">
        <f>IFERROR(__xludf.DUMMYFUNCTION("IF(A614="""","""",TEXTJOIN(CHAR(10),TRUE,FILTER('Tổng hợp 75 trang đích'!$B$2:$B$3400,'Tổng hợp 75 trang đích'!$I$2:$I$3400=A614)))"),"https://techcombank.com/thong-tin/blog/cach-kiem-tra-tai-khoan-ngan-hang
https://techcombank.com/thong-tin/blog/ngan-hang-uy-tin")</f>
        <v>https://techcombank.com/thong-tin/blog/cach-kiem-tra-tai-khoan-ngan-hang
https://techcombank.com/thong-tin/blog/ngan-hang-uy-tin</v>
      </c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28" t="str">
        <f>IFERROR(__xludf.DUMMYFUNCTION("""COMPUTED_VALUE"""),"https://techcombank.com/thong-tin/blog/voucher-coopmart")</f>
        <v>https://techcombank.com/thong-tin/blog/voucher-coopmart</v>
      </c>
      <c r="B615" s="11">
        <f>IFERROR(__xludf.DUMMYFUNCTION("""COMPUTED_VALUE"""),2.0)</f>
        <v>2</v>
      </c>
      <c r="C615" s="7" t="str">
        <f>IFERROR(__xludf.DUMMYFUNCTION("IF(A615="""","""",TEXTJOIN(CHAR(10),TRUE,FILTER('Tổng hợp 75 trang đích'!$B$2:$B$3400,'Tổng hợp 75 trang đích'!$I$2:$I$3400=A615)))"),"https://techcombank.com/thong-tin/blog/lai-suat-tiet-kiem
https://techcombank.com/thong-tin/blog/cach-tinh-lai-suat-tien-gui-tiet-kiem")</f>
        <v>https://techcombank.com/thong-tin/blog/lai-suat-tiet-kiem
https://techcombank.com/thong-tin/blog/cach-tinh-lai-suat-tien-gui-tiet-kiem</v>
      </c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28" t="str">
        <f>IFERROR(__xludf.DUMMYFUNCTION("""COMPUTED_VALUE"""),"https://techcombank.com/thong-tin/blog/voucher-phuc-long")</f>
        <v>https://techcombank.com/thong-tin/blog/voucher-phuc-long</v>
      </c>
      <c r="B616" s="11">
        <f>IFERROR(__xludf.DUMMYFUNCTION("""COMPUTED_VALUE"""),2.0)</f>
        <v>2</v>
      </c>
      <c r="C616" s="7" t="str">
        <f>IFERROR(__xludf.DUMMYFUNCTION("IF(A616="""","""",TEXTJOIN(CHAR(10),TRUE,FILTER('Tổng hợp 75 trang đích'!$B$2:$B$3400,'Tổng hợp 75 trang đích'!$I$2:$I$3400=A616)))"),"https://techcombank.com/thong-tin/blog/thue-vat-la-gi
https://techcombank.com/thong-tin/blog/traveloka-voucher")</f>
        <v>https://techcombank.com/thong-tin/blog/thue-vat-la-gi
https://techcombank.com/thong-tin/blog/traveloka-voucher</v>
      </c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28" t="str">
        <f>IFERROR(__xludf.DUMMYFUNCTION("""COMPUTED_VALUE"""),"https://techcombank.com/thong-tin/blog/voucher-xanh-sm")</f>
        <v>https://techcombank.com/thong-tin/blog/voucher-xanh-sm</v>
      </c>
      <c r="B617" s="11">
        <f>IFERROR(__xludf.DUMMYFUNCTION("""COMPUTED_VALUE"""),2.0)</f>
        <v>2</v>
      </c>
      <c r="C617" s="7" t="str">
        <f>IFERROR(__xludf.DUMMYFUNCTION("IF(A617="""","""",TEXTJOIN(CHAR(10),TRUE,FILTER('Tổng hợp 75 trang đích'!$B$2:$B$3400,'Tổng hợp 75 trang đích'!$I$2:$I$3400=A617)))"),"https://techcombank.com/thong-tin/blog/eco-card
https://techcombank.com/thong-tin/blog/traveloka-voucher")</f>
        <v>https://techcombank.com/thong-tin/blog/eco-card
https://techcombank.com/thong-tin/blog/traveloka-voucher</v>
      </c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28" t="str">
        <f>IFERROR(__xludf.DUMMYFUNCTION("""COMPUTED_VALUE"""),"https://techcombank.com/thong-tin/blog/xac-thuc-sinh-trac-hoc-khi-chuyen-tien")</f>
        <v>https://techcombank.com/thong-tin/blog/xac-thuc-sinh-trac-hoc-khi-chuyen-tien</v>
      </c>
      <c r="B618" s="11">
        <f>IFERROR(__xludf.DUMMYFUNCTION("""COMPUTED_VALUE"""),2.0)</f>
        <v>2</v>
      </c>
      <c r="C618" s="7" t="str">
        <f>IFERROR(__xludf.DUMMYFUNCTION("IF(A618="""","""",TEXTJOIN(CHAR(10),TRUE,FILTER('Tổng hợp 75 trang đích'!$B$2:$B$3400,'Tổng hợp 75 trang đích'!$I$2:$I$3400=A618)))"),"https://techcombank.com/thong-tin/blog/chuyen-khoan-thanh-cong-nhung-khong-nhan-duoc-tien
https://techcombank.com/thong-tin/blog/cach-quet-nfc-cccd-tren-iphone")</f>
        <v>https://techcombank.com/thong-tin/blog/chuyen-khoan-thanh-cong-nhung-khong-nhan-duoc-tien
https://techcombank.com/thong-tin/blog/cach-quet-nfc-cccd-tren-iphone</v>
      </c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28" t="str">
        <f>IFERROR(__xludf.DUMMYFUNCTION("""COMPUTED_VALUE"""),"https://techcombank.com/thong-tin/blog/xu-huong-dau-tu-trai-phieu-ky-han-duoi-mot-nam-lua-chon-an-toan-khi-thi-truong-bien-dong")</f>
        <v>https://techcombank.com/thong-tin/blog/xu-huong-dau-tu-trai-phieu-ky-han-duoi-mot-nam-lua-chon-an-toan-khi-thi-truong-bien-dong</v>
      </c>
      <c r="B619" s="11">
        <f>IFERROR(__xludf.DUMMYFUNCTION("""COMPUTED_VALUE"""),2.0)</f>
        <v>2</v>
      </c>
      <c r="C619" s="7" t="str">
        <f>IFERROR(__xludf.DUMMYFUNCTION("IF(A619="""","""",TEXTJOIN(CHAR(10),TRUE,FILTER('Tổng hợp 75 trang đích'!$B$2:$B$3400,'Tổng hợp 75 trang đích'!$I$2:$I$3400=A619)))"),"https://techcombank.com/thong-tin/blog/lai-suat-tiet-kiem
https://techcombank.com/thong-tin/blog/cach-tinh-lai-suat-tien-gui-tiet-kiem")</f>
        <v>https://techcombank.com/thong-tin/blog/lai-suat-tiet-kiem
https://techcombank.com/thong-tin/blog/cach-tinh-lai-suat-tien-gui-tiet-kiem</v>
      </c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28" t="str">
        <f>IFERROR(__xludf.DUMMYFUNCTION("""COMPUTED_VALUE"""),"https://techcombank.com/thong-tin/blog/y-nghia-so-68")</f>
        <v>https://techcombank.com/thong-tin/blog/y-nghia-so-68</v>
      </c>
      <c r="B620" s="11">
        <f>IFERROR(__xludf.DUMMYFUNCTION("""COMPUTED_VALUE"""),2.0)</f>
        <v>2</v>
      </c>
      <c r="C620" s="7" t="str">
        <f>IFERROR(__xludf.DUMMYFUNCTION("IF(A620="""","""",TEXTJOIN(CHAR(10),TRUE,FILTER('Tổng hợp 75 trang đích'!$B$2:$B$3400,'Tổng hợp 75 trang đích'!$I$2:$I$3400=A620)))"),"https://techcombank.com/thong-tin/blog/cach-kiem-tra-tai-khoan-ngan-hang
https://techcombank.com/thong-tin/blog/day-so-phat-tai-phat-loc")</f>
        <v>https://techcombank.com/thong-tin/blog/cach-kiem-tra-tai-khoan-ngan-hang
https://techcombank.com/thong-tin/blog/day-so-phat-tai-phat-loc</v>
      </c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28" t="str">
        <f>IFERROR(__xludf.DUMMYFUNCTION("""COMPUTED_VALUE"""),"https://techcombank.com/thong-tin/blog/4p-pizza")</f>
        <v>https://techcombank.com/thong-tin/blog/4p-pizza</v>
      </c>
      <c r="B621" s="11">
        <f>IFERROR(__xludf.DUMMYFUNCTION("""COMPUTED_VALUE"""),1.0)</f>
        <v>1</v>
      </c>
      <c r="C621" s="28" t="str">
        <f>IFERROR(__xludf.DUMMYFUNCTION("IF(A621="""","""",TEXTJOIN(CHAR(10),TRUE,FILTER('Tổng hợp 75 trang đích'!$B$2:$B$3400,'Tổng hợp 75 trang đích'!$I$2:$I$3400=A621)))"),"https://techcombank.com/thong-tin/blog/traveloka-voucher")</f>
        <v>https://techcombank.com/thong-tin/blog/traveloka-voucher</v>
      </c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28" t="str">
        <f>IFERROR(__xludf.DUMMYFUNCTION("""COMPUTED_VALUE"""),"https://techcombank.com/thong-tin/blog/an-han-no-goc-la-gi")</f>
        <v>https://techcombank.com/thong-tin/blog/an-han-no-goc-la-gi</v>
      </c>
      <c r="B622" s="11">
        <f>IFERROR(__xludf.DUMMYFUNCTION("""COMPUTED_VALUE"""),1.0)</f>
        <v>1</v>
      </c>
      <c r="C622" s="28" t="str">
        <f>IFERROR(__xludf.DUMMYFUNCTION("IF(A622="""","""",TEXTJOIN(CHAR(10),TRUE,FILTER('Tổng hợp 75 trang đích'!$B$2:$B$3400,'Tổng hợp 75 trang đích'!$I$2:$I$3400=A622)))"),"https://techcombank.com/thong-tin/blog/cach-tinh-lai-vay-ngan-hang")</f>
        <v>https://techcombank.com/thong-tin/blog/cach-tinh-lai-vay-ngan-hang</v>
      </c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28" t="str">
        <f>IFERROR(__xludf.DUMMYFUNCTION("""COMPUTED_VALUE"""),"https://techcombank.com/thong-tin/blog/anh-sang-cuoi-duong-ham-xuat-hien-trai-phieu-doanh-nghiep-tot-va-an-toan-se-duoc-nha-dau-tu-chon")</f>
        <v>https://techcombank.com/thong-tin/blog/anh-sang-cuoi-duong-ham-xuat-hien-trai-phieu-doanh-nghiep-tot-va-an-toan-se-duoc-nha-dau-tu-chon</v>
      </c>
      <c r="B623" s="11">
        <f>IFERROR(__xludf.DUMMYFUNCTION("""COMPUTED_VALUE"""),1.0)</f>
        <v>1</v>
      </c>
      <c r="C623" s="28" t="str">
        <f>IFERROR(__xludf.DUMMYFUNCTION("IF(A623="""","""",TEXTJOIN(CHAR(10),TRUE,FILTER('Tổng hợp 75 trang đích'!$B$2:$B$3400,'Tổng hợp 75 trang đích'!$I$2:$I$3400=A623)))"),"https://techcombank.com/thong-tin/blog/lai-suat-tiet-kiem")</f>
        <v>https://techcombank.com/thong-tin/blog/lai-suat-tiet-kiem</v>
      </c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28" t="str">
        <f>IFERROR(__xludf.DUMMYFUNCTION("""COMPUTED_VALUE"""),"https://techcombank.com/thong-tin/blog/app-ngan-hang-co-dung-duoc-o-nuoc-ngoai")</f>
        <v>https://techcombank.com/thong-tin/blog/app-ngan-hang-co-dung-duoc-o-nuoc-ngoai</v>
      </c>
      <c r="B624" s="11">
        <f>IFERROR(__xludf.DUMMYFUNCTION("""COMPUTED_VALUE"""),1.0)</f>
        <v>1</v>
      </c>
      <c r="C624" s="28" t="str">
        <f>IFERROR(__xludf.DUMMYFUNCTION("IF(A624="""","""",TEXTJOIN(CHAR(10),TRUE,FILTER('Tổng hợp 75 trang đích'!$B$2:$B$3400,'Tổng hợp 75 trang đích'!$I$2:$I$3400=A624)))"),"https://techcombank.com/thong-tin/blog/cach-nhan-tien-tu-nuoc-ngoai-ve-viet-nam")</f>
        <v>https://techcombank.com/thong-tin/blog/cach-nhan-tien-tu-nuoc-ngoai-ve-viet-nam</v>
      </c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28" t="str">
        <f>IFERROR(__xludf.DUMMYFUNCTION("""COMPUTED_VALUE"""),"https://techcombank.com/thong-tin/blog/app-quan-ly-chi-tieu")</f>
        <v>https://techcombank.com/thong-tin/blog/app-quan-ly-chi-tieu</v>
      </c>
      <c r="B625" s="11">
        <f>IFERROR(__xludf.DUMMYFUNCTION("""COMPUTED_VALUE"""),1.0)</f>
        <v>1</v>
      </c>
      <c r="C625" s="28" t="str">
        <f>IFERROR(__xludf.DUMMYFUNCTION("IF(A625="""","""",TEXTJOIN(CHAR(10),TRUE,FILTER('Tổng hợp 75 trang đích'!$B$2:$B$3400,'Tổng hợp 75 trang đích'!$I$2:$I$3400=A625)))"),"https://techcombank.com/thong-tin/blog/cach-sao-ke-tai-khoan-ngan-hang")</f>
        <v>https://techcombank.com/thong-tin/blog/cach-sao-ke-tai-khoan-ngan-hang</v>
      </c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28" t="str">
        <f>IFERROR(__xludf.DUMMYFUNCTION("""COMPUTED_VALUE"""),"https://techcombank.com/thong-tin/blog/app-theo-doi-chung-chi-quy")</f>
        <v>https://techcombank.com/thong-tin/blog/app-theo-doi-chung-chi-quy</v>
      </c>
      <c r="B626" s="11">
        <f>IFERROR(__xludf.DUMMYFUNCTION("""COMPUTED_VALUE"""),1.0)</f>
        <v>1</v>
      </c>
      <c r="C626" s="28" t="str">
        <f>IFERROR(__xludf.DUMMYFUNCTION("IF(A626="""","""",TEXTJOIN(CHAR(10),TRUE,FILTER('Tổng hợp 75 trang đích'!$B$2:$B$3400,'Tổng hợp 75 trang đích'!$I$2:$I$3400=A626)))"),"https://techcombank.com/thong-tin/blog/phuong-phap-dau-tu-chung-chi-quy")</f>
        <v>https://techcombank.com/thong-tin/blog/phuong-phap-dau-tu-chung-chi-quy</v>
      </c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28" t="str">
        <f>IFERROR(__xludf.DUMMYFUNCTION("""COMPUTED_VALUE"""),"https://techcombank.com/thong-tin/blog/bang-can-doi-tai-chinh")</f>
        <v>https://techcombank.com/thong-tin/blog/bang-can-doi-tai-chinh</v>
      </c>
      <c r="B627" s="11">
        <f>IFERROR(__xludf.DUMMYFUNCTION("""COMPUTED_VALUE"""),1.0)</f>
        <v>1</v>
      </c>
      <c r="C627" s="28" t="str">
        <f>IFERROR(__xludf.DUMMYFUNCTION("IF(A627="""","""",TEXTJOIN(CHAR(10),TRUE,FILTER('Tổng hợp 75 trang đích'!$B$2:$B$3400,'Tổng hợp 75 trang đích'!$I$2:$I$3400=A627)))"),"https://techcombank.com/thong-tin/blog/lai-suat-tiet-kiem")</f>
        <v>https://techcombank.com/thong-tin/blog/lai-suat-tiet-kiem</v>
      </c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28" t="str">
        <f>IFERROR(__xludf.DUMMYFUNCTION("""COMPUTED_VALUE"""),"https://techcombank.com/thong-tin/blog/bang-gia-chung-chi-quy")</f>
        <v>https://techcombank.com/thong-tin/blog/bang-gia-chung-chi-quy</v>
      </c>
      <c r="B628" s="11">
        <f>IFERROR(__xludf.DUMMYFUNCTION("""COMPUTED_VALUE"""),1.0)</f>
        <v>1</v>
      </c>
      <c r="C628" s="28" t="str">
        <f>IFERROR(__xludf.DUMMYFUNCTION("IF(A628="""","""",TEXTJOIN(CHAR(10),TRUE,FILTER('Tổng hợp 75 trang đích'!$B$2:$B$3400,'Tổng hợp 75 trang đích'!$I$2:$I$3400=A628)))"),"https://techcombank.com/thong-tin/blog/tra-cuu-no-thue-doanh-nghiep")</f>
        <v>https://techcombank.com/thong-tin/blog/tra-cuu-no-thue-doanh-nghiep</v>
      </c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28" t="str">
        <f>IFERROR(__xludf.DUMMYFUNCTION("""COMPUTED_VALUE"""),"https://techcombank.com/thong-tin/blog/bao-hiem-du-lich-quoc-te-nao-tot")</f>
        <v>https://techcombank.com/thong-tin/blog/bao-hiem-du-lich-quoc-te-nao-tot</v>
      </c>
      <c r="B629" s="11">
        <f>IFERROR(__xludf.DUMMYFUNCTION("""COMPUTED_VALUE"""),1.0)</f>
        <v>1</v>
      </c>
      <c r="C629" s="28" t="str">
        <f>IFERROR(__xludf.DUMMYFUNCTION("IF(A629="""","""",TEXTJOIN(CHAR(10),TRUE,FILTER('Tổng hợp 75 trang đích'!$B$2:$B$3400,'Tổng hợp 75 trang đích'!$I$2:$I$3400=A629)))"),"https://techcombank.com/thong-tin/blog/cach-nhan-tien-tu-nuoc-ngoai-ve-viet-nam")</f>
        <v>https://techcombank.com/thong-tin/blog/cach-nhan-tien-tu-nuoc-ngoai-ve-viet-nam</v>
      </c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28" t="str">
        <f>IFERROR(__xludf.DUMMYFUNCTION("""COMPUTED_VALUE"""),"https://techcombank.com/thong-tin/blog/bao-hiem-lien-ket-dau-tu")</f>
        <v>https://techcombank.com/thong-tin/blog/bao-hiem-lien-ket-dau-tu</v>
      </c>
      <c r="B630" s="11">
        <f>IFERROR(__xludf.DUMMYFUNCTION("""COMPUTED_VALUE"""),1.0)</f>
        <v>1</v>
      </c>
      <c r="C630" s="28" t="str">
        <f>IFERROR(__xludf.DUMMYFUNCTION("IF(A630="""","""",TEXTJOIN(CHAR(10),TRUE,FILTER('Tổng hợp 75 trang đích'!$B$2:$B$3400,'Tổng hợp 75 trang đích'!$I$2:$I$3400=A630)))"),"https://techcombank.com/thong-tin/blog/lai-suat-tiet-kiem")</f>
        <v>https://techcombank.com/thong-tin/blog/lai-suat-tiet-kiem</v>
      </c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28" t="str">
        <f>IFERROR(__xludf.DUMMYFUNCTION("""COMPUTED_VALUE"""),"https://techcombank.com/thong-tin/blog/bao-hiem-nhan-tho-la-gi")</f>
        <v>https://techcombank.com/thong-tin/blog/bao-hiem-nhan-tho-la-gi</v>
      </c>
      <c r="B631" s="11">
        <f>IFERROR(__xludf.DUMMYFUNCTION("""COMPUTED_VALUE"""),1.0)</f>
        <v>1</v>
      </c>
      <c r="C631" s="28" t="str">
        <f>IFERROR(__xludf.DUMMYFUNCTION("IF(A631="""","""",TEXTJOIN(CHAR(10),TRUE,FILTER('Tổng hợp 75 trang đích'!$B$2:$B$3400,'Tổng hợp 75 trang đích'!$I$2:$I$3400=A631)))"),"https://techcombank.com/thong-tin/blog/mo-tai-khoan-ngan-hang-duoi-18-tuoi")</f>
        <v>https://techcombank.com/thong-tin/blog/mo-tai-khoan-ngan-hang-duoi-18-tuoi</v>
      </c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28" t="str">
        <f>IFERROR(__xludf.DUMMYFUNCTION("""COMPUTED_VALUE"""),"https://techcombank.com/thong-tin/blog/bao-hiem-pin-xe-dien")</f>
        <v>https://techcombank.com/thong-tin/blog/bao-hiem-pin-xe-dien</v>
      </c>
      <c r="B632" s="11">
        <f>IFERROR(__xludf.DUMMYFUNCTION("""COMPUTED_VALUE"""),1.0)</f>
        <v>1</v>
      </c>
      <c r="C632" s="28" t="str">
        <f>IFERROR(__xludf.DUMMYFUNCTION("IF(A632="""","""",TEXTJOIN(CHAR(10),TRUE,FILTER('Tổng hợp 75 trang đích'!$B$2:$B$3400,'Tổng hợp 75 trang đích'!$I$2:$I$3400=A632)))"),"https://techcombank.com/thong-tin/blog/eco-card")</f>
        <v>https://techcombank.com/thong-tin/blog/eco-card</v>
      </c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28" t="str">
        <f>IFERROR(__xludf.DUMMYFUNCTION("""COMPUTED_VALUE"""),"https://techcombank.com/thong-tin/blog/bao-hiem-sinh-ky-la-gi")</f>
        <v>https://techcombank.com/thong-tin/blog/bao-hiem-sinh-ky-la-gi</v>
      </c>
      <c r="B633" s="11">
        <f>IFERROR(__xludf.DUMMYFUNCTION("""COMPUTED_VALUE"""),1.0)</f>
        <v>1</v>
      </c>
      <c r="C633" s="28" t="str">
        <f>IFERROR(__xludf.DUMMYFUNCTION("IF(A633="""","""",TEXTJOIN(CHAR(10),TRUE,FILTER('Tổng hợp 75 trang đích'!$B$2:$B$3400,'Tổng hợp 75 trang đích'!$I$2:$I$3400=A633)))"),"https://techcombank.com/thong-tin/blog/lai-suat-tiet-kiem")</f>
        <v>https://techcombank.com/thong-tin/blog/lai-suat-tiet-kiem</v>
      </c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28" t="str">
        <f>IFERROR(__xludf.DUMMYFUNCTION("""COMPUTED_VALUE"""),"https://techcombank.com/thong-tin/blog/bao-hiem-suc-khoe-la-gi")</f>
        <v>https://techcombank.com/thong-tin/blog/bao-hiem-suc-khoe-la-gi</v>
      </c>
      <c r="B634" s="11">
        <f>IFERROR(__xludf.DUMMYFUNCTION("""COMPUTED_VALUE"""),1.0)</f>
        <v>1</v>
      </c>
      <c r="C634" s="28" t="str">
        <f>IFERROR(__xludf.DUMMYFUNCTION("IF(A634="""","""",TEXTJOIN(CHAR(10),TRUE,FILTER('Tổng hợp 75 trang đích'!$B$2:$B$3400,'Tổng hợp 75 trang đích'!$I$2:$I$3400=A634)))"),"https://techcombank.com/thong-tin/blog/mo-tai-khoan-ngan-hang-duoi-18-tuoi")</f>
        <v>https://techcombank.com/thong-tin/blog/mo-tai-khoan-ngan-hang-duoi-18-tuoi</v>
      </c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28" t="str">
        <f>IFERROR(__xludf.DUMMYFUNCTION("""COMPUTED_VALUE"""),"https://techcombank.com/thong-tin/blog/bao-lanh-ngan-hang-infographic")</f>
        <v>https://techcombank.com/thong-tin/blog/bao-lanh-ngan-hang-infographic</v>
      </c>
      <c r="B635" s="11">
        <f>IFERROR(__xludf.DUMMYFUNCTION("""COMPUTED_VALUE"""),1.0)</f>
        <v>1</v>
      </c>
      <c r="C635" s="28" t="str">
        <f>IFERROR(__xludf.DUMMYFUNCTION("IF(A635="""","""",TEXTJOIN(CHAR(10),TRUE,FILTER('Tổng hợp 75 trang đích'!$B$2:$B$3400,'Tổng hợp 75 trang đích'!$I$2:$I$3400=A635)))"),"https://techcombank.com/thong-tin/blog/nop-thue-dat-qua-ngan-hang")</f>
        <v>https://techcombank.com/thong-tin/blog/nop-thue-dat-qua-ngan-hang</v>
      </c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28" t="str">
        <f>IFERROR(__xludf.DUMMYFUNCTION("""COMPUTED_VALUE"""),"https://techcombank.com/thong-tin/blog/bao-lanh-thuc-hien-hop-dong")</f>
        <v>https://techcombank.com/thong-tin/blog/bao-lanh-thuc-hien-hop-dong</v>
      </c>
      <c r="B636" s="11">
        <f>IFERROR(__xludf.DUMMYFUNCTION("""COMPUTED_VALUE"""),1.0)</f>
        <v>1</v>
      </c>
      <c r="C636" s="28" t="str">
        <f>IFERROR(__xludf.DUMMYFUNCTION("IF(A636="""","""",TEXTJOIN(CHAR(10),TRUE,FILTER('Tổng hợp 75 trang đích'!$B$2:$B$3400,'Tổng hợp 75 trang đích'!$I$2:$I$3400=A636)))"),"https://techcombank.com/thong-tin/blog/nop-thue-dat-qua-ngan-hang")</f>
        <v>https://techcombank.com/thong-tin/blog/nop-thue-dat-qua-ngan-hang</v>
      </c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28" t="str">
        <f>IFERROR(__xludf.DUMMYFUNCTION("""COMPUTED_VALUE"""),"https://techcombank.com/thong-tin/blog/bao-nhieu-tuoi-duoc-mo-tai-khoan-ngan-hang")</f>
        <v>https://techcombank.com/thong-tin/blog/bao-nhieu-tuoi-duoc-mo-tai-khoan-ngan-hang</v>
      </c>
      <c r="B637" s="11">
        <f>IFERROR(__xludf.DUMMYFUNCTION("""COMPUTED_VALUE"""),1.0)</f>
        <v>1</v>
      </c>
      <c r="C637" s="28" t="str">
        <f>IFERROR(__xludf.DUMMYFUNCTION("IF(A637="""","""",TEXTJOIN(CHAR(10),TRUE,FILTER('Tổng hợp 75 trang đích'!$B$2:$B$3400,'Tổng hợp 75 trang đích'!$I$2:$I$3400=A637)))"),"https://techcombank.com/thong-tin/blog/mo-tai-khoan-ngan-hang-duoi-18-tuoi")</f>
        <v>https://techcombank.com/thong-tin/blog/mo-tai-khoan-ngan-hang-duoi-18-tuoi</v>
      </c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28" t="str">
        <f>IFERROR(__xludf.DUMMYFUNCTION("""COMPUTED_VALUE"""),"https://techcombank.com/thong-tin/blog/bi-quyet-lua-chon-trai-phieu-an-toan-cho-nha-dau-tu")</f>
        <v>https://techcombank.com/thong-tin/blog/bi-quyet-lua-chon-trai-phieu-an-toan-cho-nha-dau-tu</v>
      </c>
      <c r="B638" s="11">
        <f>IFERROR(__xludf.DUMMYFUNCTION("""COMPUTED_VALUE"""),1.0)</f>
        <v>1</v>
      </c>
      <c r="C638" s="28" t="str">
        <f>IFERROR(__xludf.DUMMYFUNCTION("IF(A638="""","""",TEXTJOIN(CHAR(10),TRUE,FILTER('Tổng hợp 75 trang đích'!$B$2:$B$3400,'Tổng hợp 75 trang đích'!$I$2:$I$3400=A638)))"),"https://techcombank.com/thong-tin/blog/lai-suat-tiet-kiem")</f>
        <v>https://techcombank.com/thong-tin/blog/lai-suat-tiet-kiem</v>
      </c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28" t="str">
        <f>IFERROR(__xludf.DUMMYFUNCTION("""COMPUTED_VALUE"""),"https://techcombank.com/thong-tin/blog/bib-techcombank")</f>
        <v>https://techcombank.com/thong-tin/blog/bib-techcombank</v>
      </c>
      <c r="B639" s="11">
        <f>IFERROR(__xludf.DUMMYFUNCTION("""COMPUTED_VALUE"""),1.0)</f>
        <v>1</v>
      </c>
      <c r="C639" s="28" t="str">
        <f>IFERROR(__xludf.DUMMYFUNCTION("IF(A639="""","""",TEXTJOIN(CHAR(10),TRUE,FILTER('Tổng hợp 75 trang đích'!$B$2:$B$3400,'Tổng hợp 75 trang đích'!$I$2:$I$3400=A639)))"),"https://techcombank.com/thong-tin/blog/cach-nhan-tien-tu-nuoc-ngoai-ve-viet-nam")</f>
        <v>https://techcombank.com/thong-tin/blog/cach-nhan-tien-tu-nuoc-ngoai-ve-viet-nam</v>
      </c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28" t="str">
        <f>IFERROR(__xludf.DUMMYFUNCTION("""COMPUTED_VALUE"""),"https://techcombank.com/thong-tin/blog/cac-loai-hinh-bao-hiem-nhan-tho")</f>
        <v>https://techcombank.com/thong-tin/blog/cac-loai-hinh-bao-hiem-nhan-tho</v>
      </c>
      <c r="B640" s="11">
        <f>IFERROR(__xludf.DUMMYFUNCTION("""COMPUTED_VALUE"""),1.0)</f>
        <v>1</v>
      </c>
      <c r="C640" s="28" t="str">
        <f>IFERROR(__xludf.DUMMYFUNCTION("IF(A640="""","""",TEXTJOIN(CHAR(10),TRUE,FILTER('Tổng hợp 75 trang đích'!$B$2:$B$3400,'Tổng hợp 75 trang đích'!$I$2:$I$3400=A640)))"),"https://techcombank.com/thong-tin/blog/mo-tai-khoan-ngan-hang-duoi-18-tuoi")</f>
        <v>https://techcombank.com/thong-tin/blog/mo-tai-khoan-ngan-hang-duoi-18-tuoi</v>
      </c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28" t="str">
        <f>IFERROR(__xludf.DUMMYFUNCTION("""COMPUTED_VALUE"""),"https://techcombank.com/thong-tin/blog/cac-loai-hinh-doanh-nghiep")</f>
        <v>https://techcombank.com/thong-tin/blog/cac-loai-hinh-doanh-nghiep</v>
      </c>
      <c r="B641" s="11">
        <f>IFERROR(__xludf.DUMMYFUNCTION("""COMPUTED_VALUE"""),1.0)</f>
        <v>1</v>
      </c>
      <c r="C641" s="28" t="str">
        <f>IFERROR(__xludf.DUMMYFUNCTION("IF(A641="""","""",TEXTJOIN(CHAR(10),TRUE,FILTER('Tổng hợp 75 trang đích'!$B$2:$B$3400,'Tổng hợp 75 trang đích'!$I$2:$I$3400=A641)))"),"https://techcombank.com/thong-tin/blog/mo-hinh-kinh-doanh-la-gi")</f>
        <v>https://techcombank.com/thong-tin/blog/mo-hinh-kinh-doanh-la-gi</v>
      </c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28" t="str">
        <f>IFERROR(__xludf.DUMMYFUNCTION("""COMPUTED_VALUE"""),"https://techcombank.com/thong-tin/blog/cac-loai-the-ngan-hang")</f>
        <v>https://techcombank.com/thong-tin/blog/cac-loai-the-ngan-hang</v>
      </c>
      <c r="B642" s="11">
        <f>IFERROR(__xludf.DUMMYFUNCTION("""COMPUTED_VALUE"""),1.0)</f>
        <v>1</v>
      </c>
      <c r="C642" s="28" t="str">
        <f>IFERROR(__xludf.DUMMYFUNCTION("IF(A642="""","""",TEXTJOIN(CHAR(10),TRUE,FILTER('Tổng hợp 75 trang đích'!$B$2:$B$3400,'Tổng hợp 75 trang đích'!$I$2:$I$3400=A642)))"),"https://techcombank.com/thong-tin/blog/cic-la-gi")</f>
        <v>https://techcombank.com/thong-tin/blog/cic-la-gi</v>
      </c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28" t="str">
        <f>IFERROR(__xludf.DUMMYFUNCTION("""COMPUTED_VALUE"""),"https://techcombank.com/thong-tin/blog/cach-bao-ve-tai-khoan")</f>
        <v>https://techcombank.com/thong-tin/blog/cach-bao-ve-tai-khoan</v>
      </c>
      <c r="B643" s="11">
        <f>IFERROR(__xludf.DUMMYFUNCTION("""COMPUTED_VALUE"""),1.0)</f>
        <v>1</v>
      </c>
      <c r="C643" s="28" t="str">
        <f>IFERROR(__xludf.DUMMYFUNCTION("IF(A643="""","""",TEXTJOIN(CHAR(10),TRUE,FILTER('Tổng hợp 75 trang đích'!$B$2:$B$3400,'Tổng hợp 75 trang đích'!$I$2:$I$3400=A643)))"),"https://techcombank.com/thong-tin/blog/ten-dang-nhap-tai-khoan-ngan-hang-la-gi")</f>
        <v>https://techcombank.com/thong-tin/blog/ten-dang-nhap-tai-khoan-ngan-hang-la-gi</v>
      </c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28" t="str">
        <f>IFERROR(__xludf.DUMMYFUNCTION("""COMPUTED_VALUE"""),"https://techcombank.com/thong-tin/blog/cach-dang-ky-the-visa")</f>
        <v>https://techcombank.com/thong-tin/blog/cach-dang-ky-the-visa</v>
      </c>
      <c r="B644" s="11">
        <f>IFERROR(__xludf.DUMMYFUNCTION("""COMPUTED_VALUE"""),1.0)</f>
        <v>1</v>
      </c>
      <c r="C644" s="28" t="str">
        <f>IFERROR(__xludf.DUMMYFUNCTION("IF(A644="""","""",TEXTJOIN(CHAR(10),TRUE,FILTER('Tổng hợp 75 trang đích'!$B$2:$B$3400,'Tổng hợp 75 trang đích'!$I$2:$I$3400=A644)))"),"https://techcombank.com/thong-tin/blog/cic-la-gi")</f>
        <v>https://techcombank.com/thong-tin/blog/cic-la-gi</v>
      </c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28" t="str">
        <f>IFERROR(__xludf.DUMMYFUNCTION("""COMPUTED_VALUE"""),"https://techcombank.com/thong-tin/blog/cach-doc-bao-cao-tai-chinh")</f>
        <v>https://techcombank.com/thong-tin/blog/cach-doc-bao-cao-tai-chinh</v>
      </c>
      <c r="B645" s="11">
        <f>IFERROR(__xludf.DUMMYFUNCTION("""COMPUTED_VALUE"""),1.0)</f>
        <v>1</v>
      </c>
      <c r="C645" s="28" t="str">
        <f>IFERROR(__xludf.DUMMYFUNCTION("IF(A645="""","""",TEXTJOIN(CHAR(10),TRUE,FILTER('Tổng hợp 75 trang đích'!$B$2:$B$3400,'Tổng hợp 75 trang đích'!$I$2:$I$3400=A645)))"),"https://techcombank.com/thong-tin/blog/cach-tinh-thue-thu-nhap-doanh-nghiep")</f>
        <v>https://techcombank.com/thong-tin/blog/cach-tinh-thue-thu-nhap-doanh-nghiep</v>
      </c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28" t="str">
        <f>IFERROR(__xludf.DUMMYFUNCTION("""COMPUTED_VALUE"""),"https://techcombank.com/thong-tin/blog/cach-lien-ket-epass-voi-tai-khoan-ngan-hang")</f>
        <v>https://techcombank.com/thong-tin/blog/cach-lien-ket-epass-voi-tai-khoan-ngan-hang</v>
      </c>
      <c r="B646" s="11">
        <f>IFERROR(__xludf.DUMMYFUNCTION("""COMPUTED_VALUE"""),1.0)</f>
        <v>1</v>
      </c>
      <c r="C646" s="28" t="str">
        <f>IFERROR(__xludf.DUMMYFUNCTION("IF(A646="""","""",TEXTJOIN(CHAR(10),TRUE,FILTER('Tổng hợp 75 trang đích'!$B$2:$B$3400,'Tổng hợp 75 trang đích'!$I$2:$I$3400=A646)))"),"https://techcombank.com/thong-tin/blog/cach-mo-tai-khoan")</f>
        <v>https://techcombank.com/thong-tin/blog/cach-mo-tai-khoan</v>
      </c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28" t="str">
        <f>IFERROR(__xludf.DUMMYFUNCTION("""COMPUTED_VALUE"""),"https://techcombank.com/thong-tin/blog/cach-nap-the-viettel")</f>
        <v>https://techcombank.com/thong-tin/blog/cach-nap-the-viettel</v>
      </c>
      <c r="B647" s="11">
        <f>IFERROR(__xludf.DUMMYFUNCTION("""COMPUTED_VALUE"""),1.0)</f>
        <v>1</v>
      </c>
      <c r="C647" s="28" t="str">
        <f>IFERROR(__xludf.DUMMYFUNCTION("IF(A647="""","""",TEXTJOIN(CHAR(10),TRUE,FILTER('Tổng hợp 75 trang đích'!$B$2:$B$3400,'Tổng hợp 75 trang đích'!$I$2:$I$3400=A647)))"),"https://techcombank.com/thong-tin/blog/cic-la-gi")</f>
        <v>https://techcombank.com/thong-tin/blog/cic-la-gi</v>
      </c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28" t="str">
        <f>IFERROR(__xludf.DUMMYFUNCTION("""COMPUTED_VALUE"""),"https://techcombank.com/thong-tin/blog/cach-sao-ke-tai-khoan-ngan-hang")</f>
        <v>https://techcombank.com/thong-tin/blog/cach-sao-ke-tai-khoan-ngan-hang</v>
      </c>
      <c r="B648" s="11">
        <f>IFERROR(__xludf.DUMMYFUNCTION("""COMPUTED_VALUE"""),1.0)</f>
        <v>1</v>
      </c>
      <c r="C648" s="28" t="str">
        <f>IFERROR(__xludf.DUMMYFUNCTION("IF(A648="""","""",TEXTJOIN(CHAR(10),TRUE,FILTER('Tổng hợp 75 trang đích'!$B$2:$B$3400,'Tổng hợp 75 trang đích'!$I$2:$I$3400=A648)))"),"https://techcombank.com/thong-tin/blog/cic-la-gi")</f>
        <v>https://techcombank.com/thong-tin/blog/cic-la-gi</v>
      </c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28" t="str">
        <f>IFERROR(__xludf.DUMMYFUNCTION("""COMPUTED_VALUE"""),"https://techcombank.com/thong-tin/blog/cach-su-dung-the-ghi-no")</f>
        <v>https://techcombank.com/thong-tin/blog/cach-su-dung-the-ghi-no</v>
      </c>
      <c r="B649" s="11">
        <f>IFERROR(__xludf.DUMMYFUNCTION("""COMPUTED_VALUE"""),1.0)</f>
        <v>1</v>
      </c>
      <c r="C649" s="28" t="str">
        <f>IFERROR(__xludf.DUMMYFUNCTION("IF(A649="""","""",TEXTJOIN(CHAR(10),TRUE,FILTER('Tổng hợp 75 trang đích'!$B$2:$B$3400,'Tổng hợp 75 trang đích'!$I$2:$I$3400=A649)))"),"https://techcombank.com/thong-tin/blog/rut-tien-mat-tu-the-tin-dung")</f>
        <v>https://techcombank.com/thong-tin/blog/rut-tien-mat-tu-the-tin-dung</v>
      </c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28" t="str">
        <f>IFERROR(__xludf.DUMMYFUNCTION("""COMPUTED_VALUE"""),"https://techcombank.com/thong-tin/blog/cach-thanh-toan-quang-cao-tiktok")</f>
        <v>https://techcombank.com/thong-tin/blog/cach-thanh-toan-quang-cao-tiktok</v>
      </c>
      <c r="B650" s="11">
        <f>IFERROR(__xludf.DUMMYFUNCTION("""COMPUTED_VALUE"""),1.0)</f>
        <v>1</v>
      </c>
      <c r="C650" s="28" t="str">
        <f>IFERROR(__xludf.DUMMYFUNCTION("IF(A650="""","""",TEXTJOIN(CHAR(10),TRUE,FILTER('Tổng hợp 75 trang đích'!$B$2:$B$3400,'Tổng hợp 75 trang đích'!$I$2:$I$3400=A650)))"),"https://techcombank.com/thong-tin/blog/cic-la-gi")</f>
        <v>https://techcombank.com/thong-tin/blog/cic-la-gi</v>
      </c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28" t="str">
        <f>IFERROR(__xludf.DUMMYFUNCTION("""COMPUTED_VALUE"""),"https://techcombank.com/thong-tin/blog/cach-tinh-ty-gia-ky-han")</f>
        <v>https://techcombank.com/thong-tin/blog/cach-tinh-ty-gia-ky-han</v>
      </c>
      <c r="B651" s="11">
        <f>IFERROR(__xludf.DUMMYFUNCTION("""COMPUTED_VALUE"""),1.0)</f>
        <v>1</v>
      </c>
      <c r="C651" s="28" t="str">
        <f>IFERROR(__xludf.DUMMYFUNCTION("IF(A651="""","""",TEXTJOIN(CHAR(10),TRUE,FILTER('Tổng hợp 75 trang đích'!$B$2:$B$3400,'Tổng hợp 75 trang đích'!$I$2:$I$3400=A651)))"),"https://techcombank.com/thong-tin/blog/lai-suat-tiet-kiem")</f>
        <v>https://techcombank.com/thong-tin/blog/lai-suat-tiet-kiem</v>
      </c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28" t="str">
        <f>IFERROR(__xludf.DUMMYFUNCTION("""COMPUTED_VALUE"""),"https://techcombank.com/thong-tin/blog/cam-ket-tin-dung")</f>
        <v>https://techcombank.com/thong-tin/blog/cam-ket-tin-dung</v>
      </c>
      <c r="B652" s="11">
        <f>IFERROR(__xludf.DUMMYFUNCTION("""COMPUTED_VALUE"""),1.0)</f>
        <v>1</v>
      </c>
      <c r="C652" s="28" t="str">
        <f>IFERROR(__xludf.DUMMYFUNCTION("IF(A652="""","""",TEXTJOIN(CHAR(10),TRUE,FILTER('Tổng hợp 75 trang đích'!$B$2:$B$3400,'Tổng hợp 75 trang đích'!$I$2:$I$3400=A652)))"),"https://techcombank.com/thong-tin/blog/cic-la-gi")</f>
        <v>https://techcombank.com/thong-tin/blog/cic-la-gi</v>
      </c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28" t="str">
        <f>IFERROR(__xludf.DUMMYFUNCTION("""COMPUTED_VALUE"""),"https://techcombank.com/thong-tin/blog/casa-la-gi")</f>
        <v>https://techcombank.com/thong-tin/blog/casa-la-gi</v>
      </c>
      <c r="B653" s="11">
        <f>IFERROR(__xludf.DUMMYFUNCTION("""COMPUTED_VALUE"""),1.0)</f>
        <v>1</v>
      </c>
      <c r="C653" s="28" t="str">
        <f>IFERROR(__xludf.DUMMYFUNCTION("IF(A653="""","""",TEXTJOIN(CHAR(10),TRUE,FILTER('Tổng hợp 75 trang đích'!$B$2:$B$3400,'Tổng hợp 75 trang đích'!$I$2:$I$3400=A653)))"),"https://techcombank.com/thong-tin/blog/lai-suat-tiet-kiem")</f>
        <v>https://techcombank.com/thong-tin/blog/lai-suat-tiet-kiem</v>
      </c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28" t="str">
        <f>IFERROR(__xludf.DUMMYFUNCTION("""COMPUTED_VALUE"""),"https://techcombank.com/thong-tin/blog/chien-luoc-dau-tu")</f>
        <v>https://techcombank.com/thong-tin/blog/chien-luoc-dau-tu</v>
      </c>
      <c r="B654" s="11">
        <f>IFERROR(__xludf.DUMMYFUNCTION("""COMPUTED_VALUE"""),1.0)</f>
        <v>1</v>
      </c>
      <c r="C654" s="28" t="str">
        <f>IFERROR(__xludf.DUMMYFUNCTION("IF(A654="""","""",TEXTJOIN(CHAR(10),TRUE,FILTER('Tổng hợp 75 trang đích'!$B$2:$B$3400,'Tổng hợp 75 trang đích'!$I$2:$I$3400=A654)))"),"https://techcombank.com/thong-tin/blog/phuong-phap-dau-tu-chung-chi-quy")</f>
        <v>https://techcombank.com/thong-tin/blog/phuong-phap-dau-tu-chung-chi-quy</v>
      </c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28" t="str">
        <f>IFERROR(__xludf.DUMMYFUNCTION("""COMPUTED_VALUE"""),"https://techcombank.com/thong-tin/blog/chung-chi-quy")</f>
        <v>https://techcombank.com/thong-tin/blog/chung-chi-quy</v>
      </c>
      <c r="B655" s="11">
        <f>IFERROR(__xludf.DUMMYFUNCTION("""COMPUTED_VALUE"""),1.0)</f>
        <v>1</v>
      </c>
      <c r="C655" s="28" t="str">
        <f>IFERROR(__xludf.DUMMYFUNCTION("IF(A655="""","""",TEXTJOIN(CHAR(10),TRUE,FILTER('Tổng hợp 75 trang đích'!$B$2:$B$3400,'Tổng hợp 75 trang đích'!$I$2:$I$3400=A655)))"),"https://techcombank.com/thong-tin/blog/phuong-phap-dau-tu-chung-chi-quy")</f>
        <v>https://techcombank.com/thong-tin/blog/phuong-phap-dau-tu-chung-chi-quy</v>
      </c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28" t="str">
        <f>IFERROR(__xludf.DUMMYFUNCTION("""COMPUTED_VALUE"""),"https://techcombank.com/thong-tin/blog/chung-chi-quy-dong")</f>
        <v>https://techcombank.com/thong-tin/blog/chung-chi-quy-dong</v>
      </c>
      <c r="B656" s="11">
        <f>IFERROR(__xludf.DUMMYFUNCTION("""COMPUTED_VALUE"""),1.0)</f>
        <v>1</v>
      </c>
      <c r="C656" s="28" t="str">
        <f>IFERROR(__xludf.DUMMYFUNCTION("IF(A656="""","""",TEXTJOIN(CHAR(10),TRUE,FILTER('Tổng hợp 75 trang đích'!$B$2:$B$3400,'Tổng hợp 75 trang đích'!$I$2:$I$3400=A656)))"),"https://techcombank.com/thong-tin/blog/lai-suat-tiet-kiem")</f>
        <v>https://techcombank.com/thong-tin/blog/lai-suat-tiet-kiem</v>
      </c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28" t="str">
        <f>IFERROR(__xludf.DUMMYFUNCTION("""COMPUTED_VALUE"""),"https://techcombank.com/thong-tin/blog/chung-chi-quy-mo-va-dong")</f>
        <v>https://techcombank.com/thong-tin/blog/chung-chi-quy-mo-va-dong</v>
      </c>
      <c r="B657" s="11">
        <f>IFERROR(__xludf.DUMMYFUNCTION("""COMPUTED_VALUE"""),1.0)</f>
        <v>1</v>
      </c>
      <c r="C657" s="28" t="str">
        <f>IFERROR(__xludf.DUMMYFUNCTION("IF(A657="""","""",TEXTJOIN(CHAR(10),TRUE,FILTER('Tổng hợp 75 trang đích'!$B$2:$B$3400,'Tổng hợp 75 trang đích'!$I$2:$I$3400=A657)))"),"https://techcombank.com/thong-tin/blog/lai-suat-tiet-kiem")</f>
        <v>https://techcombank.com/thong-tin/blog/lai-suat-tiet-kiem</v>
      </c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28" t="str">
        <f>IFERROR(__xludf.DUMMYFUNCTION("""COMPUTED_VALUE"""),"https://techcombank.com/thong-tin/blog/chuyen-nham-tien-co-lay-lai-duoc-khong")</f>
        <v>https://techcombank.com/thong-tin/blog/chuyen-nham-tien-co-lay-lai-duoc-khong</v>
      </c>
      <c r="B658" s="11">
        <f>IFERROR(__xludf.DUMMYFUNCTION("""COMPUTED_VALUE"""),1.0)</f>
        <v>1</v>
      </c>
      <c r="C658" s="28" t="str">
        <f>IFERROR(__xludf.DUMMYFUNCTION("IF(A658="""","""",TEXTJOIN(CHAR(10),TRUE,FILTER('Tổng hợp 75 trang đích'!$B$2:$B$3400,'Tổng hợp 75 trang đích'!$I$2:$I$3400=A658)))"),"https://techcombank.com/thong-tin/blog/chuyen-khoan-thanh-cong-nhung-khong-nhan-duoc-tien")</f>
        <v>https://techcombank.com/thong-tin/blog/chuyen-khoan-thanh-cong-nhung-khong-nhan-duoc-tien</v>
      </c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28" t="str">
        <f>IFERROR(__xludf.DUMMYFUNCTION("""COMPUTED_VALUE"""),"https://techcombank.com/thong-tin/blog/cong-ty-xuat-nhap-khau")</f>
        <v>https://techcombank.com/thong-tin/blog/cong-ty-xuat-nhap-khau</v>
      </c>
      <c r="B659" s="11">
        <f>IFERROR(__xludf.DUMMYFUNCTION("""COMPUTED_VALUE"""),1.0)</f>
        <v>1</v>
      </c>
      <c r="C659" s="28" t="str">
        <f>IFERROR(__xludf.DUMMYFUNCTION("IF(A659="""","""",TEXTJOIN(CHAR(10),TRUE,FILTER('Tổng hợp 75 trang đích'!$B$2:$B$3400,'Tổng hợp 75 trang đích'!$I$2:$I$3400=A659)))"),"https://techcombank.com/thong-tin/blog/cong-ty-su-dung-tai-khoan-ca-nhan")</f>
        <v>https://techcombank.com/thong-tin/blog/cong-ty-su-dung-tai-khoan-ca-nhan</v>
      </c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28" t="str">
        <f>IFERROR(__xludf.DUMMYFUNCTION("""COMPUTED_VALUE"""),"https://techcombank.com/thong-tin/blog/dang-ky-nhieu-tai-khoan-ngan-hang-co-sao-khong")</f>
        <v>https://techcombank.com/thong-tin/blog/dang-ky-nhieu-tai-khoan-ngan-hang-co-sao-khong</v>
      </c>
      <c r="B660" s="11">
        <f>IFERROR(__xludf.DUMMYFUNCTION("""COMPUTED_VALUE"""),1.0)</f>
        <v>1</v>
      </c>
      <c r="C660" s="28" t="str">
        <f>IFERROR(__xludf.DUMMYFUNCTION("IF(A660="""","""",TEXTJOIN(CHAR(10),TRUE,FILTER('Tổng hợp 75 trang đích'!$B$2:$B$3400,'Tổng hợp 75 trang đích'!$I$2:$I$3400=A660)))"),"https://techcombank.com/thong-tin/blog/cach-mo-tai-khoan")</f>
        <v>https://techcombank.com/thong-tin/blog/cach-mo-tai-khoan</v>
      </c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28" t="str">
        <f>IFERROR(__xludf.DUMMYFUNCTION("""COMPUTED_VALUE"""),"https://techcombank.com/thong-tin/blog/dang-ky-thanh-lap-doanh-nghiep-online")</f>
        <v>https://techcombank.com/thong-tin/blog/dang-ky-thanh-lap-doanh-nghiep-online</v>
      </c>
      <c r="B661" s="11">
        <f>IFERROR(__xludf.DUMMYFUNCTION("""COMPUTED_VALUE"""),1.0)</f>
        <v>1</v>
      </c>
      <c r="C661" s="28" t="str">
        <f>IFERROR(__xludf.DUMMYFUNCTION("IF(A661="""","""",TEXTJOIN(CHAR(10),TRUE,FILTER('Tổng hợp 75 trang đích'!$B$2:$B$3400,'Tổng hợp 75 trang đích'!$I$2:$I$3400=A661)))"),"https://techcombank.com/thong-tin/blog/thue-doanh-nghiep")</f>
        <v>https://techcombank.com/thong-tin/blog/thue-doanh-nghiep</v>
      </c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28" t="str">
        <f>IFERROR(__xludf.DUMMYFUNCTION("""COMPUTED_VALUE"""),"https://techcombank.com/thong-tin/blog/dao-tao-the-he-ke-can")</f>
        <v>https://techcombank.com/thong-tin/blog/dao-tao-the-he-ke-can</v>
      </c>
      <c r="B662" s="11">
        <f>IFERROR(__xludf.DUMMYFUNCTION("""COMPUTED_VALUE"""),1.0)</f>
        <v>1</v>
      </c>
      <c r="C662" s="28" t="str">
        <f>IFERROR(__xludf.DUMMYFUNCTION("IF(A662="""","""",TEXTJOIN(CHAR(10),TRUE,FILTER('Tổng hợp 75 trang đích'!$B$2:$B$3400,'Tổng hợp 75 trang đích'!$I$2:$I$3400=A662)))"),"https://techcombank.com/thong-tin/blog/mo-tai-khoan-ngan-hang-duoi-18-tuoi")</f>
        <v>https://techcombank.com/thong-tin/blog/mo-tai-khoan-ngan-hang-duoi-18-tuoi</v>
      </c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28" t="str">
        <f>IFERROR(__xludf.DUMMYFUNCTION("""COMPUTED_VALUE"""),"https://techcombank.com/thong-tin/blog/dat-ve-may-bay")</f>
        <v>https://techcombank.com/thong-tin/blog/dat-ve-may-bay</v>
      </c>
      <c r="B663" s="11">
        <f>IFERROR(__xludf.DUMMYFUNCTION("""COMPUTED_VALUE"""),1.0)</f>
        <v>1</v>
      </c>
      <c r="C663" s="28" t="str">
        <f>IFERROR(__xludf.DUMMYFUNCTION("IF(A663="""","""",TEXTJOIN(CHAR(10),TRUE,FILTER('Tổng hợp 75 trang đích'!$B$2:$B$3400,'Tổng hợp 75 trang đích'!$I$2:$I$3400=A663)))"),"https://techcombank.com/thong-tin/blog/traveloka-voucher")</f>
        <v>https://techcombank.com/thong-tin/blog/traveloka-voucher</v>
      </c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28" t="str">
        <f>IFERROR(__xludf.DUMMYFUNCTION("""COMPUTED_VALUE"""),"https://techcombank.com/thong-tin/blog/day-so-phat-tai-phat-loc")</f>
        <v>https://techcombank.com/thong-tin/blog/day-so-phat-tai-phat-loc</v>
      </c>
      <c r="B664" s="11">
        <f>IFERROR(__xludf.DUMMYFUNCTION("""COMPUTED_VALUE"""),1.0)</f>
        <v>1</v>
      </c>
      <c r="C664" s="28" t="str">
        <f>IFERROR(__xludf.DUMMYFUNCTION("IF(A664="""","""",TEXTJOIN(CHAR(10),TRUE,FILTER('Tổng hợp 75 trang đích'!$B$2:$B$3400,'Tổng hợp 75 trang đích'!$I$2:$I$3400=A664)))"),"https://techcombank.com/thong-tin/blog/cach-kiem-tra-tai-khoan-ngan-hang")</f>
        <v>https://techcombank.com/thong-tin/blog/cach-kiem-tra-tai-khoan-ngan-hang</v>
      </c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28" t="str">
        <f>IFERROR(__xludf.DUMMYFUNCTION("""COMPUTED_VALUE"""),"https://techcombank.com/thong-tin/blog/dinar-kuwait")</f>
        <v>https://techcombank.com/thong-tin/blog/dinar-kuwait</v>
      </c>
      <c r="B665" s="11">
        <f>IFERROR(__xludf.DUMMYFUNCTION("""COMPUTED_VALUE"""),1.0)</f>
        <v>1</v>
      </c>
      <c r="C665" s="28" t="str">
        <f>IFERROR(__xludf.DUMMYFUNCTION("IF(A665="""","""",TEXTJOIN(CHAR(10),TRUE,FILTER('Tổng hợp 75 trang đích'!$B$2:$B$3400,'Tổng hợp 75 trang đích'!$I$2:$I$3400=A665)))"),"https://techcombank.com/thong-tin/blog/doi-tien-do-o-dau")</f>
        <v>https://techcombank.com/thong-tin/blog/doi-tien-do-o-dau</v>
      </c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28" t="str">
        <f>IFERROR(__xludf.DUMMYFUNCTION("""COMPUTED_VALUE"""),"https://techcombank.com/thong-tin/blog/doi-dam-bay")</f>
        <v>https://techcombank.com/thong-tin/blog/doi-dam-bay</v>
      </c>
      <c r="B666" s="11">
        <f>IFERROR(__xludf.DUMMYFUNCTION("""COMPUTED_VALUE"""),1.0)</f>
        <v>1</v>
      </c>
      <c r="C666" s="28" t="str">
        <f>IFERROR(__xludf.DUMMYFUNCTION("IF(A666="""","""",TEXTJOIN(CHAR(10),TRUE,FILTER('Tổng hợp 75 trang đích'!$B$2:$B$3400,'Tổng hợp 75 trang đích'!$I$2:$I$3400=A666)))"),"https://techcombank.com/thong-tin/blog/traveloka-voucher")</f>
        <v>https://techcombank.com/thong-tin/blog/traveloka-voucher</v>
      </c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28" t="str">
        <f>IFERROR(__xludf.DUMMYFUNCTION("""COMPUTED_VALUE"""),"https://techcombank.com/thong-tin/blog/ebitda-la-gi")</f>
        <v>https://techcombank.com/thong-tin/blog/ebitda-la-gi</v>
      </c>
      <c r="B667" s="11">
        <f>IFERROR(__xludf.DUMMYFUNCTION("""COMPUTED_VALUE"""),1.0)</f>
        <v>1</v>
      </c>
      <c r="C667" s="28" t="str">
        <f>IFERROR(__xludf.DUMMYFUNCTION("IF(A667="""","""",TEXTJOIN(CHAR(10),TRUE,FILTER('Tổng hợp 75 trang đích'!$B$2:$B$3400,'Tổng hợp 75 trang đích'!$I$2:$I$3400=A667)))"),"https://techcombank.com/thong-tin/blog/nop-thue-dat-qua-ngan-hang")</f>
        <v>https://techcombank.com/thong-tin/blog/nop-thue-dat-qua-ngan-hang</v>
      </c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28" t="str">
        <f>IFERROR(__xludf.DUMMYFUNCTION("""COMPUTED_VALUE"""),"https://techcombank.com/thong-tin/blog/ekyc-la-gi")</f>
        <v>https://techcombank.com/thong-tin/blog/ekyc-la-gi</v>
      </c>
      <c r="B668" s="11">
        <f>IFERROR(__xludf.DUMMYFUNCTION("""COMPUTED_VALUE"""),1.0)</f>
        <v>1</v>
      </c>
      <c r="C668" s="28" t="str">
        <f>IFERROR(__xludf.DUMMYFUNCTION("IF(A668="""","""",TEXTJOIN(CHAR(10),TRUE,FILTER('Tổng hợp 75 trang đích'!$B$2:$B$3400,'Tổng hợp 75 trang đích'!$I$2:$I$3400=A668)))"),"https://techcombank.com/thong-tin/blog/cach-quet-nfc-cccd-tren-iphone")</f>
        <v>https://techcombank.com/thong-tin/blog/cach-quet-nfc-cccd-tren-iphone</v>
      </c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28" t="str">
        <f>IFERROR(__xludf.DUMMYFUNCTION("""COMPUTED_VALUE"""),"https://techcombank.com/thong-tin/blog/gia-cao-su")</f>
        <v>https://techcombank.com/thong-tin/blog/gia-cao-su</v>
      </c>
      <c r="B669" s="11">
        <f>IFERROR(__xludf.DUMMYFUNCTION("""COMPUTED_VALUE"""),1.0)</f>
        <v>1</v>
      </c>
      <c r="C669" s="28" t="str">
        <f>IFERROR(__xludf.DUMMYFUNCTION("IF(A669="""","""",TEXTJOIN(CHAR(10),TRUE,FILTER('Tổng hợp 75 trang đích'!$B$2:$B$3400,'Tổng hợp 75 trang đích'!$I$2:$I$3400=A669)))"),"https://techcombank.com/thong-tin/blog/lai-suat-tiet-kiem")</f>
        <v>https://techcombank.com/thong-tin/blog/lai-suat-tiet-kiem</v>
      </c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28" t="str">
        <f>IFERROR(__xludf.DUMMYFUNCTION("""COMPUTED_VALUE"""),"https://techcombank.com/thong-tin/blog/gia-dien-sinh-hoat")</f>
        <v>https://techcombank.com/thong-tin/blog/gia-dien-sinh-hoat</v>
      </c>
      <c r="B670" s="11">
        <f>IFERROR(__xludf.DUMMYFUNCTION("""COMPUTED_VALUE"""),1.0)</f>
        <v>1</v>
      </c>
      <c r="C670" s="28" t="str">
        <f>IFERROR(__xludf.DUMMYFUNCTION("IF(A670="""","""",TEXTJOIN(CHAR(10),TRUE,FILTER('Tổng hợp 75 trang đích'!$B$2:$B$3400,'Tổng hợp 75 trang đích'!$I$2:$I$3400=A670)))"),"https://techcombank.com/thong-tin/blog/cach-tinh-tien-dien-sinh-hoat")</f>
        <v>https://techcombank.com/thong-tin/blog/cach-tinh-tien-dien-sinh-hoat</v>
      </c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28" t="str">
        <f>IFERROR(__xludf.DUMMYFUNCTION("""COMPUTED_VALUE"""),"https://techcombank.com/thong-tin/blog/gia-tri-thuong-hieu")</f>
        <v>https://techcombank.com/thong-tin/blog/gia-tri-thuong-hieu</v>
      </c>
      <c r="B671" s="11">
        <f>IFERROR(__xludf.DUMMYFUNCTION("""COMPUTED_VALUE"""),1.0)</f>
        <v>1</v>
      </c>
      <c r="C671" s="28" t="str">
        <f>IFERROR(__xludf.DUMMYFUNCTION("IF(A671="""","""",TEXTJOIN(CHAR(10),TRUE,FILTER('Tổng hợp 75 trang đích'!$B$2:$B$3400,'Tổng hợp 75 trang đích'!$I$2:$I$3400=A671)))"),"https://techcombank.com/thong-tin/blog/ngan-hang-uy-tin")</f>
        <v>https://techcombank.com/thong-tin/blog/ngan-hang-uy-tin</v>
      </c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28" t="str">
        <f>IFERROR(__xludf.DUMMYFUNCTION("""COMPUTED_VALUE"""),"https://techcombank.com/thong-tin/blog/giai-phap-quan-ly-chuoi-cua-hang")</f>
        <v>https://techcombank.com/thong-tin/blog/giai-phap-quan-ly-chuoi-cua-hang</v>
      </c>
      <c r="B672" s="11">
        <f>IFERROR(__xludf.DUMMYFUNCTION("""COMPUTED_VALUE"""),1.0)</f>
        <v>1</v>
      </c>
      <c r="C672" s="28" t="str">
        <f>IFERROR(__xludf.DUMMYFUNCTION("IF(A672="""","""",TEXTJOIN(CHAR(10),TRUE,FILTER('Tổng hợp 75 trang đích'!$B$2:$B$3400,'Tổng hợp 75 trang đích'!$I$2:$I$3400=A672)))"),"https://techcombank.com/thong-tin/blog/mo-hinh-kinh-doanh-la-gi")</f>
        <v>https://techcombank.com/thong-tin/blog/mo-hinh-kinh-doanh-la-gi</v>
      </c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28" t="str">
        <f>IFERROR(__xludf.DUMMYFUNCTION("""COMPUTED_VALUE"""),"https://techcombank.com/thong-tin/blog/giam-gia-be")</f>
        <v>https://techcombank.com/thong-tin/blog/giam-gia-be</v>
      </c>
      <c r="B673" s="11">
        <f>IFERROR(__xludf.DUMMYFUNCTION("""COMPUTED_VALUE"""),1.0)</f>
        <v>1</v>
      </c>
      <c r="C673" s="28" t="str">
        <f>IFERROR(__xludf.DUMMYFUNCTION("IF(A673="""","""",TEXTJOIN(CHAR(10),TRUE,FILTER('Tổng hợp 75 trang đích'!$B$2:$B$3400,'Tổng hợp 75 trang đích'!$I$2:$I$3400=A673)))"),"https://techcombank.com/thong-tin/blog/traveloka-voucher")</f>
        <v>https://techcombank.com/thong-tin/blog/traveloka-voucher</v>
      </c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28" t="str">
        <f>IFERROR(__xludf.DUMMYFUNCTION("""COMPUTED_VALUE"""),"https://techcombank.com/thong-tin/blog/giao-thong-xanh")</f>
        <v>https://techcombank.com/thong-tin/blog/giao-thong-xanh</v>
      </c>
      <c r="B674" s="11">
        <f>IFERROR(__xludf.DUMMYFUNCTION("""COMPUTED_VALUE"""),1.0)</f>
        <v>1</v>
      </c>
      <c r="C674" s="28" t="str">
        <f>IFERROR(__xludf.DUMMYFUNCTION("IF(A674="""","""",TEXTJOIN(CHAR(10),TRUE,FILTER('Tổng hợp 75 trang đích'!$B$2:$B$3400,'Tổng hợp 75 trang đích'!$I$2:$I$3400=A674)))"),"https://techcombank.com/thong-tin/blog/eco-card")</f>
        <v>https://techcombank.com/thong-tin/blog/eco-card</v>
      </c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28" t="str">
        <f>IFERROR(__xludf.DUMMYFUNCTION("""COMPUTED_VALUE"""),"https://techcombank.com/thong-tin/blog/gio-lam-viec-ngan-hang")</f>
        <v>https://techcombank.com/thong-tin/blog/gio-lam-viec-ngan-hang</v>
      </c>
      <c r="B675" s="11">
        <f>IFERROR(__xludf.DUMMYFUNCTION("""COMPUTED_VALUE"""),1.0)</f>
        <v>1</v>
      </c>
      <c r="C675" s="28" t="str">
        <f>IFERROR(__xludf.DUMMYFUNCTION("IF(A675="""","""",TEXTJOIN(CHAR(10),TRUE,FILTER('Tổng hợp 75 trang đích'!$B$2:$B$3400,'Tổng hợp 75 trang đích'!$I$2:$I$3400=A675)))"),"https://techcombank.com/thong-tin/blog/ngan-hang-uy-tin")</f>
        <v>https://techcombank.com/thong-tin/blog/ngan-hang-uy-tin</v>
      </c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28" t="str">
        <f>IFERROR(__xludf.DUMMYFUNCTION("""COMPUTED_VALUE"""),"https://techcombank.com/thong-tin/blog/gio-lam-viec-techcombank")</f>
        <v>https://techcombank.com/thong-tin/blog/gio-lam-viec-techcombank</v>
      </c>
      <c r="B676" s="11">
        <f>IFERROR(__xludf.DUMMYFUNCTION("""COMPUTED_VALUE"""),1.0)</f>
        <v>1</v>
      </c>
      <c r="C676" s="28" t="str">
        <f>IFERROR(__xludf.DUMMYFUNCTION("IF(A676="""","""",TEXTJOIN(CHAR(10),TRUE,FILTER('Tổng hợp 75 trang đích'!$B$2:$B$3400,'Tổng hợp 75 trang đích'!$I$2:$I$3400=A676)))"),"https://techcombank.com/thong-tin/blog/tra-cuu-no-thue-doanh-nghiep")</f>
        <v>https://techcombank.com/thong-tin/blog/tra-cuu-no-thue-doanh-nghiep</v>
      </c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28" t="str">
        <f>IFERROR(__xludf.DUMMYFUNCTION("""COMPUTED_VALUE"""),"https://techcombank.com/thong-tin/blog/high-net-worth-client-va-ultra-high-net-worth-client")</f>
        <v>https://techcombank.com/thong-tin/blog/high-net-worth-client-va-ultra-high-net-worth-client</v>
      </c>
      <c r="B677" s="11">
        <f>IFERROR(__xludf.DUMMYFUNCTION("""COMPUTED_VALUE"""),1.0)</f>
        <v>1</v>
      </c>
      <c r="C677" s="28" t="str">
        <f>IFERROR(__xludf.DUMMYFUNCTION("IF(A677="""","""",TEXTJOIN(CHAR(10),TRUE,FILTER('Tổng hợp 75 trang đích'!$B$2:$B$3400,'Tổng hợp 75 trang đích'!$I$2:$I$3400=A677)))"),"https://techcombank.com/thong-tin/blog/1-trieu-do-bang-bao-nhieu-tien-viet")</f>
        <v>https://techcombank.com/thong-tin/blog/1-trieu-do-bang-bao-nhieu-tien-viet</v>
      </c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28" t="str">
        <f>IFERROR(__xludf.DUMMYFUNCTION("""COMPUTED_VALUE"""),"https://techcombank.com/thong-tin/blog/internet-banking")</f>
        <v>https://techcombank.com/thong-tin/blog/internet-banking</v>
      </c>
      <c r="B678" s="11">
        <f>IFERROR(__xludf.DUMMYFUNCTION("""COMPUTED_VALUE"""),1.0)</f>
        <v>1</v>
      </c>
      <c r="C678" s="28" t="str">
        <f>IFERROR(__xludf.DUMMYFUNCTION("IF(A678="""","""",TEXTJOIN(CHAR(10),TRUE,FILTER('Tổng hợp 75 trang đích'!$B$2:$B$3400,'Tổng hợp 75 trang đích'!$I$2:$I$3400=A678)))"),"https://techcombank.com/thong-tin/blog/ten-dang-nhap-tai-khoan-ngan-hang-la-gi")</f>
        <v>https://techcombank.com/thong-tin/blog/ten-dang-nhap-tai-khoan-ngan-hang-la-gi</v>
      </c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28" t="str">
        <f>IFERROR(__xludf.DUMMYFUNCTION("""COMPUTED_VALUE"""),"https://techcombank.com/thong-tin/blog/khach-hang-vip-bat-dong-san")</f>
        <v>https://techcombank.com/thong-tin/blog/khach-hang-vip-bat-dong-san</v>
      </c>
      <c r="B679" s="11">
        <f>IFERROR(__xludf.DUMMYFUNCTION("""COMPUTED_VALUE"""),1.0)</f>
        <v>1</v>
      </c>
      <c r="C679" s="28" t="str">
        <f>IFERROR(__xludf.DUMMYFUNCTION("IF(A679="""","""",TEXTJOIN(CHAR(10),TRUE,FILTER('Tổng hợp 75 trang đích'!$B$2:$B$3400,'Tổng hợp 75 trang đích'!$I$2:$I$3400=A679)))"),"https://techcombank.com/thong-tin/blog/nop-thue-dat-qua-ngan-hang")</f>
        <v>https://techcombank.com/thong-tin/blog/nop-thue-dat-qua-ngan-hang</v>
      </c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28" t="str">
        <f>IFERROR(__xludf.DUMMYFUNCTION("""COMPUTED_VALUE"""),"https://techcombank.com/thong-tin/blog/khau-hao")</f>
        <v>https://techcombank.com/thong-tin/blog/khau-hao</v>
      </c>
      <c r="B680" s="11">
        <f>IFERROR(__xludf.DUMMYFUNCTION("""COMPUTED_VALUE"""),1.0)</f>
        <v>1</v>
      </c>
      <c r="C680" s="28" t="str">
        <f>IFERROR(__xludf.DUMMYFUNCTION("IF(A680="""","""",TEXTJOIN(CHAR(10),TRUE,FILTER('Tổng hợp 75 trang đích'!$B$2:$B$3400,'Tổng hợp 75 trang đích'!$I$2:$I$3400=A680)))"),"https://techcombank.com/thong-tin/blog/cach-tinh-thue-thu-nhap-doanh-nghiep")</f>
        <v>https://techcombank.com/thong-tin/blog/cach-tinh-thue-thu-nhap-doanh-nghiep</v>
      </c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28" t="str">
        <f>IFERROR(__xludf.DUMMYFUNCTION("""COMPUTED_VALUE"""),"https://techcombank.com/thong-tin/blog/khau-hao-la-gi")</f>
        <v>https://techcombank.com/thong-tin/blog/khau-hao-la-gi</v>
      </c>
      <c r="B681" s="11">
        <f>IFERROR(__xludf.DUMMYFUNCTION("""COMPUTED_VALUE"""),1.0)</f>
        <v>1</v>
      </c>
      <c r="C681" s="28" t="str">
        <f>IFERROR(__xludf.DUMMYFUNCTION("IF(A681="""","""",TEXTJOIN(CHAR(10),TRUE,FILTER('Tổng hợp 75 trang đích'!$B$2:$B$3400,'Tổng hợp 75 trang đích'!$I$2:$I$3400=A681)))"),"https://techcombank.com/thong-tin/blog/cach-tinh-thue-thu-nhap-doanh-nghiep")</f>
        <v>https://techcombank.com/thong-tin/blog/cach-tinh-thue-thu-nhap-doanh-nghiep</v>
      </c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28" t="str">
        <f>IFERROR(__xludf.DUMMYFUNCTION("""COMPUTED_VALUE"""),"https://techcombank.com/thong-tin/blog/kich-hoat-the-tin-dung-techcombank")</f>
        <v>https://techcombank.com/thong-tin/blog/kich-hoat-the-tin-dung-techcombank</v>
      </c>
      <c r="B682" s="11">
        <f>IFERROR(__xludf.DUMMYFUNCTION("""COMPUTED_VALUE"""),1.0)</f>
        <v>1</v>
      </c>
      <c r="C682" s="28" t="str">
        <f>IFERROR(__xludf.DUMMYFUNCTION("IF(A682="""","""",TEXTJOIN(CHAR(10),TRUE,FILTER('Tổng hợp 75 trang đích'!$B$2:$B$3400,'Tổng hợp 75 trang đích'!$I$2:$I$3400=A682)))"),"https://techcombank.com/thong-tin/blog/cic-la-gi")</f>
        <v>https://techcombank.com/thong-tin/blog/cic-la-gi</v>
      </c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28" t="str">
        <f>IFERROR(__xludf.DUMMYFUNCTION("""COMPUTED_VALUE"""),"https://techcombank.com/thong-tin/blog/kichi-kichi")</f>
        <v>https://techcombank.com/thong-tin/blog/kichi-kichi</v>
      </c>
      <c r="B683" s="11">
        <f>IFERROR(__xludf.DUMMYFUNCTION("""COMPUTED_VALUE"""),1.0)</f>
        <v>1</v>
      </c>
      <c r="C683" s="28" t="str">
        <f>IFERROR(__xludf.DUMMYFUNCTION("IF(A683="""","""",TEXTJOIN(CHAR(10),TRUE,FILTER('Tổng hợp 75 trang đích'!$B$2:$B$3400,'Tổng hợp 75 trang đích'!$I$2:$I$3400=A683)))"),"https://techcombank.com/thong-tin/blog/traveloka-voucher")</f>
        <v>https://techcombank.com/thong-tin/blog/traveloka-voucher</v>
      </c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28" t="str">
        <f>IFERROR(__xludf.DUMMYFUNCTION("""COMPUTED_VALUE"""),"https://techcombank.com/thong-tin/blog/kieu-hoi-la-gi")</f>
        <v>https://techcombank.com/thong-tin/blog/kieu-hoi-la-gi</v>
      </c>
      <c r="B684" s="11">
        <f>IFERROR(__xludf.DUMMYFUNCTION("""COMPUTED_VALUE"""),1.0)</f>
        <v>1</v>
      </c>
      <c r="C684" s="28" t="str">
        <f>IFERROR(__xludf.DUMMYFUNCTION("IF(A684="""","""",TEXTJOIN(CHAR(10),TRUE,FILTER('Tổng hợp 75 trang đích'!$B$2:$B$3400,'Tổng hợp 75 trang đích'!$I$2:$I$3400=A684)))"),"https://techcombank.com/thong-tin/blog/cach-nhan-tien-tu-nuoc-ngoai-ve-viet-nam")</f>
        <v>https://techcombank.com/thong-tin/blog/cach-nhan-tien-tu-nuoc-ngoai-ve-viet-nam</v>
      </c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28" t="str">
        <f>IFERROR(__xludf.DUMMYFUNCTION("""COMPUTED_VALUE"""),"https://techcombank.com/thong-tin/blog/kinh-doanh-online")</f>
        <v>https://techcombank.com/thong-tin/blog/kinh-doanh-online</v>
      </c>
      <c r="B685" s="11">
        <f>IFERROR(__xludf.DUMMYFUNCTION("""COMPUTED_VALUE"""),1.0)</f>
        <v>1</v>
      </c>
      <c r="C685" s="28" t="str">
        <f>IFERROR(__xludf.DUMMYFUNCTION("IF(A685="""","""",TEXTJOIN(CHAR(10),TRUE,FILTER('Tổng hợp 75 trang đích'!$B$2:$B$3400,'Tổng hợp 75 trang đích'!$I$2:$I$3400=A685)))"),"https://techcombank.com/thong-tin/blog/mo-hinh-kinh-doanh-la-gi")</f>
        <v>https://techcombank.com/thong-tin/blog/mo-hinh-kinh-doanh-la-gi</v>
      </c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28" t="str">
        <f>IFERROR(__xludf.DUMMYFUNCTION("""COMPUTED_VALUE"""),"https://techcombank.com/thong-tin/blog/lam-phat-la-gi")</f>
        <v>https://techcombank.com/thong-tin/blog/lam-phat-la-gi</v>
      </c>
      <c r="B686" s="11">
        <f>IFERROR(__xludf.DUMMYFUNCTION("""COMPUTED_VALUE"""),1.0)</f>
        <v>1</v>
      </c>
      <c r="C686" s="28" t="str">
        <f>IFERROR(__xludf.DUMMYFUNCTION("IF(A686="""","""",TEXTJOIN(CHAR(10),TRUE,FILTER('Tổng hợp 75 trang đích'!$B$2:$B$3400,'Tổng hợp 75 trang đích'!$I$2:$I$3400=A686)))"),"https://techcombank.com/thong-tin/blog/cach-tiet-kiem-tien")</f>
        <v>https://techcombank.com/thong-tin/blog/cach-tiet-kiem-tien</v>
      </c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28" t="str">
        <f>IFERROR(__xludf.DUMMYFUNCTION("""COMPUTED_VALUE"""),"https://techcombank.com/thong-tin/blog/li-xi-tet")</f>
        <v>https://techcombank.com/thong-tin/blog/li-xi-tet</v>
      </c>
      <c r="B687" s="11">
        <f>IFERROR(__xludf.DUMMYFUNCTION("""COMPUTED_VALUE"""),1.0)</f>
        <v>1</v>
      </c>
      <c r="C687" s="28" t="str">
        <f>IFERROR(__xludf.DUMMYFUNCTION("IF(A687="""","""",TEXTJOIN(CHAR(10),TRUE,FILTER('Tổng hợp 75 trang đích'!$B$2:$B$3400,'Tổng hợp 75 trang đích'!$I$2:$I$3400=A687)))"),"https://techcombank.com/thong-tin/blog/day-so-phat-tai-phat-loc")</f>
        <v>https://techcombank.com/thong-tin/blog/day-so-phat-tai-phat-loc</v>
      </c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28" t="str">
        <f>IFERROR(__xludf.DUMMYFUNCTION("""COMPUTED_VALUE"""),"https://techcombank.com/thong-tin/blog/ly-do-ngan-hang-so-tro-thanh-cong-cu-tai-chinh-hang-dau-cua-gioi-tre")</f>
        <v>https://techcombank.com/thong-tin/blog/ly-do-ngan-hang-so-tro-thanh-cong-cu-tai-chinh-hang-dau-cua-gioi-tre</v>
      </c>
      <c r="B688" s="11">
        <f>IFERROR(__xludf.DUMMYFUNCTION("""COMPUTED_VALUE"""),1.0)</f>
        <v>1</v>
      </c>
      <c r="C688" s="28" t="str">
        <f>IFERROR(__xludf.DUMMYFUNCTION("IF(A688="""","""",TEXTJOIN(CHAR(10),TRUE,FILTER('Tổng hợp 75 trang đích'!$B$2:$B$3400,'Tổng hợp 75 trang đích'!$I$2:$I$3400=A688)))"),"https://techcombank.com/thong-tin/blog/lai-suat-tiet-kiem")</f>
        <v>https://techcombank.com/thong-tin/blog/lai-suat-tiet-kiem</v>
      </c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28" t="str">
        <f>IFERROR(__xludf.DUMMYFUNCTION("""COMPUTED_VALUE"""),"https://techcombank.com/thong-tin/blog/ma-giam-gia-shopee")</f>
        <v>https://techcombank.com/thong-tin/blog/ma-giam-gia-shopee</v>
      </c>
      <c r="B689" s="11">
        <f>IFERROR(__xludf.DUMMYFUNCTION("""COMPUTED_VALUE"""),1.0)</f>
        <v>1</v>
      </c>
      <c r="C689" s="28" t="str">
        <f>IFERROR(__xludf.DUMMYFUNCTION("IF(A689="""","""",TEXTJOIN(CHAR(10),TRUE,FILTER('Tổng hợp 75 trang đích'!$B$2:$B$3400,'Tổng hợp 75 trang đích'!$I$2:$I$3400=A689)))"),"https://techcombank.com/thong-tin/blog/traveloka-voucher")</f>
        <v>https://techcombank.com/thong-tin/blog/traveloka-voucher</v>
      </c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28" t="str">
        <f>IFERROR(__xludf.DUMMYFUNCTION("""COMPUTED_VALUE"""),"https://techcombank.com/thong-tin/blog/ma-giam-xanh-sm")</f>
        <v>https://techcombank.com/thong-tin/blog/ma-giam-xanh-sm</v>
      </c>
      <c r="B690" s="11">
        <f>IFERROR(__xludf.DUMMYFUNCTION("""COMPUTED_VALUE"""),1.0)</f>
        <v>1</v>
      </c>
      <c r="C690" s="28" t="str">
        <f>IFERROR(__xludf.DUMMYFUNCTION("IF(A690="""","""",TEXTJOIN(CHAR(10),TRUE,FILTER('Tổng hợp 75 trang đích'!$B$2:$B$3400,'Tổng hợp 75 trang đích'!$I$2:$I$3400=A690)))"),"https://techcombank.com/thong-tin/blog/traveloka-voucher")</f>
        <v>https://techcombank.com/thong-tin/blog/traveloka-voucher</v>
      </c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28" t="str">
        <f>IFERROR(__xludf.DUMMYFUNCTION("""COMPUTED_VALUE"""),"https://techcombank.com/thong-tin/blog/ma-otp-la-gi")</f>
        <v>https://techcombank.com/thong-tin/blog/ma-otp-la-gi</v>
      </c>
      <c r="B691" s="11">
        <f>IFERROR(__xludf.DUMMYFUNCTION("""COMPUTED_VALUE"""),1.0)</f>
        <v>1</v>
      </c>
      <c r="C691" s="28" t="str">
        <f>IFERROR(__xludf.DUMMYFUNCTION("IF(A691="""","""",TEXTJOIN(CHAR(10),TRUE,FILTER('Tổng hợp 75 trang đích'!$B$2:$B$3400,'Tổng hợp 75 trang đích'!$I$2:$I$3400=A691)))"),"https://techcombank.com/thong-tin/blog/ten-dang-nhap-tai-khoan-ngan-hang-la-gi")</f>
        <v>https://techcombank.com/thong-tin/blog/ten-dang-nhap-tai-khoan-ngan-hang-la-gi</v>
      </c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28" t="str">
        <f>IFERROR(__xludf.DUMMYFUNCTION("""COMPUTED_VALUE"""),"https://techcombank.com/thong-tin/blog/mo-tai-khoan-ngan-hang-trung-so-dien-thoai")</f>
        <v>https://techcombank.com/thong-tin/blog/mo-tai-khoan-ngan-hang-trung-so-dien-thoai</v>
      </c>
      <c r="B692" s="11">
        <f>IFERROR(__xludf.DUMMYFUNCTION("""COMPUTED_VALUE"""),1.0)</f>
        <v>1</v>
      </c>
      <c r="C692" s="28" t="str">
        <f>IFERROR(__xludf.DUMMYFUNCTION("IF(A692="""","""",TEXTJOIN(CHAR(10),TRUE,FILTER('Tổng hợp 75 trang đích'!$B$2:$B$3400,'Tổng hợp 75 trang đích'!$I$2:$I$3400=A692)))"),"https://techcombank.com/thong-tin/blog/cach-nap-the-viettel")</f>
        <v>https://techcombank.com/thong-tin/blog/cach-nap-the-viettel</v>
      </c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28" t="str">
        <f>IFERROR(__xludf.DUMMYFUNCTION("""COMPUTED_VALUE"""),"https://techcombank.com/thong-tin/blog/mo-them-tai-khoan-ngan-hang-cho-cong-ty")</f>
        <v>https://techcombank.com/thong-tin/blog/mo-them-tai-khoan-ngan-hang-cho-cong-ty</v>
      </c>
      <c r="B693" s="11">
        <f>IFERROR(__xludf.DUMMYFUNCTION("""COMPUTED_VALUE"""),1.0)</f>
        <v>1</v>
      </c>
      <c r="C693" s="28" t="str">
        <f>IFERROR(__xludf.DUMMYFUNCTION("IF(A693="""","""",TEXTJOIN(CHAR(10),TRUE,FILTER('Tổng hợp 75 trang đích'!$B$2:$B$3400,'Tổng hợp 75 trang đích'!$I$2:$I$3400=A693)))"),"https://techcombank.com/thong-tin/blog/cach-mo-tai-khoan")</f>
        <v>https://techcombank.com/thong-tin/blog/cach-mo-tai-khoan</v>
      </c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28" t="str">
        <f>IFERROR(__xludf.DUMMYFUNCTION("""COMPUTED_VALUE"""),"https://techcombank.com/thong-tin/blog/mua-bao-hiem-o-to")</f>
        <v>https://techcombank.com/thong-tin/blog/mua-bao-hiem-o-to</v>
      </c>
      <c r="B694" s="11">
        <f>IFERROR(__xludf.DUMMYFUNCTION("""COMPUTED_VALUE"""),1.0)</f>
        <v>1</v>
      </c>
      <c r="C694" s="28" t="str">
        <f>IFERROR(__xludf.DUMMYFUNCTION("IF(A694="""","""",TEXTJOIN(CHAR(10),TRUE,FILTER('Tổng hợp 75 trang đích'!$B$2:$B$3400,'Tổng hợp 75 trang đích'!$I$2:$I$3400=A694)))"),"https://techcombank.com/thong-tin/blog/lai-suat-vay-mua-o-to")</f>
        <v>https://techcombank.com/thong-tin/blog/lai-suat-vay-mua-o-to</v>
      </c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28" t="str">
        <f>IFERROR(__xludf.DUMMYFUNCTION("""COMPUTED_VALUE"""),"https://techcombank.com/thong-tin/blog/mua-bao-hiem-o-to-dien")</f>
        <v>https://techcombank.com/thong-tin/blog/mua-bao-hiem-o-to-dien</v>
      </c>
      <c r="B695" s="11">
        <f>IFERROR(__xludf.DUMMYFUNCTION("""COMPUTED_VALUE"""),1.0)</f>
        <v>1</v>
      </c>
      <c r="C695" s="28" t="str">
        <f>IFERROR(__xludf.DUMMYFUNCTION("IF(A695="""","""",TEXTJOIN(CHAR(10),TRUE,FILTER('Tổng hợp 75 trang đích'!$B$2:$B$3400,'Tổng hợp 75 trang đích'!$I$2:$I$3400=A695)))"),"https://techcombank.com/thong-tin/blog/lai-suat-vay-mua-o-to")</f>
        <v>https://techcombank.com/thong-tin/blog/lai-suat-vay-mua-o-to</v>
      </c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28" t="str">
        <f>IFERROR(__xludf.DUMMYFUNCTION("""COMPUTED_VALUE"""),"https://techcombank.com/thong-tin/blog/mua-ve-may-bay-gia-re")</f>
        <v>https://techcombank.com/thong-tin/blog/mua-ve-may-bay-gia-re</v>
      </c>
      <c r="B696" s="11">
        <f>IFERROR(__xludf.DUMMYFUNCTION("""COMPUTED_VALUE"""),1.0)</f>
        <v>1</v>
      </c>
      <c r="C696" s="28" t="str">
        <f>IFERROR(__xludf.DUMMYFUNCTION("IF(A696="""","""",TEXTJOIN(CHAR(10),TRUE,FILTER('Tổng hợp 75 trang đích'!$B$2:$B$3400,'Tổng hợp 75 trang đích'!$I$2:$I$3400=A696)))"),"https://techcombank.com/thong-tin/blog/traveloka-voucher")</f>
        <v>https://techcombank.com/thong-tin/blog/traveloka-voucher</v>
      </c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28" t="str">
        <f>IFERROR(__xludf.DUMMYFUNCTION("""COMPUTED_VALUE"""),"https://techcombank.com/thong-tin/blog/ngan-hang-xanh")</f>
        <v>https://techcombank.com/thong-tin/blog/ngan-hang-xanh</v>
      </c>
      <c r="B697" s="11">
        <f>IFERROR(__xludf.DUMMYFUNCTION("""COMPUTED_VALUE"""),1.0)</f>
        <v>1</v>
      </c>
      <c r="C697" s="28" t="str">
        <f>IFERROR(__xludf.DUMMYFUNCTION("IF(A697="""","""",TEXTJOIN(CHAR(10),TRUE,FILTER('Tổng hợp 75 trang đích'!$B$2:$B$3400,'Tổng hợp 75 trang đích'!$I$2:$I$3400=A697)))"),"https://techcombank.com/thong-tin/blog/lai-suat-tiet-kiem")</f>
        <v>https://techcombank.com/thong-tin/blog/lai-suat-tiet-kiem</v>
      </c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28" t="str">
        <f>IFERROR(__xludf.DUMMYFUNCTION("""COMPUTED_VALUE"""),"https://techcombank.com/thong-tin/blog/nguoi-duoc-bao-hiem-la-gi")</f>
        <v>https://techcombank.com/thong-tin/blog/nguoi-duoc-bao-hiem-la-gi</v>
      </c>
      <c r="B698" s="11">
        <f>IFERROR(__xludf.DUMMYFUNCTION("""COMPUTED_VALUE"""),1.0)</f>
        <v>1</v>
      </c>
      <c r="C698" s="28" t="str">
        <f>IFERROR(__xludf.DUMMYFUNCTION("IF(A698="""","""",TEXTJOIN(CHAR(10),TRUE,FILTER('Tổng hợp 75 trang đích'!$B$2:$B$3400,'Tổng hợp 75 trang đích'!$I$2:$I$3400=A698)))"),"https://techcombank.com/thong-tin/blog/chuyen-khoan-thanh-cong-nhung-khong-nhan-duoc-tien")</f>
        <v>https://techcombank.com/thong-tin/blog/chuyen-khoan-thanh-cong-nhung-khong-nhan-duoc-tien</v>
      </c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28" t="str">
        <f>IFERROR(__xludf.DUMMYFUNCTION("""COMPUTED_VALUE"""),"https://techcombank.com/thong-tin/blog/nguyen-tac-quan-ly-tai-chinh-ca-nhan")</f>
        <v>https://techcombank.com/thong-tin/blog/nguyen-tac-quan-ly-tai-chinh-ca-nhan</v>
      </c>
      <c r="B699" s="11">
        <f>IFERROR(__xludf.DUMMYFUNCTION("""COMPUTED_VALUE"""),1.0)</f>
        <v>1</v>
      </c>
      <c r="C699" s="28" t="str">
        <f>IFERROR(__xludf.DUMMYFUNCTION("IF(A699="""","""",TEXTJOIN(CHAR(10),TRUE,FILTER('Tổng hợp 75 trang đích'!$B$2:$B$3400,'Tổng hợp 75 trang đích'!$I$2:$I$3400=A699)))"),"https://techcombank.com/thong-tin/blog/lai-suat-tiet-kiem")</f>
        <v>https://techcombank.com/thong-tin/blog/lai-suat-tiet-kiem</v>
      </c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28" t="str">
        <f>IFERROR(__xludf.DUMMYFUNCTION("""COMPUTED_VALUE"""),"https://techcombank.com/thong-tin/blog/nhan-tien-western-union")</f>
        <v>https://techcombank.com/thong-tin/blog/nhan-tien-western-union</v>
      </c>
      <c r="B700" s="11">
        <f>IFERROR(__xludf.DUMMYFUNCTION("""COMPUTED_VALUE"""),1.0)</f>
        <v>1</v>
      </c>
      <c r="C700" s="28" t="str">
        <f>IFERROR(__xludf.DUMMYFUNCTION("IF(A700="""","""",TEXTJOIN(CHAR(10),TRUE,FILTER('Tổng hợp 75 trang đích'!$B$2:$B$3400,'Tổng hợp 75 trang đích'!$I$2:$I$3400=A700)))"),"https://techcombank.com/thong-tin/blog/cach-nhan-tien-tu-nuoc-ngoai-ve-viet-nam")</f>
        <v>https://techcombank.com/thong-tin/blog/cach-nhan-tien-tu-nuoc-ngoai-ve-viet-nam</v>
      </c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28" t="str">
        <f>IFERROR(__xludf.DUMMYFUNCTION("""COMPUTED_VALUE"""),"https://techcombank.com/thong-tin/blog/nhuong-quyen-la-gi")</f>
        <v>https://techcombank.com/thong-tin/blog/nhuong-quyen-la-gi</v>
      </c>
      <c r="B701" s="11">
        <f>IFERROR(__xludf.DUMMYFUNCTION("""COMPUTED_VALUE"""),1.0)</f>
        <v>1</v>
      </c>
      <c r="C701" s="28" t="str">
        <f>IFERROR(__xludf.DUMMYFUNCTION("IF(A701="""","""",TEXTJOIN(CHAR(10),TRUE,FILTER('Tổng hợp 75 trang đích'!$B$2:$B$3400,'Tổng hợp 75 trang đích'!$I$2:$I$3400=A701)))"),"https://techcombank.com/thong-tin/blog/mo-hinh-kinh-doanh-la-gi")</f>
        <v>https://techcombank.com/thong-tin/blog/mo-hinh-kinh-doanh-la-gi</v>
      </c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28" t="str">
        <f>IFERROR(__xludf.DUMMYFUNCTION("""COMPUTED_VALUE"""),"https://techcombank.com/thong-tin/blog/phan-mem-quan-ly-tai-chinh-doanh-nghiep")</f>
        <v>https://techcombank.com/thong-tin/blog/phan-mem-quan-ly-tai-chinh-doanh-nghiep</v>
      </c>
      <c r="B702" s="11">
        <f>IFERROR(__xludf.DUMMYFUNCTION("""COMPUTED_VALUE"""),1.0)</f>
        <v>1</v>
      </c>
      <c r="C702" s="28" t="str">
        <f>IFERROR(__xludf.DUMMYFUNCTION("IF(A702="""","""",TEXTJOIN(CHAR(10),TRUE,FILTER('Tổng hợp 75 trang đích'!$B$2:$B$3400,'Tổng hợp 75 trang đích'!$I$2:$I$3400=A702)))"),"https://techcombank.com/thong-tin/blog/cach-tiet-kiem-tien")</f>
        <v>https://techcombank.com/thong-tin/blog/cach-tiet-kiem-tien</v>
      </c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28" t="str">
        <f>IFERROR(__xludf.DUMMYFUNCTION("""COMPUTED_VALUE"""),"https://techcombank.com/thong-tin/blog/phuong-phap-dau-tu-chung-chi-quy")</f>
        <v>https://techcombank.com/thong-tin/blog/phuong-phap-dau-tu-chung-chi-quy</v>
      </c>
      <c r="B703" s="11">
        <f>IFERROR(__xludf.DUMMYFUNCTION("""COMPUTED_VALUE"""),1.0)</f>
        <v>1</v>
      </c>
      <c r="C703" s="28" t="str">
        <f>IFERROR(__xludf.DUMMYFUNCTION("IF(A703="""","""",TEXTJOIN(CHAR(10),TRUE,FILTER('Tổng hợp 75 trang đích'!$B$2:$B$3400,'Tổng hợp 75 trang đích'!$I$2:$I$3400=A703)))"),"https://techcombank.com/thong-tin/blog/rui-ro-khi-gui-tiet-kiem-online")</f>
        <v>https://techcombank.com/thong-tin/blog/rui-ro-khi-gui-tiet-kiem-online</v>
      </c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28" t="str">
        <f>IFERROR(__xludf.DUMMYFUNCTION("""COMPUTED_VALUE"""),"https://techcombank.com/thong-tin/blog/qr-code-phuong-thuc-thanh-toan-toi-uu-trong-ky-nguyen-so")</f>
        <v>https://techcombank.com/thong-tin/blog/qr-code-phuong-thuc-thanh-toan-toi-uu-trong-ky-nguyen-so</v>
      </c>
      <c r="B704" s="11">
        <f>IFERROR(__xludf.DUMMYFUNCTION("""COMPUTED_VALUE"""),1.0)</f>
        <v>1</v>
      </c>
      <c r="C704" s="28" t="str">
        <f>IFERROR(__xludf.DUMMYFUNCTION("IF(A704="""","""",TEXTJOIN(CHAR(10),TRUE,FILTER('Tổng hợp 75 trang đích'!$B$2:$B$3400,'Tổng hợp 75 trang đích'!$I$2:$I$3400=A704)))"),"https://techcombank.com/thong-tin/blog/gui-ma-qr-ngan-hang")</f>
        <v>https://techcombank.com/thong-tin/blog/gui-ma-qr-ngan-hang</v>
      </c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28" t="str">
        <f>IFERROR(__xludf.DUMMYFUNCTION("""COMPUTED_VALUE"""),"https://techcombank.com/thong-tin/blog/quan-ly-chi-phi-doanh-nghiep")</f>
        <v>https://techcombank.com/thong-tin/blog/quan-ly-chi-phi-doanh-nghiep</v>
      </c>
      <c r="B705" s="11">
        <f>IFERROR(__xludf.DUMMYFUNCTION("""COMPUTED_VALUE"""),1.0)</f>
        <v>1</v>
      </c>
      <c r="C705" s="28" t="str">
        <f>IFERROR(__xludf.DUMMYFUNCTION("IF(A705="""","""",TEXTJOIN(CHAR(10),TRUE,FILTER('Tổng hợp 75 trang đích'!$B$2:$B$3400,'Tổng hợp 75 trang đích'!$I$2:$I$3400=A705)))"),"https://techcombank.com/thong-tin/blog/mo-hinh-kinh-doanh-la-gi")</f>
        <v>https://techcombank.com/thong-tin/blog/mo-hinh-kinh-doanh-la-gi</v>
      </c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28" t="str">
        <f>IFERROR(__xludf.DUMMYFUNCTION("""COMPUTED_VALUE"""),"https://techcombank.com/thong-tin/blog/roa")</f>
        <v>https://techcombank.com/thong-tin/blog/roa</v>
      </c>
      <c r="B706" s="11">
        <f>IFERROR(__xludf.DUMMYFUNCTION("""COMPUTED_VALUE"""),1.0)</f>
        <v>1</v>
      </c>
      <c r="C706" s="28" t="str">
        <f>IFERROR(__xludf.DUMMYFUNCTION("IF(A706="""","""",TEXTJOIN(CHAR(10),TRUE,FILTER('Tổng hợp 75 trang đích'!$B$2:$B$3400,'Tổng hợp 75 trang đích'!$I$2:$I$3400=A706)))"),"https://techcombank.com/thong-tin/blog/nop-thue-dat-qua-ngan-hang")</f>
        <v>https://techcombank.com/thong-tin/blog/nop-thue-dat-qua-ngan-hang</v>
      </c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28" t="str">
        <f>IFERROR(__xludf.DUMMYFUNCTION("""COMPUTED_VALUE"""),"https://techcombank.com/thong-tin/blog/sang-ngang-the-tin-dung")</f>
        <v>https://techcombank.com/thong-tin/blog/sang-ngang-the-tin-dung</v>
      </c>
      <c r="B707" s="11">
        <f>IFERROR(__xludf.DUMMYFUNCTION("""COMPUTED_VALUE"""),1.0)</f>
        <v>1</v>
      </c>
      <c r="C707" s="28" t="str">
        <f>IFERROR(__xludf.DUMMYFUNCTION("IF(A707="""","""",TEXTJOIN(CHAR(10),TRUE,FILTER('Tổng hợp 75 trang đích'!$B$2:$B$3400,'Tổng hợp 75 trang đích'!$I$2:$I$3400=A707)))"),"https://techcombank.com/thong-tin/blog/cic-la-gi")</f>
        <v>https://techcombank.com/thong-tin/blog/cic-la-gi</v>
      </c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28" t="str">
        <f>IFERROR(__xludf.DUMMYFUNCTION("""COMPUTED_VALUE"""),"https://techcombank.com/thong-tin/blog/sinh-loi-rinh-loc")</f>
        <v>https://techcombank.com/thong-tin/blog/sinh-loi-rinh-loc</v>
      </c>
      <c r="B708" s="11">
        <f>IFERROR(__xludf.DUMMYFUNCTION("""COMPUTED_VALUE"""),1.0)</f>
        <v>1</v>
      </c>
      <c r="C708" s="28" t="str">
        <f>IFERROR(__xludf.DUMMYFUNCTION("IF(A708="""","""",TEXTJOIN(CHAR(10),TRUE,FILTER('Tổng hợp 75 trang đích'!$B$2:$B$3400,'Tổng hợp 75 trang đích'!$I$2:$I$3400=A708)))"),"https://techcombank.com/thong-tin/blog/day-so-phat-tai-phat-loc")</f>
        <v>https://techcombank.com/thong-tin/blog/day-so-phat-tai-phat-loc</v>
      </c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28" t="str">
        <f>IFERROR(__xludf.DUMMYFUNCTION("""COMPUTED_VALUE"""),"https://techcombank.com/thong-tin/blog/smart-otp-la-gi")</f>
        <v>https://techcombank.com/thong-tin/blog/smart-otp-la-gi</v>
      </c>
      <c r="B709" s="11">
        <f>IFERROR(__xludf.DUMMYFUNCTION("""COMPUTED_VALUE"""),1.0)</f>
        <v>1</v>
      </c>
      <c r="C709" s="28" t="str">
        <f>IFERROR(__xludf.DUMMYFUNCTION("IF(A709="""","""",TEXTJOIN(CHAR(10),TRUE,FILTER('Tổng hợp 75 trang đích'!$B$2:$B$3400,'Tổng hợp 75 trang đích'!$I$2:$I$3400=A709)))"),"https://techcombank.com/thong-tin/blog/ten-dang-nhap-tai-khoan-ngan-hang-la-gi")</f>
        <v>https://techcombank.com/thong-tin/blog/ten-dang-nhap-tai-khoan-ngan-hang-la-gi</v>
      </c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28" t="str">
        <f>IFERROR(__xludf.DUMMYFUNCTION("""COMPUTED_VALUE"""),"https://techcombank.com/thong-tin/blog/sms-banking")</f>
        <v>https://techcombank.com/thong-tin/blog/sms-banking</v>
      </c>
      <c r="B710" s="11">
        <f>IFERROR(__xludf.DUMMYFUNCTION("""COMPUTED_VALUE"""),1.0)</f>
        <v>1</v>
      </c>
      <c r="C710" s="28" t="str">
        <f>IFERROR(__xludf.DUMMYFUNCTION("IF(A710="""","""",TEXTJOIN(CHAR(10),TRUE,FILTER('Tổng hợp 75 trang đích'!$B$2:$B$3400,'Tổng hợp 75 trang đích'!$I$2:$I$3400=A710)))"),"https://techcombank.com/thong-tin/blog/cach-kiem-tra-tai-khoan-ngan-hang")</f>
        <v>https://techcombank.com/thong-tin/blog/cach-kiem-tra-tai-khoan-ngan-hang</v>
      </c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28" t="str">
        <f>IFERROR(__xludf.DUMMYFUNCTION("""COMPUTED_VALUE"""),"https://techcombank.com/thong-tin/blog/so-du-tai-khoan-thanh-toan")</f>
        <v>https://techcombank.com/thong-tin/blog/so-du-tai-khoan-thanh-toan</v>
      </c>
      <c r="B711" s="11">
        <f>IFERROR(__xludf.DUMMYFUNCTION("""COMPUTED_VALUE"""),1.0)</f>
        <v>1</v>
      </c>
      <c r="C711" s="28" t="str">
        <f>IFERROR(__xludf.DUMMYFUNCTION("IF(A711="""","""",TEXTJOIN(CHAR(10),TRUE,FILTER('Tổng hợp 75 trang đích'!$B$2:$B$3400,'Tổng hợp 75 trang đích'!$I$2:$I$3400=A711)))"),"https://techcombank.com/thong-tin/blog/cach-kiem-tra-tai-khoan-ngan-hang")</f>
        <v>https://techcombank.com/thong-tin/blog/cach-kiem-tra-tai-khoan-ngan-hang</v>
      </c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28" t="str">
        <f>IFERROR(__xludf.DUMMYFUNCTION("""COMPUTED_VALUE"""),"https://techcombank.com/thong-tin/blog/so-luong-the-tin-dung-noi-dia-dang-luu-hanh-da-tang-42-so-voi-cung-ky-nam-2022")</f>
        <v>https://techcombank.com/thong-tin/blog/so-luong-the-tin-dung-noi-dia-dang-luu-hanh-da-tang-42-so-voi-cung-ky-nam-2022</v>
      </c>
      <c r="B712" s="11">
        <f>IFERROR(__xludf.DUMMYFUNCTION("""COMPUTED_VALUE"""),1.0)</f>
        <v>1</v>
      </c>
      <c r="C712" s="28" t="str">
        <f>IFERROR(__xludf.DUMMYFUNCTION("IF(A712="""","""",TEXTJOIN(CHAR(10),TRUE,FILTER('Tổng hợp 75 trang đích'!$B$2:$B$3400,'Tổng hợp 75 trang đích'!$I$2:$I$3400=A712)))"),"https://techcombank.com/thong-tin/blog/cic-la-gi")</f>
        <v>https://techcombank.com/thong-tin/blog/cic-la-gi</v>
      </c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28" t="str">
        <f>IFERROR(__xludf.DUMMYFUNCTION("""COMPUTED_VALUE"""),"https://techcombank.com/thong-tin/blog/so-the-tin-dung")</f>
        <v>https://techcombank.com/thong-tin/blog/so-the-tin-dung</v>
      </c>
      <c r="B713" s="11">
        <f>IFERROR(__xludf.DUMMYFUNCTION("""COMPUTED_VALUE"""),1.0)</f>
        <v>1</v>
      </c>
      <c r="C713" s="28" t="str">
        <f>IFERROR(__xludf.DUMMYFUNCTION("IF(A713="""","""",TEXTJOIN(CHAR(10),TRUE,FILTER('Tổng hợp 75 trang đích'!$B$2:$B$3400,'Tổng hợp 75 trang đích'!$I$2:$I$3400=A713)))"),"https://techcombank.com/thong-tin/blog/cic-la-gi")</f>
        <v>https://techcombank.com/thong-tin/blog/cic-la-gi</v>
      </c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28" t="str">
        <f>IFERROR(__xludf.DUMMYFUNCTION("""COMPUTED_VALUE"""),"https://techcombank.com/thong-tin/blog/so-the-visa-hop-le")</f>
        <v>https://techcombank.com/thong-tin/blog/so-the-visa-hop-le</v>
      </c>
      <c r="B714" s="11">
        <f>IFERROR(__xludf.DUMMYFUNCTION("""COMPUTED_VALUE"""),1.0)</f>
        <v>1</v>
      </c>
      <c r="C714" s="28" t="str">
        <f>IFERROR(__xludf.DUMMYFUNCTION("IF(A714="""","""",TEXTJOIN(CHAR(10),TRUE,FILTER('Tổng hợp 75 trang đích'!$B$2:$B$3400,'Tổng hợp 75 trang đích'!$I$2:$I$3400=A714)))"),"https://techcombank.com/thong-tin/blog/cic-la-gi")</f>
        <v>https://techcombank.com/thong-tin/blog/cic-la-gi</v>
      </c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28" t="str">
        <f>IFERROR(__xludf.DUMMYFUNCTION("""COMPUTED_VALUE"""),"https://techcombank.com/thong-tin/blog/su-hop-tac-cua-ngan-hang-va-fintech-tren-hanh-trinh-chuyen-doi-so")</f>
        <v>https://techcombank.com/thong-tin/blog/su-hop-tac-cua-ngan-hang-va-fintech-tren-hanh-trinh-chuyen-doi-so</v>
      </c>
      <c r="B715" s="11">
        <f>IFERROR(__xludf.DUMMYFUNCTION("""COMPUTED_VALUE"""),1.0)</f>
        <v>1</v>
      </c>
      <c r="C715" s="28" t="str">
        <f>IFERROR(__xludf.DUMMYFUNCTION("IF(A715="""","""",TEXTJOIN(CHAR(10),TRUE,FILTER('Tổng hợp 75 trang đích'!$B$2:$B$3400,'Tổng hợp 75 trang đích'!$I$2:$I$3400=A715)))"),"https://techcombank.com/thong-tin/blog/ngan-hang-uy-tin")</f>
        <v>https://techcombank.com/thong-tin/blog/ngan-hang-uy-tin</v>
      </c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28" t="str">
        <f>IFERROR(__xludf.DUMMYFUNCTION("""COMPUTED_VALUE"""),"https://techcombank.com/thong-tin/blog/tai-khoan-cong-ty-co-chuyen-online-duoc-khong")</f>
        <v>https://techcombank.com/thong-tin/blog/tai-khoan-cong-ty-co-chuyen-online-duoc-khong</v>
      </c>
      <c r="B716" s="11">
        <f>IFERROR(__xludf.DUMMYFUNCTION("""COMPUTED_VALUE"""),1.0)</f>
        <v>1</v>
      </c>
      <c r="C716" s="28" t="str">
        <f>IFERROR(__xludf.DUMMYFUNCTION("IF(A716="""","""",TEXTJOIN(CHAR(10),TRUE,FILTER('Tổng hợp 75 trang đích'!$B$2:$B$3400,'Tổng hợp 75 trang đích'!$I$2:$I$3400=A716)))"),"https://techcombank.com/thong-tin/blog/cong-ty-su-dung-tai-khoan-ca-nhan")</f>
        <v>https://techcombank.com/thong-tin/blog/cong-ty-su-dung-tai-khoan-ca-nhan</v>
      </c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28" t="str">
        <f>IFERROR(__xludf.DUMMYFUNCTION("""COMPUTED_VALUE"""),"https://techcombank.com/thong-tin/blog/techcom-securities-nhung-buoc-tien-phong-tren-san-thu-cap")</f>
        <v>https://techcombank.com/thong-tin/blog/techcom-securities-nhung-buoc-tien-phong-tren-san-thu-cap</v>
      </c>
      <c r="B717" s="11">
        <f>IFERROR(__xludf.DUMMYFUNCTION("""COMPUTED_VALUE"""),1.0)</f>
        <v>1</v>
      </c>
      <c r="C717" s="28" t="str">
        <f>IFERROR(__xludf.DUMMYFUNCTION("IF(A717="""","""",TEXTJOIN(CHAR(10),TRUE,FILTER('Tổng hợp 75 trang đích'!$B$2:$B$3400,'Tổng hợp 75 trang đích'!$I$2:$I$3400=A717)))"),"https://techcombank.com/thong-tin/blog/phuong-phap-dau-tu-chung-chi-quy")</f>
        <v>https://techcombank.com/thong-tin/blog/phuong-phap-dau-tu-chung-chi-quy</v>
      </c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28" t="str">
        <f>IFERROR(__xludf.DUMMYFUNCTION("""COMPUTED_VALUE"""),"https://techcombank.com/thong-tin/blog/thanh-toan-khi-du-lich-hong-kong")</f>
        <v>https://techcombank.com/thong-tin/blog/thanh-toan-khi-du-lich-hong-kong</v>
      </c>
      <c r="B718" s="11">
        <f>IFERROR(__xludf.DUMMYFUNCTION("""COMPUTED_VALUE"""),1.0)</f>
        <v>1</v>
      </c>
      <c r="C718" s="28" t="str">
        <f>IFERROR(__xludf.DUMMYFUNCTION("IF(A718="""","""",TEXTJOIN(CHAR(10),TRUE,FILTER('Tổng hợp 75 trang đích'!$B$2:$B$3400,'Tổng hợp 75 trang đích'!$I$2:$I$3400=A718)))"),"https://techcombank.com/thong-tin/blog/cic-la-gi")</f>
        <v>https://techcombank.com/thong-tin/blog/cic-la-gi</v>
      </c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28" t="str">
        <f>IFERROR(__xludf.DUMMYFUNCTION("""COMPUTED_VALUE"""),"https://techcombank.com/thong-tin/blog/thanh-toan-khi-du-lich-thai-lan")</f>
        <v>https://techcombank.com/thong-tin/blog/thanh-toan-khi-du-lich-thai-lan</v>
      </c>
      <c r="B719" s="11">
        <f>IFERROR(__xludf.DUMMYFUNCTION("""COMPUTED_VALUE"""),1.0)</f>
        <v>1</v>
      </c>
      <c r="C719" s="28" t="str">
        <f>IFERROR(__xludf.DUMMYFUNCTION("IF(A719="""","""",TEXTJOIN(CHAR(10),TRUE,FILTER('Tổng hợp 75 trang đích'!$B$2:$B$3400,'Tổng hợp 75 trang đích'!$I$2:$I$3400=A719)))"),"https://techcombank.com/thong-tin/blog/tien-thai-lan")</f>
        <v>https://techcombank.com/thong-tin/blog/tien-thai-lan</v>
      </c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28" t="str">
        <f>IFERROR(__xludf.DUMMYFUNCTION("""COMPUTED_VALUE"""),"https://techcombank.com/thong-tin/blog/thanh-toan-khi-du-lich-trung-quoc")</f>
        <v>https://techcombank.com/thong-tin/blog/thanh-toan-khi-du-lich-trung-quoc</v>
      </c>
      <c r="B720" s="11">
        <f>IFERROR(__xludf.DUMMYFUNCTION("""COMPUTED_VALUE"""),1.0)</f>
        <v>1</v>
      </c>
      <c r="C720" s="28" t="str">
        <f>IFERROR(__xludf.DUMMYFUNCTION("IF(A720="""","""",TEXTJOIN(CHAR(10),TRUE,FILTER('Tổng hợp 75 trang đích'!$B$2:$B$3400,'Tổng hợp 75 trang đích'!$I$2:$I$3400=A720)))"),"https://techcombank.com/thong-tin/blog/1-te-bang-bao-nhieu-tien-viet-nam")</f>
        <v>https://techcombank.com/thong-tin/blog/1-te-bang-bao-nhieu-tien-viet-nam</v>
      </c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28" t="str">
        <f>IFERROR(__xludf.DUMMYFUNCTION("""COMPUTED_VALUE"""),"https://techcombank.com/thong-tin/blog/thanh-toan-khong-dung-tien-mat-tro-thanh-xu-huong-tang-truong-chong-mat")</f>
        <v>https://techcombank.com/thong-tin/blog/thanh-toan-khong-dung-tien-mat-tro-thanh-xu-huong-tang-truong-chong-mat</v>
      </c>
      <c r="B721" s="11">
        <f>IFERROR(__xludf.DUMMYFUNCTION("""COMPUTED_VALUE"""),1.0)</f>
        <v>1</v>
      </c>
      <c r="C721" s="28" t="str">
        <f>IFERROR(__xludf.DUMMYFUNCTION("IF(A721="""","""",TEXTJOIN(CHAR(10),TRUE,FILTER('Tổng hợp 75 trang đích'!$B$2:$B$3400,'Tổng hợp 75 trang đích'!$I$2:$I$3400=A721)))"),"https://techcombank.com/thong-tin/blog/rut-tien-mat-tu-the-tin-dung")</f>
        <v>https://techcombank.com/thong-tin/blog/rut-tien-mat-tu-the-tin-dung</v>
      </c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28" t="str">
        <f>IFERROR(__xludf.DUMMYFUNCTION("""COMPUTED_VALUE"""),"https://techcombank.com/thong-tin/blog/thanh-toan-khong-tien-mat-trong-nganh-giao-duc-co-hoi-va-thach-thuc")</f>
        <v>https://techcombank.com/thong-tin/blog/thanh-toan-khong-tien-mat-trong-nganh-giao-duc-co-hoi-va-thach-thuc</v>
      </c>
      <c r="B722" s="11">
        <f>IFERROR(__xludf.DUMMYFUNCTION("""COMPUTED_VALUE"""),1.0)</f>
        <v>1</v>
      </c>
      <c r="C722" s="28" t="str">
        <f>IFERROR(__xludf.DUMMYFUNCTION("IF(A722="""","""",TEXTJOIN(CHAR(10),TRUE,FILTER('Tổng hợp 75 trang đích'!$B$2:$B$3400,'Tổng hợp 75 trang đích'!$I$2:$I$3400=A722)))"),"https://techcombank.com/thong-tin/blog/rut-tien-mat-tu-the-tin-dung")</f>
        <v>https://techcombank.com/thong-tin/blog/rut-tien-mat-tu-the-tin-dung</v>
      </c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28" t="str">
        <f>IFERROR(__xludf.DUMMYFUNCTION("""COMPUTED_VALUE"""),"https://techcombank.com/thong-tin/blog/thanh-toan-phi-quan-ly-chung-cu")</f>
        <v>https://techcombank.com/thong-tin/blog/thanh-toan-phi-quan-ly-chung-cu</v>
      </c>
      <c r="B723" s="11">
        <f>IFERROR(__xludf.DUMMYFUNCTION("""COMPUTED_VALUE"""),1.0)</f>
        <v>1</v>
      </c>
      <c r="C723" s="28" t="str">
        <f>IFERROR(__xludf.DUMMYFUNCTION("IF(A723="""","""",TEXTJOIN(CHAR(10),TRUE,FILTER('Tổng hợp 75 trang đích'!$B$2:$B$3400,'Tổng hợp 75 trang đích'!$I$2:$I$3400=A723)))"),"https://techcombank.com/thong-tin/blog/vay-ngan-hang-1-ty-moi-thang-tra-bao-nhieu")</f>
        <v>https://techcombank.com/thong-tin/blog/vay-ngan-hang-1-ty-moi-thang-tra-bao-nhieu</v>
      </c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28" t="str">
        <f>IFERROR(__xludf.DUMMYFUNCTION("""COMPUTED_VALUE"""),"https://techcombank.com/thong-tin/blog/thanh-toan-tien-internet-online")</f>
        <v>https://techcombank.com/thong-tin/blog/thanh-toan-tien-internet-online</v>
      </c>
      <c r="B724" s="11">
        <f>IFERROR(__xludf.DUMMYFUNCTION("""COMPUTED_VALUE"""),1.0)</f>
        <v>1</v>
      </c>
      <c r="C724" s="28" t="str">
        <f>IFERROR(__xludf.DUMMYFUNCTION("IF(A724="""","""",TEXTJOIN(CHAR(10),TRUE,FILTER('Tổng hợp 75 trang đích'!$B$2:$B$3400,'Tổng hợp 75 trang đích'!$I$2:$I$3400=A724)))"),"https://techcombank.com/thong-tin/blog/cach-nap-the-viettel")</f>
        <v>https://techcombank.com/thong-tin/blog/cach-nap-the-viettel</v>
      </c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28" t="str">
        <f>IFERROR(__xludf.DUMMYFUNCTION("""COMPUTED_VALUE"""),"https://techcombank.com/thong-tin/blog/the-debit")</f>
        <v>https://techcombank.com/thong-tin/blog/the-debit</v>
      </c>
      <c r="B725" s="11">
        <f>IFERROR(__xludf.DUMMYFUNCTION("""COMPUTED_VALUE"""),1.0)</f>
        <v>1</v>
      </c>
      <c r="C725" s="28" t="str">
        <f>IFERROR(__xludf.DUMMYFUNCTION("IF(A725="""","""",TEXTJOIN(CHAR(10),TRUE,FILTER('Tổng hợp 75 trang đích'!$B$2:$B$3400,'Tổng hợp 75 trang đích'!$I$2:$I$3400=A725)))"),"https://techcombank.com/thong-tin/blog/cic-la-gi")</f>
        <v>https://techcombank.com/thong-tin/blog/cic-la-gi</v>
      </c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28" t="str">
        <f>IFERROR(__xludf.DUMMYFUNCTION("""COMPUTED_VALUE"""),"https://techcombank.com/thong-tin/blog/the-ghi-no-co-rut-tien-duoc-khong")</f>
        <v>https://techcombank.com/thong-tin/blog/the-ghi-no-co-rut-tien-duoc-khong</v>
      </c>
      <c r="B726" s="11">
        <f>IFERROR(__xludf.DUMMYFUNCTION("""COMPUTED_VALUE"""),1.0)</f>
        <v>1</v>
      </c>
      <c r="C726" s="28" t="str">
        <f>IFERROR(__xludf.DUMMYFUNCTION("IF(A726="""","""",TEXTJOIN(CHAR(10),TRUE,FILTER('Tổng hợp 75 trang đích'!$B$2:$B$3400,'Tổng hợp 75 trang đích'!$I$2:$I$3400=A726)))"),"https://techcombank.com/thong-tin/blog/rut-tien-mat-tu-the-tin-dung")</f>
        <v>https://techcombank.com/thong-tin/blog/rut-tien-mat-tu-the-tin-dung</v>
      </c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28" t="str">
        <f>IFERROR(__xludf.DUMMYFUNCTION("""COMPUTED_VALUE"""),"https://techcombank.com/thong-tin/blog/the-he-tre-day-manh-xu-huong-thanh-toan-khong-dung-tien-mat")</f>
        <v>https://techcombank.com/thong-tin/blog/the-he-tre-day-manh-xu-huong-thanh-toan-khong-dung-tien-mat</v>
      </c>
      <c r="B727" s="11">
        <f>IFERROR(__xludf.DUMMYFUNCTION("""COMPUTED_VALUE"""),1.0)</f>
        <v>1</v>
      </c>
      <c r="C727" s="28" t="str">
        <f>IFERROR(__xludf.DUMMYFUNCTION("IF(A727="""","""",TEXTJOIN(CHAR(10),TRUE,FILTER('Tổng hợp 75 trang đích'!$B$2:$B$3400,'Tổng hợp 75 trang đích'!$I$2:$I$3400=A727)))"),"https://techcombank.com/thong-tin/blog/rut-tien-mat-tu-the-tin-dung")</f>
        <v>https://techcombank.com/thong-tin/blog/rut-tien-mat-tu-the-tin-dung</v>
      </c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28" t="str">
        <f>IFERROR(__xludf.DUMMYFUNCTION("""COMPUTED_VALUE"""),"https://techcombank.com/thong-tin/blog/the-tin-dung-hoan-tien")</f>
        <v>https://techcombank.com/thong-tin/blog/the-tin-dung-hoan-tien</v>
      </c>
      <c r="B728" s="11">
        <f>IFERROR(__xludf.DUMMYFUNCTION("""COMPUTED_VALUE"""),1.0)</f>
        <v>1</v>
      </c>
      <c r="C728" s="28" t="str">
        <f>IFERROR(__xludf.DUMMYFUNCTION("IF(A728="""","""",TEXTJOIN(CHAR(10),TRUE,FILTER('Tổng hợp 75 trang đích'!$B$2:$B$3400,'Tổng hợp 75 trang đích'!$I$2:$I$3400=A728)))"),"https://techcombank.com/thong-tin/blog/cic-la-gi")</f>
        <v>https://techcombank.com/thong-tin/blog/cic-la-gi</v>
      </c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28" t="str">
        <f>IFERROR(__xludf.DUMMYFUNCTION("""COMPUTED_VALUE"""),"https://techcombank.com/thong-tin/blog/the-tin-dung-vip")</f>
        <v>https://techcombank.com/thong-tin/blog/the-tin-dung-vip</v>
      </c>
      <c r="B729" s="11">
        <f>IFERROR(__xludf.DUMMYFUNCTION("""COMPUTED_VALUE"""),1.0)</f>
        <v>1</v>
      </c>
      <c r="C729" s="28" t="str">
        <f>IFERROR(__xludf.DUMMYFUNCTION("IF(A729="""","""",TEXTJOIN(CHAR(10),TRUE,FILTER('Tổng hợp 75 trang đích'!$B$2:$B$3400,'Tổng hợp 75 trang đích'!$I$2:$I$3400=A729)))"),"https://techcombank.com/thong-tin/blog/cic-la-gi")</f>
        <v>https://techcombank.com/thong-tin/blog/cic-la-gi</v>
      </c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28" t="str">
        <f>IFERROR(__xludf.DUMMYFUNCTION("""COMPUTED_VALUE"""),"https://techcombank.com/thong-tin/blog/the-visa")</f>
        <v>https://techcombank.com/thong-tin/blog/the-visa</v>
      </c>
      <c r="B730" s="11">
        <f>IFERROR(__xludf.DUMMYFUNCTION("""COMPUTED_VALUE"""),1.0)</f>
        <v>1</v>
      </c>
      <c r="C730" s="28" t="str">
        <f>IFERROR(__xludf.DUMMYFUNCTION("IF(A730="""","""",TEXTJOIN(CHAR(10),TRUE,FILTER('Tổng hợp 75 trang đích'!$B$2:$B$3400,'Tổng hợp 75 trang đích'!$I$2:$I$3400=A730)))"),"https://techcombank.com/thong-tin/blog/cic-la-gi")</f>
        <v>https://techcombank.com/thong-tin/blog/cic-la-gi</v>
      </c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28" t="str">
        <f>IFERROR(__xludf.DUMMYFUNCTION("""COMPUTED_VALUE"""),"https://techcombank.com/thong-tin/blog/the-visa-khong-thanh-toan-duoc")</f>
        <v>https://techcombank.com/thong-tin/blog/the-visa-khong-thanh-toan-duoc</v>
      </c>
      <c r="B731" s="11">
        <f>IFERROR(__xludf.DUMMYFUNCTION("""COMPUTED_VALUE"""),1.0)</f>
        <v>1</v>
      </c>
      <c r="C731" s="28" t="str">
        <f>IFERROR(__xludf.DUMMYFUNCTION("IF(A731="""","""",TEXTJOIN(CHAR(10),TRUE,FILTER('Tổng hợp 75 trang đích'!$B$2:$B$3400,'Tổng hợp 75 trang đích'!$I$2:$I$3400=A731)))"),"https://techcombank.com/thong-tin/blog/cic-la-gi")</f>
        <v>https://techcombank.com/thong-tin/blog/cic-la-gi</v>
      </c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28" t="str">
        <f>IFERROR(__xludf.DUMMYFUNCTION("""COMPUTED_VALUE"""),"https://techcombank.com/thong-tin/blog/thoi-gian-khop-lech-chung-chi-quy")</f>
        <v>https://techcombank.com/thong-tin/blog/thoi-gian-khop-lech-chung-chi-quy</v>
      </c>
      <c r="B732" s="11">
        <f>IFERROR(__xludf.DUMMYFUNCTION("""COMPUTED_VALUE"""),1.0)</f>
        <v>1</v>
      </c>
      <c r="C732" s="28" t="str">
        <f>IFERROR(__xludf.DUMMYFUNCTION("IF(A732="""","""",TEXTJOIN(CHAR(10),TRUE,FILTER('Tổng hợp 75 trang đích'!$B$2:$B$3400,'Tổng hợp 75 trang đích'!$I$2:$I$3400=A732)))"),"https://techcombank.com/thong-tin/blog/phuong-phap-dau-tu-chung-chi-quy")</f>
        <v>https://techcombank.com/thong-tin/blog/phuong-phap-dau-tu-chung-chi-quy</v>
      </c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28" t="str">
        <f>IFERROR(__xludf.DUMMYFUNCTION("""COMPUTED_VALUE"""),"https://techcombank.com/thong-tin/blog/tieu-dung-ben-vung")</f>
        <v>https://techcombank.com/thong-tin/blog/tieu-dung-ben-vung</v>
      </c>
      <c r="B733" s="11">
        <f>IFERROR(__xludf.DUMMYFUNCTION("""COMPUTED_VALUE"""),1.0)</f>
        <v>1</v>
      </c>
      <c r="C733" s="28" t="str">
        <f>IFERROR(__xludf.DUMMYFUNCTION("IF(A733="""","""",TEXTJOIN(CHAR(10),TRUE,FILTER('Tổng hợp 75 trang đích'!$B$2:$B$3400,'Tổng hợp 75 trang đích'!$I$2:$I$3400=A733)))"),"https://techcombank.com/thong-tin/blog/mo-hinh-kinh-doanh-la-gi")</f>
        <v>https://techcombank.com/thong-tin/blog/mo-hinh-kinh-doanh-la-gi</v>
      </c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28" t="str">
        <f>IFERROR(__xludf.DUMMYFUNCTION("""COMPUTED_VALUE"""),"https://techcombank.com/thong-tin/blog/tieu-dung-xanh")</f>
        <v>https://techcombank.com/thong-tin/blog/tieu-dung-xanh</v>
      </c>
      <c r="B734" s="11">
        <f>IFERROR(__xludf.DUMMYFUNCTION("""COMPUTED_VALUE"""),1.0)</f>
        <v>1</v>
      </c>
      <c r="C734" s="28" t="str">
        <f>IFERROR(__xludf.DUMMYFUNCTION("IF(A734="""","""",TEXTJOIN(CHAR(10),TRUE,FILTER('Tổng hợp 75 trang đích'!$B$2:$B$3400,'Tổng hợp 75 trang đích'!$I$2:$I$3400=A734)))"),"https://techcombank.com/thong-tin/blog/eco-card")</f>
        <v>https://techcombank.com/thong-tin/blog/eco-card</v>
      </c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28" t="str">
        <f>IFERROR(__xludf.DUMMYFUNCTION("""COMPUTED_VALUE"""),"https://techcombank.com/thong-tin/blog/tous-les-jours")</f>
        <v>https://techcombank.com/thong-tin/blog/tous-les-jours</v>
      </c>
      <c r="B735" s="11">
        <f>IFERROR(__xludf.DUMMYFUNCTION("""COMPUTED_VALUE"""),1.0)</f>
        <v>1</v>
      </c>
      <c r="C735" s="28" t="str">
        <f>IFERROR(__xludf.DUMMYFUNCTION("IF(A735="""","""",TEXTJOIN(CHAR(10),TRUE,FILTER('Tổng hợp 75 trang đích'!$B$2:$B$3400,'Tổng hợp 75 trang đích'!$I$2:$I$3400=A735)))"),"https://techcombank.com/thong-tin/blog/traveloka-voucher")</f>
        <v>https://techcombank.com/thong-tin/blog/traveloka-voucher</v>
      </c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28" t="str">
        <f>IFERROR(__xludf.DUMMYFUNCTION("""COMPUTED_VALUE"""),"https://techcombank.com/thong-tin/blog/ty-le-thanh-toan-khong-dung-tien-mat-trong-linh-vuc-y-te-con-han-che")</f>
        <v>https://techcombank.com/thong-tin/blog/ty-le-thanh-toan-khong-dung-tien-mat-trong-linh-vuc-y-te-con-han-che</v>
      </c>
      <c r="B736" s="11">
        <f>IFERROR(__xludf.DUMMYFUNCTION("""COMPUTED_VALUE"""),1.0)</f>
        <v>1</v>
      </c>
      <c r="C736" s="28" t="str">
        <f>IFERROR(__xludf.DUMMYFUNCTION("IF(A736="""","""",TEXTJOIN(CHAR(10),TRUE,FILTER('Tổng hợp 75 trang đích'!$B$2:$B$3400,'Tổng hợp 75 trang đích'!$I$2:$I$3400=A736)))"),"https://techcombank.com/thong-tin/blog/rut-tien-mat-tu-the-tin-dung")</f>
        <v>https://techcombank.com/thong-tin/blog/rut-tien-mat-tu-the-tin-dung</v>
      </c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28" t="str">
        <f>IFERROR(__xludf.DUMMYFUNCTION("""COMPUTED_VALUE"""),"https://techcombank.com/thong-tin/blog/ung-dung-cong-nghe")</f>
        <v>https://techcombank.com/thong-tin/blog/ung-dung-cong-nghe</v>
      </c>
      <c r="B737" s="11">
        <f>IFERROR(__xludf.DUMMYFUNCTION("""COMPUTED_VALUE"""),1.0)</f>
        <v>1</v>
      </c>
      <c r="C737" s="28" t="str">
        <f>IFERROR(__xludf.DUMMYFUNCTION("IF(A737="""","""",TEXTJOIN(CHAR(10),TRUE,FILTER('Tổng hợp 75 trang đích'!$B$2:$B$3400,'Tổng hợp 75 trang đích'!$I$2:$I$3400=A737)))"),"https://techcombank.com/thong-tin/blog/cach-sao-ke-tai-khoan-ngan-hang")</f>
        <v>https://techcombank.com/thong-tin/blog/cach-sao-ke-tai-khoan-ngan-hang</v>
      </c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28" t="str">
        <f>IFERROR(__xludf.DUMMYFUNCTION("""COMPUTED_VALUE"""),"https://techcombank.com/thong-tin/blog/uu-diem-cua-blockchain")</f>
        <v>https://techcombank.com/thong-tin/blog/uu-diem-cua-blockchain</v>
      </c>
      <c r="B738" s="11">
        <f>IFERROR(__xludf.DUMMYFUNCTION("""COMPUTED_VALUE"""),1.0)</f>
        <v>1</v>
      </c>
      <c r="C738" s="28" t="str">
        <f>IFERROR(__xludf.DUMMYFUNCTION("IF(A738="""","""",TEXTJOIN(CHAR(10),TRUE,FILTER('Tổng hợp 75 trang đích'!$B$2:$B$3400,'Tổng hợp 75 trang đích'!$I$2:$I$3400=A738)))"),"https://techcombank.com/thong-tin/blog/chuyen-khoan-thanh-cong-nhung-khong-nhan-duoc-tien")</f>
        <v>https://techcombank.com/thong-tin/blog/chuyen-khoan-thanh-cong-nhung-khong-nhan-duoc-tien</v>
      </c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28" t="str">
        <f>IFERROR(__xludf.DUMMYFUNCTION("""COMPUTED_VALUE"""),"https://techcombank.com/thong-tin/blog/vang-24k")</f>
        <v>https://techcombank.com/thong-tin/blog/vang-24k</v>
      </c>
      <c r="B739" s="11">
        <f>IFERROR(__xludf.DUMMYFUNCTION("""COMPUTED_VALUE"""),1.0)</f>
        <v>1</v>
      </c>
      <c r="C739" s="28" t="str">
        <f>IFERROR(__xludf.DUMMYFUNCTION("IF(A739="""","""",TEXTJOIN(CHAR(10),TRUE,FILTER('Tổng hợp 75 trang đích'!$B$2:$B$3400,'Tổng hợp 75 trang đích'!$I$2:$I$3400=A739)))"),"https://techcombank.com/thong-tin/blog/phuong-phap-dau-tu-chung-chi-quy")</f>
        <v>https://techcombank.com/thong-tin/blog/phuong-phap-dau-tu-chung-chi-quy</v>
      </c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28" t="str">
        <f>IFERROR(__xludf.DUMMYFUNCTION("""COMPUTED_VALUE"""),"https://techcombank.com/thong-tin/blog/vang-giam")</f>
        <v>https://techcombank.com/thong-tin/blog/vang-giam</v>
      </c>
      <c r="B740" s="11">
        <f>IFERROR(__xludf.DUMMYFUNCTION("""COMPUTED_VALUE"""),1.0)</f>
        <v>1</v>
      </c>
      <c r="C740" s="28" t="str">
        <f>IFERROR(__xludf.DUMMYFUNCTION("IF(A740="""","""",TEXTJOIN(CHAR(10),TRUE,FILTER('Tổng hợp 75 trang đích'!$B$2:$B$3400,'Tổng hợp 75 trang đích'!$I$2:$I$3400=A740)))"),"https://techcombank.com/thong-tin/blog/lai-suat-tiet-kiem")</f>
        <v>https://techcombank.com/thong-tin/blog/lai-suat-tiet-kiem</v>
      </c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28" t="str">
        <f>IFERROR(__xludf.DUMMYFUNCTION("""COMPUTED_VALUE"""),"https://techcombank.com/thong-tin/blog/vang-my-ky")</f>
        <v>https://techcombank.com/thong-tin/blog/vang-my-ky</v>
      </c>
      <c r="B741" s="11">
        <f>IFERROR(__xludf.DUMMYFUNCTION("""COMPUTED_VALUE"""),1.0)</f>
        <v>1</v>
      </c>
      <c r="C741" s="28" t="str">
        <f>IFERROR(__xludf.DUMMYFUNCTION("IF(A741="""","""",TEXTJOIN(CHAR(10),TRUE,FILTER('Tổng hợp 75 trang đích'!$B$2:$B$3400,'Tổng hợp 75 trang đích'!$I$2:$I$3400=A741)))"),"https://techcombank.com/thong-tin/blog/1-dong-do-la-my-bang-bao-nhieu-tien-viet-nam")</f>
        <v>https://techcombank.com/thong-tin/blog/1-dong-do-la-my-bang-bao-nhieu-tien-viet-nam</v>
      </c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28" t="str">
        <f>IFERROR(__xludf.DUMMYFUNCTION("""COMPUTED_VALUE"""),"https://techcombank.com/thong-tin/blog/vi-dien-tu-la-gi")</f>
        <v>https://techcombank.com/thong-tin/blog/vi-dien-tu-la-gi</v>
      </c>
      <c r="B742" s="11">
        <f>IFERROR(__xludf.DUMMYFUNCTION("""COMPUTED_VALUE"""),1.0)</f>
        <v>1</v>
      </c>
      <c r="C742" s="28" t="str">
        <f>IFERROR(__xludf.DUMMYFUNCTION("IF(A742="""","""",TEXTJOIN(CHAR(10),TRUE,FILTER('Tổng hợp 75 trang đích'!$B$2:$B$3400,'Tổng hợp 75 trang đích'!$I$2:$I$3400=A742)))"),"https://techcombank.com/thong-tin/blog/chuyen-khoan-thanh-cong-nhung-khong-nhan-duoc-tien")</f>
        <v>https://techcombank.com/thong-tin/blog/chuyen-khoan-thanh-cong-nhung-khong-nhan-duoc-tien</v>
      </c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28" t="str">
        <f>IFERROR(__xludf.DUMMYFUNCTION("""COMPUTED_VALUE"""),"https://techcombank.com/thong-tin/blog/viet-kieu-co-mo-duoc-tai-khoan-ngan-hang-khong")</f>
        <v>https://techcombank.com/thong-tin/blog/viet-kieu-co-mo-duoc-tai-khoan-ngan-hang-khong</v>
      </c>
      <c r="B743" s="11">
        <f>IFERROR(__xludf.DUMMYFUNCTION("""COMPUTED_VALUE"""),1.0)</f>
        <v>1</v>
      </c>
      <c r="C743" s="28" t="str">
        <f>IFERROR(__xludf.DUMMYFUNCTION("IF(A743="""","""",TEXTJOIN(CHAR(10),TRUE,FILTER('Tổng hợp 75 trang đích'!$B$2:$B$3400,'Tổng hợp 75 trang đích'!$I$2:$I$3400=A743)))"),"https://techcombank.com/thong-tin/blog/ngan-hang-uy-tin")</f>
        <v>https://techcombank.com/thong-tin/blog/ngan-hang-uy-tin</v>
      </c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28" t="str">
        <f>IFERROR(__xludf.DUMMYFUNCTION("""COMPUTED_VALUE"""),"https://techcombank.com/thong-tin/blog/voucher-cgv")</f>
        <v>https://techcombank.com/thong-tin/blog/voucher-cgv</v>
      </c>
      <c r="B744" s="11">
        <f>IFERROR(__xludf.DUMMYFUNCTION("""COMPUTED_VALUE"""),1.0)</f>
        <v>1</v>
      </c>
      <c r="C744" s="28" t="str">
        <f>IFERROR(__xludf.DUMMYFUNCTION("IF(A744="""","""",TEXTJOIN(CHAR(10),TRUE,FILTER('Tổng hợp 75 trang đích'!$B$2:$B$3400,'Tổng hợp 75 trang đích'!$I$2:$I$3400=A744)))"),"https://techcombank.com/thong-tin/blog/traveloka-voucher")</f>
        <v>https://techcombank.com/thong-tin/blog/traveloka-voucher</v>
      </c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28" t="str">
        <f>IFERROR(__xludf.DUMMYFUNCTION("""COMPUTED_VALUE"""),"https://techcombank.com/thong-tin/blog/voucher-grab")</f>
        <v>https://techcombank.com/thong-tin/blog/voucher-grab</v>
      </c>
      <c r="B745" s="11">
        <f>IFERROR(__xludf.DUMMYFUNCTION("""COMPUTED_VALUE"""),1.0)</f>
        <v>1</v>
      </c>
      <c r="C745" s="28" t="str">
        <f>IFERROR(__xludf.DUMMYFUNCTION("IF(A745="""","""",TEXTJOIN(CHAR(10),TRUE,FILTER('Tổng hợp 75 trang đích'!$B$2:$B$3400,'Tổng hợp 75 trang đích'!$I$2:$I$3400=A745)))"),"https://techcombank.com/thong-tin/blog/traveloka-voucher")</f>
        <v>https://techcombank.com/thong-tin/blog/traveloka-voucher</v>
      </c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28" t="str">
        <f>IFERROR(__xludf.DUMMYFUNCTION("""COMPUTED_VALUE"""),"https://techcombank.com/thong-tin/blog/voucher-highland")</f>
        <v>https://techcombank.com/thong-tin/blog/voucher-highland</v>
      </c>
      <c r="B746" s="11">
        <f>IFERROR(__xludf.DUMMYFUNCTION("""COMPUTED_VALUE"""),1.0)</f>
        <v>1</v>
      </c>
      <c r="C746" s="28" t="str">
        <f>IFERROR(__xludf.DUMMYFUNCTION("IF(A746="""","""",TEXTJOIN(CHAR(10),TRUE,FILTER('Tổng hợp 75 trang đích'!$B$2:$B$3400,'Tổng hợp 75 trang đích'!$I$2:$I$3400=A746)))"),"https://techcombank.com/thong-tin/blog/traveloka-voucher")</f>
        <v>https://techcombank.com/thong-tin/blog/traveloka-voucher</v>
      </c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28" t="str">
        <f>IFERROR(__xludf.DUMMYFUNCTION("""COMPUTED_VALUE"""),"https://techcombank.com/thong-tin/blog/voucher-kfc")</f>
        <v>https://techcombank.com/thong-tin/blog/voucher-kfc</v>
      </c>
      <c r="B747" s="11">
        <f>IFERROR(__xludf.DUMMYFUNCTION("""COMPUTED_VALUE"""),1.0)</f>
        <v>1</v>
      </c>
      <c r="C747" s="28" t="str">
        <f>IFERROR(__xludf.DUMMYFUNCTION("IF(A747="""","""",TEXTJOIN(CHAR(10),TRUE,FILTER('Tổng hợp 75 trang đích'!$B$2:$B$3400,'Tổng hợp 75 trang đích'!$I$2:$I$3400=A747)))"),"https://techcombank.com/thong-tin/blog/traveloka-voucher")</f>
        <v>https://techcombank.com/thong-tin/blog/traveloka-voucher</v>
      </c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28" t="str">
        <f>IFERROR(__xludf.DUMMYFUNCTION("""COMPUTED_VALUE"""),"https://techcombank.com/thong-tin/blog/voucher-starbucks")</f>
        <v>https://techcombank.com/thong-tin/blog/voucher-starbucks</v>
      </c>
      <c r="B748" s="11">
        <f>IFERROR(__xludf.DUMMYFUNCTION("""COMPUTED_VALUE"""),1.0)</f>
        <v>1</v>
      </c>
      <c r="C748" s="28" t="str">
        <f>IFERROR(__xludf.DUMMYFUNCTION("IF(A748="""","""",TEXTJOIN(CHAR(10),TRUE,FILTER('Tổng hợp 75 trang đích'!$B$2:$B$3400,'Tổng hợp 75 trang đích'!$I$2:$I$3400=A748)))"),"https://techcombank.com/thong-tin/blog/traveloka-voucher")</f>
        <v>https://techcombank.com/thong-tin/blog/traveloka-voucher</v>
      </c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28" t="str">
        <f>IFERROR(__xludf.DUMMYFUNCTION("""COMPUTED_VALUE"""),"https://techcombank.com/thong-tin/blog/voucher-the-coffee-house")</f>
        <v>https://techcombank.com/thong-tin/blog/voucher-the-coffee-house</v>
      </c>
      <c r="B749" s="11">
        <f>IFERROR(__xludf.DUMMYFUNCTION("""COMPUTED_VALUE"""),1.0)</f>
        <v>1</v>
      </c>
      <c r="C749" s="28" t="str">
        <f>IFERROR(__xludf.DUMMYFUNCTION("IF(A749="""","""",TEXTJOIN(CHAR(10),TRUE,FILTER('Tổng hợp 75 trang đích'!$B$2:$B$3400,'Tổng hợp 75 trang đích'!$I$2:$I$3400=A749)))"),"https://techcombank.com/thong-tin/blog/traveloka-voucher")</f>
        <v>https://techcombank.com/thong-tin/blog/traveloka-voucher</v>
      </c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28" t="str">
        <f>IFERROR(__xludf.DUMMYFUNCTION("""COMPUTED_VALUE"""),"https://techcombank.com/thong-tin/blog/wacc-la-gi")</f>
        <v>https://techcombank.com/thong-tin/blog/wacc-la-gi</v>
      </c>
      <c r="B750" s="11">
        <f>IFERROR(__xludf.DUMMYFUNCTION("""COMPUTED_VALUE"""),1.0)</f>
        <v>1</v>
      </c>
      <c r="C750" s="28" t="str">
        <f>IFERROR(__xludf.DUMMYFUNCTION("IF(A750="""","""",TEXTJOIN(CHAR(10),TRUE,FILTER('Tổng hợp 75 trang đích'!$B$2:$B$3400,'Tổng hợp 75 trang đích'!$I$2:$I$3400=A750)))"),"https://techcombank.com/thong-tin/blog/phuong-phap-dau-tu-chung-chi-quy")</f>
        <v>https://techcombank.com/thong-tin/blog/phuong-phap-dau-tu-chung-chi-quy</v>
      </c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28" t="str">
        <f>IFERROR(__xludf.DUMMYFUNCTION("""COMPUTED_VALUE"""),"https://techcombank.com/thong-tin/blog/xep-hang-tin-dung")</f>
        <v>https://techcombank.com/thong-tin/blog/xep-hang-tin-dung</v>
      </c>
      <c r="B751" s="11">
        <f>IFERROR(__xludf.DUMMYFUNCTION("""COMPUTED_VALUE"""),1.0)</f>
        <v>1</v>
      </c>
      <c r="C751" s="28" t="str">
        <f>IFERROR(__xludf.DUMMYFUNCTION("IF(A751="""","""",TEXTJOIN(CHAR(10),TRUE,FILTER('Tổng hợp 75 trang đích'!$B$2:$B$3400,'Tổng hợp 75 trang đích'!$I$2:$I$3400=A751)))"),"https://techcombank.com/thong-tin/blog/cic-la-gi")</f>
        <v>https://techcombank.com/thong-tin/blog/cic-la-gi</v>
      </c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28" t="str">
        <f>IFERROR(__xludf.DUMMYFUNCTION("""COMPUTED_VALUE"""),"https://techcombank.com/thong-tin/blog/xu-huong-song-xanh")</f>
        <v>https://techcombank.com/thong-tin/blog/xu-huong-song-xanh</v>
      </c>
      <c r="B752" s="11">
        <f>IFERROR(__xludf.DUMMYFUNCTION("""COMPUTED_VALUE"""),1.0)</f>
        <v>1</v>
      </c>
      <c r="C752" s="28" t="str">
        <f>IFERROR(__xludf.DUMMYFUNCTION("IF(A752="""","""",TEXTJOIN(CHAR(10),TRUE,FILTER('Tổng hợp 75 trang đích'!$B$2:$B$3400,'Tổng hợp 75 trang đích'!$I$2:$I$3400=A752)))"),"https://techcombank.com/thong-tin/blog/eco-card")</f>
        <v>https://techcombank.com/thong-tin/blog/eco-card</v>
      </c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28" t="str">
        <f>IFERROR(__xludf.DUMMYFUNCTION("""COMPUTED_VALUE"""),"https://techcombank.com/thong-tin/blog/xu-huong-thanh-toan-khong-dung-tien-mat-tai-viet-nam")</f>
        <v>https://techcombank.com/thong-tin/blog/xu-huong-thanh-toan-khong-dung-tien-mat-tai-viet-nam</v>
      </c>
      <c r="B753" s="11">
        <f>IFERROR(__xludf.DUMMYFUNCTION("""COMPUTED_VALUE"""),1.0)</f>
        <v>1</v>
      </c>
      <c r="C753" s="28" t="str">
        <f>IFERROR(__xludf.DUMMYFUNCTION("IF(A753="""","""",TEXTJOIN(CHAR(10),TRUE,FILTER('Tổng hợp 75 trang đích'!$B$2:$B$3400,'Tổng hợp 75 trang đích'!$I$2:$I$3400=A753)))"),"https://techcombank.com/thong-tin/blog/rut-tien-mat-tu-the-tin-dung")</f>
        <v>https://techcombank.com/thong-tin/blog/rut-tien-mat-tu-the-tin-dung</v>
      </c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28" t="str">
        <f>IFERROR(__xludf.DUMMYFUNCTION("""COMPUTED_VALUE"""),"https://techcombank.com/thong-tin/blog/xu-huong-tieu-dung")</f>
        <v>https://techcombank.com/thong-tin/blog/xu-huong-tieu-dung</v>
      </c>
      <c r="B754" s="11">
        <f>IFERROR(__xludf.DUMMYFUNCTION("""COMPUTED_VALUE"""),1.0)</f>
        <v>1</v>
      </c>
      <c r="C754" s="28" t="str">
        <f>IFERROR(__xludf.DUMMYFUNCTION("IF(A754="""","""",TEXTJOIN(CHAR(10),TRUE,FILTER('Tổng hợp 75 trang đích'!$B$2:$B$3400,'Tổng hợp 75 trang đích'!$I$2:$I$3400=A754)))"),"https://techcombank.com/thong-tin/blog/eco-card")</f>
        <v>https://techcombank.com/thong-tin/blog/eco-card</v>
      </c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28" t="str">
        <f>IFERROR(__xludf.DUMMYFUNCTION("""COMPUTED_VALUE"""),"https://techcombank.com/thong-tin/blog/y-concert")</f>
        <v>https://techcombank.com/thong-tin/blog/y-concert</v>
      </c>
      <c r="B755" s="11">
        <f>IFERROR(__xludf.DUMMYFUNCTION("""COMPUTED_VALUE"""),1.0)</f>
        <v>1</v>
      </c>
      <c r="C755" s="28" t="str">
        <f>IFERROR(__xludf.DUMMYFUNCTION("IF(A755="""","""",TEXTJOIN(CHAR(10),TRUE,FILTER('Tổng hợp 75 trang đích'!$B$2:$B$3400,'Tổng hợp 75 trang đích'!$I$2:$I$3400=A755)))"),"https://techcombank.com/thong-tin/blog/phuong-phap-dau-tu-chung-chi-quy")</f>
        <v>https://techcombank.com/thong-tin/blog/phuong-phap-dau-tu-chung-chi-quy</v>
      </c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28" t="str">
        <f>IFERROR(__xludf.DUMMYFUNCTION("""COMPUTED_VALUE"""),"https://techcombank.com/thong-tin/blog/yakimono")</f>
        <v>https://techcombank.com/thong-tin/blog/yakimono</v>
      </c>
      <c r="B756" s="11">
        <f>IFERROR(__xludf.DUMMYFUNCTION("""COMPUTED_VALUE"""),1.0)</f>
        <v>1</v>
      </c>
      <c r="C756" s="28" t="str">
        <f>IFERROR(__xludf.DUMMYFUNCTION("IF(A756="""","""",TEXTJOIN(CHAR(10),TRUE,FILTER('Tổng hợp 75 trang đích'!$B$2:$B$3400,'Tổng hợp 75 trang đích'!$I$2:$I$3400=A756)))"),"https://techcombank.com/thong-tin/blog/traveloka-voucher")</f>
        <v>https://techcombank.com/thong-tin/blog/traveloka-voucher</v>
      </c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7"/>
      <c r="B757" s="11"/>
      <c r="C757" s="7" t="str">
        <f>IFERROR(__xludf.DUMMYFUNCTION("IF(A757="""","""",TEXTJOIN(CHAR(10),TRUE,FILTER('Tổng hợp 75 trang đích'!$B$2:$B$3400,'Tổng hợp 75 trang đích'!$I$2:$I$3400=A757)))"),"")</f>
        <v/>
      </c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7"/>
      <c r="B758" s="11"/>
      <c r="C758" s="7" t="str">
        <f>IFERROR(__xludf.DUMMYFUNCTION("IF(A758="""","""",TEXTJOIN(CHAR(10),TRUE,FILTER('Tổng hợp 75 trang đích'!$B$2:$B$3400,'Tổng hợp 75 trang đích'!$I$2:$I$3400=A758)))"),"")</f>
        <v/>
      </c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7"/>
      <c r="B759" s="11"/>
      <c r="C759" s="7" t="str">
        <f>IFERROR(__xludf.DUMMYFUNCTION("IF(A759="""","""",TEXTJOIN(CHAR(10),TRUE,FILTER('Tổng hợp 75 trang đích'!$B$2:$B$3400,'Tổng hợp 75 trang đích'!$I$2:$I$3400=A759)))"),"")</f>
        <v/>
      </c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7"/>
      <c r="B760" s="11"/>
      <c r="C760" s="7" t="str">
        <f>IFERROR(__xludf.DUMMYFUNCTION("IF(A760="""","""",TEXTJOIN(CHAR(10),TRUE,FILTER('Tổng hợp 75 trang đích'!$B$2:$B$3400,'Tổng hợp 75 trang đích'!$I$2:$I$3400=A760)))"),"")</f>
        <v/>
      </c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7"/>
      <c r="B761" s="11"/>
      <c r="C761" s="7" t="str">
        <f>IFERROR(__xludf.DUMMYFUNCTION("IF(A761="""","""",TEXTJOIN(CHAR(10),TRUE,FILTER('Tổng hợp 75 trang đích'!$B$2:$B$3400,'Tổng hợp 75 trang đích'!$I$2:$I$3400=A761)))"),"")</f>
        <v/>
      </c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7"/>
      <c r="B762" s="11"/>
      <c r="C762" s="7" t="str">
        <f>IFERROR(__xludf.DUMMYFUNCTION("IF(A762="""","""",TEXTJOIN(CHAR(10),TRUE,FILTER('Tổng hợp 75 trang đích'!$B$2:$B$3400,'Tổng hợp 75 trang đích'!$I$2:$I$3400=A762)))"),"")</f>
        <v/>
      </c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7"/>
      <c r="B763" s="11"/>
      <c r="C763" s="7" t="str">
        <f>IFERROR(__xludf.DUMMYFUNCTION("IF(A763="""","""",TEXTJOIN(CHAR(10),TRUE,FILTER('Tổng hợp 75 trang đích'!$B$2:$B$3400,'Tổng hợp 75 trang đích'!$I$2:$I$3400=A763)))"),"")</f>
        <v/>
      </c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7"/>
      <c r="B764" s="11"/>
      <c r="C764" s="7" t="str">
        <f>IFERROR(__xludf.DUMMYFUNCTION("IF(A764="""","""",TEXTJOIN(CHAR(10),TRUE,FILTER('Tổng hợp 75 trang đích'!$B$2:$B$3400,'Tổng hợp 75 trang đích'!$I$2:$I$3400=A764)))"),"")</f>
        <v/>
      </c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7"/>
      <c r="B765" s="11"/>
      <c r="C765" s="7" t="str">
        <f>IFERROR(__xludf.DUMMYFUNCTION("IF(A765="""","""",TEXTJOIN(CHAR(10),TRUE,FILTER('Tổng hợp 75 trang đích'!$B$2:$B$3400,'Tổng hợp 75 trang đích'!$I$2:$I$3400=A765)))"),"")</f>
        <v/>
      </c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7"/>
      <c r="B766" s="11"/>
      <c r="C766" s="7" t="str">
        <f>IFERROR(__xludf.DUMMYFUNCTION("IF(A766="""","""",TEXTJOIN(CHAR(10),TRUE,FILTER('Tổng hợp 75 trang đích'!$B$2:$B$3400,'Tổng hợp 75 trang đích'!$I$2:$I$3400=A766)))"),"")</f>
        <v/>
      </c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7"/>
      <c r="B767" s="11"/>
      <c r="C767" s="7" t="str">
        <f>IFERROR(__xludf.DUMMYFUNCTION("IF(A767="""","""",TEXTJOIN(CHAR(10),TRUE,FILTER('Tổng hợp 75 trang đích'!$B$2:$B$3400,'Tổng hợp 75 trang đích'!$I$2:$I$3400=A767)))"),"")</f>
        <v/>
      </c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7"/>
      <c r="B768" s="11"/>
      <c r="C768" s="7" t="str">
        <f>IFERROR(__xludf.DUMMYFUNCTION("IF(A768="""","""",TEXTJOIN(CHAR(10),TRUE,FILTER('Tổng hợp 75 trang đích'!$B$2:$B$3400,'Tổng hợp 75 trang đích'!$I$2:$I$3400=A768)))"),"")</f>
        <v/>
      </c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7"/>
      <c r="B769" s="11"/>
      <c r="C769" s="7" t="str">
        <f>IFERROR(__xludf.DUMMYFUNCTION("IF(A769="""","""",TEXTJOIN(CHAR(10),TRUE,FILTER('Tổng hợp 75 trang đích'!$B$2:$B$3400,'Tổng hợp 75 trang đích'!$I$2:$I$3400=A769)))"),"")</f>
        <v/>
      </c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7"/>
      <c r="B770" s="11"/>
      <c r="C770" s="7" t="str">
        <f>IFERROR(__xludf.DUMMYFUNCTION("IF(A770="""","""",TEXTJOIN(CHAR(10),TRUE,FILTER('Tổng hợp 75 trang đích'!$B$2:$B$3400,'Tổng hợp 75 trang đích'!$I$2:$I$3400=A770)))"),"")</f>
        <v/>
      </c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7"/>
      <c r="B771" s="11"/>
      <c r="C771" s="7" t="str">
        <f>IFERROR(__xludf.DUMMYFUNCTION("IF(A771="""","""",TEXTJOIN(CHAR(10),TRUE,FILTER('Tổng hợp 75 trang đích'!$B$2:$B$3400,'Tổng hợp 75 trang đích'!$I$2:$I$3400=A771)))"),"")</f>
        <v/>
      </c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7"/>
      <c r="B772" s="11"/>
      <c r="C772" s="7" t="str">
        <f>IFERROR(__xludf.DUMMYFUNCTION("IF(A772="""","""",TEXTJOIN(CHAR(10),TRUE,FILTER('Tổng hợp 75 trang đích'!$B$2:$B$3400,'Tổng hợp 75 trang đích'!$I$2:$I$3400=A772)))"),"")</f>
        <v/>
      </c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7"/>
      <c r="B773" s="11"/>
      <c r="C773" s="7" t="str">
        <f>IFERROR(__xludf.DUMMYFUNCTION("IF(A773="""","""",TEXTJOIN(CHAR(10),TRUE,FILTER('Tổng hợp 75 trang đích'!$B$2:$B$3400,'Tổng hợp 75 trang đích'!$I$2:$I$3400=A773)))"),"")</f>
        <v/>
      </c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7"/>
      <c r="B774" s="11"/>
      <c r="C774" s="7" t="str">
        <f>IFERROR(__xludf.DUMMYFUNCTION("IF(A774="""","""",TEXTJOIN(CHAR(10),TRUE,FILTER('Tổng hợp 75 trang đích'!$B$2:$B$3400,'Tổng hợp 75 trang đích'!$I$2:$I$3400=A774)))"),"")</f>
        <v/>
      </c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7"/>
      <c r="B775" s="11"/>
      <c r="C775" s="7" t="str">
        <f>IFERROR(__xludf.DUMMYFUNCTION("IF(A775="""","""",TEXTJOIN(CHAR(10),TRUE,FILTER('Tổng hợp 75 trang đích'!$B$2:$B$3400,'Tổng hợp 75 trang đích'!$I$2:$I$3400=A775)))"),"")</f>
        <v/>
      </c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7"/>
      <c r="B776" s="11"/>
      <c r="C776" s="7" t="str">
        <f>IFERROR(__xludf.DUMMYFUNCTION("IF(A776="""","""",TEXTJOIN(CHAR(10),TRUE,FILTER('Tổng hợp 75 trang đích'!$B$2:$B$3400,'Tổng hợp 75 trang đích'!$I$2:$I$3400=A776)))"),"")</f>
        <v/>
      </c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7"/>
      <c r="B777" s="11"/>
      <c r="C777" s="7" t="str">
        <f>IFERROR(__xludf.DUMMYFUNCTION("IF(A777="""","""",TEXTJOIN(CHAR(10),TRUE,FILTER('Tổng hợp 75 trang đích'!$B$2:$B$3400,'Tổng hợp 75 trang đích'!$I$2:$I$3400=A777)))"),"")</f>
        <v/>
      </c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7"/>
      <c r="B778" s="11"/>
      <c r="C778" s="7" t="str">
        <f>IFERROR(__xludf.DUMMYFUNCTION("IF(A778="""","""",TEXTJOIN(CHAR(10),TRUE,FILTER('Tổng hợp 75 trang đích'!$B$2:$B$3400,'Tổng hợp 75 trang đích'!$I$2:$I$3400=A778)))"),"")</f>
        <v/>
      </c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7"/>
      <c r="B779" s="11"/>
      <c r="C779" s="7" t="str">
        <f>IFERROR(__xludf.DUMMYFUNCTION("IF(A779="""","""",TEXTJOIN(CHAR(10),TRUE,FILTER('Tổng hợp 75 trang đích'!$B$2:$B$3400,'Tổng hợp 75 trang đích'!$I$2:$I$3400=A779)))"),"")</f>
        <v/>
      </c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7"/>
      <c r="B780" s="11"/>
      <c r="C780" s="7" t="str">
        <f>IFERROR(__xludf.DUMMYFUNCTION("IF(A780="""","""",TEXTJOIN(CHAR(10),TRUE,FILTER('Tổng hợp 75 trang đích'!$B$2:$B$3400,'Tổng hợp 75 trang đích'!$I$2:$I$3400=A780)))"),"")</f>
        <v/>
      </c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7"/>
      <c r="B781" s="11"/>
      <c r="C781" s="7" t="str">
        <f>IFERROR(__xludf.DUMMYFUNCTION("IF(A781="""","""",TEXTJOIN(CHAR(10),TRUE,FILTER('Tổng hợp 75 trang đích'!$B$2:$B$3400,'Tổng hợp 75 trang đích'!$I$2:$I$3400=A781)))"),"")</f>
        <v/>
      </c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7"/>
      <c r="B782" s="11"/>
      <c r="C782" s="7" t="str">
        <f>IFERROR(__xludf.DUMMYFUNCTION("IF(A782="""","""",TEXTJOIN(CHAR(10),TRUE,FILTER('Tổng hợp 75 trang đích'!$B$2:$B$3400,'Tổng hợp 75 trang đích'!$I$2:$I$3400=A782)))"),"")</f>
        <v/>
      </c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7"/>
      <c r="B783" s="11"/>
      <c r="C783" s="7" t="str">
        <f>IFERROR(__xludf.DUMMYFUNCTION("IF(A783="""","""",TEXTJOIN(CHAR(10),TRUE,FILTER('Tổng hợp 75 trang đích'!$B$2:$B$3400,'Tổng hợp 75 trang đích'!$I$2:$I$3400=A783)))"),"")</f>
        <v/>
      </c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7"/>
      <c r="B784" s="11"/>
      <c r="C784" s="7" t="str">
        <f>IFERROR(__xludf.DUMMYFUNCTION("IF(A784="""","""",TEXTJOIN(CHAR(10),TRUE,FILTER('Tổng hợp 75 trang đích'!$B$2:$B$3400,'Tổng hợp 75 trang đích'!$I$2:$I$3400=A784)))"),"")</f>
        <v/>
      </c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7"/>
      <c r="B785" s="11"/>
      <c r="C785" s="7" t="str">
        <f>IFERROR(__xludf.DUMMYFUNCTION("IF(A785="""","""",TEXTJOIN(CHAR(10),TRUE,FILTER('Tổng hợp 75 trang đích'!$B$2:$B$3400,'Tổng hợp 75 trang đích'!$I$2:$I$3400=A785)))"),"")</f>
        <v/>
      </c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7"/>
      <c r="B786" s="11"/>
      <c r="C786" s="7" t="str">
        <f>IFERROR(__xludf.DUMMYFUNCTION("IF(A786="""","""",TEXTJOIN(CHAR(10),TRUE,FILTER('Tổng hợp 75 trang đích'!$B$2:$B$3400,'Tổng hợp 75 trang đích'!$I$2:$I$3400=A786)))"),"")</f>
        <v/>
      </c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7"/>
      <c r="B787" s="11"/>
      <c r="C787" s="7" t="str">
        <f>IFERROR(__xludf.DUMMYFUNCTION("IF(A787="""","""",TEXTJOIN(CHAR(10),TRUE,FILTER('Tổng hợp 75 trang đích'!$B$2:$B$3400,'Tổng hợp 75 trang đích'!$I$2:$I$3400=A787)))"),"")</f>
        <v/>
      </c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7"/>
      <c r="B788" s="11"/>
      <c r="C788" s="7" t="str">
        <f>IFERROR(__xludf.DUMMYFUNCTION("IF(A788="""","""",TEXTJOIN(CHAR(10),TRUE,FILTER('Tổng hợp 75 trang đích'!$B$2:$B$3400,'Tổng hợp 75 trang đích'!$I$2:$I$3400=A788)))"),"")</f>
        <v/>
      </c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7"/>
      <c r="B789" s="11"/>
      <c r="C789" s="7" t="str">
        <f>IFERROR(__xludf.DUMMYFUNCTION("IF(A789="""","""",TEXTJOIN(CHAR(10),TRUE,FILTER('Tổng hợp 75 trang đích'!$B$2:$B$3400,'Tổng hợp 75 trang đích'!$I$2:$I$3400=A789)))"),"")</f>
        <v/>
      </c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7"/>
      <c r="B790" s="11"/>
      <c r="C790" s="7" t="str">
        <f>IFERROR(__xludf.DUMMYFUNCTION("IF(A790="""","""",TEXTJOIN(CHAR(10),TRUE,FILTER('Tổng hợp 75 trang đích'!$B$2:$B$3400,'Tổng hợp 75 trang đích'!$I$2:$I$3400=A790)))"),"")</f>
        <v/>
      </c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7"/>
      <c r="B791" s="11"/>
      <c r="C791" s="7" t="str">
        <f>IFERROR(__xludf.DUMMYFUNCTION("IF(A791="""","""",TEXTJOIN(CHAR(10),TRUE,FILTER('Tổng hợp 75 trang đích'!$B$2:$B$3400,'Tổng hợp 75 trang đích'!$I$2:$I$3400=A791)))"),"")</f>
        <v/>
      </c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7"/>
      <c r="B792" s="11"/>
      <c r="C792" s="7" t="str">
        <f>IFERROR(__xludf.DUMMYFUNCTION("IF(A792="""","""",TEXTJOIN(CHAR(10),TRUE,FILTER('Tổng hợp 75 trang đích'!$B$2:$B$3400,'Tổng hợp 75 trang đích'!$I$2:$I$3400=A792)))"),"")</f>
        <v/>
      </c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7"/>
      <c r="B793" s="11"/>
      <c r="C793" s="7" t="str">
        <f>IFERROR(__xludf.DUMMYFUNCTION("IF(A793="""","""",TEXTJOIN(CHAR(10),TRUE,FILTER('Tổng hợp 75 trang đích'!$B$2:$B$3400,'Tổng hợp 75 trang đích'!$I$2:$I$3400=A793)))"),"")</f>
        <v/>
      </c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7"/>
      <c r="B794" s="11"/>
      <c r="C794" s="7" t="str">
        <f>IFERROR(__xludf.DUMMYFUNCTION("IF(A794="""","""",TEXTJOIN(CHAR(10),TRUE,FILTER('Tổng hợp 75 trang đích'!$B$2:$B$3400,'Tổng hợp 75 trang đích'!$I$2:$I$3400=A794)))"),"")</f>
        <v/>
      </c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7"/>
      <c r="B795" s="11"/>
      <c r="C795" s="7" t="str">
        <f>IFERROR(__xludf.DUMMYFUNCTION("IF(A795="""","""",TEXTJOIN(CHAR(10),TRUE,FILTER('Tổng hợp 75 trang đích'!$B$2:$B$3400,'Tổng hợp 75 trang đích'!$I$2:$I$3400=A795)))"),"")</f>
        <v/>
      </c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7"/>
      <c r="B796" s="11"/>
      <c r="C796" s="7" t="str">
        <f>IFERROR(__xludf.DUMMYFUNCTION("IF(A796="""","""",TEXTJOIN(CHAR(10),TRUE,FILTER('Tổng hợp 75 trang đích'!$B$2:$B$3400,'Tổng hợp 75 trang đích'!$I$2:$I$3400=A796)))"),"")</f>
        <v/>
      </c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7"/>
      <c r="B797" s="11"/>
      <c r="C797" s="7" t="str">
        <f>IFERROR(__xludf.DUMMYFUNCTION("IF(A797="""","""",TEXTJOIN(CHAR(10),TRUE,FILTER('Tổng hợp 75 trang đích'!$B$2:$B$3400,'Tổng hợp 75 trang đích'!$I$2:$I$3400=A797)))"),"")</f>
        <v/>
      </c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7"/>
      <c r="B798" s="11"/>
      <c r="C798" s="7" t="str">
        <f>IFERROR(__xludf.DUMMYFUNCTION("IF(A798="""","""",TEXTJOIN(CHAR(10),TRUE,FILTER('Tổng hợp 75 trang đích'!$B$2:$B$3400,'Tổng hợp 75 trang đích'!$I$2:$I$3400=A798)))"),"")</f>
        <v/>
      </c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7"/>
      <c r="B799" s="11"/>
      <c r="C799" s="7" t="str">
        <f>IFERROR(__xludf.DUMMYFUNCTION("IF(A799="""","""",TEXTJOIN(CHAR(10),TRUE,FILTER('Tổng hợp 75 trang đích'!$B$2:$B$3400,'Tổng hợp 75 trang đích'!$I$2:$I$3400=A799)))"),"")</f>
        <v/>
      </c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7"/>
      <c r="B800" s="11"/>
      <c r="C800" s="7" t="str">
        <f>IFERROR(__xludf.DUMMYFUNCTION("IF(A800="""","""",TEXTJOIN(CHAR(10),TRUE,FILTER('Tổng hợp 75 trang đích'!$B$2:$B$3400,'Tổng hợp 75 trang đích'!$I$2:$I$3400=A800)))"),"")</f>
        <v/>
      </c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7"/>
      <c r="B801" s="11"/>
      <c r="C801" s="7" t="str">
        <f>IFERROR(__xludf.DUMMYFUNCTION("IF(A801="""","""",TEXTJOIN(CHAR(10),TRUE,FILTER('Tổng hợp 75 trang đích'!$B$2:$B$3400,'Tổng hợp 75 trang đích'!$I$2:$I$3400=A801)))"),"")</f>
        <v/>
      </c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7"/>
      <c r="B802" s="11"/>
      <c r="C802" s="7" t="str">
        <f>IFERROR(__xludf.DUMMYFUNCTION("IF(A802="""","""",TEXTJOIN(CHAR(10),TRUE,FILTER('Tổng hợp 75 trang đích'!$B$2:$B$3400,'Tổng hợp 75 trang đích'!$I$2:$I$3400=A802)))"),"")</f>
        <v/>
      </c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7"/>
      <c r="B803" s="11"/>
      <c r="C803" s="7" t="str">
        <f>IFERROR(__xludf.DUMMYFUNCTION("IF(A803="""","""",TEXTJOIN(CHAR(10),TRUE,FILTER('Tổng hợp 75 trang đích'!$B$2:$B$3400,'Tổng hợp 75 trang đích'!$I$2:$I$3400=A803)))"),"")</f>
        <v/>
      </c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7"/>
      <c r="B804" s="11"/>
      <c r="C804" s="7" t="str">
        <f>IFERROR(__xludf.DUMMYFUNCTION("IF(A804="""","""",TEXTJOIN(CHAR(10),TRUE,FILTER('Tổng hợp 75 trang đích'!$B$2:$B$3400,'Tổng hợp 75 trang đích'!$I$2:$I$3400=A804)))"),"")</f>
        <v/>
      </c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7"/>
      <c r="B805" s="11"/>
      <c r="C805" s="7" t="str">
        <f>IFERROR(__xludf.DUMMYFUNCTION("IF(A805="""","""",TEXTJOIN(CHAR(10),TRUE,FILTER('Tổng hợp 75 trang đích'!$B$2:$B$3400,'Tổng hợp 75 trang đích'!$I$2:$I$3400=A805)))"),"")</f>
        <v/>
      </c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7"/>
      <c r="B806" s="11"/>
      <c r="C806" s="7" t="str">
        <f>IFERROR(__xludf.DUMMYFUNCTION("IF(A806="""","""",TEXTJOIN(CHAR(10),TRUE,FILTER('Tổng hợp 75 trang đích'!$B$2:$B$3400,'Tổng hợp 75 trang đích'!$I$2:$I$3400=A806)))"),"")</f>
        <v/>
      </c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7"/>
      <c r="B807" s="11"/>
      <c r="C807" s="7" t="str">
        <f>IFERROR(__xludf.DUMMYFUNCTION("IF(A807="""","""",TEXTJOIN(CHAR(10),TRUE,FILTER('Tổng hợp 75 trang đích'!$B$2:$B$3400,'Tổng hợp 75 trang đích'!$I$2:$I$3400=A807)))"),"")</f>
        <v/>
      </c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7"/>
      <c r="B808" s="11"/>
      <c r="C808" s="7" t="str">
        <f>IFERROR(__xludf.DUMMYFUNCTION("IF(A808="""","""",TEXTJOIN(CHAR(10),TRUE,FILTER('Tổng hợp 75 trang đích'!$B$2:$B$3400,'Tổng hợp 75 trang đích'!$I$2:$I$3400=A808)))"),"")</f>
        <v/>
      </c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7"/>
      <c r="B809" s="11"/>
      <c r="C809" s="7" t="str">
        <f>IFERROR(__xludf.DUMMYFUNCTION("IF(A809="""","""",TEXTJOIN(CHAR(10),TRUE,FILTER('Tổng hợp 75 trang đích'!$B$2:$B$3400,'Tổng hợp 75 trang đích'!$I$2:$I$3400=A809)))"),"")</f>
        <v/>
      </c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7"/>
      <c r="B810" s="11"/>
      <c r="C810" s="7" t="str">
        <f>IFERROR(__xludf.DUMMYFUNCTION("IF(A810="""","""",TEXTJOIN(CHAR(10),TRUE,FILTER('Tổng hợp 75 trang đích'!$B$2:$B$3400,'Tổng hợp 75 trang đích'!$I$2:$I$3400=A810)))"),"")</f>
        <v/>
      </c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7"/>
      <c r="B811" s="11"/>
      <c r="C811" s="7" t="str">
        <f>IFERROR(__xludf.DUMMYFUNCTION("IF(A811="""","""",TEXTJOIN(CHAR(10),TRUE,FILTER('Tổng hợp 75 trang đích'!$B$2:$B$3400,'Tổng hợp 75 trang đích'!$I$2:$I$3400=A811)))"),"")</f>
        <v/>
      </c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7"/>
      <c r="B812" s="11"/>
      <c r="C812" s="7" t="str">
        <f>IFERROR(__xludf.DUMMYFUNCTION("IF(A812="""","""",TEXTJOIN(CHAR(10),TRUE,FILTER('Tổng hợp 75 trang đích'!$B$2:$B$3400,'Tổng hợp 75 trang đích'!$I$2:$I$3400=A812)))"),"")</f>
        <v/>
      </c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7"/>
      <c r="B813" s="11"/>
      <c r="C813" s="7" t="str">
        <f>IFERROR(__xludf.DUMMYFUNCTION("IF(A813="""","""",TEXTJOIN(CHAR(10),TRUE,FILTER('Tổng hợp 75 trang đích'!$B$2:$B$3400,'Tổng hợp 75 trang đích'!$I$2:$I$3400=A813)))"),"")</f>
        <v/>
      </c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7"/>
      <c r="B814" s="11"/>
      <c r="C814" s="7" t="str">
        <f>IFERROR(__xludf.DUMMYFUNCTION("IF(A814="""","""",TEXTJOIN(CHAR(10),TRUE,FILTER('Tổng hợp 75 trang đích'!$B$2:$B$3400,'Tổng hợp 75 trang đích'!$I$2:$I$3400=A814)))"),"")</f>
        <v/>
      </c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7"/>
      <c r="B815" s="11"/>
      <c r="C815" s="7" t="str">
        <f>IFERROR(__xludf.DUMMYFUNCTION("IF(A815="""","""",TEXTJOIN(CHAR(10),TRUE,FILTER('Tổng hợp 75 trang đích'!$B$2:$B$3400,'Tổng hợp 75 trang đích'!$I$2:$I$3400=A815)))"),"")</f>
        <v/>
      </c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7"/>
      <c r="B816" s="11"/>
      <c r="C816" s="7" t="str">
        <f>IFERROR(__xludf.DUMMYFUNCTION("IF(A816="""","""",TEXTJOIN(CHAR(10),TRUE,FILTER('Tổng hợp 75 trang đích'!$B$2:$B$3400,'Tổng hợp 75 trang đích'!$I$2:$I$3400=A816)))"),"")</f>
        <v/>
      </c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7"/>
      <c r="B817" s="11"/>
      <c r="C817" s="7" t="str">
        <f>IFERROR(__xludf.DUMMYFUNCTION("IF(A817="""","""",TEXTJOIN(CHAR(10),TRUE,FILTER('Tổng hợp 75 trang đích'!$B$2:$B$3400,'Tổng hợp 75 trang đích'!$I$2:$I$3400=A817)))"),"")</f>
        <v/>
      </c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7"/>
      <c r="B818" s="11"/>
      <c r="C818" s="7" t="str">
        <f>IFERROR(__xludf.DUMMYFUNCTION("IF(A818="""","""",TEXTJOIN(CHAR(10),TRUE,FILTER('Tổng hợp 75 trang đích'!$B$2:$B$3400,'Tổng hợp 75 trang đích'!$I$2:$I$3400=A818)))"),"")</f>
        <v/>
      </c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7"/>
      <c r="B819" s="11"/>
      <c r="C819" s="7" t="str">
        <f>IFERROR(__xludf.DUMMYFUNCTION("IF(A819="""","""",TEXTJOIN(CHAR(10),TRUE,FILTER('Tổng hợp 75 trang đích'!$B$2:$B$3400,'Tổng hợp 75 trang đích'!$I$2:$I$3400=A819)))"),"")</f>
        <v/>
      </c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7"/>
      <c r="B820" s="11"/>
      <c r="C820" s="7" t="str">
        <f>IFERROR(__xludf.DUMMYFUNCTION("IF(A820="""","""",TEXTJOIN(CHAR(10),TRUE,FILTER('Tổng hợp 75 trang đích'!$B$2:$B$3400,'Tổng hợp 75 trang đích'!$I$2:$I$3400=A820)))"),"")</f>
        <v/>
      </c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7"/>
      <c r="B821" s="11"/>
      <c r="C821" s="7" t="str">
        <f>IFERROR(__xludf.DUMMYFUNCTION("IF(A821="""","""",TEXTJOIN(CHAR(10),TRUE,FILTER('Tổng hợp 75 trang đích'!$B$2:$B$3400,'Tổng hợp 75 trang đích'!$I$2:$I$3400=A821)))"),"")</f>
        <v/>
      </c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7"/>
      <c r="B822" s="11"/>
      <c r="C822" s="7" t="str">
        <f>IFERROR(__xludf.DUMMYFUNCTION("IF(A822="""","""",TEXTJOIN(CHAR(10),TRUE,FILTER('Tổng hợp 75 trang đích'!$B$2:$B$3400,'Tổng hợp 75 trang đích'!$I$2:$I$3400=A822)))"),"")</f>
        <v/>
      </c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7"/>
      <c r="B823" s="11"/>
      <c r="C823" s="7" t="str">
        <f>IFERROR(__xludf.DUMMYFUNCTION("IF(A823="""","""",TEXTJOIN(CHAR(10),TRUE,FILTER('Tổng hợp 75 trang đích'!$B$2:$B$3400,'Tổng hợp 75 trang đích'!$I$2:$I$3400=A823)))"),"")</f>
        <v/>
      </c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7"/>
      <c r="B824" s="11"/>
      <c r="C824" s="7" t="str">
        <f>IFERROR(__xludf.DUMMYFUNCTION("IF(A824="""","""",TEXTJOIN(CHAR(10),TRUE,FILTER('Tổng hợp 75 trang đích'!$B$2:$B$3400,'Tổng hợp 75 trang đích'!$I$2:$I$3400=A824)))"),"")</f>
        <v/>
      </c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7"/>
      <c r="B825" s="11"/>
      <c r="C825" s="7" t="str">
        <f>IFERROR(__xludf.DUMMYFUNCTION("IF(A825="""","""",TEXTJOIN(CHAR(10),TRUE,FILTER('Tổng hợp 75 trang đích'!$B$2:$B$3400,'Tổng hợp 75 trang đích'!$I$2:$I$3400=A825)))"),"")</f>
        <v/>
      </c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7"/>
      <c r="B826" s="11"/>
      <c r="C826" s="7" t="str">
        <f>IFERROR(__xludf.DUMMYFUNCTION("IF(A826="""","""",TEXTJOIN(CHAR(10),TRUE,FILTER('Tổng hợp 75 trang đích'!$B$2:$B$3400,'Tổng hợp 75 trang đích'!$I$2:$I$3400=A826)))"),"")</f>
        <v/>
      </c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7"/>
      <c r="B827" s="11"/>
      <c r="C827" s="7" t="str">
        <f>IFERROR(__xludf.DUMMYFUNCTION("IF(A827="""","""",TEXTJOIN(CHAR(10),TRUE,FILTER('Tổng hợp 75 trang đích'!$B$2:$B$3400,'Tổng hợp 75 trang đích'!$I$2:$I$3400=A827)))"),"")</f>
        <v/>
      </c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7"/>
      <c r="B828" s="11"/>
      <c r="C828" s="7" t="str">
        <f>IFERROR(__xludf.DUMMYFUNCTION("IF(A828="""","""",TEXTJOIN(CHAR(10),TRUE,FILTER('Tổng hợp 75 trang đích'!$B$2:$B$3400,'Tổng hợp 75 trang đích'!$I$2:$I$3400=A828)))"),"")</f>
        <v/>
      </c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7"/>
      <c r="B829" s="11"/>
      <c r="C829" s="7" t="str">
        <f>IFERROR(__xludf.DUMMYFUNCTION("IF(A829="""","""",TEXTJOIN(CHAR(10),TRUE,FILTER('Tổng hợp 75 trang đích'!$B$2:$B$3400,'Tổng hợp 75 trang đích'!$I$2:$I$3400=A829)))"),"")</f>
        <v/>
      </c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7"/>
      <c r="B830" s="11"/>
      <c r="C830" s="7" t="str">
        <f>IFERROR(__xludf.DUMMYFUNCTION("IF(A830="""","""",TEXTJOIN(CHAR(10),TRUE,FILTER('Tổng hợp 75 trang đích'!$B$2:$B$3400,'Tổng hợp 75 trang đích'!$I$2:$I$3400=A830)))"),"")</f>
        <v/>
      </c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7"/>
      <c r="B831" s="11"/>
      <c r="C831" s="7" t="str">
        <f>IFERROR(__xludf.DUMMYFUNCTION("IF(A831="""","""",TEXTJOIN(CHAR(10),TRUE,FILTER('Tổng hợp 75 trang đích'!$B$2:$B$3400,'Tổng hợp 75 trang đích'!$I$2:$I$3400=A831)))"),"")</f>
        <v/>
      </c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7"/>
      <c r="B832" s="11"/>
      <c r="C832" s="7" t="str">
        <f>IFERROR(__xludf.DUMMYFUNCTION("IF(A832="""","""",TEXTJOIN(CHAR(10),TRUE,FILTER('Tổng hợp 75 trang đích'!$B$2:$B$3400,'Tổng hợp 75 trang đích'!$I$2:$I$3400=A832)))"),"")</f>
        <v/>
      </c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7"/>
      <c r="B833" s="11"/>
      <c r="C833" s="7" t="str">
        <f>IFERROR(__xludf.DUMMYFUNCTION("IF(A833="""","""",TEXTJOIN(CHAR(10),TRUE,FILTER('Tổng hợp 75 trang đích'!$B$2:$B$3400,'Tổng hợp 75 trang đích'!$I$2:$I$3400=A833)))"),"")</f>
        <v/>
      </c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7"/>
      <c r="B834" s="11"/>
      <c r="C834" s="7" t="str">
        <f>IFERROR(__xludf.DUMMYFUNCTION("IF(A834="""","""",TEXTJOIN(CHAR(10),TRUE,FILTER('Tổng hợp 75 trang đích'!$B$2:$B$3400,'Tổng hợp 75 trang đích'!$I$2:$I$3400=A834)))"),"")</f>
        <v/>
      </c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7"/>
      <c r="B835" s="11"/>
      <c r="C835" s="7" t="str">
        <f>IFERROR(__xludf.DUMMYFUNCTION("IF(A835="""","""",TEXTJOIN(CHAR(10),TRUE,FILTER('Tổng hợp 75 trang đích'!$B$2:$B$3400,'Tổng hợp 75 trang đích'!$I$2:$I$3400=A835)))"),"")</f>
        <v/>
      </c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7"/>
      <c r="B836" s="11"/>
      <c r="C836" s="7" t="str">
        <f>IFERROR(__xludf.DUMMYFUNCTION("IF(A836="""","""",TEXTJOIN(CHAR(10),TRUE,FILTER('Tổng hợp 75 trang đích'!$B$2:$B$3400,'Tổng hợp 75 trang đích'!$I$2:$I$3400=A836)))"),"")</f>
        <v/>
      </c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7"/>
      <c r="B837" s="11"/>
      <c r="C837" s="7" t="str">
        <f>IFERROR(__xludf.DUMMYFUNCTION("IF(A837="""","""",TEXTJOIN(CHAR(10),TRUE,FILTER('Tổng hợp 75 trang đích'!$B$2:$B$3400,'Tổng hợp 75 trang đích'!$I$2:$I$3400=A837)))"),"")</f>
        <v/>
      </c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7"/>
      <c r="B838" s="11"/>
      <c r="C838" s="7" t="str">
        <f>IFERROR(__xludf.DUMMYFUNCTION("IF(A838="""","""",TEXTJOIN(CHAR(10),TRUE,FILTER('Tổng hợp 75 trang đích'!$B$2:$B$3400,'Tổng hợp 75 trang đích'!$I$2:$I$3400=A838)))"),"")</f>
        <v/>
      </c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7"/>
      <c r="B839" s="11"/>
      <c r="C839" s="7" t="str">
        <f>IFERROR(__xludf.DUMMYFUNCTION("IF(A839="""","""",TEXTJOIN(CHAR(10),TRUE,FILTER('Tổng hợp 75 trang đích'!$B$2:$B$3400,'Tổng hợp 75 trang đích'!$I$2:$I$3400=A839)))"),"")</f>
        <v/>
      </c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7"/>
      <c r="B840" s="11"/>
      <c r="C840" s="7" t="str">
        <f>IFERROR(__xludf.DUMMYFUNCTION("IF(A840="""","""",TEXTJOIN(CHAR(10),TRUE,FILTER('Tổng hợp 75 trang đích'!$B$2:$B$3400,'Tổng hợp 75 trang đích'!$I$2:$I$3400=A840)))"),"")</f>
        <v/>
      </c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7"/>
      <c r="B841" s="11"/>
      <c r="C841" s="7" t="str">
        <f>IFERROR(__xludf.DUMMYFUNCTION("IF(A841="""","""",TEXTJOIN(CHAR(10),TRUE,FILTER('Tổng hợp 75 trang đích'!$B$2:$B$3400,'Tổng hợp 75 trang đích'!$I$2:$I$3400=A841)))"),"")</f>
        <v/>
      </c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7"/>
      <c r="B842" s="11"/>
      <c r="C842" s="7" t="str">
        <f>IFERROR(__xludf.DUMMYFUNCTION("IF(A842="""","""",TEXTJOIN(CHAR(10),TRUE,FILTER('Tổng hợp 75 trang đích'!$B$2:$B$3400,'Tổng hợp 75 trang đích'!$I$2:$I$3400=A842)))"),"")</f>
        <v/>
      </c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7"/>
      <c r="B843" s="11"/>
      <c r="C843" s="7" t="str">
        <f>IFERROR(__xludf.DUMMYFUNCTION("IF(A843="""","""",TEXTJOIN(CHAR(10),TRUE,FILTER('Tổng hợp 75 trang đích'!$B$2:$B$3400,'Tổng hợp 75 trang đích'!$I$2:$I$3400=A843)))"),"")</f>
        <v/>
      </c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7"/>
      <c r="B844" s="11"/>
      <c r="C844" s="7" t="str">
        <f>IFERROR(__xludf.DUMMYFUNCTION("IF(A844="""","""",TEXTJOIN(CHAR(10),TRUE,FILTER('Tổng hợp 75 trang đích'!$B$2:$B$3400,'Tổng hợp 75 trang đích'!$I$2:$I$3400=A844)))"),"")</f>
        <v/>
      </c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7"/>
      <c r="B845" s="11"/>
      <c r="C845" s="7" t="str">
        <f>IFERROR(__xludf.DUMMYFUNCTION("IF(A845="""","""",TEXTJOIN(CHAR(10),TRUE,FILTER('Tổng hợp 75 trang đích'!$B$2:$B$3400,'Tổng hợp 75 trang đích'!$I$2:$I$3400=A845)))"),"")</f>
        <v/>
      </c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7"/>
      <c r="B846" s="11"/>
      <c r="C846" s="7" t="str">
        <f>IFERROR(__xludf.DUMMYFUNCTION("IF(A846="""","""",TEXTJOIN(CHAR(10),TRUE,FILTER('Tổng hợp 75 trang đích'!$B$2:$B$3400,'Tổng hợp 75 trang đích'!$I$2:$I$3400=A846)))"),"")</f>
        <v/>
      </c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7"/>
      <c r="B847" s="11"/>
      <c r="C847" s="7" t="str">
        <f>IFERROR(__xludf.DUMMYFUNCTION("IF(A847="""","""",TEXTJOIN(CHAR(10),TRUE,FILTER('Tổng hợp 75 trang đích'!$B$2:$B$3400,'Tổng hợp 75 trang đích'!$I$2:$I$3400=A847)))"),"")</f>
        <v/>
      </c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7"/>
      <c r="B848" s="11"/>
      <c r="C848" s="7" t="str">
        <f>IFERROR(__xludf.DUMMYFUNCTION("IF(A848="""","""",TEXTJOIN(CHAR(10),TRUE,FILTER('Tổng hợp 75 trang đích'!$B$2:$B$3400,'Tổng hợp 75 trang đích'!$I$2:$I$3400=A848)))"),"")</f>
        <v/>
      </c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7"/>
      <c r="B849" s="11"/>
      <c r="C849" s="7" t="str">
        <f>IFERROR(__xludf.DUMMYFUNCTION("IF(A849="""","""",TEXTJOIN(CHAR(10),TRUE,FILTER('Tổng hợp 75 trang đích'!$B$2:$B$3400,'Tổng hợp 75 trang đích'!$I$2:$I$3400=A849)))"),"")</f>
        <v/>
      </c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7"/>
      <c r="B850" s="11"/>
      <c r="C850" s="7" t="str">
        <f>IFERROR(__xludf.DUMMYFUNCTION("IF(A850="""","""",TEXTJOIN(CHAR(10),TRUE,FILTER('Tổng hợp 75 trang đích'!$B$2:$B$3400,'Tổng hợp 75 trang đích'!$I$2:$I$3400=A850)))"),"")</f>
        <v/>
      </c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7"/>
      <c r="B851" s="11"/>
      <c r="C851" s="7" t="str">
        <f>IFERROR(__xludf.DUMMYFUNCTION("IF(A851="""","""",TEXTJOIN(CHAR(10),TRUE,FILTER('Tổng hợp 75 trang đích'!$B$2:$B$3400,'Tổng hợp 75 trang đích'!$I$2:$I$3400=A851)))"),"")</f>
        <v/>
      </c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7"/>
      <c r="B852" s="11"/>
      <c r="C852" s="7" t="str">
        <f>IFERROR(__xludf.DUMMYFUNCTION("IF(A852="""","""",TEXTJOIN(CHAR(10),TRUE,FILTER('Tổng hợp 75 trang đích'!$B$2:$B$3400,'Tổng hợp 75 trang đích'!$I$2:$I$3400=A852)))"),"")</f>
        <v/>
      </c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7"/>
      <c r="B853" s="11"/>
      <c r="C853" s="7" t="str">
        <f>IFERROR(__xludf.DUMMYFUNCTION("IF(A853="""","""",TEXTJOIN(CHAR(10),TRUE,FILTER('Tổng hợp 75 trang đích'!$B$2:$B$3400,'Tổng hợp 75 trang đích'!$I$2:$I$3400=A853)))"),"")</f>
        <v/>
      </c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7"/>
      <c r="B854" s="11"/>
      <c r="C854" s="7" t="str">
        <f>IFERROR(__xludf.DUMMYFUNCTION("IF(A854="""","""",TEXTJOIN(CHAR(10),TRUE,FILTER('Tổng hợp 75 trang đích'!$B$2:$B$3400,'Tổng hợp 75 trang đích'!$I$2:$I$3400=A854)))"),"")</f>
        <v/>
      </c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7"/>
      <c r="B855" s="11"/>
      <c r="C855" s="7" t="str">
        <f>IFERROR(__xludf.DUMMYFUNCTION("IF(A855="""","""",TEXTJOIN(CHAR(10),TRUE,FILTER('Tổng hợp 75 trang đích'!$B$2:$B$3400,'Tổng hợp 75 trang đích'!$I$2:$I$3400=A855)))"),"")</f>
        <v/>
      </c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7"/>
      <c r="B856" s="11"/>
      <c r="C856" s="7" t="str">
        <f>IFERROR(__xludf.DUMMYFUNCTION("IF(A856="""","""",TEXTJOIN(CHAR(10),TRUE,FILTER('Tổng hợp 75 trang đích'!$B$2:$B$3400,'Tổng hợp 75 trang đích'!$I$2:$I$3400=A856)))"),"")</f>
        <v/>
      </c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7"/>
      <c r="B857" s="11"/>
      <c r="C857" s="7" t="str">
        <f>IFERROR(__xludf.DUMMYFUNCTION("IF(A857="""","""",TEXTJOIN(CHAR(10),TRUE,FILTER('Tổng hợp 75 trang đích'!$B$2:$B$3400,'Tổng hợp 75 trang đích'!$I$2:$I$3400=A857)))"),"")</f>
        <v/>
      </c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7"/>
      <c r="B858" s="11"/>
      <c r="C858" s="7" t="str">
        <f>IFERROR(__xludf.DUMMYFUNCTION("IF(A858="""","""",TEXTJOIN(CHAR(10),TRUE,FILTER('Tổng hợp 75 trang đích'!$B$2:$B$3400,'Tổng hợp 75 trang đích'!$I$2:$I$3400=A858)))"),"")</f>
        <v/>
      </c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7"/>
      <c r="B859" s="11"/>
      <c r="C859" s="7" t="str">
        <f>IFERROR(__xludf.DUMMYFUNCTION("IF(A859="""","""",TEXTJOIN(CHAR(10),TRUE,FILTER('Tổng hợp 75 trang đích'!$B$2:$B$3400,'Tổng hợp 75 trang đích'!$I$2:$I$3400=A859)))"),"")</f>
        <v/>
      </c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7"/>
      <c r="B860" s="11"/>
      <c r="C860" s="7" t="str">
        <f>IFERROR(__xludf.DUMMYFUNCTION("IF(A860="""","""",TEXTJOIN(CHAR(10),TRUE,FILTER('Tổng hợp 75 trang đích'!$B$2:$B$3400,'Tổng hợp 75 trang đích'!$I$2:$I$3400=A860)))"),"")</f>
        <v/>
      </c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7"/>
      <c r="B861" s="11"/>
      <c r="C861" s="7" t="str">
        <f>IFERROR(__xludf.DUMMYFUNCTION("IF(A861="""","""",TEXTJOIN(CHAR(10),TRUE,FILTER('Tổng hợp 75 trang đích'!$B$2:$B$3400,'Tổng hợp 75 trang đích'!$I$2:$I$3400=A861)))"),"")</f>
        <v/>
      </c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7"/>
      <c r="B862" s="11"/>
      <c r="C862" s="7" t="str">
        <f>IFERROR(__xludf.DUMMYFUNCTION("IF(A862="""","""",TEXTJOIN(CHAR(10),TRUE,FILTER('Tổng hợp 75 trang đích'!$B$2:$B$3400,'Tổng hợp 75 trang đích'!$I$2:$I$3400=A862)))"),"")</f>
        <v/>
      </c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7"/>
      <c r="B863" s="11"/>
      <c r="C863" s="7" t="str">
        <f>IFERROR(__xludf.DUMMYFUNCTION("IF(A863="""","""",TEXTJOIN(CHAR(10),TRUE,FILTER('Tổng hợp 75 trang đích'!$B$2:$B$3400,'Tổng hợp 75 trang đích'!$I$2:$I$3400=A863)))"),"")</f>
        <v/>
      </c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7"/>
      <c r="B864" s="11"/>
      <c r="C864" s="7" t="str">
        <f>IFERROR(__xludf.DUMMYFUNCTION("IF(A864="""","""",TEXTJOIN(CHAR(10),TRUE,FILTER('Tổng hợp 75 trang đích'!$B$2:$B$3400,'Tổng hợp 75 trang đích'!$I$2:$I$3400=A864)))"),"")</f>
        <v/>
      </c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7"/>
      <c r="B865" s="11"/>
      <c r="C865" s="7" t="str">
        <f>IFERROR(__xludf.DUMMYFUNCTION("IF(A865="""","""",TEXTJOIN(CHAR(10),TRUE,FILTER('Tổng hợp 75 trang đích'!$B$2:$B$3400,'Tổng hợp 75 trang đích'!$I$2:$I$3400=A865)))"),"")</f>
        <v/>
      </c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7"/>
      <c r="B866" s="11"/>
      <c r="C866" s="7" t="str">
        <f>IFERROR(__xludf.DUMMYFUNCTION("IF(A866="""","""",TEXTJOIN(CHAR(10),TRUE,FILTER('Tổng hợp 75 trang đích'!$B$2:$B$3400,'Tổng hợp 75 trang đích'!$I$2:$I$3400=A866)))"),"")</f>
        <v/>
      </c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7"/>
      <c r="B867" s="11"/>
      <c r="C867" s="7" t="str">
        <f>IFERROR(__xludf.DUMMYFUNCTION("IF(A867="""","""",TEXTJOIN(CHAR(10),TRUE,FILTER('Tổng hợp 75 trang đích'!$B$2:$B$3400,'Tổng hợp 75 trang đích'!$I$2:$I$3400=A867)))"),"")</f>
        <v/>
      </c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7"/>
      <c r="B868" s="11"/>
      <c r="C868" s="7" t="str">
        <f>IFERROR(__xludf.DUMMYFUNCTION("IF(A868="""","""",TEXTJOIN(CHAR(10),TRUE,FILTER('Tổng hợp 75 trang đích'!$B$2:$B$3400,'Tổng hợp 75 trang đích'!$I$2:$I$3400=A868)))"),"")</f>
        <v/>
      </c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7"/>
      <c r="B869" s="11"/>
      <c r="C869" s="7" t="str">
        <f>IFERROR(__xludf.DUMMYFUNCTION("IF(A869="""","""",TEXTJOIN(CHAR(10),TRUE,FILTER('Tổng hợp 75 trang đích'!$B$2:$B$3400,'Tổng hợp 75 trang đích'!$I$2:$I$3400=A869)))"),"")</f>
        <v/>
      </c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7"/>
      <c r="B870" s="11"/>
      <c r="C870" s="7" t="str">
        <f>IFERROR(__xludf.DUMMYFUNCTION("IF(A870="""","""",TEXTJOIN(CHAR(10),TRUE,FILTER('Tổng hợp 75 trang đích'!$B$2:$B$3400,'Tổng hợp 75 trang đích'!$I$2:$I$3400=A870)))"),"")</f>
        <v/>
      </c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7"/>
      <c r="B871" s="11"/>
      <c r="C871" s="7" t="str">
        <f>IFERROR(__xludf.DUMMYFUNCTION("IF(A871="""","""",TEXTJOIN(CHAR(10),TRUE,FILTER('Tổng hợp 75 trang đích'!$B$2:$B$3400,'Tổng hợp 75 trang đích'!$I$2:$I$3400=A871)))"),"")</f>
        <v/>
      </c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7"/>
      <c r="B872" s="11"/>
      <c r="C872" s="7" t="str">
        <f>IFERROR(__xludf.DUMMYFUNCTION("IF(A872="""","""",TEXTJOIN(CHAR(10),TRUE,FILTER('Tổng hợp 75 trang đích'!$B$2:$B$3400,'Tổng hợp 75 trang đích'!$I$2:$I$3400=A872)))"),"")</f>
        <v/>
      </c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7"/>
      <c r="B873" s="11"/>
      <c r="C873" s="7" t="str">
        <f>IFERROR(__xludf.DUMMYFUNCTION("IF(A873="""","""",TEXTJOIN(CHAR(10),TRUE,FILTER('Tổng hợp 75 trang đích'!$B$2:$B$3400,'Tổng hợp 75 trang đích'!$I$2:$I$3400=A873)))"),"")</f>
        <v/>
      </c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7"/>
      <c r="B874" s="11"/>
      <c r="C874" s="7" t="str">
        <f>IFERROR(__xludf.DUMMYFUNCTION("IF(A874="""","""",TEXTJOIN(CHAR(10),TRUE,FILTER('Tổng hợp 75 trang đích'!$B$2:$B$3400,'Tổng hợp 75 trang đích'!$I$2:$I$3400=A874)))"),"")</f>
        <v/>
      </c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7"/>
      <c r="B875" s="11"/>
      <c r="C875" s="7" t="str">
        <f>IFERROR(__xludf.DUMMYFUNCTION("IF(A875="""","""",TEXTJOIN(CHAR(10),TRUE,FILTER('Tổng hợp 75 trang đích'!$B$2:$B$3400,'Tổng hợp 75 trang đích'!$I$2:$I$3400=A875)))"),"")</f>
        <v/>
      </c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7"/>
      <c r="B876" s="11"/>
      <c r="C876" s="7" t="str">
        <f>IFERROR(__xludf.DUMMYFUNCTION("IF(A876="""","""",TEXTJOIN(CHAR(10),TRUE,FILTER('Tổng hợp 75 trang đích'!$B$2:$B$3400,'Tổng hợp 75 trang đích'!$I$2:$I$3400=A876)))"),"")</f>
        <v/>
      </c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7"/>
      <c r="B877" s="11"/>
      <c r="C877" s="7" t="str">
        <f>IFERROR(__xludf.DUMMYFUNCTION("IF(A877="""","""",TEXTJOIN(CHAR(10),TRUE,FILTER('Tổng hợp 75 trang đích'!$B$2:$B$3400,'Tổng hợp 75 trang đích'!$I$2:$I$3400=A877)))"),"")</f>
        <v/>
      </c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7"/>
      <c r="B878" s="11"/>
      <c r="C878" s="7" t="str">
        <f>IFERROR(__xludf.DUMMYFUNCTION("IF(A878="""","""",TEXTJOIN(CHAR(10),TRUE,FILTER('Tổng hợp 75 trang đích'!$B$2:$B$3400,'Tổng hợp 75 trang đích'!$I$2:$I$3400=A878)))"),"")</f>
        <v/>
      </c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7"/>
      <c r="B879" s="11"/>
      <c r="C879" s="7" t="str">
        <f>IFERROR(__xludf.DUMMYFUNCTION("IF(A879="""","""",TEXTJOIN(CHAR(10),TRUE,FILTER('Tổng hợp 75 trang đích'!$B$2:$B$3400,'Tổng hợp 75 trang đích'!$I$2:$I$3400=A879)))"),"")</f>
        <v/>
      </c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7"/>
      <c r="B880" s="11"/>
      <c r="C880" s="7" t="str">
        <f>IFERROR(__xludf.DUMMYFUNCTION("IF(A880="""","""",TEXTJOIN(CHAR(10),TRUE,FILTER('Tổng hợp 75 trang đích'!$B$2:$B$3400,'Tổng hợp 75 trang đích'!$I$2:$I$3400=A880)))"),"")</f>
        <v/>
      </c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7"/>
      <c r="B881" s="11"/>
      <c r="C881" s="7" t="str">
        <f>IFERROR(__xludf.DUMMYFUNCTION("IF(A881="""","""",TEXTJOIN(CHAR(10),TRUE,FILTER('Tổng hợp 75 trang đích'!$B$2:$B$3400,'Tổng hợp 75 trang đích'!$I$2:$I$3400=A881)))"),"")</f>
        <v/>
      </c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7"/>
      <c r="B882" s="11"/>
      <c r="C882" s="7" t="str">
        <f>IFERROR(__xludf.DUMMYFUNCTION("IF(A882="""","""",TEXTJOIN(CHAR(10),TRUE,FILTER('Tổng hợp 75 trang đích'!$B$2:$B$3400,'Tổng hợp 75 trang đích'!$I$2:$I$3400=A882)))"),"")</f>
        <v/>
      </c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7"/>
      <c r="B883" s="11"/>
      <c r="C883" s="7" t="str">
        <f>IFERROR(__xludf.DUMMYFUNCTION("IF(A883="""","""",TEXTJOIN(CHAR(10),TRUE,FILTER('Tổng hợp 75 trang đích'!$B$2:$B$3400,'Tổng hợp 75 trang đích'!$I$2:$I$3400=A883)))"),"")</f>
        <v/>
      </c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7"/>
      <c r="B884" s="11"/>
      <c r="C884" s="7" t="str">
        <f>IFERROR(__xludf.DUMMYFUNCTION("IF(A884="""","""",TEXTJOIN(CHAR(10),TRUE,FILTER('Tổng hợp 75 trang đích'!$B$2:$B$3400,'Tổng hợp 75 trang đích'!$I$2:$I$3400=A884)))"),"")</f>
        <v/>
      </c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7"/>
      <c r="B885" s="11"/>
      <c r="C885" s="7" t="str">
        <f>IFERROR(__xludf.DUMMYFUNCTION("IF(A885="""","""",TEXTJOIN(CHAR(10),TRUE,FILTER('Tổng hợp 75 trang đích'!$B$2:$B$3400,'Tổng hợp 75 trang đích'!$I$2:$I$3400=A885)))"),"")</f>
        <v/>
      </c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7"/>
      <c r="B886" s="11"/>
      <c r="C886" s="7" t="str">
        <f>IFERROR(__xludf.DUMMYFUNCTION("IF(A886="""","""",TEXTJOIN(CHAR(10),TRUE,FILTER('Tổng hợp 75 trang đích'!$B$2:$B$3400,'Tổng hợp 75 trang đích'!$I$2:$I$3400=A886)))"),"")</f>
        <v/>
      </c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7"/>
      <c r="B887" s="11"/>
      <c r="C887" s="7" t="str">
        <f>IFERROR(__xludf.DUMMYFUNCTION("IF(A887="""","""",TEXTJOIN(CHAR(10),TRUE,FILTER('Tổng hợp 75 trang đích'!$B$2:$B$3400,'Tổng hợp 75 trang đích'!$I$2:$I$3400=A887)))"),"")</f>
        <v/>
      </c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7"/>
      <c r="B888" s="11"/>
      <c r="C888" s="7" t="str">
        <f>IFERROR(__xludf.DUMMYFUNCTION("IF(A888="""","""",TEXTJOIN(CHAR(10),TRUE,FILTER('Tổng hợp 75 trang đích'!$B$2:$B$3400,'Tổng hợp 75 trang đích'!$I$2:$I$3400=A888)))"),"")</f>
        <v/>
      </c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7"/>
      <c r="B889" s="11"/>
      <c r="C889" s="7" t="str">
        <f>IFERROR(__xludf.DUMMYFUNCTION("IF(A889="""","""",TEXTJOIN(CHAR(10),TRUE,FILTER('Tổng hợp 75 trang đích'!$B$2:$B$3400,'Tổng hợp 75 trang đích'!$I$2:$I$3400=A889)))"),"")</f>
        <v/>
      </c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7"/>
      <c r="B890" s="11"/>
      <c r="C890" s="7" t="str">
        <f>IFERROR(__xludf.DUMMYFUNCTION("IF(A890="""","""",TEXTJOIN(CHAR(10),TRUE,FILTER('Tổng hợp 75 trang đích'!$B$2:$B$3400,'Tổng hợp 75 trang đích'!$I$2:$I$3400=A890)))"),"")</f>
        <v/>
      </c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7"/>
      <c r="B891" s="11"/>
      <c r="C891" s="7" t="str">
        <f>IFERROR(__xludf.DUMMYFUNCTION("IF(A891="""","""",TEXTJOIN(CHAR(10),TRUE,FILTER('Tổng hợp 75 trang đích'!$B$2:$B$3400,'Tổng hợp 75 trang đích'!$I$2:$I$3400=A891)))"),"")</f>
        <v/>
      </c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7"/>
      <c r="B892" s="11"/>
      <c r="C892" s="7" t="str">
        <f>IFERROR(__xludf.DUMMYFUNCTION("IF(A892="""","""",TEXTJOIN(CHAR(10),TRUE,FILTER('Tổng hợp 75 trang đích'!$B$2:$B$3400,'Tổng hợp 75 trang đích'!$I$2:$I$3400=A892)))"),"")</f>
        <v/>
      </c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7"/>
      <c r="B893" s="11"/>
      <c r="C893" s="7" t="str">
        <f>IFERROR(__xludf.DUMMYFUNCTION("IF(A893="""","""",TEXTJOIN(CHAR(10),TRUE,FILTER('Tổng hợp 75 trang đích'!$B$2:$B$3400,'Tổng hợp 75 trang đích'!$I$2:$I$3400=A893)))"),"")</f>
        <v/>
      </c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7"/>
      <c r="B894" s="11"/>
      <c r="C894" s="7" t="str">
        <f>IFERROR(__xludf.DUMMYFUNCTION("IF(A894="""","""",TEXTJOIN(CHAR(10),TRUE,FILTER('Tổng hợp 75 trang đích'!$B$2:$B$3400,'Tổng hợp 75 trang đích'!$I$2:$I$3400=A894)))"),"")</f>
        <v/>
      </c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7"/>
      <c r="B895" s="11"/>
      <c r="C895" s="7" t="str">
        <f>IFERROR(__xludf.DUMMYFUNCTION("IF(A895="""","""",TEXTJOIN(CHAR(10),TRUE,FILTER('Tổng hợp 75 trang đích'!$B$2:$B$3400,'Tổng hợp 75 trang đích'!$I$2:$I$3400=A895)))"),"")</f>
        <v/>
      </c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7"/>
      <c r="B896" s="11"/>
      <c r="C896" s="7" t="str">
        <f>IFERROR(__xludf.DUMMYFUNCTION("IF(A896="""","""",TEXTJOIN(CHAR(10),TRUE,FILTER('Tổng hợp 75 trang đích'!$B$2:$B$3400,'Tổng hợp 75 trang đích'!$I$2:$I$3400=A896)))"),"")</f>
        <v/>
      </c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7"/>
      <c r="B897" s="11"/>
      <c r="C897" s="7" t="str">
        <f>IFERROR(__xludf.DUMMYFUNCTION("IF(A897="""","""",TEXTJOIN(CHAR(10),TRUE,FILTER('Tổng hợp 75 trang đích'!$B$2:$B$3400,'Tổng hợp 75 trang đích'!$I$2:$I$3400=A897)))"),"")</f>
        <v/>
      </c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7"/>
      <c r="B898" s="11"/>
      <c r="C898" s="7" t="str">
        <f>IFERROR(__xludf.DUMMYFUNCTION("IF(A898="""","""",TEXTJOIN(CHAR(10),TRUE,FILTER('Tổng hợp 75 trang đích'!$B$2:$B$3400,'Tổng hợp 75 trang đích'!$I$2:$I$3400=A898)))"),"")</f>
        <v/>
      </c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7"/>
      <c r="B899" s="11"/>
      <c r="C899" s="7" t="str">
        <f>IFERROR(__xludf.DUMMYFUNCTION("IF(A899="""","""",TEXTJOIN(CHAR(10),TRUE,FILTER('Tổng hợp 75 trang đích'!$B$2:$B$3400,'Tổng hợp 75 trang đích'!$I$2:$I$3400=A899)))"),"")</f>
        <v/>
      </c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7"/>
      <c r="B900" s="11"/>
      <c r="C900" s="7" t="str">
        <f>IFERROR(__xludf.DUMMYFUNCTION("IF(A900="""","""",TEXTJOIN(CHAR(10),TRUE,FILTER('Tổng hợp 75 trang đích'!$B$2:$B$3400,'Tổng hợp 75 trang đích'!$I$2:$I$3400=A900)))"),"")</f>
        <v/>
      </c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7"/>
      <c r="B901" s="11"/>
      <c r="C901" s="7" t="str">
        <f>IFERROR(__xludf.DUMMYFUNCTION("IF(A901="""","""",TEXTJOIN(CHAR(10),TRUE,FILTER('Tổng hợp 75 trang đích'!$B$2:$B$3400,'Tổng hợp 75 trang đích'!$I$2:$I$3400=A901)))"),"")</f>
        <v/>
      </c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7"/>
      <c r="B902" s="11"/>
      <c r="C902" s="7" t="str">
        <f>IFERROR(__xludf.DUMMYFUNCTION("IF(A902="""","""",TEXTJOIN(CHAR(10),TRUE,FILTER('Tổng hợp 75 trang đích'!$B$2:$B$3400,'Tổng hợp 75 trang đích'!$I$2:$I$3400=A902)))"),"")</f>
        <v/>
      </c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7"/>
      <c r="B903" s="11"/>
      <c r="C903" s="7" t="str">
        <f>IFERROR(__xludf.DUMMYFUNCTION("IF(A903="""","""",TEXTJOIN(CHAR(10),TRUE,FILTER('Tổng hợp 75 trang đích'!$B$2:$B$3400,'Tổng hợp 75 trang đích'!$I$2:$I$3400=A903)))"),"")</f>
        <v/>
      </c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7"/>
      <c r="B904" s="11"/>
      <c r="C904" s="7" t="str">
        <f>IFERROR(__xludf.DUMMYFUNCTION("IF(A904="""","""",TEXTJOIN(CHAR(10),TRUE,FILTER('Tổng hợp 75 trang đích'!$B$2:$B$3400,'Tổng hợp 75 trang đích'!$I$2:$I$3400=A904)))"),"")</f>
        <v/>
      </c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7"/>
      <c r="B905" s="11"/>
      <c r="C905" s="7" t="str">
        <f>IFERROR(__xludf.DUMMYFUNCTION("IF(A905="""","""",TEXTJOIN(CHAR(10),TRUE,FILTER('Tổng hợp 75 trang đích'!$B$2:$B$3400,'Tổng hợp 75 trang đích'!$I$2:$I$3400=A905)))"),"")</f>
        <v/>
      </c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7"/>
      <c r="B906" s="11"/>
      <c r="C906" s="7" t="str">
        <f>IFERROR(__xludf.DUMMYFUNCTION("IF(A906="""","""",TEXTJOIN(CHAR(10),TRUE,FILTER('Tổng hợp 75 trang đích'!$B$2:$B$3400,'Tổng hợp 75 trang đích'!$I$2:$I$3400=A906)))"),"")</f>
        <v/>
      </c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7"/>
      <c r="B907" s="11"/>
      <c r="C907" s="7" t="str">
        <f>IFERROR(__xludf.DUMMYFUNCTION("IF(A907="""","""",TEXTJOIN(CHAR(10),TRUE,FILTER('Tổng hợp 75 trang đích'!$B$2:$B$3400,'Tổng hợp 75 trang đích'!$I$2:$I$3400=A907)))"),"")</f>
        <v/>
      </c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7"/>
      <c r="B908" s="11"/>
      <c r="C908" s="7" t="str">
        <f>IFERROR(__xludf.DUMMYFUNCTION("IF(A908="""","""",TEXTJOIN(CHAR(10),TRUE,FILTER('Tổng hợp 75 trang đích'!$B$2:$B$3400,'Tổng hợp 75 trang đích'!$I$2:$I$3400=A908)))"),"")</f>
        <v/>
      </c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7"/>
      <c r="B909" s="11"/>
      <c r="C909" s="7" t="str">
        <f>IFERROR(__xludf.DUMMYFUNCTION("IF(A909="""","""",TEXTJOIN(CHAR(10),TRUE,FILTER('Tổng hợp 75 trang đích'!$B$2:$B$3400,'Tổng hợp 75 trang đích'!$I$2:$I$3400=A909)))"),"")</f>
        <v/>
      </c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7"/>
      <c r="B910" s="11"/>
      <c r="C910" s="7" t="str">
        <f>IFERROR(__xludf.DUMMYFUNCTION("IF(A910="""","""",TEXTJOIN(CHAR(10),TRUE,FILTER('Tổng hợp 75 trang đích'!$B$2:$B$3400,'Tổng hợp 75 trang đích'!$I$2:$I$3400=A910)))"),"")</f>
        <v/>
      </c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7"/>
      <c r="B911" s="11"/>
      <c r="C911" s="7" t="str">
        <f>IFERROR(__xludf.DUMMYFUNCTION("IF(A911="""","""",TEXTJOIN(CHAR(10),TRUE,FILTER('Tổng hợp 75 trang đích'!$B$2:$B$3400,'Tổng hợp 75 trang đích'!$I$2:$I$3400=A911)))"),"")</f>
        <v/>
      </c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7"/>
      <c r="B912" s="11"/>
      <c r="C912" s="7" t="str">
        <f>IFERROR(__xludf.DUMMYFUNCTION("IF(A912="""","""",TEXTJOIN(CHAR(10),TRUE,FILTER('Tổng hợp 75 trang đích'!$B$2:$B$3400,'Tổng hợp 75 trang đích'!$I$2:$I$3400=A912)))"),"")</f>
        <v/>
      </c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7"/>
      <c r="B913" s="11"/>
      <c r="C913" s="7" t="str">
        <f>IFERROR(__xludf.DUMMYFUNCTION("IF(A913="""","""",TEXTJOIN(CHAR(10),TRUE,FILTER('Tổng hợp 75 trang đích'!$B$2:$B$3400,'Tổng hợp 75 trang đích'!$I$2:$I$3400=A913)))"),"")</f>
        <v/>
      </c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7"/>
      <c r="B914" s="11"/>
      <c r="C914" s="7" t="str">
        <f>IFERROR(__xludf.DUMMYFUNCTION("IF(A914="""","""",TEXTJOIN(CHAR(10),TRUE,FILTER('Tổng hợp 75 trang đích'!$B$2:$B$3400,'Tổng hợp 75 trang đích'!$I$2:$I$3400=A914)))"),"")</f>
        <v/>
      </c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7"/>
      <c r="B915" s="11"/>
      <c r="C915" s="7" t="str">
        <f>IFERROR(__xludf.DUMMYFUNCTION("IF(A915="""","""",TEXTJOIN(CHAR(10),TRUE,FILTER('Tổng hợp 75 trang đích'!$B$2:$B$3400,'Tổng hợp 75 trang đích'!$I$2:$I$3400=A915)))"),"")</f>
        <v/>
      </c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7"/>
      <c r="B916" s="11"/>
      <c r="C916" s="7" t="str">
        <f>IFERROR(__xludf.DUMMYFUNCTION("IF(A916="""","""",TEXTJOIN(CHAR(10),TRUE,FILTER('Tổng hợp 75 trang đích'!$B$2:$B$3400,'Tổng hợp 75 trang đích'!$I$2:$I$3400=A916)))"),"")</f>
        <v/>
      </c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7"/>
      <c r="B917" s="11"/>
      <c r="C917" s="7" t="str">
        <f>IFERROR(__xludf.DUMMYFUNCTION("IF(A917="""","""",TEXTJOIN(CHAR(10),TRUE,FILTER('Tổng hợp 75 trang đích'!$B$2:$B$3400,'Tổng hợp 75 trang đích'!$I$2:$I$3400=A917)))"),"")</f>
        <v/>
      </c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7"/>
      <c r="B918" s="11"/>
      <c r="C918" s="7" t="str">
        <f>IFERROR(__xludf.DUMMYFUNCTION("IF(A918="""","""",TEXTJOIN(CHAR(10),TRUE,FILTER('Tổng hợp 75 trang đích'!$B$2:$B$3400,'Tổng hợp 75 trang đích'!$I$2:$I$3400=A918)))"),"")</f>
        <v/>
      </c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7"/>
      <c r="B919" s="11"/>
      <c r="C919" s="7" t="str">
        <f>IFERROR(__xludf.DUMMYFUNCTION("IF(A919="""","""",TEXTJOIN(CHAR(10),TRUE,FILTER('Tổng hợp 75 trang đích'!$B$2:$B$3400,'Tổng hợp 75 trang đích'!$I$2:$I$3400=A919)))"),"")</f>
        <v/>
      </c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7"/>
      <c r="B920" s="11"/>
      <c r="C920" s="7" t="str">
        <f>IFERROR(__xludf.DUMMYFUNCTION("IF(A920="""","""",TEXTJOIN(CHAR(10),TRUE,FILTER('Tổng hợp 75 trang đích'!$B$2:$B$3400,'Tổng hợp 75 trang đích'!$I$2:$I$3400=A920)))"),"")</f>
        <v/>
      </c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7"/>
      <c r="B921" s="11"/>
      <c r="C921" s="7" t="str">
        <f>IFERROR(__xludf.DUMMYFUNCTION("IF(A921="""","""",TEXTJOIN(CHAR(10),TRUE,FILTER('Tổng hợp 75 trang đích'!$B$2:$B$3400,'Tổng hợp 75 trang đích'!$I$2:$I$3400=A921)))"),"")</f>
        <v/>
      </c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7"/>
      <c r="B922" s="11"/>
      <c r="C922" s="7" t="str">
        <f>IFERROR(__xludf.DUMMYFUNCTION("IF(A922="""","""",TEXTJOIN(CHAR(10),TRUE,FILTER('Tổng hợp 75 trang đích'!$B$2:$B$3400,'Tổng hợp 75 trang đích'!$I$2:$I$3400=A922)))"),"")</f>
        <v/>
      </c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7"/>
      <c r="B923" s="11"/>
      <c r="C923" s="7" t="str">
        <f>IFERROR(__xludf.DUMMYFUNCTION("IF(A923="""","""",TEXTJOIN(CHAR(10),TRUE,FILTER('Tổng hợp 75 trang đích'!$B$2:$B$3400,'Tổng hợp 75 trang đích'!$I$2:$I$3400=A923)))"),"")</f>
        <v/>
      </c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7"/>
      <c r="B924" s="11"/>
      <c r="C924" s="7" t="str">
        <f>IFERROR(__xludf.DUMMYFUNCTION("IF(A924="""","""",TEXTJOIN(CHAR(10),TRUE,FILTER('Tổng hợp 75 trang đích'!$B$2:$B$3400,'Tổng hợp 75 trang đích'!$I$2:$I$3400=A924)))"),"")</f>
        <v/>
      </c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7"/>
      <c r="B925" s="11"/>
      <c r="C925" s="7" t="str">
        <f>IFERROR(__xludf.DUMMYFUNCTION("IF(A925="""","""",TEXTJOIN(CHAR(10),TRUE,FILTER('Tổng hợp 75 trang đích'!$B$2:$B$3400,'Tổng hợp 75 trang đích'!$I$2:$I$3400=A925)))"),"")</f>
        <v/>
      </c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7"/>
      <c r="B926" s="11"/>
      <c r="C926" s="7" t="str">
        <f>IFERROR(__xludf.DUMMYFUNCTION("IF(A926="""","""",TEXTJOIN(CHAR(10),TRUE,FILTER('Tổng hợp 75 trang đích'!$B$2:$B$3400,'Tổng hợp 75 trang đích'!$I$2:$I$3400=A926)))"),"")</f>
        <v/>
      </c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7"/>
      <c r="B927" s="11"/>
      <c r="C927" s="7" t="str">
        <f>IFERROR(__xludf.DUMMYFUNCTION("IF(A927="""","""",TEXTJOIN(CHAR(10),TRUE,FILTER('Tổng hợp 75 trang đích'!$B$2:$B$3400,'Tổng hợp 75 trang đích'!$I$2:$I$3400=A927)))"),"")</f>
        <v/>
      </c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7"/>
      <c r="B928" s="11"/>
      <c r="C928" s="7" t="str">
        <f>IFERROR(__xludf.DUMMYFUNCTION("IF(A928="""","""",TEXTJOIN(CHAR(10),TRUE,FILTER('Tổng hợp 75 trang đích'!$B$2:$B$3400,'Tổng hợp 75 trang đích'!$I$2:$I$3400=A928)))"),"")</f>
        <v/>
      </c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7"/>
      <c r="B929" s="11"/>
      <c r="C929" s="7" t="str">
        <f>IFERROR(__xludf.DUMMYFUNCTION("IF(A929="""","""",TEXTJOIN(CHAR(10),TRUE,FILTER('Tổng hợp 75 trang đích'!$B$2:$B$3400,'Tổng hợp 75 trang đích'!$I$2:$I$3400=A929)))"),"")</f>
        <v/>
      </c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7"/>
      <c r="B930" s="11"/>
      <c r="C930" s="7" t="str">
        <f>IFERROR(__xludf.DUMMYFUNCTION("IF(A930="""","""",TEXTJOIN(CHAR(10),TRUE,FILTER('Tổng hợp 75 trang đích'!$B$2:$B$3400,'Tổng hợp 75 trang đích'!$I$2:$I$3400=A930)))"),"")</f>
        <v/>
      </c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7"/>
      <c r="B931" s="11"/>
      <c r="C931" s="7" t="str">
        <f>IFERROR(__xludf.DUMMYFUNCTION("IF(A931="""","""",TEXTJOIN(CHAR(10),TRUE,FILTER('Tổng hợp 75 trang đích'!$B$2:$B$3400,'Tổng hợp 75 trang đích'!$I$2:$I$3400=A931)))"),"")</f>
        <v/>
      </c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7"/>
      <c r="B932" s="11"/>
      <c r="C932" s="7" t="str">
        <f>IFERROR(__xludf.DUMMYFUNCTION("IF(A932="""","""",TEXTJOIN(CHAR(10),TRUE,FILTER('Tổng hợp 75 trang đích'!$B$2:$B$3400,'Tổng hợp 75 trang đích'!$I$2:$I$3400=A932)))"),"")</f>
        <v/>
      </c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7"/>
      <c r="B933" s="11"/>
      <c r="C933" s="7" t="str">
        <f>IFERROR(__xludf.DUMMYFUNCTION("IF(A933="""","""",TEXTJOIN(CHAR(10),TRUE,FILTER('Tổng hợp 75 trang đích'!$B$2:$B$3400,'Tổng hợp 75 trang đích'!$I$2:$I$3400=A933)))"),"")</f>
        <v/>
      </c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7"/>
      <c r="B934" s="11"/>
      <c r="C934" s="7" t="str">
        <f>IFERROR(__xludf.DUMMYFUNCTION("IF(A934="""","""",TEXTJOIN(CHAR(10),TRUE,FILTER('Tổng hợp 75 trang đích'!$B$2:$B$3400,'Tổng hợp 75 trang đích'!$I$2:$I$3400=A934)))"),"")</f>
        <v/>
      </c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7"/>
      <c r="B935" s="11"/>
      <c r="C935" s="7" t="str">
        <f>IFERROR(__xludf.DUMMYFUNCTION("IF(A935="""","""",TEXTJOIN(CHAR(10),TRUE,FILTER('Tổng hợp 75 trang đích'!$B$2:$B$3400,'Tổng hợp 75 trang đích'!$I$2:$I$3400=A935)))"),"")</f>
        <v/>
      </c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7"/>
      <c r="B936" s="11"/>
      <c r="C936" s="7" t="str">
        <f>IFERROR(__xludf.DUMMYFUNCTION("IF(A936="""","""",TEXTJOIN(CHAR(10),TRUE,FILTER('Tổng hợp 75 trang đích'!$B$2:$B$3400,'Tổng hợp 75 trang đích'!$I$2:$I$3400=A936)))"),"")</f>
        <v/>
      </c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7"/>
      <c r="B937" s="11"/>
      <c r="C937" s="7" t="str">
        <f>IFERROR(__xludf.DUMMYFUNCTION("IF(A937="""","""",TEXTJOIN(CHAR(10),TRUE,FILTER('Tổng hợp 75 trang đích'!$B$2:$B$3400,'Tổng hợp 75 trang đích'!$I$2:$I$3400=A937)))"),"")</f>
        <v/>
      </c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7"/>
      <c r="B938" s="11"/>
      <c r="C938" s="7" t="str">
        <f>IFERROR(__xludf.DUMMYFUNCTION("IF(A938="""","""",TEXTJOIN(CHAR(10),TRUE,FILTER('Tổng hợp 75 trang đích'!$B$2:$B$3400,'Tổng hợp 75 trang đích'!$I$2:$I$3400=A938)))"),"")</f>
        <v/>
      </c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7"/>
      <c r="B939" s="11"/>
      <c r="C939" s="7" t="str">
        <f>IFERROR(__xludf.DUMMYFUNCTION("IF(A939="""","""",TEXTJOIN(CHAR(10),TRUE,FILTER('Tổng hợp 75 trang đích'!$B$2:$B$3400,'Tổng hợp 75 trang đích'!$I$2:$I$3400=A939)))"),"")</f>
        <v/>
      </c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7"/>
      <c r="B940" s="11"/>
      <c r="C940" s="7" t="str">
        <f>IFERROR(__xludf.DUMMYFUNCTION("IF(A940="""","""",TEXTJOIN(CHAR(10),TRUE,FILTER('Tổng hợp 75 trang đích'!$B$2:$B$3400,'Tổng hợp 75 trang đích'!$I$2:$I$3400=A940)))"),"")</f>
        <v/>
      </c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7"/>
      <c r="B941" s="11"/>
      <c r="C941" s="7" t="str">
        <f>IFERROR(__xludf.DUMMYFUNCTION("IF(A941="""","""",TEXTJOIN(CHAR(10),TRUE,FILTER('Tổng hợp 75 trang đích'!$B$2:$B$3400,'Tổng hợp 75 trang đích'!$I$2:$I$3400=A941)))"),"")</f>
        <v/>
      </c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7"/>
      <c r="B942" s="11"/>
      <c r="C942" s="7" t="str">
        <f>IFERROR(__xludf.DUMMYFUNCTION("IF(A942="""","""",TEXTJOIN(CHAR(10),TRUE,FILTER('Tổng hợp 75 trang đích'!$B$2:$B$3400,'Tổng hợp 75 trang đích'!$I$2:$I$3400=A942)))"),"")</f>
        <v/>
      </c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7"/>
      <c r="B943" s="11"/>
      <c r="C943" s="7" t="str">
        <f>IFERROR(__xludf.DUMMYFUNCTION("IF(A943="""","""",TEXTJOIN(CHAR(10),TRUE,FILTER('Tổng hợp 75 trang đích'!$B$2:$B$3400,'Tổng hợp 75 trang đích'!$I$2:$I$3400=A943)))"),"")</f>
        <v/>
      </c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7"/>
      <c r="B944" s="11"/>
      <c r="C944" s="7" t="str">
        <f>IFERROR(__xludf.DUMMYFUNCTION("IF(A944="""","""",TEXTJOIN(CHAR(10),TRUE,FILTER('Tổng hợp 75 trang đích'!$B$2:$B$3400,'Tổng hợp 75 trang đích'!$I$2:$I$3400=A944)))"),"")</f>
        <v/>
      </c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7"/>
      <c r="B945" s="11"/>
      <c r="C945" s="7" t="str">
        <f>IFERROR(__xludf.DUMMYFUNCTION("IF(A945="""","""",TEXTJOIN(CHAR(10),TRUE,FILTER('Tổng hợp 75 trang đích'!$B$2:$B$3400,'Tổng hợp 75 trang đích'!$I$2:$I$3400=A945)))"),"")</f>
        <v/>
      </c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7"/>
      <c r="B946" s="11"/>
      <c r="C946" s="7" t="str">
        <f>IFERROR(__xludf.DUMMYFUNCTION("IF(A946="""","""",TEXTJOIN(CHAR(10),TRUE,FILTER('Tổng hợp 75 trang đích'!$B$2:$B$3400,'Tổng hợp 75 trang đích'!$I$2:$I$3400=A946)))"),"")</f>
        <v/>
      </c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7"/>
      <c r="B947" s="11"/>
      <c r="C947" s="7" t="str">
        <f>IFERROR(__xludf.DUMMYFUNCTION("IF(A947="""","""",TEXTJOIN(CHAR(10),TRUE,FILTER('Tổng hợp 75 trang đích'!$B$2:$B$3400,'Tổng hợp 75 trang đích'!$I$2:$I$3400=A947)))"),"")</f>
        <v/>
      </c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7"/>
      <c r="B948" s="11"/>
      <c r="C948" s="7" t="str">
        <f>IFERROR(__xludf.DUMMYFUNCTION("IF(A948="""","""",TEXTJOIN(CHAR(10),TRUE,FILTER('Tổng hợp 75 trang đích'!$B$2:$B$3400,'Tổng hợp 75 trang đích'!$I$2:$I$3400=A948)))"),"")</f>
        <v/>
      </c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7"/>
      <c r="B949" s="11"/>
      <c r="C949" s="7" t="str">
        <f>IFERROR(__xludf.DUMMYFUNCTION("IF(A949="""","""",TEXTJOIN(CHAR(10),TRUE,FILTER('Tổng hợp 75 trang đích'!$B$2:$B$3400,'Tổng hợp 75 trang đích'!$I$2:$I$3400=A949)))"),"")</f>
        <v/>
      </c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7"/>
      <c r="B950" s="11"/>
      <c r="C950" s="7" t="str">
        <f>IFERROR(__xludf.DUMMYFUNCTION("IF(A950="""","""",TEXTJOIN(CHAR(10),TRUE,FILTER('Tổng hợp 75 trang đích'!$B$2:$B$3400,'Tổng hợp 75 trang đích'!$I$2:$I$3400=A950)))"),"")</f>
        <v/>
      </c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7"/>
      <c r="B951" s="11"/>
      <c r="C951" s="7" t="str">
        <f>IFERROR(__xludf.DUMMYFUNCTION("IF(A951="""","""",TEXTJOIN(CHAR(10),TRUE,FILTER('Tổng hợp 75 trang đích'!$B$2:$B$3400,'Tổng hợp 75 trang đích'!$I$2:$I$3400=A951)))"),"")</f>
        <v/>
      </c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7"/>
      <c r="B952" s="11"/>
      <c r="C952" s="7" t="str">
        <f>IFERROR(__xludf.DUMMYFUNCTION("IF(A952="""","""",TEXTJOIN(CHAR(10),TRUE,FILTER('Tổng hợp 75 trang đích'!$B$2:$B$3400,'Tổng hợp 75 trang đích'!$I$2:$I$3400=A952)))"),"")</f>
        <v/>
      </c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7"/>
      <c r="B953" s="11"/>
      <c r="C953" s="7" t="str">
        <f>IFERROR(__xludf.DUMMYFUNCTION("IF(A953="""","""",TEXTJOIN(CHAR(10),TRUE,FILTER('Tổng hợp 75 trang đích'!$B$2:$B$3400,'Tổng hợp 75 trang đích'!$I$2:$I$3400=A953)))"),"")</f>
        <v/>
      </c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7"/>
      <c r="B954" s="11"/>
      <c r="C954" s="7" t="str">
        <f>IFERROR(__xludf.DUMMYFUNCTION("IF(A954="""","""",TEXTJOIN(CHAR(10),TRUE,FILTER('Tổng hợp 75 trang đích'!$B$2:$B$3400,'Tổng hợp 75 trang đích'!$I$2:$I$3400=A954)))"),"")</f>
        <v/>
      </c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7"/>
      <c r="B955" s="11"/>
      <c r="C955" s="7" t="str">
        <f>IFERROR(__xludf.DUMMYFUNCTION("IF(A955="""","""",TEXTJOIN(CHAR(10),TRUE,FILTER('Tổng hợp 75 trang đích'!$B$2:$B$3400,'Tổng hợp 75 trang đích'!$I$2:$I$3400=A955)))"),"")</f>
        <v/>
      </c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7"/>
      <c r="B956" s="11"/>
      <c r="C956" s="7" t="str">
        <f>IFERROR(__xludf.DUMMYFUNCTION("IF(A956="""","""",TEXTJOIN(CHAR(10),TRUE,FILTER('Tổng hợp 75 trang đích'!$B$2:$B$3400,'Tổng hợp 75 trang đích'!$I$2:$I$3400=A956)))"),"")</f>
        <v/>
      </c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7"/>
      <c r="B957" s="11"/>
      <c r="C957" s="7" t="str">
        <f>IFERROR(__xludf.DUMMYFUNCTION("IF(A957="""","""",TEXTJOIN(CHAR(10),TRUE,FILTER('Tổng hợp 75 trang đích'!$B$2:$B$3400,'Tổng hợp 75 trang đích'!$I$2:$I$3400=A957)))"),"")</f>
        <v/>
      </c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7"/>
      <c r="B958" s="11"/>
      <c r="C958" s="7" t="str">
        <f>IFERROR(__xludf.DUMMYFUNCTION("IF(A958="""","""",TEXTJOIN(CHAR(10),TRUE,FILTER('Tổng hợp 75 trang đích'!$B$2:$B$3400,'Tổng hợp 75 trang đích'!$I$2:$I$3400=A958)))"),"")</f>
        <v/>
      </c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7"/>
      <c r="B959" s="11"/>
      <c r="C959" s="7" t="str">
        <f>IFERROR(__xludf.DUMMYFUNCTION("IF(A959="""","""",TEXTJOIN(CHAR(10),TRUE,FILTER('Tổng hợp 75 trang đích'!$B$2:$B$3400,'Tổng hợp 75 trang đích'!$I$2:$I$3400=A959)))"),"")</f>
        <v/>
      </c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7"/>
      <c r="B960" s="11"/>
      <c r="C960" s="7" t="str">
        <f>IFERROR(__xludf.DUMMYFUNCTION("IF(A960="""","""",TEXTJOIN(CHAR(10),TRUE,FILTER('Tổng hợp 75 trang đích'!$B$2:$B$3400,'Tổng hợp 75 trang đích'!$I$2:$I$3400=A960)))"),"")</f>
        <v/>
      </c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7"/>
      <c r="B961" s="11"/>
      <c r="C961" s="7" t="str">
        <f>IFERROR(__xludf.DUMMYFUNCTION("IF(A961="""","""",TEXTJOIN(CHAR(10),TRUE,FILTER('Tổng hợp 75 trang đích'!$B$2:$B$3400,'Tổng hợp 75 trang đích'!$I$2:$I$3400=A961)))"),"")</f>
        <v/>
      </c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7"/>
      <c r="B962" s="11"/>
      <c r="C962" s="7" t="str">
        <f>IFERROR(__xludf.DUMMYFUNCTION("IF(A962="""","""",TEXTJOIN(CHAR(10),TRUE,FILTER('Tổng hợp 75 trang đích'!$B$2:$B$3400,'Tổng hợp 75 trang đích'!$I$2:$I$3400=A962)))"),"")</f>
        <v/>
      </c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7"/>
      <c r="B963" s="11"/>
      <c r="C963" s="7" t="str">
        <f>IFERROR(__xludf.DUMMYFUNCTION("IF(A963="""","""",TEXTJOIN(CHAR(10),TRUE,FILTER('Tổng hợp 75 trang đích'!$B$2:$B$3400,'Tổng hợp 75 trang đích'!$I$2:$I$3400=A963)))"),"")</f>
        <v/>
      </c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7"/>
      <c r="B964" s="11"/>
      <c r="C964" s="7" t="str">
        <f>IFERROR(__xludf.DUMMYFUNCTION("IF(A964="""","""",TEXTJOIN(CHAR(10),TRUE,FILTER('Tổng hợp 75 trang đích'!$B$2:$B$3400,'Tổng hợp 75 trang đích'!$I$2:$I$3400=A964)))"),"")</f>
        <v/>
      </c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7"/>
      <c r="B965" s="11"/>
      <c r="C965" s="7" t="str">
        <f>IFERROR(__xludf.DUMMYFUNCTION("IF(A965="""","""",TEXTJOIN(CHAR(10),TRUE,FILTER('Tổng hợp 75 trang đích'!$B$2:$B$3400,'Tổng hợp 75 trang đích'!$I$2:$I$3400=A965)))"),"")</f>
        <v/>
      </c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7"/>
      <c r="B966" s="11"/>
      <c r="C966" s="7" t="str">
        <f>IFERROR(__xludf.DUMMYFUNCTION("IF(A966="""","""",TEXTJOIN(CHAR(10),TRUE,FILTER('Tổng hợp 75 trang đích'!$B$2:$B$3400,'Tổng hợp 75 trang đích'!$I$2:$I$3400=A966)))"),"")</f>
        <v/>
      </c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7"/>
      <c r="B967" s="11"/>
      <c r="C967" s="7" t="str">
        <f>IFERROR(__xludf.DUMMYFUNCTION("IF(A967="""","""",TEXTJOIN(CHAR(10),TRUE,FILTER('Tổng hợp 75 trang đích'!$B$2:$B$3400,'Tổng hợp 75 trang đích'!$I$2:$I$3400=A967)))"),"")</f>
        <v/>
      </c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7"/>
      <c r="B968" s="11"/>
      <c r="C968" s="7" t="str">
        <f>IFERROR(__xludf.DUMMYFUNCTION("IF(A968="""","""",TEXTJOIN(CHAR(10),TRUE,FILTER('Tổng hợp 75 trang đích'!$B$2:$B$3400,'Tổng hợp 75 trang đích'!$I$2:$I$3400=A968)))"),"")</f>
        <v/>
      </c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7"/>
      <c r="B969" s="11"/>
      <c r="C969" s="7" t="str">
        <f>IFERROR(__xludf.DUMMYFUNCTION("IF(A969="""","""",TEXTJOIN(CHAR(10),TRUE,FILTER('Tổng hợp 75 trang đích'!$B$2:$B$3400,'Tổng hợp 75 trang đích'!$I$2:$I$3400=A969)))"),"")</f>
        <v/>
      </c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7"/>
      <c r="B970" s="11"/>
      <c r="C970" s="7" t="str">
        <f>IFERROR(__xludf.DUMMYFUNCTION("IF(A970="""","""",TEXTJOIN(CHAR(10),TRUE,FILTER('Tổng hợp 75 trang đích'!$B$2:$B$3400,'Tổng hợp 75 trang đích'!$I$2:$I$3400=A970)))"),"")</f>
        <v/>
      </c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7"/>
      <c r="B971" s="11"/>
      <c r="C971" s="7" t="str">
        <f>IFERROR(__xludf.DUMMYFUNCTION("IF(A971="""","""",TEXTJOIN(CHAR(10),TRUE,FILTER('Tổng hợp 75 trang đích'!$B$2:$B$3400,'Tổng hợp 75 trang đích'!$I$2:$I$3400=A971)))"),"")</f>
        <v/>
      </c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7"/>
      <c r="B972" s="11"/>
      <c r="C972" s="7" t="str">
        <f>IFERROR(__xludf.DUMMYFUNCTION("IF(A972="""","""",TEXTJOIN(CHAR(10),TRUE,FILTER('Tổng hợp 75 trang đích'!$B$2:$B$3400,'Tổng hợp 75 trang đích'!$I$2:$I$3400=A972)))"),"")</f>
        <v/>
      </c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7"/>
      <c r="B973" s="11"/>
      <c r="C973" s="7" t="str">
        <f>IFERROR(__xludf.DUMMYFUNCTION("IF(A973="""","""",TEXTJOIN(CHAR(10),TRUE,FILTER('Tổng hợp 75 trang đích'!$B$2:$B$3400,'Tổng hợp 75 trang đích'!$I$2:$I$3400=A973)))"),"")</f>
        <v/>
      </c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7"/>
      <c r="B974" s="11"/>
      <c r="C974" s="7" t="str">
        <f>IFERROR(__xludf.DUMMYFUNCTION("IF(A974="""","""",TEXTJOIN(CHAR(10),TRUE,FILTER('Tổng hợp 75 trang đích'!$B$2:$B$3400,'Tổng hợp 75 trang đích'!$I$2:$I$3400=A974)))"),"")</f>
        <v/>
      </c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7"/>
      <c r="B975" s="11"/>
      <c r="C975" s="7" t="str">
        <f>IFERROR(__xludf.DUMMYFUNCTION("IF(A975="""","""",TEXTJOIN(CHAR(10),TRUE,FILTER('Tổng hợp 75 trang đích'!$B$2:$B$3400,'Tổng hợp 75 trang đích'!$I$2:$I$3400=A975)))"),"")</f>
        <v/>
      </c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7"/>
      <c r="B976" s="11"/>
      <c r="C976" s="7" t="str">
        <f>IFERROR(__xludf.DUMMYFUNCTION("IF(A976="""","""",TEXTJOIN(CHAR(10),TRUE,FILTER('Tổng hợp 75 trang đích'!$B$2:$B$3400,'Tổng hợp 75 trang đích'!$I$2:$I$3400=A976)))"),"")</f>
        <v/>
      </c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7"/>
      <c r="B977" s="11"/>
      <c r="C977" s="7" t="str">
        <f>IFERROR(__xludf.DUMMYFUNCTION("IF(A977="""","""",TEXTJOIN(CHAR(10),TRUE,FILTER('Tổng hợp 75 trang đích'!$B$2:$B$3400,'Tổng hợp 75 trang đích'!$I$2:$I$3400=A977)))"),"")</f>
        <v/>
      </c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7"/>
      <c r="B978" s="11"/>
      <c r="C978" s="7" t="str">
        <f>IFERROR(__xludf.DUMMYFUNCTION("IF(A978="""","""",TEXTJOIN(CHAR(10),TRUE,FILTER('Tổng hợp 75 trang đích'!$B$2:$B$3400,'Tổng hợp 75 trang đích'!$I$2:$I$3400=A978)))"),"")</f>
        <v/>
      </c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7"/>
      <c r="B979" s="11"/>
      <c r="C979" s="7" t="str">
        <f>IFERROR(__xludf.DUMMYFUNCTION("IF(A979="""","""",TEXTJOIN(CHAR(10),TRUE,FILTER('Tổng hợp 75 trang đích'!$B$2:$B$3400,'Tổng hợp 75 trang đích'!$I$2:$I$3400=A979)))"),"")</f>
        <v/>
      </c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7"/>
      <c r="B980" s="11"/>
      <c r="C980" s="7" t="str">
        <f>IFERROR(__xludf.DUMMYFUNCTION("IF(A980="""","""",TEXTJOIN(CHAR(10),TRUE,FILTER('Tổng hợp 75 trang đích'!$B$2:$B$3400,'Tổng hợp 75 trang đích'!$I$2:$I$3400=A980)))"),"")</f>
        <v/>
      </c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7"/>
      <c r="B981" s="11"/>
      <c r="C981" s="7" t="str">
        <f>IFERROR(__xludf.DUMMYFUNCTION("IF(A981="""","""",TEXTJOIN(CHAR(10),TRUE,FILTER('Tổng hợp 75 trang đích'!$B$2:$B$3400,'Tổng hợp 75 trang đích'!$I$2:$I$3400=A981)))"),"")</f>
        <v/>
      </c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7"/>
      <c r="B982" s="11"/>
      <c r="C982" s="7" t="str">
        <f>IFERROR(__xludf.DUMMYFUNCTION("IF(A982="""","""",TEXTJOIN(CHAR(10),TRUE,FILTER('Tổng hợp 75 trang đích'!$B$2:$B$3400,'Tổng hợp 75 trang đích'!$I$2:$I$3400=A982)))"),"")</f>
        <v/>
      </c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7"/>
      <c r="B983" s="11"/>
      <c r="C983" s="7" t="str">
        <f>IFERROR(__xludf.DUMMYFUNCTION("IF(A983="""","""",TEXTJOIN(CHAR(10),TRUE,FILTER('Tổng hợp 75 trang đích'!$B$2:$B$3400,'Tổng hợp 75 trang đích'!$I$2:$I$3400=A983)))"),"")</f>
        <v/>
      </c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7"/>
      <c r="B984" s="11"/>
      <c r="C984" s="7" t="str">
        <f>IFERROR(__xludf.DUMMYFUNCTION("IF(A984="""","""",TEXTJOIN(CHAR(10),TRUE,FILTER('Tổng hợp 75 trang đích'!$B$2:$B$3400,'Tổng hợp 75 trang đích'!$I$2:$I$3400=A984)))"),"")</f>
        <v/>
      </c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7"/>
      <c r="B985" s="11"/>
      <c r="C985" s="7" t="str">
        <f>IFERROR(__xludf.DUMMYFUNCTION("IF(A985="""","""",TEXTJOIN(CHAR(10),TRUE,FILTER('Tổng hợp 75 trang đích'!$B$2:$B$3400,'Tổng hợp 75 trang đích'!$I$2:$I$3400=A985)))"),"")</f>
        <v/>
      </c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7"/>
      <c r="B986" s="11"/>
      <c r="C986" s="7" t="str">
        <f>IFERROR(__xludf.DUMMYFUNCTION("IF(A986="""","""",TEXTJOIN(CHAR(10),TRUE,FILTER('Tổng hợp 75 trang đích'!$B$2:$B$3400,'Tổng hợp 75 trang đích'!$I$2:$I$3400=A986)))"),"")</f>
        <v/>
      </c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7"/>
      <c r="B987" s="11"/>
      <c r="C987" s="7" t="str">
        <f>IFERROR(__xludf.DUMMYFUNCTION("IF(A987="""","""",TEXTJOIN(CHAR(10),TRUE,FILTER('Tổng hợp 75 trang đích'!$B$2:$B$3400,'Tổng hợp 75 trang đích'!$I$2:$I$3400=A987)))"),"")</f>
        <v/>
      </c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7"/>
      <c r="B988" s="11"/>
      <c r="C988" s="7" t="str">
        <f>IFERROR(__xludf.DUMMYFUNCTION("IF(A988="""","""",TEXTJOIN(CHAR(10),TRUE,FILTER('Tổng hợp 75 trang đích'!$B$2:$B$3400,'Tổng hợp 75 trang đích'!$I$2:$I$3400=A988)))"),"")</f>
        <v/>
      </c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7"/>
      <c r="B989" s="11"/>
      <c r="C989" s="7" t="str">
        <f>IFERROR(__xludf.DUMMYFUNCTION("IF(A989="""","""",TEXTJOIN(CHAR(10),TRUE,FILTER('Tổng hợp 75 trang đích'!$B$2:$B$3400,'Tổng hợp 75 trang đích'!$I$2:$I$3400=A989)))"),"")</f>
        <v/>
      </c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7"/>
      <c r="B990" s="11"/>
      <c r="C990" s="7" t="str">
        <f>IFERROR(__xludf.DUMMYFUNCTION("IF(A990="""","""",TEXTJOIN(CHAR(10),TRUE,FILTER('Tổng hợp 75 trang đích'!$B$2:$B$3400,'Tổng hợp 75 trang đích'!$I$2:$I$3400=A990)))"),"")</f>
        <v/>
      </c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7"/>
      <c r="B991" s="11"/>
      <c r="C991" s="7" t="str">
        <f>IFERROR(__xludf.DUMMYFUNCTION("IF(A991="""","""",TEXTJOIN(CHAR(10),TRUE,FILTER('Tổng hợp 75 trang đích'!$B$2:$B$3400,'Tổng hợp 75 trang đích'!$I$2:$I$3400=A991)))"),"")</f>
        <v/>
      </c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7"/>
      <c r="B992" s="11"/>
      <c r="C992" s="7" t="str">
        <f>IFERROR(__xludf.DUMMYFUNCTION("IF(A992="""","""",TEXTJOIN(CHAR(10),TRUE,FILTER('Tổng hợp 75 trang đích'!$B$2:$B$3400,'Tổng hợp 75 trang đích'!$I$2:$I$3400=A992)))"),"")</f>
        <v/>
      </c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7"/>
      <c r="B993" s="11"/>
      <c r="C993" s="7" t="str">
        <f>IFERROR(__xludf.DUMMYFUNCTION("IF(A993="""","""",TEXTJOIN(CHAR(10),TRUE,FILTER('Tổng hợp 75 trang đích'!$B$2:$B$3400,'Tổng hợp 75 trang đích'!$I$2:$I$3400=A993)))"),"")</f>
        <v/>
      </c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7"/>
      <c r="B994" s="11"/>
      <c r="C994" s="7" t="str">
        <f>IFERROR(__xludf.DUMMYFUNCTION("IF(A994="""","""",TEXTJOIN(CHAR(10),TRUE,FILTER('Tổng hợp 75 trang đích'!$B$2:$B$3400,'Tổng hợp 75 trang đích'!$I$2:$I$3400=A994)))"),"")</f>
        <v/>
      </c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7"/>
      <c r="B995" s="11"/>
      <c r="C995" s="7" t="str">
        <f>IFERROR(__xludf.DUMMYFUNCTION("IF(A995="""","""",TEXTJOIN(CHAR(10),TRUE,FILTER('Tổng hợp 75 trang đích'!$B$2:$B$3400,'Tổng hợp 75 trang đích'!$I$2:$I$3400=A995)))"),"")</f>
        <v/>
      </c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>
      <c r="A996" s="7"/>
      <c r="B996" s="11"/>
      <c r="C996" s="7" t="str">
        <f>IFERROR(__xludf.DUMMYFUNCTION("IF(A996="""","""",TEXTJOIN(CHAR(10),TRUE,FILTER('Tổng hợp 75 trang đích'!$B$2:$B$3400,'Tổng hợp 75 trang đích'!$I$2:$I$3400=A996)))"),"")</f>
        <v/>
      </c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>
      <c r="A997" s="7"/>
      <c r="B997" s="11"/>
      <c r="C997" s="7" t="str">
        <f>IFERROR(__xludf.DUMMYFUNCTION("IF(A997="""","""",TEXTJOIN(CHAR(10),TRUE,FILTER('Tổng hợp 75 trang đích'!$B$2:$B$3400,'Tổng hợp 75 trang đích'!$I$2:$I$3400=A997)))"),"")</f>
        <v/>
      </c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>
      <c r="A998" s="7"/>
      <c r="B998" s="11"/>
      <c r="C998" s="7" t="str">
        <f>IFERROR(__xludf.DUMMYFUNCTION("IF(A998="""","""",TEXTJOIN(CHAR(10),TRUE,FILTER('Tổng hợp 75 trang đích'!$B$2:$B$3400,'Tổng hợp 75 trang đích'!$I$2:$I$3400=A998)))"),"")</f>
        <v/>
      </c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>
      <c r="A999" s="7"/>
      <c r="B999" s="11"/>
      <c r="C999" s="7" t="str">
        <f>IFERROR(__xludf.DUMMYFUNCTION("IF(A999="""","""",TEXTJOIN(CHAR(10),TRUE,FILTER('Tổng hợp 75 trang đích'!$B$2:$B$3400,'Tổng hợp 75 trang đích'!$I$2:$I$3400=A999)))"),"")</f>
        <v/>
      </c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>
      <c r="A1000" s="7"/>
      <c r="B1000" s="11"/>
      <c r="C1000" s="7" t="str">
        <f>IFERROR(__xludf.DUMMYFUNCTION("IF(A1000="""","""",TEXTJOIN(CHAR(10),TRUE,FILTER('Tổng hợp 75 trang đích'!$B$2:$B$3400,'Tổng hợp 75 trang đích'!$I$2:$I$3400=A1000)))"),"")</f>
        <v/>
      </c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</sheetData>
  <autoFilter ref="$A$1:$C$1000"/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  <hyperlink r:id="rId248" ref="A250"/>
    <hyperlink r:id="rId249" ref="A251"/>
    <hyperlink r:id="rId250" ref="A252"/>
    <hyperlink r:id="rId251" ref="A253"/>
    <hyperlink r:id="rId252" ref="A254"/>
    <hyperlink r:id="rId253" ref="A255"/>
    <hyperlink r:id="rId254" ref="A256"/>
    <hyperlink r:id="rId255" ref="A257"/>
    <hyperlink r:id="rId256" ref="A258"/>
    <hyperlink r:id="rId257" ref="A259"/>
    <hyperlink r:id="rId258" ref="A260"/>
    <hyperlink r:id="rId259" ref="A261"/>
    <hyperlink r:id="rId260" ref="A262"/>
    <hyperlink r:id="rId261" ref="A263"/>
    <hyperlink r:id="rId262" ref="A264"/>
    <hyperlink r:id="rId263" ref="A265"/>
    <hyperlink r:id="rId264" ref="A266"/>
    <hyperlink r:id="rId265" ref="A267"/>
    <hyperlink r:id="rId266" ref="A268"/>
    <hyperlink r:id="rId267" ref="A269"/>
    <hyperlink r:id="rId268" ref="A270"/>
    <hyperlink r:id="rId269" ref="A271"/>
    <hyperlink r:id="rId270" ref="A272"/>
    <hyperlink r:id="rId271" ref="A273"/>
    <hyperlink r:id="rId272" ref="A274"/>
    <hyperlink r:id="rId273" ref="A275"/>
    <hyperlink r:id="rId274" ref="A276"/>
    <hyperlink r:id="rId275" ref="A277"/>
    <hyperlink r:id="rId276" ref="A278"/>
    <hyperlink r:id="rId277" ref="A279"/>
    <hyperlink r:id="rId278" ref="A280"/>
    <hyperlink r:id="rId279" ref="A281"/>
    <hyperlink r:id="rId280" ref="A282"/>
    <hyperlink r:id="rId281" ref="A283"/>
    <hyperlink r:id="rId282" ref="A284"/>
    <hyperlink r:id="rId283" ref="A285"/>
    <hyperlink r:id="rId284" ref="A286"/>
    <hyperlink r:id="rId285" ref="A287"/>
    <hyperlink r:id="rId286" ref="A288"/>
    <hyperlink r:id="rId287" ref="A289"/>
    <hyperlink r:id="rId288" ref="A290"/>
    <hyperlink r:id="rId289" ref="A291"/>
    <hyperlink r:id="rId290" ref="A292"/>
    <hyperlink r:id="rId291" ref="A293"/>
    <hyperlink r:id="rId292" ref="A294"/>
    <hyperlink r:id="rId293" ref="A295"/>
    <hyperlink r:id="rId294" ref="A296"/>
    <hyperlink r:id="rId295" ref="A297"/>
    <hyperlink r:id="rId296" ref="A298"/>
    <hyperlink r:id="rId297" ref="A299"/>
    <hyperlink r:id="rId298" ref="A300"/>
    <hyperlink r:id="rId299" ref="A301"/>
    <hyperlink r:id="rId300" ref="A302"/>
    <hyperlink r:id="rId301" ref="A303"/>
    <hyperlink r:id="rId302" ref="A304"/>
    <hyperlink r:id="rId303" ref="A305"/>
    <hyperlink r:id="rId304" ref="A306"/>
    <hyperlink r:id="rId305" ref="A307"/>
    <hyperlink r:id="rId306" ref="A308"/>
    <hyperlink r:id="rId307" ref="A309"/>
    <hyperlink r:id="rId308" ref="A310"/>
    <hyperlink r:id="rId309" ref="A311"/>
    <hyperlink r:id="rId310" ref="A312"/>
    <hyperlink r:id="rId311" ref="A313"/>
    <hyperlink r:id="rId312" ref="A314"/>
    <hyperlink r:id="rId313" ref="A315"/>
    <hyperlink r:id="rId314" ref="A316"/>
    <hyperlink r:id="rId315" ref="A317"/>
    <hyperlink r:id="rId316" ref="A318"/>
    <hyperlink r:id="rId317" ref="A319"/>
    <hyperlink r:id="rId318" ref="A320"/>
    <hyperlink r:id="rId319" ref="A321"/>
    <hyperlink r:id="rId320" ref="A322"/>
    <hyperlink r:id="rId321" ref="A323"/>
    <hyperlink r:id="rId322" ref="A324"/>
    <hyperlink r:id="rId323" ref="A325"/>
    <hyperlink r:id="rId324" ref="A326"/>
    <hyperlink r:id="rId325" ref="A327"/>
    <hyperlink r:id="rId326" ref="A328"/>
    <hyperlink r:id="rId327" ref="A329"/>
    <hyperlink r:id="rId328" ref="A330"/>
    <hyperlink r:id="rId329" ref="A331"/>
    <hyperlink r:id="rId330" ref="A332"/>
    <hyperlink r:id="rId331" ref="A333"/>
    <hyperlink r:id="rId332" ref="A334"/>
    <hyperlink r:id="rId333" ref="A335"/>
    <hyperlink r:id="rId334" ref="A336"/>
    <hyperlink r:id="rId335" ref="A337"/>
    <hyperlink r:id="rId336" ref="A338"/>
    <hyperlink r:id="rId337" ref="A339"/>
    <hyperlink r:id="rId338" ref="A340"/>
    <hyperlink r:id="rId339" ref="A341"/>
    <hyperlink r:id="rId340" ref="A342"/>
    <hyperlink r:id="rId341" ref="A343"/>
    <hyperlink r:id="rId342" ref="A344"/>
    <hyperlink r:id="rId343" ref="A345"/>
    <hyperlink r:id="rId344" ref="A346"/>
    <hyperlink r:id="rId345" ref="A347"/>
    <hyperlink r:id="rId346" ref="A348"/>
    <hyperlink r:id="rId347" ref="A349"/>
    <hyperlink r:id="rId348" ref="A350"/>
    <hyperlink r:id="rId349" ref="A351"/>
    <hyperlink r:id="rId350" ref="A352"/>
    <hyperlink r:id="rId351" ref="A353"/>
    <hyperlink r:id="rId352" ref="A354"/>
    <hyperlink r:id="rId353" ref="A355"/>
    <hyperlink r:id="rId354" ref="A356"/>
    <hyperlink r:id="rId355" ref="A357"/>
    <hyperlink r:id="rId356" ref="A358"/>
    <hyperlink r:id="rId357" ref="A359"/>
    <hyperlink r:id="rId358" ref="A360"/>
    <hyperlink r:id="rId359" ref="A361"/>
    <hyperlink r:id="rId360" ref="A362"/>
    <hyperlink r:id="rId361" ref="A363"/>
    <hyperlink r:id="rId362" ref="A364"/>
    <hyperlink r:id="rId363" ref="A365"/>
    <hyperlink r:id="rId364" ref="A366"/>
    <hyperlink r:id="rId365" ref="A367"/>
    <hyperlink r:id="rId366" ref="A368"/>
    <hyperlink r:id="rId367" ref="A369"/>
    <hyperlink r:id="rId368" ref="A370"/>
    <hyperlink r:id="rId369" ref="A371"/>
    <hyperlink r:id="rId370" ref="A372"/>
    <hyperlink r:id="rId371" ref="A373"/>
    <hyperlink r:id="rId372" ref="A374"/>
    <hyperlink r:id="rId373" ref="A375"/>
    <hyperlink r:id="rId374" ref="A376"/>
    <hyperlink r:id="rId375" ref="A377"/>
    <hyperlink r:id="rId376" ref="A378"/>
    <hyperlink r:id="rId377" ref="A379"/>
    <hyperlink r:id="rId378" ref="A380"/>
    <hyperlink r:id="rId379" ref="A381"/>
    <hyperlink r:id="rId380" ref="A382"/>
    <hyperlink r:id="rId381" ref="A383"/>
    <hyperlink r:id="rId382" ref="A384"/>
    <hyperlink r:id="rId383" ref="A385"/>
    <hyperlink r:id="rId384" ref="A386"/>
    <hyperlink r:id="rId385" ref="A387"/>
    <hyperlink r:id="rId386" ref="A388"/>
    <hyperlink r:id="rId387" ref="A389"/>
    <hyperlink r:id="rId388" ref="A390"/>
    <hyperlink r:id="rId389" ref="A391"/>
    <hyperlink r:id="rId390" ref="A392"/>
    <hyperlink r:id="rId391" ref="A393"/>
    <hyperlink r:id="rId392" ref="A394"/>
    <hyperlink r:id="rId393" ref="A395"/>
    <hyperlink r:id="rId394" ref="A396"/>
    <hyperlink r:id="rId395" ref="A397"/>
    <hyperlink r:id="rId396" ref="A398"/>
    <hyperlink r:id="rId397" ref="A399"/>
    <hyperlink r:id="rId398" ref="A400"/>
    <hyperlink r:id="rId399" ref="A401"/>
    <hyperlink r:id="rId400" ref="A402"/>
    <hyperlink r:id="rId401" ref="A403"/>
    <hyperlink r:id="rId402" ref="A404"/>
    <hyperlink r:id="rId403" ref="A405"/>
    <hyperlink r:id="rId404" ref="A406"/>
    <hyperlink r:id="rId405" ref="A407"/>
    <hyperlink r:id="rId406" ref="A408"/>
    <hyperlink r:id="rId407" ref="A409"/>
    <hyperlink r:id="rId408" ref="A410"/>
    <hyperlink r:id="rId409" ref="A411"/>
    <hyperlink r:id="rId410" ref="A412"/>
    <hyperlink r:id="rId411" ref="A413"/>
    <hyperlink r:id="rId412" ref="A414"/>
    <hyperlink r:id="rId413" ref="A415"/>
    <hyperlink r:id="rId414" ref="A416"/>
    <hyperlink r:id="rId415" ref="A417"/>
    <hyperlink r:id="rId416" ref="A418"/>
    <hyperlink r:id="rId417" ref="A419"/>
    <hyperlink r:id="rId418" ref="A420"/>
    <hyperlink r:id="rId419" ref="A421"/>
    <hyperlink r:id="rId420" ref="A422"/>
    <hyperlink r:id="rId421" ref="A423"/>
    <hyperlink r:id="rId422" ref="A424"/>
    <hyperlink r:id="rId423" ref="A425"/>
    <hyperlink r:id="rId424" ref="A426"/>
    <hyperlink r:id="rId425" ref="A427"/>
    <hyperlink r:id="rId426" ref="A428"/>
    <hyperlink r:id="rId427" ref="A429"/>
    <hyperlink r:id="rId428" ref="A430"/>
    <hyperlink r:id="rId429" ref="A431"/>
    <hyperlink r:id="rId430" ref="A432"/>
    <hyperlink r:id="rId431" ref="A433"/>
    <hyperlink r:id="rId432" ref="A434"/>
    <hyperlink r:id="rId433" ref="A435"/>
    <hyperlink r:id="rId434" ref="A436"/>
    <hyperlink r:id="rId435" ref="A437"/>
    <hyperlink r:id="rId436" ref="A438"/>
    <hyperlink r:id="rId437" ref="A439"/>
    <hyperlink r:id="rId438" ref="A440"/>
    <hyperlink r:id="rId439" ref="A441"/>
    <hyperlink r:id="rId440" ref="A442"/>
    <hyperlink r:id="rId441" ref="A443"/>
    <hyperlink r:id="rId442" ref="A444"/>
    <hyperlink r:id="rId443" ref="A445"/>
    <hyperlink r:id="rId444" ref="A446"/>
    <hyperlink r:id="rId445" ref="A447"/>
    <hyperlink r:id="rId446" ref="A448"/>
    <hyperlink r:id="rId447" ref="A449"/>
    <hyperlink r:id="rId448" ref="A450"/>
    <hyperlink r:id="rId449" ref="A451"/>
    <hyperlink r:id="rId450" ref="A452"/>
    <hyperlink r:id="rId451" ref="A453"/>
    <hyperlink r:id="rId452" ref="A454"/>
    <hyperlink r:id="rId453" ref="A455"/>
    <hyperlink r:id="rId454" ref="A456"/>
    <hyperlink r:id="rId455" ref="A457"/>
    <hyperlink r:id="rId456" ref="A458"/>
    <hyperlink r:id="rId457" ref="A459"/>
    <hyperlink r:id="rId458" ref="A460"/>
    <hyperlink r:id="rId459" ref="A461"/>
    <hyperlink r:id="rId460" ref="A462"/>
    <hyperlink r:id="rId461" ref="A463"/>
    <hyperlink r:id="rId462" ref="A464"/>
    <hyperlink r:id="rId463" ref="A465"/>
    <hyperlink r:id="rId464" ref="A466"/>
    <hyperlink r:id="rId465" ref="A467"/>
    <hyperlink r:id="rId466" ref="A468"/>
    <hyperlink r:id="rId467" ref="A469"/>
    <hyperlink r:id="rId468" ref="A470"/>
    <hyperlink r:id="rId469" ref="A471"/>
    <hyperlink r:id="rId470" ref="A472"/>
    <hyperlink r:id="rId471" ref="A473"/>
    <hyperlink r:id="rId472" ref="A474"/>
    <hyperlink r:id="rId473" ref="A475"/>
    <hyperlink r:id="rId474" ref="A476"/>
    <hyperlink r:id="rId475" ref="A477"/>
    <hyperlink r:id="rId476" ref="A478"/>
    <hyperlink r:id="rId477" ref="A479"/>
    <hyperlink r:id="rId478" ref="A480"/>
    <hyperlink r:id="rId479" ref="A481"/>
    <hyperlink r:id="rId480" ref="A482"/>
    <hyperlink r:id="rId481" ref="A483"/>
    <hyperlink r:id="rId482" ref="A484"/>
    <hyperlink r:id="rId483" ref="A485"/>
    <hyperlink r:id="rId484" ref="A486"/>
    <hyperlink r:id="rId485" ref="A487"/>
    <hyperlink r:id="rId486" ref="A488"/>
    <hyperlink r:id="rId487" ref="A489"/>
    <hyperlink r:id="rId488" ref="A490"/>
    <hyperlink r:id="rId489" ref="A491"/>
    <hyperlink r:id="rId490" ref="A492"/>
    <hyperlink r:id="rId491" ref="A493"/>
    <hyperlink r:id="rId492" ref="A494"/>
    <hyperlink r:id="rId493" ref="A495"/>
    <hyperlink r:id="rId494" ref="A496"/>
    <hyperlink r:id="rId495" ref="A497"/>
    <hyperlink r:id="rId496" ref="A498"/>
    <hyperlink r:id="rId497" ref="A499"/>
    <hyperlink r:id="rId498" ref="A500"/>
    <hyperlink r:id="rId499" ref="A501"/>
    <hyperlink r:id="rId500" ref="A502"/>
    <hyperlink r:id="rId501" ref="A503"/>
    <hyperlink r:id="rId502" ref="A504"/>
    <hyperlink r:id="rId503" ref="A505"/>
    <hyperlink r:id="rId504" ref="A506"/>
    <hyperlink r:id="rId505" ref="A507"/>
    <hyperlink r:id="rId506" ref="A508"/>
    <hyperlink r:id="rId507" ref="A509"/>
    <hyperlink r:id="rId508" ref="A510"/>
    <hyperlink r:id="rId509" ref="A511"/>
    <hyperlink r:id="rId510" ref="A512"/>
    <hyperlink r:id="rId511" ref="A513"/>
    <hyperlink r:id="rId512" ref="A514"/>
    <hyperlink r:id="rId513" ref="A515"/>
    <hyperlink r:id="rId514" ref="A516"/>
    <hyperlink r:id="rId515" ref="A517"/>
    <hyperlink r:id="rId516" ref="A518"/>
    <hyperlink r:id="rId517" ref="A519"/>
    <hyperlink r:id="rId518" ref="A520"/>
    <hyperlink r:id="rId519" ref="A521"/>
    <hyperlink r:id="rId520" ref="A522"/>
    <hyperlink r:id="rId521" ref="A523"/>
    <hyperlink r:id="rId522" ref="A524"/>
    <hyperlink r:id="rId523" ref="A525"/>
    <hyperlink r:id="rId524" ref="A526"/>
    <hyperlink r:id="rId525" ref="A527"/>
    <hyperlink r:id="rId526" ref="A528"/>
    <hyperlink r:id="rId527" ref="A529"/>
    <hyperlink r:id="rId528" ref="A530"/>
    <hyperlink r:id="rId529" ref="A531"/>
    <hyperlink r:id="rId530" ref="A532"/>
    <hyperlink r:id="rId531" ref="A533"/>
    <hyperlink r:id="rId532" ref="A534"/>
    <hyperlink r:id="rId533" ref="A535"/>
    <hyperlink r:id="rId534" ref="A536"/>
    <hyperlink r:id="rId535" ref="A537"/>
    <hyperlink r:id="rId536" ref="A538"/>
    <hyperlink r:id="rId537" ref="A539"/>
    <hyperlink r:id="rId538" ref="A540"/>
    <hyperlink r:id="rId539" ref="A541"/>
    <hyperlink r:id="rId540" ref="A542"/>
    <hyperlink r:id="rId541" ref="A543"/>
    <hyperlink r:id="rId542" ref="A544"/>
    <hyperlink r:id="rId543" ref="A545"/>
    <hyperlink r:id="rId544" ref="A546"/>
    <hyperlink r:id="rId545" ref="A547"/>
    <hyperlink r:id="rId546" ref="A548"/>
    <hyperlink r:id="rId547" ref="A549"/>
    <hyperlink r:id="rId548" ref="A550"/>
    <hyperlink r:id="rId549" ref="A551"/>
    <hyperlink r:id="rId550" ref="A552"/>
    <hyperlink r:id="rId551" ref="A553"/>
    <hyperlink r:id="rId552" ref="A554"/>
    <hyperlink r:id="rId553" ref="A555"/>
    <hyperlink r:id="rId554" ref="A556"/>
    <hyperlink r:id="rId555" ref="A557"/>
    <hyperlink r:id="rId556" ref="A558"/>
    <hyperlink r:id="rId557" ref="A559"/>
    <hyperlink r:id="rId558" ref="A560"/>
    <hyperlink r:id="rId559" ref="A561"/>
    <hyperlink r:id="rId560" ref="A562"/>
    <hyperlink r:id="rId561" ref="A563"/>
    <hyperlink r:id="rId562" ref="A564"/>
    <hyperlink r:id="rId563" ref="A565"/>
    <hyperlink r:id="rId564" ref="A566"/>
    <hyperlink r:id="rId565" ref="A567"/>
    <hyperlink r:id="rId566" ref="A568"/>
    <hyperlink r:id="rId567" ref="A569"/>
    <hyperlink r:id="rId568" ref="A570"/>
    <hyperlink r:id="rId569" ref="A571"/>
    <hyperlink r:id="rId570" ref="A572"/>
    <hyperlink r:id="rId571" ref="A573"/>
    <hyperlink r:id="rId572" ref="A574"/>
    <hyperlink r:id="rId573" ref="A575"/>
    <hyperlink r:id="rId574" ref="A576"/>
    <hyperlink r:id="rId575" ref="A577"/>
    <hyperlink r:id="rId576" ref="A578"/>
    <hyperlink r:id="rId577" ref="A579"/>
    <hyperlink r:id="rId578" ref="A580"/>
    <hyperlink r:id="rId579" ref="A581"/>
    <hyperlink r:id="rId580" ref="A582"/>
    <hyperlink r:id="rId581" ref="A583"/>
    <hyperlink r:id="rId582" ref="A584"/>
    <hyperlink r:id="rId583" ref="A585"/>
    <hyperlink r:id="rId584" ref="A586"/>
    <hyperlink r:id="rId585" ref="A587"/>
    <hyperlink r:id="rId586" ref="A588"/>
    <hyperlink r:id="rId587" ref="A589"/>
    <hyperlink r:id="rId588" ref="A590"/>
    <hyperlink r:id="rId589" ref="A591"/>
    <hyperlink r:id="rId590" ref="A592"/>
    <hyperlink r:id="rId591" ref="A593"/>
    <hyperlink r:id="rId592" ref="A594"/>
    <hyperlink r:id="rId593" ref="A595"/>
    <hyperlink r:id="rId594" ref="A596"/>
    <hyperlink r:id="rId595" ref="A597"/>
    <hyperlink r:id="rId596" ref="A598"/>
    <hyperlink r:id="rId597" ref="A599"/>
    <hyperlink r:id="rId598" ref="A600"/>
    <hyperlink r:id="rId599" ref="A601"/>
    <hyperlink r:id="rId600" ref="A602"/>
    <hyperlink r:id="rId601" ref="A603"/>
    <hyperlink r:id="rId602" ref="A604"/>
    <hyperlink r:id="rId603" ref="A605"/>
    <hyperlink r:id="rId604" ref="A606"/>
    <hyperlink r:id="rId605" ref="A607"/>
    <hyperlink r:id="rId606" ref="A608"/>
    <hyperlink r:id="rId607" ref="A609"/>
    <hyperlink r:id="rId608" ref="A610"/>
    <hyperlink r:id="rId609" ref="A611"/>
    <hyperlink r:id="rId610" ref="A612"/>
    <hyperlink r:id="rId611" ref="A613"/>
    <hyperlink r:id="rId612" ref="A614"/>
    <hyperlink r:id="rId613" ref="A615"/>
    <hyperlink r:id="rId614" ref="A616"/>
    <hyperlink r:id="rId615" ref="A617"/>
    <hyperlink r:id="rId616" ref="A618"/>
    <hyperlink r:id="rId617" ref="A619"/>
    <hyperlink r:id="rId618" ref="A620"/>
    <hyperlink r:id="rId619" ref="A621"/>
    <hyperlink r:id="rId620" ref="A622"/>
    <hyperlink r:id="rId621" ref="A623"/>
    <hyperlink r:id="rId622" ref="A624"/>
    <hyperlink r:id="rId623" ref="A625"/>
    <hyperlink r:id="rId624" ref="A626"/>
    <hyperlink r:id="rId625" ref="A627"/>
    <hyperlink r:id="rId626" ref="A628"/>
    <hyperlink r:id="rId627" ref="A629"/>
    <hyperlink r:id="rId628" ref="A630"/>
    <hyperlink r:id="rId629" ref="A631"/>
    <hyperlink r:id="rId630" ref="A632"/>
    <hyperlink r:id="rId631" ref="A633"/>
    <hyperlink r:id="rId632" ref="A634"/>
    <hyperlink r:id="rId633" ref="A635"/>
    <hyperlink r:id="rId634" ref="A636"/>
    <hyperlink r:id="rId635" ref="A637"/>
    <hyperlink r:id="rId636" ref="A638"/>
    <hyperlink r:id="rId637" ref="A639"/>
    <hyperlink r:id="rId638" ref="A640"/>
    <hyperlink r:id="rId639" ref="A641"/>
    <hyperlink r:id="rId640" ref="A642"/>
    <hyperlink r:id="rId641" ref="A643"/>
    <hyperlink r:id="rId642" ref="A644"/>
    <hyperlink r:id="rId643" ref="A645"/>
    <hyperlink r:id="rId644" ref="A646"/>
    <hyperlink r:id="rId645" ref="A647"/>
    <hyperlink r:id="rId646" ref="A648"/>
    <hyperlink r:id="rId647" ref="A649"/>
    <hyperlink r:id="rId648" ref="A650"/>
    <hyperlink r:id="rId649" ref="A651"/>
    <hyperlink r:id="rId650" ref="A652"/>
    <hyperlink r:id="rId651" ref="A653"/>
    <hyperlink r:id="rId652" ref="A654"/>
    <hyperlink r:id="rId653" ref="A655"/>
    <hyperlink r:id="rId654" ref="A656"/>
    <hyperlink r:id="rId655" ref="A657"/>
    <hyperlink r:id="rId656" ref="A658"/>
    <hyperlink r:id="rId657" ref="A659"/>
    <hyperlink r:id="rId658" ref="A660"/>
    <hyperlink r:id="rId659" ref="A661"/>
    <hyperlink r:id="rId660" ref="A662"/>
    <hyperlink r:id="rId661" ref="A663"/>
    <hyperlink r:id="rId662" ref="A664"/>
    <hyperlink r:id="rId663" ref="A665"/>
    <hyperlink r:id="rId664" ref="A666"/>
    <hyperlink r:id="rId665" ref="A667"/>
    <hyperlink r:id="rId666" ref="A668"/>
    <hyperlink r:id="rId667" ref="A669"/>
    <hyperlink r:id="rId668" ref="A670"/>
    <hyperlink r:id="rId669" ref="A671"/>
    <hyperlink r:id="rId670" ref="A672"/>
    <hyperlink r:id="rId671" ref="A673"/>
    <hyperlink r:id="rId672" ref="A674"/>
    <hyperlink r:id="rId673" ref="A675"/>
    <hyperlink r:id="rId674" ref="A676"/>
    <hyperlink r:id="rId675" ref="A677"/>
    <hyperlink r:id="rId676" ref="A678"/>
    <hyperlink r:id="rId677" ref="A679"/>
    <hyperlink r:id="rId678" ref="A680"/>
    <hyperlink r:id="rId679" ref="A681"/>
    <hyperlink r:id="rId680" ref="A682"/>
    <hyperlink r:id="rId681" ref="A683"/>
    <hyperlink r:id="rId682" ref="A684"/>
    <hyperlink r:id="rId683" ref="A685"/>
    <hyperlink r:id="rId684" ref="A686"/>
    <hyperlink r:id="rId685" ref="A687"/>
    <hyperlink r:id="rId686" ref="A688"/>
    <hyperlink r:id="rId687" ref="A689"/>
    <hyperlink r:id="rId688" ref="A690"/>
    <hyperlink r:id="rId689" ref="A691"/>
    <hyperlink r:id="rId690" ref="A692"/>
    <hyperlink r:id="rId691" ref="A693"/>
    <hyperlink r:id="rId692" ref="A694"/>
    <hyperlink r:id="rId693" ref="A695"/>
    <hyperlink r:id="rId694" ref="A696"/>
    <hyperlink r:id="rId695" ref="A697"/>
    <hyperlink r:id="rId696" ref="A698"/>
    <hyperlink r:id="rId697" ref="A699"/>
    <hyperlink r:id="rId698" ref="A700"/>
    <hyperlink r:id="rId699" ref="A701"/>
    <hyperlink r:id="rId700" ref="A702"/>
    <hyperlink r:id="rId701" ref="A703"/>
    <hyperlink r:id="rId702" ref="A704"/>
    <hyperlink r:id="rId703" ref="A705"/>
    <hyperlink r:id="rId704" ref="A706"/>
    <hyperlink r:id="rId705" ref="A707"/>
    <hyperlink r:id="rId706" ref="A708"/>
    <hyperlink r:id="rId707" ref="A709"/>
    <hyperlink r:id="rId708" ref="A710"/>
    <hyperlink r:id="rId709" ref="A711"/>
    <hyperlink r:id="rId710" ref="A712"/>
    <hyperlink r:id="rId711" ref="A713"/>
    <hyperlink r:id="rId712" ref="A714"/>
    <hyperlink r:id="rId713" ref="A715"/>
    <hyperlink r:id="rId714" ref="A716"/>
    <hyperlink r:id="rId715" ref="A717"/>
    <hyperlink r:id="rId716" ref="A718"/>
    <hyperlink r:id="rId717" ref="A719"/>
    <hyperlink r:id="rId718" ref="A720"/>
    <hyperlink r:id="rId719" ref="A721"/>
    <hyperlink r:id="rId720" ref="A722"/>
    <hyperlink r:id="rId721" ref="A723"/>
    <hyperlink r:id="rId722" ref="A724"/>
    <hyperlink r:id="rId723" ref="A725"/>
    <hyperlink r:id="rId724" ref="A726"/>
    <hyperlink r:id="rId725" ref="A727"/>
    <hyperlink r:id="rId726" ref="A728"/>
    <hyperlink r:id="rId727" ref="A729"/>
    <hyperlink r:id="rId728" ref="A730"/>
    <hyperlink r:id="rId729" ref="A731"/>
    <hyperlink r:id="rId730" ref="A732"/>
    <hyperlink r:id="rId731" ref="A733"/>
    <hyperlink r:id="rId732" ref="A734"/>
    <hyperlink r:id="rId733" ref="A735"/>
    <hyperlink r:id="rId734" ref="A736"/>
    <hyperlink r:id="rId735" ref="A737"/>
    <hyperlink r:id="rId736" ref="A738"/>
    <hyperlink r:id="rId737" ref="A739"/>
    <hyperlink r:id="rId738" ref="A740"/>
    <hyperlink r:id="rId739" ref="A741"/>
    <hyperlink r:id="rId740" ref="A742"/>
    <hyperlink r:id="rId741" ref="A743"/>
    <hyperlink r:id="rId742" ref="A744"/>
    <hyperlink r:id="rId743" ref="A745"/>
    <hyperlink r:id="rId744" ref="A746"/>
    <hyperlink r:id="rId745" ref="A747"/>
    <hyperlink r:id="rId746" ref="A748"/>
    <hyperlink r:id="rId747" ref="A749"/>
    <hyperlink r:id="rId748" ref="A750"/>
    <hyperlink r:id="rId749" ref="A751"/>
    <hyperlink r:id="rId750" ref="A752"/>
    <hyperlink r:id="rId751" ref="A753"/>
    <hyperlink r:id="rId752" ref="A754"/>
    <hyperlink r:id="rId753" ref="A755"/>
    <hyperlink r:id="rId754" ref="A756"/>
  </hyperlinks>
  <drawing r:id="rId75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71.88"/>
    <col customWidth="1" min="3" max="3" width="16.38"/>
    <col customWidth="1" min="4" max="4" width="27.0"/>
    <col customWidth="1" min="5" max="5" width="35.5"/>
    <col customWidth="1" min="6" max="6" width="44.38"/>
  </cols>
  <sheetData>
    <row r="1">
      <c r="A1" s="8" t="s">
        <v>2</v>
      </c>
      <c r="B1" s="5" t="s">
        <v>38</v>
      </c>
      <c r="C1" s="8" t="s">
        <v>39</v>
      </c>
      <c r="D1" s="8" t="s">
        <v>40</v>
      </c>
      <c r="E1" s="5" t="s">
        <v>41</v>
      </c>
      <c r="F1" s="5" t="s">
        <v>42</v>
      </c>
    </row>
    <row r="2">
      <c r="A2" s="8">
        <v>1.0</v>
      </c>
      <c r="B2" s="9" t="s">
        <v>43</v>
      </c>
      <c r="C2" s="8">
        <v>0.0</v>
      </c>
      <c r="D2" s="8">
        <v>0.0</v>
      </c>
    </row>
    <row r="3">
      <c r="A3" s="8">
        <v>2.0</v>
      </c>
      <c r="B3" s="9" t="s">
        <v>44</v>
      </c>
      <c r="C3" s="8">
        <v>0.0</v>
      </c>
      <c r="D3" s="8">
        <v>0.0</v>
      </c>
    </row>
    <row r="4">
      <c r="A4" s="8">
        <v>3.0</v>
      </c>
      <c r="B4" s="9" t="s">
        <v>54</v>
      </c>
      <c r="C4" s="8">
        <v>0.0</v>
      </c>
      <c r="D4" s="8">
        <v>0.0</v>
      </c>
    </row>
    <row r="5">
      <c r="A5" s="8">
        <v>4.0</v>
      </c>
      <c r="B5" s="9" t="s">
        <v>73</v>
      </c>
      <c r="C5" s="8">
        <v>0.0</v>
      </c>
      <c r="D5" s="8">
        <v>0.0</v>
      </c>
    </row>
    <row r="6">
      <c r="A6" s="8">
        <v>5.0</v>
      </c>
      <c r="B6" s="9" t="s">
        <v>227</v>
      </c>
      <c r="C6" s="8">
        <v>0.0</v>
      </c>
      <c r="D6" s="8">
        <v>0.0</v>
      </c>
    </row>
    <row r="7">
      <c r="A7" s="8">
        <v>6.0</v>
      </c>
      <c r="B7" s="9" t="s">
        <v>250</v>
      </c>
      <c r="C7" s="8">
        <v>0.0</v>
      </c>
      <c r="D7" s="8">
        <v>0.0</v>
      </c>
    </row>
    <row r="8">
      <c r="A8" s="8">
        <v>7.0</v>
      </c>
      <c r="B8" s="9" t="s">
        <v>266</v>
      </c>
      <c r="C8" s="8">
        <v>0.0</v>
      </c>
      <c r="D8" s="8">
        <v>0.0</v>
      </c>
    </row>
    <row r="9">
      <c r="A9" s="8">
        <v>8.0</v>
      </c>
      <c r="B9" s="9" t="s">
        <v>282</v>
      </c>
      <c r="C9" s="8">
        <v>0.0</v>
      </c>
      <c r="D9" s="8">
        <v>0.0</v>
      </c>
    </row>
    <row r="10">
      <c r="A10" s="8">
        <v>9.0</v>
      </c>
      <c r="B10" s="9" t="s">
        <v>296</v>
      </c>
      <c r="C10" s="8">
        <v>0.0</v>
      </c>
      <c r="D10" s="8">
        <v>0.0</v>
      </c>
    </row>
    <row r="11">
      <c r="A11" s="8">
        <v>10.0</v>
      </c>
      <c r="B11" s="9" t="s">
        <v>306</v>
      </c>
      <c r="C11" s="8">
        <v>0.0</v>
      </c>
      <c r="D11" s="8">
        <v>0.0</v>
      </c>
    </row>
    <row r="12">
      <c r="A12" s="8">
        <v>11.0</v>
      </c>
      <c r="B12" s="9" t="s">
        <v>316</v>
      </c>
      <c r="C12" s="8">
        <v>0.0</v>
      </c>
      <c r="D12" s="8">
        <v>0.0</v>
      </c>
    </row>
    <row r="13">
      <c r="A13" s="8">
        <v>12.0</v>
      </c>
      <c r="B13" s="9" t="s">
        <v>326</v>
      </c>
      <c r="C13" s="8">
        <v>0.0</v>
      </c>
      <c r="D13" s="8">
        <v>0.0</v>
      </c>
    </row>
    <row r="14">
      <c r="A14" s="8">
        <v>13.0</v>
      </c>
      <c r="B14" s="9" t="s">
        <v>334</v>
      </c>
      <c r="C14" s="8">
        <v>0.0</v>
      </c>
      <c r="D14" s="8">
        <v>0.0</v>
      </c>
    </row>
    <row r="15">
      <c r="A15" s="8">
        <v>14.0</v>
      </c>
      <c r="B15" s="9" t="s">
        <v>346</v>
      </c>
      <c r="C15" s="8">
        <v>0.0</v>
      </c>
      <c r="D15" s="8">
        <v>0.0</v>
      </c>
    </row>
    <row r="16">
      <c r="A16" s="8">
        <v>15.0</v>
      </c>
      <c r="B16" s="9" t="s">
        <v>359</v>
      </c>
      <c r="C16" s="8">
        <v>0.0</v>
      </c>
      <c r="D16" s="8">
        <v>0.0</v>
      </c>
    </row>
    <row r="17">
      <c r="A17" s="8">
        <v>16.0</v>
      </c>
      <c r="B17" s="9" t="s">
        <v>371</v>
      </c>
      <c r="C17" s="8">
        <v>0.0</v>
      </c>
      <c r="D17" s="8">
        <v>0.0</v>
      </c>
    </row>
    <row r="18">
      <c r="A18" s="8">
        <v>17.0</v>
      </c>
      <c r="B18" s="9" t="s">
        <v>385</v>
      </c>
      <c r="C18" s="8">
        <v>1.0</v>
      </c>
      <c r="D18" s="8">
        <v>1.0</v>
      </c>
      <c r="E18" s="5" t="s">
        <v>396</v>
      </c>
      <c r="F18" s="9" t="s">
        <v>346</v>
      </c>
    </row>
    <row r="19">
      <c r="A19" s="8">
        <v>18.0</v>
      </c>
      <c r="B19" s="9" t="s">
        <v>399</v>
      </c>
      <c r="C19" s="8">
        <v>0.0</v>
      </c>
      <c r="D19" s="8">
        <v>0.0</v>
      </c>
    </row>
    <row r="20">
      <c r="A20" s="8">
        <v>19.0</v>
      </c>
      <c r="B20" s="9" t="s">
        <v>407</v>
      </c>
      <c r="C20" s="8">
        <v>0.0</v>
      </c>
      <c r="D20" s="8">
        <v>0.0</v>
      </c>
    </row>
    <row r="21">
      <c r="A21" s="8">
        <v>20.0</v>
      </c>
      <c r="B21" s="9" t="s">
        <v>420</v>
      </c>
      <c r="C21" s="8">
        <v>0.0</v>
      </c>
      <c r="D21" s="8">
        <v>0.0</v>
      </c>
    </row>
    <row r="22">
      <c r="A22" s="8">
        <v>21.0</v>
      </c>
      <c r="B22" s="9" t="s">
        <v>431</v>
      </c>
      <c r="C22" s="8">
        <v>0.0</v>
      </c>
      <c r="D22" s="8">
        <v>0.0</v>
      </c>
    </row>
    <row r="23">
      <c r="A23" s="8">
        <v>22.0</v>
      </c>
      <c r="B23" s="9" t="s">
        <v>443</v>
      </c>
      <c r="C23" s="8">
        <v>0.0</v>
      </c>
      <c r="D23" s="8">
        <v>0.0</v>
      </c>
    </row>
    <row r="24">
      <c r="A24" s="8">
        <v>23.0</v>
      </c>
      <c r="B24" s="9" t="s">
        <v>457</v>
      </c>
      <c r="C24" s="8">
        <v>0.0</v>
      </c>
      <c r="D24" s="8">
        <v>0.0</v>
      </c>
    </row>
    <row r="25">
      <c r="A25" s="8">
        <v>24.0</v>
      </c>
      <c r="B25" s="9" t="s">
        <v>475</v>
      </c>
      <c r="C25" s="8">
        <v>0.0</v>
      </c>
      <c r="D25" s="8">
        <v>0.0</v>
      </c>
    </row>
    <row r="26">
      <c r="A26" s="8">
        <v>25.0</v>
      </c>
      <c r="B26" s="9" t="s">
        <v>484</v>
      </c>
      <c r="C26" s="8">
        <v>0.0</v>
      </c>
      <c r="D26" s="8">
        <v>0.0</v>
      </c>
    </row>
    <row r="27">
      <c r="A27" s="8">
        <v>26.0</v>
      </c>
      <c r="B27" s="9" t="s">
        <v>493</v>
      </c>
      <c r="C27" s="8">
        <v>0.0</v>
      </c>
      <c r="D27" s="8">
        <v>0.0</v>
      </c>
    </row>
    <row r="28">
      <c r="A28" s="8">
        <v>27.0</v>
      </c>
      <c r="B28" s="9" t="s">
        <v>501</v>
      </c>
      <c r="C28" s="8">
        <v>0.0</v>
      </c>
      <c r="D28" s="8">
        <v>0.0</v>
      </c>
    </row>
    <row r="29">
      <c r="A29" s="8">
        <v>28.0</v>
      </c>
      <c r="B29" s="9" t="s">
        <v>513</v>
      </c>
      <c r="C29" s="8">
        <v>0.0</v>
      </c>
      <c r="D29" s="8">
        <v>0.0</v>
      </c>
    </row>
    <row r="30">
      <c r="A30" s="8">
        <v>29.0</v>
      </c>
      <c r="B30" s="9" t="s">
        <v>523</v>
      </c>
      <c r="C30" s="8">
        <v>0.0</v>
      </c>
      <c r="D30" s="8">
        <v>0.0</v>
      </c>
    </row>
    <row r="31">
      <c r="A31" s="8">
        <v>30.0</v>
      </c>
      <c r="B31" s="9" t="s">
        <v>536</v>
      </c>
      <c r="C31" s="8">
        <v>0.0</v>
      </c>
      <c r="D31" s="8">
        <v>0.0</v>
      </c>
    </row>
    <row r="32">
      <c r="A32" s="8">
        <v>31.0</v>
      </c>
      <c r="B32" s="9" t="s">
        <v>544</v>
      </c>
      <c r="C32" s="8">
        <v>0.0</v>
      </c>
      <c r="D32" s="8">
        <v>0.0</v>
      </c>
    </row>
    <row r="33">
      <c r="A33" s="8">
        <v>32.0</v>
      </c>
      <c r="B33" s="9" t="s">
        <v>546</v>
      </c>
      <c r="C33" s="8">
        <v>0.0</v>
      </c>
      <c r="D33" s="8">
        <v>0.0</v>
      </c>
    </row>
    <row r="34">
      <c r="A34" s="8">
        <v>33.0</v>
      </c>
      <c r="B34" s="9" t="s">
        <v>547</v>
      </c>
      <c r="C34" s="8">
        <v>0.0</v>
      </c>
      <c r="D34" s="8">
        <v>0.0</v>
      </c>
    </row>
    <row r="35">
      <c r="A35" s="8">
        <v>34.0</v>
      </c>
      <c r="B35" s="9" t="s">
        <v>548</v>
      </c>
      <c r="C35" s="8">
        <v>0.0</v>
      </c>
      <c r="D35" s="8">
        <v>0.0</v>
      </c>
    </row>
    <row r="36">
      <c r="A36" s="8">
        <v>35.0</v>
      </c>
      <c r="B36" s="9" t="s">
        <v>549</v>
      </c>
      <c r="C36" s="8">
        <v>0.0</v>
      </c>
      <c r="D36" s="8">
        <v>0.0</v>
      </c>
    </row>
    <row r="37">
      <c r="A37" s="8">
        <v>36.0</v>
      </c>
      <c r="B37" s="9" t="s">
        <v>550</v>
      </c>
      <c r="C37" s="8">
        <v>0.0</v>
      </c>
      <c r="D37" s="8">
        <v>0.0</v>
      </c>
    </row>
    <row r="38">
      <c r="A38" s="8">
        <v>37.0</v>
      </c>
      <c r="B38" s="9" t="s">
        <v>551</v>
      </c>
      <c r="C38" s="8">
        <v>0.0</v>
      </c>
      <c r="D38" s="8">
        <v>0.0</v>
      </c>
    </row>
    <row r="39">
      <c r="A39" s="8">
        <v>38.0</v>
      </c>
      <c r="B39" s="9" t="s">
        <v>552</v>
      </c>
      <c r="C39" s="8">
        <v>0.0</v>
      </c>
      <c r="D39" s="8">
        <v>0.0</v>
      </c>
    </row>
    <row r="40">
      <c r="A40" s="8">
        <v>39.0</v>
      </c>
      <c r="B40" s="9" t="s">
        <v>553</v>
      </c>
      <c r="C40" s="8">
        <v>0.0</v>
      </c>
      <c r="D40" s="8">
        <v>0.0</v>
      </c>
    </row>
    <row r="41">
      <c r="A41" s="8">
        <v>40.0</v>
      </c>
      <c r="B41" s="9" t="s">
        <v>554</v>
      </c>
      <c r="C41" s="8">
        <v>0.0</v>
      </c>
      <c r="D41" s="8">
        <v>0.0</v>
      </c>
    </row>
    <row r="42">
      <c r="A42" s="8">
        <v>41.0</v>
      </c>
      <c r="B42" s="9" t="s">
        <v>556</v>
      </c>
      <c r="C42" s="8">
        <v>0.0</v>
      </c>
      <c r="D42" s="8">
        <v>0.0</v>
      </c>
    </row>
    <row r="43">
      <c r="A43" s="8">
        <v>42.0</v>
      </c>
      <c r="B43" s="9" t="s">
        <v>558</v>
      </c>
      <c r="C43" s="8">
        <v>0.0</v>
      </c>
      <c r="D43" s="8">
        <v>0.0</v>
      </c>
    </row>
    <row r="44">
      <c r="A44" s="8">
        <v>43.0</v>
      </c>
      <c r="B44" s="9" t="s">
        <v>559</v>
      </c>
      <c r="C44" s="8">
        <v>0.0</v>
      </c>
      <c r="D44" s="8">
        <v>0.0</v>
      </c>
    </row>
    <row r="45">
      <c r="A45" s="8">
        <v>44.0</v>
      </c>
      <c r="B45" s="9" t="s">
        <v>562</v>
      </c>
      <c r="C45" s="8">
        <v>0.0</v>
      </c>
      <c r="D45" s="8">
        <v>0.0</v>
      </c>
    </row>
    <row r="46">
      <c r="A46" s="8">
        <v>45.0</v>
      </c>
      <c r="B46" s="9" t="s">
        <v>563</v>
      </c>
      <c r="C46" s="8">
        <v>0.0</v>
      </c>
      <c r="D46" s="8">
        <v>0.0</v>
      </c>
    </row>
    <row r="47">
      <c r="A47" s="8">
        <v>46.0</v>
      </c>
      <c r="B47" s="9" t="s">
        <v>565</v>
      </c>
      <c r="C47" s="8">
        <v>0.0</v>
      </c>
      <c r="D47" s="8">
        <v>0.0</v>
      </c>
    </row>
    <row r="48">
      <c r="A48" s="8">
        <v>47.0</v>
      </c>
      <c r="B48" s="9" t="s">
        <v>568</v>
      </c>
      <c r="C48" s="8">
        <v>0.0</v>
      </c>
      <c r="D48" s="8">
        <v>0.0</v>
      </c>
    </row>
    <row r="49">
      <c r="A49" s="8">
        <v>48.0</v>
      </c>
      <c r="B49" s="9" t="s">
        <v>569</v>
      </c>
      <c r="C49" s="8">
        <v>0.0</v>
      </c>
      <c r="D49" s="8">
        <v>0.0</v>
      </c>
    </row>
    <row r="50">
      <c r="A50" s="8">
        <v>49.0</v>
      </c>
      <c r="B50" s="9" t="s">
        <v>576</v>
      </c>
      <c r="C50" s="8">
        <v>0.0</v>
      </c>
      <c r="D50" s="8">
        <v>0.0</v>
      </c>
    </row>
    <row r="51">
      <c r="A51" s="8">
        <v>50.0</v>
      </c>
      <c r="B51" s="9" t="s">
        <v>579</v>
      </c>
      <c r="C51" s="8">
        <v>0.0</v>
      </c>
      <c r="D51" s="8">
        <v>0.0</v>
      </c>
    </row>
    <row r="52">
      <c r="A52" s="8">
        <v>51.0</v>
      </c>
      <c r="B52" s="9" t="s">
        <v>582</v>
      </c>
      <c r="C52" s="8">
        <v>0.0</v>
      </c>
      <c r="D52" s="8">
        <v>0.0</v>
      </c>
    </row>
    <row r="53">
      <c r="A53" s="8">
        <v>52.0</v>
      </c>
      <c r="B53" s="9" t="s">
        <v>584</v>
      </c>
      <c r="C53" s="8">
        <v>0.0</v>
      </c>
      <c r="D53" s="8">
        <v>0.0</v>
      </c>
    </row>
    <row r="54">
      <c r="A54" s="8">
        <v>53.0</v>
      </c>
      <c r="B54" s="9" t="s">
        <v>586</v>
      </c>
      <c r="C54" s="8">
        <v>0.0</v>
      </c>
      <c r="D54" s="8">
        <v>0.0</v>
      </c>
    </row>
    <row r="55">
      <c r="A55" s="8">
        <v>54.0</v>
      </c>
      <c r="B55" s="9" t="s">
        <v>588</v>
      </c>
      <c r="C55" s="8">
        <v>0.0</v>
      </c>
      <c r="D55" s="8">
        <v>0.0</v>
      </c>
    </row>
    <row r="56">
      <c r="A56" s="8">
        <v>55.0</v>
      </c>
      <c r="B56" s="9" t="s">
        <v>589</v>
      </c>
      <c r="C56" s="8">
        <v>0.0</v>
      </c>
      <c r="D56" s="8">
        <v>0.0</v>
      </c>
    </row>
    <row r="57">
      <c r="A57" s="8">
        <v>56.0</v>
      </c>
      <c r="B57" s="9" t="s">
        <v>591</v>
      </c>
      <c r="C57" s="8">
        <v>0.0</v>
      </c>
      <c r="D57" s="8">
        <v>0.0</v>
      </c>
    </row>
    <row r="58">
      <c r="A58" s="8">
        <v>57.0</v>
      </c>
      <c r="B58" s="9" t="s">
        <v>365</v>
      </c>
      <c r="C58" s="8">
        <v>0.0</v>
      </c>
      <c r="D58" s="8">
        <v>0.0</v>
      </c>
    </row>
    <row r="59">
      <c r="A59" s="8">
        <v>58.0</v>
      </c>
      <c r="B59" s="9" t="s">
        <v>404</v>
      </c>
      <c r="C59" s="8">
        <v>0.0</v>
      </c>
      <c r="D59" s="8">
        <v>0.0</v>
      </c>
    </row>
    <row r="60">
      <c r="A60" s="8">
        <v>59.0</v>
      </c>
      <c r="B60" s="9" t="s">
        <v>567</v>
      </c>
      <c r="C60" s="8">
        <v>0.0</v>
      </c>
      <c r="D60" s="8">
        <v>0.0</v>
      </c>
    </row>
    <row r="61">
      <c r="A61" s="8">
        <v>60.0</v>
      </c>
      <c r="B61" s="9" t="s">
        <v>594</v>
      </c>
      <c r="C61" s="8">
        <v>0.0</v>
      </c>
      <c r="D61" s="8">
        <v>0.0</v>
      </c>
    </row>
    <row r="62">
      <c r="A62" s="8">
        <v>61.0</v>
      </c>
      <c r="B62" s="9" t="s">
        <v>595</v>
      </c>
      <c r="C62" s="8">
        <v>0.0</v>
      </c>
      <c r="D62" s="8">
        <v>0.0</v>
      </c>
    </row>
    <row r="63">
      <c r="A63" s="8">
        <v>62.0</v>
      </c>
      <c r="B63" s="9" t="s">
        <v>596</v>
      </c>
      <c r="C63" s="8">
        <v>0.0</v>
      </c>
      <c r="D63" s="8">
        <v>0.0</v>
      </c>
    </row>
    <row r="64">
      <c r="A64" s="8">
        <v>63.0</v>
      </c>
      <c r="B64" s="9" t="s">
        <v>598</v>
      </c>
      <c r="C64" s="8">
        <v>0.0</v>
      </c>
      <c r="D64" s="8">
        <v>0.0</v>
      </c>
    </row>
    <row r="65">
      <c r="A65" s="8">
        <v>64.0</v>
      </c>
      <c r="B65" s="9" t="s">
        <v>600</v>
      </c>
      <c r="C65" s="8">
        <v>0.0</v>
      </c>
      <c r="D65" s="8">
        <v>0.0</v>
      </c>
    </row>
    <row r="66">
      <c r="A66" s="8">
        <v>65.0</v>
      </c>
      <c r="B66" s="9" t="s">
        <v>601</v>
      </c>
      <c r="C66" s="8">
        <v>0.0</v>
      </c>
      <c r="D66" s="8">
        <v>0.0</v>
      </c>
    </row>
    <row r="67">
      <c r="A67" s="8">
        <v>66.0</v>
      </c>
      <c r="B67" s="9" t="s">
        <v>602</v>
      </c>
      <c r="C67" s="8">
        <v>0.0</v>
      </c>
      <c r="D67" s="8">
        <v>0.0</v>
      </c>
    </row>
    <row r="68">
      <c r="A68" s="8">
        <v>67.0</v>
      </c>
      <c r="B68" s="9" t="s">
        <v>605</v>
      </c>
      <c r="C68" s="8">
        <v>0.0</v>
      </c>
      <c r="D68" s="8">
        <v>0.0</v>
      </c>
    </row>
    <row r="69">
      <c r="A69" s="8">
        <v>68.0</v>
      </c>
      <c r="B69" s="9" t="s">
        <v>607</v>
      </c>
      <c r="C69" s="8">
        <v>0.0</v>
      </c>
      <c r="D69" s="8">
        <v>0.0</v>
      </c>
    </row>
    <row r="70">
      <c r="A70" s="8">
        <v>69.0</v>
      </c>
      <c r="B70" s="9" t="s">
        <v>614</v>
      </c>
      <c r="C70" s="8">
        <v>0.0</v>
      </c>
      <c r="D70" s="8">
        <v>0.0</v>
      </c>
    </row>
    <row r="71">
      <c r="A71" s="8">
        <v>70.0</v>
      </c>
      <c r="B71" s="9" t="s">
        <v>621</v>
      </c>
      <c r="C71" s="8">
        <v>0.0</v>
      </c>
      <c r="D71" s="8">
        <v>0.0</v>
      </c>
    </row>
    <row r="72">
      <c r="A72" s="8">
        <v>71.0</v>
      </c>
      <c r="B72" s="9" t="s">
        <v>627</v>
      </c>
      <c r="C72" s="8">
        <v>0.0</v>
      </c>
      <c r="D72" s="8">
        <v>0.0</v>
      </c>
    </row>
    <row r="73">
      <c r="A73" s="8">
        <v>72.0</v>
      </c>
      <c r="B73" s="9" t="s">
        <v>418</v>
      </c>
      <c r="C73" s="8">
        <v>0.0</v>
      </c>
      <c r="D73" s="8">
        <v>0.0</v>
      </c>
    </row>
    <row r="74">
      <c r="A74" s="8">
        <v>73.0</v>
      </c>
      <c r="B74" s="9" t="s">
        <v>660</v>
      </c>
      <c r="C74" s="8">
        <v>0.0</v>
      </c>
      <c r="D74" s="8">
        <v>0.0</v>
      </c>
    </row>
    <row r="75">
      <c r="A75" s="8">
        <v>74.0</v>
      </c>
      <c r="B75" s="9" t="s">
        <v>663</v>
      </c>
      <c r="C75" s="8">
        <v>0.0</v>
      </c>
      <c r="D75" s="8">
        <v>0.0</v>
      </c>
    </row>
    <row r="76">
      <c r="A76" s="8">
        <v>75.0</v>
      </c>
      <c r="B76" s="9" t="s">
        <v>669</v>
      </c>
      <c r="C76" s="8">
        <v>0.0</v>
      </c>
      <c r="D76" s="8">
        <v>0.0</v>
      </c>
    </row>
    <row r="77">
      <c r="A77" s="22"/>
      <c r="C77" s="22"/>
      <c r="D77" s="22"/>
    </row>
    <row r="78">
      <c r="A78" s="22"/>
      <c r="B78" s="5" t="s">
        <v>675</v>
      </c>
      <c r="C78" s="8">
        <v>1.0</v>
      </c>
      <c r="D78" s="22"/>
    </row>
    <row r="79">
      <c r="A79" s="22"/>
      <c r="B79" s="5" t="s">
        <v>677</v>
      </c>
      <c r="C79" s="8">
        <v>74.0</v>
      </c>
      <c r="D79" s="22"/>
    </row>
    <row r="80">
      <c r="A80" s="22"/>
      <c r="B80" s="5" t="s">
        <v>678</v>
      </c>
      <c r="C80" s="8">
        <v>1.0</v>
      </c>
      <c r="D80" s="22"/>
    </row>
    <row r="81">
      <c r="A81" s="22"/>
      <c r="C81" s="22"/>
      <c r="D81" s="22"/>
    </row>
    <row r="82">
      <c r="A82" s="22"/>
      <c r="C82" s="22"/>
      <c r="D82" s="22"/>
    </row>
    <row r="83">
      <c r="A83" s="22"/>
      <c r="C83" s="22"/>
      <c r="D83" s="22"/>
    </row>
    <row r="84">
      <c r="A84" s="22"/>
      <c r="C84" s="22"/>
      <c r="D84" s="22"/>
    </row>
    <row r="85">
      <c r="A85" s="22"/>
      <c r="C85" s="22"/>
      <c r="D85" s="22"/>
    </row>
    <row r="86">
      <c r="A86" s="22"/>
      <c r="C86" s="22"/>
      <c r="D86" s="22"/>
    </row>
    <row r="87">
      <c r="A87" s="22"/>
      <c r="C87" s="22"/>
      <c r="D87" s="22"/>
    </row>
    <row r="88">
      <c r="A88" s="22"/>
      <c r="C88" s="22"/>
      <c r="D88" s="22"/>
    </row>
    <row r="89">
      <c r="A89" s="22"/>
      <c r="C89" s="22"/>
      <c r="D89" s="22"/>
    </row>
    <row r="90">
      <c r="A90" s="22"/>
      <c r="C90" s="22"/>
      <c r="D90" s="22"/>
    </row>
    <row r="91">
      <c r="A91" s="22"/>
      <c r="C91" s="22"/>
      <c r="D91" s="22"/>
    </row>
    <row r="92">
      <c r="A92" s="22"/>
      <c r="C92" s="22"/>
      <c r="D92" s="22"/>
    </row>
    <row r="93">
      <c r="A93" s="22"/>
      <c r="C93" s="22"/>
      <c r="D93" s="22"/>
    </row>
    <row r="94">
      <c r="A94" s="22"/>
      <c r="C94" s="22"/>
      <c r="D94" s="22"/>
    </row>
    <row r="95">
      <c r="A95" s="22"/>
      <c r="C95" s="22"/>
      <c r="D95" s="22"/>
    </row>
    <row r="96">
      <c r="A96" s="22"/>
      <c r="C96" s="22"/>
      <c r="D96" s="22"/>
    </row>
    <row r="97">
      <c r="A97" s="22"/>
      <c r="C97" s="22"/>
      <c r="D97" s="22"/>
    </row>
    <row r="98">
      <c r="A98" s="22"/>
      <c r="C98" s="22"/>
      <c r="D98" s="22"/>
    </row>
    <row r="99">
      <c r="A99" s="22"/>
      <c r="C99" s="22"/>
      <c r="D99" s="22"/>
    </row>
    <row r="100">
      <c r="A100" s="22"/>
      <c r="C100" s="22"/>
      <c r="D100" s="22"/>
    </row>
    <row r="101">
      <c r="A101" s="22"/>
      <c r="C101" s="22"/>
      <c r="D101" s="22"/>
    </row>
    <row r="102">
      <c r="A102" s="22"/>
      <c r="C102" s="22"/>
      <c r="D102" s="22"/>
    </row>
    <row r="103">
      <c r="A103" s="22"/>
      <c r="C103" s="22"/>
      <c r="D103" s="22"/>
    </row>
    <row r="104">
      <c r="A104" s="22"/>
      <c r="C104" s="22"/>
      <c r="D104" s="22"/>
    </row>
    <row r="105">
      <c r="A105" s="22"/>
      <c r="C105" s="22"/>
      <c r="D105" s="22"/>
    </row>
    <row r="106">
      <c r="A106" s="22"/>
      <c r="C106" s="22"/>
      <c r="D106" s="22"/>
    </row>
    <row r="107">
      <c r="A107" s="22"/>
      <c r="C107" s="22"/>
      <c r="D107" s="22"/>
    </row>
    <row r="108">
      <c r="A108" s="22"/>
      <c r="C108" s="22"/>
      <c r="D108" s="22"/>
    </row>
    <row r="109">
      <c r="A109" s="22"/>
      <c r="C109" s="22"/>
      <c r="D109" s="22"/>
    </row>
    <row r="110">
      <c r="A110" s="22"/>
      <c r="C110" s="22"/>
      <c r="D110" s="22"/>
    </row>
    <row r="111">
      <c r="A111" s="22"/>
      <c r="C111" s="22"/>
      <c r="D111" s="22"/>
    </row>
    <row r="112">
      <c r="A112" s="22"/>
      <c r="C112" s="22"/>
      <c r="D112" s="22"/>
    </row>
    <row r="113">
      <c r="A113" s="22"/>
      <c r="C113" s="22"/>
      <c r="D113" s="22"/>
    </row>
    <row r="114">
      <c r="A114" s="22"/>
      <c r="C114" s="22"/>
      <c r="D114" s="22"/>
    </row>
    <row r="115">
      <c r="A115" s="22"/>
      <c r="C115" s="22"/>
      <c r="D115" s="22"/>
    </row>
    <row r="116">
      <c r="A116" s="22"/>
      <c r="C116" s="22"/>
      <c r="D116" s="22"/>
    </row>
    <row r="117">
      <c r="A117" s="22"/>
      <c r="C117" s="22"/>
      <c r="D117" s="22"/>
    </row>
    <row r="118">
      <c r="A118" s="22"/>
      <c r="C118" s="22"/>
      <c r="D118" s="22"/>
    </row>
    <row r="119">
      <c r="A119" s="22"/>
      <c r="C119" s="22"/>
      <c r="D119" s="22"/>
    </row>
    <row r="120">
      <c r="A120" s="22"/>
      <c r="C120" s="22"/>
      <c r="D120" s="22"/>
    </row>
    <row r="121">
      <c r="A121" s="22"/>
      <c r="C121" s="22"/>
      <c r="D121" s="22"/>
    </row>
    <row r="122">
      <c r="A122" s="22"/>
      <c r="C122" s="22"/>
      <c r="D122" s="22"/>
    </row>
    <row r="123">
      <c r="A123" s="22"/>
      <c r="C123" s="22"/>
      <c r="D123" s="22"/>
    </row>
    <row r="124">
      <c r="A124" s="22"/>
      <c r="C124" s="22"/>
      <c r="D124" s="22"/>
    </row>
    <row r="125">
      <c r="A125" s="22"/>
      <c r="C125" s="22"/>
      <c r="D125" s="22"/>
    </row>
    <row r="126">
      <c r="A126" s="22"/>
      <c r="C126" s="22"/>
      <c r="D126" s="22"/>
    </row>
    <row r="127">
      <c r="A127" s="22"/>
      <c r="C127" s="22"/>
      <c r="D127" s="22"/>
    </row>
    <row r="128">
      <c r="A128" s="22"/>
      <c r="C128" s="22"/>
      <c r="D128" s="22"/>
    </row>
    <row r="129">
      <c r="A129" s="22"/>
      <c r="C129" s="22"/>
      <c r="D129" s="22"/>
    </row>
    <row r="130">
      <c r="A130" s="22"/>
      <c r="C130" s="22"/>
      <c r="D130" s="22"/>
    </row>
    <row r="131">
      <c r="A131" s="22"/>
      <c r="C131" s="22"/>
      <c r="D131" s="22"/>
    </row>
    <row r="132">
      <c r="A132" s="22"/>
      <c r="C132" s="22"/>
      <c r="D132" s="22"/>
    </row>
    <row r="133">
      <c r="A133" s="22"/>
      <c r="C133" s="22"/>
      <c r="D133" s="22"/>
    </row>
    <row r="134">
      <c r="A134" s="22"/>
      <c r="C134" s="22"/>
      <c r="D134" s="22"/>
    </row>
    <row r="135">
      <c r="A135" s="22"/>
      <c r="C135" s="22"/>
      <c r="D135" s="22"/>
    </row>
    <row r="136">
      <c r="A136" s="22"/>
      <c r="C136" s="22"/>
      <c r="D136" s="22"/>
    </row>
    <row r="137">
      <c r="A137" s="22"/>
      <c r="C137" s="22"/>
      <c r="D137" s="22"/>
    </row>
    <row r="138">
      <c r="A138" s="22"/>
      <c r="C138" s="22"/>
      <c r="D138" s="22"/>
    </row>
    <row r="139">
      <c r="A139" s="22"/>
      <c r="C139" s="22"/>
      <c r="D139" s="22"/>
    </row>
    <row r="140">
      <c r="A140" s="22"/>
      <c r="C140" s="22"/>
      <c r="D140" s="22"/>
    </row>
    <row r="141">
      <c r="A141" s="22"/>
      <c r="C141" s="22"/>
      <c r="D141" s="22"/>
    </row>
    <row r="142">
      <c r="A142" s="22"/>
      <c r="C142" s="22"/>
      <c r="D142" s="22"/>
    </row>
    <row r="143">
      <c r="A143" s="22"/>
      <c r="C143" s="22"/>
      <c r="D143" s="22"/>
    </row>
    <row r="144">
      <c r="A144" s="22"/>
      <c r="C144" s="22"/>
      <c r="D144" s="22"/>
    </row>
    <row r="145">
      <c r="A145" s="22"/>
      <c r="C145" s="22"/>
      <c r="D145" s="22"/>
    </row>
    <row r="146">
      <c r="A146" s="22"/>
      <c r="C146" s="22"/>
      <c r="D146" s="22"/>
    </row>
    <row r="147">
      <c r="A147" s="22"/>
      <c r="C147" s="22"/>
      <c r="D147" s="22"/>
    </row>
    <row r="148">
      <c r="A148" s="22"/>
      <c r="C148" s="22"/>
      <c r="D148" s="22"/>
    </row>
    <row r="149">
      <c r="A149" s="22"/>
      <c r="C149" s="22"/>
      <c r="D149" s="22"/>
    </row>
    <row r="150">
      <c r="A150" s="22"/>
      <c r="C150" s="22"/>
      <c r="D150" s="22"/>
    </row>
    <row r="151">
      <c r="A151" s="22"/>
      <c r="C151" s="22"/>
      <c r="D151" s="22"/>
    </row>
    <row r="152">
      <c r="A152" s="22"/>
      <c r="C152" s="22"/>
      <c r="D152" s="22"/>
    </row>
    <row r="153">
      <c r="A153" s="22"/>
      <c r="C153" s="22"/>
      <c r="D153" s="22"/>
    </row>
    <row r="154">
      <c r="A154" s="22"/>
      <c r="C154" s="22"/>
      <c r="D154" s="22"/>
    </row>
    <row r="155">
      <c r="A155" s="22"/>
      <c r="C155" s="22"/>
      <c r="D155" s="22"/>
    </row>
    <row r="156">
      <c r="A156" s="22"/>
      <c r="C156" s="22"/>
      <c r="D156" s="22"/>
    </row>
    <row r="157">
      <c r="A157" s="22"/>
      <c r="C157" s="22"/>
      <c r="D157" s="22"/>
    </row>
    <row r="158">
      <c r="A158" s="22"/>
      <c r="C158" s="22"/>
      <c r="D158" s="22"/>
    </row>
    <row r="159">
      <c r="A159" s="22"/>
      <c r="C159" s="22"/>
      <c r="D159" s="22"/>
    </row>
    <row r="160">
      <c r="A160" s="22"/>
      <c r="C160" s="22"/>
      <c r="D160" s="22"/>
    </row>
    <row r="161">
      <c r="A161" s="22"/>
      <c r="C161" s="22"/>
      <c r="D161" s="22"/>
    </row>
    <row r="162">
      <c r="A162" s="22"/>
      <c r="C162" s="22"/>
      <c r="D162" s="22"/>
    </row>
    <row r="163">
      <c r="A163" s="22"/>
      <c r="C163" s="22"/>
      <c r="D163" s="22"/>
    </row>
    <row r="164">
      <c r="A164" s="22"/>
      <c r="C164" s="22"/>
      <c r="D164" s="22"/>
    </row>
    <row r="165">
      <c r="A165" s="22"/>
      <c r="C165" s="22"/>
      <c r="D165" s="22"/>
    </row>
    <row r="166">
      <c r="A166" s="22"/>
      <c r="C166" s="22"/>
      <c r="D166" s="22"/>
    </row>
    <row r="167">
      <c r="A167" s="22"/>
      <c r="C167" s="22"/>
      <c r="D167" s="22"/>
    </row>
    <row r="168">
      <c r="A168" s="22"/>
      <c r="C168" s="22"/>
      <c r="D168" s="22"/>
    </row>
    <row r="169">
      <c r="A169" s="22"/>
      <c r="C169" s="22"/>
      <c r="D169" s="22"/>
    </row>
    <row r="170">
      <c r="A170" s="22"/>
      <c r="C170" s="22"/>
      <c r="D170" s="22"/>
    </row>
    <row r="171">
      <c r="A171" s="22"/>
      <c r="C171" s="22"/>
      <c r="D171" s="22"/>
    </row>
    <row r="172">
      <c r="A172" s="22"/>
      <c r="C172" s="22"/>
      <c r="D172" s="22"/>
    </row>
    <row r="173">
      <c r="A173" s="22"/>
      <c r="C173" s="22"/>
      <c r="D173" s="22"/>
    </row>
    <row r="174">
      <c r="A174" s="22"/>
      <c r="C174" s="22"/>
      <c r="D174" s="22"/>
    </row>
    <row r="175">
      <c r="A175" s="22"/>
      <c r="C175" s="22"/>
      <c r="D175" s="22"/>
    </row>
    <row r="176">
      <c r="A176" s="22"/>
      <c r="C176" s="22"/>
      <c r="D176" s="22"/>
    </row>
    <row r="177">
      <c r="A177" s="22"/>
      <c r="C177" s="22"/>
      <c r="D177" s="22"/>
    </row>
    <row r="178">
      <c r="A178" s="22"/>
      <c r="C178" s="22"/>
      <c r="D178" s="22"/>
    </row>
    <row r="179">
      <c r="A179" s="22"/>
      <c r="C179" s="22"/>
      <c r="D179" s="22"/>
    </row>
    <row r="180">
      <c r="A180" s="22"/>
      <c r="C180" s="22"/>
      <c r="D180" s="22"/>
    </row>
    <row r="181">
      <c r="A181" s="22"/>
      <c r="C181" s="22"/>
      <c r="D181" s="22"/>
    </row>
    <row r="182">
      <c r="A182" s="22"/>
      <c r="C182" s="22"/>
      <c r="D182" s="22"/>
    </row>
    <row r="183">
      <c r="A183" s="22"/>
      <c r="C183" s="22"/>
      <c r="D183" s="22"/>
    </row>
    <row r="184">
      <c r="A184" s="22"/>
      <c r="C184" s="22"/>
      <c r="D184" s="22"/>
    </row>
    <row r="185">
      <c r="A185" s="22"/>
      <c r="C185" s="22"/>
      <c r="D185" s="22"/>
    </row>
    <row r="186">
      <c r="A186" s="22"/>
      <c r="C186" s="22"/>
      <c r="D186" s="22"/>
    </row>
    <row r="187">
      <c r="A187" s="22"/>
      <c r="C187" s="22"/>
      <c r="D187" s="22"/>
    </row>
    <row r="188">
      <c r="A188" s="22"/>
      <c r="C188" s="22"/>
      <c r="D188" s="22"/>
    </row>
    <row r="189">
      <c r="A189" s="22"/>
      <c r="C189" s="22"/>
      <c r="D189" s="22"/>
    </row>
    <row r="190">
      <c r="A190" s="22"/>
      <c r="C190" s="22"/>
      <c r="D190" s="22"/>
    </row>
    <row r="191">
      <c r="A191" s="22"/>
      <c r="C191" s="22"/>
      <c r="D191" s="22"/>
    </row>
    <row r="192">
      <c r="A192" s="22"/>
      <c r="C192" s="22"/>
      <c r="D192" s="22"/>
    </row>
    <row r="193">
      <c r="A193" s="22"/>
      <c r="C193" s="22"/>
      <c r="D193" s="22"/>
    </row>
    <row r="194">
      <c r="A194" s="22"/>
      <c r="C194" s="22"/>
      <c r="D194" s="22"/>
    </row>
    <row r="195">
      <c r="A195" s="22"/>
      <c r="C195" s="22"/>
      <c r="D195" s="22"/>
    </row>
    <row r="196">
      <c r="A196" s="22"/>
      <c r="C196" s="22"/>
      <c r="D196" s="22"/>
    </row>
    <row r="197">
      <c r="A197" s="22"/>
      <c r="C197" s="22"/>
      <c r="D197" s="22"/>
    </row>
    <row r="198">
      <c r="A198" s="22"/>
      <c r="C198" s="22"/>
      <c r="D198" s="22"/>
    </row>
    <row r="199">
      <c r="A199" s="22"/>
      <c r="C199" s="22"/>
      <c r="D199" s="22"/>
    </row>
    <row r="200">
      <c r="A200" s="22"/>
      <c r="C200" s="22"/>
      <c r="D200" s="22"/>
    </row>
    <row r="201">
      <c r="A201" s="22"/>
      <c r="C201" s="22"/>
      <c r="D201" s="22"/>
    </row>
    <row r="202">
      <c r="A202" s="22"/>
      <c r="C202" s="22"/>
      <c r="D202" s="22"/>
    </row>
    <row r="203">
      <c r="A203" s="22"/>
      <c r="C203" s="22"/>
      <c r="D203" s="22"/>
    </row>
    <row r="204">
      <c r="A204" s="22"/>
      <c r="C204" s="22"/>
      <c r="D204" s="22"/>
    </row>
    <row r="205">
      <c r="A205" s="22"/>
      <c r="C205" s="22"/>
      <c r="D205" s="22"/>
    </row>
    <row r="206">
      <c r="A206" s="22"/>
      <c r="C206" s="22"/>
      <c r="D206" s="22"/>
    </row>
    <row r="207">
      <c r="A207" s="22"/>
      <c r="C207" s="22"/>
      <c r="D207" s="22"/>
    </row>
    <row r="208">
      <c r="A208" s="22"/>
      <c r="C208" s="22"/>
      <c r="D208" s="22"/>
    </row>
    <row r="209">
      <c r="A209" s="22"/>
      <c r="C209" s="22"/>
      <c r="D209" s="22"/>
    </row>
    <row r="210">
      <c r="A210" s="22"/>
      <c r="C210" s="22"/>
      <c r="D210" s="22"/>
    </row>
    <row r="211">
      <c r="A211" s="22"/>
      <c r="C211" s="22"/>
      <c r="D211" s="22"/>
    </row>
    <row r="212">
      <c r="A212" s="22"/>
      <c r="C212" s="22"/>
      <c r="D212" s="22"/>
    </row>
    <row r="213">
      <c r="A213" s="22"/>
      <c r="C213" s="22"/>
      <c r="D213" s="22"/>
    </row>
    <row r="214">
      <c r="A214" s="22"/>
      <c r="C214" s="22"/>
      <c r="D214" s="22"/>
    </row>
    <row r="215">
      <c r="A215" s="22"/>
      <c r="C215" s="22"/>
      <c r="D215" s="22"/>
    </row>
    <row r="216">
      <c r="A216" s="22"/>
      <c r="C216" s="22"/>
      <c r="D216" s="22"/>
    </row>
    <row r="217">
      <c r="A217" s="22"/>
      <c r="C217" s="22"/>
      <c r="D217" s="22"/>
    </row>
    <row r="218">
      <c r="A218" s="22"/>
      <c r="C218" s="22"/>
      <c r="D218" s="22"/>
    </row>
    <row r="219">
      <c r="A219" s="22"/>
      <c r="C219" s="22"/>
      <c r="D219" s="22"/>
    </row>
    <row r="220">
      <c r="A220" s="22"/>
      <c r="C220" s="22"/>
      <c r="D220" s="22"/>
    </row>
    <row r="221">
      <c r="A221" s="22"/>
      <c r="C221" s="22"/>
      <c r="D221" s="22"/>
    </row>
    <row r="222">
      <c r="A222" s="22"/>
      <c r="C222" s="22"/>
      <c r="D222" s="22"/>
    </row>
    <row r="223">
      <c r="A223" s="22"/>
      <c r="C223" s="22"/>
      <c r="D223" s="22"/>
    </row>
    <row r="224">
      <c r="A224" s="22"/>
      <c r="C224" s="22"/>
      <c r="D224" s="22"/>
    </row>
    <row r="225">
      <c r="A225" s="22"/>
      <c r="C225" s="22"/>
      <c r="D225" s="22"/>
    </row>
    <row r="226">
      <c r="A226" s="22"/>
      <c r="C226" s="22"/>
      <c r="D226" s="22"/>
    </row>
    <row r="227">
      <c r="A227" s="22"/>
      <c r="C227" s="22"/>
      <c r="D227" s="22"/>
    </row>
    <row r="228">
      <c r="A228" s="22"/>
      <c r="C228" s="22"/>
      <c r="D228" s="22"/>
    </row>
    <row r="229">
      <c r="A229" s="22"/>
      <c r="C229" s="22"/>
      <c r="D229" s="22"/>
    </row>
    <row r="230">
      <c r="A230" s="22"/>
      <c r="C230" s="22"/>
      <c r="D230" s="22"/>
    </row>
    <row r="231">
      <c r="A231" s="22"/>
      <c r="C231" s="22"/>
      <c r="D231" s="22"/>
    </row>
    <row r="232">
      <c r="A232" s="22"/>
      <c r="C232" s="22"/>
      <c r="D232" s="22"/>
    </row>
    <row r="233">
      <c r="A233" s="22"/>
      <c r="C233" s="22"/>
      <c r="D233" s="22"/>
    </row>
    <row r="234">
      <c r="A234" s="22"/>
      <c r="C234" s="22"/>
      <c r="D234" s="22"/>
    </row>
    <row r="235">
      <c r="A235" s="22"/>
      <c r="C235" s="22"/>
      <c r="D235" s="22"/>
    </row>
    <row r="236">
      <c r="A236" s="22"/>
      <c r="C236" s="22"/>
      <c r="D236" s="22"/>
    </row>
    <row r="237">
      <c r="A237" s="22"/>
      <c r="C237" s="22"/>
      <c r="D237" s="22"/>
    </row>
    <row r="238">
      <c r="A238" s="22"/>
      <c r="C238" s="22"/>
      <c r="D238" s="22"/>
    </row>
    <row r="239">
      <c r="A239" s="22"/>
      <c r="C239" s="22"/>
      <c r="D239" s="22"/>
    </row>
    <row r="240">
      <c r="A240" s="22"/>
      <c r="C240" s="22"/>
      <c r="D240" s="22"/>
    </row>
    <row r="241">
      <c r="A241" s="22"/>
      <c r="C241" s="22"/>
      <c r="D241" s="22"/>
    </row>
    <row r="242">
      <c r="A242" s="22"/>
      <c r="C242" s="22"/>
      <c r="D242" s="22"/>
    </row>
    <row r="243">
      <c r="A243" s="22"/>
      <c r="C243" s="22"/>
      <c r="D243" s="22"/>
    </row>
    <row r="244">
      <c r="A244" s="22"/>
      <c r="C244" s="22"/>
      <c r="D244" s="22"/>
    </row>
    <row r="245">
      <c r="A245" s="22"/>
      <c r="C245" s="22"/>
      <c r="D245" s="22"/>
    </row>
    <row r="246">
      <c r="A246" s="22"/>
      <c r="C246" s="22"/>
      <c r="D246" s="22"/>
    </row>
    <row r="247">
      <c r="A247" s="22"/>
      <c r="C247" s="22"/>
      <c r="D247" s="22"/>
    </row>
    <row r="248">
      <c r="A248" s="22"/>
      <c r="C248" s="22"/>
      <c r="D248" s="22"/>
    </row>
    <row r="249">
      <c r="A249" s="22"/>
      <c r="C249" s="22"/>
      <c r="D249" s="22"/>
    </row>
    <row r="250">
      <c r="A250" s="22"/>
      <c r="C250" s="22"/>
      <c r="D250" s="22"/>
    </row>
    <row r="251">
      <c r="A251" s="22"/>
      <c r="C251" s="22"/>
      <c r="D251" s="22"/>
    </row>
    <row r="252">
      <c r="A252" s="22"/>
      <c r="C252" s="22"/>
      <c r="D252" s="22"/>
    </row>
    <row r="253">
      <c r="A253" s="22"/>
      <c r="C253" s="22"/>
      <c r="D253" s="22"/>
    </row>
    <row r="254">
      <c r="A254" s="22"/>
      <c r="C254" s="22"/>
      <c r="D254" s="22"/>
    </row>
    <row r="255">
      <c r="A255" s="22"/>
      <c r="C255" s="22"/>
      <c r="D255" s="22"/>
    </row>
    <row r="256">
      <c r="A256" s="22"/>
      <c r="C256" s="22"/>
      <c r="D256" s="22"/>
    </row>
    <row r="257">
      <c r="A257" s="22"/>
      <c r="C257" s="22"/>
      <c r="D257" s="22"/>
    </row>
    <row r="258">
      <c r="A258" s="22"/>
      <c r="C258" s="22"/>
      <c r="D258" s="22"/>
    </row>
    <row r="259">
      <c r="A259" s="22"/>
      <c r="C259" s="22"/>
      <c r="D259" s="22"/>
    </row>
    <row r="260">
      <c r="A260" s="22"/>
      <c r="C260" s="22"/>
      <c r="D260" s="22"/>
    </row>
    <row r="261">
      <c r="A261" s="22"/>
      <c r="C261" s="22"/>
      <c r="D261" s="22"/>
    </row>
    <row r="262">
      <c r="A262" s="22"/>
      <c r="C262" s="22"/>
      <c r="D262" s="22"/>
    </row>
    <row r="263">
      <c r="A263" s="22"/>
      <c r="C263" s="22"/>
      <c r="D263" s="22"/>
    </row>
    <row r="264">
      <c r="A264" s="22"/>
      <c r="C264" s="22"/>
      <c r="D264" s="22"/>
    </row>
    <row r="265">
      <c r="A265" s="22"/>
      <c r="C265" s="22"/>
      <c r="D265" s="22"/>
    </row>
    <row r="266">
      <c r="A266" s="22"/>
      <c r="C266" s="22"/>
      <c r="D266" s="22"/>
    </row>
    <row r="267">
      <c r="A267" s="22"/>
      <c r="C267" s="22"/>
      <c r="D267" s="22"/>
    </row>
    <row r="268">
      <c r="A268" s="22"/>
      <c r="C268" s="22"/>
      <c r="D268" s="22"/>
    </row>
    <row r="269">
      <c r="A269" s="22"/>
      <c r="C269" s="22"/>
      <c r="D269" s="22"/>
    </row>
    <row r="270">
      <c r="A270" s="22"/>
      <c r="C270" s="22"/>
      <c r="D270" s="22"/>
    </row>
    <row r="271">
      <c r="A271" s="22"/>
      <c r="C271" s="22"/>
      <c r="D271" s="22"/>
    </row>
    <row r="272">
      <c r="A272" s="22"/>
      <c r="C272" s="22"/>
      <c r="D272" s="22"/>
    </row>
    <row r="273">
      <c r="A273" s="22"/>
      <c r="C273" s="22"/>
      <c r="D273" s="22"/>
    </row>
    <row r="274">
      <c r="A274" s="22"/>
      <c r="C274" s="22"/>
      <c r="D274" s="22"/>
    </row>
    <row r="275">
      <c r="A275" s="22"/>
      <c r="C275" s="22"/>
      <c r="D275" s="22"/>
    </row>
    <row r="276">
      <c r="A276" s="22"/>
      <c r="C276" s="22"/>
      <c r="D276" s="22"/>
    </row>
    <row r="277">
      <c r="A277" s="22"/>
      <c r="C277" s="22"/>
      <c r="D277" s="22"/>
    </row>
    <row r="278">
      <c r="A278" s="22"/>
      <c r="C278" s="22"/>
      <c r="D278" s="22"/>
    </row>
    <row r="279">
      <c r="A279" s="22"/>
      <c r="C279" s="22"/>
      <c r="D279" s="22"/>
    </row>
    <row r="280">
      <c r="A280" s="22"/>
      <c r="C280" s="22"/>
      <c r="D280" s="22"/>
    </row>
    <row r="281">
      <c r="A281" s="22"/>
      <c r="C281" s="22"/>
      <c r="D281" s="22"/>
    </row>
    <row r="282">
      <c r="A282" s="22"/>
      <c r="C282" s="22"/>
      <c r="D282" s="22"/>
    </row>
    <row r="283">
      <c r="A283" s="22"/>
      <c r="C283" s="22"/>
      <c r="D283" s="22"/>
    </row>
    <row r="284">
      <c r="A284" s="22"/>
      <c r="C284" s="22"/>
      <c r="D284" s="22"/>
    </row>
    <row r="285">
      <c r="A285" s="22"/>
      <c r="C285" s="22"/>
      <c r="D285" s="22"/>
    </row>
    <row r="286">
      <c r="A286" s="22"/>
      <c r="C286" s="22"/>
      <c r="D286" s="22"/>
    </row>
    <row r="287">
      <c r="A287" s="22"/>
      <c r="C287" s="22"/>
      <c r="D287" s="22"/>
    </row>
    <row r="288">
      <c r="A288" s="22"/>
      <c r="C288" s="22"/>
      <c r="D288" s="22"/>
    </row>
    <row r="289">
      <c r="A289" s="22"/>
      <c r="C289" s="22"/>
      <c r="D289" s="22"/>
    </row>
    <row r="290">
      <c r="A290" s="22"/>
      <c r="C290" s="22"/>
      <c r="D290" s="22"/>
    </row>
    <row r="291">
      <c r="A291" s="22"/>
      <c r="C291" s="22"/>
      <c r="D291" s="22"/>
    </row>
    <row r="292">
      <c r="A292" s="22"/>
      <c r="C292" s="22"/>
      <c r="D292" s="22"/>
    </row>
    <row r="293">
      <c r="A293" s="22"/>
      <c r="C293" s="22"/>
      <c r="D293" s="22"/>
    </row>
    <row r="294">
      <c r="A294" s="22"/>
      <c r="C294" s="22"/>
      <c r="D294" s="22"/>
    </row>
    <row r="295">
      <c r="A295" s="22"/>
      <c r="C295" s="22"/>
      <c r="D295" s="22"/>
    </row>
    <row r="296">
      <c r="A296" s="22"/>
      <c r="C296" s="22"/>
      <c r="D296" s="22"/>
    </row>
    <row r="297">
      <c r="A297" s="22"/>
      <c r="C297" s="22"/>
      <c r="D297" s="22"/>
    </row>
    <row r="298">
      <c r="A298" s="22"/>
      <c r="C298" s="22"/>
      <c r="D298" s="22"/>
    </row>
    <row r="299">
      <c r="A299" s="22"/>
      <c r="C299" s="22"/>
      <c r="D299" s="22"/>
    </row>
    <row r="300">
      <c r="A300" s="22"/>
      <c r="C300" s="22"/>
      <c r="D300" s="22"/>
    </row>
    <row r="301">
      <c r="A301" s="22"/>
      <c r="C301" s="22"/>
      <c r="D301" s="22"/>
    </row>
    <row r="302">
      <c r="A302" s="22"/>
      <c r="C302" s="22"/>
      <c r="D302" s="22"/>
    </row>
    <row r="303">
      <c r="A303" s="22"/>
      <c r="C303" s="22"/>
      <c r="D303" s="22"/>
    </row>
    <row r="304">
      <c r="A304" s="22"/>
      <c r="C304" s="22"/>
      <c r="D304" s="22"/>
    </row>
    <row r="305">
      <c r="A305" s="22"/>
      <c r="C305" s="22"/>
      <c r="D305" s="22"/>
    </row>
    <row r="306">
      <c r="A306" s="22"/>
      <c r="C306" s="22"/>
      <c r="D306" s="22"/>
    </row>
    <row r="307">
      <c r="A307" s="22"/>
      <c r="C307" s="22"/>
      <c r="D307" s="22"/>
    </row>
    <row r="308">
      <c r="A308" s="22"/>
      <c r="C308" s="22"/>
      <c r="D308" s="22"/>
    </row>
    <row r="309">
      <c r="A309" s="22"/>
      <c r="C309" s="22"/>
      <c r="D309" s="22"/>
    </row>
    <row r="310">
      <c r="A310" s="22"/>
      <c r="C310" s="22"/>
      <c r="D310" s="22"/>
    </row>
    <row r="311">
      <c r="A311" s="22"/>
      <c r="C311" s="22"/>
      <c r="D311" s="22"/>
    </row>
    <row r="312">
      <c r="A312" s="22"/>
      <c r="C312" s="22"/>
      <c r="D312" s="22"/>
    </row>
    <row r="313">
      <c r="A313" s="22"/>
      <c r="C313" s="22"/>
      <c r="D313" s="22"/>
    </row>
    <row r="314">
      <c r="A314" s="22"/>
      <c r="C314" s="22"/>
      <c r="D314" s="22"/>
    </row>
    <row r="315">
      <c r="A315" s="22"/>
      <c r="C315" s="22"/>
      <c r="D315" s="22"/>
    </row>
    <row r="316">
      <c r="A316" s="22"/>
      <c r="C316" s="22"/>
      <c r="D316" s="22"/>
    </row>
    <row r="317">
      <c r="A317" s="22"/>
      <c r="C317" s="22"/>
      <c r="D317" s="22"/>
    </row>
    <row r="318">
      <c r="A318" s="22"/>
      <c r="C318" s="22"/>
      <c r="D318" s="22"/>
    </row>
    <row r="319">
      <c r="A319" s="22"/>
      <c r="C319" s="22"/>
      <c r="D319" s="22"/>
    </row>
    <row r="320">
      <c r="A320" s="22"/>
      <c r="C320" s="22"/>
      <c r="D320" s="22"/>
    </row>
    <row r="321">
      <c r="A321" s="22"/>
      <c r="C321" s="22"/>
      <c r="D321" s="22"/>
    </row>
    <row r="322">
      <c r="A322" s="22"/>
      <c r="C322" s="22"/>
      <c r="D322" s="22"/>
    </row>
    <row r="323">
      <c r="A323" s="22"/>
      <c r="C323" s="22"/>
      <c r="D323" s="22"/>
    </row>
    <row r="324">
      <c r="A324" s="22"/>
      <c r="C324" s="22"/>
      <c r="D324" s="22"/>
    </row>
    <row r="325">
      <c r="A325" s="22"/>
      <c r="C325" s="22"/>
      <c r="D325" s="22"/>
    </row>
    <row r="326">
      <c r="A326" s="22"/>
      <c r="C326" s="22"/>
      <c r="D326" s="22"/>
    </row>
    <row r="327">
      <c r="A327" s="22"/>
      <c r="C327" s="22"/>
      <c r="D327" s="22"/>
    </row>
    <row r="328">
      <c r="A328" s="22"/>
      <c r="C328" s="22"/>
      <c r="D328" s="22"/>
    </row>
    <row r="329">
      <c r="A329" s="22"/>
      <c r="C329" s="22"/>
      <c r="D329" s="22"/>
    </row>
    <row r="330">
      <c r="A330" s="22"/>
      <c r="C330" s="22"/>
      <c r="D330" s="22"/>
    </row>
    <row r="331">
      <c r="A331" s="22"/>
      <c r="C331" s="22"/>
      <c r="D331" s="22"/>
    </row>
    <row r="332">
      <c r="A332" s="22"/>
      <c r="C332" s="22"/>
      <c r="D332" s="22"/>
    </row>
    <row r="333">
      <c r="A333" s="22"/>
      <c r="C333" s="22"/>
      <c r="D333" s="22"/>
    </row>
    <row r="334">
      <c r="A334" s="22"/>
      <c r="C334" s="22"/>
      <c r="D334" s="22"/>
    </row>
    <row r="335">
      <c r="A335" s="22"/>
      <c r="C335" s="22"/>
      <c r="D335" s="22"/>
    </row>
    <row r="336">
      <c r="A336" s="22"/>
      <c r="C336" s="22"/>
      <c r="D336" s="22"/>
    </row>
    <row r="337">
      <c r="A337" s="22"/>
      <c r="C337" s="22"/>
      <c r="D337" s="22"/>
    </row>
    <row r="338">
      <c r="A338" s="22"/>
      <c r="C338" s="22"/>
      <c r="D338" s="22"/>
    </row>
    <row r="339">
      <c r="A339" s="22"/>
      <c r="C339" s="22"/>
      <c r="D339" s="22"/>
    </row>
    <row r="340">
      <c r="A340" s="22"/>
      <c r="C340" s="22"/>
      <c r="D340" s="22"/>
    </row>
    <row r="341">
      <c r="A341" s="22"/>
      <c r="C341" s="22"/>
      <c r="D341" s="22"/>
    </row>
    <row r="342">
      <c r="A342" s="22"/>
      <c r="C342" s="22"/>
      <c r="D342" s="22"/>
    </row>
    <row r="343">
      <c r="A343" s="22"/>
      <c r="C343" s="22"/>
      <c r="D343" s="22"/>
    </row>
    <row r="344">
      <c r="A344" s="22"/>
      <c r="C344" s="22"/>
      <c r="D344" s="22"/>
    </row>
    <row r="345">
      <c r="A345" s="22"/>
      <c r="C345" s="22"/>
      <c r="D345" s="22"/>
    </row>
    <row r="346">
      <c r="A346" s="22"/>
      <c r="C346" s="22"/>
      <c r="D346" s="22"/>
    </row>
    <row r="347">
      <c r="A347" s="22"/>
      <c r="C347" s="22"/>
      <c r="D347" s="22"/>
    </row>
    <row r="348">
      <c r="A348" s="22"/>
      <c r="C348" s="22"/>
      <c r="D348" s="22"/>
    </row>
    <row r="349">
      <c r="A349" s="22"/>
      <c r="C349" s="22"/>
      <c r="D349" s="22"/>
    </row>
    <row r="350">
      <c r="A350" s="22"/>
      <c r="C350" s="22"/>
      <c r="D350" s="22"/>
    </row>
    <row r="351">
      <c r="A351" s="22"/>
      <c r="C351" s="22"/>
      <c r="D351" s="22"/>
    </row>
    <row r="352">
      <c r="A352" s="22"/>
      <c r="C352" s="22"/>
      <c r="D352" s="22"/>
    </row>
    <row r="353">
      <c r="A353" s="22"/>
      <c r="C353" s="22"/>
      <c r="D353" s="22"/>
    </row>
    <row r="354">
      <c r="A354" s="22"/>
      <c r="C354" s="22"/>
      <c r="D354" s="22"/>
    </row>
    <row r="355">
      <c r="A355" s="22"/>
      <c r="C355" s="22"/>
      <c r="D355" s="22"/>
    </row>
    <row r="356">
      <c r="A356" s="22"/>
      <c r="C356" s="22"/>
      <c r="D356" s="22"/>
    </row>
    <row r="357">
      <c r="A357" s="22"/>
      <c r="C357" s="22"/>
      <c r="D357" s="22"/>
    </row>
    <row r="358">
      <c r="A358" s="22"/>
      <c r="C358" s="22"/>
      <c r="D358" s="22"/>
    </row>
    <row r="359">
      <c r="A359" s="22"/>
      <c r="C359" s="22"/>
      <c r="D359" s="22"/>
    </row>
    <row r="360">
      <c r="A360" s="22"/>
      <c r="C360" s="22"/>
      <c r="D360" s="22"/>
    </row>
    <row r="361">
      <c r="A361" s="22"/>
      <c r="C361" s="22"/>
      <c r="D361" s="22"/>
    </row>
    <row r="362">
      <c r="A362" s="22"/>
      <c r="C362" s="22"/>
      <c r="D362" s="22"/>
    </row>
    <row r="363">
      <c r="A363" s="22"/>
      <c r="C363" s="22"/>
      <c r="D363" s="22"/>
    </row>
    <row r="364">
      <c r="A364" s="22"/>
      <c r="C364" s="22"/>
      <c r="D364" s="22"/>
    </row>
    <row r="365">
      <c r="A365" s="22"/>
      <c r="C365" s="22"/>
      <c r="D365" s="22"/>
    </row>
    <row r="366">
      <c r="A366" s="22"/>
      <c r="C366" s="22"/>
      <c r="D366" s="22"/>
    </row>
    <row r="367">
      <c r="A367" s="22"/>
      <c r="C367" s="22"/>
      <c r="D367" s="22"/>
    </row>
    <row r="368">
      <c r="A368" s="22"/>
      <c r="C368" s="22"/>
      <c r="D368" s="22"/>
    </row>
    <row r="369">
      <c r="A369" s="22"/>
      <c r="C369" s="22"/>
      <c r="D369" s="22"/>
    </row>
    <row r="370">
      <c r="A370" s="22"/>
      <c r="C370" s="22"/>
      <c r="D370" s="22"/>
    </row>
    <row r="371">
      <c r="A371" s="22"/>
      <c r="C371" s="22"/>
      <c r="D371" s="22"/>
    </row>
    <row r="372">
      <c r="A372" s="22"/>
      <c r="C372" s="22"/>
      <c r="D372" s="22"/>
    </row>
    <row r="373">
      <c r="A373" s="22"/>
      <c r="C373" s="22"/>
      <c r="D373" s="22"/>
    </row>
    <row r="374">
      <c r="A374" s="22"/>
      <c r="C374" s="22"/>
      <c r="D374" s="22"/>
    </row>
    <row r="375">
      <c r="A375" s="22"/>
      <c r="C375" s="22"/>
      <c r="D375" s="22"/>
    </row>
    <row r="376">
      <c r="A376" s="22"/>
      <c r="C376" s="22"/>
      <c r="D376" s="22"/>
    </row>
    <row r="377">
      <c r="A377" s="22"/>
      <c r="C377" s="22"/>
      <c r="D377" s="22"/>
    </row>
    <row r="378">
      <c r="A378" s="22"/>
      <c r="C378" s="22"/>
      <c r="D378" s="22"/>
    </row>
    <row r="379">
      <c r="A379" s="22"/>
      <c r="C379" s="22"/>
      <c r="D379" s="22"/>
    </row>
    <row r="380">
      <c r="A380" s="22"/>
      <c r="C380" s="22"/>
      <c r="D380" s="22"/>
    </row>
    <row r="381">
      <c r="A381" s="22"/>
      <c r="C381" s="22"/>
      <c r="D381" s="22"/>
    </row>
    <row r="382">
      <c r="A382" s="22"/>
      <c r="C382" s="22"/>
      <c r="D382" s="22"/>
    </row>
    <row r="383">
      <c r="A383" s="22"/>
      <c r="C383" s="22"/>
      <c r="D383" s="22"/>
    </row>
    <row r="384">
      <c r="A384" s="22"/>
      <c r="C384" s="22"/>
      <c r="D384" s="22"/>
    </row>
    <row r="385">
      <c r="A385" s="22"/>
      <c r="C385" s="22"/>
      <c r="D385" s="22"/>
    </row>
    <row r="386">
      <c r="A386" s="22"/>
      <c r="C386" s="22"/>
      <c r="D386" s="22"/>
    </row>
    <row r="387">
      <c r="A387" s="22"/>
      <c r="C387" s="22"/>
      <c r="D387" s="22"/>
    </row>
    <row r="388">
      <c r="A388" s="22"/>
      <c r="C388" s="22"/>
      <c r="D388" s="22"/>
    </row>
    <row r="389">
      <c r="A389" s="22"/>
      <c r="C389" s="22"/>
      <c r="D389" s="22"/>
    </row>
    <row r="390">
      <c r="A390" s="22"/>
      <c r="C390" s="22"/>
      <c r="D390" s="22"/>
    </row>
    <row r="391">
      <c r="A391" s="22"/>
      <c r="C391" s="22"/>
      <c r="D391" s="22"/>
    </row>
    <row r="392">
      <c r="A392" s="22"/>
      <c r="C392" s="22"/>
      <c r="D392" s="22"/>
    </row>
    <row r="393">
      <c r="A393" s="22"/>
      <c r="C393" s="22"/>
      <c r="D393" s="22"/>
    </row>
    <row r="394">
      <c r="A394" s="22"/>
      <c r="C394" s="22"/>
      <c r="D394" s="22"/>
    </row>
    <row r="395">
      <c r="A395" s="22"/>
      <c r="C395" s="22"/>
      <c r="D395" s="22"/>
    </row>
    <row r="396">
      <c r="A396" s="22"/>
      <c r="C396" s="22"/>
      <c r="D396" s="22"/>
    </row>
    <row r="397">
      <c r="A397" s="22"/>
      <c r="C397" s="22"/>
      <c r="D397" s="22"/>
    </row>
    <row r="398">
      <c r="A398" s="22"/>
      <c r="C398" s="22"/>
      <c r="D398" s="22"/>
    </row>
    <row r="399">
      <c r="A399" s="22"/>
      <c r="C399" s="22"/>
      <c r="D399" s="22"/>
    </row>
    <row r="400">
      <c r="A400" s="22"/>
      <c r="C400" s="22"/>
      <c r="D400" s="22"/>
    </row>
    <row r="401">
      <c r="A401" s="22"/>
      <c r="C401" s="22"/>
      <c r="D401" s="22"/>
    </row>
    <row r="402">
      <c r="A402" s="22"/>
      <c r="C402" s="22"/>
      <c r="D402" s="22"/>
    </row>
    <row r="403">
      <c r="A403" s="22"/>
      <c r="C403" s="22"/>
      <c r="D403" s="22"/>
    </row>
    <row r="404">
      <c r="A404" s="22"/>
      <c r="C404" s="22"/>
      <c r="D404" s="22"/>
    </row>
    <row r="405">
      <c r="A405" s="22"/>
      <c r="C405" s="22"/>
      <c r="D405" s="22"/>
    </row>
    <row r="406">
      <c r="A406" s="22"/>
      <c r="C406" s="22"/>
      <c r="D406" s="22"/>
    </row>
    <row r="407">
      <c r="A407" s="22"/>
      <c r="C407" s="22"/>
      <c r="D407" s="22"/>
    </row>
    <row r="408">
      <c r="A408" s="22"/>
      <c r="C408" s="22"/>
      <c r="D408" s="22"/>
    </row>
    <row r="409">
      <c r="A409" s="22"/>
      <c r="C409" s="22"/>
      <c r="D409" s="22"/>
    </row>
    <row r="410">
      <c r="A410" s="22"/>
      <c r="C410" s="22"/>
      <c r="D410" s="22"/>
    </row>
    <row r="411">
      <c r="A411" s="22"/>
      <c r="C411" s="22"/>
      <c r="D411" s="22"/>
    </row>
    <row r="412">
      <c r="A412" s="22"/>
      <c r="C412" s="22"/>
      <c r="D412" s="22"/>
    </row>
    <row r="413">
      <c r="A413" s="22"/>
      <c r="C413" s="22"/>
      <c r="D413" s="22"/>
    </row>
    <row r="414">
      <c r="A414" s="22"/>
      <c r="C414" s="22"/>
      <c r="D414" s="22"/>
    </row>
    <row r="415">
      <c r="A415" s="22"/>
      <c r="C415" s="22"/>
      <c r="D415" s="22"/>
    </row>
    <row r="416">
      <c r="A416" s="22"/>
      <c r="C416" s="22"/>
      <c r="D416" s="22"/>
    </row>
    <row r="417">
      <c r="A417" s="22"/>
      <c r="C417" s="22"/>
      <c r="D417" s="22"/>
    </row>
    <row r="418">
      <c r="A418" s="22"/>
      <c r="C418" s="22"/>
      <c r="D418" s="22"/>
    </row>
    <row r="419">
      <c r="A419" s="22"/>
      <c r="C419" s="22"/>
      <c r="D419" s="22"/>
    </row>
    <row r="420">
      <c r="A420" s="22"/>
      <c r="C420" s="22"/>
      <c r="D420" s="22"/>
    </row>
    <row r="421">
      <c r="A421" s="22"/>
      <c r="C421" s="22"/>
      <c r="D421" s="22"/>
    </row>
    <row r="422">
      <c r="A422" s="22"/>
      <c r="C422" s="22"/>
      <c r="D422" s="22"/>
    </row>
    <row r="423">
      <c r="A423" s="22"/>
      <c r="C423" s="22"/>
      <c r="D423" s="22"/>
    </row>
    <row r="424">
      <c r="A424" s="22"/>
      <c r="C424" s="22"/>
      <c r="D424" s="22"/>
    </row>
    <row r="425">
      <c r="A425" s="22"/>
      <c r="C425" s="22"/>
      <c r="D425" s="22"/>
    </row>
    <row r="426">
      <c r="A426" s="22"/>
      <c r="C426" s="22"/>
      <c r="D426" s="22"/>
    </row>
    <row r="427">
      <c r="A427" s="22"/>
      <c r="C427" s="22"/>
      <c r="D427" s="22"/>
    </row>
    <row r="428">
      <c r="A428" s="22"/>
      <c r="C428" s="22"/>
      <c r="D428" s="22"/>
    </row>
    <row r="429">
      <c r="A429" s="22"/>
      <c r="C429" s="22"/>
      <c r="D429" s="22"/>
    </row>
    <row r="430">
      <c r="A430" s="22"/>
      <c r="C430" s="22"/>
      <c r="D430" s="22"/>
    </row>
    <row r="431">
      <c r="A431" s="22"/>
      <c r="C431" s="22"/>
      <c r="D431" s="22"/>
    </row>
    <row r="432">
      <c r="A432" s="22"/>
      <c r="C432" s="22"/>
      <c r="D432" s="22"/>
    </row>
    <row r="433">
      <c r="A433" s="22"/>
      <c r="C433" s="22"/>
      <c r="D433" s="22"/>
    </row>
    <row r="434">
      <c r="A434" s="22"/>
      <c r="C434" s="22"/>
      <c r="D434" s="22"/>
    </row>
    <row r="435">
      <c r="A435" s="22"/>
      <c r="C435" s="22"/>
      <c r="D435" s="22"/>
    </row>
    <row r="436">
      <c r="A436" s="22"/>
      <c r="C436" s="22"/>
      <c r="D436" s="22"/>
    </row>
    <row r="437">
      <c r="A437" s="22"/>
      <c r="C437" s="22"/>
      <c r="D437" s="22"/>
    </row>
    <row r="438">
      <c r="A438" s="22"/>
      <c r="C438" s="22"/>
      <c r="D438" s="22"/>
    </row>
    <row r="439">
      <c r="A439" s="22"/>
      <c r="C439" s="22"/>
      <c r="D439" s="22"/>
    </row>
    <row r="440">
      <c r="A440" s="22"/>
      <c r="C440" s="22"/>
      <c r="D440" s="22"/>
    </row>
    <row r="441">
      <c r="A441" s="22"/>
      <c r="C441" s="22"/>
      <c r="D441" s="22"/>
    </row>
    <row r="442">
      <c r="A442" s="22"/>
      <c r="C442" s="22"/>
      <c r="D442" s="22"/>
    </row>
    <row r="443">
      <c r="A443" s="22"/>
      <c r="C443" s="22"/>
      <c r="D443" s="22"/>
    </row>
    <row r="444">
      <c r="A444" s="22"/>
      <c r="C444" s="22"/>
      <c r="D444" s="22"/>
    </row>
    <row r="445">
      <c r="A445" s="22"/>
      <c r="C445" s="22"/>
      <c r="D445" s="22"/>
    </row>
    <row r="446">
      <c r="A446" s="22"/>
      <c r="C446" s="22"/>
      <c r="D446" s="22"/>
    </row>
    <row r="447">
      <c r="A447" s="22"/>
      <c r="C447" s="22"/>
      <c r="D447" s="22"/>
    </row>
    <row r="448">
      <c r="A448" s="22"/>
      <c r="C448" s="22"/>
      <c r="D448" s="22"/>
    </row>
    <row r="449">
      <c r="A449" s="22"/>
      <c r="C449" s="22"/>
      <c r="D449" s="22"/>
    </row>
    <row r="450">
      <c r="A450" s="22"/>
      <c r="C450" s="22"/>
      <c r="D450" s="22"/>
    </row>
    <row r="451">
      <c r="A451" s="22"/>
      <c r="C451" s="22"/>
      <c r="D451" s="22"/>
    </row>
    <row r="452">
      <c r="A452" s="22"/>
      <c r="C452" s="22"/>
      <c r="D452" s="22"/>
    </row>
    <row r="453">
      <c r="A453" s="22"/>
      <c r="C453" s="22"/>
      <c r="D453" s="22"/>
    </row>
    <row r="454">
      <c r="A454" s="22"/>
      <c r="C454" s="22"/>
      <c r="D454" s="22"/>
    </row>
    <row r="455">
      <c r="A455" s="22"/>
      <c r="C455" s="22"/>
      <c r="D455" s="22"/>
    </row>
    <row r="456">
      <c r="A456" s="22"/>
      <c r="C456" s="22"/>
      <c r="D456" s="22"/>
    </row>
    <row r="457">
      <c r="A457" s="22"/>
      <c r="C457" s="22"/>
      <c r="D457" s="22"/>
    </row>
    <row r="458">
      <c r="A458" s="22"/>
      <c r="C458" s="22"/>
      <c r="D458" s="22"/>
    </row>
    <row r="459">
      <c r="A459" s="22"/>
      <c r="C459" s="22"/>
      <c r="D459" s="22"/>
    </row>
    <row r="460">
      <c r="A460" s="22"/>
      <c r="C460" s="22"/>
      <c r="D460" s="22"/>
    </row>
    <row r="461">
      <c r="A461" s="22"/>
      <c r="C461" s="22"/>
      <c r="D461" s="22"/>
    </row>
    <row r="462">
      <c r="A462" s="22"/>
      <c r="C462" s="22"/>
      <c r="D462" s="22"/>
    </row>
    <row r="463">
      <c r="A463" s="22"/>
      <c r="C463" s="22"/>
      <c r="D463" s="22"/>
    </row>
    <row r="464">
      <c r="A464" s="22"/>
      <c r="C464" s="22"/>
      <c r="D464" s="22"/>
    </row>
    <row r="465">
      <c r="A465" s="22"/>
      <c r="C465" s="22"/>
      <c r="D465" s="22"/>
    </row>
    <row r="466">
      <c r="A466" s="22"/>
      <c r="C466" s="22"/>
      <c r="D466" s="22"/>
    </row>
    <row r="467">
      <c r="A467" s="22"/>
      <c r="C467" s="22"/>
      <c r="D467" s="22"/>
    </row>
    <row r="468">
      <c r="A468" s="22"/>
      <c r="C468" s="22"/>
      <c r="D468" s="22"/>
    </row>
    <row r="469">
      <c r="A469" s="22"/>
      <c r="C469" s="22"/>
      <c r="D469" s="22"/>
    </row>
    <row r="470">
      <c r="A470" s="22"/>
      <c r="C470" s="22"/>
      <c r="D470" s="22"/>
    </row>
    <row r="471">
      <c r="A471" s="22"/>
      <c r="C471" s="22"/>
      <c r="D471" s="22"/>
    </row>
    <row r="472">
      <c r="A472" s="22"/>
      <c r="C472" s="22"/>
      <c r="D472" s="22"/>
    </row>
    <row r="473">
      <c r="A473" s="22"/>
      <c r="C473" s="22"/>
      <c r="D473" s="22"/>
    </row>
    <row r="474">
      <c r="A474" s="22"/>
      <c r="C474" s="22"/>
      <c r="D474" s="22"/>
    </row>
    <row r="475">
      <c r="A475" s="22"/>
      <c r="C475" s="22"/>
      <c r="D475" s="22"/>
    </row>
    <row r="476">
      <c r="A476" s="22"/>
      <c r="C476" s="22"/>
      <c r="D476" s="22"/>
    </row>
    <row r="477">
      <c r="A477" s="22"/>
      <c r="C477" s="22"/>
      <c r="D477" s="22"/>
    </row>
    <row r="478">
      <c r="A478" s="22"/>
      <c r="C478" s="22"/>
      <c r="D478" s="22"/>
    </row>
    <row r="479">
      <c r="A479" s="22"/>
      <c r="C479" s="22"/>
      <c r="D479" s="22"/>
    </row>
    <row r="480">
      <c r="A480" s="22"/>
      <c r="C480" s="22"/>
      <c r="D480" s="22"/>
    </row>
    <row r="481">
      <c r="A481" s="22"/>
      <c r="C481" s="22"/>
      <c r="D481" s="22"/>
    </row>
    <row r="482">
      <c r="A482" s="22"/>
      <c r="C482" s="22"/>
      <c r="D482" s="22"/>
    </row>
    <row r="483">
      <c r="A483" s="22"/>
      <c r="C483" s="22"/>
      <c r="D483" s="22"/>
    </row>
    <row r="484">
      <c r="A484" s="22"/>
      <c r="C484" s="22"/>
      <c r="D484" s="22"/>
    </row>
    <row r="485">
      <c r="A485" s="22"/>
      <c r="C485" s="22"/>
      <c r="D485" s="22"/>
    </row>
    <row r="486">
      <c r="A486" s="22"/>
      <c r="C486" s="22"/>
      <c r="D486" s="22"/>
    </row>
    <row r="487">
      <c r="A487" s="22"/>
      <c r="C487" s="22"/>
      <c r="D487" s="22"/>
    </row>
    <row r="488">
      <c r="A488" s="22"/>
      <c r="C488" s="22"/>
      <c r="D488" s="22"/>
    </row>
    <row r="489">
      <c r="A489" s="22"/>
      <c r="C489" s="22"/>
      <c r="D489" s="22"/>
    </row>
    <row r="490">
      <c r="A490" s="22"/>
      <c r="C490" s="22"/>
      <c r="D490" s="22"/>
    </row>
    <row r="491">
      <c r="A491" s="22"/>
      <c r="C491" s="22"/>
      <c r="D491" s="22"/>
    </row>
    <row r="492">
      <c r="A492" s="22"/>
      <c r="C492" s="22"/>
      <c r="D492" s="22"/>
    </row>
    <row r="493">
      <c r="A493" s="22"/>
      <c r="C493" s="22"/>
      <c r="D493" s="22"/>
    </row>
    <row r="494">
      <c r="A494" s="22"/>
      <c r="C494" s="22"/>
      <c r="D494" s="22"/>
    </row>
    <row r="495">
      <c r="A495" s="22"/>
      <c r="C495" s="22"/>
      <c r="D495" s="22"/>
    </row>
    <row r="496">
      <c r="A496" s="22"/>
      <c r="C496" s="22"/>
      <c r="D496" s="22"/>
    </row>
    <row r="497">
      <c r="A497" s="22"/>
      <c r="C497" s="22"/>
      <c r="D497" s="22"/>
    </row>
    <row r="498">
      <c r="A498" s="22"/>
      <c r="C498" s="22"/>
      <c r="D498" s="22"/>
    </row>
    <row r="499">
      <c r="A499" s="22"/>
      <c r="C499" s="22"/>
      <c r="D499" s="22"/>
    </row>
    <row r="500">
      <c r="A500" s="22"/>
      <c r="C500" s="22"/>
      <c r="D500" s="22"/>
    </row>
    <row r="501">
      <c r="A501" s="22"/>
      <c r="C501" s="22"/>
      <c r="D501" s="22"/>
    </row>
    <row r="502">
      <c r="A502" s="22"/>
      <c r="C502" s="22"/>
      <c r="D502" s="22"/>
    </row>
    <row r="503">
      <c r="A503" s="22"/>
      <c r="C503" s="22"/>
      <c r="D503" s="22"/>
    </row>
    <row r="504">
      <c r="A504" s="22"/>
      <c r="C504" s="22"/>
      <c r="D504" s="22"/>
    </row>
    <row r="505">
      <c r="A505" s="22"/>
      <c r="C505" s="22"/>
      <c r="D505" s="22"/>
    </row>
    <row r="506">
      <c r="A506" s="22"/>
      <c r="C506" s="22"/>
      <c r="D506" s="22"/>
    </row>
    <row r="507">
      <c r="A507" s="22"/>
      <c r="C507" s="22"/>
      <c r="D507" s="22"/>
    </row>
    <row r="508">
      <c r="A508" s="22"/>
      <c r="C508" s="22"/>
      <c r="D508" s="22"/>
    </row>
    <row r="509">
      <c r="A509" s="22"/>
      <c r="C509" s="22"/>
      <c r="D509" s="22"/>
    </row>
    <row r="510">
      <c r="A510" s="22"/>
      <c r="C510" s="22"/>
      <c r="D510" s="22"/>
    </row>
    <row r="511">
      <c r="A511" s="22"/>
      <c r="C511" s="22"/>
      <c r="D511" s="22"/>
    </row>
    <row r="512">
      <c r="A512" s="22"/>
      <c r="C512" s="22"/>
      <c r="D512" s="22"/>
    </row>
    <row r="513">
      <c r="A513" s="22"/>
      <c r="C513" s="22"/>
      <c r="D513" s="22"/>
    </row>
    <row r="514">
      <c r="A514" s="22"/>
      <c r="C514" s="22"/>
      <c r="D514" s="22"/>
    </row>
    <row r="515">
      <c r="A515" s="22"/>
      <c r="C515" s="22"/>
      <c r="D515" s="22"/>
    </row>
    <row r="516">
      <c r="A516" s="22"/>
      <c r="C516" s="22"/>
      <c r="D516" s="22"/>
    </row>
    <row r="517">
      <c r="A517" s="22"/>
      <c r="C517" s="22"/>
      <c r="D517" s="22"/>
    </row>
    <row r="518">
      <c r="A518" s="22"/>
      <c r="C518" s="22"/>
      <c r="D518" s="22"/>
    </row>
    <row r="519">
      <c r="A519" s="22"/>
      <c r="C519" s="22"/>
      <c r="D519" s="22"/>
    </row>
    <row r="520">
      <c r="A520" s="22"/>
      <c r="C520" s="22"/>
      <c r="D520" s="22"/>
    </row>
    <row r="521">
      <c r="A521" s="22"/>
      <c r="C521" s="22"/>
      <c r="D521" s="22"/>
    </row>
    <row r="522">
      <c r="A522" s="22"/>
      <c r="C522" s="22"/>
      <c r="D522" s="22"/>
    </row>
    <row r="523">
      <c r="A523" s="22"/>
      <c r="C523" s="22"/>
      <c r="D523" s="22"/>
    </row>
    <row r="524">
      <c r="A524" s="22"/>
      <c r="C524" s="22"/>
      <c r="D524" s="22"/>
    </row>
    <row r="525">
      <c r="A525" s="22"/>
      <c r="C525" s="22"/>
      <c r="D525" s="22"/>
    </row>
    <row r="526">
      <c r="A526" s="22"/>
      <c r="C526" s="22"/>
      <c r="D526" s="22"/>
    </row>
    <row r="527">
      <c r="A527" s="22"/>
      <c r="C527" s="22"/>
      <c r="D527" s="22"/>
    </row>
    <row r="528">
      <c r="A528" s="22"/>
      <c r="C528" s="22"/>
      <c r="D528" s="22"/>
    </row>
    <row r="529">
      <c r="A529" s="22"/>
      <c r="C529" s="22"/>
      <c r="D529" s="22"/>
    </row>
    <row r="530">
      <c r="A530" s="22"/>
      <c r="C530" s="22"/>
      <c r="D530" s="22"/>
    </row>
    <row r="531">
      <c r="A531" s="22"/>
      <c r="C531" s="22"/>
      <c r="D531" s="22"/>
    </row>
    <row r="532">
      <c r="A532" s="22"/>
      <c r="C532" s="22"/>
      <c r="D532" s="22"/>
    </row>
    <row r="533">
      <c r="A533" s="22"/>
      <c r="C533" s="22"/>
      <c r="D533" s="22"/>
    </row>
    <row r="534">
      <c r="A534" s="22"/>
      <c r="C534" s="22"/>
      <c r="D534" s="22"/>
    </row>
    <row r="535">
      <c r="A535" s="22"/>
      <c r="C535" s="22"/>
      <c r="D535" s="22"/>
    </row>
    <row r="536">
      <c r="A536" s="22"/>
      <c r="C536" s="22"/>
      <c r="D536" s="22"/>
    </row>
    <row r="537">
      <c r="A537" s="22"/>
      <c r="C537" s="22"/>
      <c r="D537" s="22"/>
    </row>
    <row r="538">
      <c r="A538" s="22"/>
      <c r="C538" s="22"/>
      <c r="D538" s="22"/>
    </row>
    <row r="539">
      <c r="A539" s="22"/>
      <c r="C539" s="22"/>
      <c r="D539" s="22"/>
    </row>
    <row r="540">
      <c r="A540" s="22"/>
      <c r="C540" s="22"/>
      <c r="D540" s="22"/>
    </row>
    <row r="541">
      <c r="A541" s="22"/>
      <c r="C541" s="22"/>
      <c r="D541" s="22"/>
    </row>
    <row r="542">
      <c r="A542" s="22"/>
      <c r="C542" s="22"/>
      <c r="D542" s="22"/>
    </row>
    <row r="543">
      <c r="A543" s="22"/>
      <c r="C543" s="22"/>
      <c r="D543" s="22"/>
    </row>
    <row r="544">
      <c r="A544" s="22"/>
      <c r="C544" s="22"/>
      <c r="D544" s="22"/>
    </row>
    <row r="545">
      <c r="A545" s="22"/>
      <c r="C545" s="22"/>
      <c r="D545" s="22"/>
    </row>
    <row r="546">
      <c r="A546" s="22"/>
      <c r="C546" s="22"/>
      <c r="D546" s="22"/>
    </row>
    <row r="547">
      <c r="A547" s="22"/>
      <c r="C547" s="22"/>
      <c r="D547" s="22"/>
    </row>
    <row r="548">
      <c r="A548" s="22"/>
      <c r="C548" s="22"/>
      <c r="D548" s="22"/>
    </row>
    <row r="549">
      <c r="A549" s="22"/>
      <c r="C549" s="22"/>
      <c r="D549" s="22"/>
    </row>
    <row r="550">
      <c r="A550" s="22"/>
      <c r="C550" s="22"/>
      <c r="D550" s="22"/>
    </row>
    <row r="551">
      <c r="A551" s="22"/>
      <c r="C551" s="22"/>
      <c r="D551" s="22"/>
    </row>
    <row r="552">
      <c r="A552" s="22"/>
      <c r="C552" s="22"/>
      <c r="D552" s="22"/>
    </row>
    <row r="553">
      <c r="A553" s="22"/>
      <c r="C553" s="22"/>
      <c r="D553" s="22"/>
    </row>
    <row r="554">
      <c r="A554" s="22"/>
      <c r="C554" s="22"/>
      <c r="D554" s="22"/>
    </row>
    <row r="555">
      <c r="A555" s="22"/>
      <c r="C555" s="22"/>
      <c r="D555" s="22"/>
    </row>
    <row r="556">
      <c r="A556" s="22"/>
      <c r="C556" s="22"/>
      <c r="D556" s="22"/>
    </row>
    <row r="557">
      <c r="A557" s="22"/>
      <c r="C557" s="22"/>
      <c r="D557" s="22"/>
    </row>
    <row r="558">
      <c r="A558" s="22"/>
      <c r="C558" s="22"/>
      <c r="D558" s="22"/>
    </row>
    <row r="559">
      <c r="A559" s="22"/>
      <c r="C559" s="22"/>
      <c r="D559" s="22"/>
    </row>
    <row r="560">
      <c r="A560" s="22"/>
      <c r="C560" s="22"/>
      <c r="D560" s="22"/>
    </row>
    <row r="561">
      <c r="A561" s="22"/>
      <c r="C561" s="22"/>
      <c r="D561" s="22"/>
    </row>
    <row r="562">
      <c r="A562" s="22"/>
      <c r="C562" s="22"/>
      <c r="D562" s="22"/>
    </row>
    <row r="563">
      <c r="A563" s="22"/>
      <c r="C563" s="22"/>
      <c r="D563" s="22"/>
    </row>
    <row r="564">
      <c r="A564" s="22"/>
      <c r="C564" s="22"/>
      <c r="D564" s="22"/>
    </row>
    <row r="565">
      <c r="A565" s="22"/>
      <c r="C565" s="22"/>
      <c r="D565" s="22"/>
    </row>
    <row r="566">
      <c r="A566" s="22"/>
      <c r="C566" s="22"/>
      <c r="D566" s="22"/>
    </row>
    <row r="567">
      <c r="A567" s="22"/>
      <c r="C567" s="22"/>
      <c r="D567" s="22"/>
    </row>
    <row r="568">
      <c r="A568" s="22"/>
      <c r="C568" s="22"/>
      <c r="D568" s="22"/>
    </row>
    <row r="569">
      <c r="A569" s="22"/>
      <c r="C569" s="22"/>
      <c r="D569" s="22"/>
    </row>
    <row r="570">
      <c r="A570" s="22"/>
      <c r="C570" s="22"/>
      <c r="D570" s="22"/>
    </row>
    <row r="571">
      <c r="A571" s="22"/>
      <c r="C571" s="22"/>
      <c r="D571" s="22"/>
    </row>
    <row r="572">
      <c r="A572" s="22"/>
      <c r="C572" s="22"/>
      <c r="D572" s="22"/>
    </row>
    <row r="573">
      <c r="A573" s="22"/>
      <c r="C573" s="22"/>
      <c r="D573" s="22"/>
    </row>
    <row r="574">
      <c r="A574" s="22"/>
      <c r="C574" s="22"/>
      <c r="D574" s="22"/>
    </row>
    <row r="575">
      <c r="A575" s="22"/>
      <c r="C575" s="22"/>
      <c r="D575" s="22"/>
    </row>
    <row r="576">
      <c r="A576" s="22"/>
      <c r="C576" s="22"/>
      <c r="D576" s="22"/>
    </row>
    <row r="577">
      <c r="A577" s="22"/>
      <c r="C577" s="22"/>
      <c r="D577" s="22"/>
    </row>
    <row r="578">
      <c r="A578" s="22"/>
      <c r="C578" s="22"/>
      <c r="D578" s="22"/>
    </row>
    <row r="579">
      <c r="A579" s="22"/>
      <c r="C579" s="22"/>
      <c r="D579" s="22"/>
    </row>
    <row r="580">
      <c r="A580" s="22"/>
      <c r="C580" s="22"/>
      <c r="D580" s="22"/>
    </row>
    <row r="581">
      <c r="A581" s="22"/>
      <c r="C581" s="22"/>
      <c r="D581" s="22"/>
    </row>
    <row r="582">
      <c r="A582" s="22"/>
      <c r="C582" s="22"/>
      <c r="D582" s="22"/>
    </row>
    <row r="583">
      <c r="A583" s="22"/>
      <c r="C583" s="22"/>
      <c r="D583" s="22"/>
    </row>
    <row r="584">
      <c r="A584" s="22"/>
      <c r="C584" s="22"/>
      <c r="D584" s="22"/>
    </row>
    <row r="585">
      <c r="A585" s="22"/>
      <c r="C585" s="22"/>
      <c r="D585" s="22"/>
    </row>
    <row r="586">
      <c r="A586" s="22"/>
      <c r="C586" s="22"/>
      <c r="D586" s="22"/>
    </row>
    <row r="587">
      <c r="A587" s="22"/>
      <c r="C587" s="22"/>
      <c r="D587" s="22"/>
    </row>
    <row r="588">
      <c r="A588" s="22"/>
      <c r="C588" s="22"/>
      <c r="D588" s="22"/>
    </row>
    <row r="589">
      <c r="A589" s="22"/>
      <c r="C589" s="22"/>
      <c r="D589" s="22"/>
    </row>
    <row r="590">
      <c r="A590" s="22"/>
      <c r="C590" s="22"/>
      <c r="D590" s="22"/>
    </row>
    <row r="591">
      <c r="A591" s="22"/>
      <c r="C591" s="22"/>
      <c r="D591" s="22"/>
    </row>
    <row r="592">
      <c r="A592" s="22"/>
      <c r="C592" s="22"/>
      <c r="D592" s="22"/>
    </row>
    <row r="593">
      <c r="A593" s="22"/>
      <c r="C593" s="22"/>
      <c r="D593" s="22"/>
    </row>
    <row r="594">
      <c r="A594" s="22"/>
      <c r="C594" s="22"/>
      <c r="D594" s="22"/>
    </row>
    <row r="595">
      <c r="A595" s="22"/>
      <c r="C595" s="22"/>
      <c r="D595" s="22"/>
    </row>
    <row r="596">
      <c r="A596" s="22"/>
      <c r="C596" s="22"/>
      <c r="D596" s="22"/>
    </row>
    <row r="597">
      <c r="A597" s="22"/>
      <c r="C597" s="22"/>
      <c r="D597" s="22"/>
    </row>
    <row r="598">
      <c r="A598" s="22"/>
      <c r="C598" s="22"/>
      <c r="D598" s="22"/>
    </row>
    <row r="599">
      <c r="A599" s="22"/>
      <c r="C599" s="22"/>
      <c r="D599" s="22"/>
    </row>
    <row r="600">
      <c r="A600" s="22"/>
      <c r="C600" s="22"/>
      <c r="D600" s="22"/>
    </row>
    <row r="601">
      <c r="A601" s="22"/>
      <c r="C601" s="22"/>
      <c r="D601" s="22"/>
    </row>
    <row r="602">
      <c r="A602" s="22"/>
      <c r="C602" s="22"/>
      <c r="D602" s="22"/>
    </row>
    <row r="603">
      <c r="A603" s="22"/>
      <c r="C603" s="22"/>
      <c r="D603" s="22"/>
    </row>
    <row r="604">
      <c r="A604" s="22"/>
      <c r="C604" s="22"/>
      <c r="D604" s="22"/>
    </row>
    <row r="605">
      <c r="A605" s="22"/>
      <c r="C605" s="22"/>
      <c r="D605" s="22"/>
    </row>
    <row r="606">
      <c r="A606" s="22"/>
      <c r="C606" s="22"/>
      <c r="D606" s="22"/>
    </row>
    <row r="607">
      <c r="A607" s="22"/>
      <c r="C607" s="22"/>
      <c r="D607" s="22"/>
    </row>
    <row r="608">
      <c r="A608" s="22"/>
      <c r="C608" s="22"/>
      <c r="D608" s="22"/>
    </row>
    <row r="609">
      <c r="A609" s="22"/>
      <c r="C609" s="22"/>
      <c r="D609" s="22"/>
    </row>
    <row r="610">
      <c r="A610" s="22"/>
      <c r="C610" s="22"/>
      <c r="D610" s="22"/>
    </row>
    <row r="611">
      <c r="A611" s="22"/>
      <c r="C611" s="22"/>
      <c r="D611" s="22"/>
    </row>
    <row r="612">
      <c r="A612" s="22"/>
      <c r="C612" s="22"/>
      <c r="D612" s="22"/>
    </row>
    <row r="613">
      <c r="A613" s="22"/>
      <c r="C613" s="22"/>
      <c r="D613" s="22"/>
    </row>
    <row r="614">
      <c r="A614" s="22"/>
      <c r="C614" s="22"/>
      <c r="D614" s="22"/>
    </row>
    <row r="615">
      <c r="A615" s="22"/>
      <c r="C615" s="22"/>
      <c r="D615" s="22"/>
    </row>
    <row r="616">
      <c r="A616" s="22"/>
      <c r="C616" s="22"/>
      <c r="D616" s="22"/>
    </row>
    <row r="617">
      <c r="A617" s="22"/>
      <c r="C617" s="22"/>
      <c r="D617" s="22"/>
    </row>
    <row r="618">
      <c r="A618" s="22"/>
      <c r="C618" s="22"/>
      <c r="D618" s="22"/>
    </row>
    <row r="619">
      <c r="A619" s="22"/>
      <c r="C619" s="22"/>
      <c r="D619" s="22"/>
    </row>
    <row r="620">
      <c r="A620" s="22"/>
      <c r="C620" s="22"/>
      <c r="D620" s="22"/>
    </row>
    <row r="621">
      <c r="A621" s="22"/>
      <c r="C621" s="22"/>
      <c r="D621" s="22"/>
    </row>
    <row r="622">
      <c r="A622" s="22"/>
      <c r="C622" s="22"/>
      <c r="D622" s="22"/>
    </row>
    <row r="623">
      <c r="A623" s="22"/>
      <c r="C623" s="22"/>
      <c r="D623" s="22"/>
    </row>
    <row r="624">
      <c r="A624" s="22"/>
      <c r="C624" s="22"/>
      <c r="D624" s="22"/>
    </row>
    <row r="625">
      <c r="A625" s="22"/>
      <c r="C625" s="22"/>
      <c r="D625" s="22"/>
    </row>
    <row r="626">
      <c r="A626" s="22"/>
      <c r="C626" s="22"/>
      <c r="D626" s="22"/>
    </row>
    <row r="627">
      <c r="A627" s="22"/>
      <c r="C627" s="22"/>
      <c r="D627" s="22"/>
    </row>
    <row r="628">
      <c r="A628" s="22"/>
      <c r="C628" s="22"/>
      <c r="D628" s="22"/>
    </row>
    <row r="629">
      <c r="A629" s="22"/>
      <c r="C629" s="22"/>
      <c r="D629" s="22"/>
    </row>
    <row r="630">
      <c r="A630" s="22"/>
      <c r="C630" s="22"/>
      <c r="D630" s="22"/>
    </row>
    <row r="631">
      <c r="A631" s="22"/>
      <c r="C631" s="22"/>
      <c r="D631" s="22"/>
    </row>
    <row r="632">
      <c r="A632" s="22"/>
      <c r="C632" s="22"/>
      <c r="D632" s="22"/>
    </row>
    <row r="633">
      <c r="A633" s="22"/>
      <c r="C633" s="22"/>
      <c r="D633" s="22"/>
    </row>
    <row r="634">
      <c r="A634" s="22"/>
      <c r="C634" s="22"/>
      <c r="D634" s="22"/>
    </row>
    <row r="635">
      <c r="A635" s="22"/>
      <c r="C635" s="22"/>
      <c r="D635" s="22"/>
    </row>
    <row r="636">
      <c r="A636" s="22"/>
      <c r="C636" s="22"/>
      <c r="D636" s="22"/>
    </row>
    <row r="637">
      <c r="A637" s="22"/>
      <c r="C637" s="22"/>
      <c r="D637" s="22"/>
    </row>
    <row r="638">
      <c r="A638" s="22"/>
      <c r="C638" s="22"/>
      <c r="D638" s="22"/>
    </row>
    <row r="639">
      <c r="A639" s="22"/>
      <c r="C639" s="22"/>
      <c r="D639" s="22"/>
    </row>
    <row r="640">
      <c r="A640" s="22"/>
      <c r="C640" s="22"/>
      <c r="D640" s="22"/>
    </row>
    <row r="641">
      <c r="A641" s="22"/>
      <c r="C641" s="22"/>
      <c r="D641" s="22"/>
    </row>
    <row r="642">
      <c r="A642" s="22"/>
      <c r="C642" s="22"/>
      <c r="D642" s="22"/>
    </row>
    <row r="643">
      <c r="A643" s="22"/>
      <c r="C643" s="22"/>
      <c r="D643" s="22"/>
    </row>
    <row r="644">
      <c r="A644" s="22"/>
      <c r="C644" s="22"/>
      <c r="D644" s="22"/>
    </row>
    <row r="645">
      <c r="A645" s="22"/>
      <c r="C645" s="22"/>
      <c r="D645" s="22"/>
    </row>
    <row r="646">
      <c r="A646" s="22"/>
      <c r="C646" s="22"/>
      <c r="D646" s="22"/>
    </row>
    <row r="647">
      <c r="A647" s="22"/>
      <c r="C647" s="22"/>
      <c r="D647" s="22"/>
    </row>
    <row r="648">
      <c r="A648" s="22"/>
      <c r="C648" s="22"/>
      <c r="D648" s="22"/>
    </row>
    <row r="649">
      <c r="A649" s="22"/>
      <c r="C649" s="22"/>
      <c r="D649" s="22"/>
    </row>
    <row r="650">
      <c r="A650" s="22"/>
      <c r="C650" s="22"/>
      <c r="D650" s="22"/>
    </row>
    <row r="651">
      <c r="A651" s="22"/>
      <c r="C651" s="22"/>
      <c r="D651" s="22"/>
    </row>
    <row r="652">
      <c r="A652" s="22"/>
      <c r="C652" s="22"/>
      <c r="D652" s="22"/>
    </row>
    <row r="653">
      <c r="A653" s="22"/>
      <c r="C653" s="22"/>
      <c r="D653" s="22"/>
    </row>
    <row r="654">
      <c r="A654" s="22"/>
      <c r="C654" s="22"/>
      <c r="D654" s="22"/>
    </row>
    <row r="655">
      <c r="A655" s="22"/>
      <c r="C655" s="22"/>
      <c r="D655" s="22"/>
    </row>
    <row r="656">
      <c r="A656" s="22"/>
      <c r="C656" s="22"/>
      <c r="D656" s="22"/>
    </row>
    <row r="657">
      <c r="A657" s="22"/>
      <c r="C657" s="22"/>
      <c r="D657" s="22"/>
    </row>
    <row r="658">
      <c r="A658" s="22"/>
      <c r="C658" s="22"/>
      <c r="D658" s="22"/>
    </row>
    <row r="659">
      <c r="A659" s="22"/>
      <c r="C659" s="22"/>
      <c r="D659" s="22"/>
    </row>
    <row r="660">
      <c r="A660" s="22"/>
      <c r="C660" s="22"/>
      <c r="D660" s="22"/>
    </row>
    <row r="661">
      <c r="A661" s="22"/>
      <c r="C661" s="22"/>
      <c r="D661" s="22"/>
    </row>
    <row r="662">
      <c r="A662" s="22"/>
      <c r="C662" s="22"/>
      <c r="D662" s="22"/>
    </row>
    <row r="663">
      <c r="A663" s="22"/>
      <c r="C663" s="22"/>
      <c r="D663" s="22"/>
    </row>
    <row r="664">
      <c r="A664" s="22"/>
      <c r="C664" s="22"/>
      <c r="D664" s="22"/>
    </row>
    <row r="665">
      <c r="A665" s="22"/>
      <c r="C665" s="22"/>
      <c r="D665" s="22"/>
    </row>
    <row r="666">
      <c r="A666" s="22"/>
      <c r="C666" s="22"/>
      <c r="D666" s="22"/>
    </row>
    <row r="667">
      <c r="A667" s="22"/>
      <c r="C667" s="22"/>
      <c r="D667" s="22"/>
    </row>
    <row r="668">
      <c r="A668" s="22"/>
      <c r="C668" s="22"/>
      <c r="D668" s="22"/>
    </row>
    <row r="669">
      <c r="A669" s="22"/>
      <c r="C669" s="22"/>
      <c r="D669" s="22"/>
    </row>
    <row r="670">
      <c r="A670" s="22"/>
      <c r="C670" s="22"/>
      <c r="D670" s="22"/>
    </row>
    <row r="671">
      <c r="A671" s="22"/>
      <c r="C671" s="22"/>
      <c r="D671" s="22"/>
    </row>
    <row r="672">
      <c r="A672" s="22"/>
      <c r="C672" s="22"/>
      <c r="D672" s="22"/>
    </row>
    <row r="673">
      <c r="A673" s="22"/>
      <c r="C673" s="22"/>
      <c r="D673" s="22"/>
    </row>
    <row r="674">
      <c r="A674" s="22"/>
      <c r="C674" s="22"/>
      <c r="D674" s="22"/>
    </row>
    <row r="675">
      <c r="A675" s="22"/>
      <c r="C675" s="22"/>
      <c r="D675" s="22"/>
    </row>
    <row r="676">
      <c r="A676" s="22"/>
      <c r="C676" s="22"/>
      <c r="D676" s="22"/>
    </row>
    <row r="677">
      <c r="A677" s="22"/>
      <c r="C677" s="22"/>
      <c r="D677" s="22"/>
    </row>
    <row r="678">
      <c r="A678" s="22"/>
      <c r="C678" s="22"/>
      <c r="D678" s="22"/>
    </row>
    <row r="679">
      <c r="A679" s="22"/>
      <c r="C679" s="22"/>
      <c r="D679" s="22"/>
    </row>
    <row r="680">
      <c r="A680" s="22"/>
      <c r="C680" s="22"/>
      <c r="D680" s="22"/>
    </row>
    <row r="681">
      <c r="A681" s="22"/>
      <c r="C681" s="22"/>
      <c r="D681" s="22"/>
    </row>
    <row r="682">
      <c r="A682" s="22"/>
      <c r="C682" s="22"/>
      <c r="D682" s="22"/>
    </row>
    <row r="683">
      <c r="A683" s="22"/>
      <c r="C683" s="22"/>
      <c r="D683" s="22"/>
    </row>
    <row r="684">
      <c r="A684" s="22"/>
      <c r="C684" s="22"/>
      <c r="D684" s="22"/>
    </row>
    <row r="685">
      <c r="A685" s="22"/>
      <c r="C685" s="22"/>
      <c r="D685" s="22"/>
    </row>
    <row r="686">
      <c r="A686" s="22"/>
      <c r="C686" s="22"/>
      <c r="D686" s="22"/>
    </row>
    <row r="687">
      <c r="A687" s="22"/>
      <c r="C687" s="22"/>
      <c r="D687" s="22"/>
    </row>
    <row r="688">
      <c r="A688" s="22"/>
      <c r="C688" s="22"/>
      <c r="D688" s="22"/>
    </row>
    <row r="689">
      <c r="A689" s="22"/>
      <c r="C689" s="22"/>
      <c r="D689" s="22"/>
    </row>
    <row r="690">
      <c r="A690" s="22"/>
      <c r="C690" s="22"/>
      <c r="D690" s="22"/>
    </row>
    <row r="691">
      <c r="A691" s="22"/>
      <c r="C691" s="22"/>
      <c r="D691" s="22"/>
    </row>
    <row r="692">
      <c r="A692" s="22"/>
      <c r="C692" s="22"/>
      <c r="D692" s="22"/>
    </row>
    <row r="693">
      <c r="A693" s="22"/>
      <c r="C693" s="22"/>
      <c r="D693" s="22"/>
    </row>
    <row r="694">
      <c r="A694" s="22"/>
      <c r="C694" s="22"/>
      <c r="D694" s="22"/>
    </row>
    <row r="695">
      <c r="A695" s="22"/>
      <c r="C695" s="22"/>
      <c r="D695" s="22"/>
    </row>
    <row r="696">
      <c r="A696" s="22"/>
      <c r="C696" s="22"/>
      <c r="D696" s="22"/>
    </row>
    <row r="697">
      <c r="A697" s="22"/>
      <c r="C697" s="22"/>
      <c r="D697" s="22"/>
    </row>
    <row r="698">
      <c r="A698" s="22"/>
      <c r="C698" s="22"/>
      <c r="D698" s="22"/>
    </row>
    <row r="699">
      <c r="A699" s="22"/>
      <c r="C699" s="22"/>
      <c r="D699" s="22"/>
    </row>
    <row r="700">
      <c r="A700" s="22"/>
      <c r="C700" s="22"/>
      <c r="D700" s="22"/>
    </row>
    <row r="701">
      <c r="A701" s="22"/>
      <c r="C701" s="22"/>
      <c r="D701" s="22"/>
    </row>
    <row r="702">
      <c r="A702" s="22"/>
      <c r="C702" s="22"/>
      <c r="D702" s="22"/>
    </row>
    <row r="703">
      <c r="A703" s="22"/>
      <c r="C703" s="22"/>
      <c r="D703" s="22"/>
    </row>
    <row r="704">
      <c r="A704" s="22"/>
      <c r="C704" s="22"/>
      <c r="D704" s="22"/>
    </row>
    <row r="705">
      <c r="A705" s="22"/>
      <c r="C705" s="22"/>
      <c r="D705" s="22"/>
    </row>
    <row r="706">
      <c r="A706" s="22"/>
      <c r="C706" s="22"/>
      <c r="D706" s="22"/>
    </row>
    <row r="707">
      <c r="A707" s="22"/>
      <c r="C707" s="22"/>
      <c r="D707" s="22"/>
    </row>
    <row r="708">
      <c r="A708" s="22"/>
      <c r="C708" s="22"/>
      <c r="D708" s="22"/>
    </row>
    <row r="709">
      <c r="A709" s="22"/>
      <c r="C709" s="22"/>
      <c r="D709" s="22"/>
    </row>
    <row r="710">
      <c r="A710" s="22"/>
      <c r="C710" s="22"/>
      <c r="D710" s="22"/>
    </row>
    <row r="711">
      <c r="A711" s="22"/>
      <c r="C711" s="22"/>
      <c r="D711" s="22"/>
    </row>
    <row r="712">
      <c r="A712" s="22"/>
      <c r="C712" s="22"/>
      <c r="D712" s="22"/>
    </row>
    <row r="713">
      <c r="A713" s="22"/>
      <c r="C713" s="22"/>
      <c r="D713" s="22"/>
    </row>
    <row r="714">
      <c r="A714" s="22"/>
      <c r="C714" s="22"/>
      <c r="D714" s="22"/>
    </row>
    <row r="715">
      <c r="A715" s="22"/>
      <c r="C715" s="22"/>
      <c r="D715" s="22"/>
    </row>
    <row r="716">
      <c r="A716" s="22"/>
      <c r="C716" s="22"/>
      <c r="D716" s="22"/>
    </row>
    <row r="717">
      <c r="A717" s="22"/>
      <c r="C717" s="22"/>
      <c r="D717" s="22"/>
    </row>
    <row r="718">
      <c r="A718" s="22"/>
      <c r="C718" s="22"/>
      <c r="D718" s="22"/>
    </row>
    <row r="719">
      <c r="A719" s="22"/>
      <c r="C719" s="22"/>
      <c r="D719" s="22"/>
    </row>
    <row r="720">
      <c r="A720" s="22"/>
      <c r="C720" s="22"/>
      <c r="D720" s="22"/>
    </row>
    <row r="721">
      <c r="A721" s="22"/>
      <c r="C721" s="22"/>
      <c r="D721" s="22"/>
    </row>
    <row r="722">
      <c r="A722" s="22"/>
      <c r="C722" s="22"/>
      <c r="D722" s="22"/>
    </row>
    <row r="723">
      <c r="A723" s="22"/>
      <c r="C723" s="22"/>
      <c r="D723" s="22"/>
    </row>
    <row r="724">
      <c r="A724" s="22"/>
      <c r="C724" s="22"/>
      <c r="D724" s="22"/>
    </row>
    <row r="725">
      <c r="A725" s="22"/>
      <c r="C725" s="22"/>
      <c r="D725" s="22"/>
    </row>
    <row r="726">
      <c r="A726" s="22"/>
      <c r="C726" s="22"/>
      <c r="D726" s="22"/>
    </row>
    <row r="727">
      <c r="A727" s="22"/>
      <c r="C727" s="22"/>
      <c r="D727" s="22"/>
    </row>
    <row r="728">
      <c r="A728" s="22"/>
      <c r="C728" s="22"/>
      <c r="D728" s="22"/>
    </row>
    <row r="729">
      <c r="A729" s="22"/>
      <c r="C729" s="22"/>
      <c r="D729" s="22"/>
    </row>
    <row r="730">
      <c r="A730" s="22"/>
      <c r="C730" s="22"/>
      <c r="D730" s="22"/>
    </row>
    <row r="731">
      <c r="A731" s="22"/>
      <c r="C731" s="22"/>
      <c r="D731" s="22"/>
    </row>
    <row r="732">
      <c r="A732" s="22"/>
      <c r="C732" s="22"/>
      <c r="D732" s="22"/>
    </row>
    <row r="733">
      <c r="A733" s="22"/>
      <c r="C733" s="22"/>
      <c r="D733" s="22"/>
    </row>
    <row r="734">
      <c r="A734" s="22"/>
      <c r="C734" s="22"/>
      <c r="D734" s="22"/>
    </row>
    <row r="735">
      <c r="A735" s="22"/>
      <c r="C735" s="22"/>
      <c r="D735" s="22"/>
    </row>
    <row r="736">
      <c r="A736" s="22"/>
      <c r="C736" s="22"/>
      <c r="D736" s="22"/>
    </row>
    <row r="737">
      <c r="A737" s="22"/>
      <c r="C737" s="22"/>
      <c r="D737" s="22"/>
    </row>
    <row r="738">
      <c r="A738" s="22"/>
      <c r="C738" s="22"/>
      <c r="D738" s="22"/>
    </row>
    <row r="739">
      <c r="A739" s="22"/>
      <c r="C739" s="22"/>
      <c r="D739" s="22"/>
    </row>
    <row r="740">
      <c r="A740" s="22"/>
      <c r="C740" s="22"/>
      <c r="D740" s="22"/>
    </row>
    <row r="741">
      <c r="A741" s="22"/>
      <c r="C741" s="22"/>
      <c r="D741" s="22"/>
    </row>
    <row r="742">
      <c r="A742" s="22"/>
      <c r="C742" s="22"/>
      <c r="D742" s="22"/>
    </row>
    <row r="743">
      <c r="A743" s="22"/>
      <c r="C743" s="22"/>
      <c r="D743" s="22"/>
    </row>
    <row r="744">
      <c r="A744" s="22"/>
      <c r="C744" s="22"/>
      <c r="D744" s="22"/>
    </row>
    <row r="745">
      <c r="A745" s="22"/>
      <c r="C745" s="22"/>
      <c r="D745" s="22"/>
    </row>
    <row r="746">
      <c r="A746" s="22"/>
      <c r="C746" s="22"/>
      <c r="D746" s="22"/>
    </row>
    <row r="747">
      <c r="A747" s="22"/>
      <c r="C747" s="22"/>
      <c r="D747" s="22"/>
    </row>
    <row r="748">
      <c r="A748" s="22"/>
      <c r="C748" s="22"/>
      <c r="D748" s="22"/>
    </row>
    <row r="749">
      <c r="A749" s="22"/>
      <c r="C749" s="22"/>
      <c r="D749" s="22"/>
    </row>
    <row r="750">
      <c r="A750" s="22"/>
      <c r="C750" s="22"/>
      <c r="D750" s="22"/>
    </row>
    <row r="751">
      <c r="A751" s="22"/>
      <c r="C751" s="22"/>
      <c r="D751" s="22"/>
    </row>
    <row r="752">
      <c r="A752" s="22"/>
      <c r="C752" s="22"/>
      <c r="D752" s="22"/>
    </row>
    <row r="753">
      <c r="A753" s="22"/>
      <c r="C753" s="22"/>
      <c r="D753" s="22"/>
    </row>
    <row r="754">
      <c r="A754" s="22"/>
      <c r="C754" s="22"/>
      <c r="D754" s="22"/>
    </row>
    <row r="755">
      <c r="A755" s="22"/>
      <c r="C755" s="22"/>
      <c r="D755" s="22"/>
    </row>
    <row r="756">
      <c r="A756" s="22"/>
      <c r="C756" s="22"/>
      <c r="D756" s="22"/>
    </row>
    <row r="757">
      <c r="A757" s="22"/>
      <c r="C757" s="22"/>
      <c r="D757" s="22"/>
    </row>
    <row r="758">
      <c r="A758" s="22"/>
      <c r="C758" s="22"/>
      <c r="D758" s="22"/>
    </row>
    <row r="759">
      <c r="A759" s="22"/>
      <c r="C759" s="22"/>
      <c r="D759" s="22"/>
    </row>
    <row r="760">
      <c r="A760" s="22"/>
      <c r="C760" s="22"/>
      <c r="D760" s="22"/>
    </row>
    <row r="761">
      <c r="A761" s="22"/>
      <c r="C761" s="22"/>
      <c r="D761" s="22"/>
    </row>
    <row r="762">
      <c r="A762" s="22"/>
      <c r="C762" s="22"/>
      <c r="D762" s="22"/>
    </row>
    <row r="763">
      <c r="A763" s="22"/>
      <c r="C763" s="22"/>
      <c r="D763" s="22"/>
    </row>
    <row r="764">
      <c r="A764" s="22"/>
      <c r="C764" s="22"/>
      <c r="D764" s="22"/>
    </row>
    <row r="765">
      <c r="A765" s="22"/>
      <c r="C765" s="22"/>
      <c r="D765" s="22"/>
    </row>
    <row r="766">
      <c r="A766" s="22"/>
      <c r="C766" s="22"/>
      <c r="D766" s="22"/>
    </row>
    <row r="767">
      <c r="A767" s="22"/>
      <c r="C767" s="22"/>
      <c r="D767" s="22"/>
    </row>
    <row r="768">
      <c r="A768" s="22"/>
      <c r="C768" s="22"/>
      <c r="D768" s="22"/>
    </row>
    <row r="769">
      <c r="A769" s="22"/>
      <c r="C769" s="22"/>
      <c r="D769" s="22"/>
    </row>
    <row r="770">
      <c r="A770" s="22"/>
      <c r="C770" s="22"/>
      <c r="D770" s="22"/>
    </row>
    <row r="771">
      <c r="A771" s="22"/>
      <c r="C771" s="22"/>
      <c r="D771" s="22"/>
    </row>
    <row r="772">
      <c r="A772" s="22"/>
      <c r="C772" s="22"/>
      <c r="D772" s="22"/>
    </row>
    <row r="773">
      <c r="A773" s="22"/>
      <c r="C773" s="22"/>
      <c r="D773" s="22"/>
    </row>
    <row r="774">
      <c r="A774" s="22"/>
      <c r="C774" s="22"/>
      <c r="D774" s="22"/>
    </row>
    <row r="775">
      <c r="A775" s="22"/>
      <c r="C775" s="22"/>
      <c r="D775" s="22"/>
    </row>
    <row r="776">
      <c r="A776" s="22"/>
      <c r="C776" s="22"/>
      <c r="D776" s="22"/>
    </row>
    <row r="777">
      <c r="A777" s="22"/>
      <c r="C777" s="22"/>
      <c r="D777" s="22"/>
    </row>
    <row r="778">
      <c r="A778" s="22"/>
      <c r="C778" s="22"/>
      <c r="D778" s="22"/>
    </row>
    <row r="779">
      <c r="A779" s="22"/>
      <c r="C779" s="22"/>
      <c r="D779" s="22"/>
    </row>
    <row r="780">
      <c r="A780" s="22"/>
      <c r="C780" s="22"/>
      <c r="D780" s="22"/>
    </row>
    <row r="781">
      <c r="A781" s="22"/>
      <c r="C781" s="22"/>
      <c r="D781" s="22"/>
    </row>
    <row r="782">
      <c r="A782" s="22"/>
      <c r="C782" s="22"/>
      <c r="D782" s="22"/>
    </row>
    <row r="783">
      <c r="A783" s="22"/>
      <c r="C783" s="22"/>
      <c r="D783" s="22"/>
    </row>
    <row r="784">
      <c r="A784" s="22"/>
      <c r="C784" s="22"/>
      <c r="D784" s="22"/>
    </row>
    <row r="785">
      <c r="A785" s="22"/>
      <c r="C785" s="22"/>
      <c r="D785" s="22"/>
    </row>
    <row r="786">
      <c r="A786" s="22"/>
      <c r="C786" s="22"/>
      <c r="D786" s="22"/>
    </row>
    <row r="787">
      <c r="A787" s="22"/>
      <c r="C787" s="22"/>
      <c r="D787" s="22"/>
    </row>
    <row r="788">
      <c r="A788" s="22"/>
      <c r="C788" s="22"/>
      <c r="D788" s="22"/>
    </row>
    <row r="789">
      <c r="A789" s="22"/>
      <c r="C789" s="22"/>
      <c r="D789" s="22"/>
    </row>
    <row r="790">
      <c r="A790" s="22"/>
      <c r="C790" s="22"/>
      <c r="D790" s="22"/>
    </row>
    <row r="791">
      <c r="A791" s="22"/>
      <c r="C791" s="22"/>
      <c r="D791" s="22"/>
    </row>
    <row r="792">
      <c r="A792" s="22"/>
      <c r="C792" s="22"/>
      <c r="D792" s="22"/>
    </row>
    <row r="793">
      <c r="A793" s="22"/>
      <c r="C793" s="22"/>
      <c r="D793" s="22"/>
    </row>
    <row r="794">
      <c r="A794" s="22"/>
      <c r="C794" s="22"/>
      <c r="D794" s="22"/>
    </row>
    <row r="795">
      <c r="A795" s="22"/>
      <c r="C795" s="22"/>
      <c r="D795" s="22"/>
    </row>
    <row r="796">
      <c r="A796" s="22"/>
      <c r="C796" s="22"/>
      <c r="D796" s="22"/>
    </row>
    <row r="797">
      <c r="A797" s="22"/>
      <c r="C797" s="22"/>
      <c r="D797" s="22"/>
    </row>
    <row r="798">
      <c r="A798" s="22"/>
      <c r="C798" s="22"/>
      <c r="D798" s="22"/>
    </row>
    <row r="799">
      <c r="A799" s="22"/>
      <c r="C799" s="22"/>
      <c r="D799" s="22"/>
    </row>
    <row r="800">
      <c r="A800" s="22"/>
      <c r="C800" s="22"/>
      <c r="D800" s="22"/>
    </row>
    <row r="801">
      <c r="A801" s="22"/>
      <c r="C801" s="22"/>
      <c r="D801" s="22"/>
    </row>
    <row r="802">
      <c r="A802" s="22"/>
      <c r="C802" s="22"/>
      <c r="D802" s="22"/>
    </row>
    <row r="803">
      <c r="A803" s="22"/>
      <c r="C803" s="22"/>
      <c r="D803" s="22"/>
    </row>
    <row r="804">
      <c r="A804" s="22"/>
      <c r="C804" s="22"/>
      <c r="D804" s="22"/>
    </row>
    <row r="805">
      <c r="A805" s="22"/>
      <c r="C805" s="22"/>
      <c r="D805" s="22"/>
    </row>
    <row r="806">
      <c r="A806" s="22"/>
      <c r="C806" s="22"/>
      <c r="D806" s="22"/>
    </row>
    <row r="807">
      <c r="A807" s="22"/>
      <c r="C807" s="22"/>
      <c r="D807" s="22"/>
    </row>
    <row r="808">
      <c r="A808" s="22"/>
      <c r="C808" s="22"/>
      <c r="D808" s="22"/>
    </row>
    <row r="809">
      <c r="A809" s="22"/>
      <c r="C809" s="22"/>
      <c r="D809" s="22"/>
    </row>
    <row r="810">
      <c r="A810" s="22"/>
      <c r="C810" s="22"/>
      <c r="D810" s="22"/>
    </row>
    <row r="811">
      <c r="A811" s="22"/>
      <c r="C811" s="22"/>
      <c r="D811" s="22"/>
    </row>
    <row r="812">
      <c r="A812" s="22"/>
      <c r="C812" s="22"/>
      <c r="D812" s="22"/>
    </row>
    <row r="813">
      <c r="A813" s="22"/>
      <c r="C813" s="22"/>
      <c r="D813" s="22"/>
    </row>
    <row r="814">
      <c r="A814" s="22"/>
      <c r="C814" s="22"/>
      <c r="D814" s="22"/>
    </row>
    <row r="815">
      <c r="A815" s="22"/>
      <c r="C815" s="22"/>
      <c r="D815" s="22"/>
    </row>
    <row r="816">
      <c r="A816" s="22"/>
      <c r="C816" s="22"/>
      <c r="D816" s="22"/>
    </row>
    <row r="817">
      <c r="A817" s="22"/>
      <c r="C817" s="22"/>
      <c r="D817" s="22"/>
    </row>
    <row r="818">
      <c r="A818" s="22"/>
      <c r="C818" s="22"/>
      <c r="D818" s="22"/>
    </row>
    <row r="819">
      <c r="A819" s="22"/>
      <c r="C819" s="22"/>
      <c r="D819" s="22"/>
    </row>
    <row r="820">
      <c r="A820" s="22"/>
      <c r="C820" s="22"/>
      <c r="D820" s="22"/>
    </row>
    <row r="821">
      <c r="A821" s="22"/>
      <c r="C821" s="22"/>
      <c r="D821" s="22"/>
    </row>
    <row r="822">
      <c r="A822" s="22"/>
      <c r="C822" s="22"/>
      <c r="D822" s="22"/>
    </row>
    <row r="823">
      <c r="A823" s="22"/>
      <c r="C823" s="22"/>
      <c r="D823" s="22"/>
    </row>
    <row r="824">
      <c r="A824" s="22"/>
      <c r="C824" s="22"/>
      <c r="D824" s="22"/>
    </row>
    <row r="825">
      <c r="A825" s="22"/>
      <c r="C825" s="22"/>
      <c r="D825" s="22"/>
    </row>
    <row r="826">
      <c r="A826" s="22"/>
      <c r="C826" s="22"/>
      <c r="D826" s="22"/>
    </row>
    <row r="827">
      <c r="A827" s="22"/>
      <c r="C827" s="22"/>
      <c r="D827" s="22"/>
    </row>
    <row r="828">
      <c r="A828" s="22"/>
      <c r="C828" s="22"/>
      <c r="D828" s="22"/>
    </row>
    <row r="829">
      <c r="A829" s="22"/>
      <c r="C829" s="22"/>
      <c r="D829" s="22"/>
    </row>
    <row r="830">
      <c r="A830" s="22"/>
      <c r="C830" s="22"/>
      <c r="D830" s="22"/>
    </row>
    <row r="831">
      <c r="A831" s="22"/>
      <c r="C831" s="22"/>
      <c r="D831" s="22"/>
    </row>
    <row r="832">
      <c r="A832" s="22"/>
      <c r="C832" s="22"/>
      <c r="D832" s="22"/>
    </row>
    <row r="833">
      <c r="A833" s="22"/>
      <c r="C833" s="22"/>
      <c r="D833" s="22"/>
    </row>
    <row r="834">
      <c r="A834" s="22"/>
      <c r="C834" s="22"/>
      <c r="D834" s="22"/>
    </row>
    <row r="835">
      <c r="A835" s="22"/>
      <c r="C835" s="22"/>
      <c r="D835" s="22"/>
    </row>
    <row r="836">
      <c r="A836" s="22"/>
      <c r="C836" s="22"/>
      <c r="D836" s="22"/>
    </row>
    <row r="837">
      <c r="A837" s="22"/>
      <c r="C837" s="22"/>
      <c r="D837" s="22"/>
    </row>
    <row r="838">
      <c r="A838" s="22"/>
      <c r="C838" s="22"/>
      <c r="D838" s="22"/>
    </row>
    <row r="839">
      <c r="A839" s="22"/>
      <c r="C839" s="22"/>
      <c r="D839" s="22"/>
    </row>
    <row r="840">
      <c r="A840" s="22"/>
      <c r="C840" s="22"/>
      <c r="D840" s="22"/>
    </row>
    <row r="841">
      <c r="A841" s="22"/>
      <c r="C841" s="22"/>
      <c r="D841" s="22"/>
    </row>
    <row r="842">
      <c r="A842" s="22"/>
      <c r="C842" s="22"/>
      <c r="D842" s="22"/>
    </row>
    <row r="843">
      <c r="A843" s="22"/>
      <c r="C843" s="22"/>
      <c r="D843" s="22"/>
    </row>
    <row r="844">
      <c r="A844" s="22"/>
      <c r="C844" s="22"/>
      <c r="D844" s="22"/>
    </row>
    <row r="845">
      <c r="A845" s="22"/>
      <c r="C845" s="22"/>
      <c r="D845" s="22"/>
    </row>
    <row r="846">
      <c r="A846" s="22"/>
      <c r="C846" s="22"/>
      <c r="D846" s="22"/>
    </row>
    <row r="847">
      <c r="A847" s="22"/>
      <c r="C847" s="22"/>
      <c r="D847" s="22"/>
    </row>
    <row r="848">
      <c r="A848" s="22"/>
      <c r="C848" s="22"/>
      <c r="D848" s="22"/>
    </row>
    <row r="849">
      <c r="A849" s="22"/>
      <c r="C849" s="22"/>
      <c r="D849" s="22"/>
    </row>
    <row r="850">
      <c r="A850" s="22"/>
      <c r="C850" s="22"/>
      <c r="D850" s="22"/>
    </row>
    <row r="851">
      <c r="A851" s="22"/>
      <c r="C851" s="22"/>
      <c r="D851" s="22"/>
    </row>
    <row r="852">
      <c r="A852" s="22"/>
      <c r="C852" s="22"/>
      <c r="D852" s="22"/>
    </row>
    <row r="853">
      <c r="A853" s="22"/>
      <c r="C853" s="22"/>
      <c r="D853" s="22"/>
    </row>
    <row r="854">
      <c r="A854" s="22"/>
      <c r="C854" s="22"/>
      <c r="D854" s="22"/>
    </row>
    <row r="855">
      <c r="A855" s="22"/>
      <c r="C855" s="22"/>
      <c r="D855" s="22"/>
    </row>
    <row r="856">
      <c r="A856" s="22"/>
      <c r="C856" s="22"/>
      <c r="D856" s="22"/>
    </row>
    <row r="857">
      <c r="A857" s="22"/>
      <c r="C857" s="22"/>
      <c r="D857" s="22"/>
    </row>
    <row r="858">
      <c r="A858" s="22"/>
      <c r="C858" s="22"/>
      <c r="D858" s="22"/>
    </row>
    <row r="859">
      <c r="A859" s="22"/>
      <c r="C859" s="22"/>
      <c r="D859" s="22"/>
    </row>
    <row r="860">
      <c r="A860" s="22"/>
      <c r="C860" s="22"/>
      <c r="D860" s="22"/>
    </row>
    <row r="861">
      <c r="A861" s="22"/>
      <c r="C861" s="22"/>
      <c r="D861" s="22"/>
    </row>
    <row r="862">
      <c r="A862" s="22"/>
      <c r="C862" s="22"/>
      <c r="D862" s="22"/>
    </row>
    <row r="863">
      <c r="A863" s="22"/>
      <c r="C863" s="22"/>
      <c r="D863" s="22"/>
    </row>
    <row r="864">
      <c r="A864" s="22"/>
      <c r="C864" s="22"/>
      <c r="D864" s="22"/>
    </row>
    <row r="865">
      <c r="A865" s="22"/>
      <c r="C865" s="22"/>
      <c r="D865" s="22"/>
    </row>
    <row r="866">
      <c r="A866" s="22"/>
      <c r="C866" s="22"/>
      <c r="D866" s="22"/>
    </row>
    <row r="867">
      <c r="A867" s="22"/>
      <c r="C867" s="22"/>
      <c r="D867" s="22"/>
    </row>
    <row r="868">
      <c r="A868" s="22"/>
      <c r="C868" s="22"/>
      <c r="D868" s="22"/>
    </row>
    <row r="869">
      <c r="A869" s="22"/>
      <c r="C869" s="22"/>
      <c r="D869" s="22"/>
    </row>
    <row r="870">
      <c r="A870" s="22"/>
      <c r="C870" s="22"/>
      <c r="D870" s="22"/>
    </row>
    <row r="871">
      <c r="A871" s="22"/>
      <c r="C871" s="22"/>
      <c r="D871" s="22"/>
    </row>
    <row r="872">
      <c r="A872" s="22"/>
      <c r="C872" s="22"/>
      <c r="D872" s="22"/>
    </row>
    <row r="873">
      <c r="A873" s="22"/>
      <c r="C873" s="22"/>
      <c r="D873" s="22"/>
    </row>
    <row r="874">
      <c r="A874" s="22"/>
      <c r="C874" s="22"/>
      <c r="D874" s="22"/>
    </row>
    <row r="875">
      <c r="A875" s="22"/>
      <c r="C875" s="22"/>
      <c r="D875" s="22"/>
    </row>
    <row r="876">
      <c r="A876" s="22"/>
      <c r="C876" s="22"/>
      <c r="D876" s="22"/>
    </row>
    <row r="877">
      <c r="A877" s="22"/>
      <c r="C877" s="22"/>
      <c r="D877" s="22"/>
    </row>
    <row r="878">
      <c r="A878" s="22"/>
      <c r="C878" s="22"/>
      <c r="D878" s="22"/>
    </row>
    <row r="879">
      <c r="A879" s="22"/>
      <c r="C879" s="22"/>
      <c r="D879" s="22"/>
    </row>
    <row r="880">
      <c r="A880" s="22"/>
      <c r="C880" s="22"/>
      <c r="D880" s="22"/>
    </row>
    <row r="881">
      <c r="A881" s="22"/>
      <c r="C881" s="22"/>
      <c r="D881" s="22"/>
    </row>
    <row r="882">
      <c r="A882" s="22"/>
      <c r="C882" s="22"/>
      <c r="D882" s="22"/>
    </row>
    <row r="883">
      <c r="A883" s="22"/>
      <c r="C883" s="22"/>
      <c r="D883" s="22"/>
    </row>
    <row r="884">
      <c r="A884" s="22"/>
      <c r="C884" s="22"/>
      <c r="D884" s="22"/>
    </row>
    <row r="885">
      <c r="A885" s="22"/>
      <c r="C885" s="22"/>
      <c r="D885" s="22"/>
    </row>
    <row r="886">
      <c r="A886" s="22"/>
      <c r="C886" s="22"/>
      <c r="D886" s="22"/>
    </row>
    <row r="887">
      <c r="A887" s="22"/>
      <c r="C887" s="22"/>
      <c r="D887" s="22"/>
    </row>
    <row r="888">
      <c r="A888" s="22"/>
      <c r="C888" s="22"/>
      <c r="D888" s="22"/>
    </row>
    <row r="889">
      <c r="A889" s="22"/>
      <c r="C889" s="22"/>
      <c r="D889" s="22"/>
    </row>
    <row r="890">
      <c r="A890" s="22"/>
      <c r="C890" s="22"/>
      <c r="D890" s="22"/>
    </row>
    <row r="891">
      <c r="A891" s="22"/>
      <c r="C891" s="22"/>
      <c r="D891" s="22"/>
    </row>
    <row r="892">
      <c r="A892" s="22"/>
      <c r="C892" s="22"/>
      <c r="D892" s="22"/>
    </row>
    <row r="893">
      <c r="A893" s="22"/>
      <c r="C893" s="22"/>
      <c r="D893" s="22"/>
    </row>
    <row r="894">
      <c r="A894" s="22"/>
      <c r="C894" s="22"/>
      <c r="D894" s="22"/>
    </row>
    <row r="895">
      <c r="A895" s="22"/>
      <c r="C895" s="22"/>
      <c r="D895" s="22"/>
    </row>
    <row r="896">
      <c r="A896" s="22"/>
      <c r="C896" s="22"/>
      <c r="D896" s="22"/>
    </row>
    <row r="897">
      <c r="A897" s="22"/>
      <c r="C897" s="22"/>
      <c r="D897" s="22"/>
    </row>
    <row r="898">
      <c r="A898" s="22"/>
      <c r="C898" s="22"/>
      <c r="D898" s="22"/>
    </row>
    <row r="899">
      <c r="A899" s="22"/>
      <c r="C899" s="22"/>
      <c r="D899" s="22"/>
    </row>
    <row r="900">
      <c r="A900" s="22"/>
      <c r="C900" s="22"/>
      <c r="D900" s="22"/>
    </row>
    <row r="901">
      <c r="A901" s="22"/>
      <c r="C901" s="22"/>
      <c r="D901" s="22"/>
    </row>
    <row r="902">
      <c r="A902" s="22"/>
      <c r="C902" s="22"/>
      <c r="D902" s="22"/>
    </row>
    <row r="903">
      <c r="A903" s="22"/>
      <c r="C903" s="22"/>
      <c r="D903" s="22"/>
    </row>
    <row r="904">
      <c r="A904" s="22"/>
      <c r="C904" s="22"/>
      <c r="D904" s="22"/>
    </row>
    <row r="905">
      <c r="A905" s="22"/>
      <c r="C905" s="22"/>
      <c r="D905" s="22"/>
    </row>
    <row r="906">
      <c r="A906" s="22"/>
      <c r="C906" s="22"/>
      <c r="D906" s="22"/>
    </row>
    <row r="907">
      <c r="A907" s="22"/>
      <c r="C907" s="22"/>
      <c r="D907" s="22"/>
    </row>
    <row r="908">
      <c r="A908" s="22"/>
      <c r="C908" s="22"/>
      <c r="D908" s="22"/>
    </row>
    <row r="909">
      <c r="A909" s="22"/>
      <c r="C909" s="22"/>
      <c r="D909" s="22"/>
    </row>
    <row r="910">
      <c r="A910" s="22"/>
      <c r="C910" s="22"/>
      <c r="D910" s="22"/>
    </row>
    <row r="911">
      <c r="A911" s="22"/>
      <c r="C911" s="22"/>
      <c r="D911" s="22"/>
    </row>
    <row r="912">
      <c r="A912" s="22"/>
      <c r="C912" s="22"/>
      <c r="D912" s="22"/>
    </row>
    <row r="913">
      <c r="A913" s="22"/>
      <c r="C913" s="22"/>
      <c r="D913" s="22"/>
    </row>
    <row r="914">
      <c r="A914" s="22"/>
      <c r="C914" s="22"/>
      <c r="D914" s="22"/>
    </row>
    <row r="915">
      <c r="A915" s="22"/>
      <c r="C915" s="22"/>
      <c r="D915" s="22"/>
    </row>
    <row r="916">
      <c r="A916" s="22"/>
      <c r="C916" s="22"/>
      <c r="D916" s="22"/>
    </row>
    <row r="917">
      <c r="A917" s="22"/>
      <c r="C917" s="22"/>
      <c r="D917" s="22"/>
    </row>
    <row r="918">
      <c r="A918" s="22"/>
      <c r="C918" s="22"/>
      <c r="D918" s="22"/>
    </row>
    <row r="919">
      <c r="A919" s="22"/>
      <c r="C919" s="22"/>
      <c r="D919" s="22"/>
    </row>
    <row r="920">
      <c r="A920" s="22"/>
      <c r="C920" s="22"/>
      <c r="D920" s="22"/>
    </row>
    <row r="921">
      <c r="A921" s="22"/>
      <c r="C921" s="22"/>
      <c r="D921" s="22"/>
    </row>
    <row r="922">
      <c r="A922" s="22"/>
      <c r="C922" s="22"/>
      <c r="D922" s="22"/>
    </row>
    <row r="923">
      <c r="A923" s="22"/>
      <c r="C923" s="22"/>
      <c r="D923" s="22"/>
    </row>
    <row r="924">
      <c r="A924" s="22"/>
      <c r="C924" s="22"/>
      <c r="D924" s="22"/>
    </row>
    <row r="925">
      <c r="A925" s="22"/>
      <c r="C925" s="22"/>
      <c r="D925" s="22"/>
    </row>
    <row r="926">
      <c r="A926" s="22"/>
      <c r="C926" s="22"/>
      <c r="D926" s="22"/>
    </row>
    <row r="927">
      <c r="A927" s="22"/>
      <c r="C927" s="22"/>
      <c r="D927" s="22"/>
    </row>
    <row r="928">
      <c r="A928" s="22"/>
      <c r="C928" s="22"/>
      <c r="D928" s="22"/>
    </row>
    <row r="929">
      <c r="A929" s="22"/>
      <c r="C929" s="22"/>
      <c r="D929" s="22"/>
    </row>
    <row r="930">
      <c r="A930" s="22"/>
      <c r="C930" s="22"/>
      <c r="D930" s="22"/>
    </row>
    <row r="931">
      <c r="A931" s="22"/>
      <c r="C931" s="22"/>
      <c r="D931" s="22"/>
    </row>
    <row r="932">
      <c r="A932" s="22"/>
      <c r="C932" s="22"/>
      <c r="D932" s="22"/>
    </row>
    <row r="933">
      <c r="A933" s="22"/>
      <c r="C933" s="22"/>
      <c r="D933" s="22"/>
    </row>
    <row r="934">
      <c r="A934" s="22"/>
      <c r="C934" s="22"/>
      <c r="D934" s="22"/>
    </row>
    <row r="935">
      <c r="A935" s="22"/>
      <c r="C935" s="22"/>
      <c r="D935" s="22"/>
    </row>
    <row r="936">
      <c r="A936" s="22"/>
      <c r="C936" s="22"/>
      <c r="D936" s="22"/>
    </row>
    <row r="937">
      <c r="A937" s="22"/>
      <c r="C937" s="22"/>
      <c r="D937" s="22"/>
    </row>
    <row r="938">
      <c r="A938" s="22"/>
      <c r="C938" s="22"/>
      <c r="D938" s="22"/>
    </row>
    <row r="939">
      <c r="A939" s="22"/>
      <c r="C939" s="22"/>
      <c r="D939" s="22"/>
    </row>
    <row r="940">
      <c r="A940" s="22"/>
      <c r="C940" s="22"/>
      <c r="D940" s="22"/>
    </row>
    <row r="941">
      <c r="A941" s="22"/>
      <c r="C941" s="22"/>
      <c r="D941" s="22"/>
    </row>
    <row r="942">
      <c r="A942" s="22"/>
      <c r="C942" s="22"/>
      <c r="D942" s="22"/>
    </row>
    <row r="943">
      <c r="A943" s="22"/>
      <c r="C943" s="22"/>
      <c r="D943" s="22"/>
    </row>
    <row r="944">
      <c r="A944" s="22"/>
      <c r="C944" s="22"/>
      <c r="D944" s="22"/>
    </row>
    <row r="945">
      <c r="A945" s="22"/>
      <c r="C945" s="22"/>
      <c r="D945" s="22"/>
    </row>
    <row r="946">
      <c r="A946" s="22"/>
      <c r="C946" s="22"/>
      <c r="D946" s="22"/>
    </row>
    <row r="947">
      <c r="A947" s="22"/>
      <c r="C947" s="22"/>
      <c r="D947" s="22"/>
    </row>
    <row r="948">
      <c r="A948" s="22"/>
      <c r="C948" s="22"/>
      <c r="D948" s="22"/>
    </row>
    <row r="949">
      <c r="A949" s="22"/>
      <c r="C949" s="22"/>
      <c r="D949" s="22"/>
    </row>
    <row r="950">
      <c r="A950" s="22"/>
      <c r="C950" s="22"/>
      <c r="D950" s="22"/>
    </row>
    <row r="951">
      <c r="A951" s="22"/>
      <c r="C951" s="22"/>
      <c r="D951" s="22"/>
    </row>
    <row r="952">
      <c r="A952" s="22"/>
      <c r="C952" s="22"/>
      <c r="D952" s="22"/>
    </row>
    <row r="953">
      <c r="A953" s="22"/>
      <c r="C953" s="22"/>
      <c r="D953" s="22"/>
    </row>
    <row r="954">
      <c r="A954" s="22"/>
      <c r="C954" s="22"/>
      <c r="D954" s="22"/>
    </row>
    <row r="955">
      <c r="A955" s="22"/>
      <c r="C955" s="22"/>
      <c r="D955" s="22"/>
    </row>
    <row r="956">
      <c r="A956" s="22"/>
      <c r="C956" s="22"/>
      <c r="D956" s="22"/>
    </row>
    <row r="957">
      <c r="A957" s="22"/>
      <c r="C957" s="22"/>
      <c r="D957" s="22"/>
    </row>
    <row r="958">
      <c r="A958" s="22"/>
      <c r="C958" s="22"/>
      <c r="D958" s="22"/>
    </row>
    <row r="959">
      <c r="A959" s="22"/>
      <c r="C959" s="22"/>
      <c r="D959" s="22"/>
    </row>
    <row r="960">
      <c r="A960" s="22"/>
      <c r="C960" s="22"/>
      <c r="D960" s="22"/>
    </row>
    <row r="961">
      <c r="A961" s="22"/>
      <c r="C961" s="22"/>
      <c r="D961" s="22"/>
    </row>
    <row r="962">
      <c r="A962" s="22"/>
      <c r="C962" s="22"/>
      <c r="D962" s="22"/>
    </row>
    <row r="963">
      <c r="A963" s="22"/>
      <c r="C963" s="22"/>
      <c r="D963" s="22"/>
    </row>
    <row r="964">
      <c r="A964" s="22"/>
      <c r="C964" s="22"/>
      <c r="D964" s="22"/>
    </row>
    <row r="965">
      <c r="A965" s="22"/>
      <c r="C965" s="22"/>
      <c r="D965" s="22"/>
    </row>
    <row r="966">
      <c r="A966" s="22"/>
      <c r="C966" s="22"/>
      <c r="D966" s="22"/>
    </row>
    <row r="967">
      <c r="A967" s="22"/>
      <c r="C967" s="22"/>
      <c r="D967" s="22"/>
    </row>
    <row r="968">
      <c r="A968" s="22"/>
      <c r="C968" s="22"/>
      <c r="D968" s="22"/>
    </row>
    <row r="969">
      <c r="A969" s="22"/>
      <c r="C969" s="22"/>
      <c r="D969" s="22"/>
    </row>
    <row r="970">
      <c r="A970" s="22"/>
      <c r="C970" s="22"/>
      <c r="D970" s="22"/>
    </row>
    <row r="971">
      <c r="A971" s="22"/>
      <c r="C971" s="22"/>
      <c r="D971" s="22"/>
    </row>
    <row r="972">
      <c r="A972" s="22"/>
      <c r="C972" s="22"/>
      <c r="D972" s="22"/>
    </row>
    <row r="973">
      <c r="A973" s="22"/>
      <c r="C973" s="22"/>
      <c r="D973" s="22"/>
    </row>
    <row r="974">
      <c r="A974" s="22"/>
      <c r="C974" s="22"/>
      <c r="D974" s="22"/>
    </row>
    <row r="975">
      <c r="A975" s="22"/>
      <c r="C975" s="22"/>
      <c r="D975" s="22"/>
    </row>
    <row r="976">
      <c r="A976" s="22"/>
      <c r="C976" s="22"/>
      <c r="D976" s="22"/>
    </row>
    <row r="977">
      <c r="A977" s="22"/>
      <c r="C977" s="22"/>
      <c r="D977" s="22"/>
    </row>
    <row r="978">
      <c r="A978" s="22"/>
      <c r="C978" s="22"/>
      <c r="D978" s="22"/>
    </row>
    <row r="979">
      <c r="A979" s="22"/>
      <c r="C979" s="22"/>
      <c r="D979" s="22"/>
    </row>
    <row r="980">
      <c r="A980" s="22"/>
      <c r="C980" s="22"/>
      <c r="D980" s="22"/>
    </row>
    <row r="981">
      <c r="A981" s="22"/>
      <c r="C981" s="22"/>
      <c r="D981" s="22"/>
    </row>
    <row r="982">
      <c r="A982" s="22"/>
      <c r="C982" s="22"/>
      <c r="D982" s="22"/>
    </row>
    <row r="983">
      <c r="A983" s="22"/>
      <c r="C983" s="22"/>
      <c r="D983" s="22"/>
    </row>
    <row r="984">
      <c r="A984" s="22"/>
      <c r="C984" s="22"/>
      <c r="D984" s="22"/>
    </row>
    <row r="985">
      <c r="A985" s="22"/>
      <c r="C985" s="22"/>
      <c r="D985" s="22"/>
    </row>
    <row r="986">
      <c r="A986" s="22"/>
      <c r="C986" s="22"/>
      <c r="D986" s="22"/>
    </row>
    <row r="987">
      <c r="A987" s="22"/>
      <c r="C987" s="22"/>
      <c r="D987" s="22"/>
    </row>
    <row r="988">
      <c r="A988" s="22"/>
      <c r="C988" s="22"/>
      <c r="D988" s="22"/>
    </row>
    <row r="989">
      <c r="A989" s="22"/>
      <c r="C989" s="22"/>
      <c r="D989" s="22"/>
    </row>
    <row r="990">
      <c r="A990" s="22"/>
      <c r="C990" s="22"/>
      <c r="D990" s="22"/>
    </row>
    <row r="991">
      <c r="A991" s="22"/>
      <c r="C991" s="22"/>
      <c r="D991" s="22"/>
    </row>
    <row r="992">
      <c r="A992" s="22"/>
      <c r="C992" s="22"/>
      <c r="D992" s="22"/>
    </row>
    <row r="993">
      <c r="A993" s="22"/>
      <c r="C993" s="22"/>
      <c r="D993" s="22"/>
    </row>
    <row r="994">
      <c r="A994" s="22"/>
      <c r="C994" s="22"/>
      <c r="D994" s="22"/>
    </row>
    <row r="995">
      <c r="A995" s="22"/>
      <c r="C995" s="22"/>
      <c r="D995" s="22"/>
    </row>
    <row r="996">
      <c r="A996" s="22"/>
      <c r="C996" s="22"/>
      <c r="D996" s="22"/>
    </row>
    <row r="997">
      <c r="A997" s="22"/>
      <c r="C997" s="22"/>
      <c r="D997" s="22"/>
    </row>
    <row r="998">
      <c r="A998" s="22"/>
      <c r="C998" s="22"/>
      <c r="D998" s="22"/>
    </row>
    <row r="999">
      <c r="A999" s="22"/>
      <c r="C999" s="22"/>
      <c r="D999" s="22"/>
    </row>
    <row r="1000">
      <c r="A1000" s="22"/>
      <c r="C1000" s="22"/>
      <c r="D1000" s="2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F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  <hyperlink r:id="rId41" ref="B41"/>
    <hyperlink r:id="rId42" ref="B42"/>
    <hyperlink r:id="rId43" ref="B43"/>
    <hyperlink r:id="rId44" ref="B44"/>
    <hyperlink r:id="rId45" ref="B45"/>
    <hyperlink r:id="rId46" ref="B46"/>
    <hyperlink r:id="rId47" ref="B47"/>
    <hyperlink r:id="rId48" ref="B48"/>
    <hyperlink r:id="rId49" ref="B49"/>
    <hyperlink r:id="rId50" ref="B50"/>
    <hyperlink r:id="rId51" ref="B51"/>
    <hyperlink r:id="rId52" ref="B52"/>
    <hyperlink r:id="rId53" ref="B53"/>
    <hyperlink r:id="rId54" ref="B54"/>
    <hyperlink r:id="rId55" ref="B55"/>
    <hyperlink r:id="rId56" ref="B56"/>
    <hyperlink r:id="rId57" ref="B57"/>
    <hyperlink r:id="rId58" ref="B58"/>
    <hyperlink r:id="rId59" ref="B59"/>
    <hyperlink r:id="rId60" ref="B60"/>
    <hyperlink r:id="rId61" ref="B61"/>
    <hyperlink r:id="rId62" ref="B62"/>
    <hyperlink r:id="rId63" ref="B63"/>
    <hyperlink r:id="rId64" ref="B64"/>
    <hyperlink r:id="rId65" ref="B65"/>
    <hyperlink r:id="rId66" ref="B66"/>
    <hyperlink r:id="rId67" ref="B67"/>
    <hyperlink r:id="rId68" ref="B68"/>
    <hyperlink r:id="rId69" ref="B69"/>
    <hyperlink r:id="rId70" ref="B70"/>
    <hyperlink r:id="rId71" ref="B71"/>
    <hyperlink r:id="rId72" ref="B72"/>
    <hyperlink r:id="rId73" ref="B73"/>
    <hyperlink r:id="rId74" ref="B74"/>
    <hyperlink r:id="rId75" ref="B75"/>
    <hyperlink r:id="rId76" ref="B76"/>
  </hyperlinks>
  <drawing r:id="rId7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0"/>
    <col customWidth="1" min="2" max="2" width="34.63"/>
    <col customWidth="1" min="3" max="3" width="20.5"/>
  </cols>
  <sheetData>
    <row r="1">
      <c r="A1" s="23" t="s">
        <v>762</v>
      </c>
      <c r="B1" s="23" t="s">
        <v>25</v>
      </c>
      <c r="C1" s="8"/>
    </row>
    <row r="2">
      <c r="A2" s="9" t="s">
        <v>594</v>
      </c>
      <c r="B2" s="5" t="s">
        <v>763</v>
      </c>
      <c r="C2" s="8"/>
    </row>
    <row r="3">
      <c r="A3" s="9" t="s">
        <v>594</v>
      </c>
      <c r="B3" s="5" t="s">
        <v>764</v>
      </c>
      <c r="C3" s="22"/>
    </row>
    <row r="4">
      <c r="A4" s="9" t="s">
        <v>594</v>
      </c>
      <c r="B4" s="5" t="s">
        <v>765</v>
      </c>
      <c r="C4" s="22"/>
    </row>
    <row r="5">
      <c r="A5" s="9" t="s">
        <v>594</v>
      </c>
      <c r="B5" s="5" t="s">
        <v>766</v>
      </c>
      <c r="C5" s="22"/>
    </row>
    <row r="6">
      <c r="A6" s="9" t="s">
        <v>594</v>
      </c>
      <c r="B6" s="5" t="s">
        <v>763</v>
      </c>
      <c r="C6" s="22"/>
    </row>
    <row r="7">
      <c r="A7" s="9" t="s">
        <v>594</v>
      </c>
      <c r="B7" s="5" t="s">
        <v>764</v>
      </c>
      <c r="C7" s="22"/>
    </row>
    <row r="8">
      <c r="A8" s="9" t="s">
        <v>594</v>
      </c>
      <c r="B8" s="5" t="s">
        <v>765</v>
      </c>
      <c r="C8" s="22"/>
    </row>
    <row r="9">
      <c r="A9" s="9" t="s">
        <v>594</v>
      </c>
      <c r="B9" s="5" t="s">
        <v>766</v>
      </c>
      <c r="C9" s="22"/>
    </row>
    <row r="10">
      <c r="A10" s="9" t="s">
        <v>594</v>
      </c>
      <c r="B10" s="5" t="s">
        <v>763</v>
      </c>
      <c r="C10" s="22"/>
    </row>
    <row r="11">
      <c r="A11" s="9" t="s">
        <v>594</v>
      </c>
      <c r="B11" s="5" t="s">
        <v>767</v>
      </c>
      <c r="C11" s="22"/>
    </row>
    <row r="12">
      <c r="A12" s="9" t="s">
        <v>594</v>
      </c>
      <c r="B12" s="5" t="s">
        <v>763</v>
      </c>
      <c r="C12" s="22"/>
    </row>
    <row r="13">
      <c r="A13" s="9" t="s">
        <v>594</v>
      </c>
      <c r="B13" s="5" t="s">
        <v>768</v>
      </c>
      <c r="C13" s="22"/>
    </row>
    <row r="14">
      <c r="A14" s="9" t="s">
        <v>594</v>
      </c>
      <c r="B14" s="5" t="s">
        <v>763</v>
      </c>
      <c r="C14" s="22"/>
    </row>
    <row r="15">
      <c r="A15" s="9" t="s">
        <v>594</v>
      </c>
      <c r="B15" s="5" t="s">
        <v>770</v>
      </c>
      <c r="C15" s="22"/>
    </row>
    <row r="16">
      <c r="A16" s="9" t="s">
        <v>513</v>
      </c>
      <c r="B16" s="5" t="s">
        <v>774</v>
      </c>
      <c r="C16" s="22"/>
    </row>
    <row r="17">
      <c r="A17" s="9" t="s">
        <v>513</v>
      </c>
      <c r="B17" s="5" t="s">
        <v>775</v>
      </c>
      <c r="C17" s="22"/>
    </row>
    <row r="18">
      <c r="A18" s="9" t="s">
        <v>513</v>
      </c>
      <c r="B18" s="5" t="s">
        <v>776</v>
      </c>
      <c r="C18" s="22"/>
    </row>
    <row r="19">
      <c r="A19" s="9" t="s">
        <v>513</v>
      </c>
      <c r="B19" s="5" t="s">
        <v>777</v>
      </c>
      <c r="C19" s="22"/>
    </row>
    <row r="20">
      <c r="A20" s="9" t="s">
        <v>513</v>
      </c>
      <c r="B20" s="5" t="s">
        <v>774</v>
      </c>
      <c r="C20" s="22"/>
    </row>
    <row r="21">
      <c r="A21" s="9" t="s">
        <v>607</v>
      </c>
      <c r="B21" s="5" t="s">
        <v>781</v>
      </c>
      <c r="C21" s="22"/>
    </row>
    <row r="22">
      <c r="A22" s="9" t="s">
        <v>607</v>
      </c>
      <c r="B22" s="5" t="s">
        <v>797</v>
      </c>
      <c r="C22" s="22"/>
    </row>
    <row r="23">
      <c r="A23" s="9" t="s">
        <v>607</v>
      </c>
      <c r="B23" s="5" t="s">
        <v>798</v>
      </c>
      <c r="C23" s="22"/>
    </row>
    <row r="24">
      <c r="A24" s="9" t="s">
        <v>607</v>
      </c>
      <c r="B24" s="5" t="s">
        <v>799</v>
      </c>
      <c r="C24" s="22"/>
    </row>
    <row r="25">
      <c r="A25" s="9" t="s">
        <v>607</v>
      </c>
      <c r="B25" s="5" t="s">
        <v>797</v>
      </c>
      <c r="C25" s="22"/>
    </row>
    <row r="26">
      <c r="A26" s="9" t="s">
        <v>607</v>
      </c>
      <c r="B26" s="5" t="s">
        <v>799</v>
      </c>
      <c r="C26" s="22"/>
    </row>
    <row r="27">
      <c r="A27" s="9" t="s">
        <v>607</v>
      </c>
      <c r="B27" s="5" t="s">
        <v>798</v>
      </c>
      <c r="C27" s="22"/>
    </row>
    <row r="28">
      <c r="A28" s="9" t="s">
        <v>607</v>
      </c>
      <c r="B28" s="5" t="s">
        <v>800</v>
      </c>
      <c r="C28" s="22"/>
    </row>
    <row r="29">
      <c r="A29" s="9" t="s">
        <v>607</v>
      </c>
      <c r="B29" s="5" t="s">
        <v>801</v>
      </c>
      <c r="C29" s="22"/>
    </row>
    <row r="30">
      <c r="A30" s="9" t="s">
        <v>607</v>
      </c>
      <c r="B30" s="5" t="s">
        <v>802</v>
      </c>
      <c r="C30" s="22"/>
    </row>
    <row r="31">
      <c r="A31" s="9" t="s">
        <v>607</v>
      </c>
      <c r="B31" s="5" t="s">
        <v>801</v>
      </c>
      <c r="C31" s="22"/>
    </row>
    <row r="32">
      <c r="A32" s="9" t="s">
        <v>607</v>
      </c>
      <c r="B32" s="5" t="s">
        <v>802</v>
      </c>
      <c r="C32" s="22"/>
    </row>
    <row r="33">
      <c r="A33" s="9" t="s">
        <v>607</v>
      </c>
      <c r="B33" s="5" t="s">
        <v>803</v>
      </c>
      <c r="C33" s="22"/>
    </row>
    <row r="34">
      <c r="A34" s="9" t="s">
        <v>607</v>
      </c>
      <c r="B34" s="5" t="s">
        <v>804</v>
      </c>
      <c r="C34" s="22"/>
    </row>
    <row r="35">
      <c r="A35" s="9" t="s">
        <v>607</v>
      </c>
      <c r="B35" s="5" t="s">
        <v>804</v>
      </c>
      <c r="C35" s="22"/>
    </row>
    <row r="36">
      <c r="A36" s="9" t="s">
        <v>595</v>
      </c>
      <c r="B36" s="5" t="s">
        <v>805</v>
      </c>
      <c r="C36" s="22"/>
    </row>
    <row r="37">
      <c r="A37" s="9" t="s">
        <v>595</v>
      </c>
      <c r="B37" s="5" t="s">
        <v>806</v>
      </c>
      <c r="C37" s="22"/>
    </row>
    <row r="38">
      <c r="A38" s="9" t="s">
        <v>595</v>
      </c>
      <c r="B38" s="5" t="s">
        <v>807</v>
      </c>
      <c r="C38" s="22"/>
    </row>
    <row r="39">
      <c r="A39" s="9" t="s">
        <v>595</v>
      </c>
      <c r="B39" s="5" t="s">
        <v>808</v>
      </c>
      <c r="C39" s="22"/>
    </row>
    <row r="40">
      <c r="A40" s="9" t="s">
        <v>595</v>
      </c>
      <c r="B40" s="5" t="s">
        <v>806</v>
      </c>
      <c r="C40" s="22"/>
    </row>
    <row r="41">
      <c r="A41" s="9" t="s">
        <v>595</v>
      </c>
      <c r="B41" s="5" t="s">
        <v>807</v>
      </c>
      <c r="C41" s="22"/>
    </row>
    <row r="42">
      <c r="A42" s="9" t="s">
        <v>595</v>
      </c>
      <c r="B42" s="5" t="s">
        <v>808</v>
      </c>
      <c r="C42" s="22"/>
    </row>
    <row r="43">
      <c r="A43" s="9" t="s">
        <v>595</v>
      </c>
      <c r="B43" s="5" t="s">
        <v>807</v>
      </c>
      <c r="C43" s="22"/>
    </row>
    <row r="44">
      <c r="A44" s="9" t="s">
        <v>602</v>
      </c>
      <c r="B44" s="5" t="s">
        <v>813</v>
      </c>
      <c r="C44" s="22"/>
    </row>
    <row r="45">
      <c r="A45" s="9" t="s">
        <v>602</v>
      </c>
      <c r="B45" s="5" t="s">
        <v>814</v>
      </c>
      <c r="C45" s="22"/>
    </row>
    <row r="46">
      <c r="A46" s="9" t="s">
        <v>602</v>
      </c>
      <c r="B46" s="5" t="s">
        <v>815</v>
      </c>
      <c r="C46" s="22"/>
    </row>
    <row r="47">
      <c r="A47" s="9" t="s">
        <v>44</v>
      </c>
      <c r="B47" s="5" t="s">
        <v>560</v>
      </c>
      <c r="C47" s="22"/>
    </row>
    <row r="48">
      <c r="A48" s="9" t="s">
        <v>44</v>
      </c>
      <c r="B48" s="5" t="s">
        <v>564</v>
      </c>
      <c r="C48" s="22"/>
    </row>
    <row r="49">
      <c r="A49" s="9" t="s">
        <v>44</v>
      </c>
      <c r="B49" s="5" t="s">
        <v>570</v>
      </c>
      <c r="C49" s="22"/>
    </row>
    <row r="50">
      <c r="A50" s="9" t="s">
        <v>614</v>
      </c>
      <c r="B50" s="5" t="s">
        <v>820</v>
      </c>
      <c r="C50" s="22"/>
    </row>
    <row r="51">
      <c r="A51" s="9" t="s">
        <v>614</v>
      </c>
      <c r="B51" s="5" t="s">
        <v>821</v>
      </c>
      <c r="C51" s="22"/>
    </row>
    <row r="52">
      <c r="A52" s="9" t="s">
        <v>614</v>
      </c>
      <c r="B52" s="5" t="s">
        <v>822</v>
      </c>
      <c r="C52" s="22"/>
    </row>
    <row r="53">
      <c r="A53" s="9" t="s">
        <v>614</v>
      </c>
      <c r="B53" s="5" t="s">
        <v>823</v>
      </c>
      <c r="C53" s="22"/>
    </row>
    <row r="54">
      <c r="A54" s="9" t="s">
        <v>614</v>
      </c>
      <c r="B54" s="5" t="s">
        <v>824</v>
      </c>
      <c r="C54" s="22"/>
    </row>
    <row r="55">
      <c r="A55" s="9" t="s">
        <v>614</v>
      </c>
      <c r="B55" s="5" t="s">
        <v>821</v>
      </c>
      <c r="C55" s="22"/>
    </row>
    <row r="56">
      <c r="A56" s="9" t="s">
        <v>621</v>
      </c>
      <c r="B56" s="5" t="s">
        <v>826</v>
      </c>
      <c r="C56" s="22"/>
    </row>
    <row r="57">
      <c r="A57" s="9" t="s">
        <v>621</v>
      </c>
      <c r="B57" s="5" t="s">
        <v>828</v>
      </c>
      <c r="C57" s="22"/>
    </row>
    <row r="58">
      <c r="A58" s="9" t="s">
        <v>621</v>
      </c>
      <c r="B58" s="5" t="s">
        <v>829</v>
      </c>
      <c r="C58" s="22"/>
    </row>
    <row r="59">
      <c r="A59" s="9" t="s">
        <v>621</v>
      </c>
      <c r="B59" s="5" t="s">
        <v>830</v>
      </c>
      <c r="C59" s="22"/>
    </row>
    <row r="60">
      <c r="A60" s="9" t="s">
        <v>73</v>
      </c>
      <c r="B60" s="5" t="s">
        <v>727</v>
      </c>
      <c r="C60" s="22"/>
    </row>
    <row r="61">
      <c r="A61" s="9" t="s">
        <v>73</v>
      </c>
      <c r="B61" s="5" t="s">
        <v>729</v>
      </c>
      <c r="C61" s="22"/>
    </row>
    <row r="62">
      <c r="A62" s="9" t="s">
        <v>523</v>
      </c>
      <c r="B62" s="5" t="s">
        <v>835</v>
      </c>
      <c r="C62" s="22"/>
    </row>
    <row r="63">
      <c r="A63" s="9" t="s">
        <v>523</v>
      </c>
      <c r="B63" s="5" t="s">
        <v>837</v>
      </c>
      <c r="C63" s="22"/>
    </row>
    <row r="64">
      <c r="A64" s="9" t="s">
        <v>584</v>
      </c>
      <c r="B64" s="5" t="s">
        <v>840</v>
      </c>
      <c r="C64" s="22"/>
    </row>
    <row r="65">
      <c r="A65" s="9" t="s">
        <v>584</v>
      </c>
      <c r="B65" s="5" t="s">
        <v>841</v>
      </c>
      <c r="C65" s="22"/>
    </row>
    <row r="66">
      <c r="A66" s="9" t="s">
        <v>316</v>
      </c>
      <c r="B66" s="5" t="s">
        <v>847</v>
      </c>
      <c r="C66" s="22"/>
    </row>
    <row r="67">
      <c r="A67" s="9" t="s">
        <v>316</v>
      </c>
      <c r="B67" s="5" t="s">
        <v>848</v>
      </c>
      <c r="C67" s="22"/>
    </row>
    <row r="68">
      <c r="A68" s="9" t="s">
        <v>326</v>
      </c>
      <c r="B68" s="5" t="s">
        <v>851</v>
      </c>
      <c r="C68" s="22"/>
    </row>
    <row r="69">
      <c r="A69" s="9" t="s">
        <v>326</v>
      </c>
      <c r="B69" s="5" t="s">
        <v>852</v>
      </c>
      <c r="C69" s="22"/>
    </row>
    <row r="70">
      <c r="A70" s="9" t="s">
        <v>365</v>
      </c>
      <c r="B70" s="5" t="s">
        <v>854</v>
      </c>
      <c r="C70" s="22"/>
    </row>
    <row r="71">
      <c r="A71" s="9" t="s">
        <v>365</v>
      </c>
      <c r="B71" s="5" t="s">
        <v>856</v>
      </c>
      <c r="C71" s="22"/>
    </row>
    <row r="72">
      <c r="A72" s="9" t="s">
        <v>54</v>
      </c>
      <c r="B72" s="5" t="s">
        <v>711</v>
      </c>
      <c r="C72" s="22"/>
    </row>
    <row r="73">
      <c r="A73" s="9" t="s">
        <v>54</v>
      </c>
      <c r="B73" s="5" t="s">
        <v>713</v>
      </c>
      <c r="C73" s="22"/>
    </row>
    <row r="74">
      <c r="A74" s="9" t="s">
        <v>306</v>
      </c>
      <c r="B74" s="5" t="s">
        <v>859</v>
      </c>
      <c r="C74" s="22"/>
    </row>
    <row r="75">
      <c r="A75" s="9" t="s">
        <v>306</v>
      </c>
      <c r="B75" s="5" t="s">
        <v>861</v>
      </c>
      <c r="C75" s="22"/>
    </row>
    <row r="76">
      <c r="A76" s="9" t="s">
        <v>306</v>
      </c>
      <c r="B76" s="5" t="s">
        <v>862</v>
      </c>
      <c r="C76" s="22"/>
    </row>
    <row r="77">
      <c r="A77" s="9" t="s">
        <v>306</v>
      </c>
      <c r="B77" s="5" t="s">
        <v>863</v>
      </c>
      <c r="C77" s="22"/>
    </row>
    <row r="78">
      <c r="A78" s="9" t="s">
        <v>346</v>
      </c>
      <c r="B78" s="5" t="s">
        <v>865</v>
      </c>
      <c r="C78" s="22"/>
    </row>
    <row r="79">
      <c r="A79" s="9" t="s">
        <v>346</v>
      </c>
      <c r="B79" s="5" t="s">
        <v>867</v>
      </c>
      <c r="C79" s="22"/>
    </row>
    <row r="80">
      <c r="A80" s="9" t="s">
        <v>334</v>
      </c>
      <c r="B80" s="5" t="s">
        <v>869</v>
      </c>
      <c r="C80" s="22"/>
    </row>
    <row r="81">
      <c r="A81" s="9" t="s">
        <v>334</v>
      </c>
      <c r="B81" s="5" t="s">
        <v>870</v>
      </c>
      <c r="C81" s="22"/>
    </row>
    <row r="82">
      <c r="C82" s="22"/>
    </row>
    <row r="83">
      <c r="C83" s="22"/>
    </row>
    <row r="84">
      <c r="C84" s="22"/>
    </row>
    <row r="85">
      <c r="C85" s="22"/>
    </row>
    <row r="86">
      <c r="C86" s="22"/>
    </row>
    <row r="87">
      <c r="C87" s="22"/>
    </row>
    <row r="88">
      <c r="C88" s="22"/>
    </row>
    <row r="89">
      <c r="C89" s="22"/>
    </row>
    <row r="90">
      <c r="C90" s="22"/>
    </row>
    <row r="91">
      <c r="C91" s="22"/>
    </row>
    <row r="92">
      <c r="C92" s="22"/>
    </row>
    <row r="93">
      <c r="C93" s="22"/>
    </row>
    <row r="94">
      <c r="C94" s="22"/>
    </row>
    <row r="95">
      <c r="C95" s="22"/>
    </row>
    <row r="96">
      <c r="C96" s="22"/>
    </row>
    <row r="97">
      <c r="C97" s="22"/>
    </row>
    <row r="98">
      <c r="C98" s="22"/>
    </row>
    <row r="99">
      <c r="C99" s="22"/>
    </row>
    <row r="100">
      <c r="C100" s="22"/>
    </row>
    <row r="101">
      <c r="C101" s="22"/>
    </row>
    <row r="102">
      <c r="C102" s="22"/>
    </row>
    <row r="103">
      <c r="C103" s="22"/>
    </row>
    <row r="104">
      <c r="C104" s="22"/>
    </row>
    <row r="105">
      <c r="C105" s="22"/>
    </row>
    <row r="106">
      <c r="C106" s="22"/>
    </row>
    <row r="107">
      <c r="C107" s="22"/>
    </row>
    <row r="108">
      <c r="C108" s="22"/>
    </row>
    <row r="109">
      <c r="C109" s="22"/>
    </row>
    <row r="110">
      <c r="C110" s="22"/>
    </row>
    <row r="111">
      <c r="C111" s="22"/>
    </row>
    <row r="112">
      <c r="C112" s="22"/>
    </row>
    <row r="113">
      <c r="C113" s="22"/>
    </row>
    <row r="114">
      <c r="C114" s="22"/>
    </row>
    <row r="115">
      <c r="C115" s="22"/>
    </row>
    <row r="116">
      <c r="C116" s="22"/>
    </row>
    <row r="117">
      <c r="C117" s="22"/>
    </row>
    <row r="118">
      <c r="C118" s="22"/>
    </row>
    <row r="119">
      <c r="C119" s="22"/>
    </row>
    <row r="120">
      <c r="C120" s="22"/>
    </row>
    <row r="121">
      <c r="C121" s="22"/>
    </row>
    <row r="122">
      <c r="C122" s="22"/>
    </row>
    <row r="123">
      <c r="C123" s="22"/>
    </row>
    <row r="124">
      <c r="C124" s="22"/>
    </row>
    <row r="125">
      <c r="C125" s="22"/>
    </row>
    <row r="126">
      <c r="C126" s="22"/>
    </row>
    <row r="127">
      <c r="C127" s="22"/>
    </row>
    <row r="128">
      <c r="C128" s="22"/>
    </row>
    <row r="129">
      <c r="C129" s="22"/>
    </row>
    <row r="130">
      <c r="C130" s="22"/>
    </row>
    <row r="131">
      <c r="C131" s="22"/>
    </row>
    <row r="132">
      <c r="C132" s="22"/>
    </row>
    <row r="133">
      <c r="C133" s="22"/>
    </row>
    <row r="134">
      <c r="C134" s="22"/>
    </row>
    <row r="135">
      <c r="C135" s="22"/>
    </row>
    <row r="136">
      <c r="C136" s="22"/>
    </row>
    <row r="137">
      <c r="C137" s="22"/>
    </row>
    <row r="138">
      <c r="C138" s="22"/>
    </row>
    <row r="139">
      <c r="C139" s="22"/>
    </row>
    <row r="140">
      <c r="C140" s="22"/>
    </row>
    <row r="141">
      <c r="C141" s="22"/>
    </row>
    <row r="142">
      <c r="C142" s="22"/>
    </row>
    <row r="143">
      <c r="C143" s="22"/>
    </row>
    <row r="144">
      <c r="C144" s="22"/>
    </row>
    <row r="145">
      <c r="C145" s="22"/>
    </row>
    <row r="146">
      <c r="C146" s="22"/>
    </row>
    <row r="147">
      <c r="C147" s="22"/>
    </row>
    <row r="148">
      <c r="C148" s="22"/>
    </row>
    <row r="149">
      <c r="C149" s="22"/>
    </row>
    <row r="150">
      <c r="C150" s="22"/>
    </row>
    <row r="151">
      <c r="C151" s="22"/>
    </row>
    <row r="152">
      <c r="C152" s="22"/>
    </row>
    <row r="153">
      <c r="C153" s="22"/>
    </row>
    <row r="154">
      <c r="C154" s="22"/>
    </row>
    <row r="155">
      <c r="C155" s="22"/>
    </row>
    <row r="156">
      <c r="C156" s="22"/>
    </row>
    <row r="157">
      <c r="C157" s="22"/>
    </row>
    <row r="158">
      <c r="C158" s="22"/>
    </row>
    <row r="159">
      <c r="C159" s="22"/>
    </row>
    <row r="160">
      <c r="C160" s="22"/>
    </row>
    <row r="161">
      <c r="C161" s="22"/>
    </row>
    <row r="162">
      <c r="C162" s="22"/>
    </row>
    <row r="163">
      <c r="C163" s="22"/>
    </row>
    <row r="164">
      <c r="C164" s="22"/>
    </row>
    <row r="165">
      <c r="C165" s="22"/>
    </row>
    <row r="166">
      <c r="C166" s="22"/>
    </row>
    <row r="167">
      <c r="C167" s="22"/>
    </row>
    <row r="168">
      <c r="C168" s="22"/>
    </row>
    <row r="169">
      <c r="C169" s="22"/>
    </row>
    <row r="170">
      <c r="C170" s="22"/>
    </row>
    <row r="171">
      <c r="C171" s="22"/>
    </row>
    <row r="172">
      <c r="C172" s="22"/>
    </row>
    <row r="173">
      <c r="C173" s="22"/>
    </row>
    <row r="174">
      <c r="C174" s="22"/>
    </row>
    <row r="175">
      <c r="C175" s="22"/>
    </row>
    <row r="176">
      <c r="C176" s="22"/>
    </row>
    <row r="177">
      <c r="C177" s="22"/>
    </row>
    <row r="178">
      <c r="C178" s="22"/>
    </row>
    <row r="179">
      <c r="C179" s="22"/>
    </row>
    <row r="180">
      <c r="C180" s="22"/>
    </row>
    <row r="181">
      <c r="C181" s="22"/>
    </row>
    <row r="182">
      <c r="C182" s="22"/>
    </row>
    <row r="183">
      <c r="C183" s="22"/>
    </row>
    <row r="184">
      <c r="C184" s="22"/>
    </row>
    <row r="185">
      <c r="C185" s="22"/>
    </row>
    <row r="186">
      <c r="C186" s="22"/>
    </row>
    <row r="187">
      <c r="C187" s="22"/>
    </row>
    <row r="188">
      <c r="C188" s="22"/>
    </row>
    <row r="189">
      <c r="C189" s="22"/>
    </row>
    <row r="190">
      <c r="C190" s="22"/>
    </row>
    <row r="191">
      <c r="C191" s="22"/>
    </row>
    <row r="192">
      <c r="C192" s="22"/>
    </row>
    <row r="193">
      <c r="C193" s="22"/>
    </row>
    <row r="194">
      <c r="C194" s="22"/>
    </row>
    <row r="195">
      <c r="C195" s="22"/>
    </row>
    <row r="196">
      <c r="C196" s="22"/>
    </row>
    <row r="197">
      <c r="C197" s="22"/>
    </row>
    <row r="198">
      <c r="C198" s="22"/>
    </row>
    <row r="199">
      <c r="C199" s="22"/>
    </row>
    <row r="200">
      <c r="C200" s="22"/>
    </row>
    <row r="201">
      <c r="C201" s="22"/>
    </row>
    <row r="202">
      <c r="C202" s="22"/>
    </row>
    <row r="203">
      <c r="C203" s="22"/>
    </row>
    <row r="204">
      <c r="C204" s="22"/>
    </row>
    <row r="205">
      <c r="C205" s="22"/>
    </row>
    <row r="206">
      <c r="C206" s="22"/>
    </row>
    <row r="207">
      <c r="C207" s="22"/>
    </row>
    <row r="208">
      <c r="C208" s="22"/>
    </row>
    <row r="209">
      <c r="C209" s="22"/>
    </row>
    <row r="210">
      <c r="C210" s="22"/>
    </row>
    <row r="211">
      <c r="C211" s="22"/>
    </row>
    <row r="212">
      <c r="C212" s="22"/>
    </row>
    <row r="213">
      <c r="C213" s="22"/>
    </row>
    <row r="214">
      <c r="C214" s="22"/>
    </row>
    <row r="215">
      <c r="C215" s="22"/>
    </row>
    <row r="216">
      <c r="C216" s="22"/>
    </row>
    <row r="217">
      <c r="C217" s="22"/>
    </row>
    <row r="218">
      <c r="C218" s="22"/>
    </row>
    <row r="219">
      <c r="C219" s="22"/>
    </row>
    <row r="220">
      <c r="C220" s="22"/>
    </row>
    <row r="221">
      <c r="C221" s="22"/>
    </row>
    <row r="222">
      <c r="C222" s="22"/>
    </row>
    <row r="223">
      <c r="C223" s="22"/>
    </row>
    <row r="224">
      <c r="C224" s="22"/>
    </row>
    <row r="225">
      <c r="C225" s="22"/>
    </row>
    <row r="226">
      <c r="C226" s="22"/>
    </row>
    <row r="227">
      <c r="C227" s="22"/>
    </row>
    <row r="228">
      <c r="C228" s="22"/>
    </row>
    <row r="229">
      <c r="C229" s="22"/>
    </row>
    <row r="230">
      <c r="C230" s="22"/>
    </row>
    <row r="231">
      <c r="C231" s="22"/>
    </row>
    <row r="232">
      <c r="C232" s="22"/>
    </row>
    <row r="233">
      <c r="C233" s="22"/>
    </row>
    <row r="234">
      <c r="C234" s="22"/>
    </row>
    <row r="235">
      <c r="C235" s="22"/>
    </row>
    <row r="236">
      <c r="C236" s="22"/>
    </row>
    <row r="237">
      <c r="C237" s="22"/>
    </row>
    <row r="238">
      <c r="C238" s="22"/>
    </row>
    <row r="239">
      <c r="C239" s="22"/>
    </row>
    <row r="240">
      <c r="C240" s="22"/>
    </row>
    <row r="241">
      <c r="C241" s="22"/>
    </row>
    <row r="242">
      <c r="C242" s="22"/>
    </row>
    <row r="243">
      <c r="C243" s="22"/>
    </row>
    <row r="244">
      <c r="C244" s="22"/>
    </row>
    <row r="245">
      <c r="C245" s="22"/>
    </row>
    <row r="246">
      <c r="C246" s="22"/>
    </row>
    <row r="247">
      <c r="C247" s="22"/>
    </row>
    <row r="248">
      <c r="C248" s="22"/>
    </row>
    <row r="249">
      <c r="C249" s="22"/>
    </row>
    <row r="250">
      <c r="C250" s="22"/>
    </row>
    <row r="251">
      <c r="C251" s="22"/>
    </row>
    <row r="252">
      <c r="C252" s="22"/>
    </row>
    <row r="253">
      <c r="C253" s="22"/>
    </row>
    <row r="254">
      <c r="C254" s="22"/>
    </row>
    <row r="255">
      <c r="C255" s="22"/>
    </row>
    <row r="256">
      <c r="C256" s="22"/>
    </row>
    <row r="257">
      <c r="C257" s="22"/>
    </row>
    <row r="258">
      <c r="C258" s="22"/>
    </row>
    <row r="259">
      <c r="C259" s="22"/>
    </row>
    <row r="260">
      <c r="C260" s="22"/>
    </row>
    <row r="261">
      <c r="C261" s="22"/>
    </row>
    <row r="262">
      <c r="C262" s="22"/>
    </row>
    <row r="263">
      <c r="C263" s="22"/>
    </row>
    <row r="264">
      <c r="C264" s="22"/>
    </row>
    <row r="265">
      <c r="C265" s="22"/>
    </row>
    <row r="266">
      <c r="C266" s="22"/>
    </row>
    <row r="267">
      <c r="C267" s="22"/>
    </row>
    <row r="268">
      <c r="C268" s="22"/>
    </row>
    <row r="269">
      <c r="C269" s="22"/>
    </row>
    <row r="270">
      <c r="C270" s="22"/>
    </row>
    <row r="271">
      <c r="C271" s="22"/>
    </row>
    <row r="272">
      <c r="C272" s="22"/>
    </row>
    <row r="273">
      <c r="C273" s="22"/>
    </row>
    <row r="274">
      <c r="C274" s="22"/>
    </row>
    <row r="275">
      <c r="C275" s="22"/>
    </row>
    <row r="276">
      <c r="C276" s="22"/>
    </row>
    <row r="277">
      <c r="C277" s="22"/>
    </row>
    <row r="278">
      <c r="C278" s="22"/>
    </row>
    <row r="279">
      <c r="C279" s="22"/>
    </row>
    <row r="280">
      <c r="C280" s="22"/>
    </row>
    <row r="281">
      <c r="C281" s="22"/>
    </row>
    <row r="282">
      <c r="C282" s="22"/>
    </row>
    <row r="283">
      <c r="C283" s="22"/>
    </row>
    <row r="284">
      <c r="C284" s="22"/>
    </row>
    <row r="285">
      <c r="C285" s="22"/>
    </row>
    <row r="286">
      <c r="C286" s="22"/>
    </row>
    <row r="287">
      <c r="C287" s="22"/>
    </row>
    <row r="288">
      <c r="C288" s="22"/>
    </row>
    <row r="289">
      <c r="C289" s="22"/>
    </row>
    <row r="290">
      <c r="C290" s="22"/>
    </row>
    <row r="291">
      <c r="C291" s="22"/>
    </row>
    <row r="292">
      <c r="C292" s="22"/>
    </row>
    <row r="293">
      <c r="C293" s="22"/>
    </row>
    <row r="294">
      <c r="C294" s="22"/>
    </row>
    <row r="295">
      <c r="C295" s="22"/>
    </row>
    <row r="296">
      <c r="C296" s="22"/>
    </row>
    <row r="297">
      <c r="C297" s="22"/>
    </row>
    <row r="298">
      <c r="C298" s="22"/>
    </row>
    <row r="299">
      <c r="C299" s="22"/>
    </row>
    <row r="300">
      <c r="C300" s="22"/>
    </row>
    <row r="301">
      <c r="C301" s="22"/>
    </row>
    <row r="302">
      <c r="C302" s="22"/>
    </row>
    <row r="303">
      <c r="C303" s="22"/>
    </row>
    <row r="304">
      <c r="C304" s="22"/>
    </row>
    <row r="305">
      <c r="C305" s="22"/>
    </row>
    <row r="306">
      <c r="C306" s="22"/>
    </row>
    <row r="307">
      <c r="C307" s="22"/>
    </row>
    <row r="308">
      <c r="C308" s="22"/>
    </row>
    <row r="309">
      <c r="C309" s="22"/>
    </row>
    <row r="310">
      <c r="C310" s="22"/>
    </row>
    <row r="311">
      <c r="C311" s="22"/>
    </row>
    <row r="312">
      <c r="C312" s="22"/>
    </row>
    <row r="313">
      <c r="C313" s="22"/>
    </row>
    <row r="314">
      <c r="C314" s="22"/>
    </row>
    <row r="315">
      <c r="C315" s="22"/>
    </row>
    <row r="316">
      <c r="C316" s="22"/>
    </row>
    <row r="317">
      <c r="C317" s="22"/>
    </row>
    <row r="318">
      <c r="C318" s="22"/>
    </row>
    <row r="319">
      <c r="C319" s="22"/>
    </row>
    <row r="320">
      <c r="C320" s="22"/>
    </row>
    <row r="321">
      <c r="C321" s="22"/>
    </row>
    <row r="322">
      <c r="C322" s="22"/>
    </row>
    <row r="323">
      <c r="C323" s="22"/>
    </row>
    <row r="324">
      <c r="C324" s="22"/>
    </row>
    <row r="325">
      <c r="C325" s="22"/>
    </row>
    <row r="326">
      <c r="C326" s="22"/>
    </row>
    <row r="327">
      <c r="C327" s="22"/>
    </row>
    <row r="328">
      <c r="C328" s="22"/>
    </row>
    <row r="329">
      <c r="C329" s="22"/>
    </row>
    <row r="330">
      <c r="C330" s="22"/>
    </row>
    <row r="331">
      <c r="C331" s="22"/>
    </row>
    <row r="332">
      <c r="C332" s="22"/>
    </row>
    <row r="333">
      <c r="C333" s="22"/>
    </row>
    <row r="334">
      <c r="C334" s="22"/>
    </row>
    <row r="335">
      <c r="C335" s="22"/>
    </row>
    <row r="336">
      <c r="C336" s="22"/>
    </row>
    <row r="337">
      <c r="C337" s="22"/>
    </row>
    <row r="338">
      <c r="C338" s="22"/>
    </row>
    <row r="339">
      <c r="C339" s="22"/>
    </row>
    <row r="340">
      <c r="C340" s="22"/>
    </row>
    <row r="341">
      <c r="C341" s="22"/>
    </row>
    <row r="342">
      <c r="C342" s="22"/>
    </row>
    <row r="343">
      <c r="C343" s="22"/>
    </row>
    <row r="344">
      <c r="C344" s="22"/>
    </row>
    <row r="345">
      <c r="C345" s="22"/>
    </row>
    <row r="346">
      <c r="C346" s="22"/>
    </row>
    <row r="347">
      <c r="C347" s="22"/>
    </row>
    <row r="348">
      <c r="C348" s="22"/>
    </row>
    <row r="349">
      <c r="C349" s="22"/>
    </row>
    <row r="350">
      <c r="C350" s="22"/>
    </row>
    <row r="351">
      <c r="C351" s="22"/>
    </row>
    <row r="352">
      <c r="C352" s="22"/>
    </row>
    <row r="353">
      <c r="C353" s="22"/>
    </row>
    <row r="354">
      <c r="C354" s="22"/>
    </row>
    <row r="355">
      <c r="C355" s="22"/>
    </row>
    <row r="356">
      <c r="C356" s="22"/>
    </row>
    <row r="357">
      <c r="C357" s="22"/>
    </row>
    <row r="358">
      <c r="C358" s="22"/>
    </row>
    <row r="359">
      <c r="C359" s="22"/>
    </row>
    <row r="360">
      <c r="C360" s="22"/>
    </row>
    <row r="361">
      <c r="C361" s="22"/>
    </row>
    <row r="362">
      <c r="C362" s="22"/>
    </row>
    <row r="363">
      <c r="C363" s="22"/>
    </row>
    <row r="364">
      <c r="C364" s="22"/>
    </row>
    <row r="365">
      <c r="C365" s="22"/>
    </row>
    <row r="366">
      <c r="C366" s="22"/>
    </row>
    <row r="367">
      <c r="C367" s="22"/>
    </row>
    <row r="368">
      <c r="C368" s="22"/>
    </row>
    <row r="369">
      <c r="C369" s="22"/>
    </row>
    <row r="370">
      <c r="C370" s="22"/>
    </row>
    <row r="371">
      <c r="C371" s="22"/>
    </row>
    <row r="372">
      <c r="C372" s="22"/>
    </row>
    <row r="373">
      <c r="C373" s="22"/>
    </row>
    <row r="374">
      <c r="C374" s="22"/>
    </row>
    <row r="375">
      <c r="C375" s="22"/>
    </row>
    <row r="376">
      <c r="C376" s="22"/>
    </row>
    <row r="377">
      <c r="C377" s="22"/>
    </row>
    <row r="378">
      <c r="C378" s="22"/>
    </row>
    <row r="379">
      <c r="C379" s="22"/>
    </row>
    <row r="380">
      <c r="C380" s="22"/>
    </row>
    <row r="381">
      <c r="C381" s="22"/>
    </row>
    <row r="382">
      <c r="C382" s="22"/>
    </row>
    <row r="383">
      <c r="C383" s="22"/>
    </row>
    <row r="384">
      <c r="C384" s="22"/>
    </row>
    <row r="385">
      <c r="C385" s="22"/>
    </row>
    <row r="386">
      <c r="C386" s="22"/>
    </row>
    <row r="387">
      <c r="C387" s="22"/>
    </row>
    <row r="388">
      <c r="C388" s="22"/>
    </row>
    <row r="389">
      <c r="C389" s="22"/>
    </row>
    <row r="390">
      <c r="C390" s="22"/>
    </row>
    <row r="391">
      <c r="C391" s="22"/>
    </row>
    <row r="392">
      <c r="C392" s="22"/>
    </row>
    <row r="393">
      <c r="C393" s="22"/>
    </row>
    <row r="394">
      <c r="C394" s="22"/>
    </row>
    <row r="395">
      <c r="C395" s="22"/>
    </row>
    <row r="396">
      <c r="C396" s="22"/>
    </row>
    <row r="397">
      <c r="C397" s="22"/>
    </row>
    <row r="398">
      <c r="C398" s="22"/>
    </row>
    <row r="399">
      <c r="C399" s="22"/>
    </row>
    <row r="400">
      <c r="C400" s="22"/>
    </row>
    <row r="401">
      <c r="C401" s="22"/>
    </row>
    <row r="402">
      <c r="C402" s="22"/>
    </row>
    <row r="403">
      <c r="C403" s="22"/>
    </row>
    <row r="404">
      <c r="C404" s="22"/>
    </row>
    <row r="405">
      <c r="C405" s="22"/>
    </row>
    <row r="406">
      <c r="C406" s="22"/>
    </row>
    <row r="407">
      <c r="C407" s="22"/>
    </row>
    <row r="408">
      <c r="C408" s="22"/>
    </row>
    <row r="409">
      <c r="C409" s="22"/>
    </row>
    <row r="410">
      <c r="C410" s="22"/>
    </row>
    <row r="411">
      <c r="C411" s="22"/>
    </row>
    <row r="412">
      <c r="C412" s="22"/>
    </row>
    <row r="413">
      <c r="C413" s="22"/>
    </row>
    <row r="414">
      <c r="C414" s="22"/>
    </row>
    <row r="415">
      <c r="C415" s="22"/>
    </row>
    <row r="416">
      <c r="C416" s="22"/>
    </row>
    <row r="417">
      <c r="C417" s="22"/>
    </row>
    <row r="418">
      <c r="C418" s="22"/>
    </row>
    <row r="419">
      <c r="C419" s="22"/>
    </row>
    <row r="420">
      <c r="C420" s="22"/>
    </row>
    <row r="421">
      <c r="C421" s="22"/>
    </row>
    <row r="422">
      <c r="C422" s="22"/>
    </row>
    <row r="423">
      <c r="C423" s="22"/>
    </row>
    <row r="424">
      <c r="C424" s="22"/>
    </row>
    <row r="425">
      <c r="C425" s="22"/>
    </row>
    <row r="426">
      <c r="C426" s="22"/>
    </row>
    <row r="427">
      <c r="C427" s="22"/>
    </row>
    <row r="428">
      <c r="C428" s="22"/>
    </row>
    <row r="429">
      <c r="C429" s="22"/>
    </row>
    <row r="430">
      <c r="C430" s="22"/>
    </row>
    <row r="431">
      <c r="C431" s="22"/>
    </row>
    <row r="432">
      <c r="C432" s="22"/>
    </row>
    <row r="433">
      <c r="C433" s="22"/>
    </row>
    <row r="434">
      <c r="C434" s="22"/>
    </row>
    <row r="435">
      <c r="C435" s="22"/>
    </row>
    <row r="436">
      <c r="C436" s="22"/>
    </row>
    <row r="437">
      <c r="C437" s="22"/>
    </row>
    <row r="438">
      <c r="C438" s="22"/>
    </row>
    <row r="439">
      <c r="C439" s="22"/>
    </row>
    <row r="440">
      <c r="C440" s="22"/>
    </row>
    <row r="441">
      <c r="C441" s="22"/>
    </row>
    <row r="442">
      <c r="C442" s="22"/>
    </row>
    <row r="443">
      <c r="C443" s="22"/>
    </row>
    <row r="444">
      <c r="C444" s="22"/>
    </row>
    <row r="445">
      <c r="C445" s="22"/>
    </row>
    <row r="446">
      <c r="C446" s="22"/>
    </row>
    <row r="447">
      <c r="C447" s="22"/>
    </row>
    <row r="448">
      <c r="C448" s="22"/>
    </row>
    <row r="449">
      <c r="C449" s="22"/>
    </row>
    <row r="450">
      <c r="C450" s="22"/>
    </row>
    <row r="451">
      <c r="C451" s="22"/>
    </row>
    <row r="452">
      <c r="C452" s="22"/>
    </row>
    <row r="453">
      <c r="C453" s="22"/>
    </row>
    <row r="454">
      <c r="C454" s="22"/>
    </row>
    <row r="455">
      <c r="C455" s="22"/>
    </row>
    <row r="456">
      <c r="C456" s="22"/>
    </row>
    <row r="457">
      <c r="C457" s="22"/>
    </row>
    <row r="458">
      <c r="C458" s="22"/>
    </row>
    <row r="459">
      <c r="C459" s="22"/>
    </row>
    <row r="460">
      <c r="C460" s="22"/>
    </row>
    <row r="461">
      <c r="C461" s="22"/>
    </row>
    <row r="462">
      <c r="C462" s="22"/>
    </row>
    <row r="463">
      <c r="C463" s="22"/>
    </row>
    <row r="464">
      <c r="C464" s="22"/>
    </row>
    <row r="465">
      <c r="C465" s="22"/>
    </row>
    <row r="466">
      <c r="C466" s="22"/>
    </row>
    <row r="467">
      <c r="C467" s="22"/>
    </row>
    <row r="468">
      <c r="C468" s="22"/>
    </row>
    <row r="469">
      <c r="C469" s="22"/>
    </row>
    <row r="470">
      <c r="C470" s="22"/>
    </row>
    <row r="471">
      <c r="C471" s="22"/>
    </row>
    <row r="472">
      <c r="C472" s="22"/>
    </row>
    <row r="473">
      <c r="C473" s="22"/>
    </row>
    <row r="474">
      <c r="C474" s="22"/>
    </row>
    <row r="475">
      <c r="C475" s="22"/>
    </row>
    <row r="476">
      <c r="C476" s="22"/>
    </row>
    <row r="477">
      <c r="C477" s="22"/>
    </row>
    <row r="478">
      <c r="C478" s="22"/>
    </row>
    <row r="479">
      <c r="C479" s="22"/>
    </row>
    <row r="480">
      <c r="C480" s="22"/>
    </row>
    <row r="481">
      <c r="C481" s="22"/>
    </row>
    <row r="482">
      <c r="C482" s="22"/>
    </row>
    <row r="483">
      <c r="C483" s="22"/>
    </row>
    <row r="484">
      <c r="C484" s="22"/>
    </row>
    <row r="485">
      <c r="C485" s="22"/>
    </row>
    <row r="486">
      <c r="C486" s="22"/>
    </row>
    <row r="487">
      <c r="C487" s="22"/>
    </row>
    <row r="488">
      <c r="C488" s="22"/>
    </row>
    <row r="489">
      <c r="C489" s="22"/>
    </row>
    <row r="490">
      <c r="C490" s="22"/>
    </row>
    <row r="491">
      <c r="C491" s="22"/>
    </row>
    <row r="492">
      <c r="C492" s="22"/>
    </row>
    <row r="493">
      <c r="C493" s="22"/>
    </row>
    <row r="494">
      <c r="C494" s="22"/>
    </row>
    <row r="495">
      <c r="C495" s="22"/>
    </row>
    <row r="496">
      <c r="C496" s="22"/>
    </row>
    <row r="497">
      <c r="C497" s="22"/>
    </row>
    <row r="498">
      <c r="C498" s="22"/>
    </row>
    <row r="499">
      <c r="C499" s="22"/>
    </row>
    <row r="500">
      <c r="C500" s="22"/>
    </row>
    <row r="501">
      <c r="C501" s="22"/>
    </row>
    <row r="502">
      <c r="C502" s="22"/>
    </row>
    <row r="503">
      <c r="C503" s="22"/>
    </row>
    <row r="504">
      <c r="C504" s="22"/>
    </row>
    <row r="505">
      <c r="C505" s="22"/>
    </row>
    <row r="506">
      <c r="C506" s="22"/>
    </row>
    <row r="507">
      <c r="C507" s="22"/>
    </row>
    <row r="508">
      <c r="C508" s="22"/>
    </row>
    <row r="509">
      <c r="C509" s="22"/>
    </row>
    <row r="510">
      <c r="C510" s="22"/>
    </row>
    <row r="511">
      <c r="C511" s="22"/>
    </row>
    <row r="512">
      <c r="C512" s="22"/>
    </row>
    <row r="513">
      <c r="C513" s="22"/>
    </row>
    <row r="514">
      <c r="C514" s="22"/>
    </row>
    <row r="515">
      <c r="C515" s="22"/>
    </row>
    <row r="516">
      <c r="C516" s="22"/>
    </row>
    <row r="517">
      <c r="C517" s="22"/>
    </row>
    <row r="518">
      <c r="C518" s="22"/>
    </row>
    <row r="519">
      <c r="C519" s="22"/>
    </row>
    <row r="520">
      <c r="C520" s="22"/>
    </row>
    <row r="521">
      <c r="C521" s="22"/>
    </row>
    <row r="522">
      <c r="C522" s="22"/>
    </row>
    <row r="523">
      <c r="C523" s="22"/>
    </row>
    <row r="524">
      <c r="C524" s="22"/>
    </row>
    <row r="525">
      <c r="C525" s="22"/>
    </row>
    <row r="526">
      <c r="C526" s="22"/>
    </row>
    <row r="527">
      <c r="C527" s="22"/>
    </row>
    <row r="528">
      <c r="C528" s="22"/>
    </row>
    <row r="529">
      <c r="C529" s="22"/>
    </row>
    <row r="530">
      <c r="C530" s="22"/>
    </row>
    <row r="531">
      <c r="C531" s="22"/>
    </row>
    <row r="532">
      <c r="C532" s="22"/>
    </row>
    <row r="533">
      <c r="C533" s="22"/>
    </row>
    <row r="534">
      <c r="C534" s="22"/>
    </row>
    <row r="535">
      <c r="C535" s="22"/>
    </row>
    <row r="536">
      <c r="C536" s="22"/>
    </row>
    <row r="537">
      <c r="C537" s="22"/>
    </row>
    <row r="538">
      <c r="C538" s="22"/>
    </row>
    <row r="539">
      <c r="C539" s="22"/>
    </row>
    <row r="540">
      <c r="C540" s="22"/>
    </row>
    <row r="541">
      <c r="C541" s="22"/>
    </row>
    <row r="542">
      <c r="C542" s="22"/>
    </row>
    <row r="543">
      <c r="C543" s="22"/>
    </row>
    <row r="544">
      <c r="C544" s="22"/>
    </row>
    <row r="545">
      <c r="C545" s="22"/>
    </row>
    <row r="546">
      <c r="C546" s="22"/>
    </row>
    <row r="547">
      <c r="C547" s="22"/>
    </row>
    <row r="548">
      <c r="C548" s="22"/>
    </row>
    <row r="549">
      <c r="C549" s="22"/>
    </row>
    <row r="550">
      <c r="C550" s="22"/>
    </row>
    <row r="551">
      <c r="C551" s="22"/>
    </row>
    <row r="552">
      <c r="C552" s="22"/>
    </row>
    <row r="553">
      <c r="C553" s="22"/>
    </row>
    <row r="554">
      <c r="C554" s="22"/>
    </row>
    <row r="555">
      <c r="C555" s="22"/>
    </row>
    <row r="556">
      <c r="C556" s="22"/>
    </row>
    <row r="557">
      <c r="C557" s="22"/>
    </row>
    <row r="558">
      <c r="C558" s="22"/>
    </row>
    <row r="559">
      <c r="C559" s="22"/>
    </row>
    <row r="560">
      <c r="C560" s="22"/>
    </row>
    <row r="561">
      <c r="C561" s="22"/>
    </row>
    <row r="562">
      <c r="C562" s="22"/>
    </row>
    <row r="563">
      <c r="C563" s="22"/>
    </row>
    <row r="564">
      <c r="C564" s="22"/>
    </row>
    <row r="565">
      <c r="C565" s="22"/>
    </row>
    <row r="566">
      <c r="C566" s="22"/>
    </row>
    <row r="567">
      <c r="C567" s="22"/>
    </row>
    <row r="568">
      <c r="C568" s="22"/>
    </row>
    <row r="569">
      <c r="C569" s="22"/>
    </row>
    <row r="570">
      <c r="C570" s="22"/>
    </row>
    <row r="571">
      <c r="C571" s="22"/>
    </row>
    <row r="572">
      <c r="C572" s="22"/>
    </row>
    <row r="573">
      <c r="C573" s="22"/>
    </row>
    <row r="574">
      <c r="C574" s="22"/>
    </row>
    <row r="575">
      <c r="C575" s="22"/>
    </row>
    <row r="576">
      <c r="C576" s="22"/>
    </row>
    <row r="577">
      <c r="C577" s="22"/>
    </row>
    <row r="578">
      <c r="C578" s="22"/>
    </row>
    <row r="579">
      <c r="C579" s="22"/>
    </row>
    <row r="580">
      <c r="C580" s="22"/>
    </row>
    <row r="581">
      <c r="C581" s="22"/>
    </row>
    <row r="582">
      <c r="C582" s="22"/>
    </row>
    <row r="583">
      <c r="C583" s="22"/>
    </row>
    <row r="584">
      <c r="C584" s="22"/>
    </row>
    <row r="585">
      <c r="C585" s="22"/>
    </row>
    <row r="586">
      <c r="C586" s="22"/>
    </row>
    <row r="587">
      <c r="C587" s="22"/>
    </row>
    <row r="588">
      <c r="C588" s="22"/>
    </row>
    <row r="589">
      <c r="C589" s="22"/>
    </row>
    <row r="590">
      <c r="C590" s="22"/>
    </row>
    <row r="591">
      <c r="C591" s="22"/>
    </row>
    <row r="592">
      <c r="C592" s="22"/>
    </row>
    <row r="593">
      <c r="C593" s="22"/>
    </row>
    <row r="594">
      <c r="C594" s="22"/>
    </row>
    <row r="595">
      <c r="C595" s="22"/>
    </row>
    <row r="596">
      <c r="C596" s="22"/>
    </row>
    <row r="597">
      <c r="C597" s="22"/>
    </row>
    <row r="598">
      <c r="C598" s="22"/>
    </row>
    <row r="599">
      <c r="C599" s="22"/>
    </row>
    <row r="600">
      <c r="C600" s="22"/>
    </row>
    <row r="601">
      <c r="C601" s="22"/>
    </row>
    <row r="602">
      <c r="C602" s="22"/>
    </row>
    <row r="603">
      <c r="C603" s="22"/>
    </row>
    <row r="604">
      <c r="C604" s="22"/>
    </row>
    <row r="605">
      <c r="C605" s="22"/>
    </row>
    <row r="606">
      <c r="C606" s="22"/>
    </row>
    <row r="607">
      <c r="C607" s="22"/>
    </row>
    <row r="608">
      <c r="C608" s="22"/>
    </row>
    <row r="609">
      <c r="C609" s="22"/>
    </row>
    <row r="610">
      <c r="C610" s="22"/>
    </row>
    <row r="611">
      <c r="C611" s="22"/>
    </row>
    <row r="612">
      <c r="C612" s="22"/>
    </row>
    <row r="613">
      <c r="C613" s="22"/>
    </row>
    <row r="614">
      <c r="C614" s="22"/>
    </row>
    <row r="615">
      <c r="C615" s="22"/>
    </row>
    <row r="616">
      <c r="C616" s="22"/>
    </row>
    <row r="617">
      <c r="C617" s="22"/>
    </row>
    <row r="618">
      <c r="C618" s="22"/>
    </row>
    <row r="619">
      <c r="C619" s="22"/>
    </row>
    <row r="620">
      <c r="C620" s="22"/>
    </row>
    <row r="621">
      <c r="C621" s="22"/>
    </row>
    <row r="622">
      <c r="C622" s="22"/>
    </row>
    <row r="623">
      <c r="C623" s="22"/>
    </row>
    <row r="624">
      <c r="C624" s="22"/>
    </row>
    <row r="625">
      <c r="C625" s="22"/>
    </row>
    <row r="626">
      <c r="C626" s="22"/>
    </row>
    <row r="627">
      <c r="C627" s="22"/>
    </row>
    <row r="628">
      <c r="C628" s="22"/>
    </row>
    <row r="629">
      <c r="C629" s="22"/>
    </row>
    <row r="630">
      <c r="C630" s="22"/>
    </row>
    <row r="631">
      <c r="C631" s="22"/>
    </row>
    <row r="632">
      <c r="C632" s="22"/>
    </row>
    <row r="633">
      <c r="C633" s="22"/>
    </row>
    <row r="634">
      <c r="C634" s="22"/>
    </row>
    <row r="635">
      <c r="C635" s="22"/>
    </row>
    <row r="636">
      <c r="C636" s="22"/>
    </row>
    <row r="637">
      <c r="C637" s="22"/>
    </row>
    <row r="638">
      <c r="C638" s="22"/>
    </row>
    <row r="639">
      <c r="C639" s="22"/>
    </row>
    <row r="640">
      <c r="C640" s="22"/>
    </row>
    <row r="641">
      <c r="C641" s="22"/>
    </row>
    <row r="642">
      <c r="C642" s="22"/>
    </row>
    <row r="643">
      <c r="C643" s="22"/>
    </row>
    <row r="644">
      <c r="C644" s="22"/>
    </row>
    <row r="645">
      <c r="C645" s="22"/>
    </row>
    <row r="646">
      <c r="C646" s="22"/>
    </row>
    <row r="647">
      <c r="C647" s="22"/>
    </row>
    <row r="648">
      <c r="C648" s="22"/>
    </row>
    <row r="649">
      <c r="C649" s="22"/>
    </row>
    <row r="650">
      <c r="C650" s="22"/>
    </row>
    <row r="651">
      <c r="C651" s="22"/>
    </row>
    <row r="652">
      <c r="C652" s="22"/>
    </row>
    <row r="653">
      <c r="C653" s="22"/>
    </row>
    <row r="654">
      <c r="C654" s="22"/>
    </row>
    <row r="655">
      <c r="C655" s="22"/>
    </row>
    <row r="656">
      <c r="C656" s="22"/>
    </row>
    <row r="657">
      <c r="C657" s="22"/>
    </row>
    <row r="658">
      <c r="C658" s="22"/>
    </row>
    <row r="659">
      <c r="C659" s="22"/>
    </row>
    <row r="660">
      <c r="C660" s="22"/>
    </row>
    <row r="661">
      <c r="C661" s="22"/>
    </row>
    <row r="662">
      <c r="C662" s="22"/>
    </row>
    <row r="663">
      <c r="C663" s="22"/>
    </row>
    <row r="664">
      <c r="C664" s="22"/>
    </row>
    <row r="665">
      <c r="C665" s="22"/>
    </row>
    <row r="666">
      <c r="C666" s="22"/>
    </row>
    <row r="667">
      <c r="C667" s="22"/>
    </row>
    <row r="668">
      <c r="C668" s="22"/>
    </row>
    <row r="669">
      <c r="C669" s="22"/>
    </row>
    <row r="670">
      <c r="C670" s="22"/>
    </row>
    <row r="671">
      <c r="C671" s="22"/>
    </row>
    <row r="672">
      <c r="C672" s="22"/>
    </row>
    <row r="673">
      <c r="C673" s="22"/>
    </row>
    <row r="674">
      <c r="C674" s="22"/>
    </row>
    <row r="675">
      <c r="C675" s="22"/>
    </row>
    <row r="676">
      <c r="C676" s="22"/>
    </row>
    <row r="677">
      <c r="C677" s="22"/>
    </row>
    <row r="678">
      <c r="C678" s="22"/>
    </row>
    <row r="679">
      <c r="C679" s="22"/>
    </row>
    <row r="680">
      <c r="C680" s="22"/>
    </row>
    <row r="681">
      <c r="C681" s="22"/>
    </row>
    <row r="682">
      <c r="C682" s="22"/>
    </row>
    <row r="683">
      <c r="C683" s="22"/>
    </row>
    <row r="684">
      <c r="C684" s="22"/>
    </row>
    <row r="685">
      <c r="C685" s="22"/>
    </row>
    <row r="686">
      <c r="C686" s="22"/>
    </row>
    <row r="687">
      <c r="C687" s="22"/>
    </row>
    <row r="688">
      <c r="C688" s="22"/>
    </row>
    <row r="689">
      <c r="C689" s="22"/>
    </row>
    <row r="690">
      <c r="C690" s="22"/>
    </row>
    <row r="691">
      <c r="C691" s="22"/>
    </row>
    <row r="692">
      <c r="C692" s="22"/>
    </row>
    <row r="693">
      <c r="C693" s="22"/>
    </row>
    <row r="694">
      <c r="C694" s="22"/>
    </row>
    <row r="695">
      <c r="C695" s="22"/>
    </row>
    <row r="696">
      <c r="C696" s="22"/>
    </row>
    <row r="697">
      <c r="C697" s="22"/>
    </row>
    <row r="698">
      <c r="C698" s="22"/>
    </row>
    <row r="699">
      <c r="C699" s="22"/>
    </row>
    <row r="700">
      <c r="C700" s="22"/>
    </row>
    <row r="701">
      <c r="C701" s="22"/>
    </row>
    <row r="702">
      <c r="C702" s="22"/>
    </row>
    <row r="703">
      <c r="C703" s="22"/>
    </row>
    <row r="704">
      <c r="C704" s="22"/>
    </row>
    <row r="705">
      <c r="C705" s="22"/>
    </row>
    <row r="706">
      <c r="C706" s="22"/>
    </row>
    <row r="707">
      <c r="C707" s="22"/>
    </row>
    <row r="708">
      <c r="C708" s="22"/>
    </row>
    <row r="709">
      <c r="C709" s="22"/>
    </row>
    <row r="710">
      <c r="C710" s="22"/>
    </row>
    <row r="711">
      <c r="C711" s="22"/>
    </row>
    <row r="712">
      <c r="C712" s="22"/>
    </row>
    <row r="713">
      <c r="C713" s="22"/>
    </row>
    <row r="714">
      <c r="C714" s="22"/>
    </row>
    <row r="715">
      <c r="C715" s="22"/>
    </row>
    <row r="716">
      <c r="C716" s="22"/>
    </row>
    <row r="717">
      <c r="C717" s="22"/>
    </row>
    <row r="718">
      <c r="C718" s="22"/>
    </row>
    <row r="719">
      <c r="C719" s="22"/>
    </row>
    <row r="720">
      <c r="C720" s="22"/>
    </row>
    <row r="721">
      <c r="C721" s="22"/>
    </row>
    <row r="722">
      <c r="C722" s="22"/>
    </row>
    <row r="723">
      <c r="C723" s="22"/>
    </row>
    <row r="724">
      <c r="C724" s="22"/>
    </row>
    <row r="725">
      <c r="C725" s="22"/>
    </row>
    <row r="726">
      <c r="C726" s="22"/>
    </row>
    <row r="727">
      <c r="C727" s="22"/>
    </row>
    <row r="728">
      <c r="C728" s="22"/>
    </row>
    <row r="729">
      <c r="C729" s="22"/>
    </row>
    <row r="730">
      <c r="C730" s="22"/>
    </row>
    <row r="731">
      <c r="C731" s="22"/>
    </row>
    <row r="732">
      <c r="C732" s="22"/>
    </row>
    <row r="733">
      <c r="C733" s="22"/>
    </row>
    <row r="734">
      <c r="C734" s="22"/>
    </row>
    <row r="735">
      <c r="C735" s="22"/>
    </row>
    <row r="736">
      <c r="C736" s="22"/>
    </row>
    <row r="737">
      <c r="C737" s="22"/>
    </row>
    <row r="738">
      <c r="C738" s="22"/>
    </row>
    <row r="739">
      <c r="C739" s="22"/>
    </row>
    <row r="740">
      <c r="C740" s="22"/>
    </row>
    <row r="741">
      <c r="C741" s="22"/>
    </row>
    <row r="742">
      <c r="C742" s="22"/>
    </row>
    <row r="743">
      <c r="C743" s="22"/>
    </row>
    <row r="744">
      <c r="C744" s="22"/>
    </row>
    <row r="745">
      <c r="C745" s="22"/>
    </row>
    <row r="746">
      <c r="C746" s="22"/>
    </row>
    <row r="747">
      <c r="C747" s="22"/>
    </row>
    <row r="748">
      <c r="C748" s="22"/>
    </row>
    <row r="749">
      <c r="C749" s="22"/>
    </row>
    <row r="750">
      <c r="C750" s="22"/>
    </row>
    <row r="751">
      <c r="C751" s="22"/>
    </row>
    <row r="752">
      <c r="C752" s="22"/>
    </row>
    <row r="753">
      <c r="C753" s="22"/>
    </row>
    <row r="754">
      <c r="C754" s="22"/>
    </row>
    <row r="755">
      <c r="C755" s="22"/>
    </row>
    <row r="756">
      <c r="C756" s="22"/>
    </row>
    <row r="757">
      <c r="C757" s="22"/>
    </row>
    <row r="758">
      <c r="C758" s="22"/>
    </row>
    <row r="759">
      <c r="C759" s="22"/>
    </row>
    <row r="760">
      <c r="C760" s="22"/>
    </row>
    <row r="761">
      <c r="C761" s="22"/>
    </row>
    <row r="762">
      <c r="C762" s="22"/>
    </row>
    <row r="763">
      <c r="C763" s="22"/>
    </row>
    <row r="764">
      <c r="C764" s="22"/>
    </row>
    <row r="765">
      <c r="C765" s="22"/>
    </row>
    <row r="766">
      <c r="C766" s="22"/>
    </row>
    <row r="767">
      <c r="C767" s="22"/>
    </row>
    <row r="768">
      <c r="C768" s="22"/>
    </row>
    <row r="769">
      <c r="C769" s="22"/>
    </row>
    <row r="770">
      <c r="C770" s="22"/>
    </row>
    <row r="771">
      <c r="C771" s="22"/>
    </row>
    <row r="772">
      <c r="C772" s="22"/>
    </row>
    <row r="773">
      <c r="C773" s="22"/>
    </row>
    <row r="774">
      <c r="C774" s="22"/>
    </row>
    <row r="775">
      <c r="C775" s="22"/>
    </row>
    <row r="776">
      <c r="C776" s="22"/>
    </row>
    <row r="777">
      <c r="C777" s="22"/>
    </row>
    <row r="778">
      <c r="C778" s="22"/>
    </row>
    <row r="779">
      <c r="C779" s="22"/>
    </row>
    <row r="780">
      <c r="C780" s="22"/>
    </row>
    <row r="781">
      <c r="C781" s="22"/>
    </row>
    <row r="782">
      <c r="C782" s="22"/>
    </row>
    <row r="783">
      <c r="C783" s="22"/>
    </row>
    <row r="784">
      <c r="C784" s="22"/>
    </row>
    <row r="785">
      <c r="C785" s="22"/>
    </row>
    <row r="786">
      <c r="C786" s="22"/>
    </row>
    <row r="787">
      <c r="C787" s="22"/>
    </row>
    <row r="788">
      <c r="C788" s="22"/>
    </row>
    <row r="789">
      <c r="C789" s="22"/>
    </row>
    <row r="790">
      <c r="C790" s="22"/>
    </row>
    <row r="791">
      <c r="C791" s="22"/>
    </row>
    <row r="792">
      <c r="C792" s="22"/>
    </row>
    <row r="793">
      <c r="C793" s="22"/>
    </row>
    <row r="794">
      <c r="C794" s="22"/>
    </row>
    <row r="795">
      <c r="C795" s="22"/>
    </row>
    <row r="796">
      <c r="C796" s="22"/>
    </row>
    <row r="797">
      <c r="C797" s="22"/>
    </row>
    <row r="798">
      <c r="C798" s="22"/>
    </row>
    <row r="799">
      <c r="C799" s="22"/>
    </row>
    <row r="800">
      <c r="C800" s="22"/>
    </row>
    <row r="801">
      <c r="C801" s="22"/>
    </row>
    <row r="802">
      <c r="C802" s="22"/>
    </row>
    <row r="803">
      <c r="C803" s="22"/>
    </row>
    <row r="804">
      <c r="C804" s="22"/>
    </row>
    <row r="805">
      <c r="C805" s="22"/>
    </row>
    <row r="806">
      <c r="C806" s="22"/>
    </row>
    <row r="807">
      <c r="C807" s="22"/>
    </row>
    <row r="808">
      <c r="C808" s="22"/>
    </row>
    <row r="809">
      <c r="C809" s="22"/>
    </row>
    <row r="810">
      <c r="C810" s="22"/>
    </row>
    <row r="811">
      <c r="C811" s="22"/>
    </row>
    <row r="812">
      <c r="C812" s="22"/>
    </row>
    <row r="813">
      <c r="C813" s="22"/>
    </row>
    <row r="814">
      <c r="C814" s="22"/>
    </row>
    <row r="815">
      <c r="C815" s="22"/>
    </row>
    <row r="816">
      <c r="C816" s="22"/>
    </row>
    <row r="817">
      <c r="C817" s="22"/>
    </row>
    <row r="818">
      <c r="C818" s="22"/>
    </row>
    <row r="819">
      <c r="C819" s="22"/>
    </row>
    <row r="820">
      <c r="C820" s="22"/>
    </row>
    <row r="821">
      <c r="C821" s="22"/>
    </row>
    <row r="822">
      <c r="C822" s="22"/>
    </row>
    <row r="823">
      <c r="C823" s="22"/>
    </row>
    <row r="824">
      <c r="C824" s="22"/>
    </row>
    <row r="825">
      <c r="C825" s="22"/>
    </row>
    <row r="826">
      <c r="C826" s="22"/>
    </row>
    <row r="827">
      <c r="C827" s="22"/>
    </row>
    <row r="828">
      <c r="C828" s="22"/>
    </row>
    <row r="829">
      <c r="C829" s="22"/>
    </row>
    <row r="830">
      <c r="C830" s="22"/>
    </row>
    <row r="831">
      <c r="C831" s="22"/>
    </row>
    <row r="832">
      <c r="C832" s="22"/>
    </row>
    <row r="833">
      <c r="C833" s="22"/>
    </row>
    <row r="834">
      <c r="C834" s="22"/>
    </row>
    <row r="835">
      <c r="C835" s="22"/>
    </row>
    <row r="836">
      <c r="C836" s="22"/>
    </row>
    <row r="837">
      <c r="C837" s="22"/>
    </row>
    <row r="838">
      <c r="C838" s="22"/>
    </row>
    <row r="839">
      <c r="C839" s="22"/>
    </row>
    <row r="840">
      <c r="C840" s="22"/>
    </row>
    <row r="841">
      <c r="C841" s="22"/>
    </row>
    <row r="842">
      <c r="C842" s="22"/>
    </row>
    <row r="843">
      <c r="C843" s="22"/>
    </row>
    <row r="844">
      <c r="C844" s="22"/>
    </row>
    <row r="845">
      <c r="C845" s="22"/>
    </row>
    <row r="846">
      <c r="C846" s="22"/>
    </row>
    <row r="847">
      <c r="C847" s="22"/>
    </row>
    <row r="848">
      <c r="C848" s="22"/>
    </row>
    <row r="849">
      <c r="C849" s="22"/>
    </row>
    <row r="850">
      <c r="C850" s="22"/>
    </row>
    <row r="851">
      <c r="C851" s="22"/>
    </row>
    <row r="852">
      <c r="C852" s="22"/>
    </row>
    <row r="853">
      <c r="C853" s="22"/>
    </row>
    <row r="854">
      <c r="C854" s="22"/>
    </row>
    <row r="855">
      <c r="C855" s="22"/>
    </row>
    <row r="856">
      <c r="C856" s="22"/>
    </row>
    <row r="857">
      <c r="C857" s="22"/>
    </row>
    <row r="858">
      <c r="C858" s="22"/>
    </row>
    <row r="859">
      <c r="C859" s="22"/>
    </row>
    <row r="860">
      <c r="C860" s="22"/>
    </row>
    <row r="861">
      <c r="C861" s="22"/>
    </row>
    <row r="862">
      <c r="C862" s="22"/>
    </row>
    <row r="863">
      <c r="C863" s="22"/>
    </row>
    <row r="864">
      <c r="C864" s="22"/>
    </row>
    <row r="865">
      <c r="C865" s="22"/>
    </row>
    <row r="866">
      <c r="C866" s="22"/>
    </row>
    <row r="867">
      <c r="C867" s="22"/>
    </row>
    <row r="868">
      <c r="C868" s="22"/>
    </row>
    <row r="869">
      <c r="C869" s="22"/>
    </row>
    <row r="870">
      <c r="C870" s="22"/>
    </row>
    <row r="871">
      <c r="C871" s="22"/>
    </row>
    <row r="872">
      <c r="C872" s="22"/>
    </row>
    <row r="873">
      <c r="C873" s="22"/>
    </row>
    <row r="874">
      <c r="C874" s="22"/>
    </row>
    <row r="875">
      <c r="C875" s="22"/>
    </row>
    <row r="876">
      <c r="C876" s="22"/>
    </row>
    <row r="877">
      <c r="C877" s="22"/>
    </row>
    <row r="878">
      <c r="C878" s="22"/>
    </row>
    <row r="879">
      <c r="C879" s="22"/>
    </row>
    <row r="880">
      <c r="C880" s="22"/>
    </row>
    <row r="881">
      <c r="C881" s="22"/>
    </row>
    <row r="882">
      <c r="C882" s="22"/>
    </row>
    <row r="883">
      <c r="C883" s="22"/>
    </row>
    <row r="884">
      <c r="C884" s="22"/>
    </row>
    <row r="885">
      <c r="C885" s="22"/>
    </row>
    <row r="886">
      <c r="C886" s="22"/>
    </row>
    <row r="887">
      <c r="C887" s="22"/>
    </row>
    <row r="888">
      <c r="C888" s="22"/>
    </row>
    <row r="889">
      <c r="C889" s="22"/>
    </row>
    <row r="890">
      <c r="C890" s="22"/>
    </row>
    <row r="891">
      <c r="C891" s="22"/>
    </row>
    <row r="892">
      <c r="C892" s="22"/>
    </row>
    <row r="893">
      <c r="C893" s="22"/>
    </row>
    <row r="894">
      <c r="C894" s="22"/>
    </row>
    <row r="895">
      <c r="C895" s="22"/>
    </row>
    <row r="896">
      <c r="C896" s="22"/>
    </row>
    <row r="897">
      <c r="C897" s="22"/>
    </row>
    <row r="898">
      <c r="C898" s="22"/>
    </row>
    <row r="899">
      <c r="C899" s="22"/>
    </row>
    <row r="900">
      <c r="C900" s="22"/>
    </row>
    <row r="901">
      <c r="C901" s="22"/>
    </row>
    <row r="902">
      <c r="C902" s="22"/>
    </row>
    <row r="903">
      <c r="C903" s="22"/>
    </row>
    <row r="904">
      <c r="C904" s="22"/>
    </row>
    <row r="905">
      <c r="C905" s="22"/>
    </row>
    <row r="906">
      <c r="C906" s="22"/>
    </row>
    <row r="907">
      <c r="C907" s="22"/>
    </row>
    <row r="908">
      <c r="C908" s="22"/>
    </row>
    <row r="909">
      <c r="C909" s="22"/>
    </row>
    <row r="910">
      <c r="C910" s="22"/>
    </row>
    <row r="911">
      <c r="C911" s="22"/>
    </row>
    <row r="912">
      <c r="C912" s="22"/>
    </row>
    <row r="913">
      <c r="C913" s="22"/>
    </row>
    <row r="914">
      <c r="C914" s="22"/>
    </row>
    <row r="915">
      <c r="C915" s="22"/>
    </row>
    <row r="916">
      <c r="C916" s="22"/>
    </row>
    <row r="917">
      <c r="C917" s="22"/>
    </row>
    <row r="918">
      <c r="C918" s="22"/>
    </row>
    <row r="919">
      <c r="C919" s="22"/>
    </row>
    <row r="920">
      <c r="C920" s="22"/>
    </row>
    <row r="921">
      <c r="C921" s="22"/>
    </row>
    <row r="922">
      <c r="C922" s="22"/>
    </row>
    <row r="923">
      <c r="C923" s="22"/>
    </row>
    <row r="924">
      <c r="C924" s="22"/>
    </row>
    <row r="925">
      <c r="C925" s="22"/>
    </row>
    <row r="926">
      <c r="C926" s="22"/>
    </row>
    <row r="927">
      <c r="C927" s="22"/>
    </row>
    <row r="928">
      <c r="C928" s="22"/>
    </row>
    <row r="929">
      <c r="C929" s="22"/>
    </row>
    <row r="930">
      <c r="C930" s="22"/>
    </row>
    <row r="931">
      <c r="C931" s="22"/>
    </row>
    <row r="932">
      <c r="C932" s="22"/>
    </row>
    <row r="933">
      <c r="C933" s="22"/>
    </row>
    <row r="934">
      <c r="C934" s="22"/>
    </row>
    <row r="935">
      <c r="C935" s="22"/>
    </row>
    <row r="936">
      <c r="C936" s="22"/>
    </row>
    <row r="937">
      <c r="C937" s="22"/>
    </row>
    <row r="938">
      <c r="C938" s="22"/>
    </row>
    <row r="939">
      <c r="C939" s="22"/>
    </row>
    <row r="940">
      <c r="C940" s="22"/>
    </row>
    <row r="941">
      <c r="C941" s="22"/>
    </row>
    <row r="942">
      <c r="C942" s="22"/>
    </row>
    <row r="943">
      <c r="C943" s="22"/>
    </row>
    <row r="944">
      <c r="C944" s="22"/>
    </row>
    <row r="945">
      <c r="C945" s="22"/>
    </row>
    <row r="946">
      <c r="C946" s="22"/>
    </row>
    <row r="947">
      <c r="C947" s="22"/>
    </row>
    <row r="948">
      <c r="C948" s="22"/>
    </row>
    <row r="949">
      <c r="C949" s="22"/>
    </row>
    <row r="950">
      <c r="C950" s="22"/>
    </row>
    <row r="951">
      <c r="C951" s="22"/>
    </row>
    <row r="952">
      <c r="C952" s="22"/>
    </row>
    <row r="953">
      <c r="C953" s="22"/>
    </row>
    <row r="954">
      <c r="C954" s="22"/>
    </row>
    <row r="955">
      <c r="C955" s="22"/>
    </row>
    <row r="956">
      <c r="C956" s="22"/>
    </row>
    <row r="957">
      <c r="C957" s="22"/>
    </row>
    <row r="958">
      <c r="C958" s="22"/>
    </row>
    <row r="959">
      <c r="C959" s="22"/>
    </row>
    <row r="960">
      <c r="C960" s="22"/>
    </row>
    <row r="961">
      <c r="C961" s="22"/>
    </row>
    <row r="962">
      <c r="C962" s="22"/>
    </row>
    <row r="963">
      <c r="C963" s="22"/>
    </row>
    <row r="964">
      <c r="C964" s="22"/>
    </row>
    <row r="965">
      <c r="C965" s="22"/>
    </row>
    <row r="966">
      <c r="C966" s="22"/>
    </row>
    <row r="967">
      <c r="C967" s="22"/>
    </row>
    <row r="968">
      <c r="C968" s="22"/>
    </row>
    <row r="969">
      <c r="C969" s="22"/>
    </row>
    <row r="970">
      <c r="C970" s="22"/>
    </row>
    <row r="971">
      <c r="C971" s="22"/>
    </row>
    <row r="972">
      <c r="C972" s="22"/>
    </row>
    <row r="973">
      <c r="C973" s="22"/>
    </row>
    <row r="974">
      <c r="C974" s="22"/>
    </row>
    <row r="975">
      <c r="C975" s="22"/>
    </row>
    <row r="976">
      <c r="C976" s="22"/>
    </row>
    <row r="977">
      <c r="C977" s="22"/>
    </row>
    <row r="978">
      <c r="C978" s="22"/>
    </row>
    <row r="979">
      <c r="C979" s="22"/>
    </row>
    <row r="980">
      <c r="C980" s="22"/>
    </row>
    <row r="981">
      <c r="C981" s="22"/>
    </row>
    <row r="982">
      <c r="C982" s="22"/>
    </row>
    <row r="983">
      <c r="C983" s="22"/>
    </row>
    <row r="984">
      <c r="C984" s="22"/>
    </row>
    <row r="985">
      <c r="C985" s="22"/>
    </row>
    <row r="986">
      <c r="C986" s="22"/>
    </row>
    <row r="987">
      <c r="C987" s="22"/>
    </row>
    <row r="988">
      <c r="C988" s="22"/>
    </row>
    <row r="989">
      <c r="C989" s="22"/>
    </row>
    <row r="990">
      <c r="C990" s="22"/>
    </row>
    <row r="991">
      <c r="C991" s="22"/>
    </row>
    <row r="992">
      <c r="C992" s="22"/>
    </row>
    <row r="993">
      <c r="C993" s="22"/>
    </row>
    <row r="994">
      <c r="C994" s="22"/>
    </row>
    <row r="995">
      <c r="C995" s="22"/>
    </row>
    <row r="996">
      <c r="C996" s="22"/>
    </row>
    <row r="997">
      <c r="C997" s="22"/>
    </row>
    <row r="998">
      <c r="C998" s="22"/>
    </row>
    <row r="999">
      <c r="C999" s="22"/>
    </row>
    <row r="1000">
      <c r="C1000" s="22"/>
    </row>
    <row r="1001">
      <c r="C1001" s="22"/>
    </row>
  </sheetData>
  <autoFilter ref="$A$1:$T$81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</hyperlinks>
  <drawing r:id="rId8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55.25"/>
    <col customWidth="1" min="3" max="3" width="13.88"/>
    <col customWidth="1" min="4" max="4" width="72.13"/>
    <col customWidth="1" min="5" max="5" width="15.13"/>
    <col customWidth="1" min="6" max="6" width="41.38"/>
    <col customWidth="1" min="7" max="9" width="21.38"/>
    <col customWidth="1" min="10" max="10" width="27.63"/>
    <col customWidth="1" min="11" max="11" width="41.38"/>
  </cols>
  <sheetData>
    <row r="1">
      <c r="A1" s="2" t="s">
        <v>2</v>
      </c>
      <c r="B1" s="2" t="s">
        <v>913</v>
      </c>
      <c r="C1" s="2" t="s">
        <v>4</v>
      </c>
      <c r="D1" s="2" t="s">
        <v>914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915</v>
      </c>
      <c r="K1" s="2" t="s">
        <v>58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2">
        <v>1.0</v>
      </c>
      <c r="B2" s="24" t="s">
        <v>43</v>
      </c>
      <c r="C2" s="25" t="s">
        <v>75</v>
      </c>
      <c r="D2" s="24" t="s">
        <v>167</v>
      </c>
      <c r="E2" s="13" t="s">
        <v>184</v>
      </c>
      <c r="F2" s="13" t="s">
        <v>917</v>
      </c>
      <c r="G2" s="13" t="s">
        <v>188</v>
      </c>
      <c r="H2" s="13" t="s">
        <v>188</v>
      </c>
      <c r="I2" s="13" t="s">
        <v>190</v>
      </c>
      <c r="J2" s="13" t="s">
        <v>183</v>
      </c>
      <c r="K2" s="13" t="s">
        <v>918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2">
        <v>1.0</v>
      </c>
      <c r="B3" s="24" t="s">
        <v>43</v>
      </c>
      <c r="C3" s="25" t="s">
        <v>75</v>
      </c>
      <c r="D3" s="24" t="s">
        <v>197</v>
      </c>
      <c r="E3" s="13" t="s">
        <v>184</v>
      </c>
      <c r="F3" s="13" t="s">
        <v>921</v>
      </c>
      <c r="G3" s="13" t="s">
        <v>188</v>
      </c>
      <c r="H3" s="13" t="s">
        <v>188</v>
      </c>
      <c r="I3" s="13" t="s">
        <v>190</v>
      </c>
      <c r="J3" s="13" t="s">
        <v>216</v>
      </c>
      <c r="K3" s="13" t="s">
        <v>918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2">
        <v>1.0</v>
      </c>
      <c r="B4" s="24" t="s">
        <v>43</v>
      </c>
      <c r="C4" s="25" t="s">
        <v>75</v>
      </c>
      <c r="D4" s="24" t="s">
        <v>225</v>
      </c>
      <c r="E4" s="13" t="s">
        <v>184</v>
      </c>
      <c r="F4" s="13" t="s">
        <v>922</v>
      </c>
      <c r="G4" s="13" t="s">
        <v>188</v>
      </c>
      <c r="H4" s="13" t="s">
        <v>188</v>
      </c>
      <c r="I4" s="13" t="s">
        <v>190</v>
      </c>
      <c r="J4" s="13" t="s">
        <v>239</v>
      </c>
      <c r="K4" s="13" t="s">
        <v>918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2">
        <v>1.0</v>
      </c>
      <c r="B5" s="24" t="s">
        <v>43</v>
      </c>
      <c r="C5" s="25" t="s">
        <v>75</v>
      </c>
      <c r="D5" s="24" t="s">
        <v>247</v>
      </c>
      <c r="E5" s="13" t="s">
        <v>184</v>
      </c>
      <c r="F5" s="13" t="s">
        <v>924</v>
      </c>
      <c r="G5" s="13" t="s">
        <v>188</v>
      </c>
      <c r="H5" s="13" t="s">
        <v>188</v>
      </c>
      <c r="I5" s="13" t="s">
        <v>190</v>
      </c>
      <c r="J5" s="13" t="s">
        <v>262</v>
      </c>
      <c r="K5" s="13" t="s">
        <v>918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2">
        <v>1.0</v>
      </c>
      <c r="B6" s="24" t="s">
        <v>43</v>
      </c>
      <c r="C6" s="25" t="s">
        <v>75</v>
      </c>
      <c r="D6" s="24" t="s">
        <v>270</v>
      </c>
      <c r="E6" s="13" t="s">
        <v>283</v>
      </c>
      <c r="F6" s="13" t="s">
        <v>927</v>
      </c>
      <c r="G6" s="13" t="s">
        <v>188</v>
      </c>
      <c r="H6" s="13" t="s">
        <v>188</v>
      </c>
      <c r="I6" s="13" t="s">
        <v>190</v>
      </c>
      <c r="J6" s="13" t="s">
        <v>183</v>
      </c>
      <c r="K6" s="13" t="s">
        <v>918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2">
        <v>2.0</v>
      </c>
      <c r="B7" s="24" t="s">
        <v>44</v>
      </c>
      <c r="C7" s="25" t="s">
        <v>533</v>
      </c>
      <c r="D7" s="24" t="s">
        <v>557</v>
      </c>
      <c r="E7" s="13" t="s">
        <v>184</v>
      </c>
      <c r="F7" s="13" t="s">
        <v>934</v>
      </c>
      <c r="G7" s="13" t="s">
        <v>188</v>
      </c>
      <c r="H7" s="13" t="s">
        <v>188</v>
      </c>
      <c r="I7" s="13" t="s">
        <v>190</v>
      </c>
      <c r="J7" s="13" t="s">
        <v>723</v>
      </c>
      <c r="K7" s="13" t="s">
        <v>936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2">
        <v>2.0</v>
      </c>
      <c r="B8" s="24" t="s">
        <v>44</v>
      </c>
      <c r="C8" s="25" t="s">
        <v>533</v>
      </c>
      <c r="D8" s="24" t="s">
        <v>54</v>
      </c>
      <c r="E8" s="13" t="s">
        <v>283</v>
      </c>
      <c r="F8" s="13" t="s">
        <v>940</v>
      </c>
      <c r="G8" s="13" t="s">
        <v>188</v>
      </c>
      <c r="H8" s="13" t="s">
        <v>188</v>
      </c>
      <c r="I8" s="13" t="s">
        <v>190</v>
      </c>
      <c r="J8" s="13" t="s">
        <v>570</v>
      </c>
      <c r="K8" s="13" t="s">
        <v>918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2">
        <v>3.0</v>
      </c>
      <c r="B9" s="24" t="s">
        <v>54</v>
      </c>
      <c r="C9" s="25" t="s">
        <v>533</v>
      </c>
      <c r="D9" s="24" t="s">
        <v>557</v>
      </c>
      <c r="E9" s="13" t="s">
        <v>184</v>
      </c>
      <c r="F9" s="13" t="s">
        <v>941</v>
      </c>
      <c r="G9" s="13" t="s">
        <v>188</v>
      </c>
      <c r="H9" s="13" t="s">
        <v>188</v>
      </c>
      <c r="I9" s="13" t="s">
        <v>190</v>
      </c>
      <c r="J9" s="13" t="s">
        <v>875</v>
      </c>
      <c r="K9" s="13" t="s">
        <v>936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2">
        <v>3.0</v>
      </c>
      <c r="B10" s="24" t="s">
        <v>54</v>
      </c>
      <c r="C10" s="25" t="s">
        <v>533</v>
      </c>
      <c r="D10" s="24" t="s">
        <v>572</v>
      </c>
      <c r="E10" s="13" t="s">
        <v>184</v>
      </c>
      <c r="F10" s="13" t="s">
        <v>951</v>
      </c>
      <c r="G10" s="13" t="s">
        <v>188</v>
      </c>
      <c r="H10" s="13" t="s">
        <v>188</v>
      </c>
      <c r="I10" s="13" t="s">
        <v>190</v>
      </c>
      <c r="J10" s="13" t="s">
        <v>952</v>
      </c>
      <c r="K10" s="13" t="s">
        <v>954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2">
        <v>3.0</v>
      </c>
      <c r="B11" s="24" t="s">
        <v>54</v>
      </c>
      <c r="C11" s="25" t="s">
        <v>533</v>
      </c>
      <c r="D11" s="24" t="s">
        <v>590</v>
      </c>
      <c r="E11" s="13" t="s">
        <v>184</v>
      </c>
      <c r="F11" s="13" t="s">
        <v>959</v>
      </c>
      <c r="G11" s="13" t="s">
        <v>188</v>
      </c>
      <c r="H11" s="13" t="s">
        <v>188</v>
      </c>
      <c r="I11" s="13" t="s">
        <v>190</v>
      </c>
      <c r="J11" s="13" t="s">
        <v>960</v>
      </c>
      <c r="K11" s="13" t="s">
        <v>961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2">
        <v>3.0</v>
      </c>
      <c r="B12" s="24" t="s">
        <v>54</v>
      </c>
      <c r="C12" s="25" t="s">
        <v>533</v>
      </c>
      <c r="D12" s="24" t="s">
        <v>587</v>
      </c>
      <c r="E12" s="13" t="s">
        <v>283</v>
      </c>
      <c r="F12" s="13" t="s">
        <v>969</v>
      </c>
      <c r="G12" s="13" t="s">
        <v>188</v>
      </c>
      <c r="H12" s="13" t="s">
        <v>188</v>
      </c>
      <c r="I12" s="13" t="s">
        <v>190</v>
      </c>
      <c r="J12" s="13" t="s">
        <v>875</v>
      </c>
      <c r="K12" s="13" t="s">
        <v>954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2">
        <v>3.0</v>
      </c>
      <c r="B13" s="24" t="s">
        <v>54</v>
      </c>
      <c r="C13" s="25" t="s">
        <v>533</v>
      </c>
      <c r="D13" s="24" t="s">
        <v>597</v>
      </c>
      <c r="E13" s="13" t="s">
        <v>283</v>
      </c>
      <c r="F13" s="13" t="s">
        <v>978</v>
      </c>
      <c r="G13" s="13" t="s">
        <v>188</v>
      </c>
      <c r="H13" s="13" t="s">
        <v>188</v>
      </c>
      <c r="I13" s="13" t="s">
        <v>190</v>
      </c>
      <c r="J13" s="13" t="s">
        <v>952</v>
      </c>
      <c r="K13" s="13" t="s">
        <v>918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2">
        <v>4.0</v>
      </c>
      <c r="B14" s="24" t="s">
        <v>73</v>
      </c>
      <c r="C14" s="25" t="s">
        <v>533</v>
      </c>
      <c r="D14" s="24" t="s">
        <v>629</v>
      </c>
      <c r="E14" s="13" t="s">
        <v>184</v>
      </c>
      <c r="F14" s="13" t="s">
        <v>988</v>
      </c>
      <c r="G14" s="13" t="s">
        <v>188</v>
      </c>
      <c r="H14" s="13" t="s">
        <v>188</v>
      </c>
      <c r="I14" s="13" t="s">
        <v>190</v>
      </c>
      <c r="J14" s="13" t="s">
        <v>727</v>
      </c>
      <c r="K14" s="13" t="s">
        <v>961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2">
        <v>4.0</v>
      </c>
      <c r="B15" s="24" t="s">
        <v>73</v>
      </c>
      <c r="C15" s="25" t="s">
        <v>533</v>
      </c>
      <c r="D15" s="24" t="s">
        <v>638</v>
      </c>
      <c r="E15" s="13" t="s">
        <v>184</v>
      </c>
      <c r="F15" s="13" t="s">
        <v>990</v>
      </c>
      <c r="G15" s="13" t="s">
        <v>188</v>
      </c>
      <c r="H15" s="13" t="s">
        <v>188</v>
      </c>
      <c r="I15" s="13" t="s">
        <v>190</v>
      </c>
      <c r="J15" s="13" t="s">
        <v>991</v>
      </c>
      <c r="K15" s="13" t="s">
        <v>961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2">
        <v>4.0</v>
      </c>
      <c r="B16" s="24" t="s">
        <v>73</v>
      </c>
      <c r="C16" s="25" t="s">
        <v>533</v>
      </c>
      <c r="D16" s="24" t="s">
        <v>652</v>
      </c>
      <c r="E16" s="13" t="s">
        <v>184</v>
      </c>
      <c r="F16" s="13" t="s">
        <v>992</v>
      </c>
      <c r="G16" s="13" t="s">
        <v>188</v>
      </c>
      <c r="H16" s="13" t="s">
        <v>188</v>
      </c>
      <c r="I16" s="13" t="s">
        <v>190</v>
      </c>
      <c r="J16" s="13" t="s">
        <v>993</v>
      </c>
      <c r="K16" s="13" t="s">
        <v>918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2">
        <v>4.0</v>
      </c>
      <c r="B17" s="24" t="s">
        <v>73</v>
      </c>
      <c r="C17" s="25" t="s">
        <v>533</v>
      </c>
      <c r="D17" s="24" t="s">
        <v>732</v>
      </c>
      <c r="E17" s="13" t="s">
        <v>283</v>
      </c>
      <c r="F17" s="13" t="s">
        <v>995</v>
      </c>
      <c r="G17" s="13" t="s">
        <v>188</v>
      </c>
      <c r="H17" s="13" t="s">
        <v>188</v>
      </c>
      <c r="I17" s="13" t="s">
        <v>190</v>
      </c>
      <c r="J17" s="13" t="s">
        <v>727</v>
      </c>
      <c r="K17" s="13" t="s">
        <v>918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2">
        <v>4.0</v>
      </c>
      <c r="B18" s="24" t="s">
        <v>73</v>
      </c>
      <c r="C18" s="25" t="s">
        <v>533</v>
      </c>
      <c r="D18" s="24" t="s">
        <v>641</v>
      </c>
      <c r="E18" s="13" t="s">
        <v>283</v>
      </c>
      <c r="F18" s="13" t="s">
        <v>998</v>
      </c>
      <c r="G18" s="13" t="s">
        <v>188</v>
      </c>
      <c r="H18" s="13" t="s">
        <v>188</v>
      </c>
      <c r="I18" s="13" t="s">
        <v>190</v>
      </c>
      <c r="J18" s="13" t="s">
        <v>991</v>
      </c>
      <c r="K18" s="13" t="s">
        <v>961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2">
        <v>5.0</v>
      </c>
      <c r="B19" s="24" t="s">
        <v>227</v>
      </c>
      <c r="C19" s="25" t="s">
        <v>533</v>
      </c>
      <c r="D19" s="24" t="s">
        <v>593</v>
      </c>
      <c r="E19" s="13" t="s">
        <v>184</v>
      </c>
      <c r="F19" s="13" t="s">
        <v>1004</v>
      </c>
      <c r="G19" s="13" t="s">
        <v>188</v>
      </c>
      <c r="H19" s="13" t="s">
        <v>188</v>
      </c>
      <c r="I19" s="13" t="s">
        <v>190</v>
      </c>
      <c r="J19" s="13" t="s">
        <v>769</v>
      </c>
      <c r="K19" s="13" t="s">
        <v>961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2">
        <v>5.0</v>
      </c>
      <c r="B20" s="24" t="s">
        <v>227</v>
      </c>
      <c r="C20" s="25" t="s">
        <v>533</v>
      </c>
      <c r="D20" s="24" t="s">
        <v>641</v>
      </c>
      <c r="E20" s="13" t="s">
        <v>184</v>
      </c>
      <c r="F20" s="13" t="s">
        <v>1006</v>
      </c>
      <c r="G20" s="13" t="s">
        <v>188</v>
      </c>
      <c r="H20" s="13" t="s">
        <v>188</v>
      </c>
      <c r="I20" s="13" t="s">
        <v>190</v>
      </c>
      <c r="J20" s="13" t="s">
        <v>772</v>
      </c>
      <c r="K20" s="13" t="s">
        <v>961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2">
        <v>5.0</v>
      </c>
      <c r="B21" s="24" t="s">
        <v>227</v>
      </c>
      <c r="C21" s="25" t="s">
        <v>533</v>
      </c>
      <c r="D21" s="24" t="s">
        <v>694</v>
      </c>
      <c r="E21" s="13" t="s">
        <v>283</v>
      </c>
      <c r="F21" s="13" t="s">
        <v>1009</v>
      </c>
      <c r="G21" s="13" t="s">
        <v>188</v>
      </c>
      <c r="H21" s="13" t="s">
        <v>188</v>
      </c>
      <c r="I21" s="13" t="s">
        <v>190</v>
      </c>
      <c r="J21" s="13" t="s">
        <v>778</v>
      </c>
      <c r="K21" s="13" t="s">
        <v>918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2">
        <v>5.0</v>
      </c>
      <c r="B22" s="24" t="s">
        <v>227</v>
      </c>
      <c r="C22" s="25" t="s">
        <v>533</v>
      </c>
      <c r="D22" s="24" t="s">
        <v>592</v>
      </c>
      <c r="E22" s="13" t="s">
        <v>283</v>
      </c>
      <c r="F22" s="13" t="s">
        <v>1012</v>
      </c>
      <c r="G22" s="13" t="s">
        <v>188</v>
      </c>
      <c r="H22" s="13" t="s">
        <v>188</v>
      </c>
      <c r="I22" s="13" t="s">
        <v>190</v>
      </c>
      <c r="J22" s="13" t="s">
        <v>769</v>
      </c>
      <c r="K22" s="13" t="s">
        <v>961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2">
        <v>6.0</v>
      </c>
      <c r="B23" s="24" t="s">
        <v>250</v>
      </c>
      <c r="C23" s="25" t="s">
        <v>533</v>
      </c>
      <c r="D23" s="24" t="s">
        <v>635</v>
      </c>
      <c r="E23" s="13" t="s">
        <v>184</v>
      </c>
      <c r="F23" s="13" t="s">
        <v>1016</v>
      </c>
      <c r="G23" s="13" t="s">
        <v>188</v>
      </c>
      <c r="H23" s="13" t="s">
        <v>188</v>
      </c>
      <c r="I23" s="13" t="s">
        <v>190</v>
      </c>
      <c r="J23" s="13" t="s">
        <v>809</v>
      </c>
      <c r="K23" s="13" t="s">
        <v>918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2">
        <v>6.0</v>
      </c>
      <c r="B24" s="24" t="s">
        <v>250</v>
      </c>
      <c r="C24" s="25" t="s">
        <v>533</v>
      </c>
      <c r="D24" s="24" t="s">
        <v>575</v>
      </c>
      <c r="E24" s="13" t="s">
        <v>184</v>
      </c>
      <c r="F24" s="13" t="s">
        <v>1018</v>
      </c>
      <c r="G24" s="13" t="s">
        <v>188</v>
      </c>
      <c r="H24" s="13" t="s">
        <v>188</v>
      </c>
      <c r="I24" s="13" t="s">
        <v>190</v>
      </c>
      <c r="J24" s="13" t="s">
        <v>811</v>
      </c>
      <c r="K24" s="13" t="s">
        <v>1020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2">
        <v>6.0</v>
      </c>
      <c r="B25" s="24" t="s">
        <v>250</v>
      </c>
      <c r="C25" s="25" t="s">
        <v>533</v>
      </c>
      <c r="D25" s="24" t="s">
        <v>638</v>
      </c>
      <c r="E25" s="13" t="s">
        <v>283</v>
      </c>
      <c r="F25" s="13" t="s">
        <v>1022</v>
      </c>
      <c r="G25" s="13" t="s">
        <v>188</v>
      </c>
      <c r="H25" s="13" t="s">
        <v>188</v>
      </c>
      <c r="I25" s="13" t="s">
        <v>190</v>
      </c>
      <c r="J25" s="13" t="s">
        <v>816</v>
      </c>
      <c r="K25" s="13" t="s">
        <v>961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2">
        <v>6.0</v>
      </c>
      <c r="B26" s="24" t="s">
        <v>250</v>
      </c>
      <c r="C26" s="25" t="s">
        <v>533</v>
      </c>
      <c r="D26" s="24" t="s">
        <v>593</v>
      </c>
      <c r="E26" s="13" t="s">
        <v>283</v>
      </c>
      <c r="F26" s="13" t="s">
        <v>1023</v>
      </c>
      <c r="G26" s="13" t="s">
        <v>188</v>
      </c>
      <c r="H26" s="13" t="s">
        <v>188</v>
      </c>
      <c r="I26" s="13" t="s">
        <v>190</v>
      </c>
      <c r="J26" s="13" t="s">
        <v>809</v>
      </c>
      <c r="K26" s="13" t="s">
        <v>961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2">
        <v>6.0</v>
      </c>
      <c r="B27" s="24" t="s">
        <v>250</v>
      </c>
      <c r="C27" s="25" t="s">
        <v>533</v>
      </c>
      <c r="D27" s="24" t="s">
        <v>578</v>
      </c>
      <c r="E27" s="13" t="s">
        <v>283</v>
      </c>
      <c r="F27" s="13" t="s">
        <v>1026</v>
      </c>
      <c r="G27" s="13" t="s">
        <v>188</v>
      </c>
      <c r="H27" s="13" t="s">
        <v>188</v>
      </c>
      <c r="I27" s="13" t="s">
        <v>190</v>
      </c>
      <c r="J27" s="13" t="s">
        <v>811</v>
      </c>
      <c r="K27" s="13" t="s">
        <v>918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2">
        <v>7.0</v>
      </c>
      <c r="B28" s="24" t="s">
        <v>266</v>
      </c>
      <c r="C28" s="25" t="s">
        <v>533</v>
      </c>
      <c r="D28" s="24" t="s">
        <v>615</v>
      </c>
      <c r="E28" s="13" t="s">
        <v>184</v>
      </c>
      <c r="F28" s="13" t="s">
        <v>1031</v>
      </c>
      <c r="G28" s="13" t="s">
        <v>188</v>
      </c>
      <c r="H28" s="13" t="s">
        <v>188</v>
      </c>
      <c r="I28" s="13" t="s">
        <v>190</v>
      </c>
      <c r="J28" s="13" t="s">
        <v>849</v>
      </c>
      <c r="K28" s="13" t="s">
        <v>918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2">
        <v>7.0</v>
      </c>
      <c r="B29" s="24" t="s">
        <v>266</v>
      </c>
      <c r="C29" s="25" t="s">
        <v>533</v>
      </c>
      <c r="D29" s="24" t="s">
        <v>662</v>
      </c>
      <c r="E29" s="13" t="s">
        <v>184</v>
      </c>
      <c r="F29" s="13" t="s">
        <v>1038</v>
      </c>
      <c r="G29" s="13" t="s">
        <v>188</v>
      </c>
      <c r="H29" s="13" t="s">
        <v>188</v>
      </c>
      <c r="I29" s="13" t="s">
        <v>190</v>
      </c>
      <c r="J29" s="13" t="s">
        <v>853</v>
      </c>
      <c r="K29" s="13" t="s">
        <v>918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2">
        <v>7.0</v>
      </c>
      <c r="B30" s="24" t="s">
        <v>266</v>
      </c>
      <c r="C30" s="25" t="s">
        <v>533</v>
      </c>
      <c r="D30" s="24" t="s">
        <v>625</v>
      </c>
      <c r="E30" s="13" t="s">
        <v>184</v>
      </c>
      <c r="F30" s="13" t="s">
        <v>1044</v>
      </c>
      <c r="G30" s="13" t="s">
        <v>188</v>
      </c>
      <c r="H30" s="13" t="s">
        <v>188</v>
      </c>
      <c r="I30" s="13" t="s">
        <v>190</v>
      </c>
      <c r="J30" s="13" t="s">
        <v>857</v>
      </c>
      <c r="K30" s="13" t="s">
        <v>918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2">
        <v>7.0</v>
      </c>
      <c r="B31" s="24" t="s">
        <v>266</v>
      </c>
      <c r="C31" s="25" t="s">
        <v>533</v>
      </c>
      <c r="D31" s="24" t="s">
        <v>657</v>
      </c>
      <c r="E31" s="13" t="s">
        <v>283</v>
      </c>
      <c r="F31" s="13" t="s">
        <v>1049</v>
      </c>
      <c r="G31" s="13" t="s">
        <v>188</v>
      </c>
      <c r="H31" s="13" t="s">
        <v>188</v>
      </c>
      <c r="I31" s="13" t="s">
        <v>190</v>
      </c>
      <c r="J31" s="13" t="s">
        <v>849</v>
      </c>
      <c r="K31" s="13" t="s">
        <v>1020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2">
        <v>8.0</v>
      </c>
      <c r="B32" s="24" t="s">
        <v>282</v>
      </c>
      <c r="C32" s="25" t="s">
        <v>533</v>
      </c>
      <c r="D32" s="24" t="s">
        <v>674</v>
      </c>
      <c r="E32" s="13" t="s">
        <v>184</v>
      </c>
      <c r="F32" s="13" t="s">
        <v>1050</v>
      </c>
      <c r="G32" s="13" t="s">
        <v>188</v>
      </c>
      <c r="H32" s="13" t="s">
        <v>188</v>
      </c>
      <c r="I32" s="13" t="s">
        <v>190</v>
      </c>
      <c r="J32" s="13" t="s">
        <v>876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2">
        <v>8.0</v>
      </c>
      <c r="B33" s="24" t="s">
        <v>282</v>
      </c>
      <c r="C33" s="25" t="s">
        <v>533</v>
      </c>
      <c r="D33" s="24" t="s">
        <v>661</v>
      </c>
      <c r="E33" s="13" t="s">
        <v>184</v>
      </c>
      <c r="F33" s="13" t="s">
        <v>1051</v>
      </c>
      <c r="G33" s="13" t="s">
        <v>188</v>
      </c>
      <c r="H33" s="13" t="s">
        <v>188</v>
      </c>
      <c r="I33" s="13" t="s">
        <v>190</v>
      </c>
      <c r="J33" s="13" t="s">
        <v>878</v>
      </c>
      <c r="K33" s="13" t="s">
        <v>918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2">
        <v>8.0</v>
      </c>
      <c r="B34" s="24" t="s">
        <v>282</v>
      </c>
      <c r="C34" s="25" t="s">
        <v>533</v>
      </c>
      <c r="D34" s="24" t="s">
        <v>696</v>
      </c>
      <c r="E34" s="13" t="s">
        <v>184</v>
      </c>
      <c r="F34" s="13" t="s">
        <v>1054</v>
      </c>
      <c r="G34" s="13" t="s">
        <v>188</v>
      </c>
      <c r="H34" s="13" t="s">
        <v>188</v>
      </c>
      <c r="I34" s="13" t="s">
        <v>190</v>
      </c>
      <c r="J34" s="13" t="s">
        <v>876</v>
      </c>
      <c r="K34" s="13" t="s">
        <v>918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2">
        <v>8.0</v>
      </c>
      <c r="B35" s="24" t="s">
        <v>282</v>
      </c>
      <c r="C35" s="25" t="s">
        <v>533</v>
      </c>
      <c r="D35" s="24" t="s">
        <v>599</v>
      </c>
      <c r="E35" s="13" t="s">
        <v>283</v>
      </c>
      <c r="F35" s="13" t="s">
        <v>1055</v>
      </c>
      <c r="G35" s="13" t="s">
        <v>188</v>
      </c>
      <c r="H35" s="13" t="s">
        <v>188</v>
      </c>
      <c r="I35" s="13" t="s">
        <v>190</v>
      </c>
      <c r="J35" s="13" t="s">
        <v>878</v>
      </c>
      <c r="K35" s="13" t="s">
        <v>1056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2">
        <v>9.0</v>
      </c>
      <c r="B36" s="24" t="s">
        <v>296</v>
      </c>
      <c r="C36" s="25" t="s">
        <v>533</v>
      </c>
      <c r="D36" s="24" t="s">
        <v>629</v>
      </c>
      <c r="E36" s="13" t="s">
        <v>184</v>
      </c>
      <c r="F36" s="13" t="s">
        <v>1057</v>
      </c>
      <c r="G36" s="13" t="s">
        <v>188</v>
      </c>
      <c r="H36" s="13" t="s">
        <v>188</v>
      </c>
      <c r="I36" s="13" t="s">
        <v>190</v>
      </c>
      <c r="J36" s="13" t="s">
        <v>900</v>
      </c>
      <c r="K36" s="13" t="s">
        <v>961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2">
        <v>9.0</v>
      </c>
      <c r="B37" s="24" t="s">
        <v>296</v>
      </c>
      <c r="C37" s="25" t="s">
        <v>533</v>
      </c>
      <c r="D37" s="24" t="s">
        <v>902</v>
      </c>
      <c r="E37" s="13" t="s">
        <v>184</v>
      </c>
      <c r="F37" s="13" t="s">
        <v>1058</v>
      </c>
      <c r="G37" s="13" t="s">
        <v>188</v>
      </c>
      <c r="H37" s="13" t="s">
        <v>188</v>
      </c>
      <c r="I37" s="13" t="s">
        <v>190</v>
      </c>
      <c r="J37" s="13" t="s">
        <v>903</v>
      </c>
      <c r="K37" s="13" t="s">
        <v>918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2">
        <v>9.0</v>
      </c>
      <c r="B38" s="24" t="s">
        <v>296</v>
      </c>
      <c r="C38" s="25" t="s">
        <v>533</v>
      </c>
      <c r="D38" s="24" t="s">
        <v>737</v>
      </c>
      <c r="E38" s="13" t="s">
        <v>283</v>
      </c>
      <c r="F38" s="13" t="s">
        <v>1059</v>
      </c>
      <c r="G38" s="13" t="s">
        <v>188</v>
      </c>
      <c r="H38" s="13" t="s">
        <v>188</v>
      </c>
      <c r="I38" s="13" t="s">
        <v>190</v>
      </c>
      <c r="J38" s="13" t="s">
        <v>905</v>
      </c>
      <c r="K38" s="13" t="s">
        <v>918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2">
        <v>9.0</v>
      </c>
      <c r="B39" s="24" t="s">
        <v>296</v>
      </c>
      <c r="C39" s="25" t="s">
        <v>533</v>
      </c>
      <c r="D39" s="24" t="s">
        <v>907</v>
      </c>
      <c r="E39" s="13" t="s">
        <v>283</v>
      </c>
      <c r="F39" s="13" t="s">
        <v>1060</v>
      </c>
      <c r="G39" s="13" t="s">
        <v>188</v>
      </c>
      <c r="H39" s="13" t="s">
        <v>188</v>
      </c>
      <c r="I39" s="13" t="s">
        <v>190</v>
      </c>
      <c r="J39" s="13" t="s">
        <v>900</v>
      </c>
      <c r="K39" s="13" t="s">
        <v>918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2">
        <v>10.0</v>
      </c>
      <c r="B40" s="24" t="s">
        <v>306</v>
      </c>
      <c r="C40" s="25" t="s">
        <v>920</v>
      </c>
      <c r="D40" s="24" t="s">
        <v>923</v>
      </c>
      <c r="E40" s="13" t="s">
        <v>184</v>
      </c>
      <c r="F40" s="13" t="s">
        <v>1061</v>
      </c>
      <c r="G40" s="13" t="s">
        <v>188</v>
      </c>
      <c r="H40" s="13" t="s">
        <v>188</v>
      </c>
      <c r="I40" s="13" t="s">
        <v>190</v>
      </c>
      <c r="J40" s="13" t="s">
        <v>1062</v>
      </c>
      <c r="K40" s="13" t="s">
        <v>918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2">
        <v>10.0</v>
      </c>
      <c r="B41" s="24" t="s">
        <v>306</v>
      </c>
      <c r="C41" s="25" t="s">
        <v>920</v>
      </c>
      <c r="D41" s="24" t="s">
        <v>926</v>
      </c>
      <c r="E41" s="13" t="s">
        <v>184</v>
      </c>
      <c r="F41" s="13" t="s">
        <v>1063</v>
      </c>
      <c r="G41" s="13" t="s">
        <v>188</v>
      </c>
      <c r="H41" s="13" t="s">
        <v>188</v>
      </c>
      <c r="I41" s="13" t="s">
        <v>190</v>
      </c>
      <c r="J41" s="13" t="s">
        <v>1064</v>
      </c>
      <c r="K41" s="13" t="s">
        <v>918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12">
        <v>10.0</v>
      </c>
      <c r="B42" s="24" t="s">
        <v>306</v>
      </c>
      <c r="C42" s="25" t="s">
        <v>920</v>
      </c>
      <c r="D42" s="24" t="s">
        <v>929</v>
      </c>
      <c r="E42" s="13" t="s">
        <v>184</v>
      </c>
      <c r="F42" s="13" t="s">
        <v>1065</v>
      </c>
      <c r="G42" s="13" t="s">
        <v>188</v>
      </c>
      <c r="H42" s="13" t="s">
        <v>188</v>
      </c>
      <c r="I42" s="13" t="s">
        <v>190</v>
      </c>
      <c r="J42" s="13" t="s">
        <v>1066</v>
      </c>
      <c r="K42" s="13" t="s">
        <v>918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2">
        <v>10.0</v>
      </c>
      <c r="B43" s="24" t="s">
        <v>306</v>
      </c>
      <c r="C43" s="25" t="s">
        <v>920</v>
      </c>
      <c r="D43" s="24" t="s">
        <v>931</v>
      </c>
      <c r="E43" s="13" t="s">
        <v>283</v>
      </c>
      <c r="F43" s="13" t="s">
        <v>1067</v>
      </c>
      <c r="G43" s="13" t="s">
        <v>188</v>
      </c>
      <c r="H43" s="13" t="s">
        <v>188</v>
      </c>
      <c r="I43" s="13" t="s">
        <v>190</v>
      </c>
      <c r="J43" s="13" t="s">
        <v>1062</v>
      </c>
      <c r="K43" s="13" t="s">
        <v>918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12">
        <v>10.0</v>
      </c>
      <c r="B44" s="24" t="s">
        <v>306</v>
      </c>
      <c r="C44" s="25" t="s">
        <v>920</v>
      </c>
      <c r="D44" s="24" t="s">
        <v>933</v>
      </c>
      <c r="E44" s="13" t="s">
        <v>283</v>
      </c>
      <c r="F44" s="13" t="s">
        <v>1068</v>
      </c>
      <c r="G44" s="13" t="s">
        <v>188</v>
      </c>
      <c r="H44" s="13" t="s">
        <v>188</v>
      </c>
      <c r="I44" s="13" t="s">
        <v>190</v>
      </c>
      <c r="J44" s="13" t="s">
        <v>1064</v>
      </c>
      <c r="K44" s="13" t="s">
        <v>918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12">
        <v>11.0</v>
      </c>
      <c r="B45" s="24" t="s">
        <v>316</v>
      </c>
      <c r="C45" s="25" t="s">
        <v>920</v>
      </c>
      <c r="D45" s="24" t="s">
        <v>994</v>
      </c>
      <c r="E45" s="13" t="s">
        <v>184</v>
      </c>
      <c r="F45" s="13" t="s">
        <v>1069</v>
      </c>
      <c r="G45" s="13" t="s">
        <v>188</v>
      </c>
      <c r="H45" s="13" t="s">
        <v>188</v>
      </c>
      <c r="I45" s="13" t="s">
        <v>190</v>
      </c>
      <c r="J45" s="13" t="s">
        <v>1070</v>
      </c>
      <c r="K45" s="13" t="s">
        <v>918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12">
        <v>11.0</v>
      </c>
      <c r="B46" s="24" t="s">
        <v>316</v>
      </c>
      <c r="C46" s="25" t="s">
        <v>920</v>
      </c>
      <c r="D46" s="24" t="s">
        <v>791</v>
      </c>
      <c r="E46" s="13" t="s">
        <v>184</v>
      </c>
      <c r="F46" s="13" t="s">
        <v>1071</v>
      </c>
      <c r="G46" s="13" t="s">
        <v>188</v>
      </c>
      <c r="H46" s="13" t="s">
        <v>188</v>
      </c>
      <c r="I46" s="13" t="s">
        <v>190</v>
      </c>
      <c r="J46" s="13" t="s">
        <v>1072</v>
      </c>
      <c r="K46" s="13" t="s">
        <v>918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12">
        <v>11.0</v>
      </c>
      <c r="B47" s="24" t="s">
        <v>316</v>
      </c>
      <c r="C47" s="25" t="s">
        <v>920</v>
      </c>
      <c r="D47" s="24" t="s">
        <v>957</v>
      </c>
      <c r="E47" s="13" t="s">
        <v>184</v>
      </c>
      <c r="F47" s="13" t="s">
        <v>1073</v>
      </c>
      <c r="G47" s="13" t="s">
        <v>188</v>
      </c>
      <c r="H47" s="13" t="s">
        <v>188</v>
      </c>
      <c r="I47" s="13" t="s">
        <v>190</v>
      </c>
      <c r="J47" s="13" t="s">
        <v>1074</v>
      </c>
      <c r="K47" s="13" t="s">
        <v>918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12">
        <v>11.0</v>
      </c>
      <c r="B48" s="24" t="s">
        <v>316</v>
      </c>
      <c r="C48" s="25" t="s">
        <v>920</v>
      </c>
      <c r="D48" s="24" t="s">
        <v>789</v>
      </c>
      <c r="E48" s="13" t="s">
        <v>283</v>
      </c>
      <c r="F48" s="13" t="s">
        <v>1075</v>
      </c>
      <c r="G48" s="13" t="s">
        <v>188</v>
      </c>
      <c r="H48" s="13" t="s">
        <v>188</v>
      </c>
      <c r="I48" s="13" t="s">
        <v>190</v>
      </c>
      <c r="J48" s="13" t="s">
        <v>1070</v>
      </c>
      <c r="K48" s="13" t="s">
        <v>918</v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12">
        <v>11.0</v>
      </c>
      <c r="B49" s="24" t="s">
        <v>316</v>
      </c>
      <c r="C49" s="25" t="s">
        <v>920</v>
      </c>
      <c r="D49" s="24" t="s">
        <v>1001</v>
      </c>
      <c r="E49" s="13" t="s">
        <v>283</v>
      </c>
      <c r="F49" s="13" t="s">
        <v>1076</v>
      </c>
      <c r="G49" s="13" t="s">
        <v>188</v>
      </c>
      <c r="H49" s="13" t="s">
        <v>188</v>
      </c>
      <c r="I49" s="13" t="s">
        <v>190</v>
      </c>
      <c r="J49" s="13" t="s">
        <v>1072</v>
      </c>
      <c r="K49" s="13" t="s">
        <v>961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12">
        <v>12.0</v>
      </c>
      <c r="B50" s="24" t="s">
        <v>326</v>
      </c>
      <c r="C50" s="25" t="s">
        <v>920</v>
      </c>
      <c r="D50" s="24" t="s">
        <v>572</v>
      </c>
      <c r="E50" s="13" t="s">
        <v>184</v>
      </c>
      <c r="F50" s="13" t="s">
        <v>1077</v>
      </c>
      <c r="G50" s="13" t="s">
        <v>188</v>
      </c>
      <c r="H50" s="13" t="s">
        <v>188</v>
      </c>
      <c r="I50" s="13" t="s">
        <v>190</v>
      </c>
      <c r="J50" s="13" t="s">
        <v>1078</v>
      </c>
      <c r="K50" s="13" t="s">
        <v>954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12">
        <v>12.0</v>
      </c>
      <c r="B51" s="24" t="s">
        <v>326</v>
      </c>
      <c r="C51" s="25" t="s">
        <v>920</v>
      </c>
      <c r="D51" s="24" t="s">
        <v>587</v>
      </c>
      <c r="E51" s="13" t="s">
        <v>184</v>
      </c>
      <c r="F51" s="13" t="s">
        <v>1079</v>
      </c>
      <c r="G51" s="13" t="s">
        <v>188</v>
      </c>
      <c r="H51" s="13" t="s">
        <v>188</v>
      </c>
      <c r="I51" s="13" t="s">
        <v>190</v>
      </c>
      <c r="J51" s="13" t="s">
        <v>1080</v>
      </c>
      <c r="K51" s="13" t="s">
        <v>954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12">
        <v>12.0</v>
      </c>
      <c r="B52" s="24" t="s">
        <v>326</v>
      </c>
      <c r="C52" s="25" t="s">
        <v>920</v>
      </c>
      <c r="D52" s="24" t="s">
        <v>691</v>
      </c>
      <c r="E52" s="13" t="s">
        <v>283</v>
      </c>
      <c r="F52" s="13" t="s">
        <v>1081</v>
      </c>
      <c r="G52" s="13" t="s">
        <v>188</v>
      </c>
      <c r="H52" s="13" t="s">
        <v>188</v>
      </c>
      <c r="I52" s="13" t="s">
        <v>190</v>
      </c>
      <c r="J52" s="13" t="s">
        <v>1082</v>
      </c>
      <c r="K52" s="13" t="s">
        <v>1056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12">
        <v>13.0</v>
      </c>
      <c r="B53" s="24" t="s">
        <v>334</v>
      </c>
      <c r="C53" s="25" t="s">
        <v>920</v>
      </c>
      <c r="D53" s="24" t="s">
        <v>1025</v>
      </c>
      <c r="E53" s="13" t="s">
        <v>184</v>
      </c>
      <c r="F53" s="13" t="s">
        <v>1083</v>
      </c>
      <c r="G53" s="13" t="s">
        <v>188</v>
      </c>
      <c r="H53" s="13" t="s">
        <v>188</v>
      </c>
      <c r="I53" s="13" t="s">
        <v>190</v>
      </c>
      <c r="J53" s="13" t="s">
        <v>1084</v>
      </c>
      <c r="K53" s="13" t="s">
        <v>918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12">
        <v>13.0</v>
      </c>
      <c r="B54" s="24" t="s">
        <v>334</v>
      </c>
      <c r="C54" s="25" t="s">
        <v>920</v>
      </c>
      <c r="D54" s="24" t="s">
        <v>1085</v>
      </c>
      <c r="E54" s="13" t="s">
        <v>184</v>
      </c>
      <c r="F54" s="13" t="s">
        <v>1086</v>
      </c>
      <c r="G54" s="13" t="s">
        <v>188</v>
      </c>
      <c r="H54" s="13" t="s">
        <v>188</v>
      </c>
      <c r="I54" s="13" t="s">
        <v>190</v>
      </c>
      <c r="J54" s="13" t="s">
        <v>1087</v>
      </c>
      <c r="K54" s="13" t="s">
        <v>918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12">
        <v>13.0</v>
      </c>
      <c r="B55" s="24" t="s">
        <v>334</v>
      </c>
      <c r="C55" s="25" t="s">
        <v>920</v>
      </c>
      <c r="D55" s="24" t="s">
        <v>1088</v>
      </c>
      <c r="E55" s="13" t="s">
        <v>283</v>
      </c>
      <c r="F55" s="13" t="s">
        <v>1089</v>
      </c>
      <c r="G55" s="13" t="s">
        <v>188</v>
      </c>
      <c r="H55" s="13" t="s">
        <v>188</v>
      </c>
      <c r="I55" s="13" t="s">
        <v>190</v>
      </c>
      <c r="J55" s="13" t="s">
        <v>1090</v>
      </c>
      <c r="K55" s="13" t="s">
        <v>961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12">
        <v>13.0</v>
      </c>
      <c r="B56" s="24" t="s">
        <v>334</v>
      </c>
      <c r="C56" s="25" t="s">
        <v>920</v>
      </c>
      <c r="D56" s="24" t="s">
        <v>1091</v>
      </c>
      <c r="E56" s="13" t="s">
        <v>283</v>
      </c>
      <c r="F56" s="13" t="s">
        <v>1092</v>
      </c>
      <c r="G56" s="13" t="s">
        <v>188</v>
      </c>
      <c r="H56" s="13" t="s">
        <v>188</v>
      </c>
      <c r="I56" s="13" t="s">
        <v>190</v>
      </c>
      <c r="J56" s="13" t="s">
        <v>1084</v>
      </c>
      <c r="K56" s="13" t="s">
        <v>918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12">
        <v>13.0</v>
      </c>
      <c r="B57" s="24" t="s">
        <v>334</v>
      </c>
      <c r="C57" s="25" t="s">
        <v>920</v>
      </c>
      <c r="D57" s="24" t="s">
        <v>689</v>
      </c>
      <c r="E57" s="13" t="s">
        <v>283</v>
      </c>
      <c r="F57" s="13" t="s">
        <v>1094</v>
      </c>
      <c r="G57" s="13" t="s">
        <v>188</v>
      </c>
      <c r="H57" s="13" t="s">
        <v>188</v>
      </c>
      <c r="I57" s="13" t="s">
        <v>190</v>
      </c>
      <c r="J57" s="13" t="s">
        <v>1087</v>
      </c>
      <c r="K57" s="13" t="s">
        <v>918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12">
        <v>14.0</v>
      </c>
      <c r="B58" s="24" t="s">
        <v>346</v>
      </c>
      <c r="C58" s="25" t="s">
        <v>920</v>
      </c>
      <c r="D58" s="24" t="s">
        <v>1096</v>
      </c>
      <c r="E58" s="13" t="s">
        <v>184</v>
      </c>
      <c r="F58" s="13" t="s">
        <v>1097</v>
      </c>
      <c r="G58" s="13" t="s">
        <v>188</v>
      </c>
      <c r="H58" s="13" t="s">
        <v>188</v>
      </c>
      <c r="I58" s="13" t="s">
        <v>190</v>
      </c>
      <c r="J58" s="13" t="s">
        <v>1099</v>
      </c>
      <c r="K58" s="13" t="s">
        <v>918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12">
        <v>14.0</v>
      </c>
      <c r="B59" s="24" t="s">
        <v>346</v>
      </c>
      <c r="C59" s="25" t="s">
        <v>920</v>
      </c>
      <c r="D59" s="24" t="s">
        <v>1100</v>
      </c>
      <c r="E59" s="13" t="s">
        <v>184</v>
      </c>
      <c r="F59" s="13" t="s">
        <v>1102</v>
      </c>
      <c r="G59" s="13" t="s">
        <v>188</v>
      </c>
      <c r="H59" s="13" t="s">
        <v>188</v>
      </c>
      <c r="I59" s="13" t="s">
        <v>190</v>
      </c>
      <c r="J59" s="13" t="s">
        <v>867</v>
      </c>
      <c r="K59" s="13" t="s">
        <v>918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12">
        <v>14.0</v>
      </c>
      <c r="B60" s="24" t="s">
        <v>346</v>
      </c>
      <c r="C60" s="25" t="s">
        <v>920</v>
      </c>
      <c r="D60" s="24" t="s">
        <v>1036</v>
      </c>
      <c r="E60" s="13" t="s">
        <v>184</v>
      </c>
      <c r="F60" s="13" t="s">
        <v>1104</v>
      </c>
      <c r="G60" s="13" t="s">
        <v>188</v>
      </c>
      <c r="H60" s="13" t="s">
        <v>188</v>
      </c>
      <c r="I60" s="13" t="s">
        <v>190</v>
      </c>
      <c r="J60" s="13" t="s">
        <v>1105</v>
      </c>
      <c r="K60" s="13" t="s">
        <v>918</v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12">
        <v>14.0</v>
      </c>
      <c r="B61" s="24" t="s">
        <v>346</v>
      </c>
      <c r="C61" s="25" t="s">
        <v>920</v>
      </c>
      <c r="D61" s="24" t="s">
        <v>1039</v>
      </c>
      <c r="E61" s="13" t="s">
        <v>184</v>
      </c>
      <c r="F61" s="13" t="s">
        <v>1108</v>
      </c>
      <c r="G61" s="13" t="s">
        <v>188</v>
      </c>
      <c r="H61" s="13" t="s">
        <v>188</v>
      </c>
      <c r="I61" s="13" t="s">
        <v>190</v>
      </c>
      <c r="J61" s="13" t="s">
        <v>1099</v>
      </c>
      <c r="K61" s="13" t="s">
        <v>918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12">
        <v>14.0</v>
      </c>
      <c r="B62" s="24" t="s">
        <v>346</v>
      </c>
      <c r="C62" s="25" t="s">
        <v>920</v>
      </c>
      <c r="D62" s="24" t="s">
        <v>976</v>
      </c>
      <c r="E62" s="13" t="s">
        <v>283</v>
      </c>
      <c r="F62" s="13" t="s">
        <v>1111</v>
      </c>
      <c r="G62" s="13" t="s">
        <v>188</v>
      </c>
      <c r="H62" s="13" t="s">
        <v>188</v>
      </c>
      <c r="I62" s="13" t="s">
        <v>190</v>
      </c>
      <c r="J62" s="13" t="s">
        <v>867</v>
      </c>
      <c r="K62" s="13" t="s">
        <v>918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12">
        <v>15.0</v>
      </c>
      <c r="B63" s="24" t="s">
        <v>359</v>
      </c>
      <c r="C63" s="25" t="s">
        <v>920</v>
      </c>
      <c r="D63" s="24" t="s">
        <v>982</v>
      </c>
      <c r="E63" s="13" t="s">
        <v>184</v>
      </c>
      <c r="F63" s="13" t="s">
        <v>1113</v>
      </c>
      <c r="G63" s="13" t="s">
        <v>188</v>
      </c>
      <c r="H63" s="13" t="s">
        <v>188</v>
      </c>
      <c r="I63" s="13" t="s">
        <v>190</v>
      </c>
      <c r="J63" s="13" t="s">
        <v>1114</v>
      </c>
      <c r="K63" s="13" t="s">
        <v>918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12">
        <v>15.0</v>
      </c>
      <c r="B64" s="24" t="s">
        <v>359</v>
      </c>
      <c r="C64" s="25" t="s">
        <v>920</v>
      </c>
      <c r="D64" s="24" t="s">
        <v>1115</v>
      </c>
      <c r="E64" s="13" t="s">
        <v>184</v>
      </c>
      <c r="F64" s="13" t="s">
        <v>1117</v>
      </c>
      <c r="G64" s="13" t="s">
        <v>188</v>
      </c>
      <c r="H64" s="13" t="s">
        <v>188</v>
      </c>
      <c r="I64" s="13" t="s">
        <v>190</v>
      </c>
      <c r="J64" s="13" t="s">
        <v>1118</v>
      </c>
      <c r="K64" s="13" t="s">
        <v>918</v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12">
        <v>15.0</v>
      </c>
      <c r="B65" s="24" t="s">
        <v>359</v>
      </c>
      <c r="C65" s="25" t="s">
        <v>920</v>
      </c>
      <c r="D65" s="24" t="s">
        <v>1119</v>
      </c>
      <c r="E65" s="13" t="s">
        <v>283</v>
      </c>
      <c r="F65" s="13" t="s">
        <v>1122</v>
      </c>
      <c r="G65" s="13" t="s">
        <v>188</v>
      </c>
      <c r="H65" s="13" t="s">
        <v>188</v>
      </c>
      <c r="I65" s="13" t="s">
        <v>190</v>
      </c>
      <c r="J65" s="13" t="s">
        <v>1114</v>
      </c>
      <c r="K65" s="13" t="s">
        <v>918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12">
        <v>16.0</v>
      </c>
      <c r="B66" s="24" t="s">
        <v>371</v>
      </c>
      <c r="C66" s="25" t="s">
        <v>920</v>
      </c>
      <c r="D66" s="24" t="s">
        <v>943</v>
      </c>
      <c r="E66" s="13" t="s">
        <v>184</v>
      </c>
      <c r="F66" s="13" t="s">
        <v>1126</v>
      </c>
      <c r="G66" s="13" t="s">
        <v>188</v>
      </c>
      <c r="H66" s="13" t="s">
        <v>188</v>
      </c>
      <c r="I66" s="13" t="s">
        <v>190</v>
      </c>
      <c r="J66" s="13" t="s">
        <v>1127</v>
      </c>
      <c r="K66" s="13" t="s">
        <v>918</v>
      </c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12">
        <v>16.0</v>
      </c>
      <c r="B67" s="24" t="s">
        <v>371</v>
      </c>
      <c r="C67" s="25" t="s">
        <v>920</v>
      </c>
      <c r="D67" s="24" t="s">
        <v>1019</v>
      </c>
      <c r="E67" s="13" t="s">
        <v>184</v>
      </c>
      <c r="F67" s="13" t="s">
        <v>1128</v>
      </c>
      <c r="G67" s="13" t="s">
        <v>188</v>
      </c>
      <c r="H67" s="13" t="s">
        <v>188</v>
      </c>
      <c r="I67" s="13" t="s">
        <v>190</v>
      </c>
      <c r="J67" s="13" t="s">
        <v>1129</v>
      </c>
      <c r="K67" s="13" t="s">
        <v>918</v>
      </c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12">
        <v>16.0</v>
      </c>
      <c r="B68" s="24" t="s">
        <v>371</v>
      </c>
      <c r="C68" s="25" t="s">
        <v>920</v>
      </c>
      <c r="D68" s="24" t="s">
        <v>1088</v>
      </c>
      <c r="E68" s="13" t="s">
        <v>184</v>
      </c>
      <c r="F68" s="13" t="s">
        <v>1130</v>
      </c>
      <c r="G68" s="13" t="s">
        <v>188</v>
      </c>
      <c r="H68" s="13" t="s">
        <v>188</v>
      </c>
      <c r="I68" s="13" t="s">
        <v>190</v>
      </c>
      <c r="J68" s="13" t="s">
        <v>1131</v>
      </c>
      <c r="K68" s="13" t="s">
        <v>961</v>
      </c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12">
        <v>16.0</v>
      </c>
      <c r="B69" s="24" t="s">
        <v>371</v>
      </c>
      <c r="C69" s="25" t="s">
        <v>920</v>
      </c>
      <c r="D69" s="24" t="s">
        <v>1132</v>
      </c>
      <c r="E69" s="13" t="s">
        <v>184</v>
      </c>
      <c r="F69" s="13" t="s">
        <v>1133</v>
      </c>
      <c r="G69" s="13" t="s">
        <v>188</v>
      </c>
      <c r="H69" s="13" t="s">
        <v>188</v>
      </c>
      <c r="I69" s="13" t="s">
        <v>190</v>
      </c>
      <c r="J69" s="13" t="s">
        <v>1127</v>
      </c>
      <c r="K69" s="13" t="s">
        <v>918</v>
      </c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12">
        <v>16.0</v>
      </c>
      <c r="B70" s="24" t="s">
        <v>371</v>
      </c>
      <c r="C70" s="25" t="s">
        <v>920</v>
      </c>
      <c r="D70" s="24" t="s">
        <v>967</v>
      </c>
      <c r="E70" s="13" t="s">
        <v>283</v>
      </c>
      <c r="F70" s="13" t="s">
        <v>1134</v>
      </c>
      <c r="G70" s="13" t="s">
        <v>188</v>
      </c>
      <c r="H70" s="13" t="s">
        <v>188</v>
      </c>
      <c r="I70" s="13" t="s">
        <v>190</v>
      </c>
      <c r="J70" s="13" t="s">
        <v>1129</v>
      </c>
      <c r="K70" s="13" t="s">
        <v>918</v>
      </c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12">
        <v>17.0</v>
      </c>
      <c r="B71" s="24" t="s">
        <v>385</v>
      </c>
      <c r="C71" s="25" t="s">
        <v>920</v>
      </c>
      <c r="D71" s="24" t="s">
        <v>1135</v>
      </c>
      <c r="E71" s="13" t="s">
        <v>184</v>
      </c>
      <c r="F71" s="13" t="s">
        <v>1139</v>
      </c>
      <c r="G71" s="13" t="s">
        <v>188</v>
      </c>
      <c r="H71" s="13" t="s">
        <v>188</v>
      </c>
      <c r="I71" s="13" t="s">
        <v>190</v>
      </c>
      <c r="J71" s="13" t="s">
        <v>1140</v>
      </c>
      <c r="K71" s="13" t="s">
        <v>918</v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12">
        <v>17.0</v>
      </c>
      <c r="B72" s="24" t="s">
        <v>385</v>
      </c>
      <c r="C72" s="25" t="s">
        <v>920</v>
      </c>
      <c r="D72" s="24" t="s">
        <v>1142</v>
      </c>
      <c r="E72" s="13" t="s">
        <v>184</v>
      </c>
      <c r="F72" s="13" t="s">
        <v>1144</v>
      </c>
      <c r="G72" s="13" t="s">
        <v>188</v>
      </c>
      <c r="H72" s="13" t="s">
        <v>188</v>
      </c>
      <c r="I72" s="13" t="s">
        <v>190</v>
      </c>
      <c r="J72" s="13" t="s">
        <v>1145</v>
      </c>
      <c r="K72" s="13" t="s">
        <v>918</v>
      </c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12">
        <v>17.0</v>
      </c>
      <c r="B73" s="24" t="s">
        <v>385</v>
      </c>
      <c r="C73" s="25" t="s">
        <v>920</v>
      </c>
      <c r="D73" s="24" t="s">
        <v>1146</v>
      </c>
      <c r="E73" s="13" t="s">
        <v>283</v>
      </c>
      <c r="F73" s="13" t="s">
        <v>1147</v>
      </c>
      <c r="G73" s="13" t="s">
        <v>188</v>
      </c>
      <c r="H73" s="13" t="s">
        <v>188</v>
      </c>
      <c r="I73" s="13" t="s">
        <v>190</v>
      </c>
      <c r="J73" s="13" t="s">
        <v>1140</v>
      </c>
      <c r="K73" s="13" t="s">
        <v>918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12">
        <v>18.0</v>
      </c>
      <c r="B74" s="24" t="s">
        <v>399</v>
      </c>
      <c r="C74" s="25" t="s">
        <v>920</v>
      </c>
      <c r="D74" s="24" t="s">
        <v>1149</v>
      </c>
      <c r="E74" s="13" t="s">
        <v>184</v>
      </c>
      <c r="F74" s="13" t="s">
        <v>1152</v>
      </c>
      <c r="G74" s="13" t="s">
        <v>188</v>
      </c>
      <c r="H74" s="13" t="s">
        <v>188</v>
      </c>
      <c r="I74" s="13" t="s">
        <v>190</v>
      </c>
      <c r="J74" s="13" t="s">
        <v>1153</v>
      </c>
      <c r="K74" s="13" t="s">
        <v>918</v>
      </c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12">
        <v>18.0</v>
      </c>
      <c r="B75" s="24" t="s">
        <v>399</v>
      </c>
      <c r="C75" s="25" t="s">
        <v>920</v>
      </c>
      <c r="D75" s="24" t="s">
        <v>1154</v>
      </c>
      <c r="E75" s="13" t="s">
        <v>184</v>
      </c>
      <c r="F75" s="13" t="s">
        <v>1157</v>
      </c>
      <c r="G75" s="13" t="s">
        <v>188</v>
      </c>
      <c r="H75" s="13" t="s">
        <v>188</v>
      </c>
      <c r="I75" s="13" t="s">
        <v>190</v>
      </c>
      <c r="J75" s="13" t="s">
        <v>1158</v>
      </c>
      <c r="K75" s="13" t="s">
        <v>918</v>
      </c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12">
        <v>18.0</v>
      </c>
      <c r="B76" s="24" t="s">
        <v>399</v>
      </c>
      <c r="C76" s="25" t="s">
        <v>920</v>
      </c>
      <c r="D76" s="24" t="s">
        <v>958</v>
      </c>
      <c r="E76" s="13" t="s">
        <v>283</v>
      </c>
      <c r="F76" s="13" t="s">
        <v>1160</v>
      </c>
      <c r="G76" s="13" t="s">
        <v>188</v>
      </c>
      <c r="H76" s="13" t="s">
        <v>188</v>
      </c>
      <c r="I76" s="13" t="s">
        <v>190</v>
      </c>
      <c r="J76" s="13" t="s">
        <v>1153</v>
      </c>
      <c r="K76" s="13" t="s">
        <v>961</v>
      </c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12">
        <v>19.0</v>
      </c>
      <c r="B77" s="24" t="s">
        <v>407</v>
      </c>
      <c r="C77" s="25" t="s">
        <v>920</v>
      </c>
      <c r="D77" s="24" t="s">
        <v>1161</v>
      </c>
      <c r="E77" s="13" t="s">
        <v>184</v>
      </c>
      <c r="F77" s="13" t="s">
        <v>1162</v>
      </c>
      <c r="G77" s="13" t="s">
        <v>188</v>
      </c>
      <c r="H77" s="13" t="s">
        <v>188</v>
      </c>
      <c r="I77" s="13" t="s">
        <v>190</v>
      </c>
      <c r="J77" s="13" t="s">
        <v>1163</v>
      </c>
      <c r="K77" s="13" t="s">
        <v>918</v>
      </c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12">
        <v>19.0</v>
      </c>
      <c r="B78" s="24" t="s">
        <v>407</v>
      </c>
      <c r="C78" s="25" t="s">
        <v>920</v>
      </c>
      <c r="D78" s="24" t="s">
        <v>1164</v>
      </c>
      <c r="E78" s="13" t="s">
        <v>184</v>
      </c>
      <c r="F78" s="13" t="s">
        <v>1165</v>
      </c>
      <c r="G78" s="13" t="s">
        <v>188</v>
      </c>
      <c r="H78" s="13" t="s">
        <v>188</v>
      </c>
      <c r="I78" s="13" t="s">
        <v>190</v>
      </c>
      <c r="J78" s="13" t="s">
        <v>1166</v>
      </c>
      <c r="K78" s="13" t="s">
        <v>918</v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12">
        <v>19.0</v>
      </c>
      <c r="B79" s="24" t="s">
        <v>407</v>
      </c>
      <c r="C79" s="25" t="s">
        <v>920</v>
      </c>
      <c r="D79" s="24" t="s">
        <v>1167</v>
      </c>
      <c r="E79" s="13" t="s">
        <v>283</v>
      </c>
      <c r="F79" s="13" t="s">
        <v>1168</v>
      </c>
      <c r="G79" s="13" t="s">
        <v>188</v>
      </c>
      <c r="H79" s="13" t="s">
        <v>188</v>
      </c>
      <c r="I79" s="13" t="s">
        <v>190</v>
      </c>
      <c r="J79" s="13" t="s">
        <v>1163</v>
      </c>
      <c r="K79" s="13" t="s">
        <v>918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12">
        <v>19.0</v>
      </c>
      <c r="B80" s="24" t="s">
        <v>407</v>
      </c>
      <c r="C80" s="25" t="s">
        <v>920</v>
      </c>
      <c r="D80" s="24" t="s">
        <v>670</v>
      </c>
      <c r="E80" s="13" t="s">
        <v>283</v>
      </c>
      <c r="F80" s="13" t="s">
        <v>1094</v>
      </c>
      <c r="G80" s="13" t="s">
        <v>188</v>
      </c>
      <c r="H80" s="13" t="s">
        <v>188</v>
      </c>
      <c r="I80" s="13" t="s">
        <v>190</v>
      </c>
      <c r="J80" s="13" t="s">
        <v>1166</v>
      </c>
      <c r="K80" s="13" t="s">
        <v>918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12">
        <v>19.0</v>
      </c>
      <c r="B81" s="24" t="s">
        <v>407</v>
      </c>
      <c r="C81" s="25" t="s">
        <v>920</v>
      </c>
      <c r="D81" s="24" t="s">
        <v>947</v>
      </c>
      <c r="E81" s="13" t="s">
        <v>283</v>
      </c>
      <c r="F81" s="13" t="s">
        <v>1169</v>
      </c>
      <c r="G81" s="13" t="s">
        <v>188</v>
      </c>
      <c r="H81" s="13" t="s">
        <v>188</v>
      </c>
      <c r="I81" s="13" t="s">
        <v>190</v>
      </c>
      <c r="J81" s="13" t="s">
        <v>1163</v>
      </c>
      <c r="K81" s="13" t="s">
        <v>961</v>
      </c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12">
        <v>20.0</v>
      </c>
      <c r="B82" s="24" t="s">
        <v>420</v>
      </c>
      <c r="C82" s="25" t="s">
        <v>920</v>
      </c>
      <c r="D82" s="24" t="s">
        <v>1095</v>
      </c>
      <c r="E82" s="13" t="s">
        <v>184</v>
      </c>
      <c r="F82" s="13" t="s">
        <v>1170</v>
      </c>
      <c r="G82" s="13" t="s">
        <v>188</v>
      </c>
      <c r="H82" s="13" t="s">
        <v>188</v>
      </c>
      <c r="I82" s="13" t="s">
        <v>190</v>
      </c>
      <c r="J82" s="13" t="s">
        <v>1172</v>
      </c>
      <c r="K82" s="13" t="s">
        <v>918</v>
      </c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12">
        <v>20.0</v>
      </c>
      <c r="B83" s="24" t="s">
        <v>420</v>
      </c>
      <c r="C83" s="25" t="s">
        <v>920</v>
      </c>
      <c r="D83" s="24" t="s">
        <v>889</v>
      </c>
      <c r="E83" s="13" t="s">
        <v>283</v>
      </c>
      <c r="F83" s="13" t="s">
        <v>1174</v>
      </c>
      <c r="G83" s="13" t="s">
        <v>188</v>
      </c>
      <c r="H83" s="13" t="s">
        <v>188</v>
      </c>
      <c r="I83" s="13" t="s">
        <v>190</v>
      </c>
      <c r="J83" s="13" t="s">
        <v>1175</v>
      </c>
      <c r="K83" s="13" t="s">
        <v>918</v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12">
        <v>20.0</v>
      </c>
      <c r="B84" s="24" t="s">
        <v>420</v>
      </c>
      <c r="C84" s="25" t="s">
        <v>920</v>
      </c>
      <c r="D84" s="24" t="s">
        <v>1116</v>
      </c>
      <c r="E84" s="13" t="s">
        <v>283</v>
      </c>
      <c r="F84" s="13" t="s">
        <v>1177</v>
      </c>
      <c r="G84" s="13" t="s">
        <v>188</v>
      </c>
      <c r="H84" s="13" t="s">
        <v>188</v>
      </c>
      <c r="I84" s="13" t="s">
        <v>190</v>
      </c>
      <c r="J84" s="13" t="s">
        <v>1172</v>
      </c>
      <c r="K84" s="13" t="s">
        <v>918</v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12">
        <v>21.0</v>
      </c>
      <c r="B85" s="24" t="s">
        <v>431</v>
      </c>
      <c r="C85" s="25" t="s">
        <v>920</v>
      </c>
      <c r="D85" s="24" t="s">
        <v>1179</v>
      </c>
      <c r="E85" s="13" t="s">
        <v>184</v>
      </c>
      <c r="F85" s="13" t="s">
        <v>1180</v>
      </c>
      <c r="G85" s="13" t="s">
        <v>188</v>
      </c>
      <c r="H85" s="13" t="s">
        <v>188</v>
      </c>
      <c r="I85" s="13" t="s">
        <v>190</v>
      </c>
      <c r="J85" s="13" t="s">
        <v>1181</v>
      </c>
      <c r="K85" s="13" t="s">
        <v>918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12">
        <v>21.0</v>
      </c>
      <c r="B86" s="24" t="s">
        <v>431</v>
      </c>
      <c r="C86" s="25" t="s">
        <v>920</v>
      </c>
      <c r="D86" s="24" t="s">
        <v>1183</v>
      </c>
      <c r="E86" s="13" t="s">
        <v>184</v>
      </c>
      <c r="F86" s="13" t="s">
        <v>1185</v>
      </c>
      <c r="G86" s="13" t="s">
        <v>188</v>
      </c>
      <c r="H86" s="13" t="s">
        <v>188</v>
      </c>
      <c r="I86" s="13" t="s">
        <v>190</v>
      </c>
      <c r="J86" s="13" t="s">
        <v>1186</v>
      </c>
      <c r="K86" s="13" t="s">
        <v>918</v>
      </c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12">
        <v>21.0</v>
      </c>
      <c r="B87" s="24" t="s">
        <v>431</v>
      </c>
      <c r="C87" s="25" t="s">
        <v>920</v>
      </c>
      <c r="D87" s="24" t="s">
        <v>1187</v>
      </c>
      <c r="E87" s="13" t="s">
        <v>184</v>
      </c>
      <c r="F87" s="13" t="s">
        <v>1189</v>
      </c>
      <c r="G87" s="13" t="s">
        <v>188</v>
      </c>
      <c r="H87" s="13" t="s">
        <v>188</v>
      </c>
      <c r="I87" s="13" t="s">
        <v>190</v>
      </c>
      <c r="J87" s="13" t="s">
        <v>1181</v>
      </c>
      <c r="K87" s="13" t="s">
        <v>918</v>
      </c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12">
        <v>21.0</v>
      </c>
      <c r="B88" s="24" t="s">
        <v>431</v>
      </c>
      <c r="C88" s="25" t="s">
        <v>920</v>
      </c>
      <c r="D88" s="24" t="s">
        <v>979</v>
      </c>
      <c r="E88" s="13" t="s">
        <v>184</v>
      </c>
      <c r="F88" s="13" t="s">
        <v>1191</v>
      </c>
      <c r="G88" s="13" t="s">
        <v>188</v>
      </c>
      <c r="H88" s="13" t="s">
        <v>188</v>
      </c>
      <c r="I88" s="13" t="s">
        <v>190</v>
      </c>
      <c r="J88" s="13" t="s">
        <v>1186</v>
      </c>
      <c r="K88" s="13" t="s">
        <v>918</v>
      </c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12">
        <v>21.0</v>
      </c>
      <c r="B89" s="24" t="s">
        <v>431</v>
      </c>
      <c r="C89" s="25" t="s">
        <v>920</v>
      </c>
      <c r="D89" s="24" t="s">
        <v>1192</v>
      </c>
      <c r="E89" s="13" t="s">
        <v>283</v>
      </c>
      <c r="F89" s="13" t="s">
        <v>1193</v>
      </c>
      <c r="G89" s="13" t="s">
        <v>188</v>
      </c>
      <c r="H89" s="13" t="s">
        <v>188</v>
      </c>
      <c r="I89" s="13" t="s">
        <v>190</v>
      </c>
      <c r="J89" s="13" t="s">
        <v>1181</v>
      </c>
      <c r="K89" s="13" t="s">
        <v>918</v>
      </c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12">
        <v>22.0</v>
      </c>
      <c r="B90" s="24" t="s">
        <v>443</v>
      </c>
      <c r="C90" s="25" t="s">
        <v>920</v>
      </c>
      <c r="D90" s="24" t="s">
        <v>585</v>
      </c>
      <c r="E90" s="13" t="s">
        <v>184</v>
      </c>
      <c r="F90" s="13" t="s">
        <v>1196</v>
      </c>
      <c r="G90" s="13" t="s">
        <v>188</v>
      </c>
      <c r="H90" s="13" t="s">
        <v>188</v>
      </c>
      <c r="I90" s="13" t="s">
        <v>190</v>
      </c>
      <c r="J90" s="13" t="s">
        <v>1197</v>
      </c>
      <c r="K90" s="13" t="s">
        <v>961</v>
      </c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12">
        <v>22.0</v>
      </c>
      <c r="B91" s="24" t="s">
        <v>443</v>
      </c>
      <c r="C91" s="25" t="s">
        <v>920</v>
      </c>
      <c r="D91" s="24" t="s">
        <v>691</v>
      </c>
      <c r="E91" s="13" t="s">
        <v>184</v>
      </c>
      <c r="F91" s="13" t="s">
        <v>1198</v>
      </c>
      <c r="G91" s="13" t="s">
        <v>188</v>
      </c>
      <c r="H91" s="13" t="s">
        <v>188</v>
      </c>
      <c r="I91" s="13" t="s">
        <v>190</v>
      </c>
      <c r="J91" s="13" t="s">
        <v>1199</v>
      </c>
      <c r="K91" s="13" t="s">
        <v>1056</v>
      </c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12">
        <v>22.0</v>
      </c>
      <c r="B92" s="24" t="s">
        <v>443</v>
      </c>
      <c r="C92" s="25" t="s">
        <v>920</v>
      </c>
      <c r="D92" s="24" t="s">
        <v>557</v>
      </c>
      <c r="E92" s="13" t="s">
        <v>283</v>
      </c>
      <c r="F92" s="13" t="s">
        <v>1200</v>
      </c>
      <c r="G92" s="13" t="s">
        <v>188</v>
      </c>
      <c r="H92" s="13" t="s">
        <v>188</v>
      </c>
      <c r="I92" s="13" t="s">
        <v>190</v>
      </c>
      <c r="J92" s="13" t="s">
        <v>1202</v>
      </c>
      <c r="K92" s="13" t="s">
        <v>936</v>
      </c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12">
        <v>22.0</v>
      </c>
      <c r="B93" s="24" t="s">
        <v>443</v>
      </c>
      <c r="C93" s="25" t="s">
        <v>920</v>
      </c>
      <c r="D93" s="24" t="s">
        <v>587</v>
      </c>
      <c r="E93" s="13" t="s">
        <v>283</v>
      </c>
      <c r="F93" s="13" t="s">
        <v>1203</v>
      </c>
      <c r="G93" s="13" t="s">
        <v>188</v>
      </c>
      <c r="H93" s="13" t="s">
        <v>188</v>
      </c>
      <c r="I93" s="13" t="s">
        <v>190</v>
      </c>
      <c r="J93" s="13" t="s">
        <v>1197</v>
      </c>
      <c r="K93" s="13" t="s">
        <v>954</v>
      </c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12">
        <v>22.0</v>
      </c>
      <c r="B94" s="24" t="s">
        <v>443</v>
      </c>
      <c r="C94" s="25" t="s">
        <v>920</v>
      </c>
      <c r="D94" s="24" t="s">
        <v>572</v>
      </c>
      <c r="E94" s="13" t="s">
        <v>283</v>
      </c>
      <c r="F94" s="13" t="s">
        <v>1204</v>
      </c>
      <c r="G94" s="13" t="s">
        <v>188</v>
      </c>
      <c r="H94" s="13" t="s">
        <v>188</v>
      </c>
      <c r="I94" s="13" t="s">
        <v>190</v>
      </c>
      <c r="J94" s="13" t="s">
        <v>1199</v>
      </c>
      <c r="K94" s="13" t="s">
        <v>954</v>
      </c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12">
        <v>23.0</v>
      </c>
      <c r="B95" s="24" t="s">
        <v>457</v>
      </c>
      <c r="C95" s="25" t="s">
        <v>920</v>
      </c>
      <c r="D95" s="24" t="s">
        <v>1032</v>
      </c>
      <c r="E95" s="13" t="s">
        <v>184</v>
      </c>
      <c r="F95" s="13" t="s">
        <v>1205</v>
      </c>
      <c r="G95" s="13" t="s">
        <v>188</v>
      </c>
      <c r="H95" s="13" t="s">
        <v>188</v>
      </c>
      <c r="I95" s="13" t="s">
        <v>190</v>
      </c>
      <c r="J95" s="13" t="s">
        <v>1206</v>
      </c>
      <c r="K95" s="13" t="s">
        <v>918</v>
      </c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12">
        <v>23.0</v>
      </c>
      <c r="B96" s="24" t="s">
        <v>457</v>
      </c>
      <c r="C96" s="25" t="s">
        <v>920</v>
      </c>
      <c r="D96" s="24" t="s">
        <v>1207</v>
      </c>
      <c r="E96" s="13" t="s">
        <v>184</v>
      </c>
      <c r="F96" s="13" t="s">
        <v>1208</v>
      </c>
      <c r="G96" s="13" t="s">
        <v>188</v>
      </c>
      <c r="H96" s="13" t="s">
        <v>188</v>
      </c>
      <c r="I96" s="13" t="s">
        <v>190</v>
      </c>
      <c r="J96" s="13" t="s">
        <v>1209</v>
      </c>
      <c r="K96" s="13" t="s">
        <v>918</v>
      </c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12">
        <v>23.0</v>
      </c>
      <c r="B97" s="24" t="s">
        <v>457</v>
      </c>
      <c r="C97" s="25" t="s">
        <v>920</v>
      </c>
      <c r="D97" s="24" t="s">
        <v>1211</v>
      </c>
      <c r="E97" s="13" t="s">
        <v>184</v>
      </c>
      <c r="F97" s="13" t="s">
        <v>1212</v>
      </c>
      <c r="G97" s="13" t="s">
        <v>188</v>
      </c>
      <c r="H97" s="13" t="s">
        <v>188</v>
      </c>
      <c r="I97" s="13" t="s">
        <v>190</v>
      </c>
      <c r="J97" s="13" t="s">
        <v>1206</v>
      </c>
      <c r="K97" s="13" t="s">
        <v>918</v>
      </c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12">
        <v>23.0</v>
      </c>
      <c r="B98" s="24" t="s">
        <v>457</v>
      </c>
      <c r="C98" s="25" t="s">
        <v>920</v>
      </c>
      <c r="D98" s="24" t="s">
        <v>1214</v>
      </c>
      <c r="E98" s="13" t="s">
        <v>283</v>
      </c>
      <c r="F98" s="13" t="s">
        <v>1215</v>
      </c>
      <c r="G98" s="13" t="s">
        <v>188</v>
      </c>
      <c r="H98" s="13" t="s">
        <v>188</v>
      </c>
      <c r="I98" s="13" t="s">
        <v>190</v>
      </c>
      <c r="J98" s="13" t="s">
        <v>1209</v>
      </c>
      <c r="K98" s="13" t="s">
        <v>918</v>
      </c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12">
        <v>23.0</v>
      </c>
      <c r="B99" s="24" t="s">
        <v>457</v>
      </c>
      <c r="C99" s="25" t="s">
        <v>920</v>
      </c>
      <c r="D99" s="24" t="s">
        <v>937</v>
      </c>
      <c r="E99" s="13" t="s">
        <v>283</v>
      </c>
      <c r="F99" s="13" t="s">
        <v>1217</v>
      </c>
      <c r="G99" s="13" t="s">
        <v>188</v>
      </c>
      <c r="H99" s="13" t="s">
        <v>188</v>
      </c>
      <c r="I99" s="13" t="s">
        <v>190</v>
      </c>
      <c r="J99" s="13" t="s">
        <v>1206</v>
      </c>
      <c r="K99" s="13" t="s">
        <v>918</v>
      </c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12">
        <v>24.0</v>
      </c>
      <c r="B100" s="24" t="s">
        <v>475</v>
      </c>
      <c r="C100" s="25" t="s">
        <v>920</v>
      </c>
      <c r="D100" s="24" t="s">
        <v>599</v>
      </c>
      <c r="E100" s="13" t="s">
        <v>184</v>
      </c>
      <c r="F100" s="13" t="s">
        <v>1218</v>
      </c>
      <c r="G100" s="13" t="s">
        <v>188</v>
      </c>
      <c r="H100" s="13" t="s">
        <v>188</v>
      </c>
      <c r="I100" s="13" t="s">
        <v>190</v>
      </c>
      <c r="J100" s="13" t="s">
        <v>851</v>
      </c>
      <c r="K100" s="13" t="s">
        <v>1056</v>
      </c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12">
        <v>24.0</v>
      </c>
      <c r="B101" s="24" t="s">
        <v>475</v>
      </c>
      <c r="C101" s="25" t="s">
        <v>920</v>
      </c>
      <c r="D101" s="24" t="s">
        <v>585</v>
      </c>
      <c r="E101" s="13" t="s">
        <v>283</v>
      </c>
      <c r="F101" s="13" t="s">
        <v>1219</v>
      </c>
      <c r="G101" s="13" t="s">
        <v>188</v>
      </c>
      <c r="H101" s="13" t="s">
        <v>188</v>
      </c>
      <c r="I101" s="13" t="s">
        <v>190</v>
      </c>
      <c r="J101" s="13" t="s">
        <v>1220</v>
      </c>
      <c r="K101" s="13" t="s">
        <v>961</v>
      </c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12">
        <v>25.0</v>
      </c>
      <c r="B102" s="24" t="s">
        <v>484</v>
      </c>
      <c r="C102" s="25" t="s">
        <v>920</v>
      </c>
      <c r="D102" s="24" t="s">
        <v>1047</v>
      </c>
      <c r="E102" s="13" t="s">
        <v>184</v>
      </c>
      <c r="F102" s="13" t="s">
        <v>1223</v>
      </c>
      <c r="G102" s="13" t="s">
        <v>188</v>
      </c>
      <c r="H102" s="13" t="s">
        <v>188</v>
      </c>
      <c r="I102" s="13" t="s">
        <v>190</v>
      </c>
      <c r="J102" s="13" t="s">
        <v>1224</v>
      </c>
      <c r="K102" s="13" t="s">
        <v>918</v>
      </c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12">
        <v>25.0</v>
      </c>
      <c r="B103" s="24" t="s">
        <v>484</v>
      </c>
      <c r="C103" s="25" t="s">
        <v>920</v>
      </c>
      <c r="D103" s="24" t="s">
        <v>1225</v>
      </c>
      <c r="E103" s="13" t="s">
        <v>184</v>
      </c>
      <c r="F103" s="13" t="s">
        <v>1228</v>
      </c>
      <c r="G103" s="13" t="s">
        <v>188</v>
      </c>
      <c r="H103" s="13" t="s">
        <v>188</v>
      </c>
      <c r="I103" s="13" t="s">
        <v>190</v>
      </c>
      <c r="J103" s="13" t="s">
        <v>1229</v>
      </c>
      <c r="K103" s="13" t="s">
        <v>918</v>
      </c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12">
        <v>25.0</v>
      </c>
      <c r="B104" s="24" t="s">
        <v>484</v>
      </c>
      <c r="C104" s="25" t="s">
        <v>920</v>
      </c>
      <c r="D104" s="24" t="s">
        <v>1231</v>
      </c>
      <c r="E104" s="13" t="s">
        <v>184</v>
      </c>
      <c r="F104" s="13" t="s">
        <v>1233</v>
      </c>
      <c r="G104" s="13" t="s">
        <v>188</v>
      </c>
      <c r="H104" s="13" t="s">
        <v>188</v>
      </c>
      <c r="I104" s="13" t="s">
        <v>190</v>
      </c>
      <c r="J104" s="13" t="s">
        <v>1234</v>
      </c>
      <c r="K104" s="13" t="s">
        <v>918</v>
      </c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12">
        <v>25.0</v>
      </c>
      <c r="B105" s="24" t="s">
        <v>484</v>
      </c>
      <c r="C105" s="25" t="s">
        <v>920</v>
      </c>
      <c r="D105" s="24" t="s">
        <v>1235</v>
      </c>
      <c r="E105" s="13" t="s">
        <v>283</v>
      </c>
      <c r="F105" s="13" t="s">
        <v>1236</v>
      </c>
      <c r="G105" s="13" t="s">
        <v>188</v>
      </c>
      <c r="H105" s="13" t="s">
        <v>188</v>
      </c>
      <c r="I105" s="13" t="s">
        <v>190</v>
      </c>
      <c r="J105" s="13" t="s">
        <v>1224</v>
      </c>
      <c r="K105" s="13" t="s">
        <v>918</v>
      </c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12">
        <v>25.0</v>
      </c>
      <c r="B106" s="24" t="s">
        <v>484</v>
      </c>
      <c r="C106" s="25" t="s">
        <v>920</v>
      </c>
      <c r="D106" s="24" t="s">
        <v>947</v>
      </c>
      <c r="E106" s="13" t="s">
        <v>283</v>
      </c>
      <c r="F106" s="13" t="s">
        <v>1238</v>
      </c>
      <c r="G106" s="13" t="s">
        <v>188</v>
      </c>
      <c r="H106" s="13" t="s">
        <v>188</v>
      </c>
      <c r="I106" s="13" t="s">
        <v>190</v>
      </c>
      <c r="J106" s="13" t="s">
        <v>1229</v>
      </c>
      <c r="K106" s="13" t="s">
        <v>961</v>
      </c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12">
        <v>26.0</v>
      </c>
      <c r="B107" s="24" t="s">
        <v>493</v>
      </c>
      <c r="C107" s="25" t="s">
        <v>920</v>
      </c>
      <c r="D107" s="24" t="s">
        <v>1241</v>
      </c>
      <c r="E107" s="13" t="s">
        <v>184</v>
      </c>
      <c r="F107" s="13" t="s">
        <v>1242</v>
      </c>
      <c r="G107" s="13" t="s">
        <v>188</v>
      </c>
      <c r="H107" s="13" t="s">
        <v>188</v>
      </c>
      <c r="I107" s="13" t="s">
        <v>190</v>
      </c>
      <c r="J107" s="13" t="s">
        <v>1243</v>
      </c>
      <c r="K107" s="13" t="s">
        <v>918</v>
      </c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12">
        <v>26.0</v>
      </c>
      <c r="B108" s="24" t="s">
        <v>493</v>
      </c>
      <c r="C108" s="25" t="s">
        <v>920</v>
      </c>
      <c r="D108" s="24" t="s">
        <v>1244</v>
      </c>
      <c r="E108" s="13" t="s">
        <v>184</v>
      </c>
      <c r="F108" s="13" t="s">
        <v>1245</v>
      </c>
      <c r="G108" s="13" t="s">
        <v>188</v>
      </c>
      <c r="H108" s="13" t="s">
        <v>188</v>
      </c>
      <c r="I108" s="13" t="s">
        <v>190</v>
      </c>
      <c r="J108" s="13" t="s">
        <v>1246</v>
      </c>
      <c r="K108" s="13" t="s">
        <v>918</v>
      </c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12">
        <v>26.0</v>
      </c>
      <c r="B109" s="24" t="s">
        <v>493</v>
      </c>
      <c r="C109" s="25" t="s">
        <v>920</v>
      </c>
      <c r="D109" s="24" t="s">
        <v>1247</v>
      </c>
      <c r="E109" s="13" t="s">
        <v>184</v>
      </c>
      <c r="F109" s="13" t="s">
        <v>1248</v>
      </c>
      <c r="G109" s="13" t="s">
        <v>188</v>
      </c>
      <c r="H109" s="13" t="s">
        <v>188</v>
      </c>
      <c r="I109" s="13" t="s">
        <v>190</v>
      </c>
      <c r="J109" s="13" t="s">
        <v>1249</v>
      </c>
      <c r="K109" s="13" t="s">
        <v>918</v>
      </c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12">
        <v>26.0</v>
      </c>
      <c r="B110" s="24" t="s">
        <v>493</v>
      </c>
      <c r="C110" s="25" t="s">
        <v>920</v>
      </c>
      <c r="D110" s="24" t="s">
        <v>962</v>
      </c>
      <c r="E110" s="13" t="s">
        <v>184</v>
      </c>
      <c r="F110" s="13" t="s">
        <v>1250</v>
      </c>
      <c r="G110" s="13" t="s">
        <v>188</v>
      </c>
      <c r="H110" s="13" t="s">
        <v>188</v>
      </c>
      <c r="I110" s="13" t="s">
        <v>190</v>
      </c>
      <c r="J110" s="13" t="s">
        <v>1243</v>
      </c>
      <c r="K110" s="13" t="s">
        <v>918</v>
      </c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12">
        <v>26.0</v>
      </c>
      <c r="B111" s="24" t="s">
        <v>493</v>
      </c>
      <c r="C111" s="25" t="s">
        <v>920</v>
      </c>
      <c r="D111" s="24" t="s">
        <v>958</v>
      </c>
      <c r="E111" s="13" t="s">
        <v>283</v>
      </c>
      <c r="F111" s="13" t="s">
        <v>1251</v>
      </c>
      <c r="G111" s="13" t="s">
        <v>188</v>
      </c>
      <c r="H111" s="13" t="s">
        <v>188</v>
      </c>
      <c r="I111" s="13" t="s">
        <v>190</v>
      </c>
      <c r="J111" s="13" t="s">
        <v>1246</v>
      </c>
      <c r="K111" s="13" t="s">
        <v>961</v>
      </c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12">
        <v>27.0</v>
      </c>
      <c r="B112" s="24" t="s">
        <v>501</v>
      </c>
      <c r="C112" s="25" t="s">
        <v>920</v>
      </c>
      <c r="D112" s="24" t="s">
        <v>1252</v>
      </c>
      <c r="E112" s="13" t="s">
        <v>184</v>
      </c>
      <c r="F112" s="13" t="s">
        <v>1254</v>
      </c>
      <c r="G112" s="13" t="s">
        <v>188</v>
      </c>
      <c r="H112" s="13" t="s">
        <v>188</v>
      </c>
      <c r="I112" s="13" t="s">
        <v>190</v>
      </c>
      <c r="J112" s="13" t="s">
        <v>1255</v>
      </c>
      <c r="K112" s="13" t="s">
        <v>918</v>
      </c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12">
        <v>27.0</v>
      </c>
      <c r="B113" s="24" t="s">
        <v>501</v>
      </c>
      <c r="C113" s="25" t="s">
        <v>920</v>
      </c>
      <c r="D113" s="24" t="s">
        <v>1256</v>
      </c>
      <c r="E113" s="13" t="s">
        <v>184</v>
      </c>
      <c r="F113" s="13" t="s">
        <v>1258</v>
      </c>
      <c r="G113" s="13" t="s">
        <v>188</v>
      </c>
      <c r="H113" s="13" t="s">
        <v>188</v>
      </c>
      <c r="I113" s="13" t="s">
        <v>190</v>
      </c>
      <c r="J113" s="13" t="s">
        <v>1259</v>
      </c>
      <c r="K113" s="13" t="s">
        <v>918</v>
      </c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12">
        <v>27.0</v>
      </c>
      <c r="B114" s="24" t="s">
        <v>501</v>
      </c>
      <c r="C114" s="25" t="s">
        <v>920</v>
      </c>
      <c r="D114" s="24" t="s">
        <v>1260</v>
      </c>
      <c r="E114" s="13" t="s">
        <v>184</v>
      </c>
      <c r="F114" s="13" t="s">
        <v>1262</v>
      </c>
      <c r="G114" s="13" t="s">
        <v>188</v>
      </c>
      <c r="H114" s="13" t="s">
        <v>188</v>
      </c>
      <c r="I114" s="13" t="s">
        <v>190</v>
      </c>
      <c r="J114" s="13" t="s">
        <v>1263</v>
      </c>
      <c r="K114" s="13" t="s">
        <v>918</v>
      </c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12">
        <v>27.0</v>
      </c>
      <c r="B115" s="24" t="s">
        <v>501</v>
      </c>
      <c r="C115" s="25" t="s">
        <v>920</v>
      </c>
      <c r="D115" s="24" t="s">
        <v>1264</v>
      </c>
      <c r="E115" s="13" t="s">
        <v>283</v>
      </c>
      <c r="F115" s="13" t="s">
        <v>1266</v>
      </c>
      <c r="G115" s="13" t="s">
        <v>188</v>
      </c>
      <c r="H115" s="13" t="s">
        <v>188</v>
      </c>
      <c r="I115" s="13" t="s">
        <v>190</v>
      </c>
      <c r="J115" s="13" t="s">
        <v>1255</v>
      </c>
      <c r="K115" s="13" t="s">
        <v>918</v>
      </c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12">
        <v>28.0</v>
      </c>
      <c r="B116" s="24" t="s">
        <v>513</v>
      </c>
      <c r="C116" s="25" t="s">
        <v>1268</v>
      </c>
      <c r="D116" s="24" t="s">
        <v>1269</v>
      </c>
      <c r="E116" s="13" t="s">
        <v>184</v>
      </c>
      <c r="F116" s="13" t="s">
        <v>1272</v>
      </c>
      <c r="G116" s="13" t="s">
        <v>188</v>
      </c>
      <c r="H116" s="13" t="s">
        <v>188</v>
      </c>
      <c r="I116" s="13" t="s">
        <v>190</v>
      </c>
      <c r="J116" s="13" t="s">
        <v>1273</v>
      </c>
      <c r="K116" s="13" t="s">
        <v>918</v>
      </c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12">
        <v>28.0</v>
      </c>
      <c r="B117" s="24" t="s">
        <v>513</v>
      </c>
      <c r="C117" s="25" t="s">
        <v>1268</v>
      </c>
      <c r="D117" s="24" t="s">
        <v>1274</v>
      </c>
      <c r="E117" s="13" t="s">
        <v>184</v>
      </c>
      <c r="F117" s="13" t="s">
        <v>1275</v>
      </c>
      <c r="G117" s="13" t="s">
        <v>188</v>
      </c>
      <c r="H117" s="13" t="s">
        <v>188</v>
      </c>
      <c r="I117" s="13" t="s">
        <v>190</v>
      </c>
      <c r="J117" s="13" t="s">
        <v>1276</v>
      </c>
      <c r="K117" s="13" t="s">
        <v>961</v>
      </c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12">
        <v>28.0</v>
      </c>
      <c r="B118" s="24" t="s">
        <v>513</v>
      </c>
      <c r="C118" s="25" t="s">
        <v>1268</v>
      </c>
      <c r="D118" s="24" t="s">
        <v>1277</v>
      </c>
      <c r="E118" s="13" t="s">
        <v>184</v>
      </c>
      <c r="F118" s="13" t="s">
        <v>1278</v>
      </c>
      <c r="G118" s="13" t="s">
        <v>188</v>
      </c>
      <c r="H118" s="13" t="s">
        <v>188</v>
      </c>
      <c r="I118" s="13" t="s">
        <v>190</v>
      </c>
      <c r="J118" s="13" t="s">
        <v>1279</v>
      </c>
      <c r="K118" s="13" t="s">
        <v>961</v>
      </c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12">
        <v>28.0</v>
      </c>
      <c r="B119" s="24" t="s">
        <v>513</v>
      </c>
      <c r="C119" s="25" t="s">
        <v>1268</v>
      </c>
      <c r="D119" s="24" t="s">
        <v>1281</v>
      </c>
      <c r="E119" s="13" t="s">
        <v>283</v>
      </c>
      <c r="F119" s="13" t="s">
        <v>1282</v>
      </c>
      <c r="G119" s="13" t="s">
        <v>188</v>
      </c>
      <c r="H119" s="13" t="s">
        <v>188</v>
      </c>
      <c r="I119" s="13" t="s">
        <v>190</v>
      </c>
      <c r="J119" s="13" t="s">
        <v>1283</v>
      </c>
      <c r="K119" s="13" t="s">
        <v>961</v>
      </c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12">
        <v>28.0</v>
      </c>
      <c r="B120" s="24" t="s">
        <v>513</v>
      </c>
      <c r="C120" s="25" t="s">
        <v>1268</v>
      </c>
      <c r="D120" s="24" t="s">
        <v>1284</v>
      </c>
      <c r="E120" s="13" t="s">
        <v>283</v>
      </c>
      <c r="F120" s="13" t="s">
        <v>1285</v>
      </c>
      <c r="G120" s="13" t="s">
        <v>188</v>
      </c>
      <c r="H120" s="13" t="s">
        <v>188</v>
      </c>
      <c r="I120" s="13" t="s">
        <v>190</v>
      </c>
      <c r="J120" s="13" t="s">
        <v>1286</v>
      </c>
      <c r="K120" s="13" t="s">
        <v>961</v>
      </c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12">
        <v>29.0</v>
      </c>
      <c r="B121" s="24" t="s">
        <v>523</v>
      </c>
      <c r="C121" s="25" t="s">
        <v>1268</v>
      </c>
      <c r="D121" s="24" t="s">
        <v>1287</v>
      </c>
      <c r="E121" s="13" t="s">
        <v>184</v>
      </c>
      <c r="F121" s="13" t="s">
        <v>1290</v>
      </c>
      <c r="G121" s="13" t="s">
        <v>188</v>
      </c>
      <c r="H121" s="13" t="s">
        <v>188</v>
      </c>
      <c r="I121" s="13" t="s">
        <v>190</v>
      </c>
      <c r="J121" s="13" t="s">
        <v>1291</v>
      </c>
      <c r="K121" s="13" t="s">
        <v>918</v>
      </c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12">
        <v>29.0</v>
      </c>
      <c r="B122" s="24" t="s">
        <v>523</v>
      </c>
      <c r="C122" s="25" t="s">
        <v>1268</v>
      </c>
      <c r="D122" s="24" t="s">
        <v>1292</v>
      </c>
      <c r="E122" s="13" t="s">
        <v>184</v>
      </c>
      <c r="F122" s="13" t="s">
        <v>1294</v>
      </c>
      <c r="G122" s="13" t="s">
        <v>188</v>
      </c>
      <c r="H122" s="13" t="s">
        <v>188</v>
      </c>
      <c r="I122" s="13" t="s">
        <v>190</v>
      </c>
      <c r="J122" s="13" t="s">
        <v>1296</v>
      </c>
      <c r="K122" s="13" t="s">
        <v>918</v>
      </c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12">
        <v>29.0</v>
      </c>
      <c r="B123" s="24" t="s">
        <v>523</v>
      </c>
      <c r="C123" s="25" t="s">
        <v>1268</v>
      </c>
      <c r="D123" s="24" t="s">
        <v>788</v>
      </c>
      <c r="E123" s="13" t="s">
        <v>184</v>
      </c>
      <c r="F123" s="13" t="s">
        <v>1297</v>
      </c>
      <c r="G123" s="13" t="s">
        <v>188</v>
      </c>
      <c r="H123" s="13" t="s">
        <v>188</v>
      </c>
      <c r="I123" s="13" t="s">
        <v>190</v>
      </c>
      <c r="J123" s="13" t="s">
        <v>835</v>
      </c>
      <c r="K123" s="13" t="s">
        <v>918</v>
      </c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12">
        <v>29.0</v>
      </c>
      <c r="B124" s="24" t="s">
        <v>523</v>
      </c>
      <c r="C124" s="25" t="s">
        <v>1268</v>
      </c>
      <c r="D124" s="24" t="s">
        <v>1298</v>
      </c>
      <c r="E124" s="13" t="s">
        <v>283</v>
      </c>
      <c r="F124" s="13" t="s">
        <v>1299</v>
      </c>
      <c r="G124" s="13" t="s">
        <v>188</v>
      </c>
      <c r="H124" s="13" t="s">
        <v>188</v>
      </c>
      <c r="I124" s="13" t="s">
        <v>190</v>
      </c>
      <c r="J124" s="13" t="s">
        <v>1291</v>
      </c>
      <c r="K124" s="13" t="s">
        <v>918</v>
      </c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12">
        <v>29.0</v>
      </c>
      <c r="B125" s="24" t="s">
        <v>523</v>
      </c>
      <c r="C125" s="25" t="s">
        <v>1268</v>
      </c>
      <c r="D125" s="24" t="s">
        <v>1301</v>
      </c>
      <c r="E125" s="13" t="s">
        <v>283</v>
      </c>
      <c r="F125" s="13" t="s">
        <v>1303</v>
      </c>
      <c r="G125" s="13" t="s">
        <v>188</v>
      </c>
      <c r="H125" s="13" t="s">
        <v>188</v>
      </c>
      <c r="I125" s="13" t="s">
        <v>190</v>
      </c>
      <c r="J125" s="13" t="s">
        <v>1296</v>
      </c>
      <c r="K125" s="13" t="s">
        <v>918</v>
      </c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12">
        <v>30.0</v>
      </c>
      <c r="B126" s="24" t="s">
        <v>536</v>
      </c>
      <c r="C126" s="25" t="s">
        <v>1268</v>
      </c>
      <c r="D126" s="24" t="s">
        <v>970</v>
      </c>
      <c r="E126" s="13" t="s">
        <v>184</v>
      </c>
      <c r="F126" s="13" t="s">
        <v>1304</v>
      </c>
      <c r="G126" s="13" t="s">
        <v>188</v>
      </c>
      <c r="H126" s="13" t="s">
        <v>188</v>
      </c>
      <c r="I126" s="13" t="s">
        <v>190</v>
      </c>
      <c r="J126" s="13" t="s">
        <v>1306</v>
      </c>
      <c r="K126" s="13" t="s">
        <v>918</v>
      </c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12">
        <v>30.0</v>
      </c>
      <c r="B127" s="24" t="s">
        <v>536</v>
      </c>
      <c r="C127" s="25" t="s">
        <v>1268</v>
      </c>
      <c r="D127" s="24" t="s">
        <v>1150</v>
      </c>
      <c r="E127" s="13" t="s">
        <v>184</v>
      </c>
      <c r="F127" s="13" t="s">
        <v>1307</v>
      </c>
      <c r="G127" s="13" t="s">
        <v>188</v>
      </c>
      <c r="H127" s="13" t="s">
        <v>188</v>
      </c>
      <c r="I127" s="13" t="s">
        <v>190</v>
      </c>
      <c r="J127" s="13" t="s">
        <v>1308</v>
      </c>
      <c r="K127" s="13" t="s">
        <v>918</v>
      </c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12">
        <v>30.0</v>
      </c>
      <c r="B128" s="24" t="s">
        <v>536</v>
      </c>
      <c r="C128" s="25" t="s">
        <v>1268</v>
      </c>
      <c r="D128" s="24" t="s">
        <v>1309</v>
      </c>
      <c r="E128" s="13" t="s">
        <v>184</v>
      </c>
      <c r="F128" s="13" t="s">
        <v>1310</v>
      </c>
      <c r="G128" s="13" t="s">
        <v>188</v>
      </c>
      <c r="H128" s="13" t="s">
        <v>188</v>
      </c>
      <c r="I128" s="13" t="s">
        <v>190</v>
      </c>
      <c r="J128" s="13" t="s">
        <v>1306</v>
      </c>
      <c r="K128" s="13" t="s">
        <v>918</v>
      </c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12">
        <v>30.0</v>
      </c>
      <c r="B129" s="24" t="s">
        <v>536</v>
      </c>
      <c r="C129" s="25" t="s">
        <v>1268</v>
      </c>
      <c r="D129" s="24" t="s">
        <v>1155</v>
      </c>
      <c r="E129" s="13" t="s">
        <v>184</v>
      </c>
      <c r="F129" s="13" t="s">
        <v>1311</v>
      </c>
      <c r="G129" s="13" t="s">
        <v>188</v>
      </c>
      <c r="H129" s="13" t="s">
        <v>188</v>
      </c>
      <c r="I129" s="13" t="s">
        <v>190</v>
      </c>
      <c r="J129" s="13" t="s">
        <v>1308</v>
      </c>
      <c r="K129" s="13" t="s">
        <v>918</v>
      </c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12">
        <v>30.0</v>
      </c>
      <c r="B130" s="24" t="s">
        <v>536</v>
      </c>
      <c r="C130" s="25" t="s">
        <v>1268</v>
      </c>
      <c r="D130" s="24" t="s">
        <v>1312</v>
      </c>
      <c r="E130" s="13" t="s">
        <v>283</v>
      </c>
      <c r="F130" s="13" t="s">
        <v>1313</v>
      </c>
      <c r="G130" s="13" t="s">
        <v>188</v>
      </c>
      <c r="H130" s="13" t="s">
        <v>188</v>
      </c>
      <c r="I130" s="13" t="s">
        <v>190</v>
      </c>
      <c r="J130" s="13" t="s">
        <v>1306</v>
      </c>
      <c r="K130" s="13" t="s">
        <v>918</v>
      </c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12">
        <v>31.0</v>
      </c>
      <c r="B131" s="24" t="s">
        <v>544</v>
      </c>
      <c r="C131" s="25" t="s">
        <v>1268</v>
      </c>
      <c r="D131" s="24" t="s">
        <v>1314</v>
      </c>
      <c r="E131" s="13" t="s">
        <v>184</v>
      </c>
      <c r="F131" s="13" t="s">
        <v>1315</v>
      </c>
      <c r="G131" s="13" t="s">
        <v>188</v>
      </c>
      <c r="H131" s="13" t="s">
        <v>188</v>
      </c>
      <c r="I131" s="13" t="s">
        <v>190</v>
      </c>
      <c r="J131" s="13" t="s">
        <v>1316</v>
      </c>
      <c r="K131" s="13" t="s">
        <v>918</v>
      </c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12">
        <v>31.0</v>
      </c>
      <c r="B132" s="24" t="s">
        <v>544</v>
      </c>
      <c r="C132" s="25" t="s">
        <v>1268</v>
      </c>
      <c r="D132" s="24" t="s">
        <v>1317</v>
      </c>
      <c r="E132" s="13" t="s">
        <v>184</v>
      </c>
      <c r="F132" s="13" t="s">
        <v>1318</v>
      </c>
      <c r="G132" s="13" t="s">
        <v>188</v>
      </c>
      <c r="H132" s="13" t="s">
        <v>188</v>
      </c>
      <c r="I132" s="13" t="s">
        <v>190</v>
      </c>
      <c r="J132" s="13" t="s">
        <v>1319</v>
      </c>
      <c r="K132" s="13" t="s">
        <v>918</v>
      </c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12">
        <v>31.0</v>
      </c>
      <c r="B133" s="24" t="s">
        <v>544</v>
      </c>
      <c r="C133" s="25" t="s">
        <v>1268</v>
      </c>
      <c r="D133" s="24" t="s">
        <v>1320</v>
      </c>
      <c r="E133" s="13" t="s">
        <v>283</v>
      </c>
      <c r="F133" s="13" t="s">
        <v>1321</v>
      </c>
      <c r="G133" s="13" t="s">
        <v>188</v>
      </c>
      <c r="H133" s="13" t="s">
        <v>188</v>
      </c>
      <c r="I133" s="13" t="s">
        <v>190</v>
      </c>
      <c r="J133" s="13" t="s">
        <v>1316</v>
      </c>
      <c r="K133" s="13" t="s">
        <v>918</v>
      </c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12">
        <v>31.0</v>
      </c>
      <c r="B134" s="24" t="s">
        <v>544</v>
      </c>
      <c r="C134" s="25" t="s">
        <v>1268</v>
      </c>
      <c r="D134" s="24" t="s">
        <v>1322</v>
      </c>
      <c r="E134" s="13" t="s">
        <v>283</v>
      </c>
      <c r="F134" s="13" t="s">
        <v>1324</v>
      </c>
      <c r="G134" s="13" t="s">
        <v>188</v>
      </c>
      <c r="H134" s="13" t="s">
        <v>188</v>
      </c>
      <c r="I134" s="13" t="s">
        <v>190</v>
      </c>
      <c r="J134" s="13" t="s">
        <v>1319</v>
      </c>
      <c r="K134" s="13" t="s">
        <v>918</v>
      </c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12">
        <v>31.0</v>
      </c>
      <c r="B135" s="24" t="s">
        <v>544</v>
      </c>
      <c r="C135" s="25" t="s">
        <v>1268</v>
      </c>
      <c r="D135" s="24" t="s">
        <v>1326</v>
      </c>
      <c r="E135" s="13" t="s">
        <v>283</v>
      </c>
      <c r="F135" s="13" t="s">
        <v>1329</v>
      </c>
      <c r="G135" s="13" t="s">
        <v>188</v>
      </c>
      <c r="H135" s="13" t="s">
        <v>188</v>
      </c>
      <c r="I135" s="13" t="s">
        <v>190</v>
      </c>
      <c r="J135" s="13" t="s">
        <v>1316</v>
      </c>
      <c r="K135" s="13" t="s">
        <v>918</v>
      </c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12">
        <v>32.0</v>
      </c>
      <c r="B136" s="24" t="s">
        <v>546</v>
      </c>
      <c r="C136" s="25" t="s">
        <v>1268</v>
      </c>
      <c r="D136" s="24" t="s">
        <v>1001</v>
      </c>
      <c r="E136" s="13" t="s">
        <v>184</v>
      </c>
      <c r="F136" s="13" t="s">
        <v>1334</v>
      </c>
      <c r="G136" s="13" t="s">
        <v>188</v>
      </c>
      <c r="H136" s="13" t="s">
        <v>188</v>
      </c>
      <c r="I136" s="13" t="s">
        <v>190</v>
      </c>
      <c r="J136" s="13" t="s">
        <v>1335</v>
      </c>
      <c r="K136" s="13" t="s">
        <v>961</v>
      </c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12">
        <v>32.0</v>
      </c>
      <c r="B137" s="24" t="s">
        <v>546</v>
      </c>
      <c r="C137" s="25" t="s">
        <v>1268</v>
      </c>
      <c r="D137" s="24" t="s">
        <v>1336</v>
      </c>
      <c r="E137" s="13" t="s">
        <v>283</v>
      </c>
      <c r="F137" s="13" t="s">
        <v>1337</v>
      </c>
      <c r="G137" s="13" t="s">
        <v>188</v>
      </c>
      <c r="H137" s="13" t="s">
        <v>188</v>
      </c>
      <c r="I137" s="13" t="s">
        <v>190</v>
      </c>
      <c r="J137" s="13" t="s">
        <v>1339</v>
      </c>
      <c r="K137" s="13" t="s">
        <v>918</v>
      </c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12">
        <v>32.0</v>
      </c>
      <c r="B138" s="24" t="s">
        <v>546</v>
      </c>
      <c r="C138" s="25" t="s">
        <v>1268</v>
      </c>
      <c r="D138" s="24" t="s">
        <v>1340</v>
      </c>
      <c r="E138" s="13" t="s">
        <v>283</v>
      </c>
      <c r="F138" s="13" t="s">
        <v>1343</v>
      </c>
      <c r="G138" s="13" t="s">
        <v>188</v>
      </c>
      <c r="H138" s="13" t="s">
        <v>188</v>
      </c>
      <c r="I138" s="13" t="s">
        <v>190</v>
      </c>
      <c r="J138" s="13" t="s">
        <v>1344</v>
      </c>
      <c r="K138" s="13" t="s">
        <v>918</v>
      </c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12">
        <v>32.0</v>
      </c>
      <c r="B139" s="24" t="s">
        <v>546</v>
      </c>
      <c r="C139" s="25" t="s">
        <v>1268</v>
      </c>
      <c r="D139" s="24" t="s">
        <v>1347</v>
      </c>
      <c r="E139" s="13" t="s">
        <v>283</v>
      </c>
      <c r="F139" s="13" t="s">
        <v>1349</v>
      </c>
      <c r="G139" s="13" t="s">
        <v>188</v>
      </c>
      <c r="H139" s="13" t="s">
        <v>188</v>
      </c>
      <c r="I139" s="13" t="s">
        <v>190</v>
      </c>
      <c r="J139" s="13" t="s">
        <v>1335</v>
      </c>
      <c r="K139" s="13" t="s">
        <v>918</v>
      </c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12">
        <v>32.0</v>
      </c>
      <c r="B140" s="24" t="s">
        <v>546</v>
      </c>
      <c r="C140" s="25" t="s">
        <v>1268</v>
      </c>
      <c r="D140" s="24" t="s">
        <v>1350</v>
      </c>
      <c r="E140" s="13" t="s">
        <v>283</v>
      </c>
      <c r="F140" s="13" t="s">
        <v>1352</v>
      </c>
      <c r="G140" s="13" t="s">
        <v>188</v>
      </c>
      <c r="H140" s="13" t="s">
        <v>188</v>
      </c>
      <c r="I140" s="13" t="s">
        <v>190</v>
      </c>
      <c r="J140" s="13" t="s">
        <v>1339</v>
      </c>
      <c r="K140" s="13" t="s">
        <v>918</v>
      </c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12">
        <v>33.0</v>
      </c>
      <c r="B141" s="24" t="s">
        <v>547</v>
      </c>
      <c r="C141" s="25" t="s">
        <v>1268</v>
      </c>
      <c r="D141" s="24" t="s">
        <v>1355</v>
      </c>
      <c r="E141" s="13" t="s">
        <v>184</v>
      </c>
      <c r="F141" s="13" t="s">
        <v>1357</v>
      </c>
      <c r="G141" s="13" t="s">
        <v>188</v>
      </c>
      <c r="H141" s="13" t="s">
        <v>188</v>
      </c>
      <c r="I141" s="13" t="s">
        <v>190</v>
      </c>
      <c r="J141" s="13" t="s">
        <v>1358</v>
      </c>
      <c r="K141" s="13" t="s">
        <v>918</v>
      </c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12">
        <v>33.0</v>
      </c>
      <c r="B142" s="24" t="s">
        <v>547</v>
      </c>
      <c r="C142" s="25" t="s">
        <v>1268</v>
      </c>
      <c r="D142" s="24" t="s">
        <v>1359</v>
      </c>
      <c r="E142" s="13" t="s">
        <v>184</v>
      </c>
      <c r="F142" s="13" t="s">
        <v>1362</v>
      </c>
      <c r="G142" s="13" t="s">
        <v>188</v>
      </c>
      <c r="H142" s="13" t="s">
        <v>188</v>
      </c>
      <c r="I142" s="13" t="s">
        <v>190</v>
      </c>
      <c r="J142" s="13" t="s">
        <v>1363</v>
      </c>
      <c r="K142" s="13" t="s">
        <v>918</v>
      </c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12">
        <v>33.0</v>
      </c>
      <c r="B143" s="24" t="s">
        <v>547</v>
      </c>
      <c r="C143" s="25" t="s">
        <v>1268</v>
      </c>
      <c r="D143" s="24" t="s">
        <v>1364</v>
      </c>
      <c r="E143" s="13" t="s">
        <v>184</v>
      </c>
      <c r="F143" s="13" t="s">
        <v>1365</v>
      </c>
      <c r="G143" s="13" t="s">
        <v>188</v>
      </c>
      <c r="H143" s="13" t="s">
        <v>188</v>
      </c>
      <c r="I143" s="13" t="s">
        <v>190</v>
      </c>
      <c r="J143" s="13" t="s">
        <v>1358</v>
      </c>
      <c r="K143" s="13" t="s">
        <v>918</v>
      </c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12">
        <v>33.0</v>
      </c>
      <c r="B144" s="24" t="s">
        <v>547</v>
      </c>
      <c r="C144" s="25" t="s">
        <v>1268</v>
      </c>
      <c r="D144" s="24" t="s">
        <v>1366</v>
      </c>
      <c r="E144" s="13" t="s">
        <v>283</v>
      </c>
      <c r="F144" s="13" t="s">
        <v>1368</v>
      </c>
      <c r="G144" s="13" t="s">
        <v>188</v>
      </c>
      <c r="H144" s="13" t="s">
        <v>188</v>
      </c>
      <c r="I144" s="13" t="s">
        <v>190</v>
      </c>
      <c r="J144" s="13" t="s">
        <v>1363</v>
      </c>
      <c r="K144" s="13" t="s">
        <v>918</v>
      </c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12">
        <v>33.0</v>
      </c>
      <c r="B145" s="24" t="s">
        <v>547</v>
      </c>
      <c r="C145" s="25" t="s">
        <v>1268</v>
      </c>
      <c r="D145" s="24" t="s">
        <v>1369</v>
      </c>
      <c r="E145" s="13" t="s">
        <v>283</v>
      </c>
      <c r="F145" s="13" t="s">
        <v>1370</v>
      </c>
      <c r="G145" s="13" t="s">
        <v>188</v>
      </c>
      <c r="H145" s="13" t="s">
        <v>188</v>
      </c>
      <c r="I145" s="13" t="s">
        <v>190</v>
      </c>
      <c r="J145" s="13" t="s">
        <v>1358</v>
      </c>
      <c r="K145" s="13" t="s">
        <v>918</v>
      </c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12">
        <v>34.0</v>
      </c>
      <c r="B146" s="24" t="s">
        <v>548</v>
      </c>
      <c r="C146" s="25" t="s">
        <v>1268</v>
      </c>
      <c r="D146" s="24" t="s">
        <v>1274</v>
      </c>
      <c r="E146" s="13" t="s">
        <v>184</v>
      </c>
      <c r="F146" s="13" t="s">
        <v>1371</v>
      </c>
      <c r="G146" s="13" t="s">
        <v>188</v>
      </c>
      <c r="H146" s="13" t="s">
        <v>188</v>
      </c>
      <c r="I146" s="13" t="s">
        <v>190</v>
      </c>
      <c r="J146" s="13" t="s">
        <v>1372</v>
      </c>
      <c r="K146" s="13" t="s">
        <v>961</v>
      </c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12">
        <v>34.0</v>
      </c>
      <c r="B147" s="24" t="s">
        <v>548</v>
      </c>
      <c r="C147" s="25" t="s">
        <v>1268</v>
      </c>
      <c r="D147" s="24" t="s">
        <v>687</v>
      </c>
      <c r="E147" s="13" t="s">
        <v>283</v>
      </c>
      <c r="F147" s="13" t="s">
        <v>1374</v>
      </c>
      <c r="G147" s="13" t="s">
        <v>188</v>
      </c>
      <c r="H147" s="13" t="s">
        <v>188</v>
      </c>
      <c r="I147" s="13" t="s">
        <v>190</v>
      </c>
      <c r="J147" s="13" t="s">
        <v>1375</v>
      </c>
      <c r="K147" s="13" t="s">
        <v>961</v>
      </c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12">
        <v>34.0</v>
      </c>
      <c r="B148" s="24" t="s">
        <v>548</v>
      </c>
      <c r="C148" s="25" t="s">
        <v>1268</v>
      </c>
      <c r="D148" s="24" t="s">
        <v>1377</v>
      </c>
      <c r="E148" s="13" t="s">
        <v>283</v>
      </c>
      <c r="F148" s="13" t="s">
        <v>1380</v>
      </c>
      <c r="G148" s="13" t="s">
        <v>188</v>
      </c>
      <c r="H148" s="13" t="s">
        <v>188</v>
      </c>
      <c r="I148" s="13" t="s">
        <v>190</v>
      </c>
      <c r="J148" s="13" t="s">
        <v>1372</v>
      </c>
      <c r="K148" s="13" t="s">
        <v>961</v>
      </c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12">
        <v>35.0</v>
      </c>
      <c r="B149" s="24" t="s">
        <v>549</v>
      </c>
      <c r="C149" s="25" t="s">
        <v>1268</v>
      </c>
      <c r="D149" s="24" t="s">
        <v>1381</v>
      </c>
      <c r="E149" s="13" t="s">
        <v>184</v>
      </c>
      <c r="F149" s="13" t="s">
        <v>1382</v>
      </c>
      <c r="G149" s="13" t="s">
        <v>188</v>
      </c>
      <c r="H149" s="13" t="s">
        <v>188</v>
      </c>
      <c r="I149" s="13" t="s">
        <v>190</v>
      </c>
      <c r="J149" s="13" t="s">
        <v>1383</v>
      </c>
      <c r="K149" s="13" t="s">
        <v>918</v>
      </c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12">
        <v>35.0</v>
      </c>
      <c r="B150" s="24" t="s">
        <v>549</v>
      </c>
      <c r="C150" s="25" t="s">
        <v>1268</v>
      </c>
      <c r="D150" s="24" t="s">
        <v>1384</v>
      </c>
      <c r="E150" s="13" t="s">
        <v>184</v>
      </c>
      <c r="F150" s="13" t="s">
        <v>1385</v>
      </c>
      <c r="G150" s="13" t="s">
        <v>188</v>
      </c>
      <c r="H150" s="13" t="s">
        <v>188</v>
      </c>
      <c r="I150" s="13" t="s">
        <v>190</v>
      </c>
      <c r="J150" s="13" t="s">
        <v>1386</v>
      </c>
      <c r="K150" s="13" t="s">
        <v>918</v>
      </c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12">
        <v>35.0</v>
      </c>
      <c r="B151" s="24" t="s">
        <v>549</v>
      </c>
      <c r="C151" s="25" t="s">
        <v>1268</v>
      </c>
      <c r="D151" s="24" t="s">
        <v>1387</v>
      </c>
      <c r="E151" s="13" t="s">
        <v>184</v>
      </c>
      <c r="F151" s="13" t="s">
        <v>1388</v>
      </c>
      <c r="G151" s="13" t="s">
        <v>188</v>
      </c>
      <c r="H151" s="13" t="s">
        <v>188</v>
      </c>
      <c r="I151" s="13" t="s">
        <v>190</v>
      </c>
      <c r="J151" s="13" t="s">
        <v>1389</v>
      </c>
      <c r="K151" s="13" t="s">
        <v>918</v>
      </c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12">
        <v>35.0</v>
      </c>
      <c r="B152" s="24" t="s">
        <v>549</v>
      </c>
      <c r="C152" s="25" t="s">
        <v>1268</v>
      </c>
      <c r="D152" s="24" t="s">
        <v>1391</v>
      </c>
      <c r="E152" s="13" t="s">
        <v>184</v>
      </c>
      <c r="F152" s="13" t="s">
        <v>1392</v>
      </c>
      <c r="G152" s="13" t="s">
        <v>188</v>
      </c>
      <c r="H152" s="13" t="s">
        <v>188</v>
      </c>
      <c r="I152" s="13" t="s">
        <v>190</v>
      </c>
      <c r="J152" s="13" t="s">
        <v>1383</v>
      </c>
      <c r="K152" s="13" t="s">
        <v>936</v>
      </c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12">
        <v>35.0</v>
      </c>
      <c r="B153" s="24" t="s">
        <v>549</v>
      </c>
      <c r="C153" s="25" t="s">
        <v>1268</v>
      </c>
      <c r="D153" s="24" t="s">
        <v>1361</v>
      </c>
      <c r="E153" s="13" t="s">
        <v>184</v>
      </c>
      <c r="F153" s="13" t="s">
        <v>1395</v>
      </c>
      <c r="G153" s="13" t="s">
        <v>188</v>
      </c>
      <c r="H153" s="13" t="s">
        <v>188</v>
      </c>
      <c r="I153" s="13" t="s">
        <v>190</v>
      </c>
      <c r="J153" s="13" t="s">
        <v>1386</v>
      </c>
      <c r="K153" s="13" t="s">
        <v>918</v>
      </c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12">
        <v>36.0</v>
      </c>
      <c r="B154" s="24" t="s">
        <v>550</v>
      </c>
      <c r="C154" s="25" t="s">
        <v>1397</v>
      </c>
      <c r="D154" s="24" t="s">
        <v>1398</v>
      </c>
      <c r="E154" s="13" t="s">
        <v>184</v>
      </c>
      <c r="F154" s="13" t="s">
        <v>1401</v>
      </c>
      <c r="G154" s="13" t="s">
        <v>188</v>
      </c>
      <c r="H154" s="13" t="s">
        <v>188</v>
      </c>
      <c r="I154" s="13" t="s">
        <v>190</v>
      </c>
      <c r="J154" s="13" t="s">
        <v>1402</v>
      </c>
      <c r="K154" s="13" t="s">
        <v>918</v>
      </c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12">
        <v>36.0</v>
      </c>
      <c r="B155" s="24" t="s">
        <v>550</v>
      </c>
      <c r="C155" s="25" t="s">
        <v>1397</v>
      </c>
      <c r="D155" s="24" t="s">
        <v>1403</v>
      </c>
      <c r="E155" s="13" t="s">
        <v>184</v>
      </c>
      <c r="F155" s="13" t="s">
        <v>1405</v>
      </c>
      <c r="G155" s="13" t="s">
        <v>188</v>
      </c>
      <c r="H155" s="13" t="s">
        <v>188</v>
      </c>
      <c r="I155" s="13" t="s">
        <v>190</v>
      </c>
      <c r="J155" s="13" t="s">
        <v>1406</v>
      </c>
      <c r="K155" s="13" t="s">
        <v>918</v>
      </c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12">
        <v>36.0</v>
      </c>
      <c r="B156" s="24" t="s">
        <v>550</v>
      </c>
      <c r="C156" s="25" t="s">
        <v>1397</v>
      </c>
      <c r="D156" s="24" t="s">
        <v>1408</v>
      </c>
      <c r="E156" s="13" t="s">
        <v>184</v>
      </c>
      <c r="F156" s="13" t="s">
        <v>1411</v>
      </c>
      <c r="G156" s="13" t="s">
        <v>188</v>
      </c>
      <c r="H156" s="13" t="s">
        <v>188</v>
      </c>
      <c r="I156" s="13" t="s">
        <v>190</v>
      </c>
      <c r="J156" s="13" t="s">
        <v>1402</v>
      </c>
      <c r="K156" s="13" t="s">
        <v>918</v>
      </c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12">
        <v>36.0</v>
      </c>
      <c r="B157" s="24" t="s">
        <v>550</v>
      </c>
      <c r="C157" s="25" t="s">
        <v>1397</v>
      </c>
      <c r="D157" s="24" t="s">
        <v>1412</v>
      </c>
      <c r="E157" s="13" t="s">
        <v>184</v>
      </c>
      <c r="F157" s="13" t="s">
        <v>1413</v>
      </c>
      <c r="G157" s="13" t="s">
        <v>188</v>
      </c>
      <c r="H157" s="13" t="s">
        <v>188</v>
      </c>
      <c r="I157" s="13" t="s">
        <v>190</v>
      </c>
      <c r="J157" s="13" t="s">
        <v>1406</v>
      </c>
      <c r="K157" s="13" t="s">
        <v>918</v>
      </c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12">
        <v>36.0</v>
      </c>
      <c r="B158" s="24" t="s">
        <v>550</v>
      </c>
      <c r="C158" s="25" t="s">
        <v>1397</v>
      </c>
      <c r="D158" s="24" t="s">
        <v>1414</v>
      </c>
      <c r="E158" s="13" t="s">
        <v>283</v>
      </c>
      <c r="F158" s="13" t="s">
        <v>1415</v>
      </c>
      <c r="G158" s="13" t="s">
        <v>188</v>
      </c>
      <c r="H158" s="13" t="s">
        <v>188</v>
      </c>
      <c r="I158" s="13" t="s">
        <v>190</v>
      </c>
      <c r="J158" s="13" t="s">
        <v>1402</v>
      </c>
      <c r="K158" s="13" t="s">
        <v>918</v>
      </c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12">
        <v>37.0</v>
      </c>
      <c r="B159" s="24" t="s">
        <v>551</v>
      </c>
      <c r="C159" s="25" t="s">
        <v>1397</v>
      </c>
      <c r="D159" s="24" t="s">
        <v>750</v>
      </c>
      <c r="E159" s="13" t="s">
        <v>184</v>
      </c>
      <c r="F159" s="13" t="s">
        <v>1421</v>
      </c>
      <c r="G159" s="13" t="s">
        <v>188</v>
      </c>
      <c r="H159" s="13" t="s">
        <v>188</v>
      </c>
      <c r="I159" s="13" t="s">
        <v>190</v>
      </c>
      <c r="J159" s="13" t="s">
        <v>1422</v>
      </c>
      <c r="K159" s="13" t="s">
        <v>918</v>
      </c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12">
        <v>37.0</v>
      </c>
      <c r="B160" s="24" t="s">
        <v>551</v>
      </c>
      <c r="C160" s="25" t="s">
        <v>1397</v>
      </c>
      <c r="D160" s="24" t="s">
        <v>1423</v>
      </c>
      <c r="E160" s="13" t="s">
        <v>283</v>
      </c>
      <c r="F160" s="13" t="s">
        <v>1425</v>
      </c>
      <c r="G160" s="13" t="s">
        <v>188</v>
      </c>
      <c r="H160" s="13" t="s">
        <v>188</v>
      </c>
      <c r="I160" s="13" t="s">
        <v>190</v>
      </c>
      <c r="J160" s="13" t="s">
        <v>1426</v>
      </c>
      <c r="K160" s="13" t="s">
        <v>918</v>
      </c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12">
        <v>37.0</v>
      </c>
      <c r="B161" s="24" t="s">
        <v>551</v>
      </c>
      <c r="C161" s="25" t="s">
        <v>1397</v>
      </c>
      <c r="D161" s="24" t="s">
        <v>1427</v>
      </c>
      <c r="E161" s="13" t="s">
        <v>283</v>
      </c>
      <c r="F161" s="13" t="s">
        <v>1428</v>
      </c>
      <c r="G161" s="13" t="s">
        <v>188</v>
      </c>
      <c r="H161" s="13" t="s">
        <v>188</v>
      </c>
      <c r="I161" s="13" t="s">
        <v>190</v>
      </c>
      <c r="J161" s="13" t="s">
        <v>1429</v>
      </c>
      <c r="K161" s="13" t="s">
        <v>918</v>
      </c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12">
        <v>37.0</v>
      </c>
      <c r="B162" s="24" t="s">
        <v>551</v>
      </c>
      <c r="C162" s="25" t="s">
        <v>1397</v>
      </c>
      <c r="D162" s="24" t="s">
        <v>1431</v>
      </c>
      <c r="E162" s="13" t="s">
        <v>283</v>
      </c>
      <c r="F162" s="13" t="s">
        <v>1433</v>
      </c>
      <c r="G162" s="13" t="s">
        <v>188</v>
      </c>
      <c r="H162" s="13" t="s">
        <v>188</v>
      </c>
      <c r="I162" s="13" t="s">
        <v>190</v>
      </c>
      <c r="J162" s="13" t="s">
        <v>1422</v>
      </c>
      <c r="K162" s="13" t="s">
        <v>918</v>
      </c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12">
        <v>38.0</v>
      </c>
      <c r="B163" s="24" t="s">
        <v>552</v>
      </c>
      <c r="C163" s="25" t="s">
        <v>1435</v>
      </c>
      <c r="D163" s="24" t="s">
        <v>1436</v>
      </c>
      <c r="E163" s="13" t="s">
        <v>184</v>
      </c>
      <c r="F163" s="13" t="s">
        <v>1438</v>
      </c>
      <c r="G163" s="13" t="s">
        <v>188</v>
      </c>
      <c r="H163" s="13" t="s">
        <v>188</v>
      </c>
      <c r="I163" s="13" t="s">
        <v>190</v>
      </c>
      <c r="J163" s="13" t="s">
        <v>1439</v>
      </c>
      <c r="K163" s="13" t="s">
        <v>918</v>
      </c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12">
        <v>38.0</v>
      </c>
      <c r="B164" s="24" t="s">
        <v>552</v>
      </c>
      <c r="C164" s="25" t="s">
        <v>1435</v>
      </c>
      <c r="D164" s="24" t="s">
        <v>1440</v>
      </c>
      <c r="E164" s="13" t="s">
        <v>184</v>
      </c>
      <c r="F164" s="13" t="s">
        <v>1441</v>
      </c>
      <c r="G164" s="13" t="s">
        <v>188</v>
      </c>
      <c r="H164" s="13" t="s">
        <v>188</v>
      </c>
      <c r="I164" s="13" t="s">
        <v>190</v>
      </c>
      <c r="J164" s="13" t="s">
        <v>1442</v>
      </c>
      <c r="K164" s="13" t="s">
        <v>918</v>
      </c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12">
        <v>38.0</v>
      </c>
      <c r="B165" s="24" t="s">
        <v>552</v>
      </c>
      <c r="C165" s="25" t="s">
        <v>1435</v>
      </c>
      <c r="D165" s="24" t="s">
        <v>1443</v>
      </c>
      <c r="E165" s="13" t="s">
        <v>184</v>
      </c>
      <c r="F165" s="13" t="s">
        <v>1444</v>
      </c>
      <c r="G165" s="13" t="s">
        <v>188</v>
      </c>
      <c r="H165" s="13" t="s">
        <v>188</v>
      </c>
      <c r="I165" s="13" t="s">
        <v>190</v>
      </c>
      <c r="J165" s="13" t="s">
        <v>1439</v>
      </c>
      <c r="K165" s="13" t="s">
        <v>918</v>
      </c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12">
        <v>38.0</v>
      </c>
      <c r="B166" s="24" t="s">
        <v>552</v>
      </c>
      <c r="C166" s="25" t="s">
        <v>1435</v>
      </c>
      <c r="D166" s="24" t="s">
        <v>1445</v>
      </c>
      <c r="E166" s="13" t="s">
        <v>184</v>
      </c>
      <c r="F166" s="13" t="s">
        <v>1446</v>
      </c>
      <c r="G166" s="13" t="s">
        <v>188</v>
      </c>
      <c r="H166" s="13" t="s">
        <v>188</v>
      </c>
      <c r="I166" s="13" t="s">
        <v>190</v>
      </c>
      <c r="J166" s="13" t="s">
        <v>1442</v>
      </c>
      <c r="K166" s="13" t="s">
        <v>918</v>
      </c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12">
        <v>39.0</v>
      </c>
      <c r="B167" s="24" t="s">
        <v>553</v>
      </c>
      <c r="C167" s="25" t="s">
        <v>1435</v>
      </c>
      <c r="D167" s="24" t="s">
        <v>1447</v>
      </c>
      <c r="E167" s="13" t="s">
        <v>184</v>
      </c>
      <c r="F167" s="13" t="s">
        <v>1449</v>
      </c>
      <c r="G167" s="13" t="s">
        <v>188</v>
      </c>
      <c r="H167" s="13" t="s">
        <v>188</v>
      </c>
      <c r="I167" s="13" t="s">
        <v>190</v>
      </c>
      <c r="J167" s="13" t="s">
        <v>1450</v>
      </c>
      <c r="K167" s="13" t="s">
        <v>961</v>
      </c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12">
        <v>39.0</v>
      </c>
      <c r="B168" s="24" t="s">
        <v>553</v>
      </c>
      <c r="C168" s="25" t="s">
        <v>1435</v>
      </c>
      <c r="D168" s="24" t="s">
        <v>1451</v>
      </c>
      <c r="E168" s="13" t="s">
        <v>184</v>
      </c>
      <c r="F168" s="13" t="s">
        <v>1454</v>
      </c>
      <c r="G168" s="13" t="s">
        <v>188</v>
      </c>
      <c r="H168" s="13" t="s">
        <v>188</v>
      </c>
      <c r="I168" s="13" t="s">
        <v>190</v>
      </c>
      <c r="J168" s="13" t="s">
        <v>1455</v>
      </c>
      <c r="K168" s="13" t="s">
        <v>961</v>
      </c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12">
        <v>39.0</v>
      </c>
      <c r="B169" s="24" t="s">
        <v>553</v>
      </c>
      <c r="C169" s="25" t="s">
        <v>1435</v>
      </c>
      <c r="D169" s="24" t="s">
        <v>1456</v>
      </c>
      <c r="E169" s="13" t="s">
        <v>184</v>
      </c>
      <c r="F169" s="13" t="s">
        <v>1457</v>
      </c>
      <c r="G169" s="13" t="s">
        <v>188</v>
      </c>
      <c r="H169" s="13" t="s">
        <v>188</v>
      </c>
      <c r="I169" s="13" t="s">
        <v>190</v>
      </c>
      <c r="J169" s="13" t="s">
        <v>1458</v>
      </c>
      <c r="K169" s="13" t="s">
        <v>918</v>
      </c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12">
        <v>39.0</v>
      </c>
      <c r="B170" s="24" t="s">
        <v>553</v>
      </c>
      <c r="C170" s="25" t="s">
        <v>1435</v>
      </c>
      <c r="D170" s="24" t="s">
        <v>1459</v>
      </c>
      <c r="E170" s="13" t="s">
        <v>283</v>
      </c>
      <c r="F170" s="13" t="s">
        <v>1460</v>
      </c>
      <c r="G170" s="13" t="s">
        <v>188</v>
      </c>
      <c r="H170" s="13" t="s">
        <v>188</v>
      </c>
      <c r="I170" s="13" t="s">
        <v>190</v>
      </c>
      <c r="J170" s="13" t="s">
        <v>1450</v>
      </c>
      <c r="K170" s="13" t="s">
        <v>918</v>
      </c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12">
        <v>39.0</v>
      </c>
      <c r="B171" s="24" t="s">
        <v>553</v>
      </c>
      <c r="C171" s="25" t="s">
        <v>1435</v>
      </c>
      <c r="D171" s="24" t="s">
        <v>1461</v>
      </c>
      <c r="E171" s="13" t="s">
        <v>283</v>
      </c>
      <c r="F171" s="13" t="s">
        <v>1462</v>
      </c>
      <c r="G171" s="13" t="s">
        <v>188</v>
      </c>
      <c r="H171" s="13" t="s">
        <v>188</v>
      </c>
      <c r="I171" s="13" t="s">
        <v>190</v>
      </c>
      <c r="J171" s="13" t="s">
        <v>1455</v>
      </c>
      <c r="K171" s="13" t="s">
        <v>961</v>
      </c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12">
        <v>40.0</v>
      </c>
      <c r="B172" s="24" t="s">
        <v>554</v>
      </c>
      <c r="C172" s="25" t="s">
        <v>1435</v>
      </c>
      <c r="D172" s="24" t="s">
        <v>1463</v>
      </c>
      <c r="E172" s="13" t="s">
        <v>184</v>
      </c>
      <c r="F172" s="13" t="s">
        <v>1464</v>
      </c>
      <c r="G172" s="13" t="s">
        <v>188</v>
      </c>
      <c r="H172" s="13" t="s">
        <v>188</v>
      </c>
      <c r="I172" s="13" t="s">
        <v>190</v>
      </c>
      <c r="J172" s="13" t="s">
        <v>1465</v>
      </c>
      <c r="K172" s="13" t="s">
        <v>961</v>
      </c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12">
        <v>40.0</v>
      </c>
      <c r="B173" s="24" t="s">
        <v>554</v>
      </c>
      <c r="C173" s="25" t="s">
        <v>1435</v>
      </c>
      <c r="D173" s="24" t="s">
        <v>1466</v>
      </c>
      <c r="E173" s="13" t="s">
        <v>184</v>
      </c>
      <c r="F173" s="13" t="s">
        <v>1470</v>
      </c>
      <c r="G173" s="13" t="s">
        <v>188</v>
      </c>
      <c r="H173" s="13" t="s">
        <v>188</v>
      </c>
      <c r="I173" s="13" t="s">
        <v>190</v>
      </c>
      <c r="J173" s="13" t="s">
        <v>1471</v>
      </c>
      <c r="K173" s="13" t="s">
        <v>936</v>
      </c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12">
        <v>40.0</v>
      </c>
      <c r="B174" s="24" t="s">
        <v>554</v>
      </c>
      <c r="C174" s="25" t="s">
        <v>1435</v>
      </c>
      <c r="D174" s="24" t="s">
        <v>556</v>
      </c>
      <c r="E174" s="13" t="s">
        <v>184</v>
      </c>
      <c r="F174" s="13" t="s">
        <v>1474</v>
      </c>
      <c r="G174" s="13" t="s">
        <v>188</v>
      </c>
      <c r="H174" s="13" t="s">
        <v>188</v>
      </c>
      <c r="I174" s="13" t="s">
        <v>190</v>
      </c>
      <c r="J174" s="13" t="s">
        <v>1465</v>
      </c>
      <c r="K174" s="13" t="s">
        <v>961</v>
      </c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12">
        <v>40.0</v>
      </c>
      <c r="B175" s="24" t="s">
        <v>554</v>
      </c>
      <c r="C175" s="25" t="s">
        <v>1435</v>
      </c>
      <c r="D175" s="24" t="s">
        <v>562</v>
      </c>
      <c r="E175" s="13" t="s">
        <v>184</v>
      </c>
      <c r="F175" s="13" t="s">
        <v>1477</v>
      </c>
      <c r="G175" s="13" t="s">
        <v>188</v>
      </c>
      <c r="H175" s="13" t="s">
        <v>188</v>
      </c>
      <c r="I175" s="13" t="s">
        <v>190</v>
      </c>
      <c r="J175" s="13" t="s">
        <v>1471</v>
      </c>
      <c r="K175" s="13" t="s">
        <v>961</v>
      </c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12">
        <v>41.0</v>
      </c>
      <c r="B176" s="24" t="s">
        <v>556</v>
      </c>
      <c r="C176" s="25" t="s">
        <v>1435</v>
      </c>
      <c r="D176" s="24" t="s">
        <v>1479</v>
      </c>
      <c r="E176" s="13" t="s">
        <v>184</v>
      </c>
      <c r="F176" s="13" t="s">
        <v>1484</v>
      </c>
      <c r="G176" s="13" t="s">
        <v>188</v>
      </c>
      <c r="H176" s="13" t="s">
        <v>188</v>
      </c>
      <c r="I176" s="13" t="s">
        <v>190</v>
      </c>
      <c r="J176" s="13" t="s">
        <v>1485</v>
      </c>
      <c r="K176" s="13" t="s">
        <v>961</v>
      </c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12">
        <v>41.0</v>
      </c>
      <c r="B177" s="24" t="s">
        <v>556</v>
      </c>
      <c r="C177" s="25" t="s">
        <v>1435</v>
      </c>
      <c r="D177" s="24" t="s">
        <v>554</v>
      </c>
      <c r="E177" s="13" t="s">
        <v>184</v>
      </c>
      <c r="F177" s="13" t="s">
        <v>1487</v>
      </c>
      <c r="G177" s="13" t="s">
        <v>188</v>
      </c>
      <c r="H177" s="13" t="s">
        <v>188</v>
      </c>
      <c r="I177" s="13" t="s">
        <v>190</v>
      </c>
      <c r="J177" s="13" t="s">
        <v>1488</v>
      </c>
      <c r="K177" s="13" t="s">
        <v>961</v>
      </c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12">
        <v>41.0</v>
      </c>
      <c r="B178" s="24" t="s">
        <v>556</v>
      </c>
      <c r="C178" s="25" t="s">
        <v>1435</v>
      </c>
      <c r="D178" s="24" t="s">
        <v>562</v>
      </c>
      <c r="E178" s="13" t="s">
        <v>184</v>
      </c>
      <c r="F178" s="13" t="s">
        <v>1490</v>
      </c>
      <c r="G178" s="13" t="s">
        <v>188</v>
      </c>
      <c r="H178" s="13" t="s">
        <v>188</v>
      </c>
      <c r="I178" s="13" t="s">
        <v>190</v>
      </c>
      <c r="J178" s="13" t="s">
        <v>1485</v>
      </c>
      <c r="K178" s="13" t="s">
        <v>961</v>
      </c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12">
        <v>41.0</v>
      </c>
      <c r="B179" s="24" t="s">
        <v>556</v>
      </c>
      <c r="C179" s="25" t="s">
        <v>1435</v>
      </c>
      <c r="D179" s="24" t="s">
        <v>1466</v>
      </c>
      <c r="E179" s="13" t="s">
        <v>283</v>
      </c>
      <c r="F179" s="13" t="s">
        <v>1492</v>
      </c>
      <c r="G179" s="13" t="s">
        <v>188</v>
      </c>
      <c r="H179" s="13" t="s">
        <v>188</v>
      </c>
      <c r="I179" s="13" t="s">
        <v>190</v>
      </c>
      <c r="J179" s="13" t="s">
        <v>1488</v>
      </c>
      <c r="K179" s="13" t="s">
        <v>936</v>
      </c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12">
        <v>42.0</v>
      </c>
      <c r="B180" s="24" t="s">
        <v>558</v>
      </c>
      <c r="C180" s="25" t="s">
        <v>1435</v>
      </c>
      <c r="D180" s="24" t="s">
        <v>1494</v>
      </c>
      <c r="E180" s="13" t="s">
        <v>184</v>
      </c>
      <c r="F180" s="13" t="s">
        <v>1495</v>
      </c>
      <c r="G180" s="13" t="s">
        <v>188</v>
      </c>
      <c r="H180" s="13" t="s">
        <v>188</v>
      </c>
      <c r="I180" s="13" t="s">
        <v>190</v>
      </c>
      <c r="J180" s="13" t="s">
        <v>1496</v>
      </c>
      <c r="K180" s="13" t="s">
        <v>961</v>
      </c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12">
        <v>42.0</v>
      </c>
      <c r="B181" s="24" t="s">
        <v>558</v>
      </c>
      <c r="C181" s="25" t="s">
        <v>1435</v>
      </c>
      <c r="D181" s="24" t="s">
        <v>568</v>
      </c>
      <c r="E181" s="13" t="s">
        <v>184</v>
      </c>
      <c r="F181" s="13" t="s">
        <v>1498</v>
      </c>
      <c r="G181" s="13" t="s">
        <v>188</v>
      </c>
      <c r="H181" s="13" t="s">
        <v>188</v>
      </c>
      <c r="I181" s="13" t="s">
        <v>190</v>
      </c>
      <c r="J181" s="13" t="s">
        <v>1499</v>
      </c>
      <c r="K181" s="13" t="s">
        <v>918</v>
      </c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12">
        <v>42.0</v>
      </c>
      <c r="B182" s="24" t="s">
        <v>558</v>
      </c>
      <c r="C182" s="25" t="s">
        <v>1435</v>
      </c>
      <c r="D182" s="24" t="s">
        <v>1501</v>
      </c>
      <c r="E182" s="13" t="s">
        <v>184</v>
      </c>
      <c r="F182" s="13" t="s">
        <v>1502</v>
      </c>
      <c r="G182" s="13" t="s">
        <v>188</v>
      </c>
      <c r="H182" s="13" t="s">
        <v>188</v>
      </c>
      <c r="I182" s="13" t="s">
        <v>190</v>
      </c>
      <c r="J182" s="13" t="s">
        <v>1496</v>
      </c>
      <c r="K182" s="13" t="s">
        <v>961</v>
      </c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12">
        <v>42.0</v>
      </c>
      <c r="B183" s="24" t="s">
        <v>558</v>
      </c>
      <c r="C183" s="25" t="s">
        <v>1435</v>
      </c>
      <c r="D183" s="24" t="s">
        <v>1503</v>
      </c>
      <c r="E183" s="13" t="s">
        <v>184</v>
      </c>
      <c r="F183" s="13" t="s">
        <v>1505</v>
      </c>
      <c r="G183" s="13" t="s">
        <v>188</v>
      </c>
      <c r="H183" s="13" t="s">
        <v>188</v>
      </c>
      <c r="I183" s="13" t="s">
        <v>190</v>
      </c>
      <c r="J183" s="13" t="s">
        <v>1499</v>
      </c>
      <c r="K183" s="13" t="s">
        <v>961</v>
      </c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12">
        <v>42.0</v>
      </c>
      <c r="B184" s="24" t="s">
        <v>558</v>
      </c>
      <c r="C184" s="25" t="s">
        <v>1435</v>
      </c>
      <c r="D184" s="24" t="s">
        <v>1376</v>
      </c>
      <c r="E184" s="13" t="s">
        <v>283</v>
      </c>
      <c r="F184" s="13" t="s">
        <v>1506</v>
      </c>
      <c r="G184" s="13" t="s">
        <v>188</v>
      </c>
      <c r="H184" s="13" t="s">
        <v>188</v>
      </c>
      <c r="I184" s="13" t="s">
        <v>190</v>
      </c>
      <c r="J184" s="13" t="s">
        <v>1496</v>
      </c>
      <c r="K184" s="13" t="s">
        <v>936</v>
      </c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12">
        <v>43.0</v>
      </c>
      <c r="B185" s="24" t="s">
        <v>559</v>
      </c>
      <c r="C185" s="25" t="s">
        <v>1435</v>
      </c>
      <c r="D185" s="24" t="s">
        <v>1508</v>
      </c>
      <c r="E185" s="13" t="s">
        <v>184</v>
      </c>
      <c r="F185" s="13" t="s">
        <v>1511</v>
      </c>
      <c r="G185" s="13" t="s">
        <v>188</v>
      </c>
      <c r="H185" s="13" t="s">
        <v>188</v>
      </c>
      <c r="I185" s="13" t="s">
        <v>190</v>
      </c>
      <c r="J185" s="13" t="s">
        <v>1512</v>
      </c>
      <c r="K185" s="13" t="s">
        <v>918</v>
      </c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12">
        <v>43.0</v>
      </c>
      <c r="B186" s="24" t="s">
        <v>559</v>
      </c>
      <c r="C186" s="25" t="s">
        <v>1435</v>
      </c>
      <c r="D186" s="24" t="s">
        <v>1514</v>
      </c>
      <c r="E186" s="13" t="s">
        <v>283</v>
      </c>
      <c r="F186" s="13" t="s">
        <v>1515</v>
      </c>
      <c r="G186" s="13" t="s">
        <v>188</v>
      </c>
      <c r="H186" s="13" t="s">
        <v>188</v>
      </c>
      <c r="I186" s="13" t="s">
        <v>190</v>
      </c>
      <c r="J186" s="13" t="s">
        <v>1516</v>
      </c>
      <c r="K186" s="13" t="s">
        <v>918</v>
      </c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12">
        <v>43.0</v>
      </c>
      <c r="B187" s="24" t="s">
        <v>559</v>
      </c>
      <c r="C187" s="25" t="s">
        <v>1435</v>
      </c>
      <c r="D187" s="24" t="s">
        <v>1376</v>
      </c>
      <c r="E187" s="13" t="s">
        <v>283</v>
      </c>
      <c r="F187" s="13" t="s">
        <v>1517</v>
      </c>
      <c r="G187" s="13" t="s">
        <v>188</v>
      </c>
      <c r="H187" s="13" t="s">
        <v>188</v>
      </c>
      <c r="I187" s="13" t="s">
        <v>190</v>
      </c>
      <c r="J187" s="13" t="s">
        <v>1518</v>
      </c>
      <c r="K187" s="13" t="s">
        <v>936</v>
      </c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12">
        <v>43.0</v>
      </c>
      <c r="B188" s="24" t="s">
        <v>559</v>
      </c>
      <c r="C188" s="25" t="s">
        <v>1435</v>
      </c>
      <c r="D188" s="24" t="s">
        <v>1519</v>
      </c>
      <c r="E188" s="13" t="s">
        <v>283</v>
      </c>
      <c r="F188" s="13" t="s">
        <v>1520</v>
      </c>
      <c r="G188" s="13" t="s">
        <v>188</v>
      </c>
      <c r="H188" s="13" t="s">
        <v>188</v>
      </c>
      <c r="I188" s="13" t="s">
        <v>190</v>
      </c>
      <c r="J188" s="13" t="s">
        <v>1512</v>
      </c>
      <c r="K188" s="13" t="s">
        <v>936</v>
      </c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12">
        <v>44.0</v>
      </c>
      <c r="B189" s="24" t="s">
        <v>562</v>
      </c>
      <c r="C189" s="25" t="s">
        <v>1435</v>
      </c>
      <c r="D189" s="24" t="s">
        <v>554</v>
      </c>
      <c r="E189" s="13" t="s">
        <v>184</v>
      </c>
      <c r="F189" s="13" t="s">
        <v>1522</v>
      </c>
      <c r="G189" s="13" t="s">
        <v>188</v>
      </c>
      <c r="H189" s="13" t="s">
        <v>188</v>
      </c>
      <c r="I189" s="13" t="s">
        <v>190</v>
      </c>
      <c r="J189" s="13" t="s">
        <v>1523</v>
      </c>
      <c r="K189" s="13" t="s">
        <v>961</v>
      </c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12">
        <v>44.0</v>
      </c>
      <c r="B190" s="24" t="s">
        <v>562</v>
      </c>
      <c r="C190" s="25" t="s">
        <v>1435</v>
      </c>
      <c r="D190" s="24" t="s">
        <v>556</v>
      </c>
      <c r="E190" s="13" t="s">
        <v>184</v>
      </c>
      <c r="F190" s="13" t="s">
        <v>1524</v>
      </c>
      <c r="G190" s="13" t="s">
        <v>188</v>
      </c>
      <c r="H190" s="13" t="s">
        <v>188</v>
      </c>
      <c r="I190" s="13" t="s">
        <v>190</v>
      </c>
      <c r="J190" s="13" t="s">
        <v>1525</v>
      </c>
      <c r="K190" s="13" t="s">
        <v>961</v>
      </c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12">
        <v>44.0</v>
      </c>
      <c r="B191" s="24" t="s">
        <v>562</v>
      </c>
      <c r="C191" s="25" t="s">
        <v>1435</v>
      </c>
      <c r="D191" s="24" t="s">
        <v>1479</v>
      </c>
      <c r="E191" s="13" t="s">
        <v>184</v>
      </c>
      <c r="F191" s="13" t="s">
        <v>1526</v>
      </c>
      <c r="G191" s="13" t="s">
        <v>188</v>
      </c>
      <c r="H191" s="13" t="s">
        <v>188</v>
      </c>
      <c r="I191" s="13" t="s">
        <v>190</v>
      </c>
      <c r="J191" s="13" t="s">
        <v>1523</v>
      </c>
      <c r="K191" s="13" t="s">
        <v>961</v>
      </c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12">
        <v>44.0</v>
      </c>
      <c r="B192" s="24" t="s">
        <v>562</v>
      </c>
      <c r="C192" s="25" t="s">
        <v>1435</v>
      </c>
      <c r="D192" s="24" t="s">
        <v>1466</v>
      </c>
      <c r="E192" s="13" t="s">
        <v>184</v>
      </c>
      <c r="F192" s="13" t="s">
        <v>1527</v>
      </c>
      <c r="G192" s="13" t="s">
        <v>188</v>
      </c>
      <c r="H192" s="13" t="s">
        <v>188</v>
      </c>
      <c r="I192" s="13" t="s">
        <v>190</v>
      </c>
      <c r="J192" s="13" t="s">
        <v>1525</v>
      </c>
      <c r="K192" s="13" t="s">
        <v>936</v>
      </c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12">
        <v>44.0</v>
      </c>
      <c r="B193" s="24" t="s">
        <v>562</v>
      </c>
      <c r="C193" s="25" t="s">
        <v>1435</v>
      </c>
      <c r="D193" s="24" t="s">
        <v>1463</v>
      </c>
      <c r="E193" s="13" t="s">
        <v>283</v>
      </c>
      <c r="F193" s="13" t="s">
        <v>1529</v>
      </c>
      <c r="G193" s="13" t="s">
        <v>188</v>
      </c>
      <c r="H193" s="13" t="s">
        <v>188</v>
      </c>
      <c r="I193" s="13" t="s">
        <v>190</v>
      </c>
      <c r="J193" s="13" t="s">
        <v>1523</v>
      </c>
      <c r="K193" s="13" t="s">
        <v>961</v>
      </c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12">
        <v>45.0</v>
      </c>
      <c r="B194" s="24" t="s">
        <v>563</v>
      </c>
      <c r="C194" s="25" t="s">
        <v>1435</v>
      </c>
      <c r="D194" s="24" t="s">
        <v>1532</v>
      </c>
      <c r="E194" s="13" t="s">
        <v>184</v>
      </c>
      <c r="F194" s="13" t="s">
        <v>1533</v>
      </c>
      <c r="G194" s="13" t="s">
        <v>188</v>
      </c>
      <c r="H194" s="13" t="s">
        <v>188</v>
      </c>
      <c r="I194" s="13" t="s">
        <v>190</v>
      </c>
      <c r="J194" s="13" t="s">
        <v>1534</v>
      </c>
      <c r="K194" s="13" t="s">
        <v>918</v>
      </c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12">
        <v>45.0</v>
      </c>
      <c r="B195" s="24" t="s">
        <v>563</v>
      </c>
      <c r="C195" s="25" t="s">
        <v>1435</v>
      </c>
      <c r="D195" s="24" t="s">
        <v>1535</v>
      </c>
      <c r="E195" s="13" t="s">
        <v>184</v>
      </c>
      <c r="F195" s="13" t="s">
        <v>1536</v>
      </c>
      <c r="G195" s="13" t="s">
        <v>188</v>
      </c>
      <c r="H195" s="13" t="s">
        <v>188</v>
      </c>
      <c r="I195" s="13" t="s">
        <v>190</v>
      </c>
      <c r="J195" s="13" t="s">
        <v>1537</v>
      </c>
      <c r="K195" s="13" t="s">
        <v>918</v>
      </c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12">
        <v>45.0</v>
      </c>
      <c r="B196" s="24" t="s">
        <v>563</v>
      </c>
      <c r="C196" s="25" t="s">
        <v>1435</v>
      </c>
      <c r="D196" s="24" t="s">
        <v>1519</v>
      </c>
      <c r="E196" s="13" t="s">
        <v>283</v>
      </c>
      <c r="F196" s="13" t="s">
        <v>1538</v>
      </c>
      <c r="G196" s="13" t="s">
        <v>188</v>
      </c>
      <c r="H196" s="13" t="s">
        <v>188</v>
      </c>
      <c r="I196" s="13" t="s">
        <v>190</v>
      </c>
      <c r="J196" s="13" t="s">
        <v>1539</v>
      </c>
      <c r="K196" s="13" t="s">
        <v>936</v>
      </c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12">
        <v>45.0</v>
      </c>
      <c r="B197" s="24" t="s">
        <v>563</v>
      </c>
      <c r="C197" s="25" t="s">
        <v>1435</v>
      </c>
      <c r="D197" s="24" t="s">
        <v>1540</v>
      </c>
      <c r="E197" s="13" t="s">
        <v>283</v>
      </c>
      <c r="F197" s="13" t="s">
        <v>1542</v>
      </c>
      <c r="G197" s="13" t="s">
        <v>188</v>
      </c>
      <c r="H197" s="13" t="s">
        <v>188</v>
      </c>
      <c r="I197" s="13" t="s">
        <v>190</v>
      </c>
      <c r="J197" s="13" t="s">
        <v>1534</v>
      </c>
      <c r="K197" s="13" t="s">
        <v>961</v>
      </c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12">
        <v>45.0</v>
      </c>
      <c r="B198" s="24" t="s">
        <v>563</v>
      </c>
      <c r="C198" s="25" t="s">
        <v>1435</v>
      </c>
      <c r="D198" s="24" t="s">
        <v>1544</v>
      </c>
      <c r="E198" s="13" t="s">
        <v>283</v>
      </c>
      <c r="F198" s="13" t="s">
        <v>1547</v>
      </c>
      <c r="G198" s="13" t="s">
        <v>188</v>
      </c>
      <c r="H198" s="13" t="s">
        <v>188</v>
      </c>
      <c r="I198" s="13" t="s">
        <v>190</v>
      </c>
      <c r="J198" s="13" t="s">
        <v>1537</v>
      </c>
      <c r="K198" s="13" t="s">
        <v>918</v>
      </c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12">
        <v>46.0</v>
      </c>
      <c r="B199" s="24" t="s">
        <v>565</v>
      </c>
      <c r="C199" s="25" t="s">
        <v>1435</v>
      </c>
      <c r="D199" s="24" t="s">
        <v>553</v>
      </c>
      <c r="E199" s="13" t="s">
        <v>184</v>
      </c>
      <c r="F199" s="13" t="s">
        <v>1551</v>
      </c>
      <c r="G199" s="13" t="s">
        <v>188</v>
      </c>
      <c r="H199" s="13" t="s">
        <v>188</v>
      </c>
      <c r="I199" s="13" t="s">
        <v>190</v>
      </c>
      <c r="J199" s="13" t="s">
        <v>1552</v>
      </c>
      <c r="K199" s="13" t="s">
        <v>918</v>
      </c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12">
        <v>46.0</v>
      </c>
      <c r="B200" s="24" t="s">
        <v>565</v>
      </c>
      <c r="C200" s="25" t="s">
        <v>1435</v>
      </c>
      <c r="D200" s="24" t="s">
        <v>1554</v>
      </c>
      <c r="E200" s="13" t="s">
        <v>283</v>
      </c>
      <c r="F200" s="13" t="s">
        <v>1556</v>
      </c>
      <c r="G200" s="13" t="s">
        <v>188</v>
      </c>
      <c r="H200" s="13" t="s">
        <v>188</v>
      </c>
      <c r="I200" s="13" t="s">
        <v>190</v>
      </c>
      <c r="J200" s="13" t="s">
        <v>1552</v>
      </c>
      <c r="K200" s="13" t="s">
        <v>918</v>
      </c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12">
        <v>46.0</v>
      </c>
      <c r="B201" s="24" t="s">
        <v>565</v>
      </c>
      <c r="C201" s="25" t="s">
        <v>1435</v>
      </c>
      <c r="D201" s="24" t="s">
        <v>1447</v>
      </c>
      <c r="E201" s="13" t="s">
        <v>283</v>
      </c>
      <c r="F201" s="13" t="s">
        <v>1559</v>
      </c>
      <c r="G201" s="13" t="s">
        <v>188</v>
      </c>
      <c r="H201" s="13" t="s">
        <v>188</v>
      </c>
      <c r="I201" s="13" t="s">
        <v>190</v>
      </c>
      <c r="J201" s="13" t="s">
        <v>1552</v>
      </c>
      <c r="K201" s="13" t="s">
        <v>961</v>
      </c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12">
        <v>47.0</v>
      </c>
      <c r="B202" s="24" t="s">
        <v>568</v>
      </c>
      <c r="C202" s="25" t="s">
        <v>1435</v>
      </c>
      <c r="D202" s="24" t="s">
        <v>558</v>
      </c>
      <c r="E202" s="13" t="s">
        <v>184</v>
      </c>
      <c r="F202" s="13" t="s">
        <v>1561</v>
      </c>
      <c r="G202" s="13" t="s">
        <v>188</v>
      </c>
      <c r="H202" s="13" t="s">
        <v>188</v>
      </c>
      <c r="I202" s="13" t="s">
        <v>190</v>
      </c>
      <c r="J202" s="13" t="s">
        <v>1562</v>
      </c>
      <c r="K202" s="13" t="s">
        <v>918</v>
      </c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12">
        <v>47.0</v>
      </c>
      <c r="B203" s="24" t="s">
        <v>568</v>
      </c>
      <c r="C203" s="25" t="s">
        <v>1435</v>
      </c>
      <c r="D203" s="24" t="s">
        <v>1494</v>
      </c>
      <c r="E203" s="13" t="s">
        <v>184</v>
      </c>
      <c r="F203" s="13" t="s">
        <v>1563</v>
      </c>
      <c r="G203" s="13" t="s">
        <v>188</v>
      </c>
      <c r="H203" s="13" t="s">
        <v>188</v>
      </c>
      <c r="I203" s="13" t="s">
        <v>190</v>
      </c>
      <c r="J203" s="13" t="s">
        <v>1565</v>
      </c>
      <c r="K203" s="13" t="s">
        <v>961</v>
      </c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12">
        <v>47.0</v>
      </c>
      <c r="B204" s="24" t="s">
        <v>568</v>
      </c>
      <c r="C204" s="25" t="s">
        <v>1435</v>
      </c>
      <c r="D204" s="24" t="s">
        <v>1501</v>
      </c>
      <c r="E204" s="13" t="s">
        <v>184</v>
      </c>
      <c r="F204" s="13" t="s">
        <v>1566</v>
      </c>
      <c r="G204" s="13" t="s">
        <v>188</v>
      </c>
      <c r="H204" s="13" t="s">
        <v>188</v>
      </c>
      <c r="I204" s="13" t="s">
        <v>190</v>
      </c>
      <c r="J204" s="13" t="s">
        <v>1562</v>
      </c>
      <c r="K204" s="13" t="s">
        <v>961</v>
      </c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12">
        <v>47.0</v>
      </c>
      <c r="B205" s="24" t="s">
        <v>568</v>
      </c>
      <c r="C205" s="25" t="s">
        <v>1435</v>
      </c>
      <c r="D205" s="24" t="s">
        <v>1503</v>
      </c>
      <c r="E205" s="13" t="s">
        <v>283</v>
      </c>
      <c r="F205" s="13" t="s">
        <v>1567</v>
      </c>
      <c r="G205" s="13" t="s">
        <v>188</v>
      </c>
      <c r="H205" s="13" t="s">
        <v>188</v>
      </c>
      <c r="I205" s="13" t="s">
        <v>190</v>
      </c>
      <c r="J205" s="13" t="s">
        <v>1565</v>
      </c>
      <c r="K205" s="13" t="s">
        <v>961</v>
      </c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12">
        <v>48.0</v>
      </c>
      <c r="B206" s="24" t="s">
        <v>569</v>
      </c>
      <c r="C206" s="25" t="s">
        <v>1435</v>
      </c>
      <c r="D206" s="24" t="s">
        <v>1569</v>
      </c>
      <c r="E206" s="13" t="s">
        <v>184</v>
      </c>
      <c r="F206" s="13" t="s">
        <v>1572</v>
      </c>
      <c r="G206" s="13" t="s">
        <v>188</v>
      </c>
      <c r="H206" s="13" t="s">
        <v>188</v>
      </c>
      <c r="I206" s="13" t="s">
        <v>190</v>
      </c>
      <c r="J206" s="13" t="s">
        <v>1573</v>
      </c>
      <c r="K206" s="13" t="s">
        <v>918</v>
      </c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12">
        <v>48.0</v>
      </c>
      <c r="B207" s="24" t="s">
        <v>569</v>
      </c>
      <c r="C207" s="25" t="s">
        <v>1435</v>
      </c>
      <c r="D207" s="24" t="s">
        <v>1575</v>
      </c>
      <c r="E207" s="13" t="s">
        <v>184</v>
      </c>
      <c r="F207" s="13" t="s">
        <v>1577</v>
      </c>
      <c r="G207" s="13" t="s">
        <v>188</v>
      </c>
      <c r="H207" s="13" t="s">
        <v>188</v>
      </c>
      <c r="I207" s="13" t="s">
        <v>190</v>
      </c>
      <c r="J207" s="13" t="s">
        <v>1578</v>
      </c>
      <c r="K207" s="13" t="s">
        <v>918</v>
      </c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12">
        <v>48.0</v>
      </c>
      <c r="B208" s="24" t="s">
        <v>569</v>
      </c>
      <c r="C208" s="25" t="s">
        <v>1435</v>
      </c>
      <c r="D208" s="24" t="s">
        <v>1434</v>
      </c>
      <c r="E208" s="13" t="s">
        <v>184</v>
      </c>
      <c r="F208" s="13" t="s">
        <v>1580</v>
      </c>
      <c r="G208" s="13" t="s">
        <v>188</v>
      </c>
      <c r="H208" s="13" t="s">
        <v>188</v>
      </c>
      <c r="I208" s="13" t="s">
        <v>190</v>
      </c>
      <c r="J208" s="13" t="s">
        <v>1581</v>
      </c>
      <c r="K208" s="13" t="s">
        <v>918</v>
      </c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12">
        <v>48.0</v>
      </c>
      <c r="B209" s="24" t="s">
        <v>569</v>
      </c>
      <c r="C209" s="25" t="s">
        <v>1435</v>
      </c>
      <c r="D209" s="24" t="s">
        <v>1461</v>
      </c>
      <c r="E209" s="13" t="s">
        <v>184</v>
      </c>
      <c r="F209" s="13" t="s">
        <v>1582</v>
      </c>
      <c r="G209" s="13" t="s">
        <v>188</v>
      </c>
      <c r="H209" s="13" t="s">
        <v>188</v>
      </c>
      <c r="I209" s="13" t="s">
        <v>190</v>
      </c>
      <c r="J209" s="13" t="s">
        <v>1573</v>
      </c>
      <c r="K209" s="13" t="s">
        <v>961</v>
      </c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12">
        <v>48.0</v>
      </c>
      <c r="B210" s="24" t="s">
        <v>569</v>
      </c>
      <c r="C210" s="25" t="s">
        <v>1435</v>
      </c>
      <c r="D210" s="24" t="s">
        <v>1410</v>
      </c>
      <c r="E210" s="13" t="s">
        <v>184</v>
      </c>
      <c r="F210" s="13" t="s">
        <v>1584</v>
      </c>
      <c r="G210" s="13" t="s">
        <v>188</v>
      </c>
      <c r="H210" s="13" t="s">
        <v>188</v>
      </c>
      <c r="I210" s="13" t="s">
        <v>190</v>
      </c>
      <c r="J210" s="13" t="s">
        <v>1578</v>
      </c>
      <c r="K210" s="13" t="s">
        <v>918</v>
      </c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12">
        <v>49.0</v>
      </c>
      <c r="B211" s="24" t="s">
        <v>576</v>
      </c>
      <c r="C211" s="25" t="s">
        <v>1435</v>
      </c>
      <c r="D211" s="24" t="s">
        <v>1451</v>
      </c>
      <c r="E211" s="13" t="s">
        <v>184</v>
      </c>
      <c r="F211" s="13" t="s">
        <v>1585</v>
      </c>
      <c r="G211" s="13" t="s">
        <v>188</v>
      </c>
      <c r="H211" s="13" t="s">
        <v>188</v>
      </c>
      <c r="I211" s="13" t="s">
        <v>190</v>
      </c>
      <c r="J211" s="13" t="s">
        <v>1586</v>
      </c>
      <c r="K211" s="13" t="s">
        <v>961</v>
      </c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12">
        <v>49.0</v>
      </c>
      <c r="B212" s="24" t="s">
        <v>576</v>
      </c>
      <c r="C212" s="25" t="s">
        <v>1435</v>
      </c>
      <c r="D212" s="24" t="s">
        <v>1519</v>
      </c>
      <c r="E212" s="13" t="s">
        <v>184</v>
      </c>
      <c r="F212" s="13" t="s">
        <v>1587</v>
      </c>
      <c r="G212" s="13" t="s">
        <v>188</v>
      </c>
      <c r="H212" s="13" t="s">
        <v>188</v>
      </c>
      <c r="I212" s="13" t="s">
        <v>190</v>
      </c>
      <c r="J212" s="13" t="s">
        <v>1588</v>
      </c>
      <c r="K212" s="13" t="s">
        <v>936</v>
      </c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12">
        <v>49.0</v>
      </c>
      <c r="B213" s="24" t="s">
        <v>576</v>
      </c>
      <c r="C213" s="25" t="s">
        <v>1435</v>
      </c>
      <c r="D213" s="24" t="s">
        <v>1376</v>
      </c>
      <c r="E213" s="13" t="s">
        <v>283</v>
      </c>
      <c r="F213" s="13" t="s">
        <v>1589</v>
      </c>
      <c r="G213" s="13" t="s">
        <v>188</v>
      </c>
      <c r="H213" s="13" t="s">
        <v>188</v>
      </c>
      <c r="I213" s="13" t="s">
        <v>190</v>
      </c>
      <c r="J213" s="13" t="s">
        <v>1586</v>
      </c>
      <c r="K213" s="13" t="s">
        <v>936</v>
      </c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12">
        <v>49.0</v>
      </c>
      <c r="B214" s="24" t="s">
        <v>576</v>
      </c>
      <c r="C214" s="25" t="s">
        <v>1435</v>
      </c>
      <c r="D214" s="24" t="s">
        <v>1540</v>
      </c>
      <c r="E214" s="13" t="s">
        <v>283</v>
      </c>
      <c r="F214" s="13" t="s">
        <v>1590</v>
      </c>
      <c r="G214" s="13" t="s">
        <v>188</v>
      </c>
      <c r="H214" s="13" t="s">
        <v>188</v>
      </c>
      <c r="I214" s="13" t="s">
        <v>190</v>
      </c>
      <c r="J214" s="13" t="s">
        <v>1588</v>
      </c>
      <c r="K214" s="13" t="s">
        <v>961</v>
      </c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12">
        <v>49.0</v>
      </c>
      <c r="B215" s="24" t="s">
        <v>576</v>
      </c>
      <c r="C215" s="25" t="s">
        <v>1435</v>
      </c>
      <c r="D215" s="24" t="s">
        <v>565</v>
      </c>
      <c r="E215" s="13" t="s">
        <v>283</v>
      </c>
      <c r="F215" s="13" t="s">
        <v>1591</v>
      </c>
      <c r="G215" s="13" t="s">
        <v>188</v>
      </c>
      <c r="H215" s="13" t="s">
        <v>188</v>
      </c>
      <c r="I215" s="13" t="s">
        <v>190</v>
      </c>
      <c r="J215" s="13" t="s">
        <v>1586</v>
      </c>
      <c r="K215" s="13" t="s">
        <v>918</v>
      </c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12">
        <v>50.0</v>
      </c>
      <c r="B216" s="24" t="s">
        <v>579</v>
      </c>
      <c r="C216" s="25" t="s">
        <v>1592</v>
      </c>
      <c r="D216" s="24" t="s">
        <v>1593</v>
      </c>
      <c r="E216" s="13" t="s">
        <v>184</v>
      </c>
      <c r="F216" s="13" t="s">
        <v>1594</v>
      </c>
      <c r="G216" s="13" t="s">
        <v>188</v>
      </c>
      <c r="H216" s="13" t="s">
        <v>188</v>
      </c>
      <c r="I216" s="13" t="s">
        <v>190</v>
      </c>
      <c r="J216" s="13" t="s">
        <v>1595</v>
      </c>
      <c r="K216" s="13" t="s">
        <v>918</v>
      </c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12">
        <v>50.0</v>
      </c>
      <c r="B217" s="24" t="s">
        <v>579</v>
      </c>
      <c r="C217" s="25" t="s">
        <v>1592</v>
      </c>
      <c r="D217" s="24" t="s">
        <v>1596</v>
      </c>
      <c r="E217" s="13" t="s">
        <v>184</v>
      </c>
      <c r="F217" s="13" t="s">
        <v>1597</v>
      </c>
      <c r="G217" s="13" t="s">
        <v>188</v>
      </c>
      <c r="H217" s="13" t="s">
        <v>188</v>
      </c>
      <c r="I217" s="13" t="s">
        <v>190</v>
      </c>
      <c r="J217" s="13" t="s">
        <v>1598</v>
      </c>
      <c r="K217" s="13" t="s">
        <v>918</v>
      </c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12">
        <v>50.0</v>
      </c>
      <c r="B218" s="24" t="s">
        <v>579</v>
      </c>
      <c r="C218" s="25" t="s">
        <v>1592</v>
      </c>
      <c r="D218" s="24" t="s">
        <v>1599</v>
      </c>
      <c r="E218" s="13" t="s">
        <v>184</v>
      </c>
      <c r="F218" s="13" t="s">
        <v>1600</v>
      </c>
      <c r="G218" s="13" t="s">
        <v>188</v>
      </c>
      <c r="H218" s="13" t="s">
        <v>188</v>
      </c>
      <c r="I218" s="13" t="s">
        <v>190</v>
      </c>
      <c r="J218" s="13" t="s">
        <v>1601</v>
      </c>
      <c r="K218" s="13" t="s">
        <v>918</v>
      </c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12">
        <v>50.0</v>
      </c>
      <c r="B219" s="24" t="s">
        <v>579</v>
      </c>
      <c r="C219" s="25" t="s">
        <v>1592</v>
      </c>
      <c r="D219" s="24" t="s">
        <v>1602</v>
      </c>
      <c r="E219" s="13" t="s">
        <v>184</v>
      </c>
      <c r="F219" s="13" t="s">
        <v>1604</v>
      </c>
      <c r="G219" s="13" t="s">
        <v>188</v>
      </c>
      <c r="H219" s="13" t="s">
        <v>188</v>
      </c>
      <c r="I219" s="13" t="s">
        <v>190</v>
      </c>
      <c r="J219" s="13" t="s">
        <v>1595</v>
      </c>
      <c r="K219" s="13" t="s">
        <v>918</v>
      </c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12">
        <v>50.0</v>
      </c>
      <c r="B220" s="24" t="s">
        <v>579</v>
      </c>
      <c r="C220" s="25" t="s">
        <v>1592</v>
      </c>
      <c r="D220" s="24" t="s">
        <v>525</v>
      </c>
      <c r="E220" s="13" t="s">
        <v>283</v>
      </c>
      <c r="F220" s="13" t="s">
        <v>1606</v>
      </c>
      <c r="G220" s="13" t="s">
        <v>188</v>
      </c>
      <c r="H220" s="13" t="s">
        <v>188</v>
      </c>
      <c r="I220" s="13" t="s">
        <v>190</v>
      </c>
      <c r="J220" s="13" t="s">
        <v>1598</v>
      </c>
      <c r="K220" s="13" t="s">
        <v>1607</v>
      </c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12">
        <v>51.0</v>
      </c>
      <c r="B221" s="24" t="s">
        <v>582</v>
      </c>
      <c r="C221" s="25" t="s">
        <v>1609</v>
      </c>
      <c r="D221" s="24" t="s">
        <v>1610</v>
      </c>
      <c r="E221" s="13" t="s">
        <v>184</v>
      </c>
      <c r="F221" s="13" t="s">
        <v>1611</v>
      </c>
      <c r="G221" s="13" t="s">
        <v>188</v>
      </c>
      <c r="H221" s="13" t="s">
        <v>188</v>
      </c>
      <c r="I221" s="13" t="s">
        <v>190</v>
      </c>
      <c r="J221" s="13" t="s">
        <v>1612</v>
      </c>
      <c r="K221" s="13" t="s">
        <v>918</v>
      </c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12">
        <v>51.0</v>
      </c>
      <c r="B222" s="24" t="s">
        <v>582</v>
      </c>
      <c r="C222" s="25" t="s">
        <v>1609</v>
      </c>
      <c r="D222" s="24" t="s">
        <v>1613</v>
      </c>
      <c r="E222" s="13" t="s">
        <v>184</v>
      </c>
      <c r="F222" s="13" t="s">
        <v>1616</v>
      </c>
      <c r="G222" s="13" t="s">
        <v>188</v>
      </c>
      <c r="H222" s="13" t="s">
        <v>188</v>
      </c>
      <c r="I222" s="13" t="s">
        <v>190</v>
      </c>
      <c r="J222" s="13" t="s">
        <v>1617</v>
      </c>
      <c r="K222" s="13" t="s">
        <v>918</v>
      </c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12">
        <v>51.0</v>
      </c>
      <c r="B223" s="24" t="s">
        <v>582</v>
      </c>
      <c r="C223" s="25" t="s">
        <v>1609</v>
      </c>
      <c r="D223" s="24" t="s">
        <v>1618</v>
      </c>
      <c r="E223" s="13" t="s">
        <v>184</v>
      </c>
      <c r="F223" s="13" t="s">
        <v>1620</v>
      </c>
      <c r="G223" s="13" t="s">
        <v>188</v>
      </c>
      <c r="H223" s="13" t="s">
        <v>188</v>
      </c>
      <c r="I223" s="13" t="s">
        <v>190</v>
      </c>
      <c r="J223" s="13" t="s">
        <v>1612</v>
      </c>
      <c r="K223" s="13" t="s">
        <v>918</v>
      </c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12">
        <v>51.0</v>
      </c>
      <c r="B224" s="24" t="s">
        <v>582</v>
      </c>
      <c r="C224" s="25" t="s">
        <v>1609</v>
      </c>
      <c r="D224" s="24" t="s">
        <v>1621</v>
      </c>
      <c r="E224" s="13" t="s">
        <v>283</v>
      </c>
      <c r="F224" s="13" t="s">
        <v>1623</v>
      </c>
      <c r="G224" s="13" t="s">
        <v>188</v>
      </c>
      <c r="H224" s="13" t="s">
        <v>188</v>
      </c>
      <c r="I224" s="13" t="s">
        <v>190</v>
      </c>
      <c r="J224" s="13" t="s">
        <v>1617</v>
      </c>
      <c r="K224" s="13" t="s">
        <v>918</v>
      </c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12">
        <v>52.0</v>
      </c>
      <c r="B225" s="24" t="s">
        <v>584</v>
      </c>
      <c r="C225" s="25" t="s">
        <v>1624</v>
      </c>
      <c r="D225" s="24" t="s">
        <v>671</v>
      </c>
      <c r="E225" s="13" t="s">
        <v>184</v>
      </c>
      <c r="F225" s="13" t="s">
        <v>1625</v>
      </c>
      <c r="G225" s="13" t="s">
        <v>188</v>
      </c>
      <c r="H225" s="13" t="s">
        <v>188</v>
      </c>
      <c r="I225" s="13" t="s">
        <v>190</v>
      </c>
      <c r="J225" s="13" t="s">
        <v>841</v>
      </c>
      <c r="K225" s="13" t="s">
        <v>918</v>
      </c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12">
        <v>52.0</v>
      </c>
      <c r="B226" s="24" t="s">
        <v>584</v>
      </c>
      <c r="C226" s="25" t="s">
        <v>1624</v>
      </c>
      <c r="D226" s="24" t="s">
        <v>651</v>
      </c>
      <c r="E226" s="13" t="s">
        <v>184</v>
      </c>
      <c r="F226" s="13" t="s">
        <v>1627</v>
      </c>
      <c r="G226" s="13" t="s">
        <v>188</v>
      </c>
      <c r="H226" s="13" t="s">
        <v>188</v>
      </c>
      <c r="I226" s="13" t="s">
        <v>190</v>
      </c>
      <c r="J226" s="13" t="s">
        <v>1628</v>
      </c>
      <c r="K226" s="13" t="s">
        <v>918</v>
      </c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12">
        <v>52.0</v>
      </c>
      <c r="B227" s="24" t="s">
        <v>584</v>
      </c>
      <c r="C227" s="25" t="s">
        <v>1624</v>
      </c>
      <c r="D227" s="24" t="s">
        <v>698</v>
      </c>
      <c r="E227" s="13" t="s">
        <v>184</v>
      </c>
      <c r="F227" s="13" t="s">
        <v>1629</v>
      </c>
      <c r="G227" s="13" t="s">
        <v>188</v>
      </c>
      <c r="H227" s="13" t="s">
        <v>188</v>
      </c>
      <c r="I227" s="13" t="s">
        <v>190</v>
      </c>
      <c r="J227" s="13" t="s">
        <v>840</v>
      </c>
      <c r="K227" s="13" t="s">
        <v>918</v>
      </c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12">
        <v>52.0</v>
      </c>
      <c r="B228" s="24" t="s">
        <v>584</v>
      </c>
      <c r="C228" s="25" t="s">
        <v>1624</v>
      </c>
      <c r="D228" s="24" t="s">
        <v>581</v>
      </c>
      <c r="E228" s="13" t="s">
        <v>184</v>
      </c>
      <c r="F228" s="13" t="s">
        <v>1631</v>
      </c>
      <c r="G228" s="13" t="s">
        <v>188</v>
      </c>
      <c r="H228" s="13" t="s">
        <v>188</v>
      </c>
      <c r="I228" s="13" t="s">
        <v>190</v>
      </c>
      <c r="J228" s="13" t="s">
        <v>1632</v>
      </c>
      <c r="K228" s="13" t="s">
        <v>918</v>
      </c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12">
        <v>52.0</v>
      </c>
      <c r="B229" s="24" t="s">
        <v>584</v>
      </c>
      <c r="C229" s="25" t="s">
        <v>1624</v>
      </c>
      <c r="D229" s="24" t="s">
        <v>673</v>
      </c>
      <c r="E229" s="13" t="s">
        <v>283</v>
      </c>
      <c r="F229" s="13" t="s">
        <v>1633</v>
      </c>
      <c r="G229" s="13" t="s">
        <v>188</v>
      </c>
      <c r="H229" s="13" t="s">
        <v>188</v>
      </c>
      <c r="I229" s="13" t="s">
        <v>190</v>
      </c>
      <c r="J229" s="13" t="s">
        <v>841</v>
      </c>
      <c r="K229" s="13" t="s">
        <v>1020</v>
      </c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12">
        <v>53.0</v>
      </c>
      <c r="B230" s="24" t="s">
        <v>586</v>
      </c>
      <c r="C230" s="25" t="s">
        <v>1624</v>
      </c>
      <c r="D230" s="24" t="s">
        <v>1634</v>
      </c>
      <c r="E230" s="13" t="s">
        <v>184</v>
      </c>
      <c r="F230" s="13" t="s">
        <v>1635</v>
      </c>
      <c r="G230" s="13" t="s">
        <v>188</v>
      </c>
      <c r="H230" s="13" t="s">
        <v>188</v>
      </c>
      <c r="I230" s="13" t="s">
        <v>190</v>
      </c>
      <c r="J230" s="13" t="s">
        <v>1636</v>
      </c>
      <c r="K230" s="13" t="s">
        <v>918</v>
      </c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12">
        <v>53.0</v>
      </c>
      <c r="B231" s="24" t="s">
        <v>586</v>
      </c>
      <c r="C231" s="25" t="s">
        <v>1624</v>
      </c>
      <c r="D231" s="24" t="s">
        <v>1637</v>
      </c>
      <c r="E231" s="13" t="s">
        <v>184</v>
      </c>
      <c r="F231" s="13" t="s">
        <v>1638</v>
      </c>
      <c r="G231" s="13" t="s">
        <v>188</v>
      </c>
      <c r="H231" s="13" t="s">
        <v>188</v>
      </c>
      <c r="I231" s="13" t="s">
        <v>190</v>
      </c>
      <c r="J231" s="13" t="s">
        <v>1639</v>
      </c>
      <c r="K231" s="13" t="s">
        <v>1020</v>
      </c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12">
        <v>53.0</v>
      </c>
      <c r="B232" s="24" t="s">
        <v>586</v>
      </c>
      <c r="C232" s="25" t="s">
        <v>1624</v>
      </c>
      <c r="D232" s="24" t="s">
        <v>632</v>
      </c>
      <c r="E232" s="13" t="s">
        <v>283</v>
      </c>
      <c r="F232" s="13" t="s">
        <v>1640</v>
      </c>
      <c r="G232" s="13" t="s">
        <v>188</v>
      </c>
      <c r="H232" s="13" t="s">
        <v>188</v>
      </c>
      <c r="I232" s="13" t="s">
        <v>190</v>
      </c>
      <c r="J232" s="13" t="s">
        <v>1636</v>
      </c>
      <c r="K232" s="13" t="s">
        <v>918</v>
      </c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12">
        <v>54.0</v>
      </c>
      <c r="B233" s="24" t="s">
        <v>588</v>
      </c>
      <c r="C233" s="25" t="s">
        <v>1624</v>
      </c>
      <c r="D233" s="24" t="s">
        <v>693</v>
      </c>
      <c r="E233" s="13" t="s">
        <v>184</v>
      </c>
      <c r="F233" s="13" t="s">
        <v>1642</v>
      </c>
      <c r="G233" s="13" t="s">
        <v>188</v>
      </c>
      <c r="H233" s="13" t="s">
        <v>188</v>
      </c>
      <c r="I233" s="13" t="s">
        <v>190</v>
      </c>
      <c r="J233" s="13" t="s">
        <v>1643</v>
      </c>
      <c r="K233" s="13" t="s">
        <v>918</v>
      </c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12">
        <v>54.0</v>
      </c>
      <c r="B234" s="24" t="s">
        <v>588</v>
      </c>
      <c r="C234" s="25" t="s">
        <v>1624</v>
      </c>
      <c r="D234" s="24" t="s">
        <v>1644</v>
      </c>
      <c r="E234" s="13" t="s">
        <v>184</v>
      </c>
      <c r="F234" s="13" t="s">
        <v>1645</v>
      </c>
      <c r="G234" s="13" t="s">
        <v>188</v>
      </c>
      <c r="H234" s="13" t="s">
        <v>188</v>
      </c>
      <c r="I234" s="13" t="s">
        <v>190</v>
      </c>
      <c r="J234" s="13" t="s">
        <v>1646</v>
      </c>
      <c r="K234" s="13" t="s">
        <v>918</v>
      </c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12">
        <v>54.0</v>
      </c>
      <c r="B235" s="24" t="s">
        <v>588</v>
      </c>
      <c r="C235" s="25" t="s">
        <v>1624</v>
      </c>
      <c r="D235" s="24" t="s">
        <v>1034</v>
      </c>
      <c r="E235" s="13" t="s">
        <v>184</v>
      </c>
      <c r="F235" s="13" t="s">
        <v>1647</v>
      </c>
      <c r="G235" s="13" t="s">
        <v>188</v>
      </c>
      <c r="H235" s="13" t="s">
        <v>188</v>
      </c>
      <c r="I235" s="13" t="s">
        <v>190</v>
      </c>
      <c r="J235" s="13" t="s">
        <v>1643</v>
      </c>
      <c r="K235" s="13" t="s">
        <v>918</v>
      </c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12">
        <v>54.0</v>
      </c>
      <c r="B236" s="24" t="s">
        <v>588</v>
      </c>
      <c r="C236" s="25" t="s">
        <v>1624</v>
      </c>
      <c r="D236" s="24" t="s">
        <v>1648</v>
      </c>
      <c r="E236" s="13" t="s">
        <v>184</v>
      </c>
      <c r="F236" s="13" t="s">
        <v>1649</v>
      </c>
      <c r="G236" s="13" t="s">
        <v>188</v>
      </c>
      <c r="H236" s="13" t="s">
        <v>188</v>
      </c>
      <c r="I236" s="13" t="s">
        <v>190</v>
      </c>
      <c r="J236" s="13" t="s">
        <v>1646</v>
      </c>
      <c r="K236" s="13" t="s">
        <v>918</v>
      </c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12">
        <v>54.0</v>
      </c>
      <c r="B237" s="24" t="s">
        <v>588</v>
      </c>
      <c r="C237" s="25" t="s">
        <v>1624</v>
      </c>
      <c r="D237" s="24" t="s">
        <v>1042</v>
      </c>
      <c r="E237" s="13" t="s">
        <v>283</v>
      </c>
      <c r="F237" s="13" t="s">
        <v>1651</v>
      </c>
      <c r="G237" s="13" t="s">
        <v>188</v>
      </c>
      <c r="H237" s="13" t="s">
        <v>188</v>
      </c>
      <c r="I237" s="13" t="s">
        <v>190</v>
      </c>
      <c r="J237" s="13" t="s">
        <v>1643</v>
      </c>
      <c r="K237" s="13" t="s">
        <v>918</v>
      </c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12">
        <v>55.0</v>
      </c>
      <c r="B238" s="24" t="s">
        <v>589</v>
      </c>
      <c r="C238" s="25" t="s">
        <v>1624</v>
      </c>
      <c r="D238" s="24" t="s">
        <v>747</v>
      </c>
      <c r="E238" s="13" t="s">
        <v>184</v>
      </c>
      <c r="F238" s="13" t="s">
        <v>1652</v>
      </c>
      <c r="G238" s="13" t="s">
        <v>188</v>
      </c>
      <c r="H238" s="13" t="s">
        <v>188</v>
      </c>
      <c r="I238" s="13" t="s">
        <v>190</v>
      </c>
      <c r="J238" s="13" t="s">
        <v>1653</v>
      </c>
      <c r="K238" s="13" t="s">
        <v>918</v>
      </c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12">
        <v>55.0</v>
      </c>
      <c r="B239" s="24" t="s">
        <v>589</v>
      </c>
      <c r="C239" s="25" t="s">
        <v>1624</v>
      </c>
      <c r="D239" s="24" t="s">
        <v>672</v>
      </c>
      <c r="E239" s="13" t="s">
        <v>184</v>
      </c>
      <c r="F239" s="13" t="s">
        <v>1655</v>
      </c>
      <c r="G239" s="13" t="s">
        <v>188</v>
      </c>
      <c r="H239" s="13" t="s">
        <v>188</v>
      </c>
      <c r="I239" s="13" t="s">
        <v>190</v>
      </c>
      <c r="J239" s="13" t="s">
        <v>1656</v>
      </c>
      <c r="K239" s="13" t="s">
        <v>918</v>
      </c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12">
        <v>55.0</v>
      </c>
      <c r="B240" s="24" t="s">
        <v>589</v>
      </c>
      <c r="C240" s="25" t="s">
        <v>1624</v>
      </c>
      <c r="D240" s="24" t="s">
        <v>664</v>
      </c>
      <c r="E240" s="13" t="s">
        <v>184</v>
      </c>
      <c r="F240" s="13" t="s">
        <v>1658</v>
      </c>
      <c r="G240" s="13" t="s">
        <v>188</v>
      </c>
      <c r="H240" s="13" t="s">
        <v>188</v>
      </c>
      <c r="I240" s="13" t="s">
        <v>190</v>
      </c>
      <c r="J240" s="13" t="s">
        <v>1659</v>
      </c>
      <c r="K240" s="13" t="s">
        <v>918</v>
      </c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12">
        <v>55.0</v>
      </c>
      <c r="B241" s="24" t="s">
        <v>589</v>
      </c>
      <c r="C241" s="25" t="s">
        <v>1624</v>
      </c>
      <c r="D241" s="24" t="s">
        <v>628</v>
      </c>
      <c r="E241" s="13" t="s">
        <v>283</v>
      </c>
      <c r="F241" s="13" t="s">
        <v>1660</v>
      </c>
      <c r="G241" s="13" t="s">
        <v>188</v>
      </c>
      <c r="H241" s="13" t="s">
        <v>188</v>
      </c>
      <c r="I241" s="13" t="s">
        <v>190</v>
      </c>
      <c r="J241" s="13" t="s">
        <v>1653</v>
      </c>
      <c r="K241" s="13" t="s">
        <v>961</v>
      </c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12">
        <v>55.0</v>
      </c>
      <c r="B242" s="24" t="s">
        <v>589</v>
      </c>
      <c r="C242" s="25" t="s">
        <v>1624</v>
      </c>
      <c r="D242" s="24" t="s">
        <v>634</v>
      </c>
      <c r="E242" s="13" t="s">
        <v>283</v>
      </c>
      <c r="F242" s="13" t="s">
        <v>1662</v>
      </c>
      <c r="G242" s="13" t="s">
        <v>188</v>
      </c>
      <c r="H242" s="13" t="s">
        <v>188</v>
      </c>
      <c r="I242" s="13" t="s">
        <v>190</v>
      </c>
      <c r="J242" s="13" t="s">
        <v>1656</v>
      </c>
      <c r="K242" s="13" t="s">
        <v>918</v>
      </c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12">
        <v>56.0</v>
      </c>
      <c r="B243" s="24" t="s">
        <v>591</v>
      </c>
      <c r="C243" s="25" t="s">
        <v>1624</v>
      </c>
      <c r="D243" s="24" t="s">
        <v>590</v>
      </c>
      <c r="E243" s="13" t="s">
        <v>184</v>
      </c>
      <c r="F243" s="13" t="s">
        <v>1664</v>
      </c>
      <c r="G243" s="13" t="s">
        <v>188</v>
      </c>
      <c r="H243" s="13" t="s">
        <v>188</v>
      </c>
      <c r="I243" s="13" t="s">
        <v>190</v>
      </c>
      <c r="J243" s="13" t="s">
        <v>1665</v>
      </c>
      <c r="K243" s="13" t="s">
        <v>961</v>
      </c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12">
        <v>56.0</v>
      </c>
      <c r="B244" s="24" t="s">
        <v>591</v>
      </c>
      <c r="C244" s="25" t="s">
        <v>1624</v>
      </c>
      <c r="D244" s="24" t="s">
        <v>583</v>
      </c>
      <c r="E244" s="13" t="s">
        <v>184</v>
      </c>
      <c r="F244" s="13" t="s">
        <v>1667</v>
      </c>
      <c r="G244" s="13" t="s">
        <v>188</v>
      </c>
      <c r="H244" s="13" t="s">
        <v>188</v>
      </c>
      <c r="I244" s="13" t="s">
        <v>190</v>
      </c>
      <c r="J244" s="13" t="s">
        <v>1668</v>
      </c>
      <c r="K244" s="13" t="s">
        <v>918</v>
      </c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12">
        <v>56.0</v>
      </c>
      <c r="B245" s="24" t="s">
        <v>591</v>
      </c>
      <c r="C245" s="25" t="s">
        <v>1624</v>
      </c>
      <c r="D245" s="24" t="s">
        <v>592</v>
      </c>
      <c r="E245" s="13" t="s">
        <v>184</v>
      </c>
      <c r="F245" s="13" t="s">
        <v>1669</v>
      </c>
      <c r="G245" s="13" t="s">
        <v>188</v>
      </c>
      <c r="H245" s="13" t="s">
        <v>188</v>
      </c>
      <c r="I245" s="13" t="s">
        <v>190</v>
      </c>
      <c r="J245" s="13" t="s">
        <v>1665</v>
      </c>
      <c r="K245" s="13" t="s">
        <v>961</v>
      </c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12">
        <v>56.0</v>
      </c>
      <c r="B246" s="24" t="s">
        <v>591</v>
      </c>
      <c r="C246" s="25" t="s">
        <v>1624</v>
      </c>
      <c r="D246" s="24" t="s">
        <v>695</v>
      </c>
      <c r="E246" s="13" t="s">
        <v>283</v>
      </c>
      <c r="F246" s="13" t="s">
        <v>1670</v>
      </c>
      <c r="G246" s="13" t="s">
        <v>188</v>
      </c>
      <c r="H246" s="13" t="s">
        <v>188</v>
      </c>
      <c r="I246" s="13" t="s">
        <v>190</v>
      </c>
      <c r="J246" s="13" t="s">
        <v>1668</v>
      </c>
      <c r="K246" s="13" t="s">
        <v>918</v>
      </c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12">
        <v>56.0</v>
      </c>
      <c r="B247" s="24" t="s">
        <v>591</v>
      </c>
      <c r="C247" s="25" t="s">
        <v>1624</v>
      </c>
      <c r="D247" s="24" t="s">
        <v>628</v>
      </c>
      <c r="E247" s="13" t="s">
        <v>283</v>
      </c>
      <c r="F247" s="13" t="s">
        <v>1671</v>
      </c>
      <c r="G247" s="13" t="s">
        <v>188</v>
      </c>
      <c r="H247" s="13" t="s">
        <v>188</v>
      </c>
      <c r="I247" s="13" t="s">
        <v>190</v>
      </c>
      <c r="J247" s="13" t="s">
        <v>1665</v>
      </c>
      <c r="K247" s="13" t="s">
        <v>961</v>
      </c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12">
        <v>57.0</v>
      </c>
      <c r="B248" s="24" t="s">
        <v>365</v>
      </c>
      <c r="C248" s="25" t="s">
        <v>1672</v>
      </c>
      <c r="D248" s="24" t="s">
        <v>1673</v>
      </c>
      <c r="E248" s="13" t="s">
        <v>184</v>
      </c>
      <c r="F248" s="13" t="s">
        <v>1674</v>
      </c>
      <c r="G248" s="13" t="s">
        <v>188</v>
      </c>
      <c r="H248" s="13" t="s">
        <v>188</v>
      </c>
      <c r="I248" s="13" t="s">
        <v>190</v>
      </c>
      <c r="J248" s="13" t="s">
        <v>1675</v>
      </c>
      <c r="K248" s="13" t="s">
        <v>918</v>
      </c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12">
        <v>57.0</v>
      </c>
      <c r="B249" s="24" t="s">
        <v>365</v>
      </c>
      <c r="C249" s="25" t="s">
        <v>1672</v>
      </c>
      <c r="D249" s="24" t="s">
        <v>1676</v>
      </c>
      <c r="E249" s="13" t="s">
        <v>184</v>
      </c>
      <c r="F249" s="13" t="s">
        <v>1677</v>
      </c>
      <c r="G249" s="13" t="s">
        <v>188</v>
      </c>
      <c r="H249" s="13" t="s">
        <v>188</v>
      </c>
      <c r="I249" s="13" t="s">
        <v>190</v>
      </c>
      <c r="J249" s="13" t="s">
        <v>854</v>
      </c>
      <c r="K249" s="13" t="s">
        <v>918</v>
      </c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12">
        <v>57.0</v>
      </c>
      <c r="B250" s="24" t="s">
        <v>365</v>
      </c>
      <c r="C250" s="25" t="s">
        <v>1672</v>
      </c>
      <c r="D250" s="24" t="s">
        <v>1678</v>
      </c>
      <c r="E250" s="13" t="s">
        <v>184</v>
      </c>
      <c r="F250" s="13" t="s">
        <v>1679</v>
      </c>
      <c r="G250" s="13" t="s">
        <v>188</v>
      </c>
      <c r="H250" s="13" t="s">
        <v>188</v>
      </c>
      <c r="I250" s="13" t="s">
        <v>190</v>
      </c>
      <c r="J250" s="13" t="s">
        <v>1680</v>
      </c>
      <c r="K250" s="13" t="s">
        <v>918</v>
      </c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12">
        <v>57.0</v>
      </c>
      <c r="B251" s="24" t="s">
        <v>365</v>
      </c>
      <c r="C251" s="25" t="s">
        <v>1672</v>
      </c>
      <c r="D251" s="24" t="s">
        <v>1681</v>
      </c>
      <c r="E251" s="13" t="s">
        <v>184</v>
      </c>
      <c r="F251" s="13" t="s">
        <v>1682</v>
      </c>
      <c r="G251" s="13" t="s">
        <v>188</v>
      </c>
      <c r="H251" s="13" t="s">
        <v>188</v>
      </c>
      <c r="I251" s="13" t="s">
        <v>190</v>
      </c>
      <c r="J251" s="13" t="s">
        <v>1683</v>
      </c>
      <c r="K251" s="13" t="s">
        <v>918</v>
      </c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12">
        <v>57.0</v>
      </c>
      <c r="B252" s="24" t="s">
        <v>365</v>
      </c>
      <c r="C252" s="25" t="s">
        <v>1672</v>
      </c>
      <c r="D252" s="24" t="s">
        <v>519</v>
      </c>
      <c r="E252" s="13" t="s">
        <v>283</v>
      </c>
      <c r="F252" s="13" t="s">
        <v>1684</v>
      </c>
      <c r="G252" s="13" t="s">
        <v>188</v>
      </c>
      <c r="H252" s="13" t="s">
        <v>188</v>
      </c>
      <c r="I252" s="13" t="s">
        <v>190</v>
      </c>
      <c r="J252" s="13" t="s">
        <v>1675</v>
      </c>
      <c r="K252" s="13" t="s">
        <v>961</v>
      </c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12">
        <v>58.0</v>
      </c>
      <c r="B253" s="24" t="s">
        <v>404</v>
      </c>
      <c r="C253" s="25" t="s">
        <v>1672</v>
      </c>
      <c r="D253" s="24" t="s">
        <v>604</v>
      </c>
      <c r="E253" s="13" t="s">
        <v>184</v>
      </c>
      <c r="F253" s="13" t="s">
        <v>1685</v>
      </c>
      <c r="G253" s="13" t="s">
        <v>188</v>
      </c>
      <c r="H253" s="13" t="s">
        <v>188</v>
      </c>
      <c r="I253" s="13" t="s">
        <v>190</v>
      </c>
      <c r="J253" s="13" t="s">
        <v>1686</v>
      </c>
      <c r="K253" s="13" t="s">
        <v>918</v>
      </c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12">
        <v>58.0</v>
      </c>
      <c r="B254" s="24" t="s">
        <v>404</v>
      </c>
      <c r="C254" s="25" t="s">
        <v>1672</v>
      </c>
      <c r="D254" s="24" t="s">
        <v>426</v>
      </c>
      <c r="E254" s="13" t="s">
        <v>184</v>
      </c>
      <c r="F254" s="13" t="s">
        <v>1687</v>
      </c>
      <c r="G254" s="13" t="s">
        <v>188</v>
      </c>
      <c r="H254" s="13" t="s">
        <v>188</v>
      </c>
      <c r="I254" s="13" t="s">
        <v>190</v>
      </c>
      <c r="J254" s="13" t="s">
        <v>1689</v>
      </c>
      <c r="K254" s="13" t="s">
        <v>918</v>
      </c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12">
        <v>58.0</v>
      </c>
      <c r="B255" s="24" t="s">
        <v>404</v>
      </c>
      <c r="C255" s="25" t="s">
        <v>1672</v>
      </c>
      <c r="D255" s="24" t="s">
        <v>1690</v>
      </c>
      <c r="E255" s="13" t="s">
        <v>184</v>
      </c>
      <c r="F255" s="13" t="s">
        <v>1692</v>
      </c>
      <c r="G255" s="13" t="s">
        <v>188</v>
      </c>
      <c r="H255" s="13" t="s">
        <v>188</v>
      </c>
      <c r="I255" s="13" t="s">
        <v>190</v>
      </c>
      <c r="J255" s="13" t="s">
        <v>1693</v>
      </c>
      <c r="K255" s="13" t="s">
        <v>918</v>
      </c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12">
        <v>58.0</v>
      </c>
      <c r="B256" s="24" t="s">
        <v>404</v>
      </c>
      <c r="C256" s="25" t="s">
        <v>1672</v>
      </c>
      <c r="D256" s="24" t="s">
        <v>1338</v>
      </c>
      <c r="E256" s="13" t="s">
        <v>184</v>
      </c>
      <c r="F256" s="13" t="s">
        <v>1697</v>
      </c>
      <c r="G256" s="13" t="s">
        <v>188</v>
      </c>
      <c r="H256" s="13" t="s">
        <v>188</v>
      </c>
      <c r="I256" s="13" t="s">
        <v>190</v>
      </c>
      <c r="J256" s="13" t="s">
        <v>1698</v>
      </c>
      <c r="K256" s="13" t="s">
        <v>918</v>
      </c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12">
        <v>58.0</v>
      </c>
      <c r="B257" s="24" t="s">
        <v>404</v>
      </c>
      <c r="C257" s="25" t="s">
        <v>1672</v>
      </c>
      <c r="D257" s="24" t="s">
        <v>1699</v>
      </c>
      <c r="E257" s="13" t="s">
        <v>283</v>
      </c>
      <c r="F257" s="13" t="s">
        <v>1702</v>
      </c>
      <c r="G257" s="13" t="s">
        <v>188</v>
      </c>
      <c r="H257" s="13" t="s">
        <v>188</v>
      </c>
      <c r="I257" s="13" t="s">
        <v>190</v>
      </c>
      <c r="J257" s="13" t="s">
        <v>1686</v>
      </c>
      <c r="K257" s="13" t="s">
        <v>918</v>
      </c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12">
        <v>59.0</v>
      </c>
      <c r="B258" s="24" t="s">
        <v>567</v>
      </c>
      <c r="C258" s="25" t="s">
        <v>1672</v>
      </c>
      <c r="D258" s="24" t="s">
        <v>1704</v>
      </c>
      <c r="E258" s="13" t="s">
        <v>184</v>
      </c>
      <c r="F258" s="13" t="s">
        <v>1707</v>
      </c>
      <c r="G258" s="13" t="s">
        <v>188</v>
      </c>
      <c r="H258" s="13" t="s">
        <v>188</v>
      </c>
      <c r="I258" s="13" t="s">
        <v>190</v>
      </c>
      <c r="J258" s="13" t="s">
        <v>1708</v>
      </c>
      <c r="K258" s="13" t="s">
        <v>918</v>
      </c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12">
        <v>59.0</v>
      </c>
      <c r="B259" s="24" t="s">
        <v>567</v>
      </c>
      <c r="C259" s="25" t="s">
        <v>1672</v>
      </c>
      <c r="D259" s="24" t="s">
        <v>1709</v>
      </c>
      <c r="E259" s="13" t="s">
        <v>184</v>
      </c>
      <c r="F259" s="13" t="s">
        <v>1711</v>
      </c>
      <c r="G259" s="13" t="s">
        <v>188</v>
      </c>
      <c r="H259" s="13" t="s">
        <v>188</v>
      </c>
      <c r="I259" s="13" t="s">
        <v>190</v>
      </c>
      <c r="J259" s="13" t="s">
        <v>1712</v>
      </c>
      <c r="K259" s="13" t="s">
        <v>918</v>
      </c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12">
        <v>59.0</v>
      </c>
      <c r="B260" s="24" t="s">
        <v>567</v>
      </c>
      <c r="C260" s="25" t="s">
        <v>1672</v>
      </c>
      <c r="D260" s="24" t="s">
        <v>1713</v>
      </c>
      <c r="E260" s="13" t="s">
        <v>283</v>
      </c>
      <c r="F260" s="13" t="s">
        <v>1714</v>
      </c>
      <c r="G260" s="13" t="s">
        <v>188</v>
      </c>
      <c r="H260" s="13" t="s">
        <v>188</v>
      </c>
      <c r="I260" s="13" t="s">
        <v>190</v>
      </c>
      <c r="J260" s="13" t="s">
        <v>1715</v>
      </c>
      <c r="K260" s="13" t="s">
        <v>918</v>
      </c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12">
        <v>60.0</v>
      </c>
      <c r="B261" s="24" t="s">
        <v>594</v>
      </c>
      <c r="C261" s="25" t="s">
        <v>1717</v>
      </c>
      <c r="D261" s="24" t="s">
        <v>1718</v>
      </c>
      <c r="E261" s="13" t="s">
        <v>184</v>
      </c>
      <c r="F261" s="13" t="s">
        <v>1720</v>
      </c>
      <c r="G261" s="13" t="s">
        <v>188</v>
      </c>
      <c r="H261" s="13" t="s">
        <v>188</v>
      </c>
      <c r="I261" s="13" t="s">
        <v>190</v>
      </c>
      <c r="J261" s="13" t="s">
        <v>1721</v>
      </c>
      <c r="K261" s="13" t="s">
        <v>918</v>
      </c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12">
        <v>60.0</v>
      </c>
      <c r="B262" s="24" t="s">
        <v>594</v>
      </c>
      <c r="C262" s="25" t="s">
        <v>1717</v>
      </c>
      <c r="D262" s="24" t="s">
        <v>1723</v>
      </c>
      <c r="E262" s="13" t="s">
        <v>184</v>
      </c>
      <c r="F262" s="13" t="s">
        <v>1725</v>
      </c>
      <c r="G262" s="13" t="s">
        <v>188</v>
      </c>
      <c r="H262" s="13" t="s">
        <v>188</v>
      </c>
      <c r="I262" s="13" t="s">
        <v>190</v>
      </c>
      <c r="J262" s="13" t="s">
        <v>1726</v>
      </c>
      <c r="K262" s="13" t="s">
        <v>918</v>
      </c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12">
        <v>60.0</v>
      </c>
      <c r="B263" s="24" t="s">
        <v>594</v>
      </c>
      <c r="C263" s="25" t="s">
        <v>1717</v>
      </c>
      <c r="D263" s="24" t="s">
        <v>1727</v>
      </c>
      <c r="E263" s="13" t="s">
        <v>184</v>
      </c>
      <c r="F263" s="13" t="s">
        <v>1729</v>
      </c>
      <c r="G263" s="13" t="s">
        <v>188</v>
      </c>
      <c r="H263" s="13" t="s">
        <v>188</v>
      </c>
      <c r="I263" s="13" t="s">
        <v>190</v>
      </c>
      <c r="J263" s="13" t="s">
        <v>1730</v>
      </c>
      <c r="K263" s="13" t="s">
        <v>918</v>
      </c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12">
        <v>60.0</v>
      </c>
      <c r="B264" s="24" t="s">
        <v>594</v>
      </c>
      <c r="C264" s="25" t="s">
        <v>1717</v>
      </c>
      <c r="D264" s="24" t="s">
        <v>1731</v>
      </c>
      <c r="E264" s="13" t="s">
        <v>184</v>
      </c>
      <c r="F264" s="13" t="s">
        <v>1732</v>
      </c>
      <c r="G264" s="13" t="s">
        <v>188</v>
      </c>
      <c r="H264" s="13" t="s">
        <v>188</v>
      </c>
      <c r="I264" s="13" t="s">
        <v>190</v>
      </c>
      <c r="J264" s="13" t="s">
        <v>1721</v>
      </c>
      <c r="K264" s="13" t="s">
        <v>918</v>
      </c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12">
        <v>60.0</v>
      </c>
      <c r="B265" s="24" t="s">
        <v>594</v>
      </c>
      <c r="C265" s="25" t="s">
        <v>1717</v>
      </c>
      <c r="D265" s="24" t="s">
        <v>1733</v>
      </c>
      <c r="E265" s="13" t="s">
        <v>283</v>
      </c>
      <c r="F265" s="13" t="s">
        <v>1735</v>
      </c>
      <c r="G265" s="13" t="s">
        <v>188</v>
      </c>
      <c r="H265" s="13" t="s">
        <v>188</v>
      </c>
      <c r="I265" s="13" t="s">
        <v>190</v>
      </c>
      <c r="J265" s="13" t="s">
        <v>1726</v>
      </c>
      <c r="K265" s="13" t="s">
        <v>918</v>
      </c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12">
        <v>61.0</v>
      </c>
      <c r="B266" s="24" t="s">
        <v>595</v>
      </c>
      <c r="C266" s="25" t="s">
        <v>1717</v>
      </c>
      <c r="D266" s="24" t="s">
        <v>1736</v>
      </c>
      <c r="E266" s="13" t="s">
        <v>184</v>
      </c>
      <c r="F266" s="13" t="s">
        <v>1738</v>
      </c>
      <c r="G266" s="13" t="s">
        <v>188</v>
      </c>
      <c r="H266" s="13" t="s">
        <v>188</v>
      </c>
      <c r="I266" s="13" t="s">
        <v>190</v>
      </c>
      <c r="J266" s="13" t="s">
        <v>1739</v>
      </c>
      <c r="K266" s="13" t="s">
        <v>918</v>
      </c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12">
        <v>61.0</v>
      </c>
      <c r="B267" s="24" t="s">
        <v>595</v>
      </c>
      <c r="C267" s="25" t="s">
        <v>1717</v>
      </c>
      <c r="D267" s="24" t="s">
        <v>1740</v>
      </c>
      <c r="E267" s="13" t="s">
        <v>184</v>
      </c>
      <c r="F267" s="13" t="s">
        <v>1741</v>
      </c>
      <c r="G267" s="13" t="s">
        <v>188</v>
      </c>
      <c r="H267" s="13" t="s">
        <v>188</v>
      </c>
      <c r="I267" s="13" t="s">
        <v>190</v>
      </c>
      <c r="J267" s="13" t="s">
        <v>1742</v>
      </c>
      <c r="K267" s="13" t="s">
        <v>918</v>
      </c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12">
        <v>61.0</v>
      </c>
      <c r="B268" s="24" t="s">
        <v>595</v>
      </c>
      <c r="C268" s="25" t="s">
        <v>1717</v>
      </c>
      <c r="D268" s="24" t="s">
        <v>1744</v>
      </c>
      <c r="E268" s="13" t="s">
        <v>184</v>
      </c>
      <c r="F268" s="13" t="s">
        <v>1745</v>
      </c>
      <c r="G268" s="13" t="s">
        <v>188</v>
      </c>
      <c r="H268" s="13" t="s">
        <v>188</v>
      </c>
      <c r="I268" s="13" t="s">
        <v>190</v>
      </c>
      <c r="J268" s="13" t="s">
        <v>1739</v>
      </c>
      <c r="K268" s="13" t="s">
        <v>918</v>
      </c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12">
        <v>61.0</v>
      </c>
      <c r="B269" s="24" t="s">
        <v>595</v>
      </c>
      <c r="C269" s="25" t="s">
        <v>1717</v>
      </c>
      <c r="D269" s="24" t="s">
        <v>1746</v>
      </c>
      <c r="E269" s="13" t="s">
        <v>283</v>
      </c>
      <c r="F269" s="13" t="s">
        <v>1747</v>
      </c>
      <c r="G269" s="13" t="s">
        <v>188</v>
      </c>
      <c r="H269" s="13" t="s">
        <v>188</v>
      </c>
      <c r="I269" s="13" t="s">
        <v>190</v>
      </c>
      <c r="J269" s="13" t="s">
        <v>1742</v>
      </c>
      <c r="K269" s="13" t="s">
        <v>918</v>
      </c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12">
        <v>61.0</v>
      </c>
      <c r="B270" s="24" t="s">
        <v>595</v>
      </c>
      <c r="C270" s="25" t="s">
        <v>1717</v>
      </c>
      <c r="D270" s="24" t="s">
        <v>1748</v>
      </c>
      <c r="E270" s="13" t="s">
        <v>283</v>
      </c>
      <c r="F270" s="13" t="s">
        <v>1750</v>
      </c>
      <c r="G270" s="13" t="s">
        <v>188</v>
      </c>
      <c r="H270" s="13" t="s">
        <v>188</v>
      </c>
      <c r="I270" s="13" t="s">
        <v>190</v>
      </c>
      <c r="J270" s="13" t="s">
        <v>1739</v>
      </c>
      <c r="K270" s="13" t="s">
        <v>918</v>
      </c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12">
        <v>62.0</v>
      </c>
      <c r="B271" s="24" t="s">
        <v>596</v>
      </c>
      <c r="C271" s="25" t="s">
        <v>1717</v>
      </c>
      <c r="D271" s="24" t="s">
        <v>1751</v>
      </c>
      <c r="E271" s="13" t="s">
        <v>184</v>
      </c>
      <c r="F271" s="13" t="s">
        <v>1752</v>
      </c>
      <c r="G271" s="13" t="s">
        <v>188</v>
      </c>
      <c r="H271" s="13" t="s">
        <v>188</v>
      </c>
      <c r="I271" s="13" t="s">
        <v>190</v>
      </c>
      <c r="J271" s="13" t="s">
        <v>1753</v>
      </c>
      <c r="K271" s="13" t="s">
        <v>918</v>
      </c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12">
        <v>62.0</v>
      </c>
      <c r="B272" s="24" t="s">
        <v>596</v>
      </c>
      <c r="C272" s="25" t="s">
        <v>1717</v>
      </c>
      <c r="D272" s="24" t="s">
        <v>1754</v>
      </c>
      <c r="E272" s="13" t="s">
        <v>184</v>
      </c>
      <c r="F272" s="13" t="s">
        <v>1756</v>
      </c>
      <c r="G272" s="13" t="s">
        <v>188</v>
      </c>
      <c r="H272" s="13" t="s">
        <v>188</v>
      </c>
      <c r="I272" s="13" t="s">
        <v>190</v>
      </c>
      <c r="J272" s="13" t="s">
        <v>1757</v>
      </c>
      <c r="K272" s="13" t="s">
        <v>918</v>
      </c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12">
        <v>62.0</v>
      </c>
      <c r="B273" s="24" t="s">
        <v>596</v>
      </c>
      <c r="C273" s="25" t="s">
        <v>1717</v>
      </c>
      <c r="D273" s="24" t="s">
        <v>511</v>
      </c>
      <c r="E273" s="13" t="s">
        <v>184</v>
      </c>
      <c r="F273" s="13" t="s">
        <v>1758</v>
      </c>
      <c r="G273" s="13" t="s">
        <v>188</v>
      </c>
      <c r="H273" s="13" t="s">
        <v>188</v>
      </c>
      <c r="I273" s="13" t="s">
        <v>190</v>
      </c>
      <c r="J273" s="13" t="s">
        <v>1753</v>
      </c>
      <c r="K273" s="13" t="s">
        <v>918</v>
      </c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12">
        <v>62.0</v>
      </c>
      <c r="B274" s="24" t="s">
        <v>596</v>
      </c>
      <c r="C274" s="25" t="s">
        <v>1717</v>
      </c>
      <c r="D274" s="24" t="s">
        <v>1759</v>
      </c>
      <c r="E274" s="13" t="s">
        <v>283</v>
      </c>
      <c r="F274" s="13" t="s">
        <v>1761</v>
      </c>
      <c r="G274" s="13" t="s">
        <v>188</v>
      </c>
      <c r="H274" s="13" t="s">
        <v>188</v>
      </c>
      <c r="I274" s="13" t="s">
        <v>190</v>
      </c>
      <c r="J274" s="13" t="s">
        <v>1757</v>
      </c>
      <c r="K274" s="13" t="s">
        <v>961</v>
      </c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12">
        <v>62.0</v>
      </c>
      <c r="B275" s="24" t="s">
        <v>596</v>
      </c>
      <c r="C275" s="25" t="s">
        <v>1717</v>
      </c>
      <c r="D275" s="24" t="s">
        <v>1762</v>
      </c>
      <c r="E275" s="13" t="s">
        <v>283</v>
      </c>
      <c r="F275" s="13" t="s">
        <v>1763</v>
      </c>
      <c r="G275" s="13" t="s">
        <v>188</v>
      </c>
      <c r="H275" s="13" t="s">
        <v>188</v>
      </c>
      <c r="I275" s="13" t="s">
        <v>190</v>
      </c>
      <c r="J275" s="13" t="s">
        <v>1753</v>
      </c>
      <c r="K275" s="13" t="s">
        <v>961</v>
      </c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12">
        <v>63.0</v>
      </c>
      <c r="B276" s="24" t="s">
        <v>598</v>
      </c>
      <c r="C276" s="25" t="s">
        <v>1717</v>
      </c>
      <c r="D276" s="24" t="s">
        <v>1765</v>
      </c>
      <c r="E276" s="13" t="s">
        <v>184</v>
      </c>
      <c r="F276" s="13" t="s">
        <v>1766</v>
      </c>
      <c r="G276" s="13" t="s">
        <v>188</v>
      </c>
      <c r="H276" s="13" t="s">
        <v>188</v>
      </c>
      <c r="I276" s="13" t="s">
        <v>190</v>
      </c>
      <c r="J276" s="13" t="s">
        <v>1767</v>
      </c>
      <c r="K276" s="13" t="s">
        <v>918</v>
      </c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12">
        <v>63.0</v>
      </c>
      <c r="B277" s="24" t="s">
        <v>598</v>
      </c>
      <c r="C277" s="25" t="s">
        <v>1717</v>
      </c>
      <c r="D277" s="24" t="s">
        <v>1768</v>
      </c>
      <c r="E277" s="13" t="s">
        <v>184</v>
      </c>
      <c r="F277" s="13" t="s">
        <v>1769</v>
      </c>
      <c r="G277" s="13" t="s">
        <v>188</v>
      </c>
      <c r="H277" s="13" t="s">
        <v>188</v>
      </c>
      <c r="I277" s="13" t="s">
        <v>190</v>
      </c>
      <c r="J277" s="13" t="s">
        <v>1770</v>
      </c>
      <c r="K277" s="13" t="s">
        <v>918</v>
      </c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12">
        <v>63.0</v>
      </c>
      <c r="B278" s="24" t="s">
        <v>598</v>
      </c>
      <c r="C278" s="25" t="s">
        <v>1717</v>
      </c>
      <c r="D278" s="24" t="s">
        <v>1759</v>
      </c>
      <c r="E278" s="13" t="s">
        <v>184</v>
      </c>
      <c r="F278" s="13" t="s">
        <v>1771</v>
      </c>
      <c r="G278" s="13" t="s">
        <v>188</v>
      </c>
      <c r="H278" s="13" t="s">
        <v>188</v>
      </c>
      <c r="I278" s="13" t="s">
        <v>190</v>
      </c>
      <c r="J278" s="13" t="s">
        <v>1767</v>
      </c>
      <c r="K278" s="13" t="s">
        <v>961</v>
      </c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12">
        <v>63.0</v>
      </c>
      <c r="B279" s="24" t="s">
        <v>598</v>
      </c>
      <c r="C279" s="25" t="s">
        <v>1717</v>
      </c>
      <c r="D279" s="24" t="s">
        <v>1762</v>
      </c>
      <c r="E279" s="13" t="s">
        <v>184</v>
      </c>
      <c r="F279" s="13" t="s">
        <v>1772</v>
      </c>
      <c r="G279" s="13" t="s">
        <v>188</v>
      </c>
      <c r="H279" s="13" t="s">
        <v>188</v>
      </c>
      <c r="I279" s="13" t="s">
        <v>190</v>
      </c>
      <c r="J279" s="13" t="s">
        <v>1770</v>
      </c>
      <c r="K279" s="13" t="s">
        <v>961</v>
      </c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12">
        <v>63.0</v>
      </c>
      <c r="B280" s="24" t="s">
        <v>598</v>
      </c>
      <c r="C280" s="25" t="s">
        <v>1717</v>
      </c>
      <c r="D280" s="24" t="s">
        <v>1773</v>
      </c>
      <c r="E280" s="13" t="s">
        <v>283</v>
      </c>
      <c r="F280" s="13" t="s">
        <v>1774</v>
      </c>
      <c r="G280" s="13" t="s">
        <v>188</v>
      </c>
      <c r="H280" s="13" t="s">
        <v>188</v>
      </c>
      <c r="I280" s="13" t="s">
        <v>190</v>
      </c>
      <c r="J280" s="13" t="s">
        <v>1767</v>
      </c>
      <c r="K280" s="13" t="s">
        <v>961</v>
      </c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12">
        <v>64.0</v>
      </c>
      <c r="B281" s="24" t="s">
        <v>600</v>
      </c>
      <c r="C281" s="25" t="s">
        <v>1717</v>
      </c>
      <c r="D281" s="24" t="s">
        <v>1777</v>
      </c>
      <c r="E281" s="13" t="s">
        <v>184</v>
      </c>
      <c r="F281" s="13" t="s">
        <v>1780</v>
      </c>
      <c r="G281" s="13" t="s">
        <v>188</v>
      </c>
      <c r="H281" s="13" t="s">
        <v>188</v>
      </c>
      <c r="I281" s="13" t="s">
        <v>190</v>
      </c>
      <c r="J281" s="13" t="s">
        <v>1781</v>
      </c>
      <c r="K281" s="13" t="s">
        <v>918</v>
      </c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12">
        <v>64.0</v>
      </c>
      <c r="B282" s="24" t="s">
        <v>600</v>
      </c>
      <c r="C282" s="25" t="s">
        <v>1717</v>
      </c>
      <c r="D282" s="24" t="s">
        <v>1782</v>
      </c>
      <c r="E282" s="13" t="s">
        <v>184</v>
      </c>
      <c r="F282" s="13" t="s">
        <v>1785</v>
      </c>
      <c r="G282" s="13" t="s">
        <v>188</v>
      </c>
      <c r="H282" s="13" t="s">
        <v>188</v>
      </c>
      <c r="I282" s="13" t="s">
        <v>190</v>
      </c>
      <c r="J282" s="13" t="s">
        <v>1786</v>
      </c>
      <c r="K282" s="13" t="s">
        <v>918</v>
      </c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12">
        <v>64.0</v>
      </c>
      <c r="B283" s="24" t="s">
        <v>600</v>
      </c>
      <c r="C283" s="25" t="s">
        <v>1717</v>
      </c>
      <c r="D283" s="24" t="s">
        <v>1123</v>
      </c>
      <c r="E283" s="13" t="s">
        <v>184</v>
      </c>
      <c r="F283" s="13" t="s">
        <v>1789</v>
      </c>
      <c r="G283" s="13" t="s">
        <v>188</v>
      </c>
      <c r="H283" s="13" t="s">
        <v>188</v>
      </c>
      <c r="I283" s="13" t="s">
        <v>190</v>
      </c>
      <c r="J283" s="13" t="s">
        <v>1781</v>
      </c>
      <c r="K283" s="13" t="s">
        <v>918</v>
      </c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12">
        <v>64.0</v>
      </c>
      <c r="B284" s="24" t="s">
        <v>600</v>
      </c>
      <c r="C284" s="25" t="s">
        <v>1717</v>
      </c>
      <c r="D284" s="24" t="s">
        <v>1710</v>
      </c>
      <c r="E284" s="13" t="s">
        <v>184</v>
      </c>
      <c r="F284" s="13" t="s">
        <v>1792</v>
      </c>
      <c r="G284" s="13" t="s">
        <v>188</v>
      </c>
      <c r="H284" s="13" t="s">
        <v>188</v>
      </c>
      <c r="I284" s="13" t="s">
        <v>190</v>
      </c>
      <c r="J284" s="13" t="s">
        <v>1786</v>
      </c>
      <c r="K284" s="13" t="s">
        <v>918</v>
      </c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12">
        <v>64.0</v>
      </c>
      <c r="B285" s="24" t="s">
        <v>600</v>
      </c>
      <c r="C285" s="25" t="s">
        <v>1717</v>
      </c>
      <c r="D285" s="24" t="s">
        <v>1795</v>
      </c>
      <c r="E285" s="13" t="s">
        <v>184</v>
      </c>
      <c r="F285" s="13" t="s">
        <v>1796</v>
      </c>
      <c r="G285" s="13" t="s">
        <v>188</v>
      </c>
      <c r="H285" s="13" t="s">
        <v>188</v>
      </c>
      <c r="I285" s="13" t="s">
        <v>190</v>
      </c>
      <c r="J285" s="13" t="s">
        <v>1781</v>
      </c>
      <c r="K285" s="13" t="s">
        <v>918</v>
      </c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12">
        <v>65.0</v>
      </c>
      <c r="B286" s="24" t="s">
        <v>601</v>
      </c>
      <c r="C286" s="25" t="s">
        <v>1717</v>
      </c>
      <c r="D286" s="24" t="s">
        <v>1797</v>
      </c>
      <c r="E286" s="13" t="s">
        <v>184</v>
      </c>
      <c r="F286" s="13" t="s">
        <v>1798</v>
      </c>
      <c r="G286" s="13" t="s">
        <v>188</v>
      </c>
      <c r="H286" s="13" t="s">
        <v>188</v>
      </c>
      <c r="I286" s="13" t="s">
        <v>190</v>
      </c>
      <c r="J286" s="13" t="s">
        <v>1799</v>
      </c>
      <c r="K286" s="13" t="s">
        <v>918</v>
      </c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12">
        <v>65.0</v>
      </c>
      <c r="B287" s="24" t="s">
        <v>601</v>
      </c>
      <c r="C287" s="25" t="s">
        <v>1717</v>
      </c>
      <c r="D287" s="24" t="s">
        <v>1800</v>
      </c>
      <c r="E287" s="13" t="s">
        <v>184</v>
      </c>
      <c r="F287" s="13" t="s">
        <v>1802</v>
      </c>
      <c r="G287" s="13" t="s">
        <v>188</v>
      </c>
      <c r="H287" s="13" t="s">
        <v>188</v>
      </c>
      <c r="I287" s="13" t="s">
        <v>190</v>
      </c>
      <c r="J287" s="13" t="s">
        <v>1803</v>
      </c>
      <c r="K287" s="13" t="s">
        <v>918</v>
      </c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12">
        <v>65.0</v>
      </c>
      <c r="B288" s="24" t="s">
        <v>601</v>
      </c>
      <c r="C288" s="25" t="s">
        <v>1717</v>
      </c>
      <c r="D288" s="24" t="s">
        <v>1804</v>
      </c>
      <c r="E288" s="13" t="s">
        <v>184</v>
      </c>
      <c r="F288" s="13" t="s">
        <v>1805</v>
      </c>
      <c r="G288" s="13" t="s">
        <v>188</v>
      </c>
      <c r="H288" s="13" t="s">
        <v>188</v>
      </c>
      <c r="I288" s="13" t="s">
        <v>190</v>
      </c>
      <c r="J288" s="13" t="s">
        <v>1799</v>
      </c>
      <c r="K288" s="13" t="s">
        <v>918</v>
      </c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12">
        <v>65.0</v>
      </c>
      <c r="B289" s="24" t="s">
        <v>601</v>
      </c>
      <c r="C289" s="25" t="s">
        <v>1717</v>
      </c>
      <c r="D289" s="24" t="s">
        <v>1806</v>
      </c>
      <c r="E289" s="13" t="s">
        <v>184</v>
      </c>
      <c r="F289" s="13" t="s">
        <v>1807</v>
      </c>
      <c r="G289" s="13" t="s">
        <v>188</v>
      </c>
      <c r="H289" s="13" t="s">
        <v>188</v>
      </c>
      <c r="I289" s="13" t="s">
        <v>190</v>
      </c>
      <c r="J289" s="13" t="s">
        <v>1803</v>
      </c>
      <c r="K289" s="13" t="s">
        <v>918</v>
      </c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12">
        <v>65.0</v>
      </c>
      <c r="B290" s="24" t="s">
        <v>601</v>
      </c>
      <c r="C290" s="25" t="s">
        <v>1717</v>
      </c>
      <c r="D290" s="24" t="s">
        <v>1808</v>
      </c>
      <c r="E290" s="13" t="s">
        <v>184</v>
      </c>
      <c r="F290" s="13" t="s">
        <v>1809</v>
      </c>
      <c r="G290" s="13" t="s">
        <v>188</v>
      </c>
      <c r="H290" s="13" t="s">
        <v>188</v>
      </c>
      <c r="I290" s="13" t="s">
        <v>190</v>
      </c>
      <c r="J290" s="13" t="s">
        <v>1799</v>
      </c>
      <c r="K290" s="13" t="s">
        <v>918</v>
      </c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12">
        <v>66.0</v>
      </c>
      <c r="B291" s="24" t="s">
        <v>602</v>
      </c>
      <c r="C291" s="25" t="s">
        <v>1812</v>
      </c>
      <c r="D291" s="24" t="s">
        <v>460</v>
      </c>
      <c r="E291" s="13" t="s">
        <v>184</v>
      </c>
      <c r="F291" s="13" t="s">
        <v>1815</v>
      </c>
      <c r="G291" s="13" t="s">
        <v>188</v>
      </c>
      <c r="H291" s="13" t="s">
        <v>188</v>
      </c>
      <c r="I291" s="13" t="s">
        <v>190</v>
      </c>
      <c r="J291" s="13" t="s">
        <v>1816</v>
      </c>
      <c r="K291" s="13" t="s">
        <v>918</v>
      </c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12">
        <v>66.0</v>
      </c>
      <c r="B292" s="24" t="s">
        <v>602</v>
      </c>
      <c r="C292" s="25" t="s">
        <v>1812</v>
      </c>
      <c r="D292" s="24" t="s">
        <v>505</v>
      </c>
      <c r="E292" s="13" t="s">
        <v>184</v>
      </c>
      <c r="F292" s="13" t="s">
        <v>1819</v>
      </c>
      <c r="G292" s="13" t="s">
        <v>188</v>
      </c>
      <c r="H292" s="13" t="s">
        <v>188</v>
      </c>
      <c r="I292" s="13" t="s">
        <v>190</v>
      </c>
      <c r="J292" s="13" t="s">
        <v>1820</v>
      </c>
      <c r="K292" s="13" t="s">
        <v>918</v>
      </c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12">
        <v>66.0</v>
      </c>
      <c r="B293" s="24" t="s">
        <v>602</v>
      </c>
      <c r="C293" s="25" t="s">
        <v>1812</v>
      </c>
      <c r="D293" s="24" t="s">
        <v>445</v>
      </c>
      <c r="E293" s="13" t="s">
        <v>184</v>
      </c>
      <c r="F293" s="13" t="s">
        <v>1821</v>
      </c>
      <c r="G293" s="13" t="s">
        <v>188</v>
      </c>
      <c r="H293" s="13" t="s">
        <v>188</v>
      </c>
      <c r="I293" s="13" t="s">
        <v>190</v>
      </c>
      <c r="J293" s="13" t="s">
        <v>1822</v>
      </c>
      <c r="K293" s="13" t="s">
        <v>918</v>
      </c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12">
        <v>66.0</v>
      </c>
      <c r="B294" s="24" t="s">
        <v>602</v>
      </c>
      <c r="C294" s="25" t="s">
        <v>1812</v>
      </c>
      <c r="D294" s="24" t="s">
        <v>519</v>
      </c>
      <c r="E294" s="13" t="s">
        <v>283</v>
      </c>
      <c r="F294" s="13" t="s">
        <v>1823</v>
      </c>
      <c r="G294" s="13" t="s">
        <v>188</v>
      </c>
      <c r="H294" s="13" t="s">
        <v>188</v>
      </c>
      <c r="I294" s="13" t="s">
        <v>190</v>
      </c>
      <c r="J294" s="13" t="s">
        <v>1816</v>
      </c>
      <c r="K294" s="13" t="s">
        <v>961</v>
      </c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12">
        <v>66.0</v>
      </c>
      <c r="B295" s="24" t="s">
        <v>602</v>
      </c>
      <c r="C295" s="25" t="s">
        <v>1812</v>
      </c>
      <c r="D295" s="24" t="s">
        <v>1825</v>
      </c>
      <c r="E295" s="13" t="s">
        <v>283</v>
      </c>
      <c r="F295" s="13" t="s">
        <v>1826</v>
      </c>
      <c r="G295" s="13" t="s">
        <v>188</v>
      </c>
      <c r="H295" s="13" t="s">
        <v>188</v>
      </c>
      <c r="I295" s="13" t="s">
        <v>190</v>
      </c>
      <c r="J295" s="13" t="s">
        <v>1820</v>
      </c>
      <c r="K295" s="13" t="s">
        <v>918</v>
      </c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12">
        <v>67.0</v>
      </c>
      <c r="B296" s="24" t="s">
        <v>605</v>
      </c>
      <c r="C296" s="25" t="s">
        <v>1812</v>
      </c>
      <c r="D296" s="24" t="s">
        <v>1828</v>
      </c>
      <c r="E296" s="13" t="s">
        <v>184</v>
      </c>
      <c r="F296" s="13" t="s">
        <v>1829</v>
      </c>
      <c r="G296" s="13" t="s">
        <v>188</v>
      </c>
      <c r="H296" s="13" t="s">
        <v>188</v>
      </c>
      <c r="I296" s="13" t="s">
        <v>190</v>
      </c>
      <c r="J296" s="13" t="s">
        <v>1830</v>
      </c>
      <c r="K296" s="13" t="s">
        <v>918</v>
      </c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12">
        <v>67.0</v>
      </c>
      <c r="B297" s="24" t="s">
        <v>605</v>
      </c>
      <c r="C297" s="25" t="s">
        <v>1812</v>
      </c>
      <c r="D297" s="24" t="s">
        <v>752</v>
      </c>
      <c r="E297" s="13" t="s">
        <v>184</v>
      </c>
      <c r="F297" s="13" t="s">
        <v>1831</v>
      </c>
      <c r="G297" s="13" t="s">
        <v>188</v>
      </c>
      <c r="H297" s="13" t="s">
        <v>188</v>
      </c>
      <c r="I297" s="13" t="s">
        <v>190</v>
      </c>
      <c r="J297" s="13" t="s">
        <v>1832</v>
      </c>
      <c r="K297" s="13" t="s">
        <v>918</v>
      </c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12">
        <v>67.0</v>
      </c>
      <c r="B298" s="24" t="s">
        <v>605</v>
      </c>
      <c r="C298" s="25" t="s">
        <v>1812</v>
      </c>
      <c r="D298" s="24" t="s">
        <v>1833</v>
      </c>
      <c r="E298" s="13" t="s">
        <v>283</v>
      </c>
      <c r="F298" s="13" t="s">
        <v>1834</v>
      </c>
      <c r="G298" s="13" t="s">
        <v>188</v>
      </c>
      <c r="H298" s="13" t="s">
        <v>188</v>
      </c>
      <c r="I298" s="13" t="s">
        <v>190</v>
      </c>
      <c r="J298" s="13" t="s">
        <v>1830</v>
      </c>
      <c r="K298" s="13" t="s">
        <v>918</v>
      </c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12">
        <v>67.0</v>
      </c>
      <c r="B299" s="24" t="s">
        <v>605</v>
      </c>
      <c r="C299" s="25" t="s">
        <v>1812</v>
      </c>
      <c r="D299" s="24" t="s">
        <v>1773</v>
      </c>
      <c r="E299" s="13" t="s">
        <v>283</v>
      </c>
      <c r="F299" s="13" t="s">
        <v>1835</v>
      </c>
      <c r="G299" s="13" t="s">
        <v>188</v>
      </c>
      <c r="H299" s="13" t="s">
        <v>188</v>
      </c>
      <c r="I299" s="13" t="s">
        <v>190</v>
      </c>
      <c r="J299" s="13" t="s">
        <v>1832</v>
      </c>
      <c r="K299" s="13" t="s">
        <v>961</v>
      </c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12">
        <v>67.0</v>
      </c>
      <c r="B300" s="24" t="s">
        <v>605</v>
      </c>
      <c r="C300" s="25" t="s">
        <v>1812</v>
      </c>
      <c r="D300" s="24" t="s">
        <v>1837</v>
      </c>
      <c r="E300" s="13" t="s">
        <v>283</v>
      </c>
      <c r="F300" s="13" t="s">
        <v>1839</v>
      </c>
      <c r="G300" s="13" t="s">
        <v>188</v>
      </c>
      <c r="H300" s="13" t="s">
        <v>188</v>
      </c>
      <c r="I300" s="13" t="s">
        <v>190</v>
      </c>
      <c r="J300" s="13" t="s">
        <v>1830</v>
      </c>
      <c r="K300" s="13" t="s">
        <v>918</v>
      </c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12">
        <v>68.0</v>
      </c>
      <c r="B301" s="24" t="s">
        <v>607</v>
      </c>
      <c r="C301" s="25" t="s">
        <v>1842</v>
      </c>
      <c r="D301" s="24" t="s">
        <v>1151</v>
      </c>
      <c r="E301" s="13" t="s">
        <v>184</v>
      </c>
      <c r="F301" s="13" t="s">
        <v>1844</v>
      </c>
      <c r="G301" s="13" t="s">
        <v>188</v>
      </c>
      <c r="H301" s="13" t="s">
        <v>188</v>
      </c>
      <c r="I301" s="13" t="s">
        <v>190</v>
      </c>
      <c r="J301" s="13" t="s">
        <v>804</v>
      </c>
      <c r="K301" s="13" t="s">
        <v>1845</v>
      </c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12">
        <v>68.0</v>
      </c>
      <c r="B302" s="24" t="s">
        <v>607</v>
      </c>
      <c r="C302" s="25" t="s">
        <v>1842</v>
      </c>
      <c r="D302" s="24" t="s">
        <v>1846</v>
      </c>
      <c r="E302" s="13" t="s">
        <v>184</v>
      </c>
      <c r="F302" s="13" t="s">
        <v>1848</v>
      </c>
      <c r="G302" s="13" t="s">
        <v>188</v>
      </c>
      <c r="H302" s="13" t="s">
        <v>188</v>
      </c>
      <c r="I302" s="13" t="s">
        <v>190</v>
      </c>
      <c r="J302" s="13" t="s">
        <v>1849</v>
      </c>
      <c r="K302" s="13" t="s">
        <v>918</v>
      </c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12">
        <v>68.0</v>
      </c>
      <c r="B303" s="24" t="s">
        <v>607</v>
      </c>
      <c r="C303" s="25" t="s">
        <v>1842</v>
      </c>
      <c r="D303" s="24" t="s">
        <v>466</v>
      </c>
      <c r="E303" s="13" t="s">
        <v>184</v>
      </c>
      <c r="F303" s="13" t="s">
        <v>1852</v>
      </c>
      <c r="G303" s="13" t="s">
        <v>188</v>
      </c>
      <c r="H303" s="13" t="s">
        <v>188</v>
      </c>
      <c r="I303" s="13" t="s">
        <v>190</v>
      </c>
      <c r="J303" s="13" t="s">
        <v>1853</v>
      </c>
      <c r="K303" s="13" t="s">
        <v>918</v>
      </c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12">
        <v>68.0</v>
      </c>
      <c r="B304" s="24" t="s">
        <v>607</v>
      </c>
      <c r="C304" s="25" t="s">
        <v>1842</v>
      </c>
      <c r="D304" s="24" t="s">
        <v>1854</v>
      </c>
      <c r="E304" s="13" t="s">
        <v>184</v>
      </c>
      <c r="F304" s="13" t="s">
        <v>1855</v>
      </c>
      <c r="G304" s="13" t="s">
        <v>188</v>
      </c>
      <c r="H304" s="13" t="s">
        <v>188</v>
      </c>
      <c r="I304" s="13" t="s">
        <v>190</v>
      </c>
      <c r="J304" s="13" t="s">
        <v>804</v>
      </c>
      <c r="K304" s="13" t="s">
        <v>918</v>
      </c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12">
        <v>68.0</v>
      </c>
      <c r="B305" s="24" t="s">
        <v>607</v>
      </c>
      <c r="C305" s="25" t="s">
        <v>1842</v>
      </c>
      <c r="D305" s="24" t="s">
        <v>1857</v>
      </c>
      <c r="E305" s="13" t="s">
        <v>283</v>
      </c>
      <c r="F305" s="13" t="s">
        <v>1859</v>
      </c>
      <c r="G305" s="13" t="s">
        <v>188</v>
      </c>
      <c r="H305" s="13" t="s">
        <v>188</v>
      </c>
      <c r="I305" s="13" t="s">
        <v>190</v>
      </c>
      <c r="J305" s="13" t="s">
        <v>1849</v>
      </c>
      <c r="K305" s="13" t="s">
        <v>918</v>
      </c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12">
        <v>69.0</v>
      </c>
      <c r="B306" s="24" t="s">
        <v>614</v>
      </c>
      <c r="C306" s="25" t="s">
        <v>1842</v>
      </c>
      <c r="D306" s="24" t="s">
        <v>1861</v>
      </c>
      <c r="E306" s="13" t="s">
        <v>184</v>
      </c>
      <c r="F306" s="13" t="s">
        <v>1863</v>
      </c>
      <c r="G306" s="13" t="s">
        <v>188</v>
      </c>
      <c r="H306" s="13" t="s">
        <v>188</v>
      </c>
      <c r="I306" s="13" t="s">
        <v>190</v>
      </c>
      <c r="J306" s="13" t="s">
        <v>820</v>
      </c>
      <c r="K306" s="13" t="s">
        <v>918</v>
      </c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12">
        <v>69.0</v>
      </c>
      <c r="B307" s="24" t="s">
        <v>614</v>
      </c>
      <c r="C307" s="25" t="s">
        <v>1842</v>
      </c>
      <c r="D307" s="24" t="s">
        <v>1356</v>
      </c>
      <c r="E307" s="13" t="s">
        <v>184</v>
      </c>
      <c r="F307" s="13" t="s">
        <v>1866</v>
      </c>
      <c r="G307" s="13" t="s">
        <v>188</v>
      </c>
      <c r="H307" s="13" t="s">
        <v>188</v>
      </c>
      <c r="I307" s="13" t="s">
        <v>190</v>
      </c>
      <c r="J307" s="13" t="s">
        <v>1867</v>
      </c>
      <c r="K307" s="13" t="s">
        <v>918</v>
      </c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12">
        <v>69.0</v>
      </c>
      <c r="B308" s="24" t="s">
        <v>614</v>
      </c>
      <c r="C308" s="25" t="s">
        <v>1842</v>
      </c>
      <c r="D308" s="24" t="s">
        <v>380</v>
      </c>
      <c r="E308" s="13" t="s">
        <v>184</v>
      </c>
      <c r="F308" s="13" t="s">
        <v>1869</v>
      </c>
      <c r="G308" s="13" t="s">
        <v>188</v>
      </c>
      <c r="H308" s="13" t="s">
        <v>188</v>
      </c>
      <c r="I308" s="13" t="s">
        <v>190</v>
      </c>
      <c r="J308" s="13" t="s">
        <v>820</v>
      </c>
      <c r="K308" s="13" t="s">
        <v>961</v>
      </c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12">
        <v>69.0</v>
      </c>
      <c r="B309" s="24" t="s">
        <v>614</v>
      </c>
      <c r="C309" s="25" t="s">
        <v>1842</v>
      </c>
      <c r="D309" s="24" t="s">
        <v>687</v>
      </c>
      <c r="E309" s="13" t="s">
        <v>283</v>
      </c>
      <c r="F309" s="13" t="s">
        <v>1870</v>
      </c>
      <c r="G309" s="13" t="s">
        <v>188</v>
      </c>
      <c r="H309" s="13" t="s">
        <v>188</v>
      </c>
      <c r="I309" s="13" t="s">
        <v>190</v>
      </c>
      <c r="J309" s="13" t="s">
        <v>1867</v>
      </c>
      <c r="K309" s="13" t="s">
        <v>961</v>
      </c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12">
        <v>69.0</v>
      </c>
      <c r="B310" s="24" t="s">
        <v>614</v>
      </c>
      <c r="C310" s="25" t="s">
        <v>1842</v>
      </c>
      <c r="D310" s="24" t="s">
        <v>1872</v>
      </c>
      <c r="E310" s="13" t="s">
        <v>283</v>
      </c>
      <c r="F310" s="13" t="s">
        <v>1873</v>
      </c>
      <c r="G310" s="13" t="s">
        <v>188</v>
      </c>
      <c r="H310" s="13" t="s">
        <v>188</v>
      </c>
      <c r="I310" s="13" t="s">
        <v>190</v>
      </c>
      <c r="J310" s="13" t="s">
        <v>820</v>
      </c>
      <c r="K310" s="13" t="s">
        <v>961</v>
      </c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12">
        <v>70.0</v>
      </c>
      <c r="B311" s="24" t="s">
        <v>621</v>
      </c>
      <c r="C311" s="25" t="s">
        <v>1842</v>
      </c>
      <c r="D311" s="24" t="s">
        <v>1148</v>
      </c>
      <c r="E311" s="13" t="s">
        <v>184</v>
      </c>
      <c r="F311" s="13" t="s">
        <v>1874</v>
      </c>
      <c r="G311" s="13" t="s">
        <v>188</v>
      </c>
      <c r="H311" s="13" t="s">
        <v>188</v>
      </c>
      <c r="I311" s="13" t="s">
        <v>190</v>
      </c>
      <c r="J311" s="13" t="s">
        <v>826</v>
      </c>
      <c r="K311" s="13" t="s">
        <v>918</v>
      </c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12">
        <v>70.0</v>
      </c>
      <c r="B312" s="24" t="s">
        <v>621</v>
      </c>
      <c r="C312" s="25" t="s">
        <v>1842</v>
      </c>
      <c r="D312" s="24" t="s">
        <v>529</v>
      </c>
      <c r="E312" s="13" t="s">
        <v>184</v>
      </c>
      <c r="F312" s="13" t="s">
        <v>1875</v>
      </c>
      <c r="G312" s="13" t="s">
        <v>188</v>
      </c>
      <c r="H312" s="13" t="s">
        <v>188</v>
      </c>
      <c r="I312" s="13" t="s">
        <v>190</v>
      </c>
      <c r="J312" s="13" t="s">
        <v>828</v>
      </c>
      <c r="K312" s="13" t="s">
        <v>918</v>
      </c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12">
        <v>70.0</v>
      </c>
      <c r="B313" s="24" t="s">
        <v>621</v>
      </c>
      <c r="C313" s="25" t="s">
        <v>1842</v>
      </c>
      <c r="D313" s="24" t="s">
        <v>1876</v>
      </c>
      <c r="E313" s="13" t="s">
        <v>184</v>
      </c>
      <c r="F313" s="13" t="s">
        <v>1877</v>
      </c>
      <c r="G313" s="13" t="s">
        <v>188</v>
      </c>
      <c r="H313" s="13" t="s">
        <v>188</v>
      </c>
      <c r="I313" s="13" t="s">
        <v>190</v>
      </c>
      <c r="J313" s="13" t="s">
        <v>826</v>
      </c>
      <c r="K313" s="13" t="s">
        <v>918</v>
      </c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12">
        <v>70.0</v>
      </c>
      <c r="B314" s="24" t="s">
        <v>621</v>
      </c>
      <c r="C314" s="25" t="s">
        <v>1842</v>
      </c>
      <c r="D314" s="24" t="s">
        <v>1878</v>
      </c>
      <c r="E314" s="13" t="s">
        <v>184</v>
      </c>
      <c r="F314" s="13" t="s">
        <v>1879</v>
      </c>
      <c r="G314" s="13" t="s">
        <v>188</v>
      </c>
      <c r="H314" s="13" t="s">
        <v>188</v>
      </c>
      <c r="I314" s="13" t="s">
        <v>190</v>
      </c>
      <c r="J314" s="13" t="s">
        <v>828</v>
      </c>
      <c r="K314" s="13" t="s">
        <v>918</v>
      </c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12">
        <v>70.0</v>
      </c>
      <c r="B315" s="24" t="s">
        <v>621</v>
      </c>
      <c r="C315" s="25" t="s">
        <v>1842</v>
      </c>
      <c r="D315" s="24" t="s">
        <v>1880</v>
      </c>
      <c r="E315" s="13" t="s">
        <v>283</v>
      </c>
      <c r="F315" s="13" t="s">
        <v>1883</v>
      </c>
      <c r="G315" s="13" t="s">
        <v>188</v>
      </c>
      <c r="H315" s="13" t="s">
        <v>188</v>
      </c>
      <c r="I315" s="13" t="s">
        <v>190</v>
      </c>
      <c r="J315" s="13" t="s">
        <v>826</v>
      </c>
      <c r="K315" s="13" t="s">
        <v>918</v>
      </c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12">
        <v>71.0</v>
      </c>
      <c r="B316" s="24" t="s">
        <v>627</v>
      </c>
      <c r="C316" s="25" t="s">
        <v>1842</v>
      </c>
      <c r="D316" s="24" t="s">
        <v>1500</v>
      </c>
      <c r="E316" s="13" t="s">
        <v>184</v>
      </c>
      <c r="F316" s="13" t="s">
        <v>1887</v>
      </c>
      <c r="G316" s="13" t="s">
        <v>188</v>
      </c>
      <c r="H316" s="13" t="s">
        <v>188</v>
      </c>
      <c r="I316" s="13" t="s">
        <v>190</v>
      </c>
      <c r="J316" s="13" t="s">
        <v>1888</v>
      </c>
      <c r="K316" s="13" t="s">
        <v>918</v>
      </c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12">
        <v>71.0</v>
      </c>
      <c r="B317" s="24" t="s">
        <v>627</v>
      </c>
      <c r="C317" s="25" t="s">
        <v>1842</v>
      </c>
      <c r="D317" s="24" t="s">
        <v>1890</v>
      </c>
      <c r="E317" s="13" t="s">
        <v>184</v>
      </c>
      <c r="F317" s="13" t="s">
        <v>1892</v>
      </c>
      <c r="G317" s="13" t="s">
        <v>188</v>
      </c>
      <c r="H317" s="13" t="s">
        <v>188</v>
      </c>
      <c r="I317" s="13" t="s">
        <v>190</v>
      </c>
      <c r="J317" s="13" t="s">
        <v>1893</v>
      </c>
      <c r="K317" s="13" t="s">
        <v>918</v>
      </c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12">
        <v>71.0</v>
      </c>
      <c r="B318" s="24" t="s">
        <v>627</v>
      </c>
      <c r="C318" s="25" t="s">
        <v>1842</v>
      </c>
      <c r="D318" s="24" t="s">
        <v>1894</v>
      </c>
      <c r="E318" s="13" t="s">
        <v>184</v>
      </c>
      <c r="F318" s="13" t="s">
        <v>1895</v>
      </c>
      <c r="G318" s="13" t="s">
        <v>188</v>
      </c>
      <c r="H318" s="13" t="s">
        <v>188</v>
      </c>
      <c r="I318" s="13" t="s">
        <v>190</v>
      </c>
      <c r="J318" s="13" t="s">
        <v>1888</v>
      </c>
      <c r="K318" s="13" t="s">
        <v>918</v>
      </c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12">
        <v>71.0</v>
      </c>
      <c r="B319" s="24" t="s">
        <v>627</v>
      </c>
      <c r="C319" s="25" t="s">
        <v>1842</v>
      </c>
      <c r="D319" s="24" t="s">
        <v>1377</v>
      </c>
      <c r="E319" s="13" t="s">
        <v>184</v>
      </c>
      <c r="F319" s="13" t="s">
        <v>1896</v>
      </c>
      <c r="G319" s="13" t="s">
        <v>188</v>
      </c>
      <c r="H319" s="13" t="s">
        <v>188</v>
      </c>
      <c r="I319" s="13" t="s">
        <v>190</v>
      </c>
      <c r="J319" s="13" t="s">
        <v>1893</v>
      </c>
      <c r="K319" s="13" t="s">
        <v>961</v>
      </c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12">
        <v>71.0</v>
      </c>
      <c r="B320" s="24" t="s">
        <v>627</v>
      </c>
      <c r="C320" s="25" t="s">
        <v>1842</v>
      </c>
      <c r="D320" s="24" t="s">
        <v>1284</v>
      </c>
      <c r="E320" s="13" t="s">
        <v>283</v>
      </c>
      <c r="F320" s="13" t="s">
        <v>1897</v>
      </c>
      <c r="G320" s="13" t="s">
        <v>188</v>
      </c>
      <c r="H320" s="13" t="s">
        <v>188</v>
      </c>
      <c r="I320" s="13" t="s">
        <v>190</v>
      </c>
      <c r="J320" s="13" t="s">
        <v>1888</v>
      </c>
      <c r="K320" s="13" t="s">
        <v>961</v>
      </c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12">
        <v>72.0</v>
      </c>
      <c r="B321" s="24" t="s">
        <v>418</v>
      </c>
      <c r="C321" s="25" t="s">
        <v>1842</v>
      </c>
      <c r="D321" s="24" t="s">
        <v>1898</v>
      </c>
      <c r="E321" s="13" t="s">
        <v>184</v>
      </c>
      <c r="F321" s="13" t="s">
        <v>1900</v>
      </c>
      <c r="G321" s="13" t="s">
        <v>188</v>
      </c>
      <c r="H321" s="13" t="s">
        <v>188</v>
      </c>
      <c r="I321" s="13" t="s">
        <v>190</v>
      </c>
      <c r="J321" s="13" t="s">
        <v>1901</v>
      </c>
      <c r="K321" s="13" t="s">
        <v>961</v>
      </c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12">
        <v>72.0</v>
      </c>
      <c r="B322" s="24" t="s">
        <v>418</v>
      </c>
      <c r="C322" s="25" t="s">
        <v>1842</v>
      </c>
      <c r="D322" s="24" t="s">
        <v>1903</v>
      </c>
      <c r="E322" s="13" t="s">
        <v>184</v>
      </c>
      <c r="F322" s="13" t="s">
        <v>1906</v>
      </c>
      <c r="G322" s="13" t="s">
        <v>188</v>
      </c>
      <c r="H322" s="13" t="s">
        <v>188</v>
      </c>
      <c r="I322" s="13" t="s">
        <v>190</v>
      </c>
      <c r="J322" s="13" t="s">
        <v>1901</v>
      </c>
      <c r="K322" s="13" t="s">
        <v>918</v>
      </c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12">
        <v>72.0</v>
      </c>
      <c r="B323" s="24" t="s">
        <v>418</v>
      </c>
      <c r="C323" s="25" t="s">
        <v>1842</v>
      </c>
      <c r="D323" s="24" t="s">
        <v>1907</v>
      </c>
      <c r="E323" s="13" t="s">
        <v>184</v>
      </c>
      <c r="F323" s="13" t="s">
        <v>1910</v>
      </c>
      <c r="G323" s="13" t="s">
        <v>188</v>
      </c>
      <c r="H323" s="13" t="s">
        <v>188</v>
      </c>
      <c r="I323" s="13" t="s">
        <v>190</v>
      </c>
      <c r="J323" s="13" t="s">
        <v>1901</v>
      </c>
      <c r="K323" s="13" t="s">
        <v>918</v>
      </c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12">
        <v>72.0</v>
      </c>
      <c r="B324" s="24" t="s">
        <v>418</v>
      </c>
      <c r="C324" s="25" t="s">
        <v>1842</v>
      </c>
      <c r="D324" s="24" t="s">
        <v>395</v>
      </c>
      <c r="E324" s="13" t="s">
        <v>184</v>
      </c>
      <c r="F324" s="13" t="s">
        <v>1912</v>
      </c>
      <c r="G324" s="13" t="s">
        <v>188</v>
      </c>
      <c r="H324" s="13" t="s">
        <v>188</v>
      </c>
      <c r="I324" s="13" t="s">
        <v>190</v>
      </c>
      <c r="J324" s="13" t="s">
        <v>1901</v>
      </c>
      <c r="K324" s="13" t="s">
        <v>918</v>
      </c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12">
        <v>72.0</v>
      </c>
      <c r="B325" s="24" t="s">
        <v>418</v>
      </c>
      <c r="C325" s="25" t="s">
        <v>1842</v>
      </c>
      <c r="D325" s="24" t="s">
        <v>380</v>
      </c>
      <c r="E325" s="13" t="s">
        <v>184</v>
      </c>
      <c r="F325" s="13" t="s">
        <v>1913</v>
      </c>
      <c r="G325" s="13" t="s">
        <v>188</v>
      </c>
      <c r="H325" s="13" t="s">
        <v>188</v>
      </c>
      <c r="I325" s="13" t="s">
        <v>190</v>
      </c>
      <c r="J325" s="13" t="s">
        <v>1901</v>
      </c>
      <c r="K325" s="13" t="s">
        <v>961</v>
      </c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12">
        <v>73.0</v>
      </c>
      <c r="B326" s="24" t="s">
        <v>660</v>
      </c>
      <c r="C326" s="25" t="s">
        <v>1842</v>
      </c>
      <c r="D326" s="24" t="s">
        <v>1281</v>
      </c>
      <c r="E326" s="13" t="s">
        <v>184</v>
      </c>
      <c r="F326" s="13" t="s">
        <v>1914</v>
      </c>
      <c r="G326" s="13" t="s">
        <v>188</v>
      </c>
      <c r="H326" s="13" t="s">
        <v>188</v>
      </c>
      <c r="I326" s="13" t="s">
        <v>190</v>
      </c>
      <c r="J326" s="13" t="s">
        <v>1915</v>
      </c>
      <c r="K326" s="13" t="s">
        <v>961</v>
      </c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12">
        <v>73.0</v>
      </c>
      <c r="B327" s="24" t="s">
        <v>660</v>
      </c>
      <c r="C327" s="25" t="s">
        <v>1842</v>
      </c>
      <c r="D327" s="24" t="s">
        <v>1277</v>
      </c>
      <c r="E327" s="13" t="s">
        <v>184</v>
      </c>
      <c r="F327" s="13" t="s">
        <v>1916</v>
      </c>
      <c r="G327" s="13" t="s">
        <v>188</v>
      </c>
      <c r="H327" s="13" t="s">
        <v>188</v>
      </c>
      <c r="I327" s="13" t="s">
        <v>190</v>
      </c>
      <c r="J327" s="13" t="s">
        <v>1917</v>
      </c>
      <c r="K327" s="13" t="s">
        <v>961</v>
      </c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12">
        <v>73.0</v>
      </c>
      <c r="B328" s="24" t="s">
        <v>660</v>
      </c>
      <c r="C328" s="25" t="s">
        <v>1842</v>
      </c>
      <c r="D328" s="24" t="s">
        <v>1918</v>
      </c>
      <c r="E328" s="13" t="s">
        <v>283</v>
      </c>
      <c r="F328" s="13" t="s">
        <v>1920</v>
      </c>
      <c r="G328" s="13" t="s">
        <v>188</v>
      </c>
      <c r="H328" s="13" t="s">
        <v>188</v>
      </c>
      <c r="I328" s="13" t="s">
        <v>190</v>
      </c>
      <c r="J328" s="13" t="s">
        <v>1915</v>
      </c>
      <c r="K328" s="13" t="s">
        <v>918</v>
      </c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12">
        <v>73.0</v>
      </c>
      <c r="B329" s="24" t="s">
        <v>660</v>
      </c>
      <c r="C329" s="25" t="s">
        <v>1842</v>
      </c>
      <c r="D329" s="24" t="s">
        <v>1391</v>
      </c>
      <c r="E329" s="13" t="s">
        <v>283</v>
      </c>
      <c r="F329" s="13" t="s">
        <v>1922</v>
      </c>
      <c r="G329" s="13" t="s">
        <v>188</v>
      </c>
      <c r="H329" s="13" t="s">
        <v>188</v>
      </c>
      <c r="I329" s="13" t="s">
        <v>190</v>
      </c>
      <c r="J329" s="13" t="s">
        <v>1917</v>
      </c>
      <c r="K329" s="13" t="s">
        <v>936</v>
      </c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12">
        <v>74.0</v>
      </c>
      <c r="B330" s="24" t="s">
        <v>663</v>
      </c>
      <c r="C330" s="25" t="s">
        <v>1842</v>
      </c>
      <c r="D330" s="24" t="s">
        <v>1924</v>
      </c>
      <c r="E330" s="13" t="s">
        <v>184</v>
      </c>
      <c r="F330" s="13" t="s">
        <v>1926</v>
      </c>
      <c r="G330" s="13" t="s">
        <v>188</v>
      </c>
      <c r="H330" s="13" t="s">
        <v>188</v>
      </c>
      <c r="I330" s="13" t="s">
        <v>190</v>
      </c>
      <c r="J330" s="13" t="s">
        <v>1927</v>
      </c>
      <c r="K330" s="13" t="s">
        <v>918</v>
      </c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12">
        <v>74.0</v>
      </c>
      <c r="B331" s="24" t="s">
        <v>663</v>
      </c>
      <c r="C331" s="25" t="s">
        <v>1842</v>
      </c>
      <c r="D331" s="24" t="s">
        <v>1872</v>
      </c>
      <c r="E331" s="13" t="s">
        <v>184</v>
      </c>
      <c r="F331" s="13" t="s">
        <v>1928</v>
      </c>
      <c r="G331" s="13" t="s">
        <v>188</v>
      </c>
      <c r="H331" s="13" t="s">
        <v>188</v>
      </c>
      <c r="I331" s="13" t="s">
        <v>190</v>
      </c>
      <c r="J331" s="13" t="s">
        <v>1927</v>
      </c>
      <c r="K331" s="13" t="s">
        <v>961</v>
      </c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12">
        <v>74.0</v>
      </c>
      <c r="B332" s="24" t="s">
        <v>663</v>
      </c>
      <c r="C332" s="25" t="s">
        <v>1842</v>
      </c>
      <c r="D332" s="24" t="s">
        <v>1391</v>
      </c>
      <c r="E332" s="13" t="s">
        <v>283</v>
      </c>
      <c r="F332" s="13" t="s">
        <v>1930</v>
      </c>
      <c r="G332" s="13" t="s">
        <v>188</v>
      </c>
      <c r="H332" s="13" t="s">
        <v>188</v>
      </c>
      <c r="I332" s="13" t="s">
        <v>190</v>
      </c>
      <c r="J332" s="13" t="s">
        <v>1927</v>
      </c>
      <c r="K332" s="13" t="s">
        <v>936</v>
      </c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12">
        <v>74.0</v>
      </c>
      <c r="B333" s="24" t="s">
        <v>663</v>
      </c>
      <c r="C333" s="25" t="s">
        <v>1842</v>
      </c>
      <c r="D333" s="24" t="s">
        <v>1898</v>
      </c>
      <c r="E333" s="13" t="s">
        <v>283</v>
      </c>
      <c r="F333" s="13" t="s">
        <v>1932</v>
      </c>
      <c r="G333" s="13" t="s">
        <v>188</v>
      </c>
      <c r="H333" s="13" t="s">
        <v>188</v>
      </c>
      <c r="I333" s="13" t="s">
        <v>190</v>
      </c>
      <c r="J333" s="13" t="s">
        <v>1927</v>
      </c>
      <c r="K333" s="13" t="s">
        <v>961</v>
      </c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12">
        <v>75.0</v>
      </c>
      <c r="B334" s="24" t="s">
        <v>669</v>
      </c>
      <c r="C334" s="25" t="s">
        <v>1933</v>
      </c>
      <c r="D334" s="24" t="s">
        <v>1935</v>
      </c>
      <c r="E334" s="13" t="s">
        <v>184</v>
      </c>
      <c r="F334" s="13" t="s">
        <v>1936</v>
      </c>
      <c r="G334" s="13" t="s">
        <v>188</v>
      </c>
      <c r="H334" s="13" t="s">
        <v>188</v>
      </c>
      <c r="I334" s="13" t="s">
        <v>190</v>
      </c>
      <c r="J334" s="13" t="s">
        <v>1938</v>
      </c>
      <c r="K334" s="13" t="s">
        <v>918</v>
      </c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12">
        <v>75.0</v>
      </c>
      <c r="B335" s="24" t="s">
        <v>669</v>
      </c>
      <c r="C335" s="25" t="s">
        <v>1933</v>
      </c>
      <c r="D335" s="24" t="s">
        <v>749</v>
      </c>
      <c r="E335" s="13" t="s">
        <v>184</v>
      </c>
      <c r="F335" s="13" t="s">
        <v>1939</v>
      </c>
      <c r="G335" s="13" t="s">
        <v>188</v>
      </c>
      <c r="H335" s="13" t="s">
        <v>188</v>
      </c>
      <c r="I335" s="13" t="s">
        <v>190</v>
      </c>
      <c r="J335" s="13" t="s">
        <v>1940</v>
      </c>
      <c r="K335" s="13" t="s">
        <v>918</v>
      </c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12">
        <v>75.0</v>
      </c>
      <c r="B336" s="24" t="s">
        <v>669</v>
      </c>
      <c r="C336" s="25" t="s">
        <v>1933</v>
      </c>
      <c r="D336" s="24" t="s">
        <v>1941</v>
      </c>
      <c r="E336" s="13" t="s">
        <v>184</v>
      </c>
      <c r="F336" s="13" t="s">
        <v>1942</v>
      </c>
      <c r="G336" s="13" t="s">
        <v>188</v>
      </c>
      <c r="H336" s="13" t="s">
        <v>188</v>
      </c>
      <c r="I336" s="13" t="s">
        <v>190</v>
      </c>
      <c r="J336" s="13" t="s">
        <v>1943</v>
      </c>
      <c r="K336" s="13" t="s">
        <v>918</v>
      </c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12">
        <v>75.0</v>
      </c>
      <c r="B337" s="24" t="s">
        <v>669</v>
      </c>
      <c r="C337" s="25" t="s">
        <v>1933</v>
      </c>
      <c r="D337" s="24" t="s">
        <v>1944</v>
      </c>
      <c r="E337" s="13" t="s">
        <v>184</v>
      </c>
      <c r="F337" s="13" t="s">
        <v>1945</v>
      </c>
      <c r="G337" s="13" t="s">
        <v>188</v>
      </c>
      <c r="H337" s="13" t="s">
        <v>188</v>
      </c>
      <c r="I337" s="13" t="s">
        <v>190</v>
      </c>
      <c r="J337" s="13" t="s">
        <v>1938</v>
      </c>
      <c r="K337" s="13" t="s">
        <v>918</v>
      </c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12">
        <v>75.0</v>
      </c>
      <c r="B338" s="24" t="s">
        <v>669</v>
      </c>
      <c r="C338" s="25" t="s">
        <v>1933</v>
      </c>
      <c r="D338" s="24" t="s">
        <v>1946</v>
      </c>
      <c r="E338" s="13" t="s">
        <v>184</v>
      </c>
      <c r="F338" s="13" t="s">
        <v>1947</v>
      </c>
      <c r="G338" s="13" t="s">
        <v>188</v>
      </c>
      <c r="H338" s="13" t="s">
        <v>188</v>
      </c>
      <c r="I338" s="13" t="s">
        <v>190</v>
      </c>
      <c r="J338" s="13" t="s">
        <v>1940</v>
      </c>
      <c r="K338" s="13" t="s">
        <v>918</v>
      </c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11"/>
      <c r="B339" s="29"/>
      <c r="C339" s="29"/>
      <c r="D339" s="29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11"/>
      <c r="B340" s="29"/>
      <c r="C340" s="29"/>
      <c r="D340" s="29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11"/>
      <c r="B341" s="29"/>
      <c r="C341" s="29"/>
      <c r="D341" s="29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11"/>
      <c r="B342" s="29"/>
      <c r="C342" s="29"/>
      <c r="D342" s="29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11"/>
      <c r="B343" s="29"/>
      <c r="C343" s="29"/>
      <c r="D343" s="29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11"/>
      <c r="B344" s="29"/>
      <c r="C344" s="29"/>
      <c r="D344" s="29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11"/>
      <c r="B345" s="29"/>
      <c r="C345" s="29"/>
      <c r="D345" s="29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11"/>
      <c r="B346" s="29"/>
      <c r="C346" s="29"/>
      <c r="D346" s="29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11"/>
      <c r="B347" s="29"/>
      <c r="C347" s="29"/>
      <c r="D347" s="29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11"/>
      <c r="B348" s="29"/>
      <c r="C348" s="29"/>
      <c r="D348" s="29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11"/>
      <c r="B349" s="29"/>
      <c r="C349" s="29"/>
      <c r="D349" s="29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11"/>
      <c r="B350" s="29"/>
      <c r="C350" s="29"/>
      <c r="D350" s="29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11"/>
      <c r="B351" s="29"/>
      <c r="C351" s="29"/>
      <c r="D351" s="29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11"/>
      <c r="B352" s="29"/>
      <c r="C352" s="29"/>
      <c r="D352" s="29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11"/>
      <c r="B353" s="29"/>
      <c r="C353" s="29"/>
      <c r="D353" s="29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11"/>
      <c r="B354" s="29"/>
      <c r="C354" s="29"/>
      <c r="D354" s="29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11"/>
      <c r="B355" s="29"/>
      <c r="C355" s="29"/>
      <c r="D355" s="29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11"/>
      <c r="B356" s="29"/>
      <c r="C356" s="29"/>
      <c r="D356" s="29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11"/>
      <c r="B357" s="29"/>
      <c r="C357" s="29"/>
      <c r="D357" s="29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11"/>
      <c r="B358" s="29"/>
      <c r="C358" s="29"/>
      <c r="D358" s="29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11"/>
      <c r="B359" s="29"/>
      <c r="C359" s="29"/>
      <c r="D359" s="29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11"/>
      <c r="B360" s="29"/>
      <c r="C360" s="29"/>
      <c r="D360" s="29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11"/>
      <c r="B361" s="29"/>
      <c r="C361" s="29"/>
      <c r="D361" s="29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11"/>
      <c r="B362" s="29"/>
      <c r="C362" s="29"/>
      <c r="D362" s="29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11"/>
      <c r="B363" s="29"/>
      <c r="C363" s="29"/>
      <c r="D363" s="29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11"/>
      <c r="B364" s="29"/>
      <c r="C364" s="29"/>
      <c r="D364" s="29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11"/>
      <c r="B365" s="29"/>
      <c r="C365" s="29"/>
      <c r="D365" s="29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11"/>
      <c r="B366" s="29"/>
      <c r="C366" s="29"/>
      <c r="D366" s="29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11"/>
      <c r="B367" s="29"/>
      <c r="C367" s="29"/>
      <c r="D367" s="29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11"/>
      <c r="B368" s="29"/>
      <c r="C368" s="29"/>
      <c r="D368" s="29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11"/>
      <c r="B369" s="29"/>
      <c r="C369" s="29"/>
      <c r="D369" s="29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11"/>
      <c r="B370" s="29"/>
      <c r="C370" s="29"/>
      <c r="D370" s="29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11"/>
      <c r="B371" s="29"/>
      <c r="C371" s="29"/>
      <c r="D371" s="29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11"/>
      <c r="B372" s="29"/>
      <c r="C372" s="29"/>
      <c r="D372" s="29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11"/>
      <c r="B373" s="29"/>
      <c r="C373" s="29"/>
      <c r="D373" s="29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11"/>
      <c r="B374" s="29"/>
      <c r="C374" s="29"/>
      <c r="D374" s="29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11"/>
      <c r="B375" s="29"/>
      <c r="C375" s="29"/>
      <c r="D375" s="29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11"/>
      <c r="B376" s="29"/>
      <c r="C376" s="29"/>
      <c r="D376" s="29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11"/>
      <c r="B377" s="29"/>
      <c r="C377" s="29"/>
      <c r="D377" s="29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11"/>
      <c r="B378" s="29"/>
      <c r="C378" s="29"/>
      <c r="D378" s="29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11"/>
      <c r="B379" s="29"/>
      <c r="C379" s="29"/>
      <c r="D379" s="29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11"/>
      <c r="B380" s="29"/>
      <c r="C380" s="29"/>
      <c r="D380" s="29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11"/>
      <c r="B381" s="29"/>
      <c r="C381" s="29"/>
      <c r="D381" s="29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11"/>
      <c r="B382" s="29"/>
      <c r="C382" s="29"/>
      <c r="D382" s="29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11"/>
      <c r="B383" s="29"/>
      <c r="C383" s="29"/>
      <c r="D383" s="29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11"/>
      <c r="B384" s="29"/>
      <c r="C384" s="29"/>
      <c r="D384" s="29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11"/>
      <c r="B385" s="29"/>
      <c r="C385" s="29"/>
      <c r="D385" s="29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11"/>
      <c r="B386" s="29"/>
      <c r="C386" s="29"/>
      <c r="D386" s="29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11"/>
      <c r="B387" s="29"/>
      <c r="C387" s="29"/>
      <c r="D387" s="29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11"/>
      <c r="B388" s="29"/>
      <c r="C388" s="29"/>
      <c r="D388" s="29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11"/>
      <c r="B389" s="29"/>
      <c r="C389" s="29"/>
      <c r="D389" s="29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11"/>
      <c r="B390" s="29"/>
      <c r="C390" s="29"/>
      <c r="D390" s="29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11"/>
      <c r="B391" s="29"/>
      <c r="C391" s="29"/>
      <c r="D391" s="29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11"/>
      <c r="B392" s="29"/>
      <c r="C392" s="29"/>
      <c r="D392" s="29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11"/>
      <c r="B393" s="29"/>
      <c r="C393" s="29"/>
      <c r="D393" s="29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11"/>
      <c r="B394" s="29"/>
      <c r="C394" s="29"/>
      <c r="D394" s="29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11"/>
      <c r="B395" s="29"/>
      <c r="C395" s="29"/>
      <c r="D395" s="29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11"/>
      <c r="B396" s="29"/>
      <c r="C396" s="29"/>
      <c r="D396" s="29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11"/>
      <c r="B397" s="29"/>
      <c r="C397" s="29"/>
      <c r="D397" s="29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11"/>
      <c r="B398" s="29"/>
      <c r="C398" s="29"/>
      <c r="D398" s="29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11"/>
      <c r="B399" s="29"/>
      <c r="C399" s="29"/>
      <c r="D399" s="29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11"/>
      <c r="B400" s="29"/>
      <c r="C400" s="29"/>
      <c r="D400" s="29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11"/>
      <c r="B401" s="29"/>
      <c r="C401" s="29"/>
      <c r="D401" s="29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11"/>
      <c r="B402" s="29"/>
      <c r="C402" s="29"/>
      <c r="D402" s="29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11"/>
      <c r="B403" s="29"/>
      <c r="C403" s="29"/>
      <c r="D403" s="29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11"/>
      <c r="B404" s="29"/>
      <c r="C404" s="29"/>
      <c r="D404" s="29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11"/>
      <c r="B405" s="29"/>
      <c r="C405" s="29"/>
      <c r="D405" s="29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11"/>
      <c r="B406" s="29"/>
      <c r="C406" s="29"/>
      <c r="D406" s="29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11"/>
      <c r="B407" s="29"/>
      <c r="C407" s="29"/>
      <c r="D407" s="29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11"/>
      <c r="B408" s="29"/>
      <c r="C408" s="29"/>
      <c r="D408" s="29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11"/>
      <c r="B409" s="29"/>
      <c r="C409" s="29"/>
      <c r="D409" s="29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11"/>
      <c r="B410" s="29"/>
      <c r="C410" s="29"/>
      <c r="D410" s="29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11"/>
      <c r="B411" s="29"/>
      <c r="C411" s="29"/>
      <c r="D411" s="29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11"/>
      <c r="B412" s="29"/>
      <c r="C412" s="29"/>
      <c r="D412" s="29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11"/>
      <c r="B413" s="29"/>
      <c r="C413" s="29"/>
      <c r="D413" s="29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11"/>
      <c r="B414" s="29"/>
      <c r="C414" s="29"/>
      <c r="D414" s="29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11"/>
      <c r="B415" s="29"/>
      <c r="C415" s="29"/>
      <c r="D415" s="29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11"/>
      <c r="B416" s="29"/>
      <c r="C416" s="29"/>
      <c r="D416" s="29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11"/>
      <c r="B417" s="29"/>
      <c r="C417" s="29"/>
      <c r="D417" s="29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11"/>
      <c r="B418" s="29"/>
      <c r="C418" s="29"/>
      <c r="D418" s="29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11"/>
      <c r="B419" s="29"/>
      <c r="C419" s="29"/>
      <c r="D419" s="29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11"/>
      <c r="B420" s="29"/>
      <c r="C420" s="29"/>
      <c r="D420" s="29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11"/>
      <c r="B421" s="29"/>
      <c r="C421" s="29"/>
      <c r="D421" s="29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11"/>
      <c r="B422" s="29"/>
      <c r="C422" s="29"/>
      <c r="D422" s="29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11"/>
      <c r="B423" s="29"/>
      <c r="C423" s="29"/>
      <c r="D423" s="29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11"/>
      <c r="B424" s="29"/>
      <c r="C424" s="29"/>
      <c r="D424" s="29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11"/>
      <c r="B425" s="29"/>
      <c r="C425" s="29"/>
      <c r="D425" s="29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11"/>
      <c r="B426" s="29"/>
      <c r="C426" s="29"/>
      <c r="D426" s="29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11"/>
      <c r="B427" s="29"/>
      <c r="C427" s="29"/>
      <c r="D427" s="29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11"/>
      <c r="B428" s="29"/>
      <c r="C428" s="29"/>
      <c r="D428" s="29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11"/>
      <c r="B429" s="29"/>
      <c r="C429" s="29"/>
      <c r="D429" s="29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11"/>
      <c r="B430" s="29"/>
      <c r="C430" s="29"/>
      <c r="D430" s="29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11"/>
      <c r="B431" s="29"/>
      <c r="C431" s="29"/>
      <c r="D431" s="29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11"/>
      <c r="B432" s="29"/>
      <c r="C432" s="29"/>
      <c r="D432" s="29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11"/>
      <c r="B433" s="29"/>
      <c r="C433" s="29"/>
      <c r="D433" s="29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11"/>
      <c r="B434" s="29"/>
      <c r="C434" s="29"/>
      <c r="D434" s="29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11"/>
      <c r="B435" s="29"/>
      <c r="C435" s="29"/>
      <c r="D435" s="29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11"/>
      <c r="B436" s="29"/>
      <c r="C436" s="29"/>
      <c r="D436" s="29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11"/>
      <c r="B437" s="29"/>
      <c r="C437" s="29"/>
      <c r="D437" s="29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11"/>
      <c r="B438" s="29"/>
      <c r="C438" s="29"/>
      <c r="D438" s="29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11"/>
      <c r="B439" s="29"/>
      <c r="C439" s="29"/>
      <c r="D439" s="29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11"/>
      <c r="B440" s="29"/>
      <c r="C440" s="29"/>
      <c r="D440" s="29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11"/>
      <c r="B441" s="29"/>
      <c r="C441" s="29"/>
      <c r="D441" s="29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11"/>
      <c r="B442" s="29"/>
      <c r="C442" s="29"/>
      <c r="D442" s="29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11"/>
      <c r="B443" s="29"/>
      <c r="C443" s="29"/>
      <c r="D443" s="29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11"/>
      <c r="B444" s="29"/>
      <c r="C444" s="29"/>
      <c r="D444" s="29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11"/>
      <c r="B445" s="29"/>
      <c r="C445" s="29"/>
      <c r="D445" s="29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11"/>
      <c r="B446" s="29"/>
      <c r="C446" s="29"/>
      <c r="D446" s="29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11"/>
      <c r="B447" s="29"/>
      <c r="C447" s="29"/>
      <c r="D447" s="29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11"/>
      <c r="B448" s="29"/>
      <c r="C448" s="29"/>
      <c r="D448" s="29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11"/>
      <c r="B449" s="29"/>
      <c r="C449" s="29"/>
      <c r="D449" s="29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11"/>
      <c r="B450" s="29"/>
      <c r="C450" s="29"/>
      <c r="D450" s="29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11"/>
      <c r="B451" s="29"/>
      <c r="C451" s="29"/>
      <c r="D451" s="29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11"/>
      <c r="B452" s="29"/>
      <c r="C452" s="29"/>
      <c r="D452" s="29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11"/>
      <c r="B453" s="29"/>
      <c r="C453" s="29"/>
      <c r="D453" s="29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11"/>
      <c r="B454" s="29"/>
      <c r="C454" s="29"/>
      <c r="D454" s="29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11"/>
      <c r="B455" s="29"/>
      <c r="C455" s="29"/>
      <c r="D455" s="29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11"/>
      <c r="B456" s="29"/>
      <c r="C456" s="29"/>
      <c r="D456" s="29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11"/>
      <c r="B457" s="29"/>
      <c r="C457" s="29"/>
      <c r="D457" s="29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11"/>
      <c r="B458" s="29"/>
      <c r="C458" s="29"/>
      <c r="D458" s="29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11"/>
      <c r="B459" s="29"/>
      <c r="C459" s="29"/>
      <c r="D459" s="29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11"/>
      <c r="B460" s="29"/>
      <c r="C460" s="29"/>
      <c r="D460" s="29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11"/>
      <c r="B461" s="29"/>
      <c r="C461" s="29"/>
      <c r="D461" s="29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11"/>
      <c r="B462" s="29"/>
      <c r="C462" s="29"/>
      <c r="D462" s="29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11"/>
      <c r="B463" s="29"/>
      <c r="C463" s="29"/>
      <c r="D463" s="29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11"/>
      <c r="B464" s="29"/>
      <c r="C464" s="29"/>
      <c r="D464" s="29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11"/>
      <c r="B465" s="29"/>
      <c r="C465" s="29"/>
      <c r="D465" s="29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11"/>
      <c r="B466" s="29"/>
      <c r="C466" s="29"/>
      <c r="D466" s="29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11"/>
      <c r="B467" s="29"/>
      <c r="C467" s="29"/>
      <c r="D467" s="29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11"/>
      <c r="B468" s="29"/>
      <c r="C468" s="29"/>
      <c r="D468" s="29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11"/>
      <c r="B469" s="29"/>
      <c r="C469" s="29"/>
      <c r="D469" s="29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11"/>
      <c r="B470" s="29"/>
      <c r="C470" s="29"/>
      <c r="D470" s="29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11"/>
      <c r="B471" s="29"/>
      <c r="C471" s="29"/>
      <c r="D471" s="29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11"/>
      <c r="B472" s="29"/>
      <c r="C472" s="29"/>
      <c r="D472" s="29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11"/>
      <c r="B473" s="29"/>
      <c r="C473" s="29"/>
      <c r="D473" s="29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11"/>
      <c r="B474" s="29"/>
      <c r="C474" s="29"/>
      <c r="D474" s="29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11"/>
      <c r="B475" s="29"/>
      <c r="C475" s="29"/>
      <c r="D475" s="29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11"/>
      <c r="B476" s="29"/>
      <c r="C476" s="29"/>
      <c r="D476" s="29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11"/>
      <c r="B477" s="29"/>
      <c r="C477" s="29"/>
      <c r="D477" s="29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11"/>
      <c r="B478" s="29"/>
      <c r="C478" s="29"/>
      <c r="D478" s="29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11"/>
      <c r="B479" s="29"/>
      <c r="C479" s="29"/>
      <c r="D479" s="29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11"/>
      <c r="B480" s="29"/>
      <c r="C480" s="29"/>
      <c r="D480" s="29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11"/>
      <c r="B481" s="29"/>
      <c r="C481" s="29"/>
      <c r="D481" s="29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11"/>
      <c r="B482" s="29"/>
      <c r="C482" s="29"/>
      <c r="D482" s="29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11"/>
      <c r="B483" s="29"/>
      <c r="C483" s="29"/>
      <c r="D483" s="29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11"/>
      <c r="B484" s="29"/>
      <c r="C484" s="29"/>
      <c r="D484" s="29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11"/>
      <c r="B485" s="29"/>
      <c r="C485" s="29"/>
      <c r="D485" s="29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11"/>
      <c r="B486" s="29"/>
      <c r="C486" s="29"/>
      <c r="D486" s="29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11"/>
      <c r="B487" s="29"/>
      <c r="C487" s="29"/>
      <c r="D487" s="29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11"/>
      <c r="B488" s="29"/>
      <c r="C488" s="29"/>
      <c r="D488" s="29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11"/>
      <c r="B489" s="29"/>
      <c r="C489" s="29"/>
      <c r="D489" s="29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11"/>
      <c r="B490" s="29"/>
      <c r="C490" s="29"/>
      <c r="D490" s="29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11"/>
      <c r="B491" s="29"/>
      <c r="C491" s="29"/>
      <c r="D491" s="29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11"/>
      <c r="B492" s="29"/>
      <c r="C492" s="29"/>
      <c r="D492" s="29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11"/>
      <c r="B493" s="29"/>
      <c r="C493" s="29"/>
      <c r="D493" s="29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11"/>
      <c r="B494" s="29"/>
      <c r="C494" s="29"/>
      <c r="D494" s="29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11"/>
      <c r="B495" s="29"/>
      <c r="C495" s="29"/>
      <c r="D495" s="29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11"/>
      <c r="B496" s="29"/>
      <c r="C496" s="29"/>
      <c r="D496" s="29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11"/>
      <c r="B497" s="29"/>
      <c r="C497" s="29"/>
      <c r="D497" s="29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11"/>
      <c r="B498" s="29"/>
      <c r="C498" s="29"/>
      <c r="D498" s="29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11"/>
      <c r="B499" s="29"/>
      <c r="C499" s="29"/>
      <c r="D499" s="29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11"/>
      <c r="B500" s="29"/>
      <c r="C500" s="29"/>
      <c r="D500" s="29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11"/>
      <c r="B501" s="29"/>
      <c r="C501" s="29"/>
      <c r="D501" s="29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11"/>
      <c r="B502" s="29"/>
      <c r="C502" s="29"/>
      <c r="D502" s="29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11"/>
      <c r="B503" s="29"/>
      <c r="C503" s="29"/>
      <c r="D503" s="29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11"/>
      <c r="B504" s="29"/>
      <c r="C504" s="29"/>
      <c r="D504" s="29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11"/>
      <c r="B505" s="29"/>
      <c r="C505" s="29"/>
      <c r="D505" s="29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11"/>
      <c r="B506" s="29"/>
      <c r="C506" s="29"/>
      <c r="D506" s="29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11"/>
      <c r="B507" s="29"/>
      <c r="C507" s="29"/>
      <c r="D507" s="29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11"/>
      <c r="B508" s="29"/>
      <c r="C508" s="29"/>
      <c r="D508" s="29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11"/>
      <c r="B509" s="29"/>
      <c r="C509" s="29"/>
      <c r="D509" s="29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11"/>
      <c r="B510" s="29"/>
      <c r="C510" s="29"/>
      <c r="D510" s="29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11"/>
      <c r="B511" s="29"/>
      <c r="C511" s="29"/>
      <c r="D511" s="29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11"/>
      <c r="B512" s="29"/>
      <c r="C512" s="29"/>
      <c r="D512" s="29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11"/>
      <c r="B513" s="29"/>
      <c r="C513" s="29"/>
      <c r="D513" s="29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11"/>
      <c r="B514" s="29"/>
      <c r="C514" s="29"/>
      <c r="D514" s="29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11"/>
      <c r="B515" s="29"/>
      <c r="C515" s="29"/>
      <c r="D515" s="29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11"/>
      <c r="B516" s="29"/>
      <c r="C516" s="29"/>
      <c r="D516" s="29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11"/>
      <c r="B517" s="29"/>
      <c r="C517" s="29"/>
      <c r="D517" s="29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11"/>
      <c r="B518" s="29"/>
      <c r="C518" s="29"/>
      <c r="D518" s="29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11"/>
      <c r="B519" s="29"/>
      <c r="C519" s="29"/>
      <c r="D519" s="29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11"/>
      <c r="B520" s="29"/>
      <c r="C520" s="29"/>
      <c r="D520" s="29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11"/>
      <c r="B521" s="29"/>
      <c r="C521" s="29"/>
      <c r="D521" s="29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11"/>
      <c r="B522" s="29"/>
      <c r="C522" s="29"/>
      <c r="D522" s="29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11"/>
      <c r="B523" s="29"/>
      <c r="C523" s="29"/>
      <c r="D523" s="29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11"/>
      <c r="B524" s="29"/>
      <c r="C524" s="29"/>
      <c r="D524" s="29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11"/>
      <c r="B525" s="29"/>
      <c r="C525" s="29"/>
      <c r="D525" s="29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11"/>
      <c r="B526" s="29"/>
      <c r="C526" s="29"/>
      <c r="D526" s="29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11"/>
      <c r="B527" s="29"/>
      <c r="C527" s="29"/>
      <c r="D527" s="29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11"/>
      <c r="B528" s="29"/>
      <c r="C528" s="29"/>
      <c r="D528" s="29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11"/>
      <c r="B529" s="29"/>
      <c r="C529" s="29"/>
      <c r="D529" s="29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11"/>
      <c r="B530" s="29"/>
      <c r="C530" s="29"/>
      <c r="D530" s="29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11"/>
      <c r="B531" s="29"/>
      <c r="C531" s="29"/>
      <c r="D531" s="29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11"/>
      <c r="B532" s="29"/>
      <c r="C532" s="29"/>
      <c r="D532" s="29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11"/>
      <c r="B533" s="29"/>
      <c r="C533" s="29"/>
      <c r="D533" s="29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11"/>
      <c r="B534" s="29"/>
      <c r="C534" s="29"/>
      <c r="D534" s="29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11"/>
      <c r="B535" s="29"/>
      <c r="C535" s="29"/>
      <c r="D535" s="29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11"/>
      <c r="B536" s="29"/>
      <c r="C536" s="29"/>
      <c r="D536" s="29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11"/>
      <c r="B537" s="29"/>
      <c r="C537" s="29"/>
      <c r="D537" s="29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11"/>
      <c r="B538" s="29"/>
      <c r="C538" s="29"/>
      <c r="D538" s="29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11"/>
      <c r="B539" s="29"/>
      <c r="C539" s="29"/>
      <c r="D539" s="29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11"/>
      <c r="B540" s="29"/>
      <c r="C540" s="29"/>
      <c r="D540" s="29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11"/>
      <c r="B541" s="29"/>
      <c r="C541" s="29"/>
      <c r="D541" s="29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11"/>
      <c r="B542" s="29"/>
      <c r="C542" s="29"/>
      <c r="D542" s="29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11"/>
      <c r="B543" s="29"/>
      <c r="C543" s="29"/>
      <c r="D543" s="29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11"/>
      <c r="B544" s="29"/>
      <c r="C544" s="29"/>
      <c r="D544" s="29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11"/>
      <c r="B545" s="29"/>
      <c r="C545" s="29"/>
      <c r="D545" s="29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11"/>
      <c r="B546" s="29"/>
      <c r="C546" s="29"/>
      <c r="D546" s="29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11"/>
      <c r="B547" s="29"/>
      <c r="C547" s="29"/>
      <c r="D547" s="29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11"/>
      <c r="B548" s="29"/>
      <c r="C548" s="29"/>
      <c r="D548" s="29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11"/>
      <c r="B549" s="29"/>
      <c r="C549" s="29"/>
      <c r="D549" s="29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11"/>
      <c r="B550" s="29"/>
      <c r="C550" s="29"/>
      <c r="D550" s="29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11"/>
      <c r="B551" s="29"/>
      <c r="C551" s="29"/>
      <c r="D551" s="29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11"/>
      <c r="B552" s="29"/>
      <c r="C552" s="29"/>
      <c r="D552" s="29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11"/>
      <c r="B553" s="29"/>
      <c r="C553" s="29"/>
      <c r="D553" s="29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11"/>
      <c r="B554" s="29"/>
      <c r="C554" s="29"/>
      <c r="D554" s="29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11"/>
      <c r="B555" s="29"/>
      <c r="C555" s="29"/>
      <c r="D555" s="29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11"/>
      <c r="B556" s="29"/>
      <c r="C556" s="29"/>
      <c r="D556" s="29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11"/>
      <c r="B557" s="29"/>
      <c r="C557" s="29"/>
      <c r="D557" s="29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11"/>
      <c r="B558" s="29"/>
      <c r="C558" s="29"/>
      <c r="D558" s="29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11"/>
      <c r="B559" s="29"/>
      <c r="C559" s="29"/>
      <c r="D559" s="29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11"/>
      <c r="B560" s="29"/>
      <c r="C560" s="29"/>
      <c r="D560" s="29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11"/>
      <c r="B561" s="29"/>
      <c r="C561" s="29"/>
      <c r="D561" s="29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11"/>
      <c r="B562" s="29"/>
      <c r="C562" s="29"/>
      <c r="D562" s="29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11"/>
      <c r="B563" s="29"/>
      <c r="C563" s="29"/>
      <c r="D563" s="29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11"/>
      <c r="B564" s="29"/>
      <c r="C564" s="29"/>
      <c r="D564" s="29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11"/>
      <c r="B565" s="29"/>
      <c r="C565" s="29"/>
      <c r="D565" s="29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11"/>
      <c r="B566" s="29"/>
      <c r="C566" s="29"/>
      <c r="D566" s="29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11"/>
      <c r="B567" s="29"/>
      <c r="C567" s="29"/>
      <c r="D567" s="29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11"/>
      <c r="B568" s="29"/>
      <c r="C568" s="29"/>
      <c r="D568" s="29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11"/>
      <c r="B569" s="29"/>
      <c r="C569" s="29"/>
      <c r="D569" s="29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11"/>
      <c r="B570" s="29"/>
      <c r="C570" s="29"/>
      <c r="D570" s="29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11"/>
      <c r="B571" s="29"/>
      <c r="C571" s="29"/>
      <c r="D571" s="29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11"/>
      <c r="B572" s="29"/>
      <c r="C572" s="29"/>
      <c r="D572" s="29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11"/>
      <c r="B573" s="29"/>
      <c r="C573" s="29"/>
      <c r="D573" s="29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11"/>
      <c r="B574" s="29"/>
      <c r="C574" s="29"/>
      <c r="D574" s="29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11"/>
      <c r="B575" s="29"/>
      <c r="C575" s="29"/>
      <c r="D575" s="29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11"/>
      <c r="B576" s="29"/>
      <c r="C576" s="29"/>
      <c r="D576" s="29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11"/>
      <c r="B577" s="29"/>
      <c r="C577" s="29"/>
      <c r="D577" s="29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11"/>
      <c r="B578" s="29"/>
      <c r="C578" s="29"/>
      <c r="D578" s="29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11"/>
      <c r="B579" s="29"/>
      <c r="C579" s="29"/>
      <c r="D579" s="29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11"/>
      <c r="B580" s="29"/>
      <c r="C580" s="29"/>
      <c r="D580" s="29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11"/>
      <c r="B581" s="29"/>
      <c r="C581" s="29"/>
      <c r="D581" s="29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11"/>
      <c r="B582" s="29"/>
      <c r="C582" s="29"/>
      <c r="D582" s="29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11"/>
      <c r="B583" s="29"/>
      <c r="C583" s="29"/>
      <c r="D583" s="29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11"/>
      <c r="B584" s="29"/>
      <c r="C584" s="29"/>
      <c r="D584" s="29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11"/>
      <c r="B585" s="29"/>
      <c r="C585" s="29"/>
      <c r="D585" s="29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11"/>
      <c r="B586" s="29"/>
      <c r="C586" s="29"/>
      <c r="D586" s="29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11"/>
      <c r="B587" s="29"/>
      <c r="C587" s="29"/>
      <c r="D587" s="29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11"/>
      <c r="B588" s="29"/>
      <c r="C588" s="29"/>
      <c r="D588" s="29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11"/>
      <c r="B589" s="29"/>
      <c r="C589" s="29"/>
      <c r="D589" s="29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11"/>
      <c r="B590" s="29"/>
      <c r="C590" s="29"/>
      <c r="D590" s="29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11"/>
      <c r="B591" s="29"/>
      <c r="C591" s="29"/>
      <c r="D591" s="29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11"/>
      <c r="B592" s="29"/>
      <c r="C592" s="29"/>
      <c r="D592" s="29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11"/>
      <c r="B593" s="29"/>
      <c r="C593" s="29"/>
      <c r="D593" s="29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11"/>
      <c r="B594" s="29"/>
      <c r="C594" s="29"/>
      <c r="D594" s="29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11"/>
      <c r="B595" s="29"/>
      <c r="C595" s="29"/>
      <c r="D595" s="29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11"/>
      <c r="B596" s="29"/>
      <c r="C596" s="29"/>
      <c r="D596" s="29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11"/>
      <c r="B597" s="29"/>
      <c r="C597" s="29"/>
      <c r="D597" s="29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11"/>
      <c r="B598" s="29"/>
      <c r="C598" s="29"/>
      <c r="D598" s="29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11"/>
      <c r="B599" s="29"/>
      <c r="C599" s="29"/>
      <c r="D599" s="29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11"/>
      <c r="B600" s="29"/>
      <c r="C600" s="29"/>
      <c r="D600" s="29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11"/>
      <c r="B601" s="29"/>
      <c r="C601" s="29"/>
      <c r="D601" s="29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11"/>
      <c r="B602" s="29"/>
      <c r="C602" s="29"/>
      <c r="D602" s="29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11"/>
      <c r="B603" s="29"/>
      <c r="C603" s="29"/>
      <c r="D603" s="29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11"/>
      <c r="B604" s="29"/>
      <c r="C604" s="29"/>
      <c r="D604" s="29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11"/>
      <c r="B605" s="29"/>
      <c r="C605" s="29"/>
      <c r="D605" s="29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11"/>
      <c r="B606" s="29"/>
      <c r="C606" s="29"/>
      <c r="D606" s="29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11"/>
      <c r="B607" s="29"/>
      <c r="C607" s="29"/>
      <c r="D607" s="29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11"/>
      <c r="B608" s="29"/>
      <c r="C608" s="29"/>
      <c r="D608" s="29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11"/>
      <c r="B609" s="29"/>
      <c r="C609" s="29"/>
      <c r="D609" s="29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11"/>
      <c r="B610" s="29"/>
      <c r="C610" s="29"/>
      <c r="D610" s="29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11"/>
      <c r="B611" s="29"/>
      <c r="C611" s="29"/>
      <c r="D611" s="29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11"/>
      <c r="B612" s="29"/>
      <c r="C612" s="29"/>
      <c r="D612" s="29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11"/>
      <c r="B613" s="29"/>
      <c r="C613" s="29"/>
      <c r="D613" s="29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11"/>
      <c r="B614" s="29"/>
      <c r="C614" s="29"/>
      <c r="D614" s="29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11"/>
      <c r="B615" s="29"/>
      <c r="C615" s="29"/>
      <c r="D615" s="29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11"/>
      <c r="B616" s="29"/>
      <c r="C616" s="29"/>
      <c r="D616" s="29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11"/>
      <c r="B617" s="29"/>
      <c r="C617" s="29"/>
      <c r="D617" s="29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11"/>
      <c r="B618" s="29"/>
      <c r="C618" s="29"/>
      <c r="D618" s="29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11"/>
      <c r="B619" s="29"/>
      <c r="C619" s="29"/>
      <c r="D619" s="29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11"/>
      <c r="B620" s="29"/>
      <c r="C620" s="29"/>
      <c r="D620" s="29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11"/>
      <c r="B621" s="29"/>
      <c r="C621" s="29"/>
      <c r="D621" s="29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11"/>
      <c r="B622" s="29"/>
      <c r="C622" s="29"/>
      <c r="D622" s="29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11"/>
      <c r="B623" s="29"/>
      <c r="C623" s="29"/>
      <c r="D623" s="29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11"/>
      <c r="B624" s="29"/>
      <c r="C624" s="29"/>
      <c r="D624" s="29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11"/>
      <c r="B625" s="29"/>
      <c r="C625" s="29"/>
      <c r="D625" s="29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11"/>
      <c r="B626" s="29"/>
      <c r="C626" s="29"/>
      <c r="D626" s="29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11"/>
      <c r="B627" s="29"/>
      <c r="C627" s="29"/>
      <c r="D627" s="29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11"/>
      <c r="B628" s="29"/>
      <c r="C628" s="29"/>
      <c r="D628" s="29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11"/>
      <c r="B629" s="29"/>
      <c r="C629" s="29"/>
      <c r="D629" s="29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11"/>
      <c r="B630" s="29"/>
      <c r="C630" s="29"/>
      <c r="D630" s="29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11"/>
      <c r="B631" s="29"/>
      <c r="C631" s="29"/>
      <c r="D631" s="29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11"/>
      <c r="B632" s="29"/>
      <c r="C632" s="29"/>
      <c r="D632" s="29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11"/>
      <c r="B633" s="29"/>
      <c r="C633" s="29"/>
      <c r="D633" s="29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11"/>
      <c r="B634" s="29"/>
      <c r="C634" s="29"/>
      <c r="D634" s="29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11"/>
      <c r="B635" s="29"/>
      <c r="C635" s="29"/>
      <c r="D635" s="29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11"/>
      <c r="B636" s="29"/>
      <c r="C636" s="29"/>
      <c r="D636" s="29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11"/>
      <c r="B637" s="29"/>
      <c r="C637" s="29"/>
      <c r="D637" s="29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11"/>
      <c r="B638" s="29"/>
      <c r="C638" s="29"/>
      <c r="D638" s="29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11"/>
      <c r="B639" s="29"/>
      <c r="C639" s="29"/>
      <c r="D639" s="29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11"/>
      <c r="B640" s="29"/>
      <c r="C640" s="29"/>
      <c r="D640" s="29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11"/>
      <c r="B641" s="29"/>
      <c r="C641" s="29"/>
      <c r="D641" s="29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11"/>
      <c r="B642" s="29"/>
      <c r="C642" s="29"/>
      <c r="D642" s="29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11"/>
      <c r="B643" s="29"/>
      <c r="C643" s="29"/>
      <c r="D643" s="29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11"/>
      <c r="B644" s="29"/>
      <c r="C644" s="29"/>
      <c r="D644" s="29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11"/>
      <c r="B645" s="29"/>
      <c r="C645" s="29"/>
      <c r="D645" s="29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11"/>
      <c r="B646" s="29"/>
      <c r="C646" s="29"/>
      <c r="D646" s="29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11"/>
      <c r="B647" s="29"/>
      <c r="C647" s="29"/>
      <c r="D647" s="29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11"/>
      <c r="B648" s="29"/>
      <c r="C648" s="29"/>
      <c r="D648" s="29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11"/>
      <c r="B649" s="29"/>
      <c r="C649" s="29"/>
      <c r="D649" s="29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11"/>
      <c r="B650" s="29"/>
      <c r="C650" s="29"/>
      <c r="D650" s="29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11"/>
      <c r="B651" s="29"/>
      <c r="C651" s="29"/>
      <c r="D651" s="29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11"/>
      <c r="B652" s="29"/>
      <c r="C652" s="29"/>
      <c r="D652" s="29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11"/>
      <c r="B653" s="29"/>
      <c r="C653" s="29"/>
      <c r="D653" s="29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11"/>
      <c r="B654" s="29"/>
      <c r="C654" s="29"/>
      <c r="D654" s="29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11"/>
      <c r="B655" s="29"/>
      <c r="C655" s="29"/>
      <c r="D655" s="29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11"/>
      <c r="B656" s="29"/>
      <c r="C656" s="29"/>
      <c r="D656" s="29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11"/>
      <c r="B657" s="29"/>
      <c r="C657" s="29"/>
      <c r="D657" s="29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11"/>
      <c r="B658" s="29"/>
      <c r="C658" s="29"/>
      <c r="D658" s="29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11"/>
      <c r="B659" s="29"/>
      <c r="C659" s="29"/>
      <c r="D659" s="29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11"/>
      <c r="B660" s="29"/>
      <c r="C660" s="29"/>
      <c r="D660" s="29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11"/>
      <c r="B661" s="29"/>
      <c r="C661" s="29"/>
      <c r="D661" s="29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11"/>
      <c r="B662" s="29"/>
      <c r="C662" s="29"/>
      <c r="D662" s="29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11"/>
      <c r="B663" s="29"/>
      <c r="C663" s="29"/>
      <c r="D663" s="29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11"/>
      <c r="B664" s="29"/>
      <c r="C664" s="29"/>
      <c r="D664" s="29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11"/>
      <c r="B665" s="29"/>
      <c r="C665" s="29"/>
      <c r="D665" s="29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11"/>
      <c r="B666" s="29"/>
      <c r="C666" s="29"/>
      <c r="D666" s="29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11"/>
      <c r="B667" s="29"/>
      <c r="C667" s="29"/>
      <c r="D667" s="29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11"/>
      <c r="B668" s="29"/>
      <c r="C668" s="29"/>
      <c r="D668" s="29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11"/>
      <c r="B669" s="29"/>
      <c r="C669" s="29"/>
      <c r="D669" s="29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11"/>
      <c r="B670" s="29"/>
      <c r="C670" s="29"/>
      <c r="D670" s="29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11"/>
      <c r="B671" s="29"/>
      <c r="C671" s="29"/>
      <c r="D671" s="29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11"/>
      <c r="B672" s="29"/>
      <c r="C672" s="29"/>
      <c r="D672" s="29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11"/>
      <c r="B673" s="29"/>
      <c r="C673" s="29"/>
      <c r="D673" s="29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11"/>
      <c r="B674" s="29"/>
      <c r="C674" s="29"/>
      <c r="D674" s="29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11"/>
      <c r="B675" s="29"/>
      <c r="C675" s="29"/>
      <c r="D675" s="29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11"/>
      <c r="B676" s="29"/>
      <c r="C676" s="29"/>
      <c r="D676" s="29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11"/>
      <c r="B677" s="29"/>
      <c r="C677" s="29"/>
      <c r="D677" s="29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11"/>
      <c r="B678" s="29"/>
      <c r="C678" s="29"/>
      <c r="D678" s="29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11"/>
      <c r="B679" s="29"/>
      <c r="C679" s="29"/>
      <c r="D679" s="29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11"/>
      <c r="B680" s="29"/>
      <c r="C680" s="29"/>
      <c r="D680" s="29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11"/>
      <c r="B681" s="29"/>
      <c r="C681" s="29"/>
      <c r="D681" s="29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11"/>
      <c r="B682" s="29"/>
      <c r="C682" s="29"/>
      <c r="D682" s="29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11"/>
      <c r="B683" s="29"/>
      <c r="C683" s="29"/>
      <c r="D683" s="29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11"/>
      <c r="B684" s="29"/>
      <c r="C684" s="29"/>
      <c r="D684" s="29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11"/>
      <c r="B685" s="29"/>
      <c r="C685" s="29"/>
      <c r="D685" s="29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11"/>
      <c r="B686" s="29"/>
      <c r="C686" s="29"/>
      <c r="D686" s="29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11"/>
      <c r="B687" s="29"/>
      <c r="C687" s="29"/>
      <c r="D687" s="29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11"/>
      <c r="B688" s="29"/>
      <c r="C688" s="29"/>
      <c r="D688" s="29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11"/>
      <c r="B689" s="29"/>
      <c r="C689" s="29"/>
      <c r="D689" s="29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11"/>
      <c r="B690" s="29"/>
      <c r="C690" s="29"/>
      <c r="D690" s="29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11"/>
      <c r="B691" s="29"/>
      <c r="C691" s="29"/>
      <c r="D691" s="29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11"/>
      <c r="B692" s="29"/>
      <c r="C692" s="29"/>
      <c r="D692" s="29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11"/>
      <c r="B693" s="29"/>
      <c r="C693" s="29"/>
      <c r="D693" s="29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11"/>
      <c r="B694" s="29"/>
      <c r="C694" s="29"/>
      <c r="D694" s="29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11"/>
      <c r="B695" s="29"/>
      <c r="C695" s="29"/>
      <c r="D695" s="29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11"/>
      <c r="B696" s="29"/>
      <c r="C696" s="29"/>
      <c r="D696" s="29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11"/>
      <c r="B697" s="29"/>
      <c r="C697" s="29"/>
      <c r="D697" s="29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11"/>
      <c r="B698" s="29"/>
      <c r="C698" s="29"/>
      <c r="D698" s="29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11"/>
      <c r="B699" s="29"/>
      <c r="C699" s="29"/>
      <c r="D699" s="29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11"/>
      <c r="B700" s="29"/>
      <c r="C700" s="29"/>
      <c r="D700" s="29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11"/>
      <c r="B701" s="29"/>
      <c r="C701" s="29"/>
      <c r="D701" s="29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11"/>
      <c r="B702" s="29"/>
      <c r="C702" s="29"/>
      <c r="D702" s="29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11"/>
      <c r="B703" s="29"/>
      <c r="C703" s="29"/>
      <c r="D703" s="29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11"/>
      <c r="B704" s="29"/>
      <c r="C704" s="29"/>
      <c r="D704" s="29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11"/>
      <c r="B705" s="29"/>
      <c r="C705" s="29"/>
      <c r="D705" s="29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11"/>
      <c r="B706" s="29"/>
      <c r="C706" s="29"/>
      <c r="D706" s="29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11"/>
      <c r="B707" s="29"/>
      <c r="C707" s="29"/>
      <c r="D707" s="29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11"/>
      <c r="B708" s="29"/>
      <c r="C708" s="29"/>
      <c r="D708" s="29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11"/>
      <c r="B709" s="29"/>
      <c r="C709" s="29"/>
      <c r="D709" s="29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11"/>
      <c r="B710" s="29"/>
      <c r="C710" s="29"/>
      <c r="D710" s="29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11"/>
      <c r="B711" s="29"/>
      <c r="C711" s="29"/>
      <c r="D711" s="29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11"/>
      <c r="B712" s="29"/>
      <c r="C712" s="29"/>
      <c r="D712" s="29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11"/>
      <c r="B713" s="29"/>
      <c r="C713" s="29"/>
      <c r="D713" s="29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11"/>
      <c r="B714" s="29"/>
      <c r="C714" s="29"/>
      <c r="D714" s="29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11"/>
      <c r="B715" s="29"/>
      <c r="C715" s="29"/>
      <c r="D715" s="29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11"/>
      <c r="B716" s="29"/>
      <c r="C716" s="29"/>
      <c r="D716" s="29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11"/>
      <c r="B717" s="29"/>
      <c r="C717" s="29"/>
      <c r="D717" s="29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11"/>
      <c r="B718" s="29"/>
      <c r="C718" s="29"/>
      <c r="D718" s="29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11"/>
      <c r="B719" s="29"/>
      <c r="C719" s="29"/>
      <c r="D719" s="29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11"/>
      <c r="B720" s="29"/>
      <c r="C720" s="29"/>
      <c r="D720" s="29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11"/>
      <c r="B721" s="29"/>
      <c r="C721" s="29"/>
      <c r="D721" s="29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11"/>
      <c r="B722" s="29"/>
      <c r="C722" s="29"/>
      <c r="D722" s="29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11"/>
      <c r="B723" s="29"/>
      <c r="C723" s="29"/>
      <c r="D723" s="29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11"/>
      <c r="B724" s="29"/>
      <c r="C724" s="29"/>
      <c r="D724" s="29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11"/>
      <c r="B725" s="29"/>
      <c r="C725" s="29"/>
      <c r="D725" s="29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11"/>
      <c r="B726" s="29"/>
      <c r="C726" s="29"/>
      <c r="D726" s="29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11"/>
      <c r="B727" s="29"/>
      <c r="C727" s="29"/>
      <c r="D727" s="29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11"/>
      <c r="B728" s="29"/>
      <c r="C728" s="29"/>
      <c r="D728" s="29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11"/>
      <c r="B729" s="29"/>
      <c r="C729" s="29"/>
      <c r="D729" s="29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11"/>
      <c r="B730" s="29"/>
      <c r="C730" s="29"/>
      <c r="D730" s="29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11"/>
      <c r="B731" s="29"/>
      <c r="C731" s="29"/>
      <c r="D731" s="29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11"/>
      <c r="B732" s="29"/>
      <c r="C732" s="29"/>
      <c r="D732" s="29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11"/>
      <c r="B733" s="29"/>
      <c r="C733" s="29"/>
      <c r="D733" s="29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11"/>
      <c r="B734" s="29"/>
      <c r="C734" s="29"/>
      <c r="D734" s="29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11"/>
      <c r="B735" s="29"/>
      <c r="C735" s="29"/>
      <c r="D735" s="29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11"/>
      <c r="B736" s="29"/>
      <c r="C736" s="29"/>
      <c r="D736" s="29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11"/>
      <c r="B737" s="29"/>
      <c r="C737" s="29"/>
      <c r="D737" s="29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11"/>
      <c r="B738" s="29"/>
      <c r="C738" s="29"/>
      <c r="D738" s="29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11"/>
      <c r="B739" s="29"/>
      <c r="C739" s="29"/>
      <c r="D739" s="29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11"/>
      <c r="B740" s="29"/>
      <c r="C740" s="29"/>
      <c r="D740" s="29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11"/>
      <c r="B741" s="29"/>
      <c r="C741" s="29"/>
      <c r="D741" s="29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11"/>
      <c r="B742" s="29"/>
      <c r="C742" s="29"/>
      <c r="D742" s="29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11"/>
      <c r="B743" s="29"/>
      <c r="C743" s="29"/>
      <c r="D743" s="29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11"/>
      <c r="B744" s="29"/>
      <c r="C744" s="29"/>
      <c r="D744" s="29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11"/>
      <c r="B745" s="29"/>
      <c r="C745" s="29"/>
      <c r="D745" s="29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11"/>
      <c r="B746" s="29"/>
      <c r="C746" s="29"/>
      <c r="D746" s="29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11"/>
      <c r="B747" s="29"/>
      <c r="C747" s="29"/>
      <c r="D747" s="29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11"/>
      <c r="B748" s="29"/>
      <c r="C748" s="29"/>
      <c r="D748" s="29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11"/>
      <c r="B749" s="29"/>
      <c r="C749" s="29"/>
      <c r="D749" s="29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11"/>
      <c r="B750" s="29"/>
      <c r="C750" s="29"/>
      <c r="D750" s="29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11"/>
      <c r="B751" s="29"/>
      <c r="C751" s="29"/>
      <c r="D751" s="29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11"/>
      <c r="B752" s="29"/>
      <c r="C752" s="29"/>
      <c r="D752" s="29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11"/>
      <c r="B753" s="29"/>
      <c r="C753" s="29"/>
      <c r="D753" s="29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11"/>
      <c r="B754" s="29"/>
      <c r="C754" s="29"/>
      <c r="D754" s="29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11"/>
      <c r="B755" s="29"/>
      <c r="C755" s="29"/>
      <c r="D755" s="29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11"/>
      <c r="B756" s="29"/>
      <c r="C756" s="29"/>
      <c r="D756" s="29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11"/>
      <c r="B757" s="29"/>
      <c r="C757" s="29"/>
      <c r="D757" s="29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11"/>
      <c r="B758" s="29"/>
      <c r="C758" s="29"/>
      <c r="D758" s="29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11"/>
      <c r="B759" s="29"/>
      <c r="C759" s="29"/>
      <c r="D759" s="29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11"/>
      <c r="B760" s="29"/>
      <c r="C760" s="29"/>
      <c r="D760" s="29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11"/>
      <c r="B761" s="29"/>
      <c r="C761" s="29"/>
      <c r="D761" s="29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11"/>
      <c r="B762" s="29"/>
      <c r="C762" s="29"/>
      <c r="D762" s="29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11"/>
      <c r="B763" s="29"/>
      <c r="C763" s="29"/>
      <c r="D763" s="29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11"/>
      <c r="B764" s="29"/>
      <c r="C764" s="29"/>
      <c r="D764" s="29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11"/>
      <c r="B765" s="29"/>
      <c r="C765" s="29"/>
      <c r="D765" s="29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11"/>
      <c r="B766" s="29"/>
      <c r="C766" s="29"/>
      <c r="D766" s="29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11"/>
      <c r="B767" s="29"/>
      <c r="C767" s="29"/>
      <c r="D767" s="29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11"/>
      <c r="B768" s="29"/>
      <c r="C768" s="29"/>
      <c r="D768" s="29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11"/>
      <c r="B769" s="29"/>
      <c r="C769" s="29"/>
      <c r="D769" s="29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11"/>
      <c r="B770" s="29"/>
      <c r="C770" s="29"/>
      <c r="D770" s="29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11"/>
      <c r="B771" s="29"/>
      <c r="C771" s="29"/>
      <c r="D771" s="29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11"/>
      <c r="B772" s="29"/>
      <c r="C772" s="29"/>
      <c r="D772" s="29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11"/>
      <c r="B773" s="29"/>
      <c r="C773" s="29"/>
      <c r="D773" s="29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11"/>
      <c r="B774" s="29"/>
      <c r="C774" s="29"/>
      <c r="D774" s="29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11"/>
      <c r="B775" s="29"/>
      <c r="C775" s="29"/>
      <c r="D775" s="29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11"/>
      <c r="B776" s="29"/>
      <c r="C776" s="29"/>
      <c r="D776" s="29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11"/>
      <c r="B777" s="29"/>
      <c r="C777" s="29"/>
      <c r="D777" s="29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11"/>
      <c r="B778" s="29"/>
      <c r="C778" s="29"/>
      <c r="D778" s="29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11"/>
      <c r="B779" s="29"/>
      <c r="C779" s="29"/>
      <c r="D779" s="29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11"/>
      <c r="B780" s="29"/>
      <c r="C780" s="29"/>
      <c r="D780" s="29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11"/>
      <c r="B781" s="29"/>
      <c r="C781" s="29"/>
      <c r="D781" s="29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11"/>
      <c r="B782" s="29"/>
      <c r="C782" s="29"/>
      <c r="D782" s="29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11"/>
      <c r="B783" s="29"/>
      <c r="C783" s="29"/>
      <c r="D783" s="29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11"/>
      <c r="B784" s="29"/>
      <c r="C784" s="29"/>
      <c r="D784" s="29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11"/>
      <c r="B785" s="29"/>
      <c r="C785" s="29"/>
      <c r="D785" s="29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11"/>
      <c r="B786" s="29"/>
      <c r="C786" s="29"/>
      <c r="D786" s="29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11"/>
      <c r="B787" s="29"/>
      <c r="C787" s="29"/>
      <c r="D787" s="29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11"/>
      <c r="B788" s="29"/>
      <c r="C788" s="29"/>
      <c r="D788" s="29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11"/>
      <c r="B789" s="29"/>
      <c r="C789" s="29"/>
      <c r="D789" s="29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11"/>
      <c r="B790" s="29"/>
      <c r="C790" s="29"/>
      <c r="D790" s="29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11"/>
      <c r="B791" s="29"/>
      <c r="C791" s="29"/>
      <c r="D791" s="29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11"/>
      <c r="B792" s="29"/>
      <c r="C792" s="29"/>
      <c r="D792" s="29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11"/>
      <c r="B793" s="29"/>
      <c r="C793" s="29"/>
      <c r="D793" s="29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11"/>
      <c r="B794" s="29"/>
      <c r="C794" s="29"/>
      <c r="D794" s="29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11"/>
      <c r="B795" s="29"/>
      <c r="C795" s="29"/>
      <c r="D795" s="29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11"/>
      <c r="B796" s="29"/>
      <c r="C796" s="29"/>
      <c r="D796" s="29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11"/>
      <c r="B797" s="29"/>
      <c r="C797" s="29"/>
      <c r="D797" s="29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11"/>
      <c r="B798" s="29"/>
      <c r="C798" s="29"/>
      <c r="D798" s="29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11"/>
      <c r="B799" s="29"/>
      <c r="C799" s="29"/>
      <c r="D799" s="29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11"/>
      <c r="B800" s="29"/>
      <c r="C800" s="29"/>
      <c r="D800" s="29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11"/>
      <c r="B801" s="29"/>
      <c r="C801" s="29"/>
      <c r="D801" s="29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11"/>
      <c r="B802" s="29"/>
      <c r="C802" s="29"/>
      <c r="D802" s="29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11"/>
      <c r="B803" s="29"/>
      <c r="C803" s="29"/>
      <c r="D803" s="29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11"/>
      <c r="B804" s="29"/>
      <c r="C804" s="29"/>
      <c r="D804" s="29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11"/>
      <c r="B805" s="29"/>
      <c r="C805" s="29"/>
      <c r="D805" s="29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11"/>
      <c r="B806" s="29"/>
      <c r="C806" s="29"/>
      <c r="D806" s="29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11"/>
      <c r="B807" s="29"/>
      <c r="C807" s="29"/>
      <c r="D807" s="29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11"/>
      <c r="B808" s="29"/>
      <c r="C808" s="29"/>
      <c r="D808" s="29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11"/>
      <c r="B809" s="29"/>
      <c r="C809" s="29"/>
      <c r="D809" s="29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11"/>
      <c r="B810" s="29"/>
      <c r="C810" s="29"/>
      <c r="D810" s="29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11"/>
      <c r="B811" s="29"/>
      <c r="C811" s="29"/>
      <c r="D811" s="29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11"/>
      <c r="B812" s="29"/>
      <c r="C812" s="29"/>
      <c r="D812" s="29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11"/>
      <c r="B813" s="29"/>
      <c r="C813" s="29"/>
      <c r="D813" s="29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11"/>
      <c r="B814" s="29"/>
      <c r="C814" s="29"/>
      <c r="D814" s="29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11"/>
      <c r="B815" s="29"/>
      <c r="C815" s="29"/>
      <c r="D815" s="29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11"/>
      <c r="B816" s="29"/>
      <c r="C816" s="29"/>
      <c r="D816" s="29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11"/>
      <c r="B817" s="29"/>
      <c r="C817" s="29"/>
      <c r="D817" s="29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11"/>
      <c r="B818" s="29"/>
      <c r="C818" s="29"/>
      <c r="D818" s="29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11"/>
      <c r="B819" s="29"/>
      <c r="C819" s="29"/>
      <c r="D819" s="29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11"/>
      <c r="B820" s="29"/>
      <c r="C820" s="29"/>
      <c r="D820" s="29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11"/>
      <c r="B821" s="29"/>
      <c r="C821" s="29"/>
      <c r="D821" s="29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11"/>
      <c r="B822" s="29"/>
      <c r="C822" s="29"/>
      <c r="D822" s="29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11"/>
      <c r="B823" s="29"/>
      <c r="C823" s="29"/>
      <c r="D823" s="29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11"/>
      <c r="B824" s="29"/>
      <c r="C824" s="29"/>
      <c r="D824" s="29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11"/>
      <c r="B825" s="29"/>
      <c r="C825" s="29"/>
      <c r="D825" s="29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11"/>
      <c r="B826" s="29"/>
      <c r="C826" s="29"/>
      <c r="D826" s="29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11"/>
      <c r="B827" s="29"/>
      <c r="C827" s="29"/>
      <c r="D827" s="29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11"/>
      <c r="B828" s="29"/>
      <c r="C828" s="29"/>
      <c r="D828" s="29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11"/>
      <c r="B829" s="29"/>
      <c r="C829" s="29"/>
      <c r="D829" s="29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11"/>
      <c r="B830" s="29"/>
      <c r="C830" s="29"/>
      <c r="D830" s="29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11"/>
      <c r="B831" s="29"/>
      <c r="C831" s="29"/>
      <c r="D831" s="29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11"/>
      <c r="B832" s="29"/>
      <c r="C832" s="29"/>
      <c r="D832" s="29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11"/>
      <c r="B833" s="29"/>
      <c r="C833" s="29"/>
      <c r="D833" s="29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11"/>
      <c r="B834" s="29"/>
      <c r="C834" s="29"/>
      <c r="D834" s="29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11"/>
      <c r="B835" s="29"/>
      <c r="C835" s="29"/>
      <c r="D835" s="29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11"/>
      <c r="B836" s="29"/>
      <c r="C836" s="29"/>
      <c r="D836" s="29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11"/>
      <c r="B837" s="29"/>
      <c r="C837" s="29"/>
      <c r="D837" s="29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11"/>
      <c r="B838" s="29"/>
      <c r="C838" s="29"/>
      <c r="D838" s="29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11"/>
      <c r="B839" s="29"/>
      <c r="C839" s="29"/>
      <c r="D839" s="29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11"/>
      <c r="B840" s="29"/>
      <c r="C840" s="29"/>
      <c r="D840" s="29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11"/>
      <c r="B841" s="29"/>
      <c r="C841" s="29"/>
      <c r="D841" s="29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11"/>
      <c r="B842" s="29"/>
      <c r="C842" s="29"/>
      <c r="D842" s="29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11"/>
      <c r="B843" s="29"/>
      <c r="C843" s="29"/>
      <c r="D843" s="29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11"/>
      <c r="B844" s="29"/>
      <c r="C844" s="29"/>
      <c r="D844" s="29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11"/>
      <c r="B845" s="29"/>
      <c r="C845" s="29"/>
      <c r="D845" s="29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11"/>
      <c r="B846" s="29"/>
      <c r="C846" s="29"/>
      <c r="D846" s="29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11"/>
      <c r="B847" s="29"/>
      <c r="C847" s="29"/>
      <c r="D847" s="29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11"/>
      <c r="B848" s="29"/>
      <c r="C848" s="29"/>
      <c r="D848" s="29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11"/>
      <c r="B849" s="29"/>
      <c r="C849" s="29"/>
      <c r="D849" s="29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11"/>
      <c r="B850" s="29"/>
      <c r="C850" s="29"/>
      <c r="D850" s="29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11"/>
      <c r="B851" s="29"/>
      <c r="C851" s="29"/>
      <c r="D851" s="29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11"/>
      <c r="B852" s="29"/>
      <c r="C852" s="29"/>
      <c r="D852" s="29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11"/>
      <c r="B853" s="29"/>
      <c r="C853" s="29"/>
      <c r="D853" s="29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11"/>
      <c r="B854" s="29"/>
      <c r="C854" s="29"/>
      <c r="D854" s="29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11"/>
      <c r="B855" s="29"/>
      <c r="C855" s="29"/>
      <c r="D855" s="29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11"/>
      <c r="B856" s="29"/>
      <c r="C856" s="29"/>
      <c r="D856" s="29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11"/>
      <c r="B857" s="29"/>
      <c r="C857" s="29"/>
      <c r="D857" s="29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11"/>
      <c r="B858" s="29"/>
      <c r="C858" s="29"/>
      <c r="D858" s="29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11"/>
      <c r="B859" s="29"/>
      <c r="C859" s="29"/>
      <c r="D859" s="29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11"/>
      <c r="B860" s="29"/>
      <c r="C860" s="29"/>
      <c r="D860" s="29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11"/>
      <c r="B861" s="29"/>
      <c r="C861" s="29"/>
      <c r="D861" s="29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11"/>
      <c r="B862" s="29"/>
      <c r="C862" s="29"/>
      <c r="D862" s="29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11"/>
      <c r="B863" s="29"/>
      <c r="C863" s="29"/>
      <c r="D863" s="29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11"/>
      <c r="B864" s="29"/>
      <c r="C864" s="29"/>
      <c r="D864" s="29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11"/>
      <c r="B865" s="29"/>
      <c r="C865" s="29"/>
      <c r="D865" s="29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11"/>
      <c r="B866" s="29"/>
      <c r="C866" s="29"/>
      <c r="D866" s="29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11"/>
      <c r="B867" s="29"/>
      <c r="C867" s="29"/>
      <c r="D867" s="29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11"/>
      <c r="B868" s="29"/>
      <c r="C868" s="29"/>
      <c r="D868" s="29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11"/>
      <c r="B869" s="29"/>
      <c r="C869" s="29"/>
      <c r="D869" s="29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11"/>
      <c r="B870" s="29"/>
      <c r="C870" s="29"/>
      <c r="D870" s="29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11"/>
      <c r="B871" s="29"/>
      <c r="C871" s="29"/>
      <c r="D871" s="29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11"/>
      <c r="B872" s="29"/>
      <c r="C872" s="29"/>
      <c r="D872" s="29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11"/>
      <c r="B873" s="29"/>
      <c r="C873" s="29"/>
      <c r="D873" s="29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11"/>
      <c r="B874" s="29"/>
      <c r="C874" s="29"/>
      <c r="D874" s="29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11"/>
      <c r="B875" s="29"/>
      <c r="C875" s="29"/>
      <c r="D875" s="29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11"/>
      <c r="B876" s="29"/>
      <c r="C876" s="29"/>
      <c r="D876" s="29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11"/>
      <c r="B877" s="29"/>
      <c r="C877" s="29"/>
      <c r="D877" s="29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11"/>
      <c r="B878" s="29"/>
      <c r="C878" s="29"/>
      <c r="D878" s="29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11"/>
      <c r="B879" s="29"/>
      <c r="C879" s="29"/>
      <c r="D879" s="29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11"/>
      <c r="B880" s="29"/>
      <c r="C880" s="29"/>
      <c r="D880" s="29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11"/>
      <c r="B881" s="29"/>
      <c r="C881" s="29"/>
      <c r="D881" s="29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11"/>
      <c r="B882" s="29"/>
      <c r="C882" s="29"/>
      <c r="D882" s="29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11"/>
      <c r="B883" s="29"/>
      <c r="C883" s="29"/>
      <c r="D883" s="29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11"/>
      <c r="B884" s="29"/>
      <c r="C884" s="29"/>
      <c r="D884" s="29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11"/>
      <c r="B885" s="29"/>
      <c r="C885" s="29"/>
      <c r="D885" s="29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11"/>
      <c r="B886" s="29"/>
      <c r="C886" s="29"/>
      <c r="D886" s="29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11"/>
      <c r="B887" s="29"/>
      <c r="C887" s="29"/>
      <c r="D887" s="29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11"/>
      <c r="B888" s="29"/>
      <c r="C888" s="29"/>
      <c r="D888" s="29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11"/>
      <c r="B889" s="29"/>
      <c r="C889" s="29"/>
      <c r="D889" s="29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11"/>
      <c r="B890" s="29"/>
      <c r="C890" s="29"/>
      <c r="D890" s="29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11"/>
      <c r="B891" s="29"/>
      <c r="C891" s="29"/>
      <c r="D891" s="29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11"/>
      <c r="B892" s="29"/>
      <c r="C892" s="29"/>
      <c r="D892" s="29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11"/>
      <c r="B893" s="29"/>
      <c r="C893" s="29"/>
      <c r="D893" s="29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11"/>
      <c r="B894" s="29"/>
      <c r="C894" s="29"/>
      <c r="D894" s="29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11"/>
      <c r="B895" s="29"/>
      <c r="C895" s="29"/>
      <c r="D895" s="29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11"/>
      <c r="B896" s="29"/>
      <c r="C896" s="29"/>
      <c r="D896" s="29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11"/>
      <c r="B897" s="29"/>
      <c r="C897" s="29"/>
      <c r="D897" s="29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11"/>
      <c r="B898" s="29"/>
      <c r="C898" s="29"/>
      <c r="D898" s="29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11"/>
      <c r="B899" s="29"/>
      <c r="C899" s="29"/>
      <c r="D899" s="29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11"/>
      <c r="B900" s="29"/>
      <c r="C900" s="29"/>
      <c r="D900" s="29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11"/>
      <c r="B901" s="29"/>
      <c r="C901" s="29"/>
      <c r="D901" s="29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11"/>
      <c r="B902" s="29"/>
      <c r="C902" s="29"/>
      <c r="D902" s="29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11"/>
      <c r="B903" s="29"/>
      <c r="C903" s="29"/>
      <c r="D903" s="29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11"/>
      <c r="B904" s="29"/>
      <c r="C904" s="29"/>
      <c r="D904" s="29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11"/>
      <c r="B905" s="29"/>
      <c r="C905" s="29"/>
      <c r="D905" s="29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11"/>
      <c r="B906" s="29"/>
      <c r="C906" s="29"/>
      <c r="D906" s="29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11"/>
      <c r="B907" s="29"/>
      <c r="C907" s="29"/>
      <c r="D907" s="29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11"/>
      <c r="B908" s="29"/>
      <c r="C908" s="29"/>
      <c r="D908" s="29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11"/>
      <c r="B909" s="29"/>
      <c r="C909" s="29"/>
      <c r="D909" s="29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11"/>
      <c r="B910" s="29"/>
      <c r="C910" s="29"/>
      <c r="D910" s="29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11"/>
      <c r="B911" s="29"/>
      <c r="C911" s="29"/>
      <c r="D911" s="29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11"/>
      <c r="B912" s="29"/>
      <c r="C912" s="29"/>
      <c r="D912" s="29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11"/>
      <c r="B913" s="29"/>
      <c r="C913" s="29"/>
      <c r="D913" s="29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11"/>
      <c r="B914" s="29"/>
      <c r="C914" s="29"/>
      <c r="D914" s="29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11"/>
      <c r="B915" s="29"/>
      <c r="C915" s="29"/>
      <c r="D915" s="29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11"/>
      <c r="B916" s="29"/>
      <c r="C916" s="29"/>
      <c r="D916" s="29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11"/>
      <c r="B917" s="29"/>
      <c r="C917" s="29"/>
      <c r="D917" s="29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11"/>
      <c r="B918" s="29"/>
      <c r="C918" s="29"/>
      <c r="D918" s="29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11"/>
      <c r="B919" s="29"/>
      <c r="C919" s="29"/>
      <c r="D919" s="29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11"/>
      <c r="B920" s="29"/>
      <c r="C920" s="29"/>
      <c r="D920" s="29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11"/>
      <c r="B921" s="29"/>
      <c r="C921" s="29"/>
      <c r="D921" s="29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11"/>
      <c r="B922" s="29"/>
      <c r="C922" s="29"/>
      <c r="D922" s="29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11"/>
      <c r="B923" s="29"/>
      <c r="C923" s="29"/>
      <c r="D923" s="29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11"/>
      <c r="B924" s="29"/>
      <c r="C924" s="29"/>
      <c r="D924" s="29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11"/>
      <c r="B925" s="29"/>
      <c r="C925" s="29"/>
      <c r="D925" s="29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11"/>
      <c r="B926" s="29"/>
      <c r="C926" s="29"/>
      <c r="D926" s="29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11"/>
      <c r="B927" s="29"/>
      <c r="C927" s="29"/>
      <c r="D927" s="29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11"/>
      <c r="B928" s="29"/>
      <c r="C928" s="29"/>
      <c r="D928" s="29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11"/>
      <c r="B929" s="29"/>
      <c r="C929" s="29"/>
      <c r="D929" s="29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11"/>
      <c r="B930" s="29"/>
      <c r="C930" s="29"/>
      <c r="D930" s="29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11"/>
      <c r="B931" s="29"/>
      <c r="C931" s="29"/>
      <c r="D931" s="29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11"/>
      <c r="B932" s="29"/>
      <c r="C932" s="29"/>
      <c r="D932" s="29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11"/>
      <c r="B933" s="29"/>
      <c r="C933" s="29"/>
      <c r="D933" s="29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11"/>
      <c r="B934" s="29"/>
      <c r="C934" s="29"/>
      <c r="D934" s="29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11"/>
      <c r="B935" s="29"/>
      <c r="C935" s="29"/>
      <c r="D935" s="29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11"/>
      <c r="B936" s="29"/>
      <c r="C936" s="29"/>
      <c r="D936" s="29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11"/>
      <c r="B937" s="29"/>
      <c r="C937" s="29"/>
      <c r="D937" s="29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11"/>
      <c r="B938" s="29"/>
      <c r="C938" s="29"/>
      <c r="D938" s="29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11"/>
      <c r="B939" s="29"/>
      <c r="C939" s="29"/>
      <c r="D939" s="29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11"/>
      <c r="B940" s="29"/>
      <c r="C940" s="29"/>
      <c r="D940" s="29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11"/>
      <c r="B941" s="29"/>
      <c r="C941" s="29"/>
      <c r="D941" s="29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11"/>
      <c r="B942" s="29"/>
      <c r="C942" s="29"/>
      <c r="D942" s="29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11"/>
      <c r="B943" s="29"/>
      <c r="C943" s="29"/>
      <c r="D943" s="29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11"/>
      <c r="B944" s="29"/>
      <c r="C944" s="29"/>
      <c r="D944" s="29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11"/>
      <c r="B945" s="29"/>
      <c r="C945" s="29"/>
      <c r="D945" s="29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11"/>
      <c r="B946" s="29"/>
      <c r="C946" s="29"/>
      <c r="D946" s="29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11"/>
      <c r="B947" s="29"/>
      <c r="C947" s="29"/>
      <c r="D947" s="29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11"/>
      <c r="B948" s="29"/>
      <c r="C948" s="29"/>
      <c r="D948" s="29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11"/>
      <c r="B949" s="29"/>
      <c r="C949" s="29"/>
      <c r="D949" s="29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11"/>
      <c r="B950" s="29"/>
      <c r="C950" s="29"/>
      <c r="D950" s="29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11"/>
      <c r="B951" s="29"/>
      <c r="C951" s="29"/>
      <c r="D951" s="29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11"/>
      <c r="B952" s="29"/>
      <c r="C952" s="29"/>
      <c r="D952" s="29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11"/>
      <c r="B953" s="29"/>
      <c r="C953" s="29"/>
      <c r="D953" s="29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11"/>
      <c r="B954" s="29"/>
      <c r="C954" s="29"/>
      <c r="D954" s="29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11"/>
      <c r="B955" s="29"/>
      <c r="C955" s="29"/>
      <c r="D955" s="29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11"/>
      <c r="B956" s="29"/>
      <c r="C956" s="29"/>
      <c r="D956" s="29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11"/>
      <c r="B957" s="29"/>
      <c r="C957" s="29"/>
      <c r="D957" s="29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11"/>
      <c r="B958" s="29"/>
      <c r="C958" s="29"/>
      <c r="D958" s="29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11"/>
      <c r="B959" s="29"/>
      <c r="C959" s="29"/>
      <c r="D959" s="29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11"/>
      <c r="B960" s="29"/>
      <c r="C960" s="29"/>
      <c r="D960" s="29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11"/>
      <c r="B961" s="29"/>
      <c r="C961" s="29"/>
      <c r="D961" s="29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11"/>
      <c r="B962" s="29"/>
      <c r="C962" s="29"/>
      <c r="D962" s="29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11"/>
      <c r="B963" s="29"/>
      <c r="C963" s="29"/>
      <c r="D963" s="29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11"/>
      <c r="B964" s="29"/>
      <c r="C964" s="29"/>
      <c r="D964" s="29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11"/>
      <c r="B965" s="29"/>
      <c r="C965" s="29"/>
      <c r="D965" s="29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11"/>
      <c r="B966" s="29"/>
      <c r="C966" s="29"/>
      <c r="D966" s="29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11"/>
      <c r="B967" s="29"/>
      <c r="C967" s="29"/>
      <c r="D967" s="29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11"/>
      <c r="B968" s="29"/>
      <c r="C968" s="29"/>
      <c r="D968" s="29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11"/>
      <c r="B969" s="29"/>
      <c r="C969" s="29"/>
      <c r="D969" s="29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11"/>
      <c r="B970" s="29"/>
      <c r="C970" s="29"/>
      <c r="D970" s="29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11"/>
      <c r="B971" s="29"/>
      <c r="C971" s="29"/>
      <c r="D971" s="29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11"/>
      <c r="B972" s="29"/>
      <c r="C972" s="29"/>
      <c r="D972" s="29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11"/>
      <c r="B973" s="29"/>
      <c r="C973" s="29"/>
      <c r="D973" s="29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11"/>
      <c r="B974" s="29"/>
      <c r="C974" s="29"/>
      <c r="D974" s="29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11"/>
      <c r="B975" s="29"/>
      <c r="C975" s="29"/>
      <c r="D975" s="29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11"/>
      <c r="B976" s="29"/>
      <c r="C976" s="29"/>
      <c r="D976" s="29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11"/>
      <c r="B977" s="29"/>
      <c r="C977" s="29"/>
      <c r="D977" s="29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11"/>
      <c r="B978" s="29"/>
      <c r="C978" s="29"/>
      <c r="D978" s="29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11"/>
      <c r="B979" s="29"/>
      <c r="C979" s="29"/>
      <c r="D979" s="29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11"/>
      <c r="B980" s="29"/>
      <c r="C980" s="29"/>
      <c r="D980" s="29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11"/>
      <c r="B981" s="29"/>
      <c r="C981" s="29"/>
      <c r="D981" s="29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11"/>
      <c r="B982" s="29"/>
      <c r="C982" s="29"/>
      <c r="D982" s="29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11"/>
      <c r="B983" s="29"/>
      <c r="C983" s="29"/>
      <c r="D983" s="29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11"/>
      <c r="B984" s="29"/>
      <c r="C984" s="29"/>
      <c r="D984" s="29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11"/>
      <c r="B985" s="29"/>
      <c r="C985" s="29"/>
      <c r="D985" s="29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11"/>
      <c r="B986" s="29"/>
      <c r="C986" s="29"/>
      <c r="D986" s="29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11"/>
      <c r="B987" s="29"/>
      <c r="C987" s="29"/>
      <c r="D987" s="29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11"/>
      <c r="B988" s="29"/>
      <c r="C988" s="29"/>
      <c r="D988" s="29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11"/>
      <c r="B989" s="29"/>
      <c r="C989" s="29"/>
      <c r="D989" s="29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11"/>
      <c r="B990" s="29"/>
      <c r="C990" s="29"/>
      <c r="D990" s="29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11"/>
      <c r="B991" s="29"/>
      <c r="C991" s="29"/>
      <c r="D991" s="29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11"/>
      <c r="B992" s="29"/>
      <c r="C992" s="29"/>
      <c r="D992" s="29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11"/>
      <c r="B993" s="29"/>
      <c r="C993" s="29"/>
      <c r="D993" s="29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11"/>
      <c r="B994" s="29"/>
      <c r="C994" s="29"/>
      <c r="D994" s="29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11"/>
      <c r="B995" s="29"/>
      <c r="C995" s="29"/>
      <c r="D995" s="29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11"/>
      <c r="B996" s="29"/>
      <c r="C996" s="29"/>
      <c r="D996" s="29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11"/>
      <c r="B997" s="29"/>
      <c r="C997" s="29"/>
      <c r="D997" s="29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11"/>
      <c r="B998" s="29"/>
      <c r="C998" s="29"/>
      <c r="D998" s="29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11"/>
      <c r="B999" s="29"/>
      <c r="C999" s="29"/>
      <c r="D999" s="29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11"/>
      <c r="B1000" s="29"/>
      <c r="C1000" s="29"/>
      <c r="D1000" s="29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conditionalFormatting sqref="E2:E1000">
    <cfRule type="cellIs" dxfId="0" priority="1" stopIfTrue="1" operator="equal">
      <formula>"CÓ THỂ ĐI"</formula>
    </cfRule>
  </conditionalFormatting>
  <conditionalFormatting sqref="E2:E1000">
    <cfRule type="cellIs" dxfId="1" priority="2" stopIfTrue="1" operator="equal">
      <formula>"PHÙ HỢP CAO"</formula>
    </cfRule>
  </conditionalFormatting>
  <hyperlinks>
    <hyperlink r:id="rId1" ref="B2"/>
    <hyperlink r:id="rId2" ref="D2"/>
    <hyperlink r:id="rId3" ref="B3"/>
    <hyperlink r:id="rId4" ref="D3"/>
    <hyperlink r:id="rId5" ref="B4"/>
    <hyperlink r:id="rId6" ref="D4"/>
    <hyperlink r:id="rId7" ref="B5"/>
    <hyperlink r:id="rId8" ref="D5"/>
    <hyperlink r:id="rId9" ref="B6"/>
    <hyperlink r:id="rId10" ref="D6"/>
    <hyperlink r:id="rId11" ref="B7"/>
    <hyperlink r:id="rId12" ref="D7"/>
    <hyperlink r:id="rId13" ref="B8"/>
    <hyperlink r:id="rId14" ref="D8"/>
    <hyperlink r:id="rId15" ref="B9"/>
    <hyperlink r:id="rId16" ref="D9"/>
    <hyperlink r:id="rId17" ref="B10"/>
    <hyperlink r:id="rId18" ref="D10"/>
    <hyperlink r:id="rId19" ref="B11"/>
    <hyperlink r:id="rId20" ref="D11"/>
    <hyperlink r:id="rId21" ref="B12"/>
    <hyperlink r:id="rId22" ref="D12"/>
    <hyperlink r:id="rId23" ref="B13"/>
    <hyperlink r:id="rId24" ref="D13"/>
    <hyperlink r:id="rId25" ref="B14"/>
    <hyperlink r:id="rId26" ref="D14"/>
    <hyperlink r:id="rId27" ref="B15"/>
    <hyperlink r:id="rId28" ref="D15"/>
    <hyperlink r:id="rId29" ref="B16"/>
    <hyperlink r:id="rId30" ref="D16"/>
    <hyperlink r:id="rId31" ref="B17"/>
    <hyperlink r:id="rId32" ref="D17"/>
    <hyperlink r:id="rId33" ref="B18"/>
    <hyperlink r:id="rId34" ref="D18"/>
    <hyperlink r:id="rId35" ref="B19"/>
    <hyperlink r:id="rId36" ref="D19"/>
    <hyperlink r:id="rId37" ref="B20"/>
    <hyperlink r:id="rId38" ref="D20"/>
    <hyperlink r:id="rId39" ref="B21"/>
    <hyperlink r:id="rId40" ref="D21"/>
    <hyperlink r:id="rId41" ref="B22"/>
    <hyperlink r:id="rId42" ref="D22"/>
    <hyperlink r:id="rId43" ref="B23"/>
    <hyperlink r:id="rId44" ref="D23"/>
    <hyperlink r:id="rId45" ref="B24"/>
    <hyperlink r:id="rId46" ref="D24"/>
    <hyperlink r:id="rId47" ref="B25"/>
    <hyperlink r:id="rId48" ref="D25"/>
    <hyperlink r:id="rId49" ref="B26"/>
    <hyperlink r:id="rId50" ref="D26"/>
    <hyperlink r:id="rId51" ref="B27"/>
    <hyperlink r:id="rId52" ref="D27"/>
    <hyperlink r:id="rId53" ref="B28"/>
    <hyperlink r:id="rId54" ref="D28"/>
    <hyperlink r:id="rId55" ref="B29"/>
    <hyperlink r:id="rId56" ref="D29"/>
    <hyperlink r:id="rId57" ref="B30"/>
    <hyperlink r:id="rId58" ref="D30"/>
    <hyperlink r:id="rId59" ref="B31"/>
    <hyperlink r:id="rId60" ref="D31"/>
    <hyperlink r:id="rId61" ref="B32"/>
    <hyperlink r:id="rId62" ref="D32"/>
    <hyperlink r:id="rId63" ref="B33"/>
    <hyperlink r:id="rId64" ref="D33"/>
    <hyperlink r:id="rId65" ref="B34"/>
    <hyperlink r:id="rId66" ref="D34"/>
    <hyperlink r:id="rId67" ref="B35"/>
    <hyperlink r:id="rId68" ref="D35"/>
    <hyperlink r:id="rId69" ref="B36"/>
    <hyperlink r:id="rId70" ref="D36"/>
    <hyperlink r:id="rId71" ref="B37"/>
    <hyperlink r:id="rId72" ref="D37"/>
    <hyperlink r:id="rId73" ref="B38"/>
    <hyperlink r:id="rId74" ref="D38"/>
    <hyperlink r:id="rId75" ref="B39"/>
    <hyperlink r:id="rId76" ref="D39"/>
    <hyperlink r:id="rId77" ref="B40"/>
    <hyperlink r:id="rId78" ref="D40"/>
    <hyperlink r:id="rId79" ref="B41"/>
    <hyperlink r:id="rId80" ref="D41"/>
    <hyperlink r:id="rId81" ref="B42"/>
    <hyperlink r:id="rId82" ref="D42"/>
    <hyperlink r:id="rId83" ref="B43"/>
    <hyperlink r:id="rId84" ref="D43"/>
    <hyperlink r:id="rId85" ref="B44"/>
    <hyperlink r:id="rId86" ref="D44"/>
    <hyperlink r:id="rId87" ref="B45"/>
    <hyperlink r:id="rId88" ref="D45"/>
    <hyperlink r:id="rId89" ref="B46"/>
    <hyperlink r:id="rId90" ref="D46"/>
    <hyperlink r:id="rId91" ref="B47"/>
    <hyperlink r:id="rId92" ref="D47"/>
    <hyperlink r:id="rId93" ref="B48"/>
    <hyperlink r:id="rId94" ref="D48"/>
    <hyperlink r:id="rId95" ref="B49"/>
    <hyperlink r:id="rId96" ref="D49"/>
    <hyperlink r:id="rId97" ref="B50"/>
    <hyperlink r:id="rId98" ref="D50"/>
    <hyperlink r:id="rId99" ref="B51"/>
    <hyperlink r:id="rId100" ref="D51"/>
    <hyperlink r:id="rId101" ref="B52"/>
    <hyperlink r:id="rId102" ref="D52"/>
    <hyperlink r:id="rId103" ref="B53"/>
    <hyperlink r:id="rId104" ref="D53"/>
    <hyperlink r:id="rId105" ref="B54"/>
    <hyperlink r:id="rId106" ref="D54"/>
    <hyperlink r:id="rId107" ref="B55"/>
    <hyperlink r:id="rId108" ref="D55"/>
    <hyperlink r:id="rId109" ref="B56"/>
    <hyperlink r:id="rId110" ref="D56"/>
    <hyperlink r:id="rId111" ref="B57"/>
    <hyperlink r:id="rId112" ref="D57"/>
    <hyperlink r:id="rId113" ref="B58"/>
    <hyperlink r:id="rId114" ref="D58"/>
    <hyperlink r:id="rId115" ref="B59"/>
    <hyperlink r:id="rId116" ref="D59"/>
    <hyperlink r:id="rId117" ref="B60"/>
    <hyperlink r:id="rId118" ref="D60"/>
    <hyperlink r:id="rId119" ref="B61"/>
    <hyperlink r:id="rId120" ref="D61"/>
    <hyperlink r:id="rId121" ref="B62"/>
    <hyperlink r:id="rId122" ref="D62"/>
    <hyperlink r:id="rId123" ref="B63"/>
    <hyperlink r:id="rId124" ref="D63"/>
    <hyperlink r:id="rId125" ref="B64"/>
    <hyperlink r:id="rId126" ref="D64"/>
    <hyperlink r:id="rId127" ref="B65"/>
    <hyperlink r:id="rId128" ref="D65"/>
    <hyperlink r:id="rId129" ref="B66"/>
    <hyperlink r:id="rId130" ref="D66"/>
    <hyperlink r:id="rId131" ref="B67"/>
    <hyperlink r:id="rId132" ref="D67"/>
    <hyperlink r:id="rId133" ref="B68"/>
    <hyperlink r:id="rId134" ref="D68"/>
    <hyperlink r:id="rId135" ref="B69"/>
    <hyperlink r:id="rId136" ref="D69"/>
    <hyperlink r:id="rId137" ref="B70"/>
    <hyperlink r:id="rId138" ref="D70"/>
    <hyperlink r:id="rId139" ref="B71"/>
    <hyperlink r:id="rId140" ref="D71"/>
    <hyperlink r:id="rId141" ref="B72"/>
    <hyperlink r:id="rId142" ref="D72"/>
    <hyperlink r:id="rId143" ref="B73"/>
    <hyperlink r:id="rId144" ref="D73"/>
    <hyperlink r:id="rId145" ref="B74"/>
    <hyperlink r:id="rId146" ref="D74"/>
    <hyperlink r:id="rId147" ref="B75"/>
    <hyperlink r:id="rId148" ref="D75"/>
    <hyperlink r:id="rId149" ref="B76"/>
    <hyperlink r:id="rId150" ref="D76"/>
    <hyperlink r:id="rId151" ref="B77"/>
    <hyperlink r:id="rId152" ref="D77"/>
    <hyperlink r:id="rId153" ref="B78"/>
    <hyperlink r:id="rId154" ref="D78"/>
    <hyperlink r:id="rId155" ref="B79"/>
    <hyperlink r:id="rId156" ref="D79"/>
    <hyperlink r:id="rId157" ref="B80"/>
    <hyperlink r:id="rId158" ref="D80"/>
    <hyperlink r:id="rId159" ref="B81"/>
    <hyperlink r:id="rId160" ref="D81"/>
    <hyperlink r:id="rId161" ref="B82"/>
    <hyperlink r:id="rId162" ref="D82"/>
    <hyperlink r:id="rId163" ref="B83"/>
    <hyperlink r:id="rId164" ref="D83"/>
    <hyperlink r:id="rId165" ref="B84"/>
    <hyperlink r:id="rId166" ref="D84"/>
    <hyperlink r:id="rId167" ref="B85"/>
    <hyperlink r:id="rId168" ref="D85"/>
    <hyperlink r:id="rId169" ref="B86"/>
    <hyperlink r:id="rId170" ref="D86"/>
    <hyperlink r:id="rId171" ref="B87"/>
    <hyperlink r:id="rId172" ref="D87"/>
    <hyperlink r:id="rId173" ref="B88"/>
    <hyperlink r:id="rId174" ref="D88"/>
    <hyperlink r:id="rId175" ref="B89"/>
    <hyperlink r:id="rId176" ref="D89"/>
    <hyperlink r:id="rId177" ref="B90"/>
    <hyperlink r:id="rId178" ref="D90"/>
    <hyperlink r:id="rId179" ref="B91"/>
    <hyperlink r:id="rId180" ref="D91"/>
    <hyperlink r:id="rId181" ref="B92"/>
    <hyperlink r:id="rId182" ref="D92"/>
    <hyperlink r:id="rId183" ref="B93"/>
    <hyperlink r:id="rId184" ref="D93"/>
    <hyperlink r:id="rId185" ref="B94"/>
    <hyperlink r:id="rId186" ref="D94"/>
    <hyperlink r:id="rId187" ref="B95"/>
    <hyperlink r:id="rId188" ref="D95"/>
    <hyperlink r:id="rId189" ref="B96"/>
    <hyperlink r:id="rId190" ref="D96"/>
    <hyperlink r:id="rId191" ref="B97"/>
    <hyperlink r:id="rId192" ref="D97"/>
    <hyperlink r:id="rId193" ref="B98"/>
    <hyperlink r:id="rId194" ref="D98"/>
    <hyperlink r:id="rId195" ref="B99"/>
    <hyperlink r:id="rId196" ref="D99"/>
    <hyperlink r:id="rId197" ref="B100"/>
    <hyperlink r:id="rId198" ref="D100"/>
    <hyperlink r:id="rId199" ref="B101"/>
    <hyperlink r:id="rId200" ref="D101"/>
    <hyperlink r:id="rId201" ref="B102"/>
    <hyperlink r:id="rId202" ref="D102"/>
    <hyperlink r:id="rId203" ref="B103"/>
    <hyperlink r:id="rId204" ref="D103"/>
    <hyperlink r:id="rId205" ref="B104"/>
    <hyperlink r:id="rId206" ref="D104"/>
    <hyperlink r:id="rId207" ref="B105"/>
    <hyperlink r:id="rId208" ref="D105"/>
    <hyperlink r:id="rId209" ref="B106"/>
    <hyperlink r:id="rId210" ref="D106"/>
    <hyperlink r:id="rId211" ref="B107"/>
    <hyperlink r:id="rId212" ref="D107"/>
    <hyperlink r:id="rId213" ref="B108"/>
    <hyperlink r:id="rId214" ref="D108"/>
    <hyperlink r:id="rId215" ref="B109"/>
    <hyperlink r:id="rId216" ref="D109"/>
    <hyperlink r:id="rId217" ref="B110"/>
    <hyperlink r:id="rId218" ref="D110"/>
    <hyperlink r:id="rId219" ref="B111"/>
    <hyperlink r:id="rId220" ref="D111"/>
    <hyperlink r:id="rId221" ref="B112"/>
    <hyperlink r:id="rId222" ref="D112"/>
    <hyperlink r:id="rId223" ref="B113"/>
    <hyperlink r:id="rId224" ref="D113"/>
    <hyperlink r:id="rId225" ref="B114"/>
    <hyperlink r:id="rId226" ref="D114"/>
    <hyperlink r:id="rId227" ref="B115"/>
    <hyperlink r:id="rId228" ref="D115"/>
    <hyperlink r:id="rId229" ref="B116"/>
    <hyperlink r:id="rId230" ref="D116"/>
    <hyperlink r:id="rId231" ref="B117"/>
    <hyperlink r:id="rId232" ref="D117"/>
    <hyperlink r:id="rId233" ref="B118"/>
    <hyperlink r:id="rId234" ref="D118"/>
    <hyperlink r:id="rId235" ref="B119"/>
    <hyperlink r:id="rId236" ref="D119"/>
    <hyperlink r:id="rId237" ref="B120"/>
    <hyperlink r:id="rId238" ref="D120"/>
    <hyperlink r:id="rId239" ref="B121"/>
    <hyperlink r:id="rId240" ref="D121"/>
    <hyperlink r:id="rId241" ref="B122"/>
    <hyperlink r:id="rId242" ref="D122"/>
    <hyperlink r:id="rId243" ref="B123"/>
    <hyperlink r:id="rId244" ref="D123"/>
    <hyperlink r:id="rId245" ref="B124"/>
    <hyperlink r:id="rId246" ref="D124"/>
    <hyperlink r:id="rId247" ref="B125"/>
    <hyperlink r:id="rId248" ref="D125"/>
    <hyperlink r:id="rId249" ref="B126"/>
    <hyperlink r:id="rId250" ref="D126"/>
    <hyperlink r:id="rId251" ref="B127"/>
    <hyperlink r:id="rId252" ref="D127"/>
    <hyperlink r:id="rId253" ref="B128"/>
    <hyperlink r:id="rId254" ref="D128"/>
    <hyperlink r:id="rId255" ref="B129"/>
    <hyperlink r:id="rId256" ref="D129"/>
    <hyperlink r:id="rId257" ref="B130"/>
    <hyperlink r:id="rId258" ref="D130"/>
    <hyperlink r:id="rId259" ref="B131"/>
    <hyperlink r:id="rId260" ref="D131"/>
    <hyperlink r:id="rId261" ref="B132"/>
    <hyperlink r:id="rId262" ref="D132"/>
    <hyperlink r:id="rId263" ref="B133"/>
    <hyperlink r:id="rId264" ref="D133"/>
    <hyperlink r:id="rId265" ref="B134"/>
    <hyperlink r:id="rId266" ref="D134"/>
    <hyperlink r:id="rId267" ref="B135"/>
    <hyperlink r:id="rId268" ref="D135"/>
    <hyperlink r:id="rId269" ref="B136"/>
    <hyperlink r:id="rId270" ref="D136"/>
    <hyperlink r:id="rId271" ref="B137"/>
    <hyperlink r:id="rId272" ref="D137"/>
    <hyperlink r:id="rId273" ref="B138"/>
    <hyperlink r:id="rId274" ref="D138"/>
    <hyperlink r:id="rId275" ref="B139"/>
    <hyperlink r:id="rId276" ref="D139"/>
    <hyperlink r:id="rId277" ref="B140"/>
    <hyperlink r:id="rId278" ref="D140"/>
    <hyperlink r:id="rId279" ref="B141"/>
    <hyperlink r:id="rId280" ref="D141"/>
    <hyperlink r:id="rId281" ref="B142"/>
    <hyperlink r:id="rId282" ref="D142"/>
    <hyperlink r:id="rId283" ref="B143"/>
    <hyperlink r:id="rId284" ref="D143"/>
    <hyperlink r:id="rId285" ref="B144"/>
    <hyperlink r:id="rId286" ref="D144"/>
    <hyperlink r:id="rId287" ref="B145"/>
    <hyperlink r:id="rId288" ref="D145"/>
    <hyperlink r:id="rId289" ref="B146"/>
    <hyperlink r:id="rId290" ref="D146"/>
    <hyperlink r:id="rId291" ref="B147"/>
    <hyperlink r:id="rId292" ref="D147"/>
    <hyperlink r:id="rId293" ref="B148"/>
    <hyperlink r:id="rId294" ref="D148"/>
    <hyperlink r:id="rId295" ref="B149"/>
    <hyperlink r:id="rId296" ref="D149"/>
    <hyperlink r:id="rId297" ref="B150"/>
    <hyperlink r:id="rId298" ref="D150"/>
    <hyperlink r:id="rId299" ref="B151"/>
    <hyperlink r:id="rId300" ref="D151"/>
    <hyperlink r:id="rId301" ref="B152"/>
    <hyperlink r:id="rId302" ref="D152"/>
    <hyperlink r:id="rId303" ref="B153"/>
    <hyperlink r:id="rId304" ref="D153"/>
    <hyperlink r:id="rId305" ref="B154"/>
    <hyperlink r:id="rId306" ref="D154"/>
    <hyperlink r:id="rId307" ref="B155"/>
    <hyperlink r:id="rId308" ref="D155"/>
    <hyperlink r:id="rId309" ref="B156"/>
    <hyperlink r:id="rId310" ref="D156"/>
    <hyperlink r:id="rId311" ref="B157"/>
    <hyperlink r:id="rId312" ref="D157"/>
    <hyperlink r:id="rId313" ref="B158"/>
    <hyperlink r:id="rId314" ref="D158"/>
    <hyperlink r:id="rId315" ref="B159"/>
    <hyperlink r:id="rId316" ref="D159"/>
    <hyperlink r:id="rId317" ref="B160"/>
    <hyperlink r:id="rId318" ref="D160"/>
    <hyperlink r:id="rId319" ref="B161"/>
    <hyperlink r:id="rId320" ref="D161"/>
    <hyperlink r:id="rId321" ref="B162"/>
    <hyperlink r:id="rId322" ref="D162"/>
    <hyperlink r:id="rId323" ref="B163"/>
    <hyperlink r:id="rId324" ref="D163"/>
    <hyperlink r:id="rId325" ref="B164"/>
    <hyperlink r:id="rId326" ref="D164"/>
    <hyperlink r:id="rId327" ref="B165"/>
    <hyperlink r:id="rId328" ref="D165"/>
    <hyperlink r:id="rId329" ref="B166"/>
    <hyperlink r:id="rId330" ref="D166"/>
    <hyperlink r:id="rId331" ref="B167"/>
    <hyperlink r:id="rId332" ref="D167"/>
    <hyperlink r:id="rId333" ref="B168"/>
    <hyperlink r:id="rId334" ref="D168"/>
    <hyperlink r:id="rId335" ref="B169"/>
    <hyperlink r:id="rId336" ref="D169"/>
    <hyperlink r:id="rId337" ref="B170"/>
    <hyperlink r:id="rId338" ref="D170"/>
    <hyperlink r:id="rId339" ref="B171"/>
    <hyperlink r:id="rId340" ref="D171"/>
    <hyperlink r:id="rId341" ref="B172"/>
    <hyperlink r:id="rId342" ref="D172"/>
    <hyperlink r:id="rId343" ref="B173"/>
    <hyperlink r:id="rId344" ref="D173"/>
    <hyperlink r:id="rId345" ref="B174"/>
    <hyperlink r:id="rId346" ref="D174"/>
    <hyperlink r:id="rId347" ref="B175"/>
    <hyperlink r:id="rId348" ref="D175"/>
    <hyperlink r:id="rId349" ref="B176"/>
    <hyperlink r:id="rId350" ref="D176"/>
    <hyperlink r:id="rId351" ref="B177"/>
    <hyperlink r:id="rId352" ref="D177"/>
    <hyperlink r:id="rId353" ref="B178"/>
    <hyperlink r:id="rId354" ref="D178"/>
    <hyperlink r:id="rId355" ref="B179"/>
    <hyperlink r:id="rId356" ref="D179"/>
    <hyperlink r:id="rId357" ref="B180"/>
    <hyperlink r:id="rId358" ref="D180"/>
    <hyperlink r:id="rId359" ref="B181"/>
    <hyperlink r:id="rId360" ref="D181"/>
    <hyperlink r:id="rId361" ref="B182"/>
    <hyperlink r:id="rId362" ref="D182"/>
    <hyperlink r:id="rId363" ref="B183"/>
    <hyperlink r:id="rId364" ref="D183"/>
    <hyperlink r:id="rId365" ref="B184"/>
    <hyperlink r:id="rId366" ref="D184"/>
    <hyperlink r:id="rId367" ref="B185"/>
    <hyperlink r:id="rId368" ref="D185"/>
    <hyperlink r:id="rId369" ref="B186"/>
    <hyperlink r:id="rId370" ref="D186"/>
    <hyperlink r:id="rId371" ref="B187"/>
    <hyperlink r:id="rId372" ref="D187"/>
    <hyperlink r:id="rId373" ref="B188"/>
    <hyperlink r:id="rId374" ref="D188"/>
    <hyperlink r:id="rId375" ref="B189"/>
    <hyperlink r:id="rId376" ref="D189"/>
    <hyperlink r:id="rId377" ref="B190"/>
    <hyperlink r:id="rId378" ref="D190"/>
    <hyperlink r:id="rId379" ref="B191"/>
    <hyperlink r:id="rId380" ref="D191"/>
    <hyperlink r:id="rId381" ref="B192"/>
    <hyperlink r:id="rId382" ref="D192"/>
    <hyperlink r:id="rId383" ref="B193"/>
    <hyperlink r:id="rId384" ref="D193"/>
    <hyperlink r:id="rId385" ref="B194"/>
    <hyperlink r:id="rId386" ref="D194"/>
    <hyperlink r:id="rId387" ref="B195"/>
    <hyperlink r:id="rId388" ref="D195"/>
    <hyperlink r:id="rId389" ref="B196"/>
    <hyperlink r:id="rId390" ref="D196"/>
    <hyperlink r:id="rId391" ref="B197"/>
    <hyperlink r:id="rId392" ref="D197"/>
    <hyperlink r:id="rId393" ref="B198"/>
    <hyperlink r:id="rId394" ref="D198"/>
    <hyperlink r:id="rId395" ref="B199"/>
    <hyperlink r:id="rId396" ref="D199"/>
    <hyperlink r:id="rId397" ref="B200"/>
    <hyperlink r:id="rId398" ref="D200"/>
    <hyperlink r:id="rId399" ref="B201"/>
    <hyperlink r:id="rId400" ref="D201"/>
    <hyperlink r:id="rId401" ref="B202"/>
    <hyperlink r:id="rId402" ref="D202"/>
    <hyperlink r:id="rId403" ref="B203"/>
    <hyperlink r:id="rId404" ref="D203"/>
    <hyperlink r:id="rId405" ref="B204"/>
    <hyperlink r:id="rId406" ref="D204"/>
    <hyperlink r:id="rId407" ref="B205"/>
    <hyperlink r:id="rId408" ref="D205"/>
    <hyperlink r:id="rId409" ref="B206"/>
    <hyperlink r:id="rId410" ref="D206"/>
    <hyperlink r:id="rId411" ref="B207"/>
    <hyperlink r:id="rId412" ref="D207"/>
    <hyperlink r:id="rId413" ref="B208"/>
    <hyperlink r:id="rId414" ref="D208"/>
    <hyperlink r:id="rId415" ref="B209"/>
    <hyperlink r:id="rId416" ref="D209"/>
    <hyperlink r:id="rId417" ref="B210"/>
    <hyperlink r:id="rId418" ref="D210"/>
    <hyperlink r:id="rId419" ref="B211"/>
    <hyperlink r:id="rId420" ref="D211"/>
    <hyperlink r:id="rId421" ref="B212"/>
    <hyperlink r:id="rId422" ref="D212"/>
    <hyperlink r:id="rId423" ref="B213"/>
    <hyperlink r:id="rId424" ref="D213"/>
    <hyperlink r:id="rId425" ref="B214"/>
    <hyperlink r:id="rId426" ref="D214"/>
    <hyperlink r:id="rId427" ref="B215"/>
    <hyperlink r:id="rId428" ref="D215"/>
    <hyperlink r:id="rId429" ref="B216"/>
    <hyperlink r:id="rId430" ref="D216"/>
    <hyperlink r:id="rId431" ref="B217"/>
    <hyperlink r:id="rId432" ref="D217"/>
    <hyperlink r:id="rId433" ref="B218"/>
    <hyperlink r:id="rId434" ref="D218"/>
    <hyperlink r:id="rId435" ref="B219"/>
    <hyperlink r:id="rId436" ref="D219"/>
    <hyperlink r:id="rId437" ref="B220"/>
    <hyperlink r:id="rId438" ref="D220"/>
    <hyperlink r:id="rId439" ref="B221"/>
    <hyperlink r:id="rId440" ref="D221"/>
    <hyperlink r:id="rId441" ref="B222"/>
    <hyperlink r:id="rId442" ref="D222"/>
    <hyperlink r:id="rId443" ref="B223"/>
    <hyperlink r:id="rId444" ref="D223"/>
    <hyperlink r:id="rId445" ref="B224"/>
    <hyperlink r:id="rId446" ref="D224"/>
    <hyperlink r:id="rId447" ref="B225"/>
    <hyperlink r:id="rId448" ref="D225"/>
    <hyperlink r:id="rId449" ref="B226"/>
    <hyperlink r:id="rId450" ref="D226"/>
    <hyperlink r:id="rId451" ref="B227"/>
    <hyperlink r:id="rId452" ref="D227"/>
    <hyperlink r:id="rId453" ref="B228"/>
    <hyperlink r:id="rId454" ref="D228"/>
    <hyperlink r:id="rId455" ref="B229"/>
    <hyperlink r:id="rId456" ref="D229"/>
    <hyperlink r:id="rId457" ref="B230"/>
    <hyperlink r:id="rId458" ref="D230"/>
    <hyperlink r:id="rId459" ref="B231"/>
    <hyperlink r:id="rId460" ref="D231"/>
    <hyperlink r:id="rId461" ref="B232"/>
    <hyperlink r:id="rId462" ref="D232"/>
    <hyperlink r:id="rId463" ref="B233"/>
    <hyperlink r:id="rId464" ref="D233"/>
    <hyperlink r:id="rId465" ref="B234"/>
    <hyperlink r:id="rId466" ref="D234"/>
    <hyperlink r:id="rId467" ref="B235"/>
    <hyperlink r:id="rId468" ref="D235"/>
    <hyperlink r:id="rId469" ref="B236"/>
    <hyperlink r:id="rId470" ref="D236"/>
    <hyperlink r:id="rId471" ref="B237"/>
    <hyperlink r:id="rId472" ref="D237"/>
    <hyperlink r:id="rId473" ref="B238"/>
    <hyperlink r:id="rId474" ref="D238"/>
    <hyperlink r:id="rId475" ref="B239"/>
    <hyperlink r:id="rId476" ref="D239"/>
    <hyperlink r:id="rId477" ref="B240"/>
    <hyperlink r:id="rId478" ref="D240"/>
    <hyperlink r:id="rId479" ref="B241"/>
    <hyperlink r:id="rId480" ref="D241"/>
    <hyperlink r:id="rId481" ref="B242"/>
    <hyperlink r:id="rId482" ref="D242"/>
    <hyperlink r:id="rId483" ref="B243"/>
    <hyperlink r:id="rId484" ref="D243"/>
    <hyperlink r:id="rId485" ref="B244"/>
    <hyperlink r:id="rId486" ref="D244"/>
    <hyperlink r:id="rId487" ref="B245"/>
    <hyperlink r:id="rId488" ref="D245"/>
    <hyperlink r:id="rId489" ref="B246"/>
    <hyperlink r:id="rId490" ref="D246"/>
    <hyperlink r:id="rId491" ref="B247"/>
    <hyperlink r:id="rId492" ref="D247"/>
    <hyperlink r:id="rId493" ref="B248"/>
    <hyperlink r:id="rId494" ref="D248"/>
    <hyperlink r:id="rId495" ref="B249"/>
    <hyperlink r:id="rId496" ref="D249"/>
    <hyperlink r:id="rId497" ref="B250"/>
    <hyperlink r:id="rId498" ref="D250"/>
    <hyperlink r:id="rId499" ref="B251"/>
    <hyperlink r:id="rId500" ref="D251"/>
    <hyperlink r:id="rId501" ref="B252"/>
    <hyperlink r:id="rId502" ref="D252"/>
    <hyperlink r:id="rId503" ref="B253"/>
    <hyperlink r:id="rId504" ref="D253"/>
    <hyperlink r:id="rId505" ref="B254"/>
    <hyperlink r:id="rId506" ref="D254"/>
    <hyperlink r:id="rId507" ref="B255"/>
    <hyperlink r:id="rId508" ref="D255"/>
    <hyperlink r:id="rId509" ref="B256"/>
    <hyperlink r:id="rId510" ref="D256"/>
    <hyperlink r:id="rId511" ref="B257"/>
    <hyperlink r:id="rId512" ref="D257"/>
    <hyperlink r:id="rId513" ref="B258"/>
    <hyperlink r:id="rId514" ref="D258"/>
    <hyperlink r:id="rId515" ref="B259"/>
    <hyperlink r:id="rId516" ref="D259"/>
    <hyperlink r:id="rId517" ref="B260"/>
    <hyperlink r:id="rId518" ref="D260"/>
    <hyperlink r:id="rId519" ref="B261"/>
    <hyperlink r:id="rId520" ref="D261"/>
    <hyperlink r:id="rId521" ref="B262"/>
    <hyperlink r:id="rId522" ref="D262"/>
    <hyperlink r:id="rId523" ref="B263"/>
    <hyperlink r:id="rId524" ref="D263"/>
    <hyperlink r:id="rId525" ref="B264"/>
    <hyperlink r:id="rId526" ref="D264"/>
    <hyperlink r:id="rId527" ref="B265"/>
    <hyperlink r:id="rId528" ref="D265"/>
    <hyperlink r:id="rId529" ref="B266"/>
    <hyperlink r:id="rId530" ref="D266"/>
    <hyperlink r:id="rId531" ref="B267"/>
    <hyperlink r:id="rId532" ref="D267"/>
    <hyperlink r:id="rId533" ref="B268"/>
    <hyperlink r:id="rId534" ref="D268"/>
    <hyperlink r:id="rId535" ref="B269"/>
    <hyperlink r:id="rId536" ref="D269"/>
    <hyperlink r:id="rId537" ref="B270"/>
    <hyperlink r:id="rId538" ref="D270"/>
    <hyperlink r:id="rId539" ref="B271"/>
    <hyperlink r:id="rId540" ref="D271"/>
    <hyperlink r:id="rId541" ref="B272"/>
    <hyperlink r:id="rId542" ref="D272"/>
    <hyperlink r:id="rId543" ref="B273"/>
    <hyperlink r:id="rId544" ref="D273"/>
    <hyperlink r:id="rId545" ref="B274"/>
    <hyperlink r:id="rId546" ref="D274"/>
    <hyperlink r:id="rId547" ref="B275"/>
    <hyperlink r:id="rId548" ref="D275"/>
    <hyperlink r:id="rId549" ref="B276"/>
    <hyperlink r:id="rId550" ref="D276"/>
    <hyperlink r:id="rId551" ref="B277"/>
    <hyperlink r:id="rId552" ref="D277"/>
    <hyperlink r:id="rId553" ref="B278"/>
    <hyperlink r:id="rId554" ref="D278"/>
    <hyperlink r:id="rId555" ref="B279"/>
    <hyperlink r:id="rId556" ref="D279"/>
    <hyperlink r:id="rId557" ref="B280"/>
    <hyperlink r:id="rId558" ref="D280"/>
    <hyperlink r:id="rId559" ref="B281"/>
    <hyperlink r:id="rId560" ref="D281"/>
    <hyperlink r:id="rId561" ref="B282"/>
    <hyperlink r:id="rId562" ref="D282"/>
    <hyperlink r:id="rId563" ref="B283"/>
    <hyperlink r:id="rId564" ref="D283"/>
    <hyperlink r:id="rId565" ref="B284"/>
    <hyperlink r:id="rId566" ref="D284"/>
    <hyperlink r:id="rId567" ref="B285"/>
    <hyperlink r:id="rId568" ref="D285"/>
    <hyperlink r:id="rId569" ref="B286"/>
    <hyperlink r:id="rId570" ref="D286"/>
    <hyperlink r:id="rId571" ref="B287"/>
    <hyperlink r:id="rId572" ref="D287"/>
    <hyperlink r:id="rId573" ref="B288"/>
    <hyperlink r:id="rId574" ref="D288"/>
    <hyperlink r:id="rId575" ref="B289"/>
    <hyperlink r:id="rId576" ref="D289"/>
    <hyperlink r:id="rId577" ref="B290"/>
    <hyperlink r:id="rId578" ref="D290"/>
    <hyperlink r:id="rId579" ref="B291"/>
    <hyperlink r:id="rId580" ref="D291"/>
    <hyperlink r:id="rId581" ref="B292"/>
    <hyperlink r:id="rId582" ref="D292"/>
    <hyperlink r:id="rId583" ref="B293"/>
    <hyperlink r:id="rId584" ref="D293"/>
    <hyperlink r:id="rId585" ref="B294"/>
    <hyperlink r:id="rId586" ref="D294"/>
    <hyperlink r:id="rId587" ref="B295"/>
    <hyperlink r:id="rId588" ref="D295"/>
    <hyperlink r:id="rId589" ref="B296"/>
    <hyperlink r:id="rId590" ref="D296"/>
    <hyperlink r:id="rId591" ref="B297"/>
    <hyperlink r:id="rId592" ref="D297"/>
    <hyperlink r:id="rId593" ref="B298"/>
    <hyperlink r:id="rId594" ref="D298"/>
    <hyperlink r:id="rId595" ref="B299"/>
    <hyperlink r:id="rId596" ref="D299"/>
    <hyperlink r:id="rId597" ref="B300"/>
    <hyperlink r:id="rId598" ref="D300"/>
    <hyperlink r:id="rId599" ref="B301"/>
    <hyperlink r:id="rId600" ref="D301"/>
    <hyperlink r:id="rId601" ref="B302"/>
    <hyperlink r:id="rId602" ref="D302"/>
    <hyperlink r:id="rId603" ref="B303"/>
    <hyperlink r:id="rId604" ref="D303"/>
    <hyperlink r:id="rId605" ref="B304"/>
    <hyperlink r:id="rId606" ref="D304"/>
    <hyperlink r:id="rId607" ref="B305"/>
    <hyperlink r:id="rId608" ref="D305"/>
    <hyperlink r:id="rId609" ref="B306"/>
    <hyperlink r:id="rId610" ref="D306"/>
    <hyperlink r:id="rId611" ref="B307"/>
    <hyperlink r:id="rId612" ref="D307"/>
    <hyperlink r:id="rId613" ref="B308"/>
    <hyperlink r:id="rId614" ref="D308"/>
    <hyperlink r:id="rId615" ref="B309"/>
    <hyperlink r:id="rId616" ref="D309"/>
    <hyperlink r:id="rId617" ref="B310"/>
    <hyperlink r:id="rId618" ref="D310"/>
    <hyperlink r:id="rId619" ref="B311"/>
    <hyperlink r:id="rId620" ref="D311"/>
    <hyperlink r:id="rId621" ref="B312"/>
    <hyperlink r:id="rId622" ref="D312"/>
    <hyperlink r:id="rId623" ref="B313"/>
    <hyperlink r:id="rId624" ref="D313"/>
    <hyperlink r:id="rId625" ref="B314"/>
    <hyperlink r:id="rId626" ref="D314"/>
    <hyperlink r:id="rId627" ref="B315"/>
    <hyperlink r:id="rId628" ref="D315"/>
    <hyperlink r:id="rId629" ref="B316"/>
    <hyperlink r:id="rId630" ref="D316"/>
    <hyperlink r:id="rId631" ref="B317"/>
    <hyperlink r:id="rId632" ref="D317"/>
    <hyperlink r:id="rId633" ref="B318"/>
    <hyperlink r:id="rId634" ref="D318"/>
    <hyperlink r:id="rId635" ref="B319"/>
    <hyperlink r:id="rId636" ref="D319"/>
    <hyperlink r:id="rId637" ref="B320"/>
    <hyperlink r:id="rId638" ref="D320"/>
    <hyperlink r:id="rId639" ref="B321"/>
    <hyperlink r:id="rId640" ref="D321"/>
    <hyperlink r:id="rId641" ref="B322"/>
    <hyperlink r:id="rId642" ref="D322"/>
    <hyperlink r:id="rId643" ref="B323"/>
    <hyperlink r:id="rId644" ref="D323"/>
    <hyperlink r:id="rId645" ref="B324"/>
    <hyperlink r:id="rId646" ref="D324"/>
    <hyperlink r:id="rId647" ref="B325"/>
    <hyperlink r:id="rId648" ref="D325"/>
    <hyperlink r:id="rId649" ref="B326"/>
    <hyperlink r:id="rId650" ref="D326"/>
    <hyperlink r:id="rId651" ref="B327"/>
    <hyperlink r:id="rId652" ref="D327"/>
    <hyperlink r:id="rId653" ref="B328"/>
    <hyperlink r:id="rId654" ref="D328"/>
    <hyperlink r:id="rId655" ref="B329"/>
    <hyperlink r:id="rId656" ref="D329"/>
    <hyperlink r:id="rId657" ref="B330"/>
    <hyperlink r:id="rId658" ref="D330"/>
    <hyperlink r:id="rId659" ref="B331"/>
    <hyperlink r:id="rId660" ref="D331"/>
    <hyperlink r:id="rId661" ref="B332"/>
    <hyperlink r:id="rId662" ref="D332"/>
    <hyperlink r:id="rId663" ref="B333"/>
    <hyperlink r:id="rId664" ref="D333"/>
    <hyperlink r:id="rId665" ref="B334"/>
    <hyperlink r:id="rId666" ref="D334"/>
    <hyperlink r:id="rId667" ref="B335"/>
    <hyperlink r:id="rId668" ref="D335"/>
    <hyperlink r:id="rId669" ref="B336"/>
    <hyperlink r:id="rId670" ref="D336"/>
    <hyperlink r:id="rId671" ref="B337"/>
    <hyperlink r:id="rId672" ref="D337"/>
    <hyperlink r:id="rId673" ref="B338"/>
    <hyperlink r:id="rId674" ref="D338"/>
  </hyperlinks>
  <drawing r:id="rId675"/>
</worksheet>
</file>